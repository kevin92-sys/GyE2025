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evin\Dropbox\Administracion\2026\"/>
    </mc:Choice>
  </mc:AlternateContent>
  <xr:revisionPtr revIDLastSave="0" documentId="13_ncr:1_{42863A9C-EDAC-4B35-A3DC-A9B061BFDC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udia" sheetId="1" r:id="rId1"/>
    <sheet name="Raul" sheetId="2" r:id="rId2"/>
    <sheet name="Egres-ing Raul" sheetId="4" r:id="rId3"/>
    <sheet name="Monic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2" l="1"/>
  <c r="R3" i="2"/>
  <c r="G86" i="4" l="1"/>
  <c r="G88" i="4" s="1"/>
  <c r="F86" i="4"/>
  <c r="N17" i="3" l="1"/>
  <c r="M17" i="3"/>
  <c r="L17" i="3"/>
  <c r="K17" i="3"/>
  <c r="J17" i="3"/>
  <c r="I17" i="3"/>
  <c r="H17" i="3"/>
  <c r="G17" i="3"/>
  <c r="F17" i="3"/>
  <c r="E17" i="3"/>
  <c r="D17" i="3"/>
  <c r="C17" i="3"/>
  <c r="P17" i="3" s="1"/>
  <c r="P16" i="3"/>
  <c r="O16" i="3"/>
  <c r="P15" i="3"/>
  <c r="O15" i="3"/>
  <c r="P14" i="3"/>
  <c r="O14" i="3"/>
  <c r="P13" i="3"/>
  <c r="O13" i="3"/>
  <c r="N9" i="3"/>
  <c r="M9" i="3"/>
  <c r="L9" i="3"/>
  <c r="K9" i="3"/>
  <c r="J9" i="3"/>
  <c r="I9" i="3"/>
  <c r="H9" i="3"/>
  <c r="G9" i="3"/>
  <c r="F9" i="3"/>
  <c r="E9" i="3"/>
  <c r="D9" i="3"/>
  <c r="C9" i="3"/>
  <c r="P8" i="3"/>
  <c r="O8" i="3"/>
  <c r="P7" i="3"/>
  <c r="O7" i="3"/>
  <c r="P6" i="3"/>
  <c r="O6" i="3"/>
  <c r="P5" i="3"/>
  <c r="O5" i="3"/>
  <c r="P4" i="3"/>
  <c r="O4" i="3"/>
  <c r="P3" i="3"/>
  <c r="O3" i="3"/>
  <c r="N17" i="2"/>
  <c r="M17" i="2"/>
  <c r="L17" i="2"/>
  <c r="K17" i="2"/>
  <c r="J17" i="2"/>
  <c r="I17" i="2"/>
  <c r="H17" i="2"/>
  <c r="G17" i="2"/>
  <c r="F17" i="2"/>
  <c r="E17" i="2"/>
  <c r="D17" i="2"/>
  <c r="C17" i="2"/>
  <c r="P17" i="2" s="1"/>
  <c r="P16" i="2"/>
  <c r="O16" i="2"/>
  <c r="P15" i="2"/>
  <c r="O15" i="2"/>
  <c r="P14" i="2"/>
  <c r="O14" i="2"/>
  <c r="P13" i="2"/>
  <c r="O13" i="2"/>
  <c r="N9" i="2"/>
  <c r="M9" i="2"/>
  <c r="L9" i="2"/>
  <c r="K9" i="2"/>
  <c r="J9" i="2"/>
  <c r="I9" i="2"/>
  <c r="H9" i="2"/>
  <c r="G9" i="2"/>
  <c r="F9" i="2"/>
  <c r="E9" i="2"/>
  <c r="D9" i="2"/>
  <c r="C9" i="2"/>
  <c r="P8" i="2"/>
  <c r="O8" i="2"/>
  <c r="P7" i="2"/>
  <c r="O7" i="2"/>
  <c r="P6" i="2"/>
  <c r="O6" i="2"/>
  <c r="P5" i="2"/>
  <c r="O5" i="2"/>
  <c r="P4" i="2"/>
  <c r="O4" i="2"/>
  <c r="P3" i="2"/>
  <c r="O3" i="2"/>
  <c r="O17" i="1"/>
  <c r="O14" i="1"/>
  <c r="O15" i="1"/>
  <c r="O16" i="1"/>
  <c r="O13" i="1"/>
  <c r="P17" i="1"/>
  <c r="P14" i="1"/>
  <c r="P15" i="1"/>
  <c r="P16" i="1"/>
  <c r="P13" i="1"/>
  <c r="P4" i="1"/>
  <c r="P5" i="1"/>
  <c r="P6" i="1"/>
  <c r="P7" i="1"/>
  <c r="P8" i="1"/>
  <c r="P3" i="1"/>
  <c r="P9" i="3" l="1"/>
  <c r="O9" i="2"/>
  <c r="O17" i="3"/>
  <c r="O9" i="3"/>
  <c r="P9" i="2"/>
  <c r="O17" i="2"/>
  <c r="O5" i="1"/>
  <c r="O6" i="1"/>
  <c r="O7" i="1"/>
  <c r="O8" i="1"/>
  <c r="O3" i="1"/>
  <c r="D17" i="1" l="1"/>
  <c r="E17" i="1"/>
  <c r="F17" i="1"/>
  <c r="G17" i="1"/>
  <c r="H17" i="1"/>
  <c r="I17" i="1"/>
  <c r="J17" i="1"/>
  <c r="K17" i="1"/>
  <c r="L17" i="1"/>
  <c r="M17" i="1"/>
  <c r="N17" i="1"/>
  <c r="C17" i="1"/>
  <c r="D9" i="1"/>
  <c r="E9" i="1"/>
  <c r="F9" i="1"/>
  <c r="G9" i="1"/>
  <c r="H9" i="1"/>
  <c r="I9" i="1"/>
  <c r="J9" i="1"/>
  <c r="K9" i="1"/>
  <c r="L9" i="1"/>
  <c r="N9" i="1"/>
  <c r="C9" i="1"/>
  <c r="M9" i="1" l="1"/>
  <c r="O9" i="1" s="1"/>
  <c r="O4" i="1"/>
  <c r="P9" i="1" l="1"/>
</calcChain>
</file>

<file path=xl/sharedStrings.xml><?xml version="1.0" encoding="utf-8"?>
<sst xmlns="http://schemas.openxmlformats.org/spreadsheetml/2006/main" count="595" uniqueCount="90">
  <si>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</si>
  <si>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</si>
  <si>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</si>
  <si>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</si>
  <si>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</si>
  <si>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</si>
  <si>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</si>
  <si>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</si>
  <si>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</si>
  <si>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</si>
  <si>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</si>
  <si>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</si>
  <si>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MERCADERIA</t>
  </si>
  <si>
    <t>TALLERES-MANTENIMIENTO DE VEHICULOS</t>
  </si>
  <si>
    <t>COMBUSTIBLE</t>
  </si>
  <si>
    <t>RETIROS EFECTIVO</t>
  </si>
  <si>
    <t>CLAUDIA</t>
  </si>
  <si>
    <t>TOTAL</t>
  </si>
  <si>
    <t>LUBRICANTES</t>
  </si>
  <si>
    <t>GAS</t>
  </si>
  <si>
    <t>PROM</t>
  </si>
  <si>
    <t>RAUL</t>
  </si>
  <si>
    <t>MONICA</t>
  </si>
  <si>
    <t>PAMPA DIG TRF.</t>
  </si>
  <si>
    <t>TRANSF. MACRONLINE E-SET D/T</t>
  </si>
  <si>
    <t>RETIRO POR CAJA PARA PAGOS</t>
  </si>
  <si>
    <t>DEP.EFECTIVO</t>
  </si>
  <si>
    <t>CHEQUE P/CAMARA</t>
  </si>
  <si>
    <t>N53810343</t>
  </si>
  <si>
    <t>TRF.POR CAJ.AUT./HB - 20164045693-ERRECALDE RAUL ALBERTO VAR-</t>
  </si>
  <si>
    <t>TRANSF.INT.DIST.TITULAR - CUIT/CUIL: 20164045693</t>
  </si>
  <si>
    <t>TRANSFERENCIA DE TERCEROS</t>
  </si>
  <si>
    <t>TRANSF ERRECALDE 20164045693 VAR VARIOS</t>
  </si>
  <si>
    <t>TRANSF 20164045693 VAR</t>
  </si>
  <si>
    <t>TRF INMED PROVEED</t>
  </si>
  <si>
    <t>EFECTIVO</t>
  </si>
  <si>
    <t>TRANSFERENCIA RECIBIDA - 20164045693-ERRECALDE RAUL ALBERTO VAR-</t>
  </si>
  <si>
    <t>TRANSFERENCIA</t>
  </si>
  <si>
    <t>TRANSF. MACRONLINE E-SET M/T</t>
  </si>
  <si>
    <t>TRANSF. ENVIADA PAMPA DIGITAL - 20170457715-BECERRA ADRIAN OSCAR</t>
  </si>
  <si>
    <t>TRANSF ERRECALDE 20164045693 VAR VARIOS 00164</t>
  </si>
  <si>
    <t>DEB.TRAN.INTERB</t>
  </si>
  <si>
    <t>TRANSFERENCIA A TERCEROS</t>
  </si>
  <si>
    <t>TRANSF.INT.DIST.TITULAR - CUIT/CUIL: 20416806102</t>
  </si>
  <si>
    <t>TRANSF. ENVIADA PAMPA DIGITAL - 20164045693-ERRECALDE RAUL ALBERTO transf</t>
  </si>
  <si>
    <t>PERIODO</t>
  </si>
  <si>
    <t>FECHA</t>
  </si>
  <si>
    <t>DESCRIPCION</t>
  </si>
  <si>
    <t>N DE REFERENCIA</t>
  </si>
  <si>
    <t>EGRESOS</t>
  </si>
  <si>
    <t>INGRESOS</t>
  </si>
  <si>
    <t>ADMINISTRACION</t>
  </si>
  <si>
    <t>SOCIOS</t>
  </si>
  <si>
    <t>A CTA DE HONORARIOS</t>
  </si>
  <si>
    <t xml:space="preserve">RETIRO EN CAJA </t>
  </si>
  <si>
    <t>RETIRO RAUL</t>
  </si>
  <si>
    <t xml:space="preserve">PAGO TELEFONO </t>
  </si>
  <si>
    <t>RESTO DEL1,7 M QUE SE RETIRO DEL BANCO</t>
  </si>
  <si>
    <t>APORTES</t>
  </si>
  <si>
    <t>DEPOSITO EF EN CC</t>
  </si>
  <si>
    <t>GASTOS_OF</t>
  </si>
  <si>
    <t>INSUMOS</t>
  </si>
  <si>
    <t>PINTURAS PARA CASA</t>
  </si>
  <si>
    <t>DEVOLUCION PARTE APORTADO</t>
  </si>
  <si>
    <t>CEL RAULI</t>
  </si>
  <si>
    <t>PAGO A BERGIA</t>
  </si>
  <si>
    <t>PARA PAGO MARTIN</t>
  </si>
  <si>
    <t>P/CUBRIR EL NACION DE GASTOS</t>
  </si>
  <si>
    <t>DEVOLUCION</t>
  </si>
  <si>
    <t>TELEFONO</t>
  </si>
  <si>
    <t>PARTE DE LOS 2,6M</t>
  </si>
  <si>
    <t>SEGUROS</t>
  </si>
  <si>
    <t>HONORARIOS</t>
  </si>
  <si>
    <t>CLERICI</t>
  </si>
  <si>
    <t>COMISIONISTA REALICO</t>
  </si>
  <si>
    <t>EXPENSAS CBA</t>
  </si>
  <si>
    <t>PAGO A MARTIN Y REPUESTOS</t>
  </si>
  <si>
    <t>PAGO FED PATRONAL</t>
  </si>
  <si>
    <t>PAGO DE RESP CIVIL</t>
  </si>
  <si>
    <t>EXPENSAS CORDOBA</t>
  </si>
  <si>
    <t>SEGUROS ECOGAS</t>
  </si>
  <si>
    <t>SEGURO CAMIONETA</t>
  </si>
  <si>
    <t>ACTIVIDAD</t>
  </si>
  <si>
    <t>RUBRO</t>
  </si>
  <si>
    <t>CONCEPTO</t>
  </si>
  <si>
    <t>DETALLES</t>
  </si>
  <si>
    <t>TALLERES-REPARACIONES, MANTENIMIENTO DE VEHICULOS</t>
  </si>
  <si>
    <t>NETO</t>
  </si>
  <si>
    <t>APORTES EFEC</t>
  </si>
  <si>
    <t>COMBUSTIBLES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</si>
</sst>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505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3" borderId="0" xfId="0" applyFill="1"/>
    <xf numFmtId="44" fontId="4" fillId="0" borderId="1" xfId="1" applyFont="1" applyBorder="1" applyAlignment="1">
      <alignment vertical="center"/>
    </xf>
    <xf numFmtId="44" fontId="4" fillId="0" borderId="2" xfId="1" applyFont="1" applyBorder="1" applyAlignment="1">
      <alignment vertical="center"/>
    </xf>
    <xf numFmtId="0" fontId="4" fillId="0" borderId="0" xfId="0" applyFont="1"/>
    <xf numFmtId="44" fontId="3" fillId="3" borderId="0" xfId="1" applyFont="1" applyFill="1" applyBorder="1" applyAlignment="1">
      <alignment vertical="center"/>
    </xf>
    <xf numFmtId="44" fontId="4" fillId="0" borderId="0" xfId="1" applyFont="1" applyBorder="1" applyAlignment="1">
      <alignment vertical="center"/>
    </xf>
    <xf numFmtId="44" fontId="4" fillId="0" borderId="5" xfId="1" applyFont="1" applyBorder="1" applyAlignment="1">
      <alignment vertical="center"/>
    </xf>
    <xf numFmtId="44" fontId="3" fillId="0" borderId="7" xfId="1" applyFont="1" applyBorder="1" applyAlignment="1">
      <alignment vertical="center"/>
    </xf>
    <xf numFmtId="44" fontId="3" fillId="0" borderId="8" xfId="1" applyFont="1" applyBorder="1" applyAlignment="1">
      <alignment vertical="center"/>
    </xf>
    <xf numFmtId="44" fontId="4" fillId="0" borderId="0" xfId="1" applyFont="1" applyBorder="1"/>
    <xf numFmtId="44" fontId="3" fillId="0" borderId="9" xfId="1" applyFont="1" applyBorder="1" applyAlignment="1">
      <alignment vertical="center"/>
    </xf>
    <xf numFmtId="44" fontId="3" fillId="0" borderId="10" xfId="1" applyFont="1" applyBorder="1" applyAlignment="1">
      <alignment vertical="center"/>
    </xf>
    <xf numFmtId="44" fontId="3" fillId="0" borderId="11" xfId="1" applyFont="1" applyBorder="1" applyAlignment="1">
      <alignment vertical="center"/>
    </xf>
    <xf numFmtId="44" fontId="3" fillId="0" borderId="12" xfId="1" applyFont="1" applyBorder="1" applyAlignment="1">
      <alignment vertical="center"/>
    </xf>
    <xf numFmtId="44" fontId="3" fillId="0" borderId="6" xfId="1" applyFont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44" fontId="3" fillId="0" borderId="16" xfId="1" applyFont="1" applyBorder="1" applyAlignment="1">
      <alignment vertical="center"/>
    </xf>
    <xf numFmtId="44" fontId="3" fillId="0" borderId="17" xfId="1" applyFont="1" applyBorder="1" applyAlignment="1">
      <alignment vertical="center"/>
    </xf>
    <xf numFmtId="0" fontId="3" fillId="0" borderId="2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/>
    </xf>
    <xf numFmtId="44" fontId="0" fillId="0" borderId="0" xfId="1" applyFont="1"/>
    <xf numFmtId="14" fontId="0" fillId="0" borderId="0" xfId="0" applyNumberFormat="1" applyAlignment="1">
      <alignment horizontal="left"/>
    </xf>
    <xf numFmtId="0" fontId="5" fillId="0" borderId="0" xfId="0" applyFont="1"/>
    <xf numFmtId="44" fontId="0" fillId="4" borderId="0" xfId="0" applyNumberFormat="1" applyFill="1"/>
    <xf numFmtId="44" fontId="0" fillId="5" borderId="0" xfId="0" applyNumberFormat="1" applyFill="1"/>
    <xf numFmtId="44" fontId="6" fillId="0" borderId="0" xfId="0" applyNumberFormat="1" applyFont="1"/>
    <xf numFmtId="0" fontId="3" fillId="0" borderId="0" xfId="0" applyFont="1" applyAlignment="1">
      <alignment horizontal="center"/>
    </xf>
    <xf numFmtId="44" fontId="0" fillId="0" borderId="0" xfId="0" applyNumberFormat="1" applyAlignment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/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FF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AE126-9CE8-4E69-9E12-AA4F0AD309EC}" name="Tabla1" displayName="Tabla1" ref="B1:K84" totalsRowShown="0" headerRowDxfId="3">
  <autoFilter ref="B1:K84" xr:uid="{EA4AE126-9CE8-4E69-9E12-AA4F0AD309EC}"/>
  <tableColumns count="10">
    <tableColumn id="1" xr3:uid="{FDD9F0E7-C8C3-435B-946E-B98751BDD44E}" name="PERIODO"/>
    <tableColumn id="2" xr3:uid="{07943FB1-CCF5-42EE-B887-A7F6DC586C30}" name="FECHA" dataDxfId="2"/>
    <tableColumn id="3" xr3:uid="{F7C11E97-C600-43B4-9AC2-0BCA0BB17DA5}" name="DESCRIPCION"/>
    <tableColumn id="4" xr3:uid="{714B3F55-E96F-4A37-8029-2DA411FC088E}" name="N DE REFERENCIA"/>
    <tableColumn id="5" xr3:uid="{3C586A6D-8200-4EBE-9869-B3630698F96D}" name="EGRESOS" dataDxfId="1" dataCellStyle="Moneda"/>
    <tableColumn id="6" xr3:uid="{674854B0-87F2-4028-9B60-C59411B5A8A1}" name="INGRESOS" dataDxfId="0" dataCellStyle="Moneda"/>
    <tableColumn id="7" xr3:uid="{FB826F7E-2704-4C51-B569-83804CB5062D}" name="ACTIVIDAD"/>
    <tableColumn id="8" xr3:uid="{34B0C370-34C6-444A-A20A-08E51C148BE4}" name="RUBRO"/>
    <tableColumn id="9" xr3:uid="{27358681-D4AA-4E1C-8D0A-1EDDFF99C5EF}" name="CONCEPTO"/>
    <tableColumn id="10" xr3:uid="{829C99B1-625D-44BC-92A2-5D93B049FB7C}" name="DETAL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.5703125" customWidth="1"/>
    <col min="2" max="2" width="16.42578125" customWidth="1"/>
    <col min="3" max="14" width="12.85546875" customWidth="1"/>
    <col min="15" max="15" width="14" customWidth="1"/>
    <col min="16" max="16" width="12.85546875" customWidth="1"/>
  </cols>
  <sheetData>
    <row r="1" spans="1:16" ht="15.75" thickBot="1" x14ac:dyDescent="0.3">
      <c r="A1" s="1"/>
      <c r="B1" s="36" t="s">
        <v>16</v>
      </c>
      <c r="C1" s="40">
        <v>2025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/>
      <c r="P1" s="42"/>
    </row>
    <row r="2" spans="1:16" ht="15.75" thickBot="1" x14ac:dyDescent="0.3">
      <c r="A2" s="1"/>
      <c r="B2" s="37"/>
      <c r="C2" s="22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8</v>
      </c>
      <c r="L2" s="22" t="s">
        <v>9</v>
      </c>
      <c r="M2" s="22" t="s">
        <v>10</v>
      </c>
      <c r="N2" s="22" t="s">
        <v>11</v>
      </c>
      <c r="O2" s="23" t="s">
        <v>17</v>
      </c>
      <c r="P2" s="27" t="s">
        <v>20</v>
      </c>
    </row>
    <row r="3" spans="1:16" ht="46.5" customHeight="1" x14ac:dyDescent="0.25">
      <c r="A3" s="1"/>
      <c r="B3" s="17" t="s">
        <v>15</v>
      </c>
      <c r="C3" s="2">
        <v>1000000</v>
      </c>
      <c r="D3" s="2">
        <v>362000</v>
      </c>
      <c r="E3" s="2">
        <v>638000</v>
      </c>
      <c r="F3" s="2">
        <v>550000</v>
      </c>
      <c r="G3" s="2">
        <v>2490000</v>
      </c>
      <c r="H3" s="2">
        <v>2000000</v>
      </c>
      <c r="I3" s="2">
        <v>1780000</v>
      </c>
      <c r="J3" s="2">
        <v>3300000</v>
      </c>
      <c r="K3" s="2">
        <v>55000</v>
      </c>
      <c r="L3" s="2">
        <v>1600000</v>
      </c>
      <c r="M3" s="2">
        <v>2020000</v>
      </c>
      <c r="N3" s="2">
        <v>2000000</v>
      </c>
      <c r="O3" s="20">
        <f>SUM(C3:N3)</f>
        <v>17795000</v>
      </c>
      <c r="P3" s="21">
        <f>SUBTOTAL(1,C3:N3)</f>
        <v>1482916.6666666667</v>
      </c>
    </row>
    <row r="4" spans="1:16" ht="46.5" customHeight="1" x14ac:dyDescent="0.25">
      <c r="A4" s="1"/>
      <c r="B4" s="17" t="s">
        <v>89</v>
      </c>
      <c r="C4" s="2">
        <v>295348.71768990473</v>
      </c>
      <c r="D4" s="2">
        <v>309959.01922698418</v>
      </c>
      <c r="E4" s="2">
        <v>235375.08600000001</v>
      </c>
      <c r="F4" s="2">
        <v>209504.16984999998</v>
      </c>
      <c r="G4" s="2">
        <v>290049.28159999999</v>
      </c>
      <c r="H4" s="2">
        <v>324026.48196410254</v>
      </c>
      <c r="I4" s="2">
        <v>286194.72366666666</v>
      </c>
      <c r="J4" s="2">
        <v>369517.4768797101</v>
      </c>
      <c r="K4" s="2">
        <v>365247.70907333336</v>
      </c>
      <c r="L4" s="2">
        <v>373658.61540000001</v>
      </c>
      <c r="M4" s="2">
        <v>337123.56260317459</v>
      </c>
      <c r="N4" s="3">
        <v>605706.00096349209</v>
      </c>
      <c r="O4" s="11">
        <f t="shared" ref="O4:O9" si="0">SUM(C4:N4)</f>
        <v>4001710.8449173691</v>
      </c>
      <c r="P4" s="12">
        <f t="shared" ref="P4:P9" si="1">SUBTOTAL(1,C4:N4)</f>
        <v>333475.90374311409</v>
      </c>
    </row>
    <row r="5" spans="1:16" ht="46.5" customHeight="1" x14ac:dyDescent="0.25">
      <c r="A5" s="1"/>
      <c r="B5" s="17" t="s">
        <v>18</v>
      </c>
      <c r="C5" s="2"/>
      <c r="D5" s="2"/>
      <c r="E5" s="2"/>
      <c r="F5" s="2">
        <v>17765.48185</v>
      </c>
      <c r="G5" s="2"/>
      <c r="H5" s="2"/>
      <c r="I5" s="2"/>
      <c r="J5" s="2">
        <v>16533.653600000001</v>
      </c>
      <c r="K5" s="2">
        <v>49183.632933333334</v>
      </c>
      <c r="L5" s="2">
        <v>15872.4715</v>
      </c>
      <c r="M5" s="2"/>
      <c r="N5" s="3"/>
      <c r="O5" s="11">
        <f t="shared" si="0"/>
        <v>99355.239883333343</v>
      </c>
      <c r="P5" s="12">
        <f t="shared" si="1"/>
        <v>24838.809970833336</v>
      </c>
    </row>
    <row r="6" spans="1:16" ht="46.5" customHeight="1" x14ac:dyDescent="0.25">
      <c r="A6" s="1"/>
      <c r="B6" s="17" t="s">
        <v>19</v>
      </c>
      <c r="C6" s="2"/>
      <c r="D6" s="2">
        <v>19690.247777777779</v>
      </c>
      <c r="E6" s="2"/>
      <c r="F6" s="2">
        <v>25422.440000000002</v>
      </c>
      <c r="G6" s="2"/>
      <c r="H6" s="2">
        <v>157105.16458076923</v>
      </c>
      <c r="I6" s="2">
        <v>102711.88686666667</v>
      </c>
      <c r="J6" s="2">
        <v>21038.14852826087</v>
      </c>
      <c r="K6" s="2">
        <v>52567.473100000003</v>
      </c>
      <c r="L6" s="2"/>
      <c r="M6" s="2">
        <v>27521.909811904763</v>
      </c>
      <c r="N6" s="3">
        <v>109220.19877142855</v>
      </c>
      <c r="O6" s="11">
        <f t="shared" si="0"/>
        <v>515277.46943680785</v>
      </c>
      <c r="P6" s="12">
        <f t="shared" si="1"/>
        <v>64409.683679600981</v>
      </c>
    </row>
    <row r="7" spans="1:16" ht="46.5" customHeight="1" x14ac:dyDescent="0.25">
      <c r="A7" s="1"/>
      <c r="B7" s="17" t="s">
        <v>12</v>
      </c>
      <c r="C7" s="2">
        <v>284951.99181990011</v>
      </c>
      <c r="D7" s="2">
        <v>469002.46673199988</v>
      </c>
      <c r="E7" s="2">
        <v>385923.16333140002</v>
      </c>
      <c r="F7" s="2">
        <v>394184.72122150013</v>
      </c>
      <c r="G7" s="2">
        <v>450052.97612969979</v>
      </c>
      <c r="H7" s="2">
        <v>459858.91076849995</v>
      </c>
      <c r="I7" s="2">
        <v>452757.25010950008</v>
      </c>
      <c r="J7" s="2">
        <v>430274.33722600009</v>
      </c>
      <c r="K7" s="2">
        <v>434371.78422800003</v>
      </c>
      <c r="L7" s="2">
        <v>326136.47038399999</v>
      </c>
      <c r="M7" s="2">
        <v>281468.00076000002</v>
      </c>
      <c r="N7" s="3">
        <v>566661.1463474998</v>
      </c>
      <c r="O7" s="11">
        <f t="shared" si="0"/>
        <v>4935643.2190579996</v>
      </c>
      <c r="P7" s="12">
        <f t="shared" si="1"/>
        <v>411303.60158816661</v>
      </c>
    </row>
    <row r="8" spans="1:16" ht="46.5" customHeight="1" thickBot="1" x14ac:dyDescent="0.3">
      <c r="A8" s="1"/>
      <c r="B8" s="25" t="s">
        <v>13</v>
      </c>
      <c r="C8" s="6">
        <v>102000</v>
      </c>
      <c r="D8" s="6">
        <v>222000</v>
      </c>
      <c r="E8" s="6">
        <v>102000</v>
      </c>
      <c r="F8" s="6"/>
      <c r="G8" s="6">
        <v>15000</v>
      </c>
      <c r="H8" s="6">
        <v>166000</v>
      </c>
      <c r="I8" s="6">
        <v>70000</v>
      </c>
      <c r="J8" s="6">
        <v>146000</v>
      </c>
      <c r="K8" s="6">
        <v>20000</v>
      </c>
      <c r="L8" s="6">
        <v>398000</v>
      </c>
      <c r="M8" s="6">
        <v>208000</v>
      </c>
      <c r="N8" s="7"/>
      <c r="O8" s="13">
        <f t="shared" si="0"/>
        <v>1449000</v>
      </c>
      <c r="P8" s="14">
        <f t="shared" si="1"/>
        <v>144900</v>
      </c>
    </row>
    <row r="9" spans="1:16" ht="46.5" customHeight="1" thickBot="1" x14ac:dyDescent="0.3">
      <c r="A9" s="1"/>
      <c r="B9" s="26" t="s">
        <v>17</v>
      </c>
      <c r="C9" s="8">
        <f>SUM(C3:C8)</f>
        <v>1682300.7095098048</v>
      </c>
      <c r="D9" s="8">
        <f t="shared" ref="D9:N9" si="2">SUM(D3:D8)</f>
        <v>1382651.7337367618</v>
      </c>
      <c r="E9" s="8">
        <f t="shared" si="2"/>
        <v>1361298.2493314</v>
      </c>
      <c r="F9" s="8">
        <f t="shared" si="2"/>
        <v>1196876.8129215001</v>
      </c>
      <c r="G9" s="8">
        <f>SUM(G3:G8)</f>
        <v>3245102.2577296998</v>
      </c>
      <c r="H9" s="8">
        <f t="shared" si="2"/>
        <v>3106990.5573133719</v>
      </c>
      <c r="I9" s="8">
        <f t="shared" si="2"/>
        <v>2691663.8606428336</v>
      </c>
      <c r="J9" s="8">
        <f t="shared" si="2"/>
        <v>4283363.616233971</v>
      </c>
      <c r="K9" s="8">
        <f t="shared" si="2"/>
        <v>976370.59933466674</v>
      </c>
      <c r="L9" s="8">
        <f t="shared" si="2"/>
        <v>2713667.5572839999</v>
      </c>
      <c r="M9" s="8">
        <f t="shared" si="2"/>
        <v>2874113.4731750796</v>
      </c>
      <c r="N9" s="8">
        <f t="shared" si="2"/>
        <v>3281587.3460824206</v>
      </c>
      <c r="O9" s="15">
        <f t="shared" si="0"/>
        <v>28795986.773295507</v>
      </c>
      <c r="P9" s="9">
        <f t="shared" si="1"/>
        <v>2399665.5644412921</v>
      </c>
    </row>
    <row r="10" spans="1:16" ht="45.75" customHeight="1" thickBot="1" x14ac:dyDescent="0.3">
      <c r="A10" s="1"/>
      <c r="B10" s="1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4"/>
    </row>
    <row r="11" spans="1:16" ht="15.75" thickBot="1" x14ac:dyDescent="0.3">
      <c r="A11" s="1"/>
      <c r="B11" s="38" t="s">
        <v>16</v>
      </c>
      <c r="C11" s="40">
        <v>2026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42"/>
    </row>
    <row r="12" spans="1:16" ht="15.75" thickBot="1" x14ac:dyDescent="0.3">
      <c r="A12" s="1"/>
      <c r="B12" s="39"/>
      <c r="C12" s="22" t="s">
        <v>0</v>
      </c>
      <c r="D12" s="22" t="s">
        <v>1</v>
      </c>
      <c r="E12" s="22" t="s">
        <v>2</v>
      </c>
      <c r="F12" s="22" t="s">
        <v>3</v>
      </c>
      <c r="G12" s="22" t="s">
        <v>4</v>
      </c>
      <c r="H12" s="22" t="s">
        <v>5</v>
      </c>
      <c r="I12" s="22" t="s">
        <v>6</v>
      </c>
      <c r="J12" s="22" t="s">
        <v>7</v>
      </c>
      <c r="K12" s="22" t="s">
        <v>8</v>
      </c>
      <c r="L12" s="22" t="s">
        <v>9</v>
      </c>
      <c r="M12" s="22" t="s">
        <v>10</v>
      </c>
      <c r="N12" s="22" t="s">
        <v>11</v>
      </c>
      <c r="O12" s="23" t="s">
        <v>17</v>
      </c>
      <c r="P12" s="24" t="s">
        <v>20</v>
      </c>
    </row>
    <row r="13" spans="1:16" ht="46.5" customHeight="1" x14ac:dyDescent="0.25">
      <c r="A13" s="1"/>
      <c r="B13" s="17" t="s">
        <v>15</v>
      </c>
      <c r="C13" s="2">
        <v>2038000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0">
        <f>SUM(C13:N13)</f>
        <v>2038000</v>
      </c>
      <c r="P13" s="21">
        <f>SUBTOTAL(1,C13:N13)</f>
        <v>2038000</v>
      </c>
    </row>
    <row r="14" spans="1:16" ht="46.5" customHeight="1" x14ac:dyDescent="0.25">
      <c r="A14" s="1"/>
      <c r="B14" s="17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11">
        <f t="shared" ref="O14:O16" si="3">SUM(C14:N14)</f>
        <v>0</v>
      </c>
      <c r="P14" s="12" t="e">
        <f t="shared" ref="P14:P17" si="4">SUBTOTAL(1,C14:N14)</f>
        <v>#DIV/0!</v>
      </c>
    </row>
    <row r="15" spans="1:16" ht="46.5" customHeight="1" x14ac:dyDescent="0.25">
      <c r="A15" s="1"/>
      <c r="B15" s="17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11">
        <f t="shared" si="3"/>
        <v>0</v>
      </c>
      <c r="P15" s="12" t="e">
        <f t="shared" si="4"/>
        <v>#DIV/0!</v>
      </c>
    </row>
    <row r="16" spans="1:16" ht="51" customHeight="1" thickBot="1" x14ac:dyDescent="0.3">
      <c r="A16" s="1"/>
      <c r="B16" s="18" t="s">
        <v>86</v>
      </c>
      <c r="C16" s="6">
        <v>250000</v>
      </c>
      <c r="D16" s="6"/>
      <c r="E16" s="6"/>
      <c r="F16" s="6"/>
      <c r="G16" s="10"/>
      <c r="H16" s="10"/>
      <c r="I16" s="10"/>
      <c r="J16" s="10"/>
      <c r="K16" s="10"/>
      <c r="L16" s="10"/>
      <c r="M16" s="10"/>
      <c r="N16" s="10"/>
      <c r="O16" s="13">
        <f t="shared" si="3"/>
        <v>250000</v>
      </c>
      <c r="P16" s="14">
        <f t="shared" si="4"/>
        <v>250000</v>
      </c>
    </row>
    <row r="17" spans="1:16" ht="46.5" customHeight="1" thickBot="1" x14ac:dyDescent="0.3">
      <c r="A17" s="1"/>
      <c r="B17" s="19" t="s">
        <v>17</v>
      </c>
      <c r="C17" s="8">
        <f>SUM(C13:C16)</f>
        <v>2288000</v>
      </c>
      <c r="D17" s="8">
        <f t="shared" ref="D17:N17" si="5">SUM(D13:D16)</f>
        <v>0</v>
      </c>
      <c r="E17" s="8">
        <f t="shared" si="5"/>
        <v>0</v>
      </c>
      <c r="F17" s="8">
        <f t="shared" si="5"/>
        <v>0</v>
      </c>
      <c r="G17" s="8">
        <f t="shared" si="5"/>
        <v>0</v>
      </c>
      <c r="H17" s="8">
        <f t="shared" si="5"/>
        <v>0</v>
      </c>
      <c r="I17" s="8">
        <f t="shared" si="5"/>
        <v>0</v>
      </c>
      <c r="J17" s="8">
        <f t="shared" si="5"/>
        <v>0</v>
      </c>
      <c r="K17" s="8">
        <f t="shared" si="5"/>
        <v>0</v>
      </c>
      <c r="L17" s="8">
        <f t="shared" si="5"/>
        <v>0</v>
      </c>
      <c r="M17" s="8">
        <f t="shared" si="5"/>
        <v>0</v>
      </c>
      <c r="N17" s="8">
        <f t="shared" si="5"/>
        <v>0</v>
      </c>
      <c r="O17" s="15">
        <f>SUM(C17:N17)</f>
        <v>2288000</v>
      </c>
      <c r="P17" s="9">
        <f t="shared" si="4"/>
        <v>190666.66666666666</v>
      </c>
    </row>
    <row r="18" spans="1:16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4">
    <mergeCell ref="B1:B2"/>
    <mergeCell ref="B11:B12"/>
    <mergeCell ref="C1:P1"/>
    <mergeCell ref="C11:P11"/>
  </mergeCells>
  <phoneticPr fontId="2" type="noConversion"/>
  <pageMargins left="0.25" right="0.25" top="0.75" bottom="0.75" header="0.3" footer="0.3"/>
  <pageSetup paperSiz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A8DC-3293-483D-A3DE-8524F4C06CE8}">
  <dimension ref="A1:S20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1.5703125" customWidth="1"/>
    <col min="2" max="2" width="16.42578125" customWidth="1"/>
    <col min="3" max="6" width="12.85546875" customWidth="1"/>
    <col min="7" max="7" width="13.28515625" bestFit="1" customWidth="1"/>
    <col min="8" max="11" width="12.85546875" customWidth="1"/>
    <col min="12" max="12" width="13.28515625" bestFit="1" customWidth="1"/>
    <col min="13" max="14" width="12.85546875" customWidth="1"/>
    <col min="15" max="15" width="14" customWidth="1"/>
    <col min="16" max="16" width="12.85546875" customWidth="1"/>
    <col min="18" max="19" width="15.5703125" bestFit="1" customWidth="1"/>
  </cols>
  <sheetData>
    <row r="1" spans="1:19" ht="15.75" thickBot="1" x14ac:dyDescent="0.3">
      <c r="A1" s="1"/>
      <c r="B1" s="36" t="s">
        <v>21</v>
      </c>
      <c r="C1" s="40">
        <v>2025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/>
      <c r="P1" s="42"/>
    </row>
    <row r="2" spans="1:19" ht="15.75" thickBot="1" x14ac:dyDescent="0.3">
      <c r="A2" s="1"/>
      <c r="B2" s="37"/>
      <c r="C2" s="22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8</v>
      </c>
      <c r="L2" s="22" t="s">
        <v>9</v>
      </c>
      <c r="M2" s="22" t="s">
        <v>10</v>
      </c>
      <c r="N2" s="22" t="s">
        <v>11</v>
      </c>
      <c r="O2" s="23" t="s">
        <v>17</v>
      </c>
      <c r="P2" s="27" t="s">
        <v>20</v>
      </c>
      <c r="R2" s="34" t="s">
        <v>88</v>
      </c>
      <c r="S2" s="34" t="s">
        <v>87</v>
      </c>
    </row>
    <row r="3" spans="1:19" ht="46.5" customHeight="1" x14ac:dyDescent="0.25">
      <c r="A3" s="1"/>
      <c r="B3" s="17" t="s">
        <v>15</v>
      </c>
      <c r="C3" s="2">
        <v>1032678.3500000001</v>
      </c>
      <c r="D3" s="2">
        <v>1000000</v>
      </c>
      <c r="E3" s="2">
        <v>2300035.5699999998</v>
      </c>
      <c r="F3" s="2">
        <v>3132179</v>
      </c>
      <c r="G3" s="2">
        <v>10500000</v>
      </c>
      <c r="H3" s="2">
        <v>3066158</v>
      </c>
      <c r="I3" s="2">
        <v>3096280</v>
      </c>
      <c r="J3" s="2">
        <v>3536160</v>
      </c>
      <c r="K3" s="2">
        <v>2005927</v>
      </c>
      <c r="L3" s="2">
        <v>10425463.970000001</v>
      </c>
      <c r="M3" s="2">
        <v>2391133</v>
      </c>
      <c r="N3" s="2">
        <v>750000</v>
      </c>
      <c r="O3" s="20">
        <f>SUM(C3:N3)</f>
        <v>43236014.890000001</v>
      </c>
      <c r="P3" s="21">
        <f>SUBTOTAL(1,C3:N3)</f>
        <v>3603001.2408333332</v>
      </c>
      <c r="R3" s="35">
        <f>'Egres-ing Raul'!G86</f>
        <v>15483973</v>
      </c>
      <c r="S3" s="35">
        <f>O3-R3</f>
        <v>27752041.890000001</v>
      </c>
    </row>
    <row r="4" spans="1:19" ht="46.5" customHeight="1" x14ac:dyDescent="0.25">
      <c r="A4" s="1"/>
      <c r="B4" s="17" t="s">
        <v>89</v>
      </c>
      <c r="C4" s="2">
        <v>485026.3012444445</v>
      </c>
      <c r="D4" s="2">
        <v>347736.29806425399</v>
      </c>
      <c r="E4" s="2">
        <v>1381324.2096444443</v>
      </c>
      <c r="F4" s="2">
        <v>535399.09625099995</v>
      </c>
      <c r="G4" s="2">
        <v>821117.85441072728</v>
      </c>
      <c r="H4" s="2">
        <v>823855.39174866385</v>
      </c>
      <c r="I4" s="2">
        <v>471792.21923500003</v>
      </c>
      <c r="J4" s="2">
        <v>662632.22686860873</v>
      </c>
      <c r="K4" s="2">
        <v>780714.14369499998</v>
      </c>
      <c r="L4" s="2">
        <v>1287676.8489999999</v>
      </c>
      <c r="M4" s="2">
        <v>831433.02482714283</v>
      </c>
      <c r="N4" s="3">
        <v>1532355.7876772883</v>
      </c>
      <c r="O4" s="11">
        <f t="shared" ref="O4:O9" si="0">SUM(C4:N4)</f>
        <v>9961063.4026665743</v>
      </c>
      <c r="P4" s="12">
        <f t="shared" ref="P4:P9" si="1">SUBTOTAL(1,C4:N4)</f>
        <v>830088.6168888812</v>
      </c>
    </row>
    <row r="5" spans="1:19" ht="46.5" customHeight="1" x14ac:dyDescent="0.25">
      <c r="A5" s="1"/>
      <c r="B5" s="17" t="s">
        <v>18</v>
      </c>
      <c r="C5" s="2"/>
      <c r="D5" s="2"/>
      <c r="E5" s="2"/>
      <c r="F5" s="2"/>
      <c r="G5" s="2"/>
      <c r="H5" s="2"/>
      <c r="I5" s="2"/>
      <c r="J5" s="2">
        <v>18698.144878260871</v>
      </c>
      <c r="K5" s="2"/>
      <c r="L5" s="2"/>
      <c r="M5" s="2">
        <v>27521.909811904763</v>
      </c>
      <c r="N5" s="3"/>
      <c r="O5" s="11">
        <f t="shared" si="0"/>
        <v>46220.054690165634</v>
      </c>
      <c r="P5" s="12">
        <f t="shared" si="1"/>
        <v>23110.027345082817</v>
      </c>
    </row>
    <row r="6" spans="1:19" ht="46.5" customHeight="1" x14ac:dyDescent="0.25">
      <c r="A6" s="1"/>
      <c r="B6" s="17" t="s">
        <v>19</v>
      </c>
      <c r="C6" s="2"/>
      <c r="D6" s="2"/>
      <c r="E6" s="2"/>
      <c r="F6" s="2"/>
      <c r="G6" s="2"/>
      <c r="H6" s="2">
        <v>90022.588115384613</v>
      </c>
      <c r="I6" s="2"/>
      <c r="J6" s="2">
        <v>72574.434534782602</v>
      </c>
      <c r="K6" s="2">
        <v>26283.736550000001</v>
      </c>
      <c r="L6" s="2">
        <v>162346.67629999999</v>
      </c>
      <c r="M6" s="2">
        <v>94877.484380952374</v>
      </c>
      <c r="N6" s="3">
        <v>30593.397907142855</v>
      </c>
      <c r="O6" s="11">
        <f t="shared" si="0"/>
        <v>476698.31778826244</v>
      </c>
      <c r="P6" s="12">
        <f t="shared" si="1"/>
        <v>79449.719631377069</v>
      </c>
    </row>
    <row r="7" spans="1:19" ht="46.5" customHeight="1" x14ac:dyDescent="0.25">
      <c r="A7" s="1"/>
      <c r="B7" s="17" t="s">
        <v>12</v>
      </c>
      <c r="C7" s="2">
        <v>41729.699671000002</v>
      </c>
      <c r="D7" s="2">
        <v>46133.199823500006</v>
      </c>
      <c r="E7" s="2">
        <v>52765.000100999998</v>
      </c>
      <c r="F7" s="2">
        <v>273322.10670849995</v>
      </c>
      <c r="G7" s="2"/>
      <c r="H7" s="2">
        <v>44582.545710999999</v>
      </c>
      <c r="I7" s="2">
        <v>14570.000103999999</v>
      </c>
      <c r="J7" s="2">
        <v>77636.000276999999</v>
      </c>
      <c r="K7" s="2">
        <v>225756.00005349997</v>
      </c>
      <c r="L7" s="2">
        <v>33341.200102999996</v>
      </c>
      <c r="M7" s="2">
        <v>38161.121148999999</v>
      </c>
      <c r="N7" s="3">
        <v>181470.86998900003</v>
      </c>
      <c r="O7" s="11">
        <f t="shared" si="0"/>
        <v>1029467.7436904999</v>
      </c>
      <c r="P7" s="12">
        <f t="shared" si="1"/>
        <v>93587.976699136358</v>
      </c>
    </row>
    <row r="8" spans="1:19" ht="46.5" customHeight="1" thickBot="1" x14ac:dyDescent="0.3">
      <c r="A8" s="1"/>
      <c r="B8" s="25" t="s">
        <v>86</v>
      </c>
      <c r="C8" s="6"/>
      <c r="D8" s="6">
        <v>578670</v>
      </c>
      <c r="E8" s="6">
        <v>1262907.98</v>
      </c>
      <c r="F8" s="6"/>
      <c r="G8" s="6"/>
      <c r="H8" s="6"/>
      <c r="I8" s="6"/>
      <c r="J8" s="6">
        <v>407000</v>
      </c>
      <c r="K8" s="6"/>
      <c r="L8" s="6"/>
      <c r="M8" s="6">
        <v>1400000</v>
      </c>
      <c r="N8" s="7">
        <v>450000</v>
      </c>
      <c r="O8" s="13">
        <f t="shared" si="0"/>
        <v>4098577.98</v>
      </c>
      <c r="P8" s="14">
        <f t="shared" si="1"/>
        <v>819715.59600000002</v>
      </c>
    </row>
    <row r="9" spans="1:19" ht="46.5" customHeight="1" thickBot="1" x14ac:dyDescent="0.3">
      <c r="A9" s="1"/>
      <c r="B9" s="26" t="s">
        <v>17</v>
      </c>
      <c r="C9" s="8">
        <f>SUM(C3:C8)</f>
        <v>1559434.3509154445</v>
      </c>
      <c r="D9" s="8">
        <f t="shared" ref="D9:N9" si="2">SUM(D3:D8)</f>
        <v>1972539.4978877539</v>
      </c>
      <c r="E9" s="8">
        <f t="shared" si="2"/>
        <v>4997032.7597454442</v>
      </c>
      <c r="F9" s="8">
        <f t="shared" si="2"/>
        <v>3940900.2029594998</v>
      </c>
      <c r="G9" s="8">
        <f>SUM(G3:G8)</f>
        <v>11321117.854410727</v>
      </c>
      <c r="H9" s="8">
        <f t="shared" si="2"/>
        <v>4024618.5255750488</v>
      </c>
      <c r="I9" s="8">
        <f t="shared" si="2"/>
        <v>3582642.2193390001</v>
      </c>
      <c r="J9" s="8">
        <f t="shared" si="2"/>
        <v>4774700.8065586518</v>
      </c>
      <c r="K9" s="8">
        <f t="shared" si="2"/>
        <v>3038680.8802984999</v>
      </c>
      <c r="L9" s="8">
        <f t="shared" si="2"/>
        <v>11908828.695403</v>
      </c>
      <c r="M9" s="8">
        <f t="shared" si="2"/>
        <v>4783126.5401689997</v>
      </c>
      <c r="N9" s="8">
        <f t="shared" si="2"/>
        <v>2944420.0555734308</v>
      </c>
      <c r="O9" s="15">
        <f t="shared" si="0"/>
        <v>58848042.388835512</v>
      </c>
      <c r="P9" s="9">
        <f t="shared" si="1"/>
        <v>4904003.5324029597</v>
      </c>
    </row>
    <row r="10" spans="1:19" ht="45.75" customHeight="1" thickBot="1" x14ac:dyDescent="0.3">
      <c r="A10" s="1"/>
      <c r="B10" s="1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4"/>
    </row>
    <row r="11" spans="1:19" ht="15.75" thickBot="1" x14ac:dyDescent="0.3">
      <c r="A11" s="1"/>
      <c r="B11" s="38" t="s">
        <v>21</v>
      </c>
      <c r="C11" s="40">
        <v>2026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42"/>
    </row>
    <row r="12" spans="1:19" ht="15.75" thickBot="1" x14ac:dyDescent="0.3">
      <c r="A12" s="1"/>
      <c r="B12" s="39"/>
      <c r="C12" s="22" t="s">
        <v>0</v>
      </c>
      <c r="D12" s="22" t="s">
        <v>1</v>
      </c>
      <c r="E12" s="22" t="s">
        <v>2</v>
      </c>
      <c r="F12" s="22" t="s">
        <v>3</v>
      </c>
      <c r="G12" s="22" t="s">
        <v>4</v>
      </c>
      <c r="H12" s="22" t="s">
        <v>5</v>
      </c>
      <c r="I12" s="22" t="s">
        <v>6</v>
      </c>
      <c r="J12" s="22" t="s">
        <v>7</v>
      </c>
      <c r="K12" s="22" t="s">
        <v>8</v>
      </c>
      <c r="L12" s="22" t="s">
        <v>9</v>
      </c>
      <c r="M12" s="22" t="s">
        <v>10</v>
      </c>
      <c r="N12" s="22" t="s">
        <v>11</v>
      </c>
      <c r="O12" s="23" t="s">
        <v>17</v>
      </c>
      <c r="P12" s="24" t="s">
        <v>20</v>
      </c>
    </row>
    <row r="13" spans="1:19" ht="46.5" customHeight="1" x14ac:dyDescent="0.25">
      <c r="A13" s="1"/>
      <c r="B13" s="17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0">
        <f>SUM(C13:N13)</f>
        <v>0</v>
      </c>
      <c r="P13" s="21" t="e">
        <f>SUBTOTAL(1,C13:N13)</f>
        <v>#DIV/0!</v>
      </c>
    </row>
    <row r="14" spans="1:19" ht="46.5" customHeight="1" x14ac:dyDescent="0.25">
      <c r="A14" s="1"/>
      <c r="B14" s="17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11">
        <f t="shared" ref="O14:O16" si="3">SUM(C14:N14)</f>
        <v>0</v>
      </c>
      <c r="P14" s="12" t="e">
        <f t="shared" ref="P14:P17" si="4">SUBTOTAL(1,C14:N14)</f>
        <v>#DIV/0!</v>
      </c>
    </row>
    <row r="15" spans="1:19" ht="46.5" customHeight="1" x14ac:dyDescent="0.25">
      <c r="A15" s="1"/>
      <c r="B15" s="17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11">
        <f t="shared" si="3"/>
        <v>0</v>
      </c>
      <c r="P15" s="12" t="e">
        <f t="shared" si="4"/>
        <v>#DIV/0!</v>
      </c>
    </row>
    <row r="16" spans="1:19" ht="42.75" customHeight="1" thickBot="1" x14ac:dyDescent="0.3">
      <c r="A16" s="1"/>
      <c r="B16" s="18" t="s">
        <v>13</v>
      </c>
      <c r="C16" s="6"/>
      <c r="D16" s="6"/>
      <c r="E16" s="6"/>
      <c r="F16" s="6"/>
      <c r="G16" s="10"/>
      <c r="H16" s="10"/>
      <c r="I16" s="10"/>
      <c r="J16" s="10"/>
      <c r="K16" s="10"/>
      <c r="L16" s="10"/>
      <c r="M16" s="10"/>
      <c r="N16" s="10"/>
      <c r="O16" s="13">
        <f t="shared" si="3"/>
        <v>0</v>
      </c>
      <c r="P16" s="14" t="e">
        <f t="shared" si="4"/>
        <v>#DIV/0!</v>
      </c>
    </row>
    <row r="17" spans="1:16" ht="46.5" customHeight="1" thickBot="1" x14ac:dyDescent="0.3">
      <c r="A17" s="1"/>
      <c r="B17" s="19" t="s">
        <v>17</v>
      </c>
      <c r="C17" s="8">
        <f>SUM(C13:C16)</f>
        <v>0</v>
      </c>
      <c r="D17" s="8">
        <f t="shared" ref="D17:N17" si="5">SUM(D13:D16)</f>
        <v>0</v>
      </c>
      <c r="E17" s="8">
        <f t="shared" si="5"/>
        <v>0</v>
      </c>
      <c r="F17" s="8">
        <f t="shared" si="5"/>
        <v>0</v>
      </c>
      <c r="G17" s="8">
        <f t="shared" si="5"/>
        <v>0</v>
      </c>
      <c r="H17" s="8">
        <f t="shared" si="5"/>
        <v>0</v>
      </c>
      <c r="I17" s="8">
        <f t="shared" si="5"/>
        <v>0</v>
      </c>
      <c r="J17" s="8">
        <f t="shared" si="5"/>
        <v>0</v>
      </c>
      <c r="K17" s="8">
        <f t="shared" si="5"/>
        <v>0</v>
      </c>
      <c r="L17" s="8">
        <f t="shared" si="5"/>
        <v>0</v>
      </c>
      <c r="M17" s="8">
        <f t="shared" si="5"/>
        <v>0</v>
      </c>
      <c r="N17" s="8">
        <f t="shared" si="5"/>
        <v>0</v>
      </c>
      <c r="O17" s="15">
        <f>SUM(C17:N17)</f>
        <v>0</v>
      </c>
      <c r="P17" s="9">
        <f t="shared" si="4"/>
        <v>0</v>
      </c>
    </row>
    <row r="18" spans="1:16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4">
    <mergeCell ref="B1:B2"/>
    <mergeCell ref="C1:P1"/>
    <mergeCell ref="B11:B12"/>
    <mergeCell ref="C11:P11"/>
  </mergeCells>
  <pageMargins left="0.25" right="0.25" top="0.75" bottom="0.75" header="0.3" footer="0.3"/>
  <pageSetup paperSize="1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6B72-E7FE-4DB6-85CF-C806D223096A}">
  <dimension ref="B1:K88"/>
  <sheetViews>
    <sheetView workbookViewId="0">
      <selection activeCell="L54" sqref="L54"/>
    </sheetView>
  </sheetViews>
  <sheetFormatPr baseColWidth="10" defaultRowHeight="15" x14ac:dyDescent="0.25"/>
  <cols>
    <col min="1" max="1" width="3.7109375" customWidth="1"/>
    <col min="3" max="3" width="12.140625" customWidth="1"/>
    <col min="4" max="4" width="15" customWidth="1"/>
    <col min="5" max="5" width="18.42578125" customWidth="1"/>
    <col min="6" max="7" width="15.5703125" bestFit="1" customWidth="1"/>
    <col min="8" max="8" width="12.85546875" customWidth="1"/>
    <col min="9" max="9" width="9.42578125" customWidth="1"/>
    <col min="10" max="10" width="21.7109375" bestFit="1" customWidth="1"/>
    <col min="11" max="11" width="43.140625" customWidth="1"/>
  </cols>
  <sheetData>
    <row r="1" spans="2:11" x14ac:dyDescent="0.25">
      <c r="B1" s="30" t="s">
        <v>45</v>
      </c>
      <c r="C1" s="30" t="s">
        <v>46</v>
      </c>
      <c r="D1" s="30" t="s">
        <v>47</v>
      </c>
      <c r="E1" s="30" t="s">
        <v>48</v>
      </c>
      <c r="F1" s="30" t="s">
        <v>49</v>
      </c>
      <c r="G1" s="30" t="s">
        <v>50</v>
      </c>
      <c r="H1" s="30" t="s">
        <v>82</v>
      </c>
      <c r="I1" s="30" t="s">
        <v>83</v>
      </c>
      <c r="J1" s="30" t="s">
        <v>84</v>
      </c>
      <c r="K1" s="30" t="s">
        <v>85</v>
      </c>
    </row>
    <row r="2" spans="2:11" x14ac:dyDescent="0.25">
      <c r="B2" t="s">
        <v>0</v>
      </c>
      <c r="C2" s="29">
        <v>45665</v>
      </c>
      <c r="D2" t="s">
        <v>23</v>
      </c>
      <c r="F2" s="28">
        <v>200000</v>
      </c>
      <c r="G2" s="28">
        <v>0</v>
      </c>
      <c r="H2" t="s">
        <v>51</v>
      </c>
      <c r="I2" t="s">
        <v>52</v>
      </c>
      <c r="J2" t="s">
        <v>53</v>
      </c>
      <c r="K2" t="s">
        <v>54</v>
      </c>
    </row>
    <row r="3" spans="2:11" x14ac:dyDescent="0.25">
      <c r="B3" t="s">
        <v>0</v>
      </c>
      <c r="C3" s="29">
        <v>45667</v>
      </c>
      <c r="D3" t="s">
        <v>23</v>
      </c>
      <c r="F3" s="28">
        <v>300000</v>
      </c>
      <c r="G3" s="28">
        <v>0</v>
      </c>
      <c r="H3" t="s">
        <v>51</v>
      </c>
      <c r="I3" t="s">
        <v>52</v>
      </c>
      <c r="J3" t="s">
        <v>53</v>
      </c>
      <c r="K3" t="s">
        <v>55</v>
      </c>
    </row>
    <row r="4" spans="2:11" x14ac:dyDescent="0.25">
      <c r="B4" t="s">
        <v>0</v>
      </c>
      <c r="C4" s="29">
        <v>45667</v>
      </c>
      <c r="D4" t="s">
        <v>24</v>
      </c>
      <c r="F4" s="28">
        <v>200000</v>
      </c>
      <c r="G4" s="28">
        <v>0</v>
      </c>
      <c r="H4" t="s">
        <v>51</v>
      </c>
      <c r="I4" t="s">
        <v>52</v>
      </c>
      <c r="J4" t="s">
        <v>53</v>
      </c>
      <c r="K4" t="s">
        <v>55</v>
      </c>
    </row>
    <row r="5" spans="2:11" x14ac:dyDescent="0.25">
      <c r="B5" t="s">
        <v>0</v>
      </c>
      <c r="C5" s="29">
        <v>45673</v>
      </c>
      <c r="D5" t="s">
        <v>24</v>
      </c>
      <c r="F5" s="28">
        <v>200000</v>
      </c>
      <c r="G5" s="28">
        <v>0</v>
      </c>
      <c r="H5" t="s">
        <v>51</v>
      </c>
      <c r="I5" t="s">
        <v>52</v>
      </c>
      <c r="J5" t="s">
        <v>53</v>
      </c>
    </row>
    <row r="6" spans="2:11" x14ac:dyDescent="0.25">
      <c r="B6" t="s">
        <v>0</v>
      </c>
      <c r="C6" s="29">
        <v>45677</v>
      </c>
      <c r="D6" t="s">
        <v>23</v>
      </c>
      <c r="F6" s="28">
        <v>106049.79</v>
      </c>
      <c r="G6" s="28">
        <v>0</v>
      </c>
      <c r="H6" t="s">
        <v>51</v>
      </c>
      <c r="I6" t="s">
        <v>52</v>
      </c>
      <c r="J6" t="s">
        <v>53</v>
      </c>
      <c r="K6" t="s">
        <v>56</v>
      </c>
    </row>
    <row r="7" spans="2:11" x14ac:dyDescent="0.25">
      <c r="B7" t="s">
        <v>0</v>
      </c>
      <c r="C7" s="29">
        <v>45681</v>
      </c>
      <c r="D7" t="s">
        <v>25</v>
      </c>
      <c r="F7" s="28">
        <v>26628.560000000001</v>
      </c>
      <c r="G7" s="28">
        <v>0</v>
      </c>
      <c r="H7" t="s">
        <v>51</v>
      </c>
      <c r="I7" t="s">
        <v>52</v>
      </c>
      <c r="J7" t="s">
        <v>53</v>
      </c>
      <c r="K7" t="s">
        <v>57</v>
      </c>
    </row>
    <row r="8" spans="2:11" x14ac:dyDescent="0.25">
      <c r="B8" t="s">
        <v>1</v>
      </c>
      <c r="C8" s="29">
        <v>45698</v>
      </c>
      <c r="D8" t="s">
        <v>24</v>
      </c>
      <c r="F8" s="28">
        <v>1000000</v>
      </c>
      <c r="G8" s="28">
        <v>0</v>
      </c>
      <c r="H8" t="s">
        <v>51</v>
      </c>
      <c r="I8" t="s">
        <v>52</v>
      </c>
      <c r="J8" t="s">
        <v>53</v>
      </c>
    </row>
    <row r="9" spans="2:11" x14ac:dyDescent="0.25">
      <c r="B9" t="s">
        <v>2</v>
      </c>
      <c r="C9" s="29">
        <v>45722</v>
      </c>
      <c r="D9" t="s">
        <v>26</v>
      </c>
      <c r="F9" s="28">
        <v>0</v>
      </c>
      <c r="G9" s="28">
        <v>2700000</v>
      </c>
      <c r="H9" t="s">
        <v>51</v>
      </c>
      <c r="I9" t="s">
        <v>52</v>
      </c>
      <c r="J9" t="s">
        <v>58</v>
      </c>
    </row>
    <row r="10" spans="2:11" x14ac:dyDescent="0.25">
      <c r="B10" t="s">
        <v>2</v>
      </c>
      <c r="C10" s="29">
        <v>45723</v>
      </c>
      <c r="D10" t="s">
        <v>26</v>
      </c>
      <c r="F10" s="28">
        <v>0</v>
      </c>
      <c r="G10" s="28">
        <v>1200000</v>
      </c>
      <c r="H10" t="s">
        <v>51</v>
      </c>
      <c r="I10" t="s">
        <v>52</v>
      </c>
      <c r="J10" t="s">
        <v>58</v>
      </c>
      <c r="K10" t="s">
        <v>59</v>
      </c>
    </row>
    <row r="11" spans="2:11" x14ac:dyDescent="0.25">
      <c r="B11" t="s">
        <v>2</v>
      </c>
      <c r="C11" s="29">
        <v>45723</v>
      </c>
      <c r="D11" t="s">
        <v>27</v>
      </c>
      <c r="E11" t="s">
        <v>28</v>
      </c>
      <c r="F11" s="28">
        <v>555035.56999999995</v>
      </c>
      <c r="G11" s="28">
        <v>0</v>
      </c>
      <c r="H11" t="s">
        <v>51</v>
      </c>
      <c r="I11" t="s">
        <v>60</v>
      </c>
      <c r="J11" t="s">
        <v>61</v>
      </c>
      <c r="K11" t="s">
        <v>62</v>
      </c>
    </row>
    <row r="12" spans="2:11" x14ac:dyDescent="0.25">
      <c r="B12" t="s">
        <v>2</v>
      </c>
      <c r="C12" s="29">
        <v>45727</v>
      </c>
      <c r="D12" t="s">
        <v>29</v>
      </c>
      <c r="F12" s="28">
        <v>0</v>
      </c>
      <c r="G12" s="28">
        <v>310000</v>
      </c>
      <c r="H12" t="s">
        <v>51</v>
      </c>
      <c r="I12" t="s">
        <v>52</v>
      </c>
      <c r="J12" t="s">
        <v>58</v>
      </c>
    </row>
    <row r="13" spans="2:11" x14ac:dyDescent="0.25">
      <c r="B13" t="s">
        <v>2</v>
      </c>
      <c r="C13" s="29">
        <v>45727</v>
      </c>
      <c r="D13" t="s">
        <v>30</v>
      </c>
      <c r="F13" s="28">
        <v>0</v>
      </c>
      <c r="G13" s="28">
        <v>510000</v>
      </c>
      <c r="H13" t="s">
        <v>51</v>
      </c>
      <c r="I13" t="s">
        <v>52</v>
      </c>
      <c r="J13" t="s">
        <v>58</v>
      </c>
    </row>
    <row r="14" spans="2:11" x14ac:dyDescent="0.25">
      <c r="B14" t="s">
        <v>2</v>
      </c>
      <c r="C14" s="29">
        <v>45727</v>
      </c>
      <c r="D14" t="s">
        <v>31</v>
      </c>
      <c r="F14" s="28">
        <v>0</v>
      </c>
      <c r="G14" s="28">
        <v>550000</v>
      </c>
      <c r="H14" t="s">
        <v>51</v>
      </c>
      <c r="I14" t="s">
        <v>52</v>
      </c>
      <c r="J14" t="s">
        <v>58</v>
      </c>
    </row>
    <row r="15" spans="2:11" x14ac:dyDescent="0.25">
      <c r="B15" t="s">
        <v>2</v>
      </c>
      <c r="C15" s="29">
        <v>45727</v>
      </c>
      <c r="D15" t="s">
        <v>32</v>
      </c>
      <c r="F15" s="28">
        <v>0</v>
      </c>
      <c r="G15" s="28">
        <v>500000</v>
      </c>
      <c r="H15" t="s">
        <v>51</v>
      </c>
      <c r="I15" t="s">
        <v>52</v>
      </c>
      <c r="J15" t="s">
        <v>58</v>
      </c>
    </row>
    <row r="16" spans="2:11" x14ac:dyDescent="0.25">
      <c r="B16" t="s">
        <v>2</v>
      </c>
      <c r="C16" s="29">
        <v>45734</v>
      </c>
      <c r="D16" t="s">
        <v>24</v>
      </c>
      <c r="F16" s="28">
        <v>500000</v>
      </c>
      <c r="G16" s="28">
        <v>0</v>
      </c>
      <c r="H16" t="s">
        <v>51</v>
      </c>
      <c r="I16" t="s">
        <v>52</v>
      </c>
      <c r="J16" t="s">
        <v>53</v>
      </c>
      <c r="K16" t="s">
        <v>63</v>
      </c>
    </row>
    <row r="17" spans="2:11" x14ac:dyDescent="0.25">
      <c r="B17" t="s">
        <v>2</v>
      </c>
      <c r="C17" s="29">
        <v>45734</v>
      </c>
      <c r="D17" t="s">
        <v>24</v>
      </c>
      <c r="F17" s="28">
        <v>1000000</v>
      </c>
      <c r="G17" s="28">
        <v>0</v>
      </c>
      <c r="H17" t="s">
        <v>51</v>
      </c>
      <c r="I17" t="s">
        <v>52</v>
      </c>
      <c r="J17" t="s">
        <v>53</v>
      </c>
    </row>
    <row r="18" spans="2:11" x14ac:dyDescent="0.25">
      <c r="B18" t="s">
        <v>2</v>
      </c>
      <c r="C18" s="29">
        <v>45742</v>
      </c>
      <c r="D18" t="s">
        <v>24</v>
      </c>
      <c r="F18" s="28">
        <v>245000</v>
      </c>
      <c r="G18" s="28">
        <v>0</v>
      </c>
      <c r="H18" t="s">
        <v>51</v>
      </c>
      <c r="I18" t="s">
        <v>52</v>
      </c>
      <c r="J18" t="s">
        <v>53</v>
      </c>
      <c r="K18" t="s">
        <v>56</v>
      </c>
    </row>
    <row r="19" spans="2:11" x14ac:dyDescent="0.25">
      <c r="B19" t="s">
        <v>3</v>
      </c>
      <c r="C19" s="29">
        <v>45748</v>
      </c>
      <c r="D19" t="s">
        <v>32</v>
      </c>
      <c r="F19" s="28">
        <v>0</v>
      </c>
      <c r="G19" s="28">
        <v>1500000</v>
      </c>
      <c r="H19" t="s">
        <v>51</v>
      </c>
      <c r="I19" t="s">
        <v>52</v>
      </c>
      <c r="J19" t="s">
        <v>58</v>
      </c>
    </row>
    <row r="20" spans="2:11" x14ac:dyDescent="0.25">
      <c r="B20" t="s">
        <v>3</v>
      </c>
      <c r="C20" s="29">
        <v>45751</v>
      </c>
      <c r="D20" t="s">
        <v>33</v>
      </c>
      <c r="F20" s="28">
        <v>0</v>
      </c>
      <c r="G20" s="28">
        <v>700000</v>
      </c>
      <c r="H20" t="s">
        <v>51</v>
      </c>
      <c r="I20" t="s">
        <v>52</v>
      </c>
      <c r="J20" t="s">
        <v>58</v>
      </c>
    </row>
    <row r="21" spans="2:11" x14ac:dyDescent="0.25">
      <c r="B21" t="s">
        <v>3</v>
      </c>
      <c r="C21" s="29">
        <v>45751</v>
      </c>
      <c r="D21" t="s">
        <v>32</v>
      </c>
      <c r="F21" s="28">
        <v>0</v>
      </c>
      <c r="G21" s="28">
        <v>30000</v>
      </c>
      <c r="H21" t="s">
        <v>51</v>
      </c>
      <c r="I21" t="s">
        <v>52</v>
      </c>
      <c r="J21" t="s">
        <v>58</v>
      </c>
    </row>
    <row r="22" spans="2:11" x14ac:dyDescent="0.25">
      <c r="B22" t="s">
        <v>3</v>
      </c>
      <c r="C22" s="29">
        <v>45756</v>
      </c>
      <c r="D22" t="s">
        <v>34</v>
      </c>
      <c r="F22" s="28">
        <v>2000000</v>
      </c>
      <c r="G22" s="28">
        <v>0</v>
      </c>
      <c r="H22" t="s">
        <v>51</v>
      </c>
      <c r="I22" t="s">
        <v>52</v>
      </c>
      <c r="J22" t="s">
        <v>53</v>
      </c>
    </row>
    <row r="23" spans="2:11" x14ac:dyDescent="0.25">
      <c r="B23" t="s">
        <v>3</v>
      </c>
      <c r="C23" s="29">
        <v>45761</v>
      </c>
      <c r="D23" t="s">
        <v>34</v>
      </c>
      <c r="F23" s="28">
        <v>33079</v>
      </c>
      <c r="G23" s="28">
        <v>0</v>
      </c>
      <c r="H23" t="s">
        <v>51</v>
      </c>
      <c r="I23" t="s">
        <v>52</v>
      </c>
      <c r="J23" t="s">
        <v>53</v>
      </c>
      <c r="K23" t="s">
        <v>64</v>
      </c>
    </row>
    <row r="24" spans="2:11" x14ac:dyDescent="0.25">
      <c r="B24" t="s">
        <v>3</v>
      </c>
      <c r="C24" s="29">
        <v>45761</v>
      </c>
      <c r="D24" t="s">
        <v>34</v>
      </c>
      <c r="F24" s="28">
        <v>99100</v>
      </c>
      <c r="G24" s="28">
        <v>0</v>
      </c>
      <c r="H24" t="s">
        <v>51</v>
      </c>
      <c r="I24" t="s">
        <v>52</v>
      </c>
      <c r="J24" t="s">
        <v>53</v>
      </c>
      <c r="K24" t="s">
        <v>65</v>
      </c>
    </row>
    <row r="25" spans="2:11" x14ac:dyDescent="0.25">
      <c r="B25" t="s">
        <v>3</v>
      </c>
      <c r="C25" s="29">
        <v>45762</v>
      </c>
      <c r="D25" t="s">
        <v>34</v>
      </c>
      <c r="F25" s="28">
        <v>1000000</v>
      </c>
      <c r="G25" s="28">
        <v>0</v>
      </c>
      <c r="H25" t="s">
        <v>51</v>
      </c>
      <c r="I25" t="s">
        <v>52</v>
      </c>
      <c r="J25" t="s">
        <v>53</v>
      </c>
    </row>
    <row r="26" spans="2:11" x14ac:dyDescent="0.25">
      <c r="B26" t="s">
        <v>3</v>
      </c>
      <c r="C26" s="29">
        <v>45768</v>
      </c>
      <c r="D26" t="s">
        <v>35</v>
      </c>
      <c r="F26" s="28">
        <v>0</v>
      </c>
      <c r="G26" s="28">
        <v>45000</v>
      </c>
      <c r="H26" t="s">
        <v>51</v>
      </c>
      <c r="I26" t="s">
        <v>52</v>
      </c>
      <c r="J26" t="s">
        <v>58</v>
      </c>
      <c r="K26" t="s">
        <v>66</v>
      </c>
    </row>
    <row r="27" spans="2:11" x14ac:dyDescent="0.25">
      <c r="B27" t="s">
        <v>3</v>
      </c>
      <c r="C27" s="29">
        <v>45769</v>
      </c>
      <c r="D27" t="s">
        <v>30</v>
      </c>
      <c r="F27" s="28">
        <v>0</v>
      </c>
      <c r="G27" s="28">
        <v>5000</v>
      </c>
      <c r="H27" t="s">
        <v>51</v>
      </c>
      <c r="I27" t="s">
        <v>52</v>
      </c>
      <c r="J27" t="s">
        <v>58</v>
      </c>
      <c r="K27" t="s">
        <v>67</v>
      </c>
    </row>
    <row r="28" spans="2:11" x14ac:dyDescent="0.25">
      <c r="B28" t="s">
        <v>3</v>
      </c>
      <c r="C28" s="29">
        <v>45772</v>
      </c>
      <c r="D28" t="s">
        <v>36</v>
      </c>
      <c r="F28" s="28">
        <v>0</v>
      </c>
      <c r="G28" s="28">
        <v>50000</v>
      </c>
      <c r="H28" t="s">
        <v>51</v>
      </c>
      <c r="I28" t="s">
        <v>52</v>
      </c>
      <c r="J28" t="s">
        <v>58</v>
      </c>
    </row>
    <row r="29" spans="2:11" x14ac:dyDescent="0.25">
      <c r="B29" t="s">
        <v>3</v>
      </c>
      <c r="C29" s="29">
        <v>45775</v>
      </c>
      <c r="D29" t="s">
        <v>32</v>
      </c>
      <c r="F29" s="28">
        <v>0</v>
      </c>
      <c r="G29" s="28">
        <v>110000</v>
      </c>
      <c r="H29" t="s">
        <v>51</v>
      </c>
      <c r="I29" t="s">
        <v>52</v>
      </c>
      <c r="J29" t="s">
        <v>58</v>
      </c>
    </row>
    <row r="30" spans="2:11" x14ac:dyDescent="0.25">
      <c r="B30" t="s">
        <v>3</v>
      </c>
      <c r="C30" s="29">
        <v>45776</v>
      </c>
      <c r="D30" t="s">
        <v>36</v>
      </c>
      <c r="F30" s="28">
        <v>0</v>
      </c>
      <c r="G30" s="28">
        <v>1000</v>
      </c>
      <c r="H30" t="s">
        <v>51</v>
      </c>
      <c r="I30" t="s">
        <v>52</v>
      </c>
      <c r="J30" t="s">
        <v>58</v>
      </c>
    </row>
    <row r="31" spans="2:11" x14ac:dyDescent="0.25">
      <c r="B31" t="s">
        <v>3</v>
      </c>
      <c r="C31" s="29">
        <v>45776</v>
      </c>
      <c r="D31" t="s">
        <v>30</v>
      </c>
      <c r="F31" s="28">
        <v>0</v>
      </c>
      <c r="G31" s="28">
        <v>120000</v>
      </c>
      <c r="H31" t="s">
        <v>51</v>
      </c>
      <c r="I31" t="s">
        <v>52</v>
      </c>
      <c r="J31" t="s">
        <v>58</v>
      </c>
      <c r="K31" t="s">
        <v>67</v>
      </c>
    </row>
    <row r="32" spans="2:11" x14ac:dyDescent="0.25">
      <c r="B32" t="s">
        <v>3</v>
      </c>
      <c r="C32" s="29">
        <v>45776</v>
      </c>
      <c r="D32" t="s">
        <v>31</v>
      </c>
      <c r="F32" s="28">
        <v>0</v>
      </c>
      <c r="G32" s="28">
        <v>20000</v>
      </c>
      <c r="H32" t="s">
        <v>51</v>
      </c>
      <c r="I32" t="s">
        <v>52</v>
      </c>
      <c r="J32" t="s">
        <v>58</v>
      </c>
    </row>
    <row r="33" spans="2:11" x14ac:dyDescent="0.25">
      <c r="B33" t="s">
        <v>3</v>
      </c>
      <c r="C33" s="29">
        <v>45776</v>
      </c>
      <c r="D33" t="s">
        <v>32</v>
      </c>
      <c r="F33" s="28">
        <v>0</v>
      </c>
      <c r="G33" s="28">
        <v>850000</v>
      </c>
      <c r="H33" t="s">
        <v>51</v>
      </c>
      <c r="I33" t="s">
        <v>52</v>
      </c>
      <c r="J33" t="s">
        <v>58</v>
      </c>
    </row>
    <row r="34" spans="2:11" x14ac:dyDescent="0.25">
      <c r="B34" t="s">
        <v>4</v>
      </c>
      <c r="C34" s="29">
        <v>45784</v>
      </c>
      <c r="D34" t="s">
        <v>24</v>
      </c>
      <c r="F34" s="28">
        <v>2000000</v>
      </c>
      <c r="G34" s="28">
        <v>0</v>
      </c>
      <c r="H34" t="s">
        <v>51</v>
      </c>
      <c r="I34" t="s">
        <v>52</v>
      </c>
      <c r="J34" t="s">
        <v>53</v>
      </c>
    </row>
    <row r="35" spans="2:11" x14ac:dyDescent="0.25">
      <c r="B35" t="s">
        <v>4</v>
      </c>
      <c r="C35" s="29">
        <v>45786</v>
      </c>
      <c r="D35" t="s">
        <v>24</v>
      </c>
      <c r="F35" s="28">
        <v>2000000</v>
      </c>
      <c r="G35" s="28">
        <v>0</v>
      </c>
      <c r="H35" t="s">
        <v>51</v>
      </c>
      <c r="I35" t="s">
        <v>52</v>
      </c>
      <c r="J35" t="s">
        <v>53</v>
      </c>
    </row>
    <row r="36" spans="2:11" x14ac:dyDescent="0.25">
      <c r="B36" t="s">
        <v>4</v>
      </c>
      <c r="C36" s="29">
        <v>45786</v>
      </c>
      <c r="D36" t="s">
        <v>37</v>
      </c>
      <c r="F36" s="28">
        <v>0</v>
      </c>
      <c r="G36" s="28">
        <v>600000</v>
      </c>
      <c r="H36" t="s">
        <v>51</v>
      </c>
      <c r="I36" t="s">
        <v>52</v>
      </c>
      <c r="J36" t="s">
        <v>58</v>
      </c>
      <c r="K36" t="s">
        <v>66</v>
      </c>
    </row>
    <row r="37" spans="2:11" x14ac:dyDescent="0.25">
      <c r="B37" t="s">
        <v>4</v>
      </c>
      <c r="C37" s="29">
        <v>45787</v>
      </c>
      <c r="D37" t="s">
        <v>37</v>
      </c>
      <c r="F37" s="28">
        <v>0</v>
      </c>
      <c r="G37" s="28">
        <v>100000</v>
      </c>
      <c r="H37" t="s">
        <v>51</v>
      </c>
      <c r="I37" t="s">
        <v>52</v>
      </c>
      <c r="J37" t="s">
        <v>58</v>
      </c>
      <c r="K37" t="s">
        <v>66</v>
      </c>
    </row>
    <row r="38" spans="2:11" x14ac:dyDescent="0.25">
      <c r="B38" t="s">
        <v>4</v>
      </c>
      <c r="C38" s="29">
        <v>45789</v>
      </c>
      <c r="D38" t="s">
        <v>24</v>
      </c>
      <c r="F38" s="28">
        <v>2000000</v>
      </c>
      <c r="G38" s="28">
        <v>0</v>
      </c>
      <c r="H38" t="s">
        <v>51</v>
      </c>
      <c r="I38" t="s">
        <v>52</v>
      </c>
      <c r="J38" t="s">
        <v>53</v>
      </c>
    </row>
    <row r="39" spans="2:11" x14ac:dyDescent="0.25">
      <c r="B39" t="s">
        <v>4</v>
      </c>
      <c r="C39" s="29">
        <v>45793</v>
      </c>
      <c r="D39" t="s">
        <v>24</v>
      </c>
      <c r="F39" s="28">
        <v>1000000</v>
      </c>
      <c r="G39" s="28">
        <v>0</v>
      </c>
      <c r="H39" t="s">
        <v>51</v>
      </c>
      <c r="I39" t="s">
        <v>52</v>
      </c>
      <c r="J39" t="s">
        <v>53</v>
      </c>
    </row>
    <row r="40" spans="2:11" x14ac:dyDescent="0.25">
      <c r="B40" t="s">
        <v>4</v>
      </c>
      <c r="C40" s="29">
        <v>45796</v>
      </c>
      <c r="D40" t="s">
        <v>24</v>
      </c>
      <c r="F40" s="28">
        <v>2000000</v>
      </c>
      <c r="G40" s="28">
        <v>0</v>
      </c>
      <c r="H40" t="s">
        <v>51</v>
      </c>
      <c r="I40" t="s">
        <v>52</v>
      </c>
      <c r="J40" t="s">
        <v>53</v>
      </c>
    </row>
    <row r="41" spans="2:11" x14ac:dyDescent="0.25">
      <c r="B41" t="s">
        <v>4</v>
      </c>
      <c r="C41" s="29">
        <v>45799</v>
      </c>
      <c r="D41" t="s">
        <v>24</v>
      </c>
      <c r="F41" s="28">
        <v>150000</v>
      </c>
      <c r="G41" s="28">
        <v>0</v>
      </c>
      <c r="H41" t="s">
        <v>51</v>
      </c>
      <c r="I41" t="s">
        <v>52</v>
      </c>
      <c r="J41" t="s">
        <v>68</v>
      </c>
      <c r="K41" t="s">
        <v>69</v>
      </c>
    </row>
    <row r="42" spans="2:11" x14ac:dyDescent="0.25">
      <c r="B42" t="s">
        <v>4</v>
      </c>
      <c r="C42" s="29">
        <v>45803</v>
      </c>
      <c r="D42" t="s">
        <v>24</v>
      </c>
      <c r="F42" s="28">
        <v>1000000</v>
      </c>
      <c r="G42" s="28">
        <v>0</v>
      </c>
      <c r="H42" t="s">
        <v>51</v>
      </c>
      <c r="I42" t="s">
        <v>52</v>
      </c>
      <c r="J42" t="s">
        <v>53</v>
      </c>
      <c r="K42" t="s">
        <v>70</v>
      </c>
    </row>
    <row r="43" spans="2:11" x14ac:dyDescent="0.25">
      <c r="B43" t="s">
        <v>4</v>
      </c>
      <c r="C43" s="29">
        <v>45804</v>
      </c>
      <c r="D43" t="s">
        <v>24</v>
      </c>
      <c r="F43" s="28">
        <v>350000</v>
      </c>
      <c r="G43" s="28">
        <v>0</v>
      </c>
      <c r="H43" t="s">
        <v>51</v>
      </c>
      <c r="I43" t="s">
        <v>52</v>
      </c>
      <c r="J43" t="s">
        <v>53</v>
      </c>
    </row>
    <row r="44" spans="2:11" x14ac:dyDescent="0.25">
      <c r="B44" t="s">
        <v>5</v>
      </c>
      <c r="C44" s="29">
        <v>45813</v>
      </c>
      <c r="D44" t="s">
        <v>35</v>
      </c>
      <c r="F44" s="28">
        <v>66158</v>
      </c>
      <c r="G44" s="28">
        <v>0</v>
      </c>
      <c r="H44" t="s">
        <v>51</v>
      </c>
      <c r="I44" t="s">
        <v>52</v>
      </c>
      <c r="J44" t="s">
        <v>68</v>
      </c>
      <c r="K44" t="s">
        <v>71</v>
      </c>
    </row>
    <row r="45" spans="2:11" x14ac:dyDescent="0.25">
      <c r="B45" t="s">
        <v>5</v>
      </c>
      <c r="C45" s="29">
        <v>45814</v>
      </c>
      <c r="D45" t="s">
        <v>38</v>
      </c>
      <c r="F45" s="28">
        <v>1500000</v>
      </c>
      <c r="G45" s="28">
        <v>0</v>
      </c>
      <c r="H45" t="s">
        <v>51</v>
      </c>
      <c r="I45" t="s">
        <v>52</v>
      </c>
      <c r="J45" t="s">
        <v>53</v>
      </c>
      <c r="K45" t="s">
        <v>72</v>
      </c>
    </row>
    <row r="46" spans="2:11" x14ac:dyDescent="0.25">
      <c r="B46" t="s">
        <v>5</v>
      </c>
      <c r="C46" s="29">
        <v>45818</v>
      </c>
      <c r="D46" t="s">
        <v>24</v>
      </c>
      <c r="F46" s="28">
        <v>1000000</v>
      </c>
      <c r="G46" s="28">
        <v>0</v>
      </c>
      <c r="H46" t="s">
        <v>51</v>
      </c>
      <c r="I46" t="s">
        <v>52</v>
      </c>
      <c r="J46" t="s">
        <v>53</v>
      </c>
      <c r="K46" t="s">
        <v>72</v>
      </c>
    </row>
    <row r="47" spans="2:11" x14ac:dyDescent="0.25">
      <c r="B47" t="s">
        <v>5</v>
      </c>
      <c r="C47" s="29">
        <v>45818</v>
      </c>
      <c r="D47" t="s">
        <v>24</v>
      </c>
      <c r="F47" s="28">
        <v>500000</v>
      </c>
      <c r="G47" s="28">
        <v>0</v>
      </c>
      <c r="H47" t="s">
        <v>51</v>
      </c>
      <c r="I47" t="s">
        <v>52</v>
      </c>
      <c r="J47" t="s">
        <v>53</v>
      </c>
      <c r="K47" t="s">
        <v>72</v>
      </c>
    </row>
    <row r="48" spans="2:11" x14ac:dyDescent="0.25">
      <c r="B48" t="s">
        <v>5</v>
      </c>
      <c r="C48" s="29">
        <v>45827</v>
      </c>
      <c r="D48" t="s">
        <v>35</v>
      </c>
      <c r="F48" s="28">
        <v>0</v>
      </c>
      <c r="G48" s="28">
        <v>17473</v>
      </c>
      <c r="H48" t="s">
        <v>51</v>
      </c>
      <c r="I48" t="s">
        <v>52</v>
      </c>
      <c r="J48" t="s">
        <v>58</v>
      </c>
    </row>
    <row r="49" spans="2:11" x14ac:dyDescent="0.25">
      <c r="B49" t="s">
        <v>6</v>
      </c>
      <c r="C49" s="29">
        <v>45839</v>
      </c>
      <c r="D49" t="s">
        <v>24</v>
      </c>
      <c r="F49" s="28">
        <v>96280</v>
      </c>
      <c r="G49" s="28">
        <v>0</v>
      </c>
      <c r="H49" t="s">
        <v>51</v>
      </c>
      <c r="I49" t="s">
        <v>52</v>
      </c>
      <c r="J49" t="s">
        <v>68</v>
      </c>
      <c r="K49" t="s">
        <v>71</v>
      </c>
    </row>
    <row r="50" spans="2:11" x14ac:dyDescent="0.25">
      <c r="B50" t="s">
        <v>6</v>
      </c>
      <c r="C50" s="29">
        <v>45855</v>
      </c>
      <c r="D50" t="s">
        <v>24</v>
      </c>
      <c r="F50" s="28">
        <v>1000000</v>
      </c>
      <c r="G50" s="28">
        <v>0</v>
      </c>
      <c r="H50" t="s">
        <v>51</v>
      </c>
      <c r="I50" t="s">
        <v>52</v>
      </c>
      <c r="J50" t="s">
        <v>53</v>
      </c>
      <c r="K50" t="s">
        <v>72</v>
      </c>
    </row>
    <row r="51" spans="2:11" x14ac:dyDescent="0.25">
      <c r="B51" t="s">
        <v>6</v>
      </c>
      <c r="C51" s="29">
        <v>45861</v>
      </c>
      <c r="D51" t="s">
        <v>24</v>
      </c>
      <c r="F51" s="28">
        <v>2000000</v>
      </c>
      <c r="G51" s="28">
        <v>0</v>
      </c>
      <c r="H51" t="s">
        <v>51</v>
      </c>
      <c r="I51" t="s">
        <v>52</v>
      </c>
      <c r="J51" t="s">
        <v>53</v>
      </c>
      <c r="K51" t="s">
        <v>72</v>
      </c>
    </row>
    <row r="52" spans="2:11" x14ac:dyDescent="0.25">
      <c r="B52" t="s">
        <v>7</v>
      </c>
      <c r="C52" s="29">
        <v>45870</v>
      </c>
      <c r="D52" t="s">
        <v>35</v>
      </c>
      <c r="F52" s="28">
        <v>66160</v>
      </c>
      <c r="G52" s="28">
        <v>0</v>
      </c>
      <c r="H52" t="s">
        <v>51</v>
      </c>
      <c r="I52" t="s">
        <v>52</v>
      </c>
      <c r="J52" t="s">
        <v>68</v>
      </c>
      <c r="K52" t="s">
        <v>71</v>
      </c>
    </row>
    <row r="53" spans="2:11" x14ac:dyDescent="0.25">
      <c r="B53" t="s">
        <v>7</v>
      </c>
      <c r="C53" s="29">
        <v>45873</v>
      </c>
      <c r="D53" t="s">
        <v>24</v>
      </c>
      <c r="F53" s="28">
        <v>1200000</v>
      </c>
      <c r="G53" s="28">
        <v>0</v>
      </c>
      <c r="H53" t="s">
        <v>51</v>
      </c>
      <c r="I53" t="s">
        <v>52</v>
      </c>
      <c r="J53" t="s">
        <v>53</v>
      </c>
      <c r="K53" t="s">
        <v>72</v>
      </c>
    </row>
    <row r="54" spans="2:11" x14ac:dyDescent="0.25">
      <c r="B54" t="s">
        <v>7</v>
      </c>
      <c r="C54" s="29">
        <v>45873</v>
      </c>
      <c r="D54" t="s">
        <v>35</v>
      </c>
      <c r="F54" s="28">
        <v>400000</v>
      </c>
      <c r="G54" s="28">
        <v>0</v>
      </c>
      <c r="H54" t="s">
        <v>51</v>
      </c>
      <c r="I54" t="s">
        <v>52</v>
      </c>
      <c r="J54" t="s">
        <v>68</v>
      </c>
      <c r="K54" t="s">
        <v>73</v>
      </c>
    </row>
    <row r="55" spans="2:11" x14ac:dyDescent="0.25">
      <c r="B55" t="s">
        <v>7</v>
      </c>
      <c r="C55" s="29">
        <v>45875</v>
      </c>
      <c r="D55" t="s">
        <v>35</v>
      </c>
      <c r="F55" s="28">
        <v>8000</v>
      </c>
      <c r="G55" s="28">
        <v>0</v>
      </c>
      <c r="H55" t="s">
        <v>51</v>
      </c>
      <c r="I55" t="s">
        <v>52</v>
      </c>
      <c r="J55" t="s">
        <v>68</v>
      </c>
      <c r="K55" t="s">
        <v>74</v>
      </c>
    </row>
    <row r="56" spans="2:11" x14ac:dyDescent="0.25">
      <c r="B56" t="s">
        <v>7</v>
      </c>
      <c r="C56" s="29">
        <v>45876</v>
      </c>
      <c r="D56" t="s">
        <v>35</v>
      </c>
      <c r="F56" s="28">
        <v>202000</v>
      </c>
      <c r="G56" s="28">
        <v>0</v>
      </c>
      <c r="H56" t="s">
        <v>51</v>
      </c>
      <c r="I56" t="s">
        <v>52</v>
      </c>
      <c r="J56" t="s">
        <v>68</v>
      </c>
      <c r="K56" t="s">
        <v>75</v>
      </c>
    </row>
    <row r="57" spans="2:11" x14ac:dyDescent="0.25">
      <c r="B57" t="s">
        <v>7</v>
      </c>
      <c r="C57" s="29">
        <v>45880</v>
      </c>
      <c r="D57" t="s">
        <v>24</v>
      </c>
      <c r="F57" s="28">
        <v>1500000</v>
      </c>
      <c r="G57" s="28">
        <v>0</v>
      </c>
      <c r="H57" t="s">
        <v>51</v>
      </c>
      <c r="I57" t="s">
        <v>52</v>
      </c>
      <c r="J57" t="s">
        <v>53</v>
      </c>
      <c r="K57" t="s">
        <v>72</v>
      </c>
    </row>
    <row r="58" spans="2:11" x14ac:dyDescent="0.25">
      <c r="B58" t="s">
        <v>7</v>
      </c>
      <c r="C58" s="29">
        <v>45888</v>
      </c>
      <c r="D58" t="s">
        <v>24</v>
      </c>
      <c r="F58" s="28">
        <v>160000</v>
      </c>
      <c r="G58" s="28">
        <v>0</v>
      </c>
      <c r="H58" t="s">
        <v>51</v>
      </c>
      <c r="I58" t="s">
        <v>52</v>
      </c>
      <c r="J58" t="s">
        <v>68</v>
      </c>
      <c r="K58" t="s">
        <v>69</v>
      </c>
    </row>
    <row r="59" spans="2:11" x14ac:dyDescent="0.25">
      <c r="B59" t="s">
        <v>8</v>
      </c>
      <c r="C59" s="29">
        <v>45911</v>
      </c>
      <c r="D59" t="s">
        <v>35</v>
      </c>
      <c r="F59" s="28">
        <v>64755</v>
      </c>
      <c r="G59" s="28">
        <v>0</v>
      </c>
      <c r="H59" t="s">
        <v>51</v>
      </c>
      <c r="I59" t="s">
        <v>52</v>
      </c>
      <c r="J59" t="s">
        <v>68</v>
      </c>
      <c r="K59" t="s">
        <v>76</v>
      </c>
    </row>
    <row r="60" spans="2:11" x14ac:dyDescent="0.25">
      <c r="B60" t="s">
        <v>8</v>
      </c>
      <c r="C60" s="29">
        <v>45917</v>
      </c>
      <c r="D60" t="s">
        <v>24</v>
      </c>
      <c r="F60" s="28">
        <v>1200000</v>
      </c>
      <c r="G60" s="28">
        <v>0</v>
      </c>
      <c r="H60" t="s">
        <v>51</v>
      </c>
      <c r="I60" t="s">
        <v>52</v>
      </c>
      <c r="J60" t="s">
        <v>53</v>
      </c>
      <c r="K60" t="s">
        <v>72</v>
      </c>
    </row>
    <row r="61" spans="2:11" x14ac:dyDescent="0.25">
      <c r="B61" t="s">
        <v>8</v>
      </c>
      <c r="C61" s="29">
        <v>45918</v>
      </c>
      <c r="D61" t="s">
        <v>39</v>
      </c>
      <c r="F61" s="28">
        <v>160172</v>
      </c>
      <c r="G61" s="28">
        <v>0</v>
      </c>
      <c r="H61" t="s">
        <v>51</v>
      </c>
      <c r="I61" t="s">
        <v>52</v>
      </c>
      <c r="J61" t="s">
        <v>53</v>
      </c>
      <c r="K61" t="s">
        <v>56</v>
      </c>
    </row>
    <row r="62" spans="2:11" x14ac:dyDescent="0.25">
      <c r="B62" t="s">
        <v>8</v>
      </c>
      <c r="C62" s="29">
        <v>45918</v>
      </c>
      <c r="D62" t="s">
        <v>24</v>
      </c>
      <c r="F62" s="28">
        <v>581000</v>
      </c>
      <c r="G62" s="28">
        <v>0</v>
      </c>
      <c r="H62" t="s">
        <v>51</v>
      </c>
      <c r="I62" t="s">
        <v>52</v>
      </c>
      <c r="J62" t="s">
        <v>53</v>
      </c>
      <c r="K62" t="s">
        <v>72</v>
      </c>
    </row>
    <row r="63" spans="2:11" x14ac:dyDescent="0.25">
      <c r="B63" t="s">
        <v>8</v>
      </c>
      <c r="C63" s="29">
        <v>45926</v>
      </c>
      <c r="D63" t="s">
        <v>31</v>
      </c>
      <c r="F63" s="28">
        <v>0</v>
      </c>
      <c r="G63" s="28">
        <v>1600000</v>
      </c>
      <c r="H63" t="s">
        <v>51</v>
      </c>
      <c r="I63" t="s">
        <v>52</v>
      </c>
      <c r="J63" t="s">
        <v>58</v>
      </c>
    </row>
    <row r="64" spans="2:11" x14ac:dyDescent="0.25">
      <c r="B64" t="s">
        <v>8</v>
      </c>
      <c r="C64" s="29">
        <v>45929</v>
      </c>
      <c r="D64" t="s">
        <v>40</v>
      </c>
      <c r="F64" s="28">
        <v>0</v>
      </c>
      <c r="G64" s="28">
        <v>500000</v>
      </c>
      <c r="H64" t="s">
        <v>51</v>
      </c>
      <c r="I64" t="s">
        <v>52</v>
      </c>
      <c r="J64" t="s">
        <v>58</v>
      </c>
    </row>
    <row r="65" spans="2:11" x14ac:dyDescent="0.25">
      <c r="B65" t="s">
        <v>9</v>
      </c>
      <c r="C65" s="29">
        <v>45931</v>
      </c>
      <c r="D65" t="s">
        <v>40</v>
      </c>
      <c r="F65" s="28">
        <v>0</v>
      </c>
      <c r="G65" s="28">
        <v>2000000</v>
      </c>
      <c r="H65" t="s">
        <v>51</v>
      </c>
      <c r="I65" t="s">
        <v>52</v>
      </c>
      <c r="J65" t="s">
        <v>58</v>
      </c>
    </row>
    <row r="66" spans="2:11" x14ac:dyDescent="0.25">
      <c r="B66" t="s">
        <v>9</v>
      </c>
      <c r="C66" s="29">
        <v>45932</v>
      </c>
      <c r="D66" t="s">
        <v>24</v>
      </c>
      <c r="F66" s="28">
        <v>1000000</v>
      </c>
      <c r="G66" s="28">
        <v>0</v>
      </c>
      <c r="H66" t="s">
        <v>51</v>
      </c>
      <c r="I66" t="s">
        <v>52</v>
      </c>
      <c r="J66" t="s">
        <v>68</v>
      </c>
    </row>
    <row r="67" spans="2:11" x14ac:dyDescent="0.25">
      <c r="B67" t="s">
        <v>9</v>
      </c>
      <c r="C67" s="29">
        <v>45938</v>
      </c>
      <c r="D67" t="s">
        <v>24</v>
      </c>
      <c r="F67" s="28">
        <v>1000000</v>
      </c>
      <c r="G67" s="28">
        <v>0</v>
      </c>
      <c r="H67" t="s">
        <v>51</v>
      </c>
      <c r="I67" t="s">
        <v>52</v>
      </c>
      <c r="J67" t="s">
        <v>68</v>
      </c>
    </row>
    <row r="68" spans="2:11" x14ac:dyDescent="0.25">
      <c r="B68" t="s">
        <v>9</v>
      </c>
      <c r="C68" s="29">
        <v>45943</v>
      </c>
      <c r="D68" t="s">
        <v>41</v>
      </c>
      <c r="F68" s="28">
        <v>2600000</v>
      </c>
      <c r="G68" s="28">
        <v>0</v>
      </c>
      <c r="H68" t="s">
        <v>51</v>
      </c>
      <c r="I68" t="s">
        <v>52</v>
      </c>
      <c r="J68" t="s">
        <v>53</v>
      </c>
    </row>
    <row r="69" spans="2:11" x14ac:dyDescent="0.25">
      <c r="B69" t="s">
        <v>9</v>
      </c>
      <c r="C69" s="29">
        <v>45943</v>
      </c>
      <c r="D69" t="s">
        <v>42</v>
      </c>
      <c r="F69" s="28">
        <v>2000000</v>
      </c>
      <c r="G69" s="28">
        <v>0</v>
      </c>
      <c r="H69" t="s">
        <v>51</v>
      </c>
      <c r="I69" t="s">
        <v>52</v>
      </c>
      <c r="J69" t="s">
        <v>53</v>
      </c>
    </row>
    <row r="70" spans="2:11" x14ac:dyDescent="0.25">
      <c r="B70" t="s">
        <v>9</v>
      </c>
      <c r="C70" s="29">
        <v>45943</v>
      </c>
      <c r="D70" t="s">
        <v>24</v>
      </c>
      <c r="F70" s="28">
        <v>1329900</v>
      </c>
      <c r="G70" s="28">
        <v>0</v>
      </c>
      <c r="H70" t="s">
        <v>51</v>
      </c>
      <c r="I70" t="s">
        <v>52</v>
      </c>
      <c r="J70" t="s">
        <v>68</v>
      </c>
    </row>
    <row r="71" spans="2:11" x14ac:dyDescent="0.25">
      <c r="B71" t="s">
        <v>9</v>
      </c>
      <c r="C71" s="29">
        <v>45943</v>
      </c>
      <c r="D71" t="s">
        <v>24</v>
      </c>
      <c r="F71" s="28">
        <v>1000000</v>
      </c>
      <c r="G71" s="28">
        <v>0</v>
      </c>
      <c r="H71" t="s">
        <v>51</v>
      </c>
      <c r="I71" t="s">
        <v>52</v>
      </c>
      <c r="J71" t="s">
        <v>68</v>
      </c>
    </row>
    <row r="72" spans="2:11" x14ac:dyDescent="0.25">
      <c r="B72" t="s">
        <v>9</v>
      </c>
      <c r="C72" s="29">
        <v>45952</v>
      </c>
      <c r="D72" t="s">
        <v>24</v>
      </c>
      <c r="F72" s="28">
        <v>500000</v>
      </c>
      <c r="G72" s="28">
        <v>0</v>
      </c>
      <c r="H72" t="s">
        <v>51</v>
      </c>
      <c r="I72" t="s">
        <v>52</v>
      </c>
      <c r="J72" t="s">
        <v>68</v>
      </c>
    </row>
    <row r="73" spans="2:11" x14ac:dyDescent="0.25">
      <c r="B73" t="s">
        <v>9</v>
      </c>
      <c r="C73" s="29">
        <v>45952</v>
      </c>
      <c r="D73" t="s">
        <v>24</v>
      </c>
      <c r="F73" s="28">
        <v>40696</v>
      </c>
      <c r="G73" s="28">
        <v>0</v>
      </c>
      <c r="H73" t="s">
        <v>51</v>
      </c>
      <c r="I73" t="s">
        <v>52</v>
      </c>
      <c r="J73" t="s">
        <v>68</v>
      </c>
      <c r="K73" t="s">
        <v>77</v>
      </c>
    </row>
    <row r="74" spans="2:11" x14ac:dyDescent="0.25">
      <c r="B74" t="s">
        <v>9</v>
      </c>
      <c r="C74" s="29">
        <v>45953</v>
      </c>
      <c r="D74" t="s">
        <v>24</v>
      </c>
      <c r="F74" s="28">
        <v>154867.97</v>
      </c>
      <c r="G74" s="28">
        <v>0</v>
      </c>
      <c r="H74" t="s">
        <v>51</v>
      </c>
      <c r="I74" t="s">
        <v>52</v>
      </c>
      <c r="J74" t="s">
        <v>68</v>
      </c>
      <c r="K74" t="s">
        <v>78</v>
      </c>
    </row>
    <row r="75" spans="2:11" x14ac:dyDescent="0.25">
      <c r="B75" t="s">
        <v>9</v>
      </c>
      <c r="C75" s="29">
        <v>45954</v>
      </c>
      <c r="D75" t="s">
        <v>42</v>
      </c>
      <c r="F75" s="28">
        <v>800000</v>
      </c>
      <c r="G75" s="28">
        <v>0</v>
      </c>
      <c r="H75" t="s">
        <v>51</v>
      </c>
      <c r="I75" t="s">
        <v>52</v>
      </c>
      <c r="J75" t="s">
        <v>53</v>
      </c>
    </row>
    <row r="76" spans="2:11" x14ac:dyDescent="0.25">
      <c r="B76" t="s">
        <v>9</v>
      </c>
      <c r="C76" s="29">
        <v>45958</v>
      </c>
      <c r="D76" t="s">
        <v>30</v>
      </c>
      <c r="F76" s="28">
        <v>0</v>
      </c>
      <c r="G76" s="28">
        <v>120000</v>
      </c>
      <c r="H76" t="s">
        <v>51</v>
      </c>
      <c r="I76" t="s">
        <v>52</v>
      </c>
      <c r="J76" t="s">
        <v>58</v>
      </c>
    </row>
    <row r="77" spans="2:11" x14ac:dyDescent="0.25">
      <c r="B77" t="s">
        <v>9</v>
      </c>
      <c r="C77" s="29">
        <v>45959</v>
      </c>
      <c r="D77" t="s">
        <v>40</v>
      </c>
      <c r="F77" s="28">
        <v>0</v>
      </c>
      <c r="G77" s="28">
        <v>1000000</v>
      </c>
      <c r="H77" t="s">
        <v>51</v>
      </c>
      <c r="I77" t="s">
        <v>52</v>
      </c>
      <c r="J77" t="s">
        <v>58</v>
      </c>
    </row>
    <row r="78" spans="2:11" x14ac:dyDescent="0.25">
      <c r="B78" t="s">
        <v>10</v>
      </c>
      <c r="C78" s="29">
        <v>45964</v>
      </c>
      <c r="D78" t="s">
        <v>37</v>
      </c>
      <c r="F78" s="28">
        <v>0</v>
      </c>
      <c r="G78" s="28">
        <v>275500</v>
      </c>
      <c r="H78" t="s">
        <v>51</v>
      </c>
      <c r="I78" t="s">
        <v>52</v>
      </c>
      <c r="J78" t="s">
        <v>58</v>
      </c>
    </row>
    <row r="79" spans="2:11" x14ac:dyDescent="0.25">
      <c r="B79" t="s">
        <v>10</v>
      </c>
      <c r="C79" s="29">
        <v>45966</v>
      </c>
      <c r="D79" t="s">
        <v>43</v>
      </c>
      <c r="F79" s="28">
        <v>0</v>
      </c>
      <c r="G79" s="28">
        <v>70000</v>
      </c>
      <c r="H79" t="s">
        <v>51</v>
      </c>
      <c r="I79" t="s">
        <v>52</v>
      </c>
      <c r="J79" t="s">
        <v>58</v>
      </c>
    </row>
    <row r="80" spans="2:11" x14ac:dyDescent="0.25">
      <c r="B80" t="s">
        <v>10</v>
      </c>
      <c r="C80" s="29">
        <v>45972</v>
      </c>
      <c r="D80" t="s">
        <v>24</v>
      </c>
      <c r="F80" s="28">
        <v>2000000</v>
      </c>
      <c r="G80" s="28">
        <v>0</v>
      </c>
      <c r="H80" t="s">
        <v>51</v>
      </c>
      <c r="I80" t="s">
        <v>52</v>
      </c>
      <c r="J80" t="s">
        <v>53</v>
      </c>
    </row>
    <row r="81" spans="2:11" x14ac:dyDescent="0.25">
      <c r="B81" t="s">
        <v>10</v>
      </c>
      <c r="C81" s="29">
        <v>45986</v>
      </c>
      <c r="D81" t="s">
        <v>34</v>
      </c>
      <c r="F81" s="28">
        <v>246300</v>
      </c>
      <c r="G81" s="28">
        <v>0</v>
      </c>
      <c r="H81" t="s">
        <v>51</v>
      </c>
      <c r="I81" t="s">
        <v>52</v>
      </c>
      <c r="J81" t="s">
        <v>68</v>
      </c>
      <c r="K81" t="s">
        <v>79</v>
      </c>
    </row>
    <row r="82" spans="2:11" x14ac:dyDescent="0.25">
      <c r="B82" t="s">
        <v>10</v>
      </c>
      <c r="C82" s="29">
        <v>45986</v>
      </c>
      <c r="D82" t="s">
        <v>34</v>
      </c>
      <c r="F82" s="28">
        <v>40700</v>
      </c>
      <c r="G82" s="28">
        <v>0</v>
      </c>
      <c r="H82" t="s">
        <v>51</v>
      </c>
      <c r="I82" t="s">
        <v>52</v>
      </c>
      <c r="J82" t="s">
        <v>68</v>
      </c>
      <c r="K82" t="s">
        <v>80</v>
      </c>
    </row>
    <row r="83" spans="2:11" x14ac:dyDescent="0.25">
      <c r="B83" t="s">
        <v>10</v>
      </c>
      <c r="C83" s="29">
        <v>45986</v>
      </c>
      <c r="D83" t="s">
        <v>34</v>
      </c>
      <c r="F83" s="28">
        <v>104133</v>
      </c>
      <c r="G83" s="28">
        <v>0</v>
      </c>
      <c r="H83" t="s">
        <v>51</v>
      </c>
      <c r="I83" t="s">
        <v>52</v>
      </c>
      <c r="J83" t="s">
        <v>68</v>
      </c>
      <c r="K83" t="s">
        <v>81</v>
      </c>
    </row>
    <row r="84" spans="2:11" x14ac:dyDescent="0.25">
      <c r="B84" t="s">
        <v>11</v>
      </c>
      <c r="C84" s="29">
        <v>45996</v>
      </c>
      <c r="D84" t="s">
        <v>44</v>
      </c>
      <c r="F84" s="28">
        <v>750000</v>
      </c>
      <c r="G84" s="28">
        <v>0</v>
      </c>
      <c r="H84" t="s">
        <v>51</v>
      </c>
      <c r="I84" t="s">
        <v>52</v>
      </c>
      <c r="J84" t="s">
        <v>53</v>
      </c>
    </row>
    <row r="86" spans="2:11" x14ac:dyDescent="0.25">
      <c r="F86" s="32">
        <f>SUBTOTAL(9,Tabla1[EGRESOS])</f>
        <v>43236014.890000001</v>
      </c>
      <c r="G86" s="31">
        <f>SUBTOTAL(9,Tabla1[INGRESOS])</f>
        <v>15483973</v>
      </c>
    </row>
    <row r="88" spans="2:11" x14ac:dyDescent="0.25">
      <c r="G88" s="33">
        <f>G86-F86</f>
        <v>-27752041.890000001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1B7A-7FD8-4528-8D8A-EE60E98289FE}">
  <dimension ref="A1:P20"/>
  <sheetViews>
    <sheetView workbookViewId="0">
      <selection activeCell="E5" sqref="E5"/>
    </sheetView>
  </sheetViews>
  <sheetFormatPr baseColWidth="10" defaultColWidth="9.140625" defaultRowHeight="15" x14ac:dyDescent="0.25"/>
  <cols>
    <col min="1" max="1" width="1.5703125" customWidth="1"/>
    <col min="2" max="2" width="16.42578125" customWidth="1"/>
    <col min="3" max="14" width="12.85546875" customWidth="1"/>
    <col min="15" max="15" width="14" customWidth="1"/>
    <col min="16" max="16" width="12.85546875" customWidth="1"/>
  </cols>
  <sheetData>
    <row r="1" spans="1:16" ht="15.75" thickBot="1" x14ac:dyDescent="0.3">
      <c r="A1" s="1"/>
      <c r="B1" s="36" t="s">
        <v>22</v>
      </c>
      <c r="C1" s="40">
        <v>2025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/>
      <c r="P1" s="42"/>
    </row>
    <row r="2" spans="1:16" ht="15.75" thickBot="1" x14ac:dyDescent="0.3">
      <c r="A2" s="1"/>
      <c r="B2" s="37"/>
      <c r="C2" s="22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8</v>
      </c>
      <c r="L2" s="22" t="s">
        <v>9</v>
      </c>
      <c r="M2" s="22" t="s">
        <v>10</v>
      </c>
      <c r="N2" s="22" t="s">
        <v>11</v>
      </c>
      <c r="O2" s="23" t="s">
        <v>17</v>
      </c>
      <c r="P2" s="27" t="s">
        <v>20</v>
      </c>
    </row>
    <row r="3" spans="1:16" ht="46.5" customHeight="1" x14ac:dyDescent="0.25">
      <c r="A3" s="1"/>
      <c r="B3" s="17" t="s">
        <v>15</v>
      </c>
      <c r="C3" s="2"/>
      <c r="D3" s="2">
        <v>1000000</v>
      </c>
      <c r="E3" s="2"/>
      <c r="F3" s="2"/>
      <c r="G3" s="2"/>
      <c r="H3" s="2">
        <v>2000000</v>
      </c>
      <c r="I3" s="2">
        <v>1000000</v>
      </c>
      <c r="J3" s="2"/>
      <c r="K3" s="2"/>
      <c r="L3" s="2"/>
      <c r="M3" s="2">
        <v>2000000</v>
      </c>
      <c r="N3" s="2">
        <v>1000000</v>
      </c>
      <c r="O3" s="20">
        <f>SUM(C3:N3)</f>
        <v>7000000</v>
      </c>
      <c r="P3" s="21">
        <f>SUBTOTAL(1,C3:N3)</f>
        <v>1400000</v>
      </c>
    </row>
    <row r="4" spans="1:16" ht="46.5" customHeight="1" x14ac:dyDescent="0.25">
      <c r="A4" s="1"/>
      <c r="B4" s="17" t="s">
        <v>89</v>
      </c>
      <c r="C4" s="2"/>
      <c r="D4" s="2"/>
      <c r="E4" s="2">
        <v>49905.422466666671</v>
      </c>
      <c r="F4" s="2">
        <v>71876.678799999994</v>
      </c>
      <c r="G4" s="2"/>
      <c r="H4" s="2"/>
      <c r="I4" s="2"/>
      <c r="J4" s="2"/>
      <c r="K4" s="2"/>
      <c r="L4" s="2">
        <v>83727.582299999995</v>
      </c>
      <c r="M4" s="2">
        <v>47353.670860000006</v>
      </c>
      <c r="N4" s="3"/>
      <c r="O4" s="11">
        <f t="shared" ref="O4:O9" si="0">SUM(C4:N4)</f>
        <v>252863.35442666669</v>
      </c>
      <c r="P4" s="12">
        <f t="shared" ref="P4:P9" si="1">SUBTOTAL(1,C4:N4)</f>
        <v>63215.838606666672</v>
      </c>
    </row>
    <row r="5" spans="1:16" ht="46.5" customHeight="1" x14ac:dyDescent="0.25">
      <c r="A5" s="1"/>
      <c r="B5" s="17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1">
        <f t="shared" si="0"/>
        <v>0</v>
      </c>
      <c r="P5" s="12" t="e">
        <f t="shared" si="1"/>
        <v>#DIV/0!</v>
      </c>
    </row>
    <row r="6" spans="1:16" ht="46.5" customHeight="1" x14ac:dyDescent="0.25">
      <c r="A6" s="1"/>
      <c r="B6" s="17" t="s">
        <v>19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11">
        <f t="shared" si="0"/>
        <v>0</v>
      </c>
      <c r="P6" s="12" t="e">
        <f t="shared" si="1"/>
        <v>#DIV/0!</v>
      </c>
    </row>
    <row r="7" spans="1:16" ht="46.5" customHeight="1" x14ac:dyDescent="0.25">
      <c r="A7" s="1"/>
      <c r="B7" s="17" t="s">
        <v>12</v>
      </c>
      <c r="C7" s="2"/>
      <c r="D7" s="2"/>
      <c r="E7" s="2">
        <v>51626.996203999995</v>
      </c>
      <c r="F7" s="2">
        <v>45392.999990000004</v>
      </c>
      <c r="G7" s="2"/>
      <c r="H7" s="2"/>
      <c r="I7" s="2"/>
      <c r="J7" s="2"/>
      <c r="K7" s="2"/>
      <c r="L7" s="2"/>
      <c r="M7" s="2">
        <v>146651.389987</v>
      </c>
      <c r="N7" s="3"/>
      <c r="O7" s="11">
        <f t="shared" si="0"/>
        <v>243671.38618100001</v>
      </c>
      <c r="P7" s="12">
        <f t="shared" si="1"/>
        <v>81223.795393666674</v>
      </c>
    </row>
    <row r="8" spans="1:16" ht="46.5" customHeight="1" thickBot="1" x14ac:dyDescent="0.3">
      <c r="A8" s="1"/>
      <c r="B8" s="25" t="s">
        <v>86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13">
        <f t="shared" si="0"/>
        <v>0</v>
      </c>
      <c r="P8" s="14" t="e">
        <f t="shared" si="1"/>
        <v>#DIV/0!</v>
      </c>
    </row>
    <row r="9" spans="1:16" ht="46.5" customHeight="1" thickBot="1" x14ac:dyDescent="0.3">
      <c r="A9" s="1"/>
      <c r="B9" s="26" t="s">
        <v>17</v>
      </c>
      <c r="C9" s="8">
        <f>SUM(C3:C8)</f>
        <v>0</v>
      </c>
      <c r="D9" s="8">
        <f t="shared" ref="D9:N9" si="2">SUM(D3:D8)</f>
        <v>1000000</v>
      </c>
      <c r="E9" s="8">
        <f t="shared" si="2"/>
        <v>101532.41867066667</v>
      </c>
      <c r="F9" s="8">
        <f t="shared" si="2"/>
        <v>117269.67879000001</v>
      </c>
      <c r="G9" s="8">
        <f>SUM(G3:G8)</f>
        <v>0</v>
      </c>
      <c r="H9" s="8">
        <f t="shared" si="2"/>
        <v>2000000</v>
      </c>
      <c r="I9" s="8">
        <f t="shared" si="2"/>
        <v>1000000</v>
      </c>
      <c r="J9" s="8">
        <f t="shared" si="2"/>
        <v>0</v>
      </c>
      <c r="K9" s="8">
        <f t="shared" si="2"/>
        <v>0</v>
      </c>
      <c r="L9" s="8">
        <f t="shared" si="2"/>
        <v>83727.582299999995</v>
      </c>
      <c r="M9" s="8">
        <f t="shared" si="2"/>
        <v>2194005.0608469998</v>
      </c>
      <c r="N9" s="8">
        <f t="shared" si="2"/>
        <v>1000000</v>
      </c>
      <c r="O9" s="15">
        <f t="shared" si="0"/>
        <v>7496534.7406076659</v>
      </c>
      <c r="P9" s="9">
        <f t="shared" si="1"/>
        <v>624711.22838397219</v>
      </c>
    </row>
    <row r="10" spans="1:16" ht="45.75" customHeight="1" thickBot="1" x14ac:dyDescent="0.3">
      <c r="A10" s="1"/>
      <c r="B10" s="1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4"/>
    </row>
    <row r="11" spans="1:16" ht="15.75" thickBot="1" x14ac:dyDescent="0.3">
      <c r="A11" s="1"/>
      <c r="B11" s="38" t="s">
        <v>22</v>
      </c>
      <c r="C11" s="40">
        <v>2026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42"/>
    </row>
    <row r="12" spans="1:16" ht="15.75" thickBot="1" x14ac:dyDescent="0.3">
      <c r="A12" s="1"/>
      <c r="B12" s="39"/>
      <c r="C12" s="22" t="s">
        <v>0</v>
      </c>
      <c r="D12" s="22" t="s">
        <v>1</v>
      </c>
      <c r="E12" s="22" t="s">
        <v>2</v>
      </c>
      <c r="F12" s="22" t="s">
        <v>3</v>
      </c>
      <c r="G12" s="22" t="s">
        <v>4</v>
      </c>
      <c r="H12" s="22" t="s">
        <v>5</v>
      </c>
      <c r="I12" s="22" t="s">
        <v>6</v>
      </c>
      <c r="J12" s="22" t="s">
        <v>7</v>
      </c>
      <c r="K12" s="22" t="s">
        <v>8</v>
      </c>
      <c r="L12" s="22" t="s">
        <v>9</v>
      </c>
      <c r="M12" s="22" t="s">
        <v>10</v>
      </c>
      <c r="N12" s="22" t="s">
        <v>11</v>
      </c>
      <c r="O12" s="23" t="s">
        <v>17</v>
      </c>
      <c r="P12" s="24" t="s">
        <v>20</v>
      </c>
    </row>
    <row r="13" spans="1:16" ht="46.5" customHeight="1" x14ac:dyDescent="0.25">
      <c r="A13" s="1"/>
      <c r="B13" s="17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0">
        <f>SUM(C13:N13)</f>
        <v>0</v>
      </c>
      <c r="P13" s="21" t="e">
        <f>SUBTOTAL(1,C13:N13)</f>
        <v>#DIV/0!</v>
      </c>
    </row>
    <row r="14" spans="1:16" ht="46.5" customHeight="1" x14ac:dyDescent="0.25">
      <c r="A14" s="1"/>
      <c r="B14" s="17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11">
        <f t="shared" ref="O14:O16" si="3">SUM(C14:N14)</f>
        <v>0</v>
      </c>
      <c r="P14" s="12" t="e">
        <f t="shared" ref="P14:P17" si="4">SUBTOTAL(1,C14:N14)</f>
        <v>#DIV/0!</v>
      </c>
    </row>
    <row r="15" spans="1:16" ht="46.5" customHeight="1" x14ac:dyDescent="0.25">
      <c r="A15" s="1"/>
      <c r="B15" s="17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11">
        <f t="shared" si="3"/>
        <v>0</v>
      </c>
      <c r="P15" s="12" t="e">
        <f t="shared" si="4"/>
        <v>#DIV/0!</v>
      </c>
    </row>
    <row r="16" spans="1:16" ht="42.75" customHeight="1" thickBot="1" x14ac:dyDescent="0.3">
      <c r="A16" s="1"/>
      <c r="B16" s="18" t="s">
        <v>13</v>
      </c>
      <c r="C16" s="6"/>
      <c r="D16" s="6"/>
      <c r="E16" s="6"/>
      <c r="F16" s="6"/>
      <c r="G16" s="10"/>
      <c r="H16" s="10"/>
      <c r="I16" s="10"/>
      <c r="J16" s="10"/>
      <c r="K16" s="10"/>
      <c r="L16" s="10"/>
      <c r="M16" s="10"/>
      <c r="N16" s="10"/>
      <c r="O16" s="13">
        <f t="shared" si="3"/>
        <v>0</v>
      </c>
      <c r="P16" s="14" t="e">
        <f t="shared" si="4"/>
        <v>#DIV/0!</v>
      </c>
    </row>
    <row r="17" spans="1:16" ht="46.5" customHeight="1" thickBot="1" x14ac:dyDescent="0.3">
      <c r="A17" s="1"/>
      <c r="B17" s="19" t="s">
        <v>17</v>
      </c>
      <c r="C17" s="8">
        <f>SUM(C13:C16)</f>
        <v>0</v>
      </c>
      <c r="D17" s="8">
        <f t="shared" ref="D17:N17" si="5">SUM(D13:D16)</f>
        <v>0</v>
      </c>
      <c r="E17" s="8">
        <f t="shared" si="5"/>
        <v>0</v>
      </c>
      <c r="F17" s="8">
        <f t="shared" si="5"/>
        <v>0</v>
      </c>
      <c r="G17" s="8">
        <f t="shared" si="5"/>
        <v>0</v>
      </c>
      <c r="H17" s="8">
        <f t="shared" si="5"/>
        <v>0</v>
      </c>
      <c r="I17" s="8">
        <f t="shared" si="5"/>
        <v>0</v>
      </c>
      <c r="J17" s="8">
        <f t="shared" si="5"/>
        <v>0</v>
      </c>
      <c r="K17" s="8">
        <f t="shared" si="5"/>
        <v>0</v>
      </c>
      <c r="L17" s="8">
        <f t="shared" si="5"/>
        <v>0</v>
      </c>
      <c r="M17" s="8">
        <f t="shared" si="5"/>
        <v>0</v>
      </c>
      <c r="N17" s="8">
        <f t="shared" si="5"/>
        <v>0</v>
      </c>
      <c r="O17" s="15">
        <f>SUM(C17:N17)</f>
        <v>0</v>
      </c>
      <c r="P17" s="9">
        <f t="shared" si="4"/>
        <v>0</v>
      </c>
    </row>
    <row r="18" spans="1:16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4">
    <mergeCell ref="B1:B2"/>
    <mergeCell ref="C1:P1"/>
    <mergeCell ref="B11:B12"/>
    <mergeCell ref="C11:P11"/>
  </mergeCells>
  <pageMargins left="0.25" right="0.25" top="0.75" bottom="0.75" header="0.3" footer="0.3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Claudia</vt:lpstr>
      <vt:lpstr>Raul</vt:lpstr>
      <vt:lpstr>Egres-ing Raul</vt:lpstr>
      <vt:lpstr>Monica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Toledo</cp:lastModifiedBy>
  <cp:lastPrinted>2026-01-21T15:51:58Z</cp:lastPrinted>
  <dcterms:created xsi:type="dcterms:W3CDTF">2015-06-05T18:19:34Z</dcterms:created>
  <dcterms:modified xsi:type="dcterms:W3CDTF">2026-02-20T12:29:41Z</dcterms:modified>
</cp:coreProperties>
</file>