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codeName="ThisWorkbook"/>
  <xr:revisionPtr revIDLastSave="0" documentId="13_ncr:1_{FA73962B-790C-476B-9B5F-5786FD0F2653}" xr6:coauthVersionLast="47" xr6:coauthVersionMax="47" xr10:uidLastSave="{00000000-0000-0000-0000-000000000000}"/>
  <bookViews>
    <workbookView xWindow="-120" yWindow="-120" windowWidth="20730" windowHeight="11160" tabRatio="415" activeTab="1" xr2:uid="{00000000-000D-0000-FFFF-FFFF00000000}"/>
  </bookViews>
  <sheets>
    <sheet name="Resumen compromisos" sheetId="22" r:id="rId1"/>
    <sheet name="Ligero" sheetId="17" r:id="rId2"/>
    <sheet name="Hoja1" sheetId="21" r:id="rId3"/>
  </sheets>
  <definedNames>
    <definedName name="FACTURAS">#REF!</definedName>
    <definedName name="Hoy" localSheetId="1">TODAY()</definedName>
    <definedName name="Incremento_de_desplazamiento" localSheetId="1">Ligero!$F$7</definedName>
    <definedName name="Inicio_del_proyecto" localSheetId="1">Ligero!$F$6</definedName>
    <definedName name="_xlnm.Print_Titles" localSheetId="1">Ligero!$6:$11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8" i="22" l="1"/>
  <c r="J17" i="22"/>
  <c r="J12" i="22"/>
  <c r="J16" i="22"/>
  <c r="J11" i="22"/>
  <c r="D31" i="22" l="1"/>
  <c r="C31" i="22"/>
  <c r="D2" i="22"/>
  <c r="C2" i="22"/>
  <c r="M39" i="17"/>
  <c r="E39" i="17"/>
  <c r="F39" i="17"/>
  <c r="L26" i="17"/>
  <c r="M26" i="17" s="1"/>
  <c r="F26" i="17"/>
  <c r="D26" i="17" s="1"/>
  <c r="C26" i="17"/>
  <c r="C25" i="17"/>
  <c r="E25" i="17" s="1"/>
  <c r="C24" i="17"/>
  <c r="E24" i="17" s="1"/>
  <c r="C23" i="17"/>
  <c r="D23" i="17" s="1"/>
  <c r="F23" i="17" s="1"/>
  <c r="M23" i="17"/>
  <c r="M24" i="17"/>
  <c r="M25" i="17"/>
  <c r="E23" i="17"/>
  <c r="M37" i="17"/>
  <c r="M38" i="17"/>
  <c r="M27" i="17"/>
  <c r="M28" i="17"/>
  <c r="M29" i="17"/>
  <c r="M30" i="17"/>
  <c r="M31" i="17"/>
  <c r="M32" i="17"/>
  <c r="E28" i="17"/>
  <c r="F28" i="17" s="1"/>
  <c r="E29" i="17"/>
  <c r="F29" i="17" s="1"/>
  <c r="E30" i="17"/>
  <c r="F30" i="17" s="1"/>
  <c r="E31" i="17"/>
  <c r="F31" i="17" s="1"/>
  <c r="E32" i="17"/>
  <c r="F32" i="17" s="1"/>
  <c r="E27" i="17"/>
  <c r="F27" i="17" s="1"/>
  <c r="F38" i="17"/>
  <c r="F40" i="17"/>
  <c r="E40" i="17"/>
  <c r="E38" i="17"/>
  <c r="F37" i="17"/>
  <c r="D37" i="17"/>
  <c r="M22" i="17"/>
  <c r="D24" i="17" l="1"/>
  <c r="F24" i="17" s="1"/>
  <c r="D25" i="17"/>
  <c r="F25" i="17" s="1"/>
  <c r="D14" i="17"/>
  <c r="F13" i="17"/>
  <c r="M21" i="17"/>
  <c r="M15" i="17"/>
  <c r="C14" i="17"/>
  <c r="C13" i="17"/>
  <c r="M19" i="17"/>
  <c r="M20" i="17"/>
  <c r="F19" i="17"/>
  <c r="F20" i="17"/>
  <c r="C20" i="17"/>
  <c r="C19" i="17"/>
  <c r="M18" i="17"/>
  <c r="I18" i="17"/>
  <c r="F17" i="17"/>
  <c r="F18" i="17"/>
  <c r="E18" i="17"/>
  <c r="I17" i="17"/>
  <c r="E17" i="17"/>
  <c r="M16" i="17"/>
  <c r="I16" i="17"/>
  <c r="F16" i="17"/>
  <c r="E16" i="17"/>
  <c r="E15" i="17"/>
  <c r="D15" i="17"/>
  <c r="F15" i="17" s="1"/>
  <c r="M17" i="17"/>
  <c r="M14" i="17"/>
  <c r="J14" i="17"/>
  <c r="M13" i="17"/>
  <c r="J13" i="17"/>
  <c r="F9" i="17"/>
  <c r="N26" i="17" l="1"/>
  <c r="N39" i="17"/>
  <c r="C12" i="17"/>
  <c r="D13" i="17"/>
  <c r="D12" i="17" s="1"/>
  <c r="F12" i="17"/>
  <c r="N25" i="17"/>
  <c r="N24" i="17"/>
  <c r="N23" i="17"/>
  <c r="N38" i="17"/>
  <c r="N37" i="17"/>
  <c r="N27" i="17"/>
  <c r="N28" i="17"/>
  <c r="N29" i="17"/>
  <c r="N30" i="17"/>
  <c r="N31" i="17"/>
  <c r="N32" i="17"/>
  <c r="I19" i="17"/>
  <c r="E19" i="17"/>
  <c r="I20" i="17"/>
  <c r="E20" i="17"/>
  <c r="I14" i="17"/>
  <c r="N13" i="17"/>
  <c r="N22" i="17"/>
  <c r="I15" i="17"/>
  <c r="N21" i="17"/>
  <c r="N20" i="17"/>
  <c r="N19" i="17"/>
  <c r="N18" i="17"/>
  <c r="N17" i="17"/>
  <c r="N16" i="17"/>
  <c r="N15" i="17"/>
  <c r="N14" i="17"/>
  <c r="C64" i="17"/>
  <c r="C61" i="17" s="1"/>
  <c r="C42" i="17" s="1"/>
  <c r="C36" i="17" s="1"/>
  <c r="C34" i="17" s="1"/>
  <c r="D64" i="17"/>
  <c r="D61" i="17" s="1"/>
  <c r="E12" i="17" l="1"/>
  <c r="I13" i="17"/>
  <c r="E64" i="17"/>
  <c r="E61" i="17" s="1"/>
  <c r="D36" i="17"/>
  <c r="D34" i="17" s="1"/>
  <c r="E42" i="17" l="1"/>
  <c r="E36" i="17" s="1"/>
  <c r="E34" i="17" s="1"/>
  <c r="F36" i="17"/>
  <c r="F34" i="17" s="1"/>
  <c r="F6" i="17" a="1"/>
  <c r="F6" i="17" s="1"/>
  <c r="Q7" i="17" s="1"/>
  <c r="R7" i="17" l="1"/>
  <c r="Q11" i="17"/>
  <c r="Q34" i="17"/>
  <c r="Q42" i="17"/>
  <c r="Q17" i="17"/>
  <c r="Q18" i="17"/>
  <c r="Q12" i="17"/>
  <c r="Q14" i="17"/>
  <c r="Q6" i="17"/>
  <c r="Q13" i="17"/>
  <c r="Q15" i="17"/>
  <c r="R42" i="17" l="1"/>
  <c r="R15" i="17"/>
  <c r="R13" i="17"/>
  <c r="S7" i="17"/>
  <c r="R12" i="17"/>
  <c r="R34" i="17"/>
  <c r="R11" i="17"/>
  <c r="R17" i="17"/>
  <c r="R14" i="17"/>
  <c r="R18" i="17"/>
  <c r="S42" i="17" l="1"/>
  <c r="S13" i="17"/>
  <c r="S11" i="17"/>
  <c r="S18" i="17"/>
  <c r="S17" i="17"/>
  <c r="S15" i="17"/>
  <c r="S12" i="17"/>
  <c r="S14" i="17"/>
  <c r="S34" i="17"/>
  <c r="T7" i="17"/>
  <c r="T18" i="17" l="1"/>
  <c r="T15" i="17"/>
  <c r="U7" i="17"/>
  <c r="T12" i="17"/>
  <c r="T14" i="17"/>
  <c r="T42" i="17"/>
  <c r="T13" i="17"/>
  <c r="T11" i="17"/>
  <c r="T17" i="17"/>
  <c r="T34" i="17"/>
  <c r="U17" i="17" l="1"/>
  <c r="U13" i="17"/>
  <c r="U14" i="17"/>
  <c r="U42" i="17"/>
  <c r="U12" i="17"/>
  <c r="U15" i="17"/>
  <c r="U11" i="17"/>
  <c r="U18" i="17"/>
  <c r="V7" i="17"/>
  <c r="U34" i="17"/>
  <c r="V12" i="17" l="1"/>
  <c r="V17" i="17"/>
  <c r="V34" i="17"/>
  <c r="W7" i="17"/>
  <c r="V14" i="17"/>
  <c r="V11" i="17"/>
  <c r="V13" i="17"/>
  <c r="V42" i="17"/>
  <c r="V15" i="17"/>
  <c r="V18" i="17"/>
  <c r="W15" i="17" l="1"/>
  <c r="W11" i="17"/>
  <c r="W18" i="17"/>
  <c r="W14" i="17"/>
  <c r="W12" i="17"/>
  <c r="W34" i="17"/>
  <c r="W42" i="17"/>
  <c r="W17" i="17"/>
  <c r="X7" i="17"/>
  <c r="W13" i="17"/>
  <c r="X34" i="17" l="1"/>
  <c r="X13" i="17"/>
  <c r="X14" i="17"/>
  <c r="X18" i="17"/>
  <c r="X6" i="17"/>
  <c r="X11" i="17"/>
  <c r="X42" i="17"/>
  <c r="X12" i="17"/>
  <c r="Y7" i="17"/>
  <c r="X15" i="17"/>
  <c r="X17" i="17"/>
  <c r="Y13" i="17" l="1"/>
  <c r="Y14" i="17"/>
  <c r="Y15" i="17"/>
  <c r="Y12" i="17"/>
  <c r="Y17" i="17"/>
  <c r="Y11" i="17"/>
  <c r="Y18" i="17"/>
  <c r="Y42" i="17"/>
  <c r="Y34" i="17"/>
  <c r="Z7" i="17"/>
  <c r="Z17" i="17" l="1"/>
  <c r="Z14" i="17"/>
  <c r="AA7" i="17"/>
  <c r="Z13" i="17"/>
  <c r="Z42" i="17"/>
  <c r="Z11" i="17"/>
  <c r="Z18" i="17"/>
  <c r="Z15" i="17"/>
  <c r="Z12" i="17"/>
  <c r="Z34" i="17"/>
  <c r="AA15" i="17" l="1"/>
  <c r="AB7" i="17"/>
  <c r="AA14" i="17"/>
  <c r="AA13" i="17"/>
  <c r="AA11" i="17"/>
  <c r="AA12" i="17"/>
  <c r="AA18" i="17"/>
  <c r="AA42" i="17"/>
  <c r="AA17" i="17"/>
  <c r="AA34" i="17"/>
  <c r="AB13" i="17" l="1"/>
  <c r="AB12" i="17"/>
  <c r="AB34" i="17"/>
  <c r="AB42" i="17"/>
  <c r="AB15" i="17"/>
  <c r="AB17" i="17"/>
  <c r="AC7" i="17"/>
  <c r="AB11" i="17"/>
  <c r="AB14" i="17"/>
  <c r="AB18" i="17"/>
  <c r="AC12" i="17" l="1"/>
  <c r="AC14" i="17"/>
  <c r="AC13" i="17"/>
  <c r="AC42" i="17"/>
  <c r="AD7" i="17"/>
  <c r="AC17" i="17"/>
  <c r="AC18" i="17"/>
  <c r="AC11" i="17"/>
  <c r="AC34" i="17"/>
  <c r="AC15" i="17"/>
  <c r="AD18" i="17" l="1"/>
  <c r="AD42" i="17"/>
  <c r="AE7" i="17"/>
  <c r="AD12" i="17"/>
  <c r="AD34" i="17"/>
  <c r="AD17" i="17"/>
  <c r="AD11" i="17"/>
  <c r="AD15" i="17"/>
  <c r="AD13" i="17"/>
  <c r="AD14" i="17"/>
  <c r="AE42" i="17" l="1"/>
  <c r="AE18" i="17"/>
  <c r="AE12" i="17"/>
  <c r="AE6" i="17"/>
  <c r="AE34" i="17"/>
  <c r="AF7" i="17"/>
  <c r="AE15" i="17"/>
  <c r="AE11" i="17"/>
  <c r="AE17" i="17"/>
  <c r="AE14" i="17"/>
  <c r="AE13" i="17"/>
  <c r="AF34" i="17" l="1"/>
  <c r="AG7" i="17"/>
  <c r="AF12" i="17"/>
  <c r="AF13" i="17"/>
  <c r="AF17" i="17"/>
  <c r="AF18" i="17"/>
  <c r="AF14" i="17"/>
  <c r="AF11" i="17"/>
  <c r="AF42" i="17"/>
  <c r="AF15" i="17"/>
  <c r="AG12" i="17" l="1"/>
  <c r="AG17" i="17"/>
  <c r="AG34" i="17"/>
  <c r="AG18" i="17"/>
  <c r="AG11" i="17"/>
  <c r="AH7" i="17"/>
  <c r="AG42" i="17"/>
  <c r="AG14" i="17"/>
  <c r="AG15" i="17"/>
  <c r="AG13" i="17"/>
  <c r="AH14" i="17" l="1"/>
  <c r="AH42" i="17"/>
  <c r="AH15" i="17"/>
  <c r="AI7" i="17"/>
  <c r="AH12" i="17"/>
  <c r="AH17" i="17"/>
  <c r="AH11" i="17"/>
  <c r="AH13" i="17"/>
  <c r="AH18" i="17"/>
  <c r="AH34" i="17"/>
  <c r="AI12" i="17" l="1"/>
  <c r="AI17" i="17"/>
  <c r="AI11" i="17"/>
  <c r="AI18" i="17"/>
  <c r="AJ7" i="17"/>
  <c r="AI42" i="17"/>
  <c r="AI15" i="17"/>
  <c r="AI13" i="17"/>
  <c r="AI14" i="17"/>
  <c r="AI34" i="17"/>
  <c r="AJ13" i="17" l="1"/>
  <c r="AJ34" i="17"/>
  <c r="AJ14" i="17"/>
  <c r="AJ12" i="17"/>
  <c r="AJ17" i="17"/>
  <c r="AJ18" i="17"/>
  <c r="AJ42" i="17"/>
  <c r="AJ11" i="17"/>
  <c r="AJ15" i="17"/>
  <c r="AK7" i="17"/>
  <c r="AK42" i="17" l="1"/>
  <c r="AK34" i="17"/>
  <c r="AK12" i="17"/>
  <c r="AK11" i="17"/>
  <c r="AK14" i="17"/>
  <c r="AK15" i="17"/>
  <c r="AK13" i="17"/>
  <c r="AK17" i="17"/>
  <c r="AL7" i="17"/>
  <c r="AK18" i="17"/>
  <c r="AL11" i="17" l="1"/>
  <c r="AL6" i="17"/>
  <c r="AL17" i="17"/>
  <c r="AM7" i="17"/>
  <c r="AL13" i="17"/>
  <c r="AL12" i="17"/>
  <c r="AL18" i="17"/>
  <c r="AL15" i="17"/>
  <c r="AL34" i="17"/>
  <c r="AL14" i="17"/>
  <c r="AL42" i="17"/>
  <c r="AM18" i="17" l="1"/>
  <c r="AM13" i="17"/>
  <c r="AN7" i="17"/>
  <c r="AM15" i="17"/>
  <c r="AM14" i="17"/>
  <c r="AM42" i="17"/>
  <c r="AM34" i="17"/>
  <c r="AM11" i="17"/>
  <c r="AM12" i="17"/>
  <c r="AM17" i="17"/>
  <c r="AN14" i="17" l="1"/>
  <c r="AN34" i="17"/>
  <c r="AN11" i="17"/>
  <c r="AN12" i="17"/>
  <c r="AN17" i="17"/>
  <c r="AN42" i="17"/>
  <c r="AN13" i="17"/>
  <c r="AN18" i="17"/>
  <c r="AN15" i="17"/>
  <c r="AO7" i="17"/>
  <c r="AO17" i="17" l="1"/>
  <c r="AO11" i="17"/>
  <c r="AO18" i="17"/>
  <c r="AO14" i="17"/>
  <c r="AO42" i="17"/>
  <c r="AO13" i="17"/>
  <c r="AO34" i="17"/>
  <c r="AP7" i="17"/>
  <c r="AO12" i="17"/>
  <c r="AO15" i="17"/>
  <c r="AP34" i="17" l="1"/>
  <c r="AP14" i="17"/>
  <c r="AQ7" i="17"/>
  <c r="AP42" i="17"/>
  <c r="AP12" i="17"/>
  <c r="AP17" i="17"/>
  <c r="AP13" i="17"/>
  <c r="AP11" i="17"/>
  <c r="AP15" i="17"/>
  <c r="AP18" i="17"/>
  <c r="AQ15" i="17" l="1"/>
  <c r="AQ17" i="17"/>
  <c r="AQ11" i="17"/>
  <c r="AQ34" i="17"/>
  <c r="AQ13" i="17"/>
  <c r="AQ14" i="17"/>
  <c r="AR7" i="17"/>
  <c r="AQ42" i="17"/>
  <c r="AQ12" i="17"/>
  <c r="AQ18" i="17"/>
  <c r="AR18" i="17" l="1"/>
  <c r="AR42" i="17"/>
  <c r="AR14" i="17"/>
  <c r="AR13" i="17"/>
  <c r="AS7" i="17"/>
  <c r="AR12" i="17"/>
  <c r="AR34" i="17"/>
  <c r="AR11" i="17"/>
  <c r="AR15" i="17"/>
  <c r="AR17" i="17"/>
  <c r="AS18" i="17" l="1"/>
  <c r="AS12" i="17"/>
  <c r="AS11" i="17"/>
  <c r="AS6" i="17"/>
  <c r="AS34" i="17"/>
  <c r="AS13" i="17"/>
  <c r="AS14" i="17"/>
  <c r="AS15" i="17"/>
  <c r="AT7" i="17"/>
  <c r="AS17" i="17"/>
  <c r="AS42" i="17"/>
  <c r="AT18" i="17" l="1"/>
  <c r="AT42" i="17"/>
  <c r="AT11" i="17"/>
  <c r="AU7" i="17"/>
  <c r="AT13" i="17"/>
  <c r="AT15" i="17"/>
  <c r="AT34" i="17"/>
  <c r="AT12" i="17"/>
  <c r="AT17" i="17"/>
  <c r="AT14" i="17"/>
  <c r="AU15" i="17" l="1"/>
  <c r="AU17" i="17"/>
  <c r="AU13" i="17"/>
  <c r="AU14" i="17"/>
  <c r="AU42" i="17"/>
  <c r="AU18" i="17"/>
  <c r="AU11" i="17"/>
  <c r="AV7" i="17"/>
  <c r="AU12" i="17"/>
  <c r="AU34" i="17"/>
  <c r="AV11" i="17" l="1"/>
  <c r="AV42" i="17"/>
  <c r="AV34" i="17"/>
  <c r="AV15" i="17"/>
  <c r="AW7" i="17"/>
  <c r="AV12" i="17"/>
  <c r="AV18" i="17"/>
  <c r="AV13" i="17"/>
  <c r="AV14" i="17"/>
  <c r="AV17" i="17"/>
  <c r="AW12" i="17" l="1"/>
  <c r="AW13" i="17"/>
  <c r="AW14" i="17"/>
  <c r="AW17" i="17"/>
  <c r="AW42" i="17"/>
  <c r="AW11" i="17"/>
  <c r="AW34" i="17"/>
  <c r="AW18" i="17"/>
  <c r="AX7" i="17"/>
  <c r="AW15" i="17"/>
  <c r="AX11" i="17" l="1"/>
  <c r="AX17" i="17"/>
  <c r="AX13" i="17"/>
  <c r="AX15" i="17"/>
  <c r="AX14" i="17"/>
  <c r="AY7" i="17"/>
  <c r="AX18" i="17"/>
  <c r="AX42" i="17"/>
  <c r="AX12" i="17"/>
  <c r="AX34" i="17"/>
  <c r="AZ7" i="17" l="1"/>
  <c r="AY17" i="17"/>
  <c r="AY18" i="17"/>
  <c r="AY11" i="17"/>
  <c r="AY34" i="17"/>
  <c r="AY14" i="17"/>
  <c r="AY12" i="17"/>
  <c r="AY15" i="17"/>
  <c r="AY42" i="17"/>
  <c r="AY13" i="17"/>
  <c r="AZ42" i="17" l="1"/>
  <c r="AZ14" i="17"/>
  <c r="AZ18" i="17"/>
  <c r="BA7" i="17"/>
  <c r="AZ13" i="17"/>
  <c r="AZ12" i="17"/>
  <c r="AZ6" i="17"/>
  <c r="AZ34" i="17"/>
  <c r="AZ17" i="17"/>
  <c r="AZ11" i="17"/>
  <c r="AZ15" i="17"/>
  <c r="BA13" i="17" l="1"/>
  <c r="BA18" i="17"/>
  <c r="BA11" i="17"/>
  <c r="BA14" i="17"/>
  <c r="BA12" i="17"/>
  <c r="BA17" i="17"/>
  <c r="BB7" i="17"/>
  <c r="BA34" i="17"/>
  <c r="BA15" i="17"/>
  <c r="BA42" i="17"/>
  <c r="BC7" i="17" l="1"/>
  <c r="BB18" i="17"/>
  <c r="BB15" i="17"/>
  <c r="BB14" i="17"/>
  <c r="BB13" i="17"/>
  <c r="BB42" i="17"/>
  <c r="BB11" i="17"/>
  <c r="BB12" i="17"/>
  <c r="BB17" i="17"/>
  <c r="BB34" i="17"/>
  <c r="BC15" i="17" l="1"/>
  <c r="BC11" i="17"/>
  <c r="BC17" i="17"/>
  <c r="BC34" i="17"/>
  <c r="BC18" i="17"/>
  <c r="BD7" i="17"/>
  <c r="BC12" i="17"/>
  <c r="BC14" i="17"/>
  <c r="BC42" i="17"/>
  <c r="BC13" i="17"/>
  <c r="BD14" i="17" l="1"/>
  <c r="BD15" i="17"/>
  <c r="BD34" i="17"/>
  <c r="BD13" i="17"/>
  <c r="BD18" i="17"/>
  <c r="BD42" i="17"/>
  <c r="BD12" i="17"/>
  <c r="BD11" i="17"/>
  <c r="BE7" i="17"/>
  <c r="BD17" i="17"/>
  <c r="BF7" i="17" l="1"/>
  <c r="BE12" i="17"/>
  <c r="BE13" i="17"/>
  <c r="BE15" i="17"/>
  <c r="BE17" i="17"/>
  <c r="BE18" i="17"/>
  <c r="BE14" i="17"/>
  <c r="BE11" i="17"/>
  <c r="BE34" i="17"/>
  <c r="BE42" i="17"/>
  <c r="BF14" i="17" l="1"/>
  <c r="BF12" i="17"/>
  <c r="BF11" i="17"/>
  <c r="BF17" i="17"/>
  <c r="BF15" i="17"/>
  <c r="BF18" i="17"/>
  <c r="BG7" i="17"/>
  <c r="BF34" i="17"/>
  <c r="BF13" i="17"/>
  <c r="BF42" i="17"/>
  <c r="BG15" i="17" l="1"/>
  <c r="BG11" i="17"/>
  <c r="BG17" i="17"/>
  <c r="BG34" i="17"/>
  <c r="BH7" i="17"/>
  <c r="BG14" i="17"/>
  <c r="BG13" i="17"/>
  <c r="BG6" i="17"/>
  <c r="BG42" i="17"/>
  <c r="BG12" i="17"/>
  <c r="BG18" i="17"/>
  <c r="BH15" i="17" l="1"/>
  <c r="BI7" i="17"/>
  <c r="BH17" i="17"/>
  <c r="BH11" i="17"/>
  <c r="BH42" i="17"/>
  <c r="BH14" i="17"/>
  <c r="BH18" i="17"/>
  <c r="BH13" i="17"/>
  <c r="BH34" i="17"/>
  <c r="BH12" i="17"/>
  <c r="BI42" i="17" l="1"/>
  <c r="BI13" i="17"/>
  <c r="BI12" i="17"/>
  <c r="BI34" i="17"/>
  <c r="BJ7" i="17"/>
  <c r="BI17" i="17"/>
  <c r="BI18" i="17"/>
  <c r="BI11" i="17"/>
  <c r="BI14" i="17"/>
  <c r="BI15" i="17"/>
  <c r="BJ17" i="17" l="1"/>
  <c r="BJ13" i="17"/>
  <c r="BK7" i="17"/>
  <c r="BJ42" i="17"/>
  <c r="BJ12" i="17"/>
  <c r="BJ14" i="17"/>
  <c r="BJ18" i="17"/>
  <c r="BJ11" i="17"/>
  <c r="BJ15" i="17"/>
  <c r="BJ34" i="17"/>
  <c r="BK12" i="17" l="1"/>
  <c r="BK42" i="17"/>
  <c r="BK34" i="17"/>
  <c r="BK11" i="17"/>
  <c r="BL7" i="17"/>
  <c r="BK17" i="17"/>
  <c r="BK15" i="17"/>
  <c r="BK13" i="17"/>
  <c r="BK14" i="17"/>
  <c r="BK18" i="17"/>
  <c r="BL13" i="17" l="1"/>
  <c r="BL12" i="17"/>
  <c r="BL14" i="17"/>
  <c r="BL17" i="17"/>
  <c r="BL18" i="17"/>
  <c r="BL34" i="17"/>
  <c r="BL42" i="17"/>
  <c r="BL15" i="17"/>
  <c r="BL11" i="17"/>
  <c r="BM7" i="17"/>
  <c r="BM14" i="17" l="1"/>
  <c r="BM15" i="17"/>
  <c r="BM17" i="17"/>
  <c r="BM11" i="17"/>
  <c r="BM18" i="17"/>
  <c r="BM42" i="17"/>
  <c r="BM34" i="17"/>
  <c r="BN7" i="17"/>
  <c r="BM12" i="17"/>
  <c r="BM13" i="17"/>
  <c r="BN42" i="17" l="1"/>
  <c r="BN6" i="17"/>
  <c r="BN18" i="17"/>
  <c r="BN34" i="17"/>
  <c r="BO7" i="17"/>
  <c r="BN17" i="17"/>
  <c r="BN15" i="17"/>
  <c r="BN12" i="17"/>
  <c r="BN11" i="17"/>
  <c r="BN13" i="17"/>
  <c r="BN14" i="17"/>
  <c r="BO12" i="17" l="1"/>
  <c r="BO42" i="17"/>
  <c r="BO14" i="17"/>
  <c r="BO15" i="17"/>
  <c r="BO13" i="17"/>
  <c r="BO18" i="17"/>
  <c r="BO11" i="17"/>
  <c r="BP7" i="17"/>
  <c r="BO17" i="17"/>
  <c r="BO34" i="17"/>
  <c r="BQ7" i="17" l="1"/>
  <c r="BP12" i="17"/>
  <c r="BP18" i="17"/>
  <c r="BP14" i="17"/>
  <c r="BP42" i="17"/>
  <c r="BP13" i="17"/>
  <c r="BP11" i="17"/>
  <c r="BP15" i="17"/>
  <c r="BP17" i="17"/>
  <c r="BP34" i="17"/>
  <c r="BQ17" i="17" l="1"/>
  <c r="BQ12" i="17"/>
  <c r="BQ34" i="17"/>
  <c r="BQ11" i="17"/>
  <c r="BQ42" i="17"/>
  <c r="BR7" i="17"/>
  <c r="BQ13" i="17"/>
  <c r="BQ18" i="17"/>
  <c r="BQ15" i="17"/>
  <c r="BQ14" i="17"/>
  <c r="BR11" i="17" l="1"/>
  <c r="BR13" i="17"/>
  <c r="BR18" i="17"/>
  <c r="BR42" i="17"/>
  <c r="BR12" i="17"/>
  <c r="BR17" i="17"/>
  <c r="BR34" i="17"/>
  <c r="BS7" i="17"/>
  <c r="BR15" i="17"/>
  <c r="BR14" i="17"/>
  <c r="BS13" i="17" l="1"/>
  <c r="BS42" i="17"/>
  <c r="BT7" i="17"/>
  <c r="BS12" i="17"/>
  <c r="BS18" i="17"/>
  <c r="BS11" i="17"/>
  <c r="BS17" i="17"/>
  <c r="BS15" i="17"/>
  <c r="BS34" i="17"/>
  <c r="BS14" i="17"/>
  <c r="BT14" i="17" l="1"/>
  <c r="BT42" i="17"/>
  <c r="BT34" i="17"/>
  <c r="BT13" i="17"/>
  <c r="BT12" i="17"/>
  <c r="BT18" i="17"/>
  <c r="BT17" i="17"/>
  <c r="BT11" i="17"/>
  <c r="BT15"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<sst xmlns="http://schemas.openxmlformats.org/spreadsheetml/2006/main" count="146" uniqueCount="64">
  <si>
    <t>COMPROMISOS 2026</t>
  </si>
  <si>
    <t>Nombre de la empresa</t>
  </si>
  <si>
    <t>G&amp;E SA</t>
  </si>
  <si>
    <t>Leyenda:</t>
  </si>
  <si>
    <t>Según lo previsto</t>
  </si>
  <si>
    <t>Riesgo bajo</t>
  </si>
  <si>
    <t>Riesgo medio</t>
  </si>
  <si>
    <t>Riesgo alto</t>
  </si>
  <si>
    <t>Sin asignar</t>
  </si>
  <si>
    <t>Responsable del proyecto</t>
  </si>
  <si>
    <t>Fecha de inicio del proyecto:</t>
  </si>
  <si>
    <t>Incremento de desplazamiento:</t>
  </si>
  <si>
    <t>Tipo de cambio DIVISA COMPRADOR a la fecha</t>
  </si>
  <si>
    <t>FECHA DE HOY</t>
  </si>
  <si>
    <t>Descripción del hito</t>
  </si>
  <si>
    <t>MONTO INICIAL</t>
  </si>
  <si>
    <t>A DEVOLVER</t>
  </si>
  <si>
    <t>MONTO INICIAL EN USD</t>
  </si>
  <si>
    <t>MONTO A DEVOLVER EN USD</t>
  </si>
  <si>
    <t>CATEGORIA</t>
  </si>
  <si>
    <t>ASIGNADO A</t>
  </si>
  <si>
    <t>TASA INTERES</t>
  </si>
  <si>
    <t>COMISION</t>
  </si>
  <si>
    <t>FECHA INICIAL</t>
  </si>
  <si>
    <t>FECHA FINAL</t>
  </si>
  <si>
    <t>DIAS</t>
  </si>
  <si>
    <t>DIAS PARA VENCIMIENTO</t>
  </si>
  <si>
    <t>ESTADO</t>
  </si>
  <si>
    <t>FINANZAS</t>
  </si>
  <si>
    <t>1 . GARANTIZAR SGR NACION</t>
  </si>
  <si>
    <t>PENDIENTE</t>
  </si>
  <si>
    <t>2. NACION</t>
  </si>
  <si>
    <t>3. GALICIA</t>
  </si>
  <si>
    <t>4. GALICIA</t>
  </si>
  <si>
    <t>5. MACRO USD</t>
  </si>
  <si>
    <t>6. MACRO USD</t>
  </si>
  <si>
    <t>7. GALICIA</t>
  </si>
  <si>
    <t>PAGADO</t>
  </si>
  <si>
    <t>8. MACRO</t>
  </si>
  <si>
    <t>PLAN DE PAGO F931 1/6</t>
  </si>
  <si>
    <t>PLAN DE PAGO F931 2/6</t>
  </si>
  <si>
    <t>PLAN DE PAGO F931 3/6</t>
  </si>
  <si>
    <t>PLAN DE PAGO F931 4/6</t>
  </si>
  <si>
    <t>PLAN DE PAGO F931 5/6</t>
  </si>
  <si>
    <t>PLAN DE PAGO F931 6/6</t>
  </si>
  <si>
    <t>GANADERIA</t>
  </si>
  <si>
    <t>CUENTAS A PAGAR 2024</t>
  </si>
  <si>
    <t>SUPRA GDM TARJETA AGRONAION</t>
  </si>
  <si>
    <t>TODO CAMPO INS TARJETA AGRONACION</t>
  </si>
  <si>
    <t>TODO CAMPO INS</t>
  </si>
  <si>
    <t>CUENTAS A PAGAR 2025</t>
  </si>
  <si>
    <t>PROVEEDORES A PAGAR 2025</t>
  </si>
  <si>
    <t>OTRAS CUENTAS A PAGAR 2025</t>
  </si>
  <si>
    <t>Para agregar más datos, inserte filas nuevas ENCIMA de esta.</t>
  </si>
  <si>
    <t>CUENTAS A PAGAR 2026</t>
  </si>
  <si>
    <t>FINANZAS 2026</t>
  </si>
  <si>
    <t>PROVEEDORES A PAGAR 2026</t>
  </si>
  <si>
    <t>SUPRA GDM TARJETA AGRONACION</t>
  </si>
  <si>
    <t>TODO CAMPO INS CHQUES</t>
  </si>
  <si>
    <t>MONTO USD</t>
  </si>
  <si>
    <t>9. MACRO CANJE 90TN SOJA/MAIZ</t>
  </si>
  <si>
    <t>10. PAMPA</t>
  </si>
  <si>
    <t>VENCIDO</t>
  </si>
  <si>
    <t>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</si>
</sst>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8" formatCode="&quot;$&quot;\ #,##0.00;[Red]\-&quot;$&quot;\ #,##0.00"/>
    <numFmt numFmtId="44" formatCode="_-&quot;$&quot;\ * #,##0.00_-;\-&quot;$&quot;\ * #,##0.00_-;_-&quot;$&quot;\ * &quot;-&quot;??_-;_-@_-"/>
    <numFmt numFmtId="164" formatCode="_-* #,##0\ &quot;€&quot;_-;\-* #,##0\ &quot;€&quot;_-;_-* &quot;-&quot;\ &quot;€&quot;_-;_-@_-"/>
    <numFmt numFmtId="165" formatCode="_-* #,##0.00\ &quot;€&quot;_-;\-* #,##0.00\ &quot;€&quot;_-;_-* &quot;-&quot;??\ &quot;€&quot;_-;_-@_-"/>
    <numFmt numFmtId="166" formatCode="_(* #,##0.00_);_(* \(#,##0.00\);_(* &quot;-&quot;??_);_(@_)"/>
    <numFmt numFmtId="167" formatCode="d"/>
    <numFmt numFmtId="168" formatCode="#,##0_ ;\-#,##0\ "/>
    <numFmt numFmtId="169" formatCode="_-[$USD]\ * #,##0.00_-;\-[$USD]\ * #,##0.00_-;_-[$USD]\ * &quot;-&quot;??_-;_-@_-"/>
    <numFmt numFmtId="170" formatCode="_-[$$-409]* #,##0.00_ ;_-[$$-409]* \-#,##0.00\ ;_-[$$-409]* &quot;-&quot;??_ ;_-@_ "/>
    <numFmt numFmtId="171" formatCode="0.0%"/>
  </numFmts>
  <fonts count="36"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sz val="11"/>
      <color theme="0"/>
      <name val="Calibri"/>
      <family val="2"/>
      <scheme val="minor"/>
    </font>
    <font>
      <b/>
      <sz val="10"/>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b/>
      <sz val="11"/>
      <color theme="0"/>
      <name val="Calibri"/>
      <family val="2"/>
      <scheme val="minor"/>
    </font>
    <font>
      <b/>
      <sz val="16"/>
      <name val="Calibri"/>
      <family val="2"/>
      <scheme val="minor"/>
    </font>
    <font>
      <b/>
      <sz val="16"/>
      <color rgb="FF000000"/>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b/>
      <sz val="10"/>
      <name val="Calibri"/>
      <family val="2"/>
      <scheme val="minor"/>
    </font>
    <font>
      <b/>
      <sz val="11"/>
      <name val="Calibri"/>
      <family val="2"/>
      <scheme val="major"/>
    </font>
    <font>
      <b/>
      <sz val="16"/>
      <name val="Calibri"/>
      <family val="2"/>
      <scheme val="major"/>
    </font>
    <font>
      <sz val="10"/>
      <color theme="1"/>
      <name val="Calibri"/>
      <family val="2"/>
      <scheme val="minor"/>
    </font>
    <font>
      <sz val="10"/>
      <color rgb="FFFF0000"/>
      <name val="Calibri"/>
      <family val="2"/>
      <scheme val="minor"/>
    </font>
    <font>
      <b/>
      <sz val="10"/>
      <color theme="1" tint="0.499984740745262"/>
      <name val="Calibri"/>
      <family val="2"/>
      <scheme val="minor"/>
    </font>
    <font>
      <sz val="10"/>
      <color theme="0"/>
      <name val="Calibri"/>
      <family val="2"/>
      <scheme val="minor"/>
    </font>
    <font>
      <sz val="10"/>
      <color theme="1" tint="0.499984740745262"/>
      <name val="Calibri"/>
      <family val="2"/>
      <scheme val="minor"/>
    </font>
    <font>
      <sz val="10"/>
      <color rgb="FF00B050"/>
      <name val="Calibri"/>
      <family val="2"/>
      <scheme val="minor"/>
    </font>
  </fonts>
  <fills count="48">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2" tint="-4.9989318521683403E-2"/>
        <bgColor indexed="64"/>
      </patternFill>
    </fill>
    <fill>
      <patternFill patternType="solid">
        <fgColor rgb="FF215881"/>
        <bgColor indexed="64"/>
      </patternFill>
    </fill>
    <fill>
      <patternFill patternType="solid">
        <fgColor theme="9" tint="0.59999389629810485"/>
        <bgColor indexed="64"/>
      </patternFill>
    </fill>
    <fill>
      <patternFill patternType="solid">
        <fgColor rgb="FFFFC000"/>
        <bgColor indexed="64"/>
      </patternFill>
    </fill>
    <fill>
      <patternFill patternType="solid">
        <fgColor rgb="FF427FC2"/>
        <bgColor indexed="64"/>
      </patternFill>
    </fill>
    <fill>
      <patternFill patternType="solid">
        <fgColor rgb="FF92D050"/>
        <bgColor indexed="64"/>
      </patternFill>
    </fill>
  </fills>
  <borders count="26">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499984740745262"/>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34998626667073579"/>
      </left>
      <right style="thin">
        <color theme="0" tint="-0.34998626667073579"/>
      </right>
      <top/>
      <bottom style="thin">
        <color theme="0" tint="-0.34998626667073579"/>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s>
  <cellStyleXfs count="51">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7" fillId="0" borderId="0"/>
    <xf numFmtId="166"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168" fontId="4" fillId="0" borderId="0" applyFont="0" applyFill="0" applyBorder="0" applyProtection="0">
      <alignment horizontal="center" vertical="center"/>
    </xf>
    <xf numFmtId="0" fontId="7" fillId="3" borderId="0" applyNumberFormat="0" applyBorder="0" applyAlignment="0" applyProtection="0"/>
    <xf numFmtId="165" fontId="4" fillId="0" borderId="0" applyFont="0" applyFill="0" applyBorder="0" applyAlignment="0" applyProtection="0"/>
    <xf numFmtId="164" fontId="4" fillId="0" borderId="0" applyFont="0" applyFill="0" applyBorder="0" applyAlignment="0" applyProtection="0"/>
    <xf numFmtId="0" fontId="16" fillId="0" borderId="0" applyNumberFormat="0" applyFill="0" applyBorder="0" applyAlignment="0" applyProtection="0"/>
    <xf numFmtId="0" fontId="17" fillId="11" borderId="0" applyNumberFormat="0" applyBorder="0" applyAlignment="0" applyProtection="0"/>
    <xf numFmtId="0" fontId="18" fillId="12" borderId="0" applyNumberFormat="0" applyBorder="0" applyAlignment="0" applyProtection="0"/>
    <xf numFmtId="0" fontId="19" fillId="13" borderId="0" applyNumberFormat="0" applyBorder="0" applyAlignment="0" applyProtection="0"/>
    <xf numFmtId="0" fontId="20" fillId="14" borderId="9" applyNumberFormat="0" applyAlignment="0" applyProtection="0"/>
    <xf numFmtId="0" fontId="21" fillId="15" borderId="10" applyNumberFormat="0" applyAlignment="0" applyProtection="0"/>
    <xf numFmtId="0" fontId="22" fillId="15" borderId="9" applyNumberFormat="0" applyAlignment="0" applyProtection="0"/>
    <xf numFmtId="0" fontId="23" fillId="0" borderId="11" applyNumberFormat="0" applyFill="0" applyAlignment="0" applyProtection="0"/>
    <xf numFmtId="0" fontId="13" fillId="16" borderId="12" applyNumberFormat="0" applyAlignment="0" applyProtection="0"/>
    <xf numFmtId="0" fontId="24" fillId="0" borderId="0" applyNumberFormat="0" applyFill="0" applyBorder="0" applyAlignment="0" applyProtection="0"/>
    <xf numFmtId="0" fontId="4" fillId="17" borderId="13" applyNumberFormat="0" applyFont="0" applyAlignment="0" applyProtection="0"/>
    <xf numFmtId="0" fontId="25" fillId="0" borderId="0" applyNumberFormat="0" applyFill="0" applyBorder="0" applyAlignment="0" applyProtection="0"/>
    <xf numFmtId="0" fontId="26" fillId="0" borderId="14" applyNumberFormat="0" applyFill="0" applyAlignment="0" applyProtection="0"/>
    <xf numFmtId="0" fontId="7"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7"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7"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7" fillId="33"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7" fillId="37"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44" fontId="4" fillId="0" borderId="0" applyFont="0" applyFill="0" applyBorder="0" applyAlignment="0" applyProtection="0"/>
  </cellStyleXfs>
  <cellXfs count="157">
    <xf numFmtId="0" fontId="0" fillId="0" borderId="0" xfId="0"/>
    <xf numFmtId="0" fontId="0" fillId="0" borderId="0" xfId="0" applyAlignment="1">
      <alignment vertical="center"/>
    </xf>
    <xf numFmtId="0" fontId="0" fillId="0" borderId="0" xfId="0" applyAlignment="1">
      <alignment horizontal="right" vertical="center"/>
    </xf>
    <xf numFmtId="0" fontId="0" fillId="0" borderId="4" xfId="0" applyBorder="1" applyAlignment="1">
      <alignment horizontal="center" vertical="center"/>
    </xf>
    <xf numFmtId="0" fontId="3" fillId="0" borderId="0" xfId="0" applyFont="1" applyAlignment="1">
      <alignment horizontal="center" vertical="center"/>
    </xf>
    <xf numFmtId="0" fontId="3" fillId="2" borderId="0" xfId="0" applyFont="1" applyFill="1"/>
    <xf numFmtId="0" fontId="3" fillId="0" borderId="0" xfId="0" applyFont="1" applyAlignment="1">
      <alignment vertical="center"/>
    </xf>
    <xf numFmtId="0" fontId="3" fillId="0" borderId="0" xfId="0" applyFont="1" applyAlignment="1">
      <alignment horizontal="left" vertical="center" indent="2"/>
    </xf>
    <xf numFmtId="0" fontId="3" fillId="0" borderId="0" xfId="0" applyFont="1"/>
    <xf numFmtId="0" fontId="3" fillId="0" borderId="0" xfId="0" applyFont="1" applyAlignment="1">
      <alignment horizontal="right" vertical="center"/>
    </xf>
    <xf numFmtId="0" fontId="3" fillId="0" borderId="3" xfId="0" applyFont="1" applyBorder="1"/>
    <xf numFmtId="0" fontId="11" fillId="0" borderId="0" xfId="0" applyFont="1" applyAlignment="1">
      <alignment vertical="center"/>
    </xf>
    <xf numFmtId="0" fontId="0" fillId="0" borderId="0" xfId="0" applyAlignment="1">
      <alignment horizontal="center" vertical="center"/>
    </xf>
    <xf numFmtId="0" fontId="8" fillId="0" borderId="3" xfId="0" applyFont="1" applyBorder="1" applyAlignment="1">
      <alignment horizontal="center" vertical="center" wrapText="1"/>
    </xf>
    <xf numFmtId="0" fontId="9" fillId="0" borderId="8" xfId="0" applyFont="1" applyBorder="1"/>
    <xf numFmtId="0" fontId="14" fillId="0" borderId="8" xfId="0" applyFont="1" applyBorder="1" applyAlignment="1">
      <alignment vertical="center"/>
    </xf>
    <xf numFmtId="0" fontId="15" fillId="0" borderId="8" xfId="0" applyFont="1" applyBorder="1" applyAlignment="1">
      <alignment vertical="center"/>
    </xf>
    <xf numFmtId="0" fontId="12" fillId="0" borderId="8" xfId="0" applyFont="1" applyBorder="1" applyAlignment="1">
      <alignment vertical="center"/>
    </xf>
    <xf numFmtId="0" fontId="1" fillId="10" borderId="1" xfId="0" applyFont="1" applyFill="1" applyBorder="1" applyAlignment="1">
      <alignment horizontal="center" vertical="center" shrinkToFit="1"/>
    </xf>
    <xf numFmtId="167" fontId="1" fillId="10" borderId="6" xfId="0" applyNumberFormat="1" applyFont="1" applyFill="1" applyBorder="1" applyAlignment="1">
      <alignment horizontal="center" vertical="center"/>
    </xf>
    <xf numFmtId="167" fontId="1" fillId="10" borderId="5" xfId="0" applyNumberFormat="1" applyFont="1" applyFill="1" applyBorder="1" applyAlignment="1">
      <alignment horizontal="center" vertical="center"/>
    </xf>
    <xf numFmtId="167" fontId="1" fillId="10" borderId="7" xfId="0" applyNumberFormat="1" applyFont="1" applyFill="1" applyBorder="1" applyAlignment="1">
      <alignment horizontal="center" vertical="center"/>
    </xf>
    <xf numFmtId="167" fontId="1" fillId="10" borderId="2" xfId="0" applyNumberFormat="1" applyFont="1" applyFill="1" applyBorder="1" applyAlignment="1">
      <alignment horizontal="center" vertical="center"/>
    </xf>
    <xf numFmtId="167" fontId="1" fillId="10" borderId="0" xfId="0" applyNumberFormat="1" applyFont="1" applyFill="1" applyAlignment="1">
      <alignment horizontal="center" vertical="center"/>
    </xf>
    <xf numFmtId="167" fontId="1" fillId="10" borderId="3" xfId="0" applyNumberFormat="1" applyFont="1" applyFill="1" applyBorder="1" applyAlignment="1">
      <alignment horizontal="center" vertical="center"/>
    </xf>
    <xf numFmtId="0" fontId="28" fillId="0" borderId="0" xfId="5" applyFont="1" applyFill="1" applyBorder="1" applyAlignment="1">
      <alignment horizontal="left" vertical="center"/>
    </xf>
    <xf numFmtId="0" fontId="28" fillId="0" borderId="0" xfId="0" applyFont="1" applyAlignment="1">
      <alignment horizontal="left" vertical="center"/>
    </xf>
    <xf numFmtId="0" fontId="1" fillId="41" borderId="0" xfId="0" applyFont="1" applyFill="1" applyAlignment="1">
      <alignment horizontal="left" vertical="center" wrapText="1" indent="2"/>
    </xf>
    <xf numFmtId="0" fontId="1" fillId="41" borderId="0" xfId="0" applyFont="1" applyFill="1" applyAlignment="1">
      <alignment horizontal="center" vertical="center"/>
    </xf>
    <xf numFmtId="9" fontId="27" fillId="41" borderId="0" xfId="2" applyFont="1" applyFill="1" applyBorder="1">
      <alignment horizontal="center" vertical="center"/>
    </xf>
    <xf numFmtId="14" fontId="1" fillId="41" borderId="0" xfId="9" applyFont="1" applyFill="1" applyBorder="1">
      <alignment horizontal="center" vertical="center"/>
    </xf>
    <xf numFmtId="168" fontId="1" fillId="41" borderId="0" xfId="10" applyFont="1" applyFill="1" applyBorder="1">
      <alignment horizontal="center" vertical="center"/>
    </xf>
    <xf numFmtId="44" fontId="1" fillId="41" borderId="0" xfId="12" applyNumberFormat="1" applyFont="1" applyFill="1" applyAlignment="1">
      <alignment horizontal="left" vertical="center" wrapText="1" indent="2"/>
    </xf>
    <xf numFmtId="169" fontId="1" fillId="41" borderId="0" xfId="12" applyNumberFormat="1" applyFont="1" applyFill="1" applyAlignment="1">
      <alignment horizontal="left" vertical="center" wrapText="1" indent="2"/>
    </xf>
    <xf numFmtId="10" fontId="27" fillId="41" borderId="0" xfId="2" applyNumberFormat="1" applyFont="1" applyFill="1" applyBorder="1">
      <alignment horizontal="center" vertical="center"/>
    </xf>
    <xf numFmtId="0" fontId="0" fillId="41" borderId="4" xfId="0" applyFill="1" applyBorder="1" applyAlignment="1">
      <alignment horizontal="center" vertical="center"/>
    </xf>
    <xf numFmtId="167" fontId="1" fillId="41" borderId="3" xfId="0" applyNumberFormat="1" applyFont="1" applyFill="1" applyBorder="1" applyAlignment="1">
      <alignment horizontal="center" vertical="center"/>
    </xf>
    <xf numFmtId="0" fontId="0" fillId="41" borderId="0" xfId="0" applyFill="1"/>
    <xf numFmtId="0" fontId="1" fillId="10" borderId="15" xfId="0" applyFont="1" applyFill="1" applyBorder="1" applyAlignment="1">
      <alignment horizontal="center" vertical="center" shrinkToFit="1"/>
    </xf>
    <xf numFmtId="167" fontId="1" fillId="41" borderId="0" xfId="0" applyNumberFormat="1" applyFont="1" applyFill="1" applyAlignment="1">
      <alignment horizontal="center" vertical="center"/>
    </xf>
    <xf numFmtId="9" fontId="27" fillId="41" borderId="0" xfId="2" applyFont="1" applyFill="1">
      <alignment horizontal="center" vertical="center"/>
    </xf>
    <xf numFmtId="14" fontId="27" fillId="41" borderId="0" xfId="9" applyFont="1" applyFill="1" applyBorder="1">
      <alignment horizontal="center" vertical="center"/>
    </xf>
    <xf numFmtId="0" fontId="30" fillId="0" borderId="0" xfId="0" applyFont="1"/>
    <xf numFmtId="0" fontId="30" fillId="0" borderId="0" xfId="0" applyFont="1" applyAlignment="1">
      <alignment horizontal="center"/>
    </xf>
    <xf numFmtId="0" fontId="1" fillId="0" borderId="0" xfId="0" applyFont="1" applyAlignment="1">
      <alignment vertical="center"/>
    </xf>
    <xf numFmtId="0" fontId="1" fillId="0" borderId="0" xfId="0" applyFont="1" applyAlignment="1">
      <alignment horizontal="center" vertical="center"/>
    </xf>
    <xf numFmtId="0" fontId="1" fillId="0" borderId="0" xfId="0" applyFont="1" applyAlignment="1">
      <alignment horizontal="left" vertical="center" indent="2"/>
    </xf>
    <xf numFmtId="0" fontId="1" fillId="0" borderId="0" xfId="0" applyFont="1"/>
    <xf numFmtId="0" fontId="1" fillId="0" borderId="0" xfId="0" applyFont="1" applyAlignment="1">
      <alignment horizontal="right" vertical="center"/>
    </xf>
    <xf numFmtId="0" fontId="1" fillId="0" borderId="0" xfId="8" applyFont="1" applyFill="1" applyAlignment="1">
      <alignment horizontal="left" vertical="center" indent="2"/>
    </xf>
    <xf numFmtId="44" fontId="1" fillId="0" borderId="0" xfId="12" applyNumberFormat="1" applyFont="1" applyAlignment="1">
      <alignment horizontal="left" vertical="center" indent="2"/>
    </xf>
    <xf numFmtId="0" fontId="8" fillId="9" borderId="0" xfId="0" applyFont="1" applyFill="1" applyAlignment="1">
      <alignment horizontal="left" vertical="center" indent="1"/>
    </xf>
    <xf numFmtId="0" fontId="8" fillId="9" borderId="0" xfId="0" applyFont="1" applyFill="1" applyAlignment="1">
      <alignment horizontal="left" vertical="center" wrapText="1" indent="1"/>
    </xf>
    <xf numFmtId="0" fontId="8" fillId="9" borderId="0" xfId="0" applyFont="1" applyFill="1" applyAlignment="1">
      <alignment horizontal="center" vertical="center" wrapText="1"/>
    </xf>
    <xf numFmtId="0" fontId="27" fillId="0" borderId="0" xfId="0" applyFont="1" applyAlignment="1">
      <alignment horizontal="left" vertical="center" wrapText="1" indent="1"/>
    </xf>
    <xf numFmtId="44" fontId="27" fillId="0" borderId="0" xfId="0" applyNumberFormat="1" applyFont="1" applyAlignment="1">
      <alignment horizontal="left" vertical="center" wrapText="1" indent="1"/>
    </xf>
    <xf numFmtId="9" fontId="27" fillId="0" borderId="0" xfId="2" applyFont="1" applyFill="1" applyBorder="1">
      <alignment horizontal="center" vertical="center"/>
    </xf>
    <xf numFmtId="14" fontId="1" fillId="0" borderId="0" xfId="9" applyFont="1" applyFill="1" applyBorder="1">
      <alignment horizontal="center" vertical="center"/>
    </xf>
    <xf numFmtId="168" fontId="1" fillId="0" borderId="0" xfId="10" applyFont="1" applyFill="1" applyBorder="1">
      <alignment horizontal="center" vertical="center"/>
    </xf>
    <xf numFmtId="1" fontId="31" fillId="41" borderId="0" xfId="10" applyNumberFormat="1" applyFont="1" applyFill="1" applyBorder="1">
      <alignment horizontal="center" vertical="center"/>
    </xf>
    <xf numFmtId="168" fontId="31" fillId="41" borderId="0" xfId="10" applyFont="1" applyFill="1" applyBorder="1">
      <alignment horizontal="center" vertical="center"/>
    </xf>
    <xf numFmtId="0" fontId="27" fillId="2" borderId="0" xfId="0" applyFont="1" applyFill="1" applyAlignment="1">
      <alignment horizontal="left" vertical="center" wrapText="1" indent="1"/>
    </xf>
    <xf numFmtId="0" fontId="1" fillId="2" borderId="0" xfId="0" applyFont="1" applyFill="1" applyAlignment="1">
      <alignment horizontal="center" vertical="center"/>
    </xf>
    <xf numFmtId="9" fontId="27" fillId="2" borderId="0" xfId="2" applyFont="1" applyFill="1" applyBorder="1">
      <alignment horizontal="center" vertical="center"/>
    </xf>
    <xf numFmtId="14" fontId="1" fillId="2" borderId="0" xfId="9" applyFont="1" applyFill="1" applyBorder="1">
      <alignment horizontal="center" vertical="center"/>
    </xf>
    <xf numFmtId="168" fontId="1" fillId="2" borderId="0" xfId="10" applyFont="1" applyFill="1" applyBorder="1">
      <alignment horizontal="center" vertical="center"/>
    </xf>
    <xf numFmtId="1" fontId="1" fillId="2" borderId="0" xfId="10" applyNumberFormat="1" applyFont="1" applyFill="1" applyBorder="1">
      <alignment horizontal="center" vertical="center"/>
    </xf>
    <xf numFmtId="0" fontId="27" fillId="41" borderId="0" xfId="0" applyFont="1" applyFill="1" applyAlignment="1">
      <alignment horizontal="left" vertical="center" wrapText="1" indent="1"/>
    </xf>
    <xf numFmtId="1" fontId="1" fillId="41" borderId="0" xfId="10" applyNumberFormat="1" applyFont="1" applyFill="1" applyBorder="1">
      <alignment horizontal="center" vertical="center"/>
    </xf>
    <xf numFmtId="44" fontId="27" fillId="2" borderId="0" xfId="12" applyNumberFormat="1" applyFont="1" applyFill="1" applyAlignment="1">
      <alignment horizontal="left" vertical="center" wrapText="1" indent="1"/>
    </xf>
    <xf numFmtId="169" fontId="27" fillId="2" borderId="0" xfId="12" applyNumberFormat="1" applyFont="1" applyFill="1" applyAlignment="1">
      <alignment horizontal="left" vertical="center" wrapText="1" indent="1"/>
    </xf>
    <xf numFmtId="0" fontId="1" fillId="41" borderId="0" xfId="0" applyFont="1" applyFill="1" applyAlignment="1">
      <alignment horizontal="left" vertical="center" wrapText="1" indent="3"/>
    </xf>
    <xf numFmtId="0" fontId="30" fillId="0" borderId="0" xfId="0" applyFont="1" applyAlignment="1">
      <alignment horizontal="left" wrapText="1" indent="1"/>
    </xf>
    <xf numFmtId="0" fontId="1" fillId="0" borderId="0" xfId="0" applyFont="1" applyAlignment="1">
      <alignment horizontal="left" vertical="center" wrapText="1" indent="2"/>
    </xf>
    <xf numFmtId="0" fontId="30" fillId="0" borderId="0" xfId="0" applyFont="1" applyAlignment="1">
      <alignment horizontal="center" vertical="center"/>
    </xf>
    <xf numFmtId="0" fontId="32" fillId="0" borderId="0" xfId="0" applyFont="1" applyAlignment="1">
      <alignment horizontal="center" vertical="center"/>
    </xf>
    <xf numFmtId="14" fontId="30" fillId="0" borderId="0" xfId="9" applyFont="1">
      <alignment horizontal="center" vertical="center"/>
    </xf>
    <xf numFmtId="14" fontId="1" fillId="0" borderId="0" xfId="9" applyFont="1" applyFill="1">
      <alignment horizontal="center" vertical="center"/>
    </xf>
    <xf numFmtId="0" fontId="33" fillId="0" borderId="0" xfId="0" applyFont="1" applyAlignment="1">
      <alignment horizontal="center"/>
    </xf>
    <xf numFmtId="0" fontId="34" fillId="0" borderId="0" xfId="1" applyFont="1" applyAlignment="1" applyProtection="1">
      <alignment horizontal="center" vertical="center"/>
    </xf>
    <xf numFmtId="0" fontId="10" fillId="0" borderId="0" xfId="6" applyFont="1" applyFill="1" applyAlignment="1">
      <alignment horizontal="left" vertical="center" indent="2"/>
    </xf>
    <xf numFmtId="0" fontId="10" fillId="0" borderId="0" xfId="0" applyFont="1" applyAlignment="1">
      <alignment horizontal="left" vertical="center" indent="2"/>
    </xf>
    <xf numFmtId="0" fontId="3" fillId="0" borderId="0" xfId="0" applyFont="1" applyAlignment="1">
      <alignment horizontal="center"/>
    </xf>
    <xf numFmtId="0" fontId="4" fillId="0" borderId="0" xfId="0" applyFont="1"/>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0" fontId="3" fillId="0" borderId="0" xfId="0" applyFont="1" applyAlignment="1">
      <alignment horizontal="left" vertical="center"/>
    </xf>
    <xf numFmtId="170" fontId="3" fillId="0" borderId="0" xfId="12" applyNumberFormat="1" applyFont="1" applyAlignment="1">
      <alignment horizontal="left" vertical="center" indent="2"/>
    </xf>
    <xf numFmtId="14" fontId="10" fillId="0" borderId="0" xfId="12" applyNumberFormat="1" applyFont="1" applyAlignment="1">
      <alignment horizontal="left" vertical="center" indent="2"/>
    </xf>
    <xf numFmtId="14" fontId="31" fillId="41" borderId="0" xfId="9" applyFont="1" applyFill="1" applyBorder="1">
      <alignment horizontal="center" vertical="center"/>
    </xf>
    <xf numFmtId="8" fontId="30" fillId="0" borderId="0" xfId="0" applyNumberFormat="1" applyFont="1"/>
    <xf numFmtId="44" fontId="27" fillId="42" borderId="0" xfId="0" applyNumberFormat="1" applyFont="1" applyFill="1" applyAlignment="1">
      <alignment horizontal="left" vertical="center" wrapText="1" indent="1"/>
    </xf>
    <xf numFmtId="169" fontId="27" fillId="42" borderId="0" xfId="0" applyNumberFormat="1" applyFont="1" applyFill="1" applyAlignment="1">
      <alignment horizontal="left" vertical="center" wrapText="1" indent="1"/>
    </xf>
    <xf numFmtId="0" fontId="0" fillId="41" borderId="0" xfId="0" applyFill="1" applyAlignment="1">
      <alignment horizontal="center" vertical="center"/>
    </xf>
    <xf numFmtId="169" fontId="27" fillId="41" borderId="0" xfId="12" applyNumberFormat="1" applyFont="1" applyFill="1" applyAlignment="1">
      <alignment horizontal="left" vertical="center" wrapText="1" indent="2"/>
    </xf>
    <xf numFmtId="8" fontId="1" fillId="41" borderId="0" xfId="12" applyNumberFormat="1" applyFont="1" applyFill="1" applyAlignment="1">
      <alignment horizontal="left" vertical="center" wrapText="1" indent="2"/>
    </xf>
    <xf numFmtId="44" fontId="27" fillId="41" borderId="0" xfId="12" applyNumberFormat="1" applyFont="1" applyFill="1" applyAlignment="1">
      <alignment horizontal="left" vertical="center" wrapText="1" indent="2"/>
    </xf>
    <xf numFmtId="0" fontId="27" fillId="41" borderId="0" xfId="0" applyFont="1" applyFill="1" applyAlignment="1">
      <alignment horizontal="left" vertical="center" wrapText="1" indent="2"/>
    </xf>
    <xf numFmtId="10" fontId="1" fillId="41" borderId="0" xfId="2" applyNumberFormat="1" applyFont="1" applyFill="1" applyBorder="1">
      <alignment horizontal="center" vertical="center"/>
    </xf>
    <xf numFmtId="9" fontId="1" fillId="41" borderId="0" xfId="2" applyFont="1" applyFill="1" applyBorder="1">
      <alignment horizontal="center" vertical="center"/>
    </xf>
    <xf numFmtId="169" fontId="27" fillId="2" borderId="0" xfId="12" applyNumberFormat="1" applyFont="1" applyFill="1" applyAlignment="1">
      <alignment horizontal="left" vertical="center" wrapText="1" indent="2"/>
    </xf>
    <xf numFmtId="171" fontId="27" fillId="41" borderId="0" xfId="2" applyNumberFormat="1" applyFont="1" applyFill="1" applyBorder="1">
      <alignment horizontal="center" vertical="center"/>
    </xf>
    <xf numFmtId="0" fontId="29" fillId="2" borderId="0" xfId="5" applyFont="1" applyFill="1" applyAlignment="1">
      <alignment horizontal="left" vertical="center" indent="1"/>
    </xf>
    <xf numFmtId="0" fontId="27" fillId="41" borderId="0" xfId="0" applyFont="1" applyFill="1" applyAlignment="1">
      <alignment horizontal="left" wrapText="1" indent="3"/>
    </xf>
    <xf numFmtId="44" fontId="27" fillId="41" borderId="0" xfId="2" applyNumberFormat="1" applyFont="1" applyFill="1">
      <alignment horizontal="center" vertical="center"/>
    </xf>
    <xf numFmtId="168" fontId="35" fillId="41" borderId="0" xfId="10" applyFont="1" applyFill="1" applyBorder="1">
      <alignment horizontal="center" vertical="center"/>
    </xf>
    <xf numFmtId="44" fontId="1" fillId="41" borderId="0" xfId="12" applyNumberFormat="1" applyFont="1" applyFill="1" applyBorder="1" applyAlignment="1">
      <alignment horizontal="left" vertical="center" wrapText="1" indent="2"/>
    </xf>
    <xf numFmtId="44" fontId="27" fillId="41" borderId="0" xfId="12" applyNumberFormat="1" applyFont="1" applyFill="1" applyBorder="1" applyAlignment="1">
      <alignment horizontal="left" vertical="center" wrapText="1" indent="2"/>
    </xf>
    <xf numFmtId="44" fontId="27" fillId="41" borderId="0" xfId="2" applyNumberFormat="1" applyFont="1" applyFill="1" applyBorder="1">
      <alignment horizontal="center" vertical="center"/>
    </xf>
    <xf numFmtId="8" fontId="1" fillId="41" borderId="0" xfId="12" applyNumberFormat="1" applyFont="1" applyFill="1" applyBorder="1" applyAlignment="1">
      <alignment horizontal="left" vertical="center" wrapText="1" indent="2"/>
    </xf>
    <xf numFmtId="0" fontId="8" fillId="9" borderId="16" xfId="0" applyFont="1" applyFill="1" applyBorder="1" applyAlignment="1">
      <alignment horizontal="left" vertical="center" indent="1"/>
    </xf>
    <xf numFmtId="0" fontId="8" fillId="9" borderId="17" xfId="0" applyFont="1" applyFill="1" applyBorder="1" applyAlignment="1">
      <alignment horizontal="left" vertical="center" indent="1"/>
    </xf>
    <xf numFmtId="0" fontId="8" fillId="9" borderId="17" xfId="0" applyFont="1" applyFill="1" applyBorder="1" applyAlignment="1">
      <alignment horizontal="center" vertical="center" wrapText="1"/>
    </xf>
    <xf numFmtId="14" fontId="1" fillId="2" borderId="19" xfId="9" applyFont="1" applyFill="1" applyBorder="1">
      <alignment horizontal="center" vertical="center"/>
    </xf>
    <xf numFmtId="14" fontId="27" fillId="41" borderId="19" xfId="9" applyFont="1" applyFill="1" applyBorder="1">
      <alignment horizontal="center" vertical="center"/>
    </xf>
    <xf numFmtId="14" fontId="1" fillId="0" borderId="19" xfId="9" applyFont="1" applyBorder="1">
      <alignment horizontal="center" vertical="center"/>
    </xf>
    <xf numFmtId="0" fontId="1" fillId="41" borderId="18" xfId="0" applyFont="1" applyFill="1" applyBorder="1" applyAlignment="1">
      <alignment horizontal="left" vertical="center" wrapText="1" indent="2"/>
    </xf>
    <xf numFmtId="14" fontId="1" fillId="41" borderId="19" xfId="9" applyFont="1" applyFill="1" applyBorder="1">
      <alignment horizontal="center" vertical="center"/>
    </xf>
    <xf numFmtId="14" fontId="31" fillId="41" borderId="19" xfId="9" applyFont="1" applyFill="1" applyBorder="1">
      <alignment horizontal="center" vertical="center"/>
    </xf>
    <xf numFmtId="0" fontId="1" fillId="41" borderId="18" xfId="0" applyFont="1" applyFill="1" applyBorder="1" applyAlignment="1">
      <alignment horizontal="left" vertical="center" wrapText="1" indent="3"/>
    </xf>
    <xf numFmtId="0" fontId="0" fillId="0" borderId="20" xfId="0" applyBorder="1"/>
    <xf numFmtId="0" fontId="0" fillId="0" borderId="21" xfId="0" applyBorder="1"/>
    <xf numFmtId="0" fontId="0" fillId="0" borderId="22" xfId="0" applyBorder="1"/>
    <xf numFmtId="0" fontId="10" fillId="2" borderId="18" xfId="0" applyFont="1" applyFill="1" applyBorder="1" applyAlignment="1">
      <alignment horizontal="left" vertical="center" wrapText="1" indent="1"/>
    </xf>
    <xf numFmtId="44" fontId="10" fillId="2" borderId="0" xfId="0" applyNumberFormat="1" applyFont="1" applyFill="1" applyAlignment="1">
      <alignment horizontal="left" vertical="center" wrapText="1" indent="1"/>
    </xf>
    <xf numFmtId="9" fontId="10" fillId="2" borderId="0" xfId="2" applyFont="1" applyFill="1" applyBorder="1">
      <alignment horizontal="center" vertical="center"/>
    </xf>
    <xf numFmtId="14" fontId="3" fillId="2" borderId="0" xfId="9" applyFont="1" applyFill="1" applyBorder="1">
      <alignment horizontal="center" vertical="center"/>
    </xf>
    <xf numFmtId="14" fontId="3" fillId="2" borderId="19" xfId="9" applyFont="1" applyFill="1" applyBorder="1">
      <alignment horizontal="center" vertical="center"/>
    </xf>
    <xf numFmtId="44" fontId="1" fillId="41" borderId="18" xfId="12" applyNumberFormat="1" applyFont="1" applyFill="1" applyBorder="1" applyAlignment="1">
      <alignment horizontal="left" vertical="center" wrapText="1" indent="2"/>
    </xf>
    <xf numFmtId="0" fontId="0" fillId="41" borderId="19" xfId="0" applyFill="1" applyBorder="1"/>
    <xf numFmtId="0" fontId="0" fillId="41" borderId="18" xfId="0" applyFill="1" applyBorder="1"/>
    <xf numFmtId="0" fontId="0" fillId="41" borderId="20" xfId="0" applyFill="1" applyBorder="1"/>
    <xf numFmtId="0" fontId="0" fillId="41" borderId="22" xfId="0" applyFill="1" applyBorder="1"/>
    <xf numFmtId="0" fontId="10" fillId="2" borderId="23" xfId="0" applyFont="1" applyFill="1" applyBorder="1" applyAlignment="1">
      <alignment horizontal="left" vertical="center" wrapText="1" indent="1"/>
    </xf>
    <xf numFmtId="44" fontId="10" fillId="2" borderId="24" xfId="0" applyNumberFormat="1" applyFont="1" applyFill="1" applyBorder="1" applyAlignment="1">
      <alignment horizontal="left" vertical="center" wrapText="1" indent="1"/>
    </xf>
    <xf numFmtId="9" fontId="10" fillId="2" borderId="24" xfId="2" applyFont="1" applyFill="1" applyBorder="1">
      <alignment horizontal="center" vertical="center"/>
    </xf>
    <xf numFmtId="0" fontId="27" fillId="43" borderId="18" xfId="0" applyFont="1" applyFill="1" applyBorder="1" applyAlignment="1">
      <alignment horizontal="left" vertical="center" wrapText="1" indent="2"/>
    </xf>
    <xf numFmtId="0" fontId="27" fillId="44" borderId="18" xfId="0" applyFont="1" applyFill="1" applyBorder="1" applyAlignment="1">
      <alignment horizontal="left" vertical="center" wrapText="1" indent="2"/>
    </xf>
    <xf numFmtId="0" fontId="27" fillId="45" borderId="18" xfId="0" applyFont="1" applyFill="1" applyBorder="1" applyAlignment="1">
      <alignment horizontal="left" vertical="center" wrapText="1" indent="2"/>
    </xf>
    <xf numFmtId="0" fontId="27" fillId="46" borderId="18" xfId="0" applyFont="1" applyFill="1" applyBorder="1" applyAlignment="1">
      <alignment horizontal="left" vertical="center" wrapText="1" indent="2"/>
    </xf>
    <xf numFmtId="0" fontId="27" fillId="41" borderId="18" xfId="0" applyFont="1" applyFill="1" applyBorder="1" applyAlignment="1">
      <alignment horizontal="left" vertical="center" wrapText="1" indent="3"/>
    </xf>
    <xf numFmtId="0" fontId="27" fillId="47" borderId="18" xfId="0" applyFont="1" applyFill="1" applyBorder="1" applyAlignment="1">
      <alignment horizontal="left" vertical="center" wrapText="1" indent="2"/>
    </xf>
    <xf numFmtId="9" fontId="10" fillId="2" borderId="17" xfId="2" applyFont="1" applyFill="1" applyBorder="1">
      <alignment horizontal="center" vertical="center"/>
    </xf>
    <xf numFmtId="169" fontId="1" fillId="41" borderId="0" xfId="12" applyNumberFormat="1" applyFont="1" applyFill="1" applyBorder="1" applyAlignment="1">
      <alignment horizontal="left" vertical="center" wrapText="1" indent="2"/>
    </xf>
    <xf numFmtId="44" fontId="1" fillId="41" borderId="16" xfId="12" applyNumberFormat="1" applyFont="1" applyFill="1" applyBorder="1" applyAlignment="1">
      <alignment horizontal="left" vertical="center" wrapText="1" indent="2"/>
    </xf>
    <xf numFmtId="44" fontId="1" fillId="41" borderId="17" xfId="12" applyNumberFormat="1" applyFont="1" applyFill="1" applyBorder="1" applyAlignment="1">
      <alignment horizontal="left" vertical="center" wrapText="1" indent="2"/>
    </xf>
    <xf numFmtId="0" fontId="0" fillId="0" borderId="25" xfId="0" applyBorder="1" applyAlignment="1">
      <alignment horizontal="center" vertical="center"/>
    </xf>
    <xf numFmtId="0" fontId="0" fillId="0" borderId="19" xfId="0" applyBorder="1" applyAlignment="1">
      <alignment horizontal="center" vertical="center"/>
    </xf>
    <xf numFmtId="0" fontId="0" fillId="41" borderId="21" xfId="0" applyFill="1" applyBorder="1"/>
    <xf numFmtId="0" fontId="0" fillId="41" borderId="19" xfId="0" applyFill="1" applyBorder="1" applyAlignment="1">
      <alignment horizontal="center" vertical="center"/>
    </xf>
    <xf numFmtId="0" fontId="3" fillId="2" borderId="0" xfId="0" applyFont="1" applyFill="1" applyAlignment="1">
      <alignment horizontal="center" vertical="center"/>
    </xf>
    <xf numFmtId="0" fontId="11" fillId="2" borderId="0" xfId="0" applyFont="1" applyFill="1" applyAlignment="1">
      <alignment horizontal="center" vertical="center"/>
    </xf>
    <xf numFmtId="0" fontId="13" fillId="6" borderId="0" xfId="0" applyFont="1" applyFill="1" applyAlignment="1">
      <alignment horizontal="center" vertical="center" wrapText="1"/>
    </xf>
    <xf numFmtId="0" fontId="10" fillId="4" borderId="0" xfId="0" applyFont="1" applyFill="1" applyAlignment="1">
      <alignment horizontal="center" vertical="center" wrapText="1"/>
    </xf>
    <xf numFmtId="0" fontId="13" fillId="5" borderId="0" xfId="11" applyFont="1" applyFill="1" applyAlignment="1">
      <alignment horizontal="center" vertical="center" wrapText="1"/>
    </xf>
    <xf numFmtId="0" fontId="13" fillId="7" borderId="0" xfId="0" applyFont="1" applyFill="1" applyAlignment="1">
      <alignment horizontal="center" vertical="center" wrapText="1"/>
    </xf>
    <xf numFmtId="0" fontId="13" fillId="8" borderId="0" xfId="0" applyFont="1" applyFill="1" applyAlignment="1">
      <alignment horizontal="center" vertical="center" wrapText="1"/>
    </xf>
  </cellXfs>
  <cellStyles count="51">
    <cellStyle name="20% - Énfasis1" xfId="28" builtinId="30" customBuiltin="1"/>
    <cellStyle name="20% - Énfasis2" xfId="32" builtinId="34" customBuiltin="1"/>
    <cellStyle name="20% - Énfasis3" xfId="35" builtinId="38" customBuiltin="1"/>
    <cellStyle name="20% - Énfasis4" xfId="39" builtinId="42" customBuiltin="1"/>
    <cellStyle name="20% - Énfasis5" xfId="43" builtinId="46" customBuiltin="1"/>
    <cellStyle name="20% - Énfasis6" xfId="47" builtinId="50" customBuiltin="1"/>
    <cellStyle name="40% - Énfasis1" xfId="29" builtinId="31" customBuiltin="1"/>
    <cellStyle name="40% - Énfasis2" xfId="33" builtinId="35" customBuiltin="1"/>
    <cellStyle name="40% - Énfasis3" xfId="36" builtinId="39" customBuiltin="1"/>
    <cellStyle name="40% - Énfasis4" xfId="40" builtinId="43" customBuiltin="1"/>
    <cellStyle name="40% - Énfasis5" xfId="44" builtinId="47" customBuiltin="1"/>
    <cellStyle name="40% - Énfasis6" xfId="48" builtinId="51" customBuiltin="1"/>
    <cellStyle name="60% - Énfasis1" xfId="30" builtinId="32" customBuiltin="1"/>
    <cellStyle name="60% - Énfasis2" xfId="34" builtinId="36" customBuiltin="1"/>
    <cellStyle name="60% - Énfasis3" xfId="37" builtinId="40" customBuiltin="1"/>
    <cellStyle name="60% - Énfasis4" xfId="41" builtinId="44" customBuiltin="1"/>
    <cellStyle name="60% - Énfasis5" xfId="45" builtinId="48" customBuiltin="1"/>
    <cellStyle name="60% - Énfasis6" xfId="49" builtinId="52" customBuiltin="1"/>
    <cellStyle name="Bueno" xfId="15" builtinId="26" customBuiltin="1"/>
    <cellStyle name="Cálculo" xfId="20" builtinId="22" customBuiltin="1"/>
    <cellStyle name="Celda de comprobación" xfId="22" builtinId="23" customBuiltin="1"/>
    <cellStyle name="Celda vinculada" xfId="21" builtinId="24" customBuiltin="1"/>
    <cellStyle name="Encabezado 1" xfId="6" builtinId="16" customBuiltin="1"/>
    <cellStyle name="Encabezado 4" xfId="14" builtinId="19" customBuiltin="1"/>
    <cellStyle name="Énfasis1" xfId="27" builtinId="29" customBuiltin="1"/>
    <cellStyle name="Énfasis2" xfId="31" builtinId="33" customBuiltin="1"/>
    <cellStyle name="Énfasis3" xfId="11" builtinId="37" customBuiltin="1"/>
    <cellStyle name="Énfasis4" xfId="38" builtinId="41" customBuiltin="1"/>
    <cellStyle name="Énfasis5" xfId="42" builtinId="45" customBuiltin="1"/>
    <cellStyle name="Énfasis6" xfId="46" builtinId="49" customBuiltin="1"/>
    <cellStyle name="Entrada" xfId="18" builtinId="20" customBuiltin="1"/>
    <cellStyle name="Fecha" xfId="9" xr:uid="{229918B6-DD13-4F5A-97B9-305F7E002AA3}"/>
    <cellStyle name="Hipervínculo" xfId="1" builtinId="8" customBuiltin="1"/>
    <cellStyle name="Incorrecto" xfId="16" builtinId="27" customBuiltin="1"/>
    <cellStyle name="Millares" xfId="4" builtinId="3" customBuiltin="1"/>
    <cellStyle name="Millares [0]" xfId="10" builtinId="6" customBuiltin="1"/>
    <cellStyle name="Moneda" xfId="12" builtinId="4" customBuiltin="1"/>
    <cellStyle name="Moneda [0]" xfId="13" builtinId="7" customBuiltin="1"/>
    <cellStyle name="Moneda 2" xfId="50" xr:uid="{DAFDCD9C-C62F-4CCC-8A18-F1FF86AE8DDA}"/>
    <cellStyle name="Neutral" xfId="17" builtinId="28" customBuiltin="1"/>
    <cellStyle name="Normal" xfId="0" builtinId="0" customBuiltin="1"/>
    <cellStyle name="Notas" xfId="24" builtinId="10" customBuiltin="1"/>
    <cellStyle name="Porcentaje" xfId="2" builtinId="5" customBuiltin="1"/>
    <cellStyle name="Salida" xfId="19" builtinId="21" customBuiltin="1"/>
    <cellStyle name="Texto de advertencia" xfId="23" builtinId="11" customBuiltin="1"/>
    <cellStyle name="Texto explicativo" xfId="25" builtinId="53" customBuiltin="1"/>
    <cellStyle name="Título" xfId="5" builtinId="15" customBuiltin="1"/>
    <cellStyle name="Título 2" xfId="7" builtinId="17" customBuiltin="1"/>
    <cellStyle name="Título 3" xfId="8" builtinId="18" customBuiltin="1"/>
    <cellStyle name="Total" xfId="26" builtinId="25" customBuiltin="1"/>
    <cellStyle name="zHiddenText" xfId="3" xr:uid="{26E66EE6-E33F-4D77-BAE4-0FB4F5BBF673}"/>
  </cellStyles>
  <dxfs count="41">
    <dxf>
      <font>
        <color auto="1"/>
      </font>
      <fill>
        <patternFill>
          <bgColor theme="0" tint="-0.14996795556505021"/>
        </patternFill>
      </fill>
      <border>
        <left/>
        <right/>
        <top/>
        <bottom style="thin">
          <color theme="0" tint="-0.34998626667073579"/>
        </bottom>
      </border>
    </dxf>
    <dxf>
      <fill>
        <patternFill>
          <bgColor theme="6" tint="0.59996337778862885"/>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fill>
        <patternFill patternType="none">
          <fgColor indexed="64"/>
          <bgColor indexed="65"/>
        </patternFill>
      </fill>
    </dxf>
    <dxf>
      <font>
        <strike val="0"/>
        <outline val="0"/>
        <shadow val="0"/>
        <u val="none"/>
        <vertAlign val="baseline"/>
        <sz val="10"/>
        <name val="Calibri"/>
        <family val="2"/>
        <scheme val="minor"/>
      </font>
    </dxf>
    <dxf>
      <font>
        <b/>
        <i val="0"/>
        <strike val="0"/>
        <condense val="0"/>
        <extend val="0"/>
        <outline val="0"/>
        <shadow val="0"/>
        <u val="none"/>
        <vertAlign val="baseline"/>
        <sz val="10"/>
        <color auto="1"/>
        <name val="Calibri"/>
        <family val="2"/>
        <scheme val="minor"/>
      </font>
      <fill>
        <patternFill patternType="solid">
          <fgColor indexed="64"/>
          <bgColor theme="0"/>
        </patternFill>
      </fil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center" vertical="center" textRotation="0" indent="0" justifyLastLine="0" shrinkToFit="0" readingOrder="0"/>
    </dxf>
    <dxf>
      <font>
        <strike val="0"/>
        <outline val="0"/>
        <shadow val="0"/>
        <u val="none"/>
        <vertAlign val="baseline"/>
        <sz val="10"/>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0"/>
        <color auto="1"/>
        <name val="Calibri"/>
        <family val="2"/>
        <scheme val="minor"/>
      </font>
      <numFmt numFmtId="169" formatCode="_-[$USD]\ * #,##0.00_-;\-[$USD]\ * #,##0.00_-;_-[$USD]\ * &quot;-&quot;??_-;_-@_-"/>
      <fill>
        <patternFill patternType="solid">
          <fgColor indexed="64"/>
          <bgColor theme="0"/>
        </patternFill>
      </fill>
      <alignment horizontal="left" vertical="center" textRotation="0" wrapText="1" indent="2" justifyLastLine="0" shrinkToFit="0" readingOrder="0"/>
    </dxf>
    <dxf>
      <font>
        <b/>
        <i val="0"/>
        <strike val="0"/>
        <condense val="0"/>
        <extend val="0"/>
        <outline val="0"/>
        <shadow val="0"/>
        <u val="none"/>
        <vertAlign val="baseline"/>
        <sz val="10"/>
        <color auto="1"/>
        <name val="Calibri"/>
        <family val="2"/>
        <scheme val="minor"/>
      </font>
      <numFmt numFmtId="34" formatCode="_-&quot;$&quot;\ * #,##0.00_-;\-&quot;$&quot;\ * #,##0.00_-;_-&quot;$&quot;\ * &quot;-&quot;??_-;_-@_-"/>
      <fill>
        <patternFill patternType="solid">
          <fgColor indexed="64"/>
          <bgColor theme="0"/>
        </patternFill>
      </fill>
      <alignment horizontal="left" vertical="center" textRotation="0" wrapText="1" indent="2" justifyLastLine="0" shrinkToFit="0" readingOrder="0"/>
    </dxf>
    <dxf>
      <font>
        <b/>
        <i val="0"/>
        <strike val="0"/>
        <condense val="0"/>
        <extend val="0"/>
        <outline val="0"/>
        <shadow val="0"/>
        <u val="none"/>
        <vertAlign val="baseline"/>
        <sz val="10"/>
        <color auto="1"/>
        <name val="Calibri"/>
        <family val="2"/>
        <scheme val="minor"/>
      </font>
      <numFmt numFmtId="34" formatCode="_-&quot;$&quot;\ * #,##0.00_-;\-&quot;$&quot;\ * #,##0.00_-;_-&quot;$&quot;\ * &quot;-&quot;??_-;_-@_-"/>
      <fill>
        <patternFill patternType="solid">
          <fgColor indexed="64"/>
          <bgColor theme="0"/>
        </patternFill>
      </fill>
      <alignment horizontal="left" vertical="center" textRotation="0" wrapText="1" indent="2" justifyLastLine="0" shrinkToFit="0" readingOrder="0"/>
    </dxf>
    <dxf>
      <font>
        <b val="0"/>
        <i val="0"/>
        <strike val="0"/>
        <condense val="0"/>
        <extend val="0"/>
        <outline val="0"/>
        <shadow val="0"/>
        <u val="none"/>
        <vertAlign val="baseline"/>
        <sz val="10"/>
        <color auto="1"/>
        <name val="Calibri"/>
        <family val="2"/>
        <scheme val="minor"/>
      </font>
      <alignment horizontal="left" vertical="center" textRotation="0" wrapText="1" indent="2" justifyLastLine="0" shrinkToFit="0" readingOrder="0"/>
    </dxf>
    <dxf>
      <font>
        <strike val="0"/>
        <outline val="0"/>
        <shadow val="0"/>
        <u val="none"/>
        <vertAlign val="baseline"/>
        <sz val="10"/>
        <name val="Calibri"/>
        <family val="2"/>
        <scheme val="minor"/>
      </font>
      <alignment horizontal="left" vertical="bottom" textRotation="0" wrapText="1" relativeIndent="1" justifyLastLine="0" shrinkToFit="0" readingOrder="0"/>
    </dxf>
    <dxf>
      <font>
        <strike val="0"/>
        <outline val="0"/>
        <shadow val="0"/>
        <u val="none"/>
        <vertAlign val="baseline"/>
        <sz val="10"/>
        <name val="Calibri"/>
        <family val="2"/>
        <scheme val="minor"/>
      </font>
    </dxf>
    <dxf>
      <font>
        <b/>
        <strike val="0"/>
        <outline val="0"/>
        <shadow val="0"/>
        <u val="none"/>
        <vertAlign val="baseline"/>
        <sz val="10"/>
        <color theme="0"/>
        <name val="Calibri"/>
        <family val="2"/>
        <scheme val="min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PivotStyle="PivotStyleLight16">
    <tableStyle name="Estilo de tabla personalizado" pivot="0" count="4" xr9:uid="{4904D139-63E4-4221-B7C9-C6C5B7A50FAF}">
      <tableStyleElement type="wholeTable" dxfId="40"/>
      <tableStyleElement type="headerRow" dxfId="39"/>
      <tableStyleElement type="firstRowStripe" dxfId="38"/>
      <tableStyleElement type="secondRowStripe" dxfId="37"/>
    </tableStyle>
    <tableStyle name="ListaTareasPendientes" pivot="0" count="9" xr9:uid="{00000000-0011-0000-FFFF-FFFF00000000}">
      <tableStyleElement type="wholeTable" dxfId="36"/>
      <tableStyleElement type="headerRow" dxfId="35"/>
      <tableStyleElement type="totalRow" dxfId="34"/>
      <tableStyleElement type="firstColumn" dxfId="33"/>
      <tableStyleElement type="lastColumn" dxfId="32"/>
      <tableStyleElement type="firstRowStripe" dxfId="31"/>
      <tableStyleElement type="secondRowStripe" dxfId="30"/>
      <tableStyleElement type="firstColumnStripe" dxfId="29"/>
      <tableStyleElement type="secondColumn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7FC2"/>
      <color rgb="FF000000"/>
      <color rgb="FF42648A"/>
      <color rgb="FF969696"/>
      <color rgb="FFC0C0C0"/>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ctrlProps/ctrlProp1.xml><?xml version="1.0" encoding="utf-8"?>
<formControlPr xmlns="http://schemas.microsoft.com/office/spreadsheetml/2009/9/main" objectType="Scroll" dx="39" fmlaLink="$F$7" horiz="1" max="365" page="2"/>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16</xdr:col>
          <xdr:colOff>28575</xdr:colOff>
          <xdr:row>7</xdr:row>
          <xdr:rowOff>57150</xdr:rowOff>
        </xdr:from>
        <xdr:to>
          <xdr:col>98</xdr:col>
          <xdr:colOff>38100</xdr:colOff>
          <xdr:row>8</xdr:row>
          <xdr:rowOff>0</xdr:rowOff>
        </xdr:to>
        <xdr:sp macro="" textlink="">
          <xdr:nvSpPr>
            <xdr:cNvPr id="16385" name="Barra de desplazamiento 1" descr="Barra de desplazamiento para desplazarse por la escala de tiempo del proyecto Ghantt." hidden="1">
              <a:extLst>
                <a:ext uri="{63B3BB69-23CF-44E3-9099-C40C66FF867C}">
                  <a14:compatExt spid="_x0000_s16385"/>
                </a:ext>
                <a:ext uri="{FF2B5EF4-FFF2-40B4-BE49-F238E27FC236}">
                  <a16:creationId xmlns:a16="http://schemas.microsoft.com/office/drawing/2014/main" id="{00000000-0008-0000-0100-00000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2641</xdr:colOff>
      <xdr:row>25</xdr:row>
      <xdr:rowOff>104775</xdr:rowOff>
    </xdr:to>
    <xdr:pic>
      <xdr:nvPicPr>
        <xdr:cNvPr id="3" name="Imagen 2">
          <a:extLst>
            <a:ext uri="{FF2B5EF4-FFF2-40B4-BE49-F238E27FC236}">
              <a16:creationId xmlns:a16="http://schemas.microsoft.com/office/drawing/2014/main" id="{5112E123-1C3B-D1C3-AE08-5ABD23F103A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9908641" cy="48672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Hitos4352" displayName="Hitos4352" ref="B11:O71" totalsRowShown="0" headerRowDxfId="27" dataDxfId="26">
  <tableColumns count="14">
    <tableColumn id="1" xr3:uid="{619BF8F6-D0F1-41AD-871D-FE0240C45A93}" name="Descripción del hito" dataDxfId="25"/>
    <tableColumn id="7" xr3:uid="{4EEA9893-C1D8-43E3-B4E7-DA80501D15D9}" name="MONTO INICIAL" dataDxfId="24"/>
    <tableColumn id="9" xr3:uid="{9B6F094D-6DBB-4BBA-82A3-E2FB9DC9B321}" name="A DEVOLVER" dataDxfId="23" dataCellStyle="Moneda"/>
    <tableColumn id="11" xr3:uid="{4583247F-6BA9-49B9-9A18-72529D9086FE}" name="MONTO INICIAL EN USD" dataDxfId="22" dataCellStyle="Moneda"/>
    <tableColumn id="10" xr3:uid="{EB3087FB-ECA7-4C89-8132-5AA693B3B39C}" name="MONTO A DEVOLVER EN USD" dataDxfId="21" dataCellStyle="Moneda"/>
    <tableColumn id="2" xr3:uid="{39BD914E-FB02-4352-846C-6D59624DC0B0}" name="CATEGORIA" dataDxfId="20"/>
    <tableColumn id="3" xr3:uid="{D274194F-BCA0-44F3-84B2-217254EE241C}" name="ASIGNADO A" dataDxfId="19"/>
    <tableColumn id="4" xr3:uid="{8385BC6F-56EE-4363-A106-8DB0A1E4EF5A}" name="TASA INTERES" dataDxfId="18"/>
    <tableColumn id="12" xr3:uid="{82C5DE7F-EB9F-456B-B18E-650DC04AE7CE}" name="COMISION" dataDxfId="17" dataCellStyle="Porcentaje"/>
    <tableColumn id="5" xr3:uid="{02926609-7B93-4B6F-BE96-92EC7A949E4B}" name="FECHA INICIAL" dataDxfId="16" dataCellStyle="Fecha"/>
    <tableColumn id="8" xr3:uid="{C2EC8D95-4964-4C3E-9790-F5FA3BCD4446}" name="FECHA FINAL" dataDxfId="15" dataCellStyle="Fecha"/>
    <tableColumn id="6" xr3:uid="{8FF9BE8E-04B7-4B39-AC27-D2E534204BC3}" name="DIAS" dataDxfId="14"/>
    <tableColumn id="15" xr3:uid="{60B4BA8D-6CD0-48D2-B79D-6F3F2E04B294}" name="DIAS PARA VENCIMIENTO" dataDxfId="13"/>
    <tableColumn id="16" xr3:uid="{76778E74-DE28-40DF-9DB8-9A6F8ADCC417}" name="ESTADO" dataDxfId="12"/>
  </tableColumns>
  <tableStyleInfo name="ListaTareasPendientes" showFirstColumn="1" showLastColumn="0" showRowStripes="1" showColumnStripes="0"/>
  <extLst>
    <ext xmlns:x14="http://schemas.microsoft.com/office/spreadsheetml/2009/9/main" uri="{504A1905-F514-4f6f-8877-14C23A59335A}">
      <x14:table altTextSummary="Escriba la información del proyecto en esta tabla. Escriba una descripción del hito de una fase, tarea, actividad, etc. en la columna de debajo de Descripción. Seleccione una categoría en la columna Categoría. Asigne el elemento a alguien de la columna Asignado a. Actualice el progreso y consulte las barras de datos que se actualizan automáticamente en la columna de progreso. Escriba la fecha de inicio en la columna Inicio y el número de días en la columna Número de días. Los datos de Ghantt de las celdas J9 a BM 34 se actualizarán automáticamente. Agregar filas nuevas a la tabla para añadir más tarea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267A9-DFCE-4FB1-9075-F63F6CCB2D05}">
  <dimension ref="B1:K51"/>
  <sheetViews>
    <sheetView workbookViewId="0">
      <selection activeCell="E12" sqref="E12"/>
    </sheetView>
  </sheetViews>
  <sheetFormatPr baseColWidth="10" defaultRowHeight="15" x14ac:dyDescent="0.25"/>
  <cols>
    <col min="1" max="1" width="2.5703125" customWidth="1"/>
    <col min="2" max="2" width="35.140625" customWidth="1"/>
    <col min="3" max="3" width="17.28515625" bestFit="1" customWidth="1"/>
    <col min="4" max="4" width="17.85546875" bestFit="1" customWidth="1"/>
    <col min="9" max="9" width="12.7109375" bestFit="1" customWidth="1"/>
    <col min="10" max="10" width="15.85546875" bestFit="1" customWidth="1"/>
  </cols>
  <sheetData>
    <row r="1" spans="2:11" ht="25.5" x14ac:dyDescent="0.25">
      <c r="B1" s="110" t="s">
        <v>14</v>
      </c>
      <c r="C1" s="111" t="s">
        <v>15</v>
      </c>
      <c r="D1" s="111" t="s">
        <v>16</v>
      </c>
      <c r="E1" s="112" t="s">
        <v>21</v>
      </c>
      <c r="F1" s="112" t="s">
        <v>22</v>
      </c>
      <c r="G1" s="112" t="s">
        <v>23</v>
      </c>
      <c r="H1" s="112" t="s">
        <v>24</v>
      </c>
      <c r="I1" s="112" t="s">
        <v>63</v>
      </c>
      <c r="J1" s="112" t="s">
        <v>59</v>
      </c>
      <c r="K1" s="53" t="s">
        <v>27</v>
      </c>
    </row>
    <row r="2" spans="2:11" ht="39.75" customHeight="1" x14ac:dyDescent="0.25">
      <c r="B2" s="133" t="s">
        <v>55</v>
      </c>
      <c r="C2" s="134">
        <f>SUM(C3:C25)</f>
        <v>393736303.86000007</v>
      </c>
      <c r="D2" s="134">
        <f>SUM(D3:D25)</f>
        <v>413029072.9600001</v>
      </c>
      <c r="E2" s="135"/>
      <c r="F2" s="135"/>
      <c r="G2" s="135"/>
      <c r="H2" s="135"/>
      <c r="I2" s="142"/>
      <c r="J2" s="142"/>
      <c r="K2" s="142"/>
    </row>
    <row r="3" spans="2:11" ht="43.5" customHeight="1" x14ac:dyDescent="0.25">
      <c r="B3" s="136" t="s">
        <v>29</v>
      </c>
      <c r="C3" s="106">
        <v>45850000</v>
      </c>
      <c r="D3" s="107">
        <v>53194932</v>
      </c>
      <c r="E3" s="34">
        <v>0.16019480916030537</v>
      </c>
      <c r="F3" s="29">
        <v>2.2257857142857142E-2</v>
      </c>
      <c r="G3" s="30">
        <v>45887</v>
      </c>
      <c r="H3" s="114">
        <v>46062</v>
      </c>
      <c r="I3" s="144"/>
      <c r="J3" s="145"/>
      <c r="K3" s="146" t="s">
        <v>37</v>
      </c>
    </row>
    <row r="4" spans="2:11" ht="43.5" customHeight="1" x14ac:dyDescent="0.25">
      <c r="B4" s="136" t="s">
        <v>29</v>
      </c>
      <c r="C4" s="106">
        <v>45850000</v>
      </c>
      <c r="D4" s="107">
        <v>51092370.000000007</v>
      </c>
      <c r="E4" s="34">
        <v>0.11433740458015285</v>
      </c>
      <c r="F4" s="29">
        <v>2.2257857142857142E-2</v>
      </c>
      <c r="G4" s="30">
        <v>45887</v>
      </c>
      <c r="H4" s="114">
        <v>46244</v>
      </c>
      <c r="I4" s="128"/>
      <c r="J4" s="106"/>
      <c r="K4" s="149" t="s">
        <v>30</v>
      </c>
    </row>
    <row r="5" spans="2:11" ht="43.5" customHeight="1" x14ac:dyDescent="0.25">
      <c r="B5" s="139" t="s">
        <v>31</v>
      </c>
      <c r="C5" s="106">
        <v>25000000</v>
      </c>
      <c r="D5" s="107">
        <v>47376794.520000003</v>
      </c>
      <c r="E5" s="34">
        <v>0.89507178080000016</v>
      </c>
      <c r="F5" s="29">
        <v>0</v>
      </c>
      <c r="G5" s="30">
        <v>45910</v>
      </c>
      <c r="H5" s="114">
        <v>46087</v>
      </c>
      <c r="I5" s="128"/>
      <c r="J5" s="106"/>
      <c r="K5" s="149" t="s">
        <v>30</v>
      </c>
    </row>
    <row r="6" spans="2:11" ht="43.5" customHeight="1" x14ac:dyDescent="0.25">
      <c r="B6" s="139" t="s">
        <v>31</v>
      </c>
      <c r="C6" s="106">
        <v>25000000</v>
      </c>
      <c r="D6" s="107">
        <v>36314109.579999998</v>
      </c>
      <c r="E6" s="34">
        <v>0.45256438319999992</v>
      </c>
      <c r="F6" s="29">
        <v>0</v>
      </c>
      <c r="G6" s="30">
        <v>45910</v>
      </c>
      <c r="H6" s="114">
        <v>46267</v>
      </c>
      <c r="I6" s="128"/>
      <c r="J6" s="106"/>
      <c r="K6" s="149" t="s">
        <v>30</v>
      </c>
    </row>
    <row r="7" spans="2:11" ht="43.5" customHeight="1" x14ac:dyDescent="0.25">
      <c r="B7" s="138" t="s">
        <v>32</v>
      </c>
      <c r="C7" s="106">
        <v>15000000</v>
      </c>
      <c r="D7" s="107">
        <v>24525435.219999999</v>
      </c>
      <c r="E7" s="34">
        <v>0.63502901466666661</v>
      </c>
      <c r="F7" s="29">
        <v>0</v>
      </c>
      <c r="G7" s="30">
        <v>45910</v>
      </c>
      <c r="H7" s="114">
        <v>46091</v>
      </c>
      <c r="I7" s="128"/>
      <c r="J7" s="106"/>
      <c r="K7" s="149" t="s">
        <v>30</v>
      </c>
    </row>
    <row r="8" spans="2:11" ht="43.5" customHeight="1" x14ac:dyDescent="0.25">
      <c r="B8" s="138" t="s">
        <v>32</v>
      </c>
      <c r="C8" s="106">
        <v>15000000</v>
      </c>
      <c r="D8" s="107">
        <v>23934705.18</v>
      </c>
      <c r="E8" s="34">
        <v>0.59564701199999992</v>
      </c>
      <c r="F8" s="29">
        <v>0</v>
      </c>
      <c r="G8" s="30">
        <v>45910</v>
      </c>
      <c r="H8" s="114">
        <v>46275</v>
      </c>
      <c r="I8" s="128"/>
      <c r="J8" s="106"/>
      <c r="K8" s="149" t="s">
        <v>30</v>
      </c>
    </row>
    <row r="9" spans="2:11" ht="43.5" customHeight="1" x14ac:dyDescent="0.25">
      <c r="B9" s="138" t="s">
        <v>33</v>
      </c>
      <c r="C9" s="106">
        <v>11500000</v>
      </c>
      <c r="D9" s="107">
        <v>19414932.91</v>
      </c>
      <c r="E9" s="34">
        <v>0.68825503565217394</v>
      </c>
      <c r="F9" s="29">
        <v>0</v>
      </c>
      <c r="G9" s="30">
        <v>45918</v>
      </c>
      <c r="H9" s="114">
        <v>46099</v>
      </c>
      <c r="I9" s="128"/>
      <c r="J9" s="106"/>
      <c r="K9" s="149" t="s">
        <v>30</v>
      </c>
    </row>
    <row r="10" spans="2:11" ht="43.5" customHeight="1" x14ac:dyDescent="0.25">
      <c r="B10" s="138" t="s">
        <v>33</v>
      </c>
      <c r="C10" s="106">
        <v>11500000</v>
      </c>
      <c r="D10" s="107">
        <v>18939246.25</v>
      </c>
      <c r="E10" s="34">
        <v>0.64689097826086961</v>
      </c>
      <c r="F10" s="29">
        <v>0</v>
      </c>
      <c r="G10" s="30">
        <v>45918</v>
      </c>
      <c r="H10" s="114">
        <v>46283</v>
      </c>
      <c r="I10" s="128"/>
      <c r="J10" s="106"/>
      <c r="K10" s="149" t="s">
        <v>30</v>
      </c>
    </row>
    <row r="11" spans="2:11" ht="43.5" customHeight="1" x14ac:dyDescent="0.25">
      <c r="B11" s="137" t="s">
        <v>34</v>
      </c>
      <c r="C11" s="106">
        <v>42000000</v>
      </c>
      <c r="D11" s="107">
        <v>52600000</v>
      </c>
      <c r="E11" s="34">
        <v>0.11</v>
      </c>
      <c r="F11" s="101">
        <v>5.0000000000000001E-3</v>
      </c>
      <c r="G11" s="30">
        <v>45937</v>
      </c>
      <c r="H11" s="114">
        <v>46241</v>
      </c>
      <c r="I11" s="128">
        <v>1410</v>
      </c>
      <c r="J11" s="106">
        <f>C11/I11</f>
        <v>29787.234042553191</v>
      </c>
      <c r="K11" s="149" t="s">
        <v>30</v>
      </c>
    </row>
    <row r="12" spans="2:11" ht="43.5" customHeight="1" x14ac:dyDescent="0.25">
      <c r="B12" s="137" t="s">
        <v>35</v>
      </c>
      <c r="C12" s="106">
        <v>49042945</v>
      </c>
      <c r="D12" s="107"/>
      <c r="E12" s="34">
        <v>0.1075</v>
      </c>
      <c r="F12" s="101">
        <v>5.0000000000000001E-3</v>
      </c>
      <c r="G12" s="30">
        <v>45971</v>
      </c>
      <c r="H12" s="114">
        <v>46234</v>
      </c>
      <c r="I12" s="128">
        <v>1410</v>
      </c>
      <c r="J12" s="106">
        <f t="shared" ref="J12:J16" si="0">C12/I12</f>
        <v>34782.2304964539</v>
      </c>
      <c r="K12" s="147" t="s">
        <v>30</v>
      </c>
    </row>
    <row r="13" spans="2:11" ht="43.5" customHeight="1" x14ac:dyDescent="0.25">
      <c r="B13" s="138" t="s">
        <v>36</v>
      </c>
      <c r="C13" s="106">
        <v>1666666.6666666667</v>
      </c>
      <c r="D13" s="108">
        <v>1866666.666666667</v>
      </c>
      <c r="E13" s="34">
        <v>0.45</v>
      </c>
      <c r="F13" s="101"/>
      <c r="G13" s="30">
        <v>46001</v>
      </c>
      <c r="H13" s="114">
        <v>46034</v>
      </c>
      <c r="I13" s="128"/>
      <c r="J13" s="106"/>
      <c r="K13" s="147" t="s">
        <v>37</v>
      </c>
    </row>
    <row r="14" spans="2:11" ht="43.5" customHeight="1" x14ac:dyDescent="0.25">
      <c r="B14" s="138" t="s">
        <v>36</v>
      </c>
      <c r="C14" s="106">
        <v>1666666.6666666667</v>
      </c>
      <c r="D14" s="108">
        <v>1866666.666666667</v>
      </c>
      <c r="E14" s="34">
        <v>0.45</v>
      </c>
      <c r="F14" s="101"/>
      <c r="G14" s="30">
        <v>46001</v>
      </c>
      <c r="H14" s="114">
        <v>46065</v>
      </c>
      <c r="I14" s="128"/>
      <c r="J14" s="106"/>
      <c r="K14" s="147" t="s">
        <v>37</v>
      </c>
    </row>
    <row r="15" spans="2:11" ht="43.5" customHeight="1" x14ac:dyDescent="0.25">
      <c r="B15" s="138" t="s">
        <v>36</v>
      </c>
      <c r="C15" s="106">
        <v>1666666.6666666667</v>
      </c>
      <c r="D15" s="108">
        <v>1866666.666666667</v>
      </c>
      <c r="E15" s="34">
        <v>0.45</v>
      </c>
      <c r="F15" s="101"/>
      <c r="G15" s="30">
        <v>46001</v>
      </c>
      <c r="H15" s="114">
        <v>46093</v>
      </c>
      <c r="I15" s="128"/>
      <c r="J15" s="106"/>
      <c r="K15" s="147" t="s">
        <v>30</v>
      </c>
    </row>
    <row r="16" spans="2:11" ht="43.5" customHeight="1" x14ac:dyDescent="0.25">
      <c r="B16" s="137" t="s">
        <v>38</v>
      </c>
      <c r="C16" s="106">
        <v>43500000</v>
      </c>
      <c r="D16" s="108">
        <v>47697750</v>
      </c>
      <c r="E16" s="34">
        <v>9.6500000000000002E-2</v>
      </c>
      <c r="F16" s="101"/>
      <c r="G16" s="30">
        <v>46006</v>
      </c>
      <c r="H16" s="114">
        <v>46246</v>
      </c>
      <c r="I16" s="128">
        <v>1410</v>
      </c>
      <c r="J16" s="143">
        <f t="shared" si="0"/>
        <v>30851.063829787236</v>
      </c>
      <c r="K16" s="149" t="s">
        <v>30</v>
      </c>
    </row>
    <row r="17" spans="2:11" ht="43.5" customHeight="1" x14ac:dyDescent="0.25">
      <c r="B17" s="137" t="s">
        <v>60</v>
      </c>
      <c r="C17" s="106">
        <v>28800000</v>
      </c>
      <c r="D17" s="108"/>
      <c r="E17" s="34">
        <v>6.5000000000000002E-2</v>
      </c>
      <c r="F17" s="101"/>
      <c r="G17" s="30">
        <v>46071</v>
      </c>
      <c r="H17" s="114">
        <v>46160</v>
      </c>
      <c r="I17" s="128">
        <v>1475</v>
      </c>
      <c r="J17" s="143">
        <f>C17/I17</f>
        <v>19525.423728813559</v>
      </c>
      <c r="K17" s="149" t="s">
        <v>30</v>
      </c>
    </row>
    <row r="18" spans="2:11" ht="43.5" customHeight="1" x14ac:dyDescent="0.25">
      <c r="B18" s="141" t="s">
        <v>61</v>
      </c>
      <c r="C18" s="106">
        <v>29496000</v>
      </c>
      <c r="D18" s="106">
        <v>31141438.440000001</v>
      </c>
      <c r="E18" s="34">
        <v>0.52029999999999998</v>
      </c>
      <c r="F18" s="37"/>
      <c r="G18" s="30">
        <v>46071</v>
      </c>
      <c r="H18" s="114">
        <v>46252</v>
      </c>
      <c r="I18" s="128">
        <v>1476</v>
      </c>
      <c r="J18" s="143">
        <f>C18/I18</f>
        <v>19983.739837398374</v>
      </c>
      <c r="K18" s="149" t="s">
        <v>30</v>
      </c>
    </row>
    <row r="19" spans="2:11" ht="43.5" customHeight="1" x14ac:dyDescent="0.25">
      <c r="B19" s="140" t="s">
        <v>39</v>
      </c>
      <c r="C19" s="106">
        <v>199559.81</v>
      </c>
      <c r="D19" s="106">
        <v>199559.81</v>
      </c>
      <c r="E19" s="34"/>
      <c r="F19" s="29"/>
      <c r="G19" s="30">
        <v>45985</v>
      </c>
      <c r="H19" s="115">
        <v>46007</v>
      </c>
      <c r="I19" s="128"/>
      <c r="J19" s="106"/>
      <c r="K19" s="147" t="s">
        <v>37</v>
      </c>
    </row>
    <row r="20" spans="2:11" ht="43.5" customHeight="1" x14ac:dyDescent="0.25">
      <c r="B20" s="140" t="s">
        <v>40</v>
      </c>
      <c r="C20" s="106">
        <v>199559.81</v>
      </c>
      <c r="D20" s="106">
        <v>199559.81</v>
      </c>
      <c r="E20" s="34"/>
      <c r="F20" s="29"/>
      <c r="G20" s="30">
        <v>45985</v>
      </c>
      <c r="H20" s="113">
        <v>46038</v>
      </c>
      <c r="I20" s="128"/>
      <c r="J20" s="106"/>
      <c r="K20" s="147" t="s">
        <v>37</v>
      </c>
    </row>
    <row r="21" spans="2:11" ht="43.5" customHeight="1" x14ac:dyDescent="0.25">
      <c r="B21" s="140" t="s">
        <v>41</v>
      </c>
      <c r="C21" s="106">
        <v>199559.81</v>
      </c>
      <c r="D21" s="106">
        <v>199559.81</v>
      </c>
      <c r="E21" s="34"/>
      <c r="F21" s="29"/>
      <c r="G21" s="30">
        <v>45985</v>
      </c>
      <c r="H21" s="115">
        <v>46069</v>
      </c>
      <c r="I21" s="128"/>
      <c r="J21" s="106"/>
      <c r="K21" s="147" t="s">
        <v>62</v>
      </c>
    </row>
    <row r="22" spans="2:11" ht="43.5" customHeight="1" x14ac:dyDescent="0.25">
      <c r="B22" s="140" t="s">
        <v>42</v>
      </c>
      <c r="C22" s="106">
        <v>199559.81</v>
      </c>
      <c r="D22" s="106">
        <v>199559.81</v>
      </c>
      <c r="E22" s="34"/>
      <c r="F22" s="29"/>
      <c r="G22" s="30">
        <v>45985</v>
      </c>
      <c r="H22" s="113">
        <v>46097</v>
      </c>
      <c r="I22" s="128"/>
      <c r="J22" s="106"/>
      <c r="K22" s="147" t="s">
        <v>30</v>
      </c>
    </row>
    <row r="23" spans="2:11" ht="43.5" customHeight="1" x14ac:dyDescent="0.25">
      <c r="B23" s="140" t="s">
        <v>43</v>
      </c>
      <c r="C23" s="106">
        <v>199559.81</v>
      </c>
      <c r="D23" s="106">
        <v>199559.81</v>
      </c>
      <c r="E23" s="34"/>
      <c r="F23" s="29"/>
      <c r="G23" s="30">
        <v>45985</v>
      </c>
      <c r="H23" s="115">
        <v>46128</v>
      </c>
      <c r="I23" s="128"/>
      <c r="J23" s="106"/>
      <c r="K23" s="147" t="s">
        <v>30</v>
      </c>
    </row>
    <row r="24" spans="2:11" ht="43.5" customHeight="1" x14ac:dyDescent="0.25">
      <c r="B24" s="140" t="s">
        <v>44</v>
      </c>
      <c r="C24" s="106">
        <v>199559.81</v>
      </c>
      <c r="D24" s="106">
        <v>199559.81</v>
      </c>
      <c r="E24" s="34"/>
      <c r="F24" s="29"/>
      <c r="G24" s="30">
        <v>45985</v>
      </c>
      <c r="H24" s="113">
        <v>46158</v>
      </c>
      <c r="I24" s="128"/>
      <c r="J24" s="106"/>
      <c r="K24" s="147" t="s">
        <v>30</v>
      </c>
    </row>
    <row r="25" spans="2:11" ht="43.5" customHeight="1" x14ac:dyDescent="0.25">
      <c r="B25" s="116"/>
      <c r="C25" s="106"/>
      <c r="D25" s="107"/>
      <c r="E25" s="34"/>
      <c r="F25" s="29"/>
      <c r="G25" s="30"/>
      <c r="H25" s="114"/>
      <c r="I25" s="128"/>
      <c r="J25" s="106"/>
      <c r="K25" s="149"/>
    </row>
    <row r="26" spans="2:11" ht="43.5" customHeight="1" x14ac:dyDescent="0.25">
      <c r="B26" s="116"/>
      <c r="C26" s="106"/>
      <c r="D26" s="107"/>
      <c r="E26" s="34"/>
      <c r="F26" s="29"/>
      <c r="G26" s="30"/>
      <c r="H26" s="114"/>
      <c r="I26" s="128"/>
      <c r="J26" s="37"/>
      <c r="K26" s="149"/>
    </row>
    <row r="27" spans="2:11" ht="43.5" customHeight="1" x14ac:dyDescent="0.25">
      <c r="B27" s="123" t="s">
        <v>45</v>
      </c>
      <c r="C27" s="124">
        <v>0</v>
      </c>
      <c r="D27" s="124">
        <v>0</v>
      </c>
      <c r="E27" s="125"/>
      <c r="F27" s="125"/>
      <c r="G27" s="126"/>
      <c r="H27" s="127"/>
      <c r="I27" s="128"/>
      <c r="J27" s="37"/>
      <c r="K27" s="149"/>
    </row>
    <row r="28" spans="2:11" ht="43.5" customHeight="1" x14ac:dyDescent="0.25">
      <c r="B28" s="116"/>
      <c r="C28" s="107"/>
      <c r="D28" s="67"/>
      <c r="E28" s="34"/>
      <c r="F28" s="29"/>
      <c r="G28" s="30"/>
      <c r="H28" s="117"/>
      <c r="I28" s="128"/>
      <c r="J28" s="37"/>
      <c r="K28" s="149"/>
    </row>
    <row r="29" spans="2:11" ht="43.5" customHeight="1" x14ac:dyDescent="0.25">
      <c r="B29" s="116"/>
      <c r="C29" s="107"/>
      <c r="D29" s="67"/>
      <c r="E29" s="34"/>
      <c r="F29" s="29"/>
      <c r="G29" s="30"/>
      <c r="H29" s="117"/>
      <c r="I29" s="128"/>
      <c r="J29" s="37"/>
      <c r="K29" s="129"/>
    </row>
    <row r="30" spans="2:11" ht="43.5" customHeight="1" x14ac:dyDescent="0.25">
      <c r="B30" s="116"/>
      <c r="C30" s="107"/>
      <c r="D30" s="67"/>
      <c r="E30" s="34"/>
      <c r="F30" s="29"/>
      <c r="G30" s="30"/>
      <c r="H30" s="117"/>
      <c r="I30" s="128"/>
      <c r="J30" s="37"/>
      <c r="K30" s="129"/>
    </row>
    <row r="31" spans="2:11" ht="43.5" customHeight="1" x14ac:dyDescent="0.25">
      <c r="B31" s="123" t="s">
        <v>50</v>
      </c>
      <c r="C31" s="124">
        <f>SUM(C32:C36)</f>
        <v>136865412.80000001</v>
      </c>
      <c r="D31" s="124">
        <f>SUM(D32:D36)</f>
        <v>136865412.80000001</v>
      </c>
      <c r="E31" s="125"/>
      <c r="F31" s="125"/>
      <c r="G31" s="126"/>
      <c r="H31" s="127"/>
      <c r="I31" s="128"/>
      <c r="J31" s="37"/>
      <c r="K31" s="129"/>
    </row>
    <row r="32" spans="2:11" ht="43.5" customHeight="1" x14ac:dyDescent="0.25">
      <c r="B32" s="116" t="s">
        <v>57</v>
      </c>
      <c r="C32" s="106">
        <v>40865412.799999997</v>
      </c>
      <c r="D32" s="106">
        <v>40865412.799999997</v>
      </c>
      <c r="E32" s="34"/>
      <c r="F32" s="29"/>
      <c r="G32" s="30">
        <v>45971</v>
      </c>
      <c r="H32" s="117">
        <v>46260</v>
      </c>
      <c r="I32" s="128"/>
      <c r="J32" s="37"/>
      <c r="K32" s="129"/>
    </row>
    <row r="33" spans="2:11" ht="43.5" customHeight="1" x14ac:dyDescent="0.25">
      <c r="B33" s="116" t="s">
        <v>48</v>
      </c>
      <c r="C33" s="106">
        <v>19000000</v>
      </c>
      <c r="D33" s="106">
        <v>19000000</v>
      </c>
      <c r="E33" s="98"/>
      <c r="F33" s="99"/>
      <c r="G33" s="30">
        <v>45987</v>
      </c>
      <c r="H33" s="117">
        <v>46352</v>
      </c>
      <c r="I33" s="128"/>
      <c r="J33" s="37"/>
      <c r="K33" s="129"/>
    </row>
    <row r="34" spans="2:11" ht="43.5" customHeight="1" x14ac:dyDescent="0.25">
      <c r="B34" s="116" t="s">
        <v>48</v>
      </c>
      <c r="C34" s="106">
        <v>14000000</v>
      </c>
      <c r="D34" s="109">
        <v>14000000</v>
      </c>
      <c r="E34" s="98"/>
      <c r="F34" s="99"/>
      <c r="G34" s="30">
        <v>46376</v>
      </c>
      <c r="H34" s="117">
        <v>45996</v>
      </c>
      <c r="I34" s="128"/>
      <c r="J34" s="37"/>
      <c r="K34" s="129"/>
    </row>
    <row r="35" spans="2:11" ht="43.5" customHeight="1" x14ac:dyDescent="0.25">
      <c r="B35" s="116" t="s">
        <v>58</v>
      </c>
      <c r="C35" s="106">
        <v>63000000</v>
      </c>
      <c r="D35" s="106">
        <v>63000000</v>
      </c>
      <c r="E35" s="98"/>
      <c r="F35" s="99"/>
      <c r="G35" s="30"/>
      <c r="H35" s="117"/>
      <c r="I35" s="128"/>
      <c r="J35" s="37"/>
      <c r="K35" s="129"/>
    </row>
    <row r="36" spans="2:11" ht="43.5" customHeight="1" x14ac:dyDescent="0.25">
      <c r="B36" s="116"/>
      <c r="C36" s="106"/>
      <c r="D36" s="107"/>
      <c r="E36" s="34"/>
      <c r="F36" s="29"/>
      <c r="G36" s="30"/>
      <c r="H36" s="114"/>
      <c r="I36" s="128"/>
      <c r="J36" s="37"/>
      <c r="K36" s="129"/>
    </row>
    <row r="37" spans="2:11" ht="43.5" customHeight="1" x14ac:dyDescent="0.25">
      <c r="B37" s="123" t="s">
        <v>54</v>
      </c>
      <c r="C37" s="124">
        <v>0</v>
      </c>
      <c r="D37" s="124"/>
      <c r="E37" s="125"/>
      <c r="F37" s="125"/>
      <c r="G37" s="126"/>
      <c r="H37" s="127"/>
      <c r="I37" s="130"/>
      <c r="J37" s="37"/>
      <c r="K37" s="129"/>
    </row>
    <row r="38" spans="2:11" ht="43.5" customHeight="1" x14ac:dyDescent="0.25">
      <c r="B38" s="116"/>
      <c r="C38" s="106"/>
      <c r="D38" s="107"/>
      <c r="E38" s="34"/>
      <c r="F38" s="29"/>
      <c r="G38" s="30"/>
      <c r="H38" s="114"/>
      <c r="I38" s="130"/>
      <c r="J38" s="37"/>
      <c r="K38" s="129"/>
    </row>
    <row r="39" spans="2:11" ht="43.5" customHeight="1" x14ac:dyDescent="0.25">
      <c r="B39" s="116"/>
      <c r="C39" s="109"/>
      <c r="D39" s="107"/>
      <c r="E39" s="34"/>
      <c r="F39" s="29"/>
      <c r="G39" s="89"/>
      <c r="H39" s="118"/>
      <c r="I39" s="130"/>
      <c r="J39" s="37"/>
      <c r="K39" s="129"/>
    </row>
    <row r="40" spans="2:11" ht="43.5" customHeight="1" x14ac:dyDescent="0.25">
      <c r="B40" s="116"/>
      <c r="C40" s="109"/>
      <c r="D40" s="107"/>
      <c r="E40" s="34"/>
      <c r="F40" s="29"/>
      <c r="G40" s="89"/>
      <c r="H40" s="118"/>
      <c r="I40" s="130"/>
      <c r="J40" s="37"/>
      <c r="K40" s="129"/>
    </row>
    <row r="41" spans="2:11" ht="43.5" customHeight="1" x14ac:dyDescent="0.25">
      <c r="B41" s="123" t="s">
        <v>56</v>
      </c>
      <c r="C41" s="124">
        <v>0</v>
      </c>
      <c r="D41" s="124">
        <v>0</v>
      </c>
      <c r="E41" s="125"/>
      <c r="F41" s="125"/>
      <c r="G41" s="126"/>
      <c r="H41" s="127"/>
      <c r="I41" s="130"/>
      <c r="J41" s="37"/>
      <c r="K41" s="129"/>
    </row>
    <row r="42" spans="2:11" ht="43.5" customHeight="1" x14ac:dyDescent="0.25">
      <c r="B42" s="116"/>
      <c r="C42" s="106"/>
      <c r="D42" s="107"/>
      <c r="E42" s="34"/>
      <c r="F42" s="29"/>
      <c r="G42" s="30"/>
      <c r="H42" s="117"/>
      <c r="I42" s="130"/>
      <c r="J42" s="37"/>
      <c r="K42" s="129"/>
    </row>
    <row r="43" spans="2:11" ht="43.5" customHeight="1" x14ac:dyDescent="0.25">
      <c r="B43" s="116"/>
      <c r="C43" s="106"/>
      <c r="D43" s="107"/>
      <c r="E43" s="34"/>
      <c r="F43" s="29"/>
      <c r="G43" s="30"/>
      <c r="H43" s="117"/>
      <c r="I43" s="130"/>
      <c r="J43" s="37"/>
      <c r="K43" s="129"/>
    </row>
    <row r="44" spans="2:11" ht="49.5" customHeight="1" x14ac:dyDescent="0.25">
      <c r="B44" s="123" t="s">
        <v>52</v>
      </c>
      <c r="C44" s="124">
        <v>0</v>
      </c>
      <c r="D44" s="124">
        <v>0</v>
      </c>
      <c r="E44" s="125"/>
      <c r="F44" s="125"/>
      <c r="G44" s="126"/>
      <c r="H44" s="127"/>
      <c r="I44" s="130"/>
      <c r="J44" s="37"/>
      <c r="K44" s="129"/>
    </row>
    <row r="45" spans="2:11" x14ac:dyDescent="0.25">
      <c r="B45" s="116"/>
      <c r="C45" s="106"/>
      <c r="D45" s="107"/>
      <c r="E45" s="34"/>
      <c r="F45" s="29"/>
      <c r="G45" s="30"/>
      <c r="H45" s="117"/>
      <c r="I45" s="130"/>
      <c r="J45" s="37"/>
      <c r="K45" s="129"/>
    </row>
    <row r="46" spans="2:11" x14ac:dyDescent="0.25">
      <c r="B46" s="116"/>
      <c r="C46" s="106"/>
      <c r="D46" s="107"/>
      <c r="E46" s="34"/>
      <c r="F46" s="29"/>
      <c r="G46" s="30"/>
      <c r="H46" s="117"/>
      <c r="I46" s="130"/>
      <c r="J46" s="37"/>
      <c r="K46" s="129"/>
    </row>
    <row r="47" spans="2:11" x14ac:dyDescent="0.25">
      <c r="B47" s="116"/>
      <c r="C47" s="106"/>
      <c r="D47" s="107"/>
      <c r="E47" s="34"/>
      <c r="F47" s="29"/>
      <c r="G47" s="30"/>
      <c r="H47" s="117"/>
      <c r="I47" s="130"/>
      <c r="J47" s="37"/>
      <c r="K47" s="129"/>
    </row>
    <row r="48" spans="2:11" x14ac:dyDescent="0.25">
      <c r="B48" s="116"/>
      <c r="C48" s="106"/>
      <c r="D48" s="107"/>
      <c r="E48" s="34"/>
      <c r="F48" s="29"/>
      <c r="G48" s="30"/>
      <c r="H48" s="117"/>
      <c r="I48" s="130"/>
      <c r="J48" s="37"/>
      <c r="K48" s="129"/>
    </row>
    <row r="49" spans="2:11" x14ac:dyDescent="0.25">
      <c r="B49" s="116"/>
      <c r="C49" s="106"/>
      <c r="D49" s="107"/>
      <c r="E49" s="34"/>
      <c r="F49" s="29"/>
      <c r="G49" s="30"/>
      <c r="H49" s="117"/>
      <c r="I49" s="130"/>
      <c r="J49" s="37"/>
      <c r="K49" s="129"/>
    </row>
    <row r="50" spans="2:11" x14ac:dyDescent="0.25">
      <c r="B50" s="119"/>
      <c r="C50" s="106"/>
      <c r="D50" s="107"/>
      <c r="E50" s="29"/>
      <c r="F50" s="29"/>
      <c r="G50" s="30"/>
      <c r="H50" s="117"/>
      <c r="I50" s="130"/>
      <c r="J50" s="37"/>
      <c r="K50" s="129"/>
    </row>
    <row r="51" spans="2:11" x14ac:dyDescent="0.25">
      <c r="B51" s="120"/>
      <c r="C51" s="121"/>
      <c r="D51" s="121"/>
      <c r="E51" s="121"/>
      <c r="F51" s="121"/>
      <c r="G51" s="121"/>
      <c r="H51" s="122"/>
      <c r="I51" s="131"/>
      <c r="J51" s="148"/>
      <c r="K51" s="132"/>
    </row>
  </sheetData>
  <conditionalFormatting sqref="E1:F17">
    <cfRule type="dataBar" priority="7">
      <dataBar>
        <cfvo type="num" val="0"/>
        <cfvo type="num" val="1"/>
        <color theme="6"/>
      </dataBar>
      <extLst>
        <ext xmlns:x14="http://schemas.microsoft.com/office/spreadsheetml/2009/9/main" uri="{B025F937-C7B1-47D3-B67F-A62EFF666E3E}">
          <x14:id>{2793093C-1A89-4359-9CA3-999D420E04EB}</x14:id>
        </ext>
      </extLst>
    </cfRule>
  </conditionalFormatting>
  <conditionalFormatting sqref="E19:F41 E18">
    <cfRule type="dataBar" priority="4">
      <dataBar>
        <cfvo type="num" val="0"/>
        <cfvo type="num" val="1"/>
        <color theme="6"/>
      </dataBar>
      <extLst>
        <ext xmlns:x14="http://schemas.microsoft.com/office/spreadsheetml/2009/9/main" uri="{B025F937-C7B1-47D3-B67F-A62EFF666E3E}">
          <x14:id>{D00EAA43-181F-4E3B-AE9C-0739044B998D}</x14:id>
        </ext>
      </extLst>
    </cfRule>
  </conditionalFormatting>
  <conditionalFormatting sqref="E44:F44">
    <cfRule type="dataBar" priority="6">
      <dataBar>
        <cfvo type="num" val="0"/>
        <cfvo type="num" val="1"/>
        <color theme="6"/>
      </dataBar>
      <extLst>
        <ext xmlns:x14="http://schemas.microsoft.com/office/spreadsheetml/2009/9/main" uri="{B025F937-C7B1-47D3-B67F-A62EFF666E3E}">
          <x14:id>{B744D43D-555E-4086-81FC-F6310CCFFE68}</x14:id>
        </ext>
      </extLst>
    </cfRule>
  </conditionalFormatting>
  <conditionalFormatting sqref="E45:F50 E42:F43">
    <cfRule type="dataBar" priority="9">
      <dataBar>
        <cfvo type="num" val="0"/>
        <cfvo type="num" val="1"/>
        <color theme="6"/>
      </dataBar>
      <extLst>
        <ext xmlns:x14="http://schemas.microsoft.com/office/spreadsheetml/2009/9/main" uri="{B025F937-C7B1-47D3-B67F-A62EFF666E3E}">
          <x14:id>{501D1F7E-24EF-4AB9-A549-FCFA8EC7A479}</x14:id>
        </ext>
      </extLst>
    </cfRule>
  </conditionalFormatting>
  <conditionalFormatting sqref="G2:K2">
    <cfRule type="dataBar" priority="5">
      <dataBar>
        <cfvo type="num" val="0"/>
        <cfvo type="num" val="1"/>
        <color theme="6"/>
      </dataBar>
      <extLst>
        <ext xmlns:x14="http://schemas.microsoft.com/office/spreadsheetml/2009/9/main" uri="{B025F937-C7B1-47D3-B67F-A62EFF666E3E}">
          <x14:id>{3DB186A2-269D-4C11-B916-AE65B23EBB07}</x14:id>
        </ext>
      </extLst>
    </cfRule>
  </conditionalFormatting>
  <conditionalFormatting sqref="H3:H24">
    <cfRule type="colorScale" priority="491">
      <colorScale>
        <cfvo type="min"/>
        <cfvo type="percentile" val="50"/>
        <cfvo type="max"/>
        <color rgb="FFF8696B"/>
        <color rgb="FFFFEB84"/>
        <color rgb="FF63BE7B"/>
      </colorScale>
    </cfRule>
  </conditionalFormatting>
  <conditionalFormatting sqref="K1:K24">
    <cfRule type="containsText" dxfId="11" priority="1" operator="containsText" text="VENCIDO">
      <formula>NOT(ISERROR(SEARCH("VENCIDO",K1)))</formula>
    </cfRule>
  </conditionalFormatting>
  <conditionalFormatting sqref="K1:K1048576">
    <cfRule type="containsText" dxfId="10" priority="2" operator="containsText" text="PENDIENTE">
      <formula>NOT(ISERROR(SEARCH("PENDIENTE",K1)))</formula>
    </cfRule>
  </conditionalFormatting>
  <conditionalFormatting sqref="K2:K23">
    <cfRule type="containsText" dxfId="9" priority="3" operator="containsText" text="PAGADO">
      <formula>NOT(ISERROR(SEARCH("PAGADO",K2)))</formula>
    </cfRule>
  </conditionalFormatting>
  <pageMargins left="0.7" right="0.7" top="0.75" bottom="0.75" header="0.3" footer="0.3"/>
  <ignoredErrors>
    <ignoredError sqref="C2:D2" formulaRange="1"/>
  </ignoredErrors>
  <extLst>
    <ext xmlns:x14="http://schemas.microsoft.com/office/spreadsheetml/2009/9/main" uri="{78C0D931-6437-407d-A8EE-F0AAD7539E65}">
      <x14:conditionalFormattings>
        <x14:conditionalFormatting xmlns:xm="http://schemas.microsoft.com/office/excel/2006/main">
          <x14:cfRule type="dataBar" id="{2793093C-1A89-4359-9CA3-999D420E04EB}">
            <x14:dataBar minLength="0" maxLength="100" gradient="0">
              <x14:cfvo type="num">
                <xm:f>0</xm:f>
              </x14:cfvo>
              <x14:cfvo type="num">
                <xm:f>1</xm:f>
              </x14:cfvo>
              <x14:negativeFillColor rgb="FFFF0000"/>
              <x14:axisColor rgb="FF000000"/>
            </x14:dataBar>
          </x14:cfRule>
          <xm:sqref>E1:F17</xm:sqref>
        </x14:conditionalFormatting>
        <x14:conditionalFormatting xmlns:xm="http://schemas.microsoft.com/office/excel/2006/main">
          <x14:cfRule type="dataBar" id="{D00EAA43-181F-4E3B-AE9C-0739044B998D}">
            <x14:dataBar minLength="0" maxLength="100" gradient="0">
              <x14:cfvo type="num">
                <xm:f>0</xm:f>
              </x14:cfvo>
              <x14:cfvo type="num">
                <xm:f>1</xm:f>
              </x14:cfvo>
              <x14:negativeFillColor rgb="FFFF0000"/>
              <x14:axisColor rgb="FF000000"/>
            </x14:dataBar>
          </x14:cfRule>
          <xm:sqref>E19:F41 E18</xm:sqref>
        </x14:conditionalFormatting>
        <x14:conditionalFormatting xmlns:xm="http://schemas.microsoft.com/office/excel/2006/main">
          <x14:cfRule type="dataBar" id="{B744D43D-555E-4086-81FC-F6310CCFFE68}">
            <x14:dataBar minLength="0" maxLength="100" gradient="0">
              <x14:cfvo type="num">
                <xm:f>0</xm:f>
              </x14:cfvo>
              <x14:cfvo type="num">
                <xm:f>1</xm:f>
              </x14:cfvo>
              <x14:negativeFillColor rgb="FFFF0000"/>
              <x14:axisColor rgb="FF000000"/>
            </x14:dataBar>
          </x14:cfRule>
          <xm:sqref>E44:F44</xm:sqref>
        </x14:conditionalFormatting>
        <x14:conditionalFormatting xmlns:xm="http://schemas.microsoft.com/office/excel/2006/main">
          <x14:cfRule type="dataBar" id="{501D1F7E-24EF-4AB9-A549-FCFA8EC7A479}">
            <x14:dataBar minLength="0" maxLength="100" gradient="0">
              <x14:cfvo type="num">
                <xm:f>0</xm:f>
              </x14:cfvo>
              <x14:cfvo type="num">
                <xm:f>1</xm:f>
              </x14:cfvo>
              <x14:negativeFillColor rgb="FFFF0000"/>
              <x14:axisColor rgb="FF000000"/>
            </x14:dataBar>
          </x14:cfRule>
          <xm:sqref>E45:F50 E42:F43</xm:sqref>
        </x14:conditionalFormatting>
        <x14:conditionalFormatting xmlns:xm="http://schemas.microsoft.com/office/excel/2006/main">
          <x14:cfRule type="dataBar" id="{3DB186A2-269D-4C11-B916-AE65B23EBB07}">
            <x14:dataBar minLength="0" maxLength="100" gradient="0">
              <x14:cfvo type="num">
                <xm:f>0</xm:f>
              </x14:cfvo>
              <x14:cfvo type="num">
                <xm:f>1</xm:f>
              </x14:cfvo>
              <x14:negativeFillColor rgb="FFFF0000"/>
              <x14:axisColor rgb="FF000000"/>
            </x14:dataBar>
          </x14:cfRule>
          <xm:sqref>G2:K2</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dimension ref="B1:CA83"/>
  <sheetViews>
    <sheetView showGridLines="0" tabSelected="1" showRuler="0" zoomScale="90" zoomScaleNormal="90" zoomScalePageLayoutView="70" workbookViewId="0">
      <selection activeCell="F26" sqref="F26"/>
    </sheetView>
  </sheetViews>
  <sheetFormatPr baseColWidth="10" defaultColWidth="8.85546875" defaultRowHeight="30" customHeight="1" x14ac:dyDescent="0.25"/>
  <cols>
    <col min="2" max="2" width="19.28515625" style="42" customWidth="1"/>
    <col min="3" max="3" width="19.42578125" style="42" bestFit="1" customWidth="1"/>
    <col min="4" max="4" width="17.28515625" style="42" bestFit="1" customWidth="1"/>
    <col min="5" max="5" width="23" style="42" bestFit="1" customWidth="1"/>
    <col min="6" max="6" width="19.85546875" style="42" bestFit="1" customWidth="1"/>
    <col min="7" max="7" width="8" style="42" hidden="1" customWidth="1"/>
    <col min="8" max="8" width="7.42578125" style="42" hidden="1" customWidth="1"/>
    <col min="9" max="9" width="9.140625" style="42" bestFit="1" customWidth="1"/>
    <col min="10" max="10" width="6.42578125" style="42" customWidth="1"/>
    <col min="11" max="11" width="10.85546875" style="43" customWidth="1"/>
    <col min="12" max="12" width="11.7109375" style="43" customWidth="1"/>
    <col min="13" max="13" width="7.7109375" style="42" customWidth="1"/>
    <col min="14" max="14" width="10.140625" style="42" bestFit="1" customWidth="1"/>
    <col min="15" max="15" width="11.7109375" style="42" customWidth="1"/>
    <col min="16" max="16" width="2.7109375" customWidth="1"/>
    <col min="17" max="89" width="3.28515625" customWidth="1"/>
  </cols>
  <sheetData>
    <row r="1" spans="2:79" ht="25.15" customHeight="1" x14ac:dyDescent="0.25"/>
    <row r="2" spans="2:79" ht="49.9" customHeight="1" x14ac:dyDescent="0.25">
      <c r="B2" s="102" t="s">
        <v>0</v>
      </c>
      <c r="C2" s="102"/>
      <c r="D2" s="102"/>
      <c r="E2" s="102"/>
      <c r="F2" s="102"/>
      <c r="G2" s="102"/>
      <c r="H2" s="102"/>
      <c r="I2" s="102"/>
      <c r="J2" s="102"/>
      <c r="K2" s="102"/>
      <c r="L2" s="102"/>
      <c r="M2" s="102"/>
      <c r="N2" s="102"/>
      <c r="O2" s="102"/>
      <c r="P2" s="102"/>
      <c r="Q2" s="151"/>
      <c r="R2" s="151"/>
      <c r="S2" s="151"/>
      <c r="T2" s="151"/>
      <c r="U2" s="151"/>
      <c r="V2" s="151"/>
      <c r="W2" s="150"/>
      <c r="X2" s="150"/>
      <c r="Y2" s="150"/>
      <c r="Z2" s="150"/>
      <c r="AA2" s="150"/>
      <c r="AB2" s="150"/>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row>
    <row r="3" spans="2:79" ht="19.899999999999999" customHeight="1" x14ac:dyDescent="0.25">
      <c r="B3" s="25"/>
      <c r="C3" s="25"/>
      <c r="D3" s="25"/>
      <c r="E3" s="25"/>
      <c r="F3" s="25"/>
      <c r="G3" s="26"/>
      <c r="H3" s="6"/>
      <c r="I3" s="6"/>
      <c r="J3" s="6"/>
      <c r="M3" s="6"/>
      <c r="N3" s="6"/>
      <c r="O3" s="44"/>
      <c r="P3" s="6"/>
      <c r="Q3" s="11"/>
      <c r="R3" s="1"/>
      <c r="S3" s="1"/>
      <c r="T3" s="1"/>
    </row>
    <row r="4" spans="2:79" ht="30" customHeight="1" x14ac:dyDescent="0.25">
      <c r="B4" s="80" t="s">
        <v>1</v>
      </c>
      <c r="C4" s="80"/>
      <c r="D4" s="80"/>
      <c r="E4" s="80"/>
      <c r="F4" s="81" t="s">
        <v>2</v>
      </c>
      <c r="H4" s="7"/>
      <c r="I4" s="8"/>
      <c r="J4" s="8"/>
      <c r="K4" s="82"/>
      <c r="L4" s="82"/>
      <c r="M4" s="9" t="s">
        <v>3</v>
      </c>
      <c r="N4" s="9"/>
      <c r="O4" s="48"/>
      <c r="P4" s="8"/>
      <c r="Q4" s="154" t="s">
        <v>4</v>
      </c>
      <c r="R4" s="154"/>
      <c r="S4" s="154"/>
      <c r="T4" s="154"/>
      <c r="V4" s="155" t="s">
        <v>5</v>
      </c>
      <c r="W4" s="155"/>
      <c r="X4" s="155"/>
      <c r="Y4" s="155"/>
      <c r="AA4" s="156" t="s">
        <v>6</v>
      </c>
      <c r="AB4" s="156"/>
      <c r="AC4" s="156"/>
      <c r="AD4" s="156"/>
      <c r="AF4" s="152" t="s">
        <v>7</v>
      </c>
      <c r="AG4" s="152"/>
      <c r="AH4" s="152"/>
      <c r="AI4" s="152"/>
      <c r="AK4" s="153" t="s">
        <v>8</v>
      </c>
      <c r="AL4" s="153"/>
      <c r="AM4" s="153"/>
      <c r="AN4" s="153"/>
    </row>
    <row r="5" spans="2:79" ht="30" customHeight="1" x14ac:dyDescent="0.25">
      <c r="B5" s="81" t="s">
        <v>9</v>
      </c>
      <c r="C5" s="81"/>
      <c r="D5" s="81"/>
      <c r="E5" s="81"/>
      <c r="F5" s="83"/>
      <c r="H5" s="7"/>
      <c r="I5" s="8"/>
      <c r="J5" s="8"/>
      <c r="K5" s="82"/>
      <c r="L5" s="82"/>
      <c r="M5" s="8"/>
      <c r="N5" s="8"/>
      <c r="O5" s="47"/>
      <c r="P5" s="8"/>
    </row>
    <row r="6" spans="2:79" ht="30" customHeight="1" x14ac:dyDescent="0.35">
      <c r="B6" s="84" t="s">
        <v>10</v>
      </c>
      <c r="C6" s="84"/>
      <c r="D6" s="84"/>
      <c r="E6" s="84"/>
      <c r="F6" s="85" cm="1">
        <f t="array" aca="1" ref="F6" ca="1">IFERROR(IF(MIN(Hitos4352[FECHA INICIAL])=0,TODAY(),#REF!(Hitos4352[FECHA INICIAL])),TODAY())</f>
        <v>46078</v>
      </c>
      <c r="H6" s="85"/>
      <c r="I6" s="8"/>
      <c r="J6" s="8"/>
      <c r="K6" s="82"/>
      <c r="L6" s="82"/>
      <c r="M6" s="8"/>
      <c r="N6" s="8"/>
      <c r="O6" s="47"/>
      <c r="P6" s="8"/>
      <c r="Q6" s="15" t="str">
        <f ca="1">TEXT(Q7,"mmmm")</f>
        <v>febrero</v>
      </c>
      <c r="R6" s="15"/>
      <c r="S6" s="15"/>
      <c r="T6" s="15"/>
      <c r="U6" s="15"/>
      <c r="V6" s="15"/>
      <c r="W6" s="15"/>
      <c r="X6" s="15" t="str">
        <f ca="1">IF(TEXT(X7,"mmmm")=Q6,"",TEXT(X7,"mmmm"))</f>
        <v>marzo</v>
      </c>
      <c r="Y6" s="15"/>
      <c r="Z6" s="15"/>
      <c r="AA6" s="15"/>
      <c r="AB6" s="15"/>
      <c r="AC6" s="15"/>
      <c r="AD6" s="15"/>
      <c r="AE6" s="15" t="str">
        <f ca="1">IF(OR(TEXT(AE7,"mmmm")=X6,TEXT(AE7,"mmmm")=Q6),"",TEXT(AE7,"mmmm"))</f>
        <v/>
      </c>
      <c r="AF6" s="15"/>
      <c r="AG6" s="15"/>
      <c r="AH6" s="15"/>
      <c r="AI6" s="15"/>
      <c r="AJ6" s="15"/>
      <c r="AK6" s="15"/>
      <c r="AL6" s="15" t="str">
        <f ca="1">IF(OR(TEXT(AL7,"mmmm")=AE6,TEXT(AL7,"mmmm")=X6,TEXT(AL7,"mmmm")=Q6),"",TEXT(AL7,"mmmm"))</f>
        <v/>
      </c>
      <c r="AM6" s="15"/>
      <c r="AN6" s="15"/>
      <c r="AO6" s="15"/>
      <c r="AP6" s="15"/>
      <c r="AQ6" s="15"/>
      <c r="AR6" s="15"/>
      <c r="AS6" s="15" t="str">
        <f ca="1">IF(OR(TEXT(AS7,"mmmm")=AL6,TEXT(AS7,"mmmm")=AE6,TEXT(AS7,"mmmm")=X6,TEXT(AS7,"mmmm")=Q6),"",TEXT(AS7,"mmmm"))</f>
        <v/>
      </c>
      <c r="AT6" s="15"/>
      <c r="AU6" s="15"/>
      <c r="AV6" s="15"/>
      <c r="AW6" s="15"/>
      <c r="AX6" s="15"/>
      <c r="AY6" s="15"/>
      <c r="AZ6" s="15" t="str">
        <f ca="1">IF(OR(TEXT(AZ7,"mmmm")=AS6,TEXT(AZ7,"mmmm")=AL6,TEXT(AZ7,"mmmm")=AE6,TEXT(AZ7,"mmmm")=X6),"",TEXT(AZ7,"mmmm"))</f>
        <v>abril</v>
      </c>
      <c r="BA6" s="15"/>
      <c r="BB6" s="15"/>
      <c r="BC6" s="15"/>
      <c r="BD6" s="15"/>
      <c r="BE6" s="15"/>
      <c r="BF6" s="16"/>
      <c r="BG6" s="16" t="str">
        <f ca="1">IF(OR(TEXT(BG7,"mmmm")=AZ6,TEXT(BG7,"mmmm")=AS6,TEXT(BG7,"mmmm")=AL6,TEXT(BG7,"mmmm")=AE6),"",TEXT(BG7,"mmmm"))</f>
        <v/>
      </c>
      <c r="BH6" s="16"/>
      <c r="BI6" s="16"/>
      <c r="BJ6" s="17"/>
      <c r="BK6" s="14"/>
      <c r="BL6" s="14"/>
      <c r="BM6" s="14"/>
      <c r="BN6" s="14" t="str">
        <f ca="1">IF(OR(TEXT(BN7,"mmmm")=BG6,TEXT(BN7,"mmmm")=AZ6,TEXT(BN7,"mmmm")=AS6,TEXT(BN7,"mmmm")=AL6),"",TEXT(BN7,"mmmm"))</f>
        <v/>
      </c>
      <c r="BO6" s="14"/>
      <c r="BP6" s="14"/>
      <c r="BQ6" s="14"/>
      <c r="BR6" s="14"/>
      <c r="BS6" s="14"/>
      <c r="BT6" s="14"/>
    </row>
    <row r="7" spans="2:79" ht="30" customHeight="1" x14ac:dyDescent="0.25">
      <c r="B7" s="84" t="s">
        <v>11</v>
      </c>
      <c r="C7" s="84"/>
      <c r="D7" s="84"/>
      <c r="E7" s="84"/>
      <c r="F7" s="86">
        <v>1</v>
      </c>
      <c r="H7" s="7"/>
      <c r="I7" s="8"/>
      <c r="J7" s="8"/>
      <c r="K7" s="8"/>
      <c r="L7" s="8"/>
      <c r="M7" s="8"/>
      <c r="N7" s="8"/>
      <c r="O7" s="47"/>
      <c r="P7" s="10"/>
      <c r="Q7" s="19">
        <f ca="1">IFERROR(Inicio_del_proyecto+Incremento_de_desplazamiento,TODAY())</f>
        <v>46079</v>
      </c>
      <c r="R7" s="20">
        <f ca="1">Q7+1</f>
        <v>46080</v>
      </c>
      <c r="S7" s="20">
        <f t="shared" ref="S7:BF7" ca="1" si="0">R7+1</f>
        <v>46081</v>
      </c>
      <c r="T7" s="20">
        <f t="shared" ca="1" si="0"/>
        <v>46082</v>
      </c>
      <c r="U7" s="20">
        <f t="shared" ca="1" si="0"/>
        <v>46083</v>
      </c>
      <c r="V7" s="20">
        <f t="shared" ca="1" si="0"/>
        <v>46084</v>
      </c>
      <c r="W7" s="21">
        <f t="shared" ca="1" si="0"/>
        <v>46085</v>
      </c>
      <c r="X7" s="20">
        <f ca="1">W7+1</f>
        <v>46086</v>
      </c>
      <c r="Y7" s="20">
        <f ca="1">X7+1</f>
        <v>46087</v>
      </c>
      <c r="Z7" s="20">
        <f t="shared" ca="1" si="0"/>
        <v>46088</v>
      </c>
      <c r="AA7" s="20">
        <f t="shared" ca="1" si="0"/>
        <v>46089</v>
      </c>
      <c r="AB7" s="20">
        <f t="shared" ca="1" si="0"/>
        <v>46090</v>
      </c>
      <c r="AC7" s="20">
        <f t="shared" ca="1" si="0"/>
        <v>46091</v>
      </c>
      <c r="AD7" s="21">
        <f t="shared" ca="1" si="0"/>
        <v>46092</v>
      </c>
      <c r="AE7" s="20">
        <f ca="1">AD7+1</f>
        <v>46093</v>
      </c>
      <c r="AF7" s="20">
        <f ca="1">AE7+1</f>
        <v>46094</v>
      </c>
      <c r="AG7" s="20">
        <f t="shared" ca="1" si="0"/>
        <v>46095</v>
      </c>
      <c r="AH7" s="20">
        <f t="shared" ca="1" si="0"/>
        <v>46096</v>
      </c>
      <c r="AI7" s="20">
        <f t="shared" ca="1" si="0"/>
        <v>46097</v>
      </c>
      <c r="AJ7" s="20">
        <f t="shared" ca="1" si="0"/>
        <v>46098</v>
      </c>
      <c r="AK7" s="21">
        <f t="shared" ca="1" si="0"/>
        <v>46099</v>
      </c>
      <c r="AL7" s="20">
        <f ca="1">AK7+1</f>
        <v>46100</v>
      </c>
      <c r="AM7" s="20">
        <f ca="1">AL7+1</f>
        <v>46101</v>
      </c>
      <c r="AN7" s="20">
        <f t="shared" ca="1" si="0"/>
        <v>46102</v>
      </c>
      <c r="AO7" s="20">
        <f t="shared" ca="1" si="0"/>
        <v>46103</v>
      </c>
      <c r="AP7" s="20">
        <f t="shared" ca="1" si="0"/>
        <v>46104</v>
      </c>
      <c r="AQ7" s="20">
        <f t="shared" ca="1" si="0"/>
        <v>46105</v>
      </c>
      <c r="AR7" s="21">
        <f t="shared" ca="1" si="0"/>
        <v>46106</v>
      </c>
      <c r="AS7" s="20">
        <f ca="1">AR7+1</f>
        <v>46107</v>
      </c>
      <c r="AT7" s="20">
        <f ca="1">AS7+1</f>
        <v>46108</v>
      </c>
      <c r="AU7" s="20">
        <f t="shared" ca="1" si="0"/>
        <v>46109</v>
      </c>
      <c r="AV7" s="20">
        <f t="shared" ca="1" si="0"/>
        <v>46110</v>
      </c>
      <c r="AW7" s="20">
        <f t="shared" ca="1" si="0"/>
        <v>46111</v>
      </c>
      <c r="AX7" s="20">
        <f t="shared" ca="1" si="0"/>
        <v>46112</v>
      </c>
      <c r="AY7" s="21">
        <f t="shared" ca="1" si="0"/>
        <v>46113</v>
      </c>
      <c r="AZ7" s="20">
        <f ca="1">AY7+1</f>
        <v>46114</v>
      </c>
      <c r="BA7" s="20">
        <f ca="1">AZ7+1</f>
        <v>46115</v>
      </c>
      <c r="BB7" s="20">
        <f t="shared" ca="1" si="0"/>
        <v>46116</v>
      </c>
      <c r="BC7" s="20">
        <f t="shared" ca="1" si="0"/>
        <v>46117</v>
      </c>
      <c r="BD7" s="20">
        <f t="shared" ca="1" si="0"/>
        <v>46118</v>
      </c>
      <c r="BE7" s="20">
        <f t="shared" ca="1" si="0"/>
        <v>46119</v>
      </c>
      <c r="BF7" s="21">
        <f t="shared" ca="1" si="0"/>
        <v>46120</v>
      </c>
      <c r="BG7" s="20">
        <f ca="1">BF7+1</f>
        <v>46121</v>
      </c>
      <c r="BH7" s="20">
        <f ca="1">BG7+1</f>
        <v>46122</v>
      </c>
      <c r="BI7" s="20">
        <f t="shared" ref="BI7:BM7" ca="1" si="1">BH7+1</f>
        <v>46123</v>
      </c>
      <c r="BJ7" s="20">
        <f t="shared" ca="1" si="1"/>
        <v>46124</v>
      </c>
      <c r="BK7" s="20">
        <f t="shared" ca="1" si="1"/>
        <v>46125</v>
      </c>
      <c r="BL7" s="20">
        <f t="shared" ca="1" si="1"/>
        <v>46126</v>
      </c>
      <c r="BM7" s="21">
        <f t="shared" ca="1" si="1"/>
        <v>46127</v>
      </c>
      <c r="BN7" s="20">
        <f ca="1">BM7+1</f>
        <v>46128</v>
      </c>
      <c r="BO7" s="20">
        <f ca="1">BN7+1</f>
        <v>46129</v>
      </c>
      <c r="BP7" s="20">
        <f t="shared" ref="BP7:BT7" ca="1" si="2">BO7+1</f>
        <v>46130</v>
      </c>
      <c r="BQ7" s="20">
        <f t="shared" ca="1" si="2"/>
        <v>46131</v>
      </c>
      <c r="BR7" s="20">
        <f t="shared" ca="1" si="2"/>
        <v>46132</v>
      </c>
      <c r="BS7" s="20">
        <f t="shared" ca="1" si="2"/>
        <v>46133</v>
      </c>
      <c r="BT7" s="21">
        <f t="shared" ca="1" si="2"/>
        <v>46134</v>
      </c>
    </row>
    <row r="8" spans="2:79" ht="19.899999999999999" customHeight="1" x14ac:dyDescent="0.25">
      <c r="B8" s="84" t="s">
        <v>12</v>
      </c>
      <c r="C8" s="7"/>
      <c r="D8" s="7"/>
      <c r="E8" s="7"/>
      <c r="F8" s="87">
        <v>1480</v>
      </c>
      <c r="H8" s="7"/>
      <c r="I8" s="8"/>
      <c r="J8" s="8"/>
      <c r="K8" s="8"/>
      <c r="L8" s="8"/>
      <c r="M8" s="8"/>
      <c r="N8" s="8"/>
      <c r="O8" s="47"/>
      <c r="P8" s="10"/>
      <c r="Q8" s="22"/>
      <c r="R8" s="23"/>
      <c r="S8" s="23"/>
      <c r="T8" s="23"/>
      <c r="U8" s="23"/>
      <c r="V8" s="23"/>
      <c r="W8" s="23"/>
      <c r="X8" s="22"/>
      <c r="Y8" s="23"/>
      <c r="Z8" s="23"/>
      <c r="AA8" s="23"/>
      <c r="AB8" s="23"/>
      <c r="AC8" s="23"/>
      <c r="AD8" s="24"/>
      <c r="AE8" s="23"/>
      <c r="AF8" s="23"/>
      <c r="AG8" s="23"/>
      <c r="AH8" s="23"/>
      <c r="AI8" s="23"/>
      <c r="AJ8" s="23"/>
      <c r="AK8" s="24"/>
      <c r="AL8" s="23"/>
      <c r="AM8" s="23"/>
      <c r="AN8" s="23"/>
      <c r="AO8" s="23"/>
      <c r="AP8" s="23"/>
      <c r="AQ8" s="23"/>
      <c r="AR8" s="24"/>
      <c r="AS8" s="23"/>
      <c r="AT8" s="23"/>
      <c r="AU8" s="23"/>
      <c r="AV8" s="23"/>
      <c r="AW8" s="23"/>
      <c r="AX8" s="23"/>
      <c r="AY8" s="24"/>
      <c r="AZ8" s="23"/>
      <c r="BA8" s="23"/>
      <c r="BB8" s="23"/>
      <c r="BC8" s="23"/>
      <c r="BD8" s="23"/>
      <c r="BE8" s="23"/>
      <c r="BF8" s="24"/>
      <c r="BG8" s="23"/>
      <c r="BH8" s="23"/>
      <c r="BI8" s="23"/>
      <c r="BJ8" s="23"/>
      <c r="BK8" s="23"/>
      <c r="BL8" s="23"/>
      <c r="BM8" s="24"/>
      <c r="BN8" s="23"/>
      <c r="BO8" s="23"/>
      <c r="BP8" s="23"/>
      <c r="BQ8" s="23"/>
      <c r="BR8" s="23"/>
      <c r="BS8" s="23"/>
      <c r="BT8" s="24"/>
    </row>
    <row r="9" spans="2:79" ht="19.899999999999999" customHeight="1" x14ac:dyDescent="0.25">
      <c r="B9" s="84" t="s">
        <v>13</v>
      </c>
      <c r="C9" s="7"/>
      <c r="D9" s="7"/>
      <c r="E9" s="7"/>
      <c r="F9" s="88">
        <f ca="1">TODAY()</f>
        <v>46078</v>
      </c>
      <c r="H9" s="7"/>
      <c r="I9" s="8"/>
      <c r="J9" s="8"/>
      <c r="K9" s="8"/>
      <c r="L9" s="8"/>
      <c r="M9" s="8"/>
      <c r="N9" s="8"/>
      <c r="O9" s="47"/>
      <c r="P9" s="8"/>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6"/>
      <c r="BU9" s="37"/>
      <c r="BV9" s="37"/>
      <c r="BW9" s="37"/>
      <c r="BX9" s="37"/>
      <c r="BY9" s="37"/>
      <c r="BZ9" s="37"/>
      <c r="CA9" s="37"/>
    </row>
    <row r="10" spans="2:79" ht="19.899999999999999" customHeight="1" x14ac:dyDescent="0.25">
      <c r="B10" s="49"/>
      <c r="C10" s="46"/>
      <c r="D10" s="46"/>
      <c r="E10" s="46"/>
      <c r="F10" s="46"/>
      <c r="G10" s="50"/>
      <c r="H10" s="46"/>
      <c r="I10" s="47"/>
      <c r="J10" s="47"/>
      <c r="K10" s="47"/>
      <c r="L10" s="47"/>
      <c r="M10" s="47"/>
      <c r="N10" s="47"/>
      <c r="O10" s="47"/>
      <c r="P10" s="8"/>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6"/>
      <c r="BU10" s="37"/>
      <c r="BV10" s="37"/>
      <c r="BW10" s="37"/>
      <c r="BX10" s="37"/>
      <c r="BY10" s="37"/>
      <c r="BZ10" s="37"/>
      <c r="CA10" s="37"/>
    </row>
    <row r="11" spans="2:79" ht="40.15" customHeight="1" x14ac:dyDescent="0.25">
      <c r="B11" s="51" t="s">
        <v>14</v>
      </c>
      <c r="C11" s="51" t="s">
        <v>15</v>
      </c>
      <c r="D11" s="51" t="s">
        <v>16</v>
      </c>
      <c r="E11" s="52" t="s">
        <v>17</v>
      </c>
      <c r="F11" s="52" t="s">
        <v>18</v>
      </c>
      <c r="G11" s="53" t="s">
        <v>19</v>
      </c>
      <c r="H11" s="53" t="s">
        <v>20</v>
      </c>
      <c r="I11" s="53" t="s">
        <v>21</v>
      </c>
      <c r="J11" s="53" t="s">
        <v>22</v>
      </c>
      <c r="K11" s="53" t="s">
        <v>23</v>
      </c>
      <c r="L11" s="53" t="s">
        <v>24</v>
      </c>
      <c r="M11" s="53" t="s">
        <v>25</v>
      </c>
      <c r="N11" s="53" t="s">
        <v>26</v>
      </c>
      <c r="O11" s="53" t="s">
        <v>27</v>
      </c>
      <c r="P11" s="13"/>
      <c r="Q11" s="38" t="str">
        <f t="shared" ref="Q11:BT11" ca="1" si="3">LEFT(TEXT(Q7,"ddd"),1)</f>
        <v>j</v>
      </c>
      <c r="R11" s="38" t="str">
        <f t="shared" ca="1" si="3"/>
        <v>v</v>
      </c>
      <c r="S11" s="38" t="str">
        <f t="shared" ca="1" si="3"/>
        <v>s</v>
      </c>
      <c r="T11" s="38" t="str">
        <f t="shared" ca="1" si="3"/>
        <v>d</v>
      </c>
      <c r="U11" s="38" t="str">
        <f t="shared" ca="1" si="3"/>
        <v>l</v>
      </c>
      <c r="V11" s="38" t="str">
        <f t="shared" ca="1" si="3"/>
        <v>m</v>
      </c>
      <c r="W11" s="38" t="str">
        <f t="shared" ca="1" si="3"/>
        <v>m</v>
      </c>
      <c r="X11" s="38" t="str">
        <f t="shared" ca="1" si="3"/>
        <v>j</v>
      </c>
      <c r="Y11" s="38" t="str">
        <f t="shared" ca="1" si="3"/>
        <v>v</v>
      </c>
      <c r="Z11" s="38" t="str">
        <f t="shared" ca="1" si="3"/>
        <v>s</v>
      </c>
      <c r="AA11" s="38" t="str">
        <f t="shared" ca="1" si="3"/>
        <v>d</v>
      </c>
      <c r="AB11" s="38" t="str">
        <f t="shared" ca="1" si="3"/>
        <v>l</v>
      </c>
      <c r="AC11" s="38" t="str">
        <f t="shared" ca="1" si="3"/>
        <v>m</v>
      </c>
      <c r="AD11" s="38" t="str">
        <f t="shared" ca="1" si="3"/>
        <v>m</v>
      </c>
      <c r="AE11" s="38" t="str">
        <f t="shared" ca="1" si="3"/>
        <v>j</v>
      </c>
      <c r="AF11" s="38" t="str">
        <f t="shared" ca="1" si="3"/>
        <v>v</v>
      </c>
      <c r="AG11" s="38" t="str">
        <f t="shared" ca="1" si="3"/>
        <v>s</v>
      </c>
      <c r="AH11" s="38" t="str">
        <f t="shared" ca="1" si="3"/>
        <v>d</v>
      </c>
      <c r="AI11" s="38" t="str">
        <f t="shared" ca="1" si="3"/>
        <v>l</v>
      </c>
      <c r="AJ11" s="38" t="str">
        <f t="shared" ca="1" si="3"/>
        <v>m</v>
      </c>
      <c r="AK11" s="38" t="str">
        <f t="shared" ca="1" si="3"/>
        <v>m</v>
      </c>
      <c r="AL11" s="38" t="str">
        <f t="shared" ca="1" si="3"/>
        <v>j</v>
      </c>
      <c r="AM11" s="38" t="str">
        <f t="shared" ca="1" si="3"/>
        <v>v</v>
      </c>
      <c r="AN11" s="38" t="str">
        <f t="shared" ca="1" si="3"/>
        <v>s</v>
      </c>
      <c r="AO11" s="38" t="str">
        <f t="shared" ca="1" si="3"/>
        <v>d</v>
      </c>
      <c r="AP11" s="38" t="str">
        <f t="shared" ca="1" si="3"/>
        <v>l</v>
      </c>
      <c r="AQ11" s="38" t="str">
        <f t="shared" ca="1" si="3"/>
        <v>m</v>
      </c>
      <c r="AR11" s="38" t="str">
        <f t="shared" ca="1" si="3"/>
        <v>m</v>
      </c>
      <c r="AS11" s="38" t="str">
        <f t="shared" ca="1" si="3"/>
        <v>j</v>
      </c>
      <c r="AT11" s="38" t="str">
        <f t="shared" ca="1" si="3"/>
        <v>v</v>
      </c>
      <c r="AU11" s="38" t="str">
        <f t="shared" ca="1" si="3"/>
        <v>s</v>
      </c>
      <c r="AV11" s="38" t="str">
        <f t="shared" ca="1" si="3"/>
        <v>d</v>
      </c>
      <c r="AW11" s="38" t="str">
        <f t="shared" ca="1" si="3"/>
        <v>l</v>
      </c>
      <c r="AX11" s="38" t="str">
        <f t="shared" ca="1" si="3"/>
        <v>m</v>
      </c>
      <c r="AY11" s="38" t="str">
        <f t="shared" ca="1" si="3"/>
        <v>m</v>
      </c>
      <c r="AZ11" s="38" t="str">
        <f t="shared" ca="1" si="3"/>
        <v>j</v>
      </c>
      <c r="BA11" s="38" t="str">
        <f t="shared" ca="1" si="3"/>
        <v>v</v>
      </c>
      <c r="BB11" s="38" t="str">
        <f t="shared" ca="1" si="3"/>
        <v>s</v>
      </c>
      <c r="BC11" s="38" t="str">
        <f t="shared" ca="1" si="3"/>
        <v>d</v>
      </c>
      <c r="BD11" s="38" t="str">
        <f t="shared" ca="1" si="3"/>
        <v>l</v>
      </c>
      <c r="BE11" s="38" t="str">
        <f t="shared" ca="1" si="3"/>
        <v>m</v>
      </c>
      <c r="BF11" s="38" t="str">
        <f t="shared" ca="1" si="3"/>
        <v>m</v>
      </c>
      <c r="BG11" s="38" t="str">
        <f t="shared" ca="1" si="3"/>
        <v>j</v>
      </c>
      <c r="BH11" s="38" t="str">
        <f t="shared" ca="1" si="3"/>
        <v>v</v>
      </c>
      <c r="BI11" s="38" t="str">
        <f t="shared" ca="1" si="3"/>
        <v>s</v>
      </c>
      <c r="BJ11" s="38" t="str">
        <f t="shared" ca="1" si="3"/>
        <v>d</v>
      </c>
      <c r="BK11" s="38" t="str">
        <f t="shared" ca="1" si="3"/>
        <v>l</v>
      </c>
      <c r="BL11" s="38" t="str">
        <f t="shared" ca="1" si="3"/>
        <v>m</v>
      </c>
      <c r="BM11" s="38" t="str">
        <f t="shared" ca="1" si="3"/>
        <v>m</v>
      </c>
      <c r="BN11" s="38" t="str">
        <f t="shared" ca="1" si="3"/>
        <v>j</v>
      </c>
      <c r="BO11" s="38" t="str">
        <f t="shared" ca="1" si="3"/>
        <v>v</v>
      </c>
      <c r="BP11" s="38" t="str">
        <f t="shared" ca="1" si="3"/>
        <v>s</v>
      </c>
      <c r="BQ11" s="38" t="str">
        <f t="shared" ca="1" si="3"/>
        <v>d</v>
      </c>
      <c r="BR11" s="38" t="str">
        <f t="shared" ca="1" si="3"/>
        <v>l</v>
      </c>
      <c r="BS11" s="38" t="str">
        <f t="shared" ca="1" si="3"/>
        <v>m</v>
      </c>
      <c r="BT11" s="18" t="str">
        <f t="shared" ca="1" si="3"/>
        <v>m</v>
      </c>
    </row>
    <row r="12" spans="2:79" s="1" customFormat="1" ht="40.15" customHeight="1" x14ac:dyDescent="0.25">
      <c r="B12" s="54" t="s">
        <v>28</v>
      </c>
      <c r="C12" s="55">
        <f>SUM(C13:C26)</f>
        <v>334242945.00000006</v>
      </c>
      <c r="D12" s="55">
        <f>SUM(D13:D26)</f>
        <v>380690275.66000009</v>
      </c>
      <c r="E12" s="100">
        <f>SUM(E13:E26)</f>
        <v>233042.87045666351</v>
      </c>
      <c r="F12" s="100">
        <f>SUM(F13:F26)</f>
        <v>259200.495536036</v>
      </c>
      <c r="G12" s="45"/>
      <c r="H12" s="45"/>
      <c r="I12" s="56"/>
      <c r="J12" s="56"/>
      <c r="K12" s="57"/>
      <c r="L12" s="57"/>
      <c r="M12" s="58"/>
      <c r="N12" s="58"/>
      <c r="O12" s="58"/>
      <c r="P12" s="4"/>
      <c r="Q12" s="3" t="str">
        <f t="shared" ref="Q12:Z18" ca="1" si="4">IF(AND($G12="Objetivo",Q$7&gt;=$K12,Q$7&lt;=$K12+$M12-1),2,IF(AND($G12="Hito",Q$7&gt;=$K12,Q$7&lt;=$K12+$M12-1),1,""))</f>
        <v/>
      </c>
      <c r="R12" s="3" t="str">
        <f t="shared" ca="1" si="4"/>
        <v/>
      </c>
      <c r="S12" s="3" t="str">
        <f t="shared" ca="1" si="4"/>
        <v/>
      </c>
      <c r="T12" s="3" t="str">
        <f t="shared" ca="1" si="4"/>
        <v/>
      </c>
      <c r="U12" s="3" t="str">
        <f t="shared" ca="1" si="4"/>
        <v/>
      </c>
      <c r="V12" s="3" t="str">
        <f t="shared" ca="1" si="4"/>
        <v/>
      </c>
      <c r="W12" s="3" t="str">
        <f t="shared" ca="1" si="4"/>
        <v/>
      </c>
      <c r="X12" s="3" t="str">
        <f t="shared" ca="1" si="4"/>
        <v/>
      </c>
      <c r="Y12" s="3" t="str">
        <f t="shared" ca="1" si="4"/>
        <v/>
      </c>
      <c r="Z12" s="3" t="str">
        <f t="shared" ca="1" si="4"/>
        <v/>
      </c>
      <c r="AA12" s="3" t="str">
        <f t="shared" ref="AA12:AJ18" ca="1" si="5">IF(AND($G12="Objetivo",AA$7&gt;=$K12,AA$7&lt;=$K12+$M12-1),2,IF(AND($G12="Hito",AA$7&gt;=$K12,AA$7&lt;=$K12+$M12-1),1,""))</f>
        <v/>
      </c>
      <c r="AB12" s="3" t="str">
        <f t="shared" ca="1" si="5"/>
        <v/>
      </c>
      <c r="AC12" s="3" t="str">
        <f t="shared" ca="1" si="5"/>
        <v/>
      </c>
      <c r="AD12" s="3" t="str">
        <f t="shared" ca="1" si="5"/>
        <v/>
      </c>
      <c r="AE12" s="3" t="str">
        <f t="shared" ca="1" si="5"/>
        <v/>
      </c>
      <c r="AF12" s="3" t="str">
        <f t="shared" ca="1" si="5"/>
        <v/>
      </c>
      <c r="AG12" s="3" t="str">
        <f t="shared" ca="1" si="5"/>
        <v/>
      </c>
      <c r="AH12" s="3" t="str">
        <f t="shared" ca="1" si="5"/>
        <v/>
      </c>
      <c r="AI12" s="3" t="str">
        <f t="shared" ca="1" si="5"/>
        <v/>
      </c>
      <c r="AJ12" s="3" t="str">
        <f t="shared" ca="1" si="5"/>
        <v/>
      </c>
      <c r="AK12" s="3" t="str">
        <f t="shared" ref="AK12:AT18" ca="1" si="6">IF(AND($G12="Objetivo",AK$7&gt;=$K12,AK$7&lt;=$K12+$M12-1),2,IF(AND($G12="Hito",AK$7&gt;=$K12,AK$7&lt;=$K12+$M12-1),1,""))</f>
        <v/>
      </c>
      <c r="AL12" s="3" t="str">
        <f t="shared" ca="1" si="6"/>
        <v/>
      </c>
      <c r="AM12" s="3" t="str">
        <f t="shared" ca="1" si="6"/>
        <v/>
      </c>
      <c r="AN12" s="3" t="str">
        <f t="shared" ca="1" si="6"/>
        <v/>
      </c>
      <c r="AO12" s="3" t="str">
        <f t="shared" ca="1" si="6"/>
        <v/>
      </c>
      <c r="AP12" s="3" t="str">
        <f t="shared" ca="1" si="6"/>
        <v/>
      </c>
      <c r="AQ12" s="3" t="str">
        <f t="shared" ca="1" si="6"/>
        <v/>
      </c>
      <c r="AR12" s="3" t="str">
        <f t="shared" ca="1" si="6"/>
        <v/>
      </c>
      <c r="AS12" s="3" t="str">
        <f t="shared" ca="1" si="6"/>
        <v/>
      </c>
      <c r="AT12" s="3" t="str">
        <f t="shared" ca="1" si="6"/>
        <v/>
      </c>
      <c r="AU12" s="3" t="str">
        <f t="shared" ref="AU12:BD18" ca="1" si="7">IF(AND($G12="Objetivo",AU$7&gt;=$K12,AU$7&lt;=$K12+$M12-1),2,IF(AND($G12="Hito",AU$7&gt;=$K12,AU$7&lt;=$K12+$M12-1),1,""))</f>
        <v/>
      </c>
      <c r="AV12" s="3" t="str">
        <f t="shared" ca="1" si="7"/>
        <v/>
      </c>
      <c r="AW12" s="3" t="str">
        <f t="shared" ca="1" si="7"/>
        <v/>
      </c>
      <c r="AX12" s="3" t="str">
        <f t="shared" ca="1" si="7"/>
        <v/>
      </c>
      <c r="AY12" s="3" t="str">
        <f t="shared" ca="1" si="7"/>
        <v/>
      </c>
      <c r="AZ12" s="3" t="str">
        <f t="shared" ca="1" si="7"/>
        <v/>
      </c>
      <c r="BA12" s="3" t="str">
        <f t="shared" ca="1" si="7"/>
        <v/>
      </c>
      <c r="BB12" s="3" t="str">
        <f t="shared" ca="1" si="7"/>
        <v/>
      </c>
      <c r="BC12" s="3" t="str">
        <f t="shared" ca="1" si="7"/>
        <v/>
      </c>
      <c r="BD12" s="3" t="str">
        <f t="shared" ca="1" si="7"/>
        <v/>
      </c>
      <c r="BE12" s="3" t="str">
        <f t="shared" ref="BE12:BN18" ca="1" si="8">IF(AND($G12="Objetivo",BE$7&gt;=$K12,BE$7&lt;=$K12+$M12-1),2,IF(AND($G12="Hito",BE$7&gt;=$K12,BE$7&lt;=$K12+$M12-1),1,""))</f>
        <v/>
      </c>
      <c r="BF12" s="3" t="str">
        <f t="shared" ca="1" si="8"/>
        <v/>
      </c>
      <c r="BG12" s="3" t="str">
        <f t="shared" ca="1" si="8"/>
        <v/>
      </c>
      <c r="BH12" s="3" t="str">
        <f t="shared" ca="1" si="8"/>
        <v/>
      </c>
      <c r="BI12" s="3" t="str">
        <f t="shared" ca="1" si="8"/>
        <v/>
      </c>
      <c r="BJ12" s="3" t="str">
        <f t="shared" ca="1" si="8"/>
        <v/>
      </c>
      <c r="BK12" s="3" t="str">
        <f t="shared" ca="1" si="8"/>
        <v/>
      </c>
      <c r="BL12" s="3" t="str">
        <f t="shared" ca="1" si="8"/>
        <v/>
      </c>
      <c r="BM12" s="3" t="str">
        <f t="shared" ca="1" si="8"/>
        <v/>
      </c>
      <c r="BN12" s="3" t="str">
        <f t="shared" ca="1" si="8"/>
        <v/>
      </c>
      <c r="BO12" s="3" t="str">
        <f t="shared" ref="BO12:BT18" ca="1" si="9">IF(AND($G12="Objetivo",BO$7&gt;=$K12,BO$7&lt;=$K12+$M12-1),2,IF(AND($G12="Hito",BO$7&gt;=$K12,BO$7&lt;=$K12+$M12-1),1,""))</f>
        <v/>
      </c>
      <c r="BP12" s="3" t="str">
        <f t="shared" ca="1" si="9"/>
        <v/>
      </c>
      <c r="BQ12" s="3" t="str">
        <f t="shared" ca="1" si="9"/>
        <v/>
      </c>
      <c r="BR12" s="3" t="str">
        <f t="shared" ca="1" si="9"/>
        <v/>
      </c>
      <c r="BS12" s="3" t="str">
        <f t="shared" ca="1" si="9"/>
        <v/>
      </c>
      <c r="BT12" s="3" t="str">
        <f t="shared" ca="1" si="9"/>
        <v/>
      </c>
    </row>
    <row r="13" spans="2:79" s="1" customFormat="1" ht="40.15" customHeight="1" x14ac:dyDescent="0.25">
      <c r="B13" s="97" t="s">
        <v>29</v>
      </c>
      <c r="C13" s="32">
        <f>91700000/2</f>
        <v>45850000</v>
      </c>
      <c r="D13" s="96">
        <f>Hitos4352[[#This Row],[MONTO A DEVOLVER EN USD]]*1400</f>
        <v>53194932</v>
      </c>
      <c r="E13" s="33">
        <v>35000</v>
      </c>
      <c r="F13" s="94">
        <f>37996.38</f>
        <v>37996.379999999997</v>
      </c>
      <c r="G13" s="28"/>
      <c r="H13" s="28"/>
      <c r="I13" s="34">
        <f>Hitos4352[[#This Row],[A DEVOLVER]]/Hitos4352[[#This Row],[MONTO INICIAL]]-1</f>
        <v>0.16019480916030537</v>
      </c>
      <c r="J13" s="29">
        <f>2181270/98000000</f>
        <v>2.2257857142857142E-2</v>
      </c>
      <c r="K13" s="30">
        <v>45887</v>
      </c>
      <c r="L13" s="41">
        <v>46062</v>
      </c>
      <c r="M13" s="31">
        <f>Hitos4352[[#This Row],[FECHA FINAL]]-Hitos4352[[#This Row],[FECHA INICIAL]]</f>
        <v>175</v>
      </c>
      <c r="N13" s="68">
        <f ca="1">Hitos4352[[#This Row],[FECHA FINAL]]-F9</f>
        <v>-16</v>
      </c>
      <c r="O13" s="105" t="s">
        <v>37</v>
      </c>
      <c r="P13" s="4"/>
      <c r="Q13" s="3" t="str">
        <f t="shared" ca="1" si="4"/>
        <v/>
      </c>
      <c r="R13" s="3" t="str">
        <f t="shared" ca="1" si="4"/>
        <v/>
      </c>
      <c r="S13" s="3" t="str">
        <f t="shared" ca="1" si="4"/>
        <v/>
      </c>
      <c r="T13" s="3" t="str">
        <f t="shared" ca="1" si="4"/>
        <v/>
      </c>
      <c r="U13" s="3" t="str">
        <f t="shared" ca="1" si="4"/>
        <v/>
      </c>
      <c r="V13" s="3" t="str">
        <f t="shared" ca="1" si="4"/>
        <v/>
      </c>
      <c r="W13" s="3" t="str">
        <f t="shared" ca="1" si="4"/>
        <v/>
      </c>
      <c r="X13" s="3" t="str">
        <f t="shared" ca="1" si="4"/>
        <v/>
      </c>
      <c r="Y13" s="3" t="str">
        <f t="shared" ca="1" si="4"/>
        <v/>
      </c>
      <c r="Z13" s="3" t="str">
        <f t="shared" ca="1" si="4"/>
        <v/>
      </c>
      <c r="AA13" s="3" t="str">
        <f t="shared" ca="1" si="5"/>
        <v/>
      </c>
      <c r="AB13" s="3" t="str">
        <f t="shared" ca="1" si="5"/>
        <v/>
      </c>
      <c r="AC13" s="3" t="str">
        <f t="shared" ca="1" si="5"/>
        <v/>
      </c>
      <c r="AD13" s="3" t="str">
        <f t="shared" ca="1" si="5"/>
        <v/>
      </c>
      <c r="AE13" s="3" t="str">
        <f t="shared" ca="1" si="5"/>
        <v/>
      </c>
      <c r="AF13" s="3" t="str">
        <f t="shared" ca="1" si="5"/>
        <v/>
      </c>
      <c r="AG13" s="3" t="str">
        <f t="shared" ca="1" si="5"/>
        <v/>
      </c>
      <c r="AH13" s="3" t="str">
        <f t="shared" ca="1" si="5"/>
        <v/>
      </c>
      <c r="AI13" s="3" t="str">
        <f t="shared" ca="1" si="5"/>
        <v/>
      </c>
      <c r="AJ13" s="3" t="str">
        <f t="shared" ca="1" si="5"/>
        <v/>
      </c>
      <c r="AK13" s="3" t="str">
        <f t="shared" ca="1" si="6"/>
        <v/>
      </c>
      <c r="AL13" s="3" t="str">
        <f t="shared" ca="1" si="6"/>
        <v/>
      </c>
      <c r="AM13" s="3" t="str">
        <f t="shared" ca="1" si="6"/>
        <v/>
      </c>
      <c r="AN13" s="3" t="str">
        <f t="shared" ca="1" si="6"/>
        <v/>
      </c>
      <c r="AO13" s="3" t="str">
        <f t="shared" ca="1" si="6"/>
        <v/>
      </c>
      <c r="AP13" s="3" t="str">
        <f t="shared" ca="1" si="6"/>
        <v/>
      </c>
      <c r="AQ13" s="3" t="str">
        <f t="shared" ca="1" si="6"/>
        <v/>
      </c>
      <c r="AR13" s="3" t="str">
        <f t="shared" ca="1" si="6"/>
        <v/>
      </c>
      <c r="AS13" s="3" t="str">
        <f t="shared" ca="1" si="6"/>
        <v/>
      </c>
      <c r="AT13" s="3" t="str">
        <f t="shared" ca="1" si="6"/>
        <v/>
      </c>
      <c r="AU13" s="3" t="str">
        <f t="shared" ca="1" si="7"/>
        <v/>
      </c>
      <c r="AV13" s="3" t="str">
        <f t="shared" ca="1" si="7"/>
        <v/>
      </c>
      <c r="AW13" s="3" t="str">
        <f t="shared" ca="1" si="7"/>
        <v/>
      </c>
      <c r="AX13" s="3" t="str">
        <f t="shared" ca="1" si="7"/>
        <v/>
      </c>
      <c r="AY13" s="3" t="str">
        <f t="shared" ca="1" si="7"/>
        <v/>
      </c>
      <c r="AZ13" s="3" t="str">
        <f t="shared" ca="1" si="7"/>
        <v/>
      </c>
      <c r="BA13" s="3" t="str">
        <f t="shared" ca="1" si="7"/>
        <v/>
      </c>
      <c r="BB13" s="3" t="str">
        <f t="shared" ca="1" si="7"/>
        <v/>
      </c>
      <c r="BC13" s="3" t="str">
        <f t="shared" ca="1" si="7"/>
        <v/>
      </c>
      <c r="BD13" s="3" t="str">
        <f t="shared" ca="1" si="7"/>
        <v/>
      </c>
      <c r="BE13" s="3" t="str">
        <f t="shared" ca="1" si="8"/>
        <v/>
      </c>
      <c r="BF13" s="3" t="str">
        <f t="shared" ca="1" si="8"/>
        <v/>
      </c>
      <c r="BG13" s="3" t="str">
        <f t="shared" ca="1" si="8"/>
        <v/>
      </c>
      <c r="BH13" s="3" t="str">
        <f t="shared" ca="1" si="8"/>
        <v/>
      </c>
      <c r="BI13" s="3" t="str">
        <f t="shared" ca="1" si="8"/>
        <v/>
      </c>
      <c r="BJ13" s="3" t="str">
        <f t="shared" ca="1" si="8"/>
        <v/>
      </c>
      <c r="BK13" s="3" t="str">
        <f t="shared" ca="1" si="8"/>
        <v/>
      </c>
      <c r="BL13" s="3" t="str">
        <f t="shared" ca="1" si="8"/>
        <v/>
      </c>
      <c r="BM13" s="3" t="str">
        <f t="shared" ca="1" si="8"/>
        <v/>
      </c>
      <c r="BN13" s="3" t="str">
        <f t="shared" ca="1" si="8"/>
        <v/>
      </c>
      <c r="BO13" s="3" t="str">
        <f t="shared" ca="1" si="9"/>
        <v/>
      </c>
      <c r="BP13" s="3" t="str">
        <f t="shared" ca="1" si="9"/>
        <v/>
      </c>
      <c r="BQ13" s="3" t="str">
        <f t="shared" ca="1" si="9"/>
        <v/>
      </c>
      <c r="BR13" s="3" t="str">
        <f t="shared" ca="1" si="9"/>
        <v/>
      </c>
      <c r="BS13" s="3" t="str">
        <f t="shared" ca="1" si="9"/>
        <v/>
      </c>
      <c r="BT13" s="3" t="str">
        <f t="shared" ca="1" si="9"/>
        <v/>
      </c>
    </row>
    <row r="14" spans="2:79" s="1" customFormat="1" ht="40.15" customHeight="1" x14ac:dyDescent="0.25">
      <c r="B14" s="97" t="s">
        <v>29</v>
      </c>
      <c r="C14" s="32">
        <f>91700000/2</f>
        <v>45850000</v>
      </c>
      <c r="D14" s="96">
        <f>Hitos4352[[#This Row],[MONTO A DEVOLVER EN USD]]*1400</f>
        <v>51092370.000000007</v>
      </c>
      <c r="E14" s="33">
        <v>35000</v>
      </c>
      <c r="F14" s="94">
        <v>36494.550000000003</v>
      </c>
      <c r="G14" s="28"/>
      <c r="H14" s="28"/>
      <c r="I14" s="34">
        <f>Hitos4352[[#This Row],[A DEVOLVER]]/Hitos4352[[#This Row],[MONTO INICIAL]]-1</f>
        <v>0.11433740458015285</v>
      </c>
      <c r="J14" s="29">
        <f>2181270/98000000</f>
        <v>2.2257857142857142E-2</v>
      </c>
      <c r="K14" s="30">
        <v>45887</v>
      </c>
      <c r="L14" s="41">
        <v>46244</v>
      </c>
      <c r="M14" s="31">
        <f>Hitos4352[[#This Row],[FECHA FINAL]]-Hitos4352[[#This Row],[FECHA INICIAL]]</f>
        <v>357</v>
      </c>
      <c r="N14" s="68">
        <f ca="1">Hitos4352[[#This Row],[FECHA FINAL]]-$F$9</f>
        <v>166</v>
      </c>
      <c r="O14" s="31" t="s">
        <v>30</v>
      </c>
      <c r="P14" s="4"/>
      <c r="Q14" s="3" t="str">
        <f t="shared" ca="1" si="4"/>
        <v/>
      </c>
      <c r="R14" s="3" t="str">
        <f t="shared" ca="1" si="4"/>
        <v/>
      </c>
      <c r="S14" s="3" t="str">
        <f t="shared" ca="1" si="4"/>
        <v/>
      </c>
      <c r="T14" s="3" t="str">
        <f t="shared" ca="1" si="4"/>
        <v/>
      </c>
      <c r="U14" s="3" t="str">
        <f t="shared" ca="1" si="4"/>
        <v/>
      </c>
      <c r="V14" s="3" t="str">
        <f t="shared" ca="1" si="4"/>
        <v/>
      </c>
      <c r="W14" s="3" t="str">
        <f t="shared" ca="1" si="4"/>
        <v/>
      </c>
      <c r="X14" s="3" t="str">
        <f t="shared" ca="1" si="4"/>
        <v/>
      </c>
      <c r="Y14" s="3" t="str">
        <f t="shared" ca="1" si="4"/>
        <v/>
      </c>
      <c r="Z14" s="3" t="str">
        <f t="shared" ca="1" si="4"/>
        <v/>
      </c>
      <c r="AA14" s="3" t="str">
        <f t="shared" ca="1" si="5"/>
        <v/>
      </c>
      <c r="AB14" s="3" t="str">
        <f t="shared" ca="1" si="5"/>
        <v/>
      </c>
      <c r="AC14" s="3" t="str">
        <f t="shared" ca="1" si="5"/>
        <v/>
      </c>
      <c r="AD14" s="3" t="str">
        <f t="shared" ca="1" si="5"/>
        <v/>
      </c>
      <c r="AE14" s="3" t="str">
        <f t="shared" ca="1" si="5"/>
        <v/>
      </c>
      <c r="AF14" s="3" t="str">
        <f t="shared" ca="1" si="5"/>
        <v/>
      </c>
      <c r="AG14" s="3" t="str">
        <f t="shared" ca="1" si="5"/>
        <v/>
      </c>
      <c r="AH14" s="3" t="str">
        <f t="shared" ca="1" si="5"/>
        <v/>
      </c>
      <c r="AI14" s="3" t="str">
        <f t="shared" ca="1" si="5"/>
        <v/>
      </c>
      <c r="AJ14" s="3" t="str">
        <f t="shared" ca="1" si="5"/>
        <v/>
      </c>
      <c r="AK14" s="3" t="str">
        <f t="shared" ca="1" si="6"/>
        <v/>
      </c>
      <c r="AL14" s="3" t="str">
        <f t="shared" ca="1" si="6"/>
        <v/>
      </c>
      <c r="AM14" s="3" t="str">
        <f t="shared" ca="1" si="6"/>
        <v/>
      </c>
      <c r="AN14" s="3" t="str">
        <f t="shared" ca="1" si="6"/>
        <v/>
      </c>
      <c r="AO14" s="3" t="str">
        <f t="shared" ca="1" si="6"/>
        <v/>
      </c>
      <c r="AP14" s="3" t="str">
        <f t="shared" ca="1" si="6"/>
        <v/>
      </c>
      <c r="AQ14" s="3" t="str">
        <f t="shared" ca="1" si="6"/>
        <v/>
      </c>
      <c r="AR14" s="3" t="str">
        <f t="shared" ca="1" si="6"/>
        <v/>
      </c>
      <c r="AS14" s="3" t="str">
        <f t="shared" ca="1" si="6"/>
        <v/>
      </c>
      <c r="AT14" s="3" t="str">
        <f t="shared" ca="1" si="6"/>
        <v/>
      </c>
      <c r="AU14" s="3" t="str">
        <f t="shared" ca="1" si="7"/>
        <v/>
      </c>
      <c r="AV14" s="3" t="str">
        <f t="shared" ca="1" si="7"/>
        <v/>
      </c>
      <c r="AW14" s="3" t="str">
        <f t="shared" ca="1" si="7"/>
        <v/>
      </c>
      <c r="AX14" s="3" t="str">
        <f t="shared" ca="1" si="7"/>
        <v/>
      </c>
      <c r="AY14" s="3" t="str">
        <f t="shared" ca="1" si="7"/>
        <v/>
      </c>
      <c r="AZ14" s="3" t="str">
        <f t="shared" ca="1" si="7"/>
        <v/>
      </c>
      <c r="BA14" s="3" t="str">
        <f t="shared" ca="1" si="7"/>
        <v/>
      </c>
      <c r="BB14" s="3" t="str">
        <f t="shared" ca="1" si="7"/>
        <v/>
      </c>
      <c r="BC14" s="3" t="str">
        <f t="shared" ca="1" si="7"/>
        <v/>
      </c>
      <c r="BD14" s="3" t="str">
        <f t="shared" ca="1" si="7"/>
        <v/>
      </c>
      <c r="BE14" s="3" t="str">
        <f t="shared" ca="1" si="8"/>
        <v/>
      </c>
      <c r="BF14" s="3" t="str">
        <f t="shared" ca="1" si="8"/>
        <v/>
      </c>
      <c r="BG14" s="3" t="str">
        <f t="shared" ca="1" si="8"/>
        <v/>
      </c>
      <c r="BH14" s="3" t="str">
        <f t="shared" ca="1" si="8"/>
        <v/>
      </c>
      <c r="BI14" s="3" t="str">
        <f t="shared" ca="1" si="8"/>
        <v/>
      </c>
      <c r="BJ14" s="3" t="str">
        <f t="shared" ca="1" si="8"/>
        <v/>
      </c>
      <c r="BK14" s="3" t="str">
        <f t="shared" ca="1" si="8"/>
        <v/>
      </c>
      <c r="BL14" s="3" t="str">
        <f t="shared" ca="1" si="8"/>
        <v/>
      </c>
      <c r="BM14" s="3" t="str">
        <f t="shared" ca="1" si="8"/>
        <v/>
      </c>
      <c r="BN14" s="3" t="str">
        <f t="shared" ca="1" si="8"/>
        <v/>
      </c>
      <c r="BO14" s="3" t="str">
        <f t="shared" ca="1" si="9"/>
        <v/>
      </c>
      <c r="BP14" s="3" t="str">
        <f t="shared" ca="1" si="9"/>
        <v/>
      </c>
      <c r="BQ14" s="3" t="str">
        <f t="shared" ca="1" si="9"/>
        <v/>
      </c>
      <c r="BR14" s="3" t="str">
        <f t="shared" ca="1" si="9"/>
        <v/>
      </c>
      <c r="BS14" s="3" t="str">
        <f t="shared" ca="1" si="9"/>
        <v/>
      </c>
      <c r="BT14" s="3" t="str">
        <f t="shared" ca="1" si="9"/>
        <v/>
      </c>
    </row>
    <row r="15" spans="2:79" s="1" customFormat="1" ht="40.15" customHeight="1" x14ac:dyDescent="0.25">
      <c r="B15" s="97" t="s">
        <v>31</v>
      </c>
      <c r="C15" s="32">
        <v>25000000</v>
      </c>
      <c r="D15" s="96">
        <f>47376794.52</f>
        <v>47376794.520000003</v>
      </c>
      <c r="E15" s="33">
        <f>Hitos4352[[#This Row],[MONTO INICIAL]]/$F$8</f>
        <v>16891.891891891893</v>
      </c>
      <c r="F15" s="94">
        <f>Hitos4352[[#This Row],[A DEVOLVER]]/$F$8</f>
        <v>32011.347648648651</v>
      </c>
      <c r="G15" s="28"/>
      <c r="H15" s="28"/>
      <c r="I15" s="34">
        <f>Hitos4352[[#This Row],[A DEVOLVER]]/Hitos4352[[#This Row],[MONTO INICIAL]]-1</f>
        <v>0.89507178080000016</v>
      </c>
      <c r="J15" s="29">
        <v>0</v>
      </c>
      <c r="K15" s="30">
        <v>45910</v>
      </c>
      <c r="L15" s="41">
        <v>46087</v>
      </c>
      <c r="M15" s="31">
        <f>Hitos4352[[#This Row],[FECHA FINAL]]-Hitos4352[[#This Row],[FECHA INICIAL]]</f>
        <v>177</v>
      </c>
      <c r="N15" s="68">
        <f ca="1">Hitos4352[[#This Row],[FECHA FINAL]]-$F$9</f>
        <v>9</v>
      </c>
      <c r="O15" s="31" t="s">
        <v>30</v>
      </c>
      <c r="P15" s="4"/>
      <c r="Q15" s="3" t="str">
        <f t="shared" ca="1" si="4"/>
        <v/>
      </c>
      <c r="R15" s="3" t="str">
        <f t="shared" ca="1" si="4"/>
        <v/>
      </c>
      <c r="S15" s="3" t="str">
        <f t="shared" ca="1" si="4"/>
        <v/>
      </c>
      <c r="T15" s="3" t="str">
        <f t="shared" ca="1" si="4"/>
        <v/>
      </c>
      <c r="U15" s="3" t="str">
        <f t="shared" ca="1" si="4"/>
        <v/>
      </c>
      <c r="V15" s="3" t="str">
        <f t="shared" ca="1" si="4"/>
        <v/>
      </c>
      <c r="W15" s="3" t="str">
        <f t="shared" ca="1" si="4"/>
        <v/>
      </c>
      <c r="X15" s="3" t="str">
        <f t="shared" ca="1" si="4"/>
        <v/>
      </c>
      <c r="Y15" s="3" t="str">
        <f t="shared" ca="1" si="4"/>
        <v/>
      </c>
      <c r="Z15" s="3" t="str">
        <f t="shared" ca="1" si="4"/>
        <v/>
      </c>
      <c r="AA15" s="3" t="str">
        <f t="shared" ca="1" si="5"/>
        <v/>
      </c>
      <c r="AB15" s="3" t="str">
        <f t="shared" ca="1" si="5"/>
        <v/>
      </c>
      <c r="AC15" s="3" t="str">
        <f t="shared" ca="1" si="5"/>
        <v/>
      </c>
      <c r="AD15" s="3" t="str">
        <f t="shared" ca="1" si="5"/>
        <v/>
      </c>
      <c r="AE15" s="3" t="str">
        <f t="shared" ca="1" si="5"/>
        <v/>
      </c>
      <c r="AF15" s="3" t="str">
        <f t="shared" ca="1" si="5"/>
        <v/>
      </c>
      <c r="AG15" s="3" t="str">
        <f t="shared" ca="1" si="5"/>
        <v/>
      </c>
      <c r="AH15" s="3" t="str">
        <f t="shared" ca="1" si="5"/>
        <v/>
      </c>
      <c r="AI15" s="3" t="str">
        <f t="shared" ca="1" si="5"/>
        <v/>
      </c>
      <c r="AJ15" s="3" t="str">
        <f t="shared" ca="1" si="5"/>
        <v/>
      </c>
      <c r="AK15" s="3" t="str">
        <f t="shared" ca="1" si="6"/>
        <v/>
      </c>
      <c r="AL15" s="3" t="str">
        <f t="shared" ca="1" si="6"/>
        <v/>
      </c>
      <c r="AM15" s="3" t="str">
        <f t="shared" ca="1" si="6"/>
        <v/>
      </c>
      <c r="AN15" s="3" t="str">
        <f t="shared" ca="1" si="6"/>
        <v/>
      </c>
      <c r="AO15" s="3" t="str">
        <f t="shared" ca="1" si="6"/>
        <v/>
      </c>
      <c r="AP15" s="3" t="str">
        <f t="shared" ca="1" si="6"/>
        <v/>
      </c>
      <c r="AQ15" s="3" t="str">
        <f t="shared" ca="1" si="6"/>
        <v/>
      </c>
      <c r="AR15" s="3" t="str">
        <f t="shared" ca="1" si="6"/>
        <v/>
      </c>
      <c r="AS15" s="3" t="str">
        <f t="shared" ca="1" si="6"/>
        <v/>
      </c>
      <c r="AT15" s="3" t="str">
        <f t="shared" ca="1" si="6"/>
        <v/>
      </c>
      <c r="AU15" s="3" t="str">
        <f t="shared" ca="1" si="7"/>
        <v/>
      </c>
      <c r="AV15" s="3" t="str">
        <f t="shared" ca="1" si="7"/>
        <v/>
      </c>
      <c r="AW15" s="3" t="str">
        <f t="shared" ca="1" si="7"/>
        <v/>
      </c>
      <c r="AX15" s="3" t="str">
        <f t="shared" ca="1" si="7"/>
        <v/>
      </c>
      <c r="AY15" s="3" t="str">
        <f t="shared" ca="1" si="7"/>
        <v/>
      </c>
      <c r="AZ15" s="3" t="str">
        <f t="shared" ca="1" si="7"/>
        <v/>
      </c>
      <c r="BA15" s="3" t="str">
        <f t="shared" ca="1" si="7"/>
        <v/>
      </c>
      <c r="BB15" s="3" t="str">
        <f t="shared" ca="1" si="7"/>
        <v/>
      </c>
      <c r="BC15" s="3" t="str">
        <f t="shared" ca="1" si="7"/>
        <v/>
      </c>
      <c r="BD15" s="3" t="str">
        <f t="shared" ca="1" si="7"/>
        <v/>
      </c>
      <c r="BE15" s="3" t="str">
        <f t="shared" ca="1" si="8"/>
        <v/>
      </c>
      <c r="BF15" s="3" t="str">
        <f t="shared" ca="1" si="8"/>
        <v/>
      </c>
      <c r="BG15" s="3" t="str">
        <f t="shared" ca="1" si="8"/>
        <v/>
      </c>
      <c r="BH15" s="3" t="str">
        <f t="shared" ca="1" si="8"/>
        <v/>
      </c>
      <c r="BI15" s="3" t="str">
        <f t="shared" ca="1" si="8"/>
        <v/>
      </c>
      <c r="BJ15" s="3" t="str">
        <f t="shared" ca="1" si="8"/>
        <v/>
      </c>
      <c r="BK15" s="3" t="str">
        <f t="shared" ca="1" si="8"/>
        <v/>
      </c>
      <c r="BL15" s="3" t="str">
        <f t="shared" ca="1" si="8"/>
        <v/>
      </c>
      <c r="BM15" s="3" t="str">
        <f t="shared" ca="1" si="8"/>
        <v/>
      </c>
      <c r="BN15" s="3" t="str">
        <f t="shared" ca="1" si="8"/>
        <v/>
      </c>
      <c r="BO15" s="3" t="str">
        <f t="shared" ca="1" si="9"/>
        <v/>
      </c>
      <c r="BP15" s="3" t="str">
        <f t="shared" ca="1" si="9"/>
        <v/>
      </c>
      <c r="BQ15" s="3" t="str">
        <f t="shared" ca="1" si="9"/>
        <v/>
      </c>
      <c r="BR15" s="3" t="str">
        <f t="shared" ca="1" si="9"/>
        <v/>
      </c>
      <c r="BS15" s="3" t="str">
        <f t="shared" ca="1" si="9"/>
        <v/>
      </c>
      <c r="BT15" s="3" t="str">
        <f t="shared" ca="1" si="9"/>
        <v/>
      </c>
    </row>
    <row r="16" spans="2:79" s="1" customFormat="1" ht="40.15" customHeight="1" x14ac:dyDescent="0.25">
      <c r="B16" s="97" t="s">
        <v>31</v>
      </c>
      <c r="C16" s="32">
        <v>25000000</v>
      </c>
      <c r="D16" s="96">
        <v>36314109.579999998</v>
      </c>
      <c r="E16" s="33">
        <f>Hitos4352[[#This Row],[MONTO INICIAL]]/$F$8</f>
        <v>16891.891891891893</v>
      </c>
      <c r="F16" s="94">
        <f>Hitos4352[[#This Row],[A DEVOLVER]]/$F$8</f>
        <v>24536.560527027024</v>
      </c>
      <c r="G16" s="28"/>
      <c r="H16" s="28"/>
      <c r="I16" s="34">
        <f>Hitos4352[[#This Row],[A DEVOLVER]]/Hitos4352[[#This Row],[MONTO INICIAL]]-1</f>
        <v>0.45256438319999992</v>
      </c>
      <c r="J16" s="29">
        <v>0</v>
      </c>
      <c r="K16" s="30">
        <v>45910</v>
      </c>
      <c r="L16" s="41">
        <v>46267</v>
      </c>
      <c r="M16" s="31">
        <f>Hitos4352[[#This Row],[FECHA FINAL]]-Hitos4352[[#This Row],[FECHA INICIAL]]</f>
        <v>357</v>
      </c>
      <c r="N16" s="68">
        <f ca="1">Hitos4352[[#This Row],[FECHA FINAL]]-$F$9</f>
        <v>189</v>
      </c>
      <c r="O16" s="31" t="s">
        <v>30</v>
      </c>
      <c r="P16" s="4"/>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row>
    <row r="17" spans="2:72" s="1" customFormat="1" ht="40.15" customHeight="1" x14ac:dyDescent="0.25">
      <c r="B17" s="97" t="s">
        <v>32</v>
      </c>
      <c r="C17" s="32">
        <v>15000000</v>
      </c>
      <c r="D17" s="96">
        <v>24525435.219999999</v>
      </c>
      <c r="E17" s="33">
        <f>Hitos4352[[#This Row],[MONTO INICIAL]]/$F$8</f>
        <v>10135.135135135135</v>
      </c>
      <c r="F17" s="94">
        <f>Hitos4352[[#This Row],[A DEVOLVER]]/$F$8</f>
        <v>16571.240013513514</v>
      </c>
      <c r="G17" s="28"/>
      <c r="H17" s="28"/>
      <c r="I17" s="34">
        <f>Hitos4352[[#This Row],[A DEVOLVER]]/Hitos4352[[#This Row],[MONTO INICIAL]]-1</f>
        <v>0.63502901466666661</v>
      </c>
      <c r="J17" s="29">
        <v>0</v>
      </c>
      <c r="K17" s="30">
        <v>45910</v>
      </c>
      <c r="L17" s="41">
        <v>46091</v>
      </c>
      <c r="M17" s="31">
        <f>Hitos4352[[#This Row],[FECHA FINAL]]-Hitos4352[[#This Row],[FECHA INICIAL]]</f>
        <v>181</v>
      </c>
      <c r="N17" s="68">
        <f ca="1">Hitos4352[[#This Row],[FECHA FINAL]]-$F$9</f>
        <v>13</v>
      </c>
      <c r="O17" s="31" t="s">
        <v>30</v>
      </c>
      <c r="P17" s="4"/>
      <c r="Q17" s="3" t="str">
        <f t="shared" ca="1" si="4"/>
        <v/>
      </c>
      <c r="R17" s="3" t="str">
        <f t="shared" ca="1" si="4"/>
        <v/>
      </c>
      <c r="S17" s="3" t="str">
        <f t="shared" ca="1" si="4"/>
        <v/>
      </c>
      <c r="T17" s="3" t="str">
        <f t="shared" ca="1" si="4"/>
        <v/>
      </c>
      <c r="U17" s="3" t="str">
        <f t="shared" ca="1" si="4"/>
        <v/>
      </c>
      <c r="V17" s="3" t="str">
        <f t="shared" ca="1" si="4"/>
        <v/>
      </c>
      <c r="W17" s="3" t="str">
        <f t="shared" ca="1" si="4"/>
        <v/>
      </c>
      <c r="X17" s="3" t="str">
        <f t="shared" ca="1" si="4"/>
        <v/>
      </c>
      <c r="Y17" s="3" t="str">
        <f t="shared" ca="1" si="4"/>
        <v/>
      </c>
      <c r="Z17" s="3" t="str">
        <f t="shared" ca="1" si="4"/>
        <v/>
      </c>
      <c r="AA17" s="3" t="str">
        <f t="shared" ca="1" si="5"/>
        <v/>
      </c>
      <c r="AB17" s="3" t="str">
        <f t="shared" ca="1" si="5"/>
        <v/>
      </c>
      <c r="AC17" s="3" t="str">
        <f t="shared" ca="1" si="5"/>
        <v/>
      </c>
      <c r="AD17" s="3" t="str">
        <f t="shared" ca="1" si="5"/>
        <v/>
      </c>
      <c r="AE17" s="3" t="str">
        <f t="shared" ca="1" si="5"/>
        <v/>
      </c>
      <c r="AF17" s="3" t="str">
        <f t="shared" ca="1" si="5"/>
        <v/>
      </c>
      <c r="AG17" s="3" t="str">
        <f t="shared" ca="1" si="5"/>
        <v/>
      </c>
      <c r="AH17" s="3" t="str">
        <f t="shared" ca="1" si="5"/>
        <v/>
      </c>
      <c r="AI17" s="3" t="str">
        <f t="shared" ca="1" si="5"/>
        <v/>
      </c>
      <c r="AJ17" s="3" t="str">
        <f t="shared" ca="1" si="5"/>
        <v/>
      </c>
      <c r="AK17" s="3" t="str">
        <f t="shared" ca="1" si="6"/>
        <v/>
      </c>
      <c r="AL17" s="3" t="str">
        <f t="shared" ca="1" si="6"/>
        <v/>
      </c>
      <c r="AM17" s="3" t="str">
        <f t="shared" ca="1" si="6"/>
        <v/>
      </c>
      <c r="AN17" s="3" t="str">
        <f t="shared" ca="1" si="6"/>
        <v/>
      </c>
      <c r="AO17" s="3" t="str">
        <f t="shared" ca="1" si="6"/>
        <v/>
      </c>
      <c r="AP17" s="3" t="str">
        <f t="shared" ca="1" si="6"/>
        <v/>
      </c>
      <c r="AQ17" s="3" t="str">
        <f t="shared" ca="1" si="6"/>
        <v/>
      </c>
      <c r="AR17" s="3" t="str">
        <f t="shared" ca="1" si="6"/>
        <v/>
      </c>
      <c r="AS17" s="3" t="str">
        <f t="shared" ca="1" si="6"/>
        <v/>
      </c>
      <c r="AT17" s="3" t="str">
        <f t="shared" ca="1" si="6"/>
        <v/>
      </c>
      <c r="AU17" s="3" t="str">
        <f t="shared" ca="1" si="7"/>
        <v/>
      </c>
      <c r="AV17" s="3" t="str">
        <f t="shared" ca="1" si="7"/>
        <v/>
      </c>
      <c r="AW17" s="3" t="str">
        <f t="shared" ca="1" si="7"/>
        <v/>
      </c>
      <c r="AX17" s="3" t="str">
        <f t="shared" ca="1" si="7"/>
        <v/>
      </c>
      <c r="AY17" s="3" t="str">
        <f t="shared" ca="1" si="7"/>
        <v/>
      </c>
      <c r="AZ17" s="3" t="str">
        <f t="shared" ca="1" si="7"/>
        <v/>
      </c>
      <c r="BA17" s="3" t="str">
        <f t="shared" ca="1" si="7"/>
        <v/>
      </c>
      <c r="BB17" s="3" t="str">
        <f t="shared" ca="1" si="7"/>
        <v/>
      </c>
      <c r="BC17" s="3" t="str">
        <f t="shared" ca="1" si="7"/>
        <v/>
      </c>
      <c r="BD17" s="3" t="str">
        <f t="shared" ca="1" si="7"/>
        <v/>
      </c>
      <c r="BE17" s="3" t="str">
        <f t="shared" ca="1" si="8"/>
        <v/>
      </c>
      <c r="BF17" s="3" t="str">
        <f t="shared" ca="1" si="8"/>
        <v/>
      </c>
      <c r="BG17" s="3" t="str">
        <f t="shared" ca="1" si="8"/>
        <v/>
      </c>
      <c r="BH17" s="3" t="str">
        <f t="shared" ca="1" si="8"/>
        <v/>
      </c>
      <c r="BI17" s="3" t="str">
        <f t="shared" ca="1" si="8"/>
        <v/>
      </c>
      <c r="BJ17" s="3" t="str">
        <f t="shared" ca="1" si="8"/>
        <v/>
      </c>
      <c r="BK17" s="3" t="str">
        <f t="shared" ca="1" si="8"/>
        <v/>
      </c>
      <c r="BL17" s="3" t="str">
        <f t="shared" ca="1" si="8"/>
        <v/>
      </c>
      <c r="BM17" s="3" t="str">
        <f t="shared" ca="1" si="8"/>
        <v/>
      </c>
      <c r="BN17" s="3" t="str">
        <f t="shared" ca="1" si="8"/>
        <v/>
      </c>
      <c r="BO17" s="3" t="str">
        <f t="shared" ca="1" si="9"/>
        <v/>
      </c>
      <c r="BP17" s="3" t="str">
        <f t="shared" ca="1" si="9"/>
        <v/>
      </c>
      <c r="BQ17" s="3" t="str">
        <f t="shared" ca="1" si="9"/>
        <v/>
      </c>
      <c r="BR17" s="3" t="str">
        <f t="shared" ca="1" si="9"/>
        <v/>
      </c>
      <c r="BS17" s="3" t="str">
        <f t="shared" ca="1" si="9"/>
        <v/>
      </c>
      <c r="BT17" s="3" t="str">
        <f t="shared" ca="1" si="9"/>
        <v/>
      </c>
    </row>
    <row r="18" spans="2:72" s="1" customFormat="1" ht="40.15" customHeight="1" x14ac:dyDescent="0.25">
      <c r="B18" s="97" t="s">
        <v>32</v>
      </c>
      <c r="C18" s="32">
        <v>15000000</v>
      </c>
      <c r="D18" s="96">
        <v>23934705.18</v>
      </c>
      <c r="E18" s="33">
        <f>Hitos4352[[#This Row],[MONTO INICIAL]]/$F$8</f>
        <v>10135.135135135135</v>
      </c>
      <c r="F18" s="94">
        <f>Hitos4352[[#This Row],[A DEVOLVER]]/$F$8</f>
        <v>16172.098094594594</v>
      </c>
      <c r="G18" s="28"/>
      <c r="H18" s="28"/>
      <c r="I18" s="34">
        <f>Hitos4352[[#This Row],[A DEVOLVER]]/Hitos4352[[#This Row],[MONTO INICIAL]]-1</f>
        <v>0.59564701199999992</v>
      </c>
      <c r="J18" s="29">
        <v>0</v>
      </c>
      <c r="K18" s="30">
        <v>45910</v>
      </c>
      <c r="L18" s="41">
        <v>46275</v>
      </c>
      <c r="M18" s="31">
        <f>Hitos4352[[#This Row],[FECHA FINAL]]-Hitos4352[[#This Row],[FECHA INICIAL]]</f>
        <v>365</v>
      </c>
      <c r="N18" s="68">
        <f ca="1">Hitos4352[[#This Row],[FECHA FINAL]]-$F$9</f>
        <v>197</v>
      </c>
      <c r="O18" s="31" t="s">
        <v>30</v>
      </c>
      <c r="P18" s="4"/>
      <c r="Q18" s="3" t="str">
        <f t="shared" ca="1" si="4"/>
        <v/>
      </c>
      <c r="R18" s="3" t="str">
        <f t="shared" ca="1" si="4"/>
        <v/>
      </c>
      <c r="S18" s="3" t="str">
        <f t="shared" ca="1" si="4"/>
        <v/>
      </c>
      <c r="T18" s="3" t="str">
        <f t="shared" ca="1" si="4"/>
        <v/>
      </c>
      <c r="U18" s="3" t="str">
        <f t="shared" ca="1" si="4"/>
        <v/>
      </c>
      <c r="V18" s="3" t="str">
        <f t="shared" ca="1" si="4"/>
        <v/>
      </c>
      <c r="W18" s="3" t="str">
        <f t="shared" ca="1" si="4"/>
        <v/>
      </c>
      <c r="X18" s="3" t="str">
        <f t="shared" ca="1" si="4"/>
        <v/>
      </c>
      <c r="Y18" s="3" t="str">
        <f t="shared" ca="1" si="4"/>
        <v/>
      </c>
      <c r="Z18" s="3" t="str">
        <f t="shared" ca="1" si="4"/>
        <v/>
      </c>
      <c r="AA18" s="3" t="str">
        <f t="shared" ca="1" si="5"/>
        <v/>
      </c>
      <c r="AB18" s="3" t="str">
        <f t="shared" ca="1" si="5"/>
        <v/>
      </c>
      <c r="AC18" s="3" t="str">
        <f t="shared" ca="1" si="5"/>
        <v/>
      </c>
      <c r="AD18" s="3" t="str">
        <f t="shared" ca="1" si="5"/>
        <v/>
      </c>
      <c r="AE18" s="3" t="str">
        <f t="shared" ca="1" si="5"/>
        <v/>
      </c>
      <c r="AF18" s="3" t="str">
        <f t="shared" ca="1" si="5"/>
        <v/>
      </c>
      <c r="AG18" s="3" t="str">
        <f t="shared" ca="1" si="5"/>
        <v/>
      </c>
      <c r="AH18" s="3" t="str">
        <f t="shared" ca="1" si="5"/>
        <v/>
      </c>
      <c r="AI18" s="3" t="str">
        <f t="shared" ca="1" si="5"/>
        <v/>
      </c>
      <c r="AJ18" s="3" t="str">
        <f t="shared" ca="1" si="5"/>
        <v/>
      </c>
      <c r="AK18" s="3" t="str">
        <f t="shared" ca="1" si="6"/>
        <v/>
      </c>
      <c r="AL18" s="3" t="str">
        <f t="shared" ca="1" si="6"/>
        <v/>
      </c>
      <c r="AM18" s="3" t="str">
        <f t="shared" ca="1" si="6"/>
        <v/>
      </c>
      <c r="AN18" s="3" t="str">
        <f t="shared" ca="1" si="6"/>
        <v/>
      </c>
      <c r="AO18" s="3" t="str">
        <f t="shared" ca="1" si="6"/>
        <v/>
      </c>
      <c r="AP18" s="3" t="str">
        <f t="shared" ca="1" si="6"/>
        <v/>
      </c>
      <c r="AQ18" s="3" t="str">
        <f t="shared" ca="1" si="6"/>
        <v/>
      </c>
      <c r="AR18" s="3" t="str">
        <f t="shared" ca="1" si="6"/>
        <v/>
      </c>
      <c r="AS18" s="3" t="str">
        <f t="shared" ca="1" si="6"/>
        <v/>
      </c>
      <c r="AT18" s="3" t="str">
        <f t="shared" ca="1" si="6"/>
        <v/>
      </c>
      <c r="AU18" s="3" t="str">
        <f t="shared" ca="1" si="7"/>
        <v/>
      </c>
      <c r="AV18" s="3" t="str">
        <f t="shared" ca="1" si="7"/>
        <v/>
      </c>
      <c r="AW18" s="3" t="str">
        <f t="shared" ca="1" si="7"/>
        <v/>
      </c>
      <c r="AX18" s="3" t="str">
        <f t="shared" ca="1" si="7"/>
        <v/>
      </c>
      <c r="AY18" s="3" t="str">
        <f t="shared" ca="1" si="7"/>
        <v/>
      </c>
      <c r="AZ18" s="3" t="str">
        <f t="shared" ca="1" si="7"/>
        <v/>
      </c>
      <c r="BA18" s="3" t="str">
        <f t="shared" ca="1" si="7"/>
        <v/>
      </c>
      <c r="BB18" s="3" t="str">
        <f t="shared" ca="1" si="7"/>
        <v/>
      </c>
      <c r="BC18" s="3" t="str">
        <f t="shared" ca="1" si="7"/>
        <v/>
      </c>
      <c r="BD18" s="3" t="str">
        <f t="shared" ca="1" si="7"/>
        <v/>
      </c>
      <c r="BE18" s="3" t="str">
        <f t="shared" ca="1" si="8"/>
        <v/>
      </c>
      <c r="BF18" s="3" t="str">
        <f t="shared" ca="1" si="8"/>
        <v/>
      </c>
      <c r="BG18" s="3" t="str">
        <f t="shared" ca="1" si="8"/>
        <v/>
      </c>
      <c r="BH18" s="3" t="str">
        <f t="shared" ca="1" si="8"/>
        <v/>
      </c>
      <c r="BI18" s="3" t="str">
        <f t="shared" ca="1" si="8"/>
        <v/>
      </c>
      <c r="BJ18" s="3" t="str">
        <f t="shared" ca="1" si="8"/>
        <v/>
      </c>
      <c r="BK18" s="3" t="str">
        <f t="shared" ca="1" si="8"/>
        <v/>
      </c>
      <c r="BL18" s="3" t="str">
        <f t="shared" ca="1" si="8"/>
        <v/>
      </c>
      <c r="BM18" s="3" t="str">
        <f t="shared" ca="1" si="8"/>
        <v/>
      </c>
      <c r="BN18" s="3" t="str">
        <f t="shared" ca="1" si="8"/>
        <v/>
      </c>
      <c r="BO18" s="3" t="str">
        <f t="shared" ca="1" si="9"/>
        <v/>
      </c>
      <c r="BP18" s="3" t="str">
        <f t="shared" ca="1" si="9"/>
        <v/>
      </c>
      <c r="BQ18" s="3" t="str">
        <f t="shared" ca="1" si="9"/>
        <v/>
      </c>
      <c r="BR18" s="3" t="str">
        <f t="shared" ca="1" si="9"/>
        <v/>
      </c>
      <c r="BS18" s="3" t="str">
        <f t="shared" ca="1" si="9"/>
        <v/>
      </c>
      <c r="BT18" s="3" t="str">
        <f t="shared" ca="1" si="9"/>
        <v/>
      </c>
    </row>
    <row r="19" spans="2:72" s="1" customFormat="1" ht="40.15" customHeight="1" x14ac:dyDescent="0.25">
      <c r="B19" s="97" t="s">
        <v>33</v>
      </c>
      <c r="C19" s="32">
        <f>23000000/2</f>
        <v>11500000</v>
      </c>
      <c r="D19" s="96">
        <v>19414932.91</v>
      </c>
      <c r="E19" s="33">
        <f>Hitos4352[[#This Row],[MONTO INICIAL]]/$F$8</f>
        <v>7770.27027027027</v>
      </c>
      <c r="F19" s="94">
        <f>Hitos4352[[#This Row],[A DEVOLVER]]/$F$8</f>
        <v>13118.197912162163</v>
      </c>
      <c r="G19" s="28"/>
      <c r="H19" s="28"/>
      <c r="I19" s="34">
        <f>Hitos4352[[#This Row],[A DEVOLVER]]/Hitos4352[[#This Row],[MONTO INICIAL]]-1</f>
        <v>0.68825503565217394</v>
      </c>
      <c r="J19" s="29">
        <v>0</v>
      </c>
      <c r="K19" s="30">
        <v>45918</v>
      </c>
      <c r="L19" s="41">
        <v>46099</v>
      </c>
      <c r="M19" s="31">
        <f>Hitos4352[[#This Row],[FECHA FINAL]]-Hitos4352[[#This Row],[FECHA INICIAL]]</f>
        <v>181</v>
      </c>
      <c r="N19" s="68">
        <f ca="1">Hitos4352[[#This Row],[FECHA FINAL]]-$F$9</f>
        <v>21</v>
      </c>
      <c r="O19" s="31" t="s">
        <v>30</v>
      </c>
      <c r="P19" s="4"/>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row>
    <row r="20" spans="2:72" s="1" customFormat="1" ht="40.15" customHeight="1" x14ac:dyDescent="0.25">
      <c r="B20" s="97" t="s">
        <v>33</v>
      </c>
      <c r="C20" s="32">
        <f>23000000/2</f>
        <v>11500000</v>
      </c>
      <c r="D20" s="96">
        <v>18939246.25</v>
      </c>
      <c r="E20" s="33">
        <f>Hitos4352[[#This Row],[MONTO INICIAL]]/$F$8</f>
        <v>7770.27027027027</v>
      </c>
      <c r="F20" s="94">
        <f>Hitos4352[[#This Row],[A DEVOLVER]]/$F$8</f>
        <v>12796.788006756757</v>
      </c>
      <c r="G20" s="28"/>
      <c r="H20" s="28"/>
      <c r="I20" s="34">
        <f>Hitos4352[[#This Row],[A DEVOLVER]]/Hitos4352[[#This Row],[MONTO INICIAL]]-1</f>
        <v>0.64689097826086961</v>
      </c>
      <c r="J20" s="29">
        <v>0</v>
      </c>
      <c r="K20" s="30">
        <v>45918</v>
      </c>
      <c r="L20" s="41">
        <v>46283</v>
      </c>
      <c r="M20" s="31">
        <f>Hitos4352[[#This Row],[FECHA FINAL]]-Hitos4352[[#This Row],[FECHA INICIAL]]</f>
        <v>365</v>
      </c>
      <c r="N20" s="68">
        <f ca="1">Hitos4352[[#This Row],[FECHA FINAL]]-$F$9</f>
        <v>205</v>
      </c>
      <c r="O20" s="31" t="s">
        <v>30</v>
      </c>
      <c r="P20" s="4"/>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row>
    <row r="21" spans="2:72" s="1" customFormat="1" ht="40.15" customHeight="1" x14ac:dyDescent="0.25">
      <c r="B21" s="97" t="s">
        <v>34</v>
      </c>
      <c r="C21" s="32">
        <v>42000000</v>
      </c>
      <c r="D21" s="96">
        <v>52600000</v>
      </c>
      <c r="E21" s="33">
        <v>30000</v>
      </c>
      <c r="F21" s="94">
        <v>32875</v>
      </c>
      <c r="G21" s="28"/>
      <c r="H21" s="28"/>
      <c r="I21" s="34">
        <v>0.11</v>
      </c>
      <c r="J21" s="101">
        <v>5.0000000000000001E-3</v>
      </c>
      <c r="K21" s="30">
        <v>45937</v>
      </c>
      <c r="L21" s="41">
        <v>46241</v>
      </c>
      <c r="M21" s="31">
        <f>Hitos4352[[#This Row],[FECHA FINAL]]-Hitos4352[[#This Row],[FECHA INICIAL]]</f>
        <v>304</v>
      </c>
      <c r="N21" s="68">
        <f ca="1">Hitos4352[[#This Row],[FECHA FINAL]]-$F$9</f>
        <v>163</v>
      </c>
      <c r="O21" s="31" t="s">
        <v>30</v>
      </c>
      <c r="P21" s="4"/>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row>
    <row r="22" spans="2:72" s="1" customFormat="1" ht="40.15" customHeight="1" x14ac:dyDescent="0.25">
      <c r="B22" s="97" t="s">
        <v>35</v>
      </c>
      <c r="C22" s="32">
        <v>49042945</v>
      </c>
      <c r="D22" s="96"/>
      <c r="E22" s="33">
        <v>30000</v>
      </c>
      <c r="F22" s="94"/>
      <c r="G22" s="28"/>
      <c r="H22" s="28"/>
      <c r="I22" s="34"/>
      <c r="J22" s="101"/>
      <c r="K22" s="30">
        <v>45971</v>
      </c>
      <c r="L22" s="41">
        <v>46234</v>
      </c>
      <c r="M22" s="31">
        <f>Hitos4352[[#This Row],[FECHA FINAL]]-Hitos4352[[#This Row],[FECHA INICIAL]]</f>
        <v>263</v>
      </c>
      <c r="N22" s="68">
        <f ca="1">Hitos4352[[#This Row],[FECHA FINAL]]-$F$9</f>
        <v>156</v>
      </c>
      <c r="O22" s="31" t="s">
        <v>30</v>
      </c>
      <c r="P22" s="4"/>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row>
    <row r="23" spans="2:72" s="1" customFormat="1" ht="40.15" customHeight="1" x14ac:dyDescent="0.25">
      <c r="B23" s="97" t="s">
        <v>36</v>
      </c>
      <c r="C23" s="32">
        <f>5000000/3</f>
        <v>1666666.6666666667</v>
      </c>
      <c r="D23" s="104">
        <f>Hitos4352[[#This Row],[MONTO INICIAL]]*1.12</f>
        <v>1866666.666666667</v>
      </c>
      <c r="E23" s="33">
        <f>Hitos4352[[#This Row],[MONTO INICIAL]]/1450</f>
        <v>1149.4252873563219</v>
      </c>
      <c r="F23" s="94">
        <f>Hitos4352[[#This Row],[A DEVOLVER]]/1500</f>
        <v>1244.4444444444446</v>
      </c>
      <c r="G23" s="28"/>
      <c r="H23" s="28"/>
      <c r="I23" s="34">
        <v>0.45</v>
      </c>
      <c r="J23" s="101"/>
      <c r="K23" s="30">
        <v>46001</v>
      </c>
      <c r="L23" s="41">
        <v>46034</v>
      </c>
      <c r="M23" s="31">
        <f>Hitos4352[[#This Row],[FECHA FINAL]]-Hitos4352[[#This Row],[FECHA INICIAL]]</f>
        <v>33</v>
      </c>
      <c r="N23" s="68">
        <f ca="1">Hitos4352[[#This Row],[FECHA FINAL]]-$F$9</f>
        <v>-44</v>
      </c>
      <c r="O23" s="105" t="s">
        <v>37</v>
      </c>
      <c r="P23" s="4"/>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row>
    <row r="24" spans="2:72" s="1" customFormat="1" ht="40.15" customHeight="1" x14ac:dyDescent="0.25">
      <c r="B24" s="97" t="s">
        <v>36</v>
      </c>
      <c r="C24" s="32">
        <f>5000000/3</f>
        <v>1666666.6666666667</v>
      </c>
      <c r="D24" s="104">
        <f>Hitos4352[[#This Row],[MONTO INICIAL]]*1.12</f>
        <v>1866666.666666667</v>
      </c>
      <c r="E24" s="33">
        <f>Hitos4352[[#This Row],[MONTO INICIAL]]/1450</f>
        <v>1149.4252873563219</v>
      </c>
      <c r="F24" s="94">
        <f>Hitos4352[[#This Row],[A DEVOLVER]]/1500</f>
        <v>1244.4444444444446</v>
      </c>
      <c r="G24" s="28"/>
      <c r="H24" s="28"/>
      <c r="I24" s="34">
        <v>0.45</v>
      </c>
      <c r="J24" s="101"/>
      <c r="K24" s="30">
        <v>46001</v>
      </c>
      <c r="L24" s="41">
        <v>46065</v>
      </c>
      <c r="M24" s="31">
        <f>Hitos4352[[#This Row],[FECHA FINAL]]-Hitos4352[[#This Row],[FECHA INICIAL]]</f>
        <v>64</v>
      </c>
      <c r="N24" s="68">
        <f ca="1">Hitos4352[[#This Row],[FECHA FINAL]]-$F$9</f>
        <v>-13</v>
      </c>
      <c r="O24" s="105" t="s">
        <v>37</v>
      </c>
      <c r="P24" s="4"/>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row>
    <row r="25" spans="2:72" s="1" customFormat="1" ht="40.15" customHeight="1" x14ac:dyDescent="0.25">
      <c r="B25" s="97" t="s">
        <v>36</v>
      </c>
      <c r="C25" s="32">
        <f>5000000/3</f>
        <v>1666666.6666666667</v>
      </c>
      <c r="D25" s="104">
        <f>Hitos4352[[#This Row],[MONTO INICIAL]]*1.12</f>
        <v>1866666.666666667</v>
      </c>
      <c r="E25" s="33">
        <f>Hitos4352[[#This Row],[MONTO INICIAL]]/1450</f>
        <v>1149.4252873563219</v>
      </c>
      <c r="F25" s="94">
        <f>Hitos4352[[#This Row],[A DEVOLVER]]/1500</f>
        <v>1244.4444444444446</v>
      </c>
      <c r="G25" s="28"/>
      <c r="H25" s="28"/>
      <c r="I25" s="34">
        <v>0.45</v>
      </c>
      <c r="J25" s="101"/>
      <c r="K25" s="30">
        <v>46001</v>
      </c>
      <c r="L25" s="41">
        <v>46093</v>
      </c>
      <c r="M25" s="31">
        <f>Hitos4352[[#This Row],[FECHA FINAL]]-Hitos4352[[#This Row],[FECHA INICIAL]]</f>
        <v>92</v>
      </c>
      <c r="N25" s="68">
        <f ca="1">Hitos4352[[#This Row],[FECHA FINAL]]-$F$9</f>
        <v>15</v>
      </c>
      <c r="O25" s="31" t="s">
        <v>30</v>
      </c>
      <c r="P25" s="4"/>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row>
    <row r="26" spans="2:72" s="1" customFormat="1" ht="40.15" customHeight="1" x14ac:dyDescent="0.25">
      <c r="B26" s="97" t="s">
        <v>38</v>
      </c>
      <c r="C26" s="32">
        <f>Hitos4352[[#This Row],[MONTO INICIAL EN USD]]*1450</f>
        <v>43500000</v>
      </c>
      <c r="D26" s="104">
        <f>Hitos4352[[#This Row],[MONTO A DEVOLVER EN USD]]*1450</f>
        <v>47697750</v>
      </c>
      <c r="E26" s="33">
        <v>30000</v>
      </c>
      <c r="F26" s="94">
        <f>Hitos4352[[#This Row],[MONTO INICIAL EN USD]]*1.0965</f>
        <v>32895</v>
      </c>
      <c r="G26" s="28"/>
      <c r="H26" s="28"/>
      <c r="I26" s="34">
        <v>9.6500000000000002E-2</v>
      </c>
      <c r="J26" s="101"/>
      <c r="K26" s="30">
        <v>46006</v>
      </c>
      <c r="L26" s="41">
        <f>Hitos4352[[#This Row],[FECHA INICIAL]]+240</f>
        <v>46246</v>
      </c>
      <c r="M26" s="31">
        <f>Hitos4352[[#This Row],[FECHA FINAL]]-Hitos4352[[#This Row],[FECHA INICIAL]]</f>
        <v>240</v>
      </c>
      <c r="N26" s="68">
        <f ca="1">Hitos4352[[#This Row],[FECHA FINAL]]-$F$9</f>
        <v>168</v>
      </c>
      <c r="O26" s="31" t="s">
        <v>30</v>
      </c>
      <c r="P26" s="4"/>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row>
    <row r="27" spans="2:72" s="1" customFormat="1" ht="40.15" customHeight="1" x14ac:dyDescent="0.2">
      <c r="B27" s="103" t="s">
        <v>39</v>
      </c>
      <c r="C27" s="32">
        <v>199559.81</v>
      </c>
      <c r="D27" s="32">
        <v>199559.81</v>
      </c>
      <c r="E27" s="33">
        <f>Hitos4352[[#This Row],[MONTO INICIAL]]/1450</f>
        <v>137.62745517241379</v>
      </c>
      <c r="F27" s="94">
        <f>Hitos4352[[#This Row],[MONTO INICIAL EN USD]]</f>
        <v>137.62745517241379</v>
      </c>
      <c r="G27" s="28"/>
      <c r="H27" s="28"/>
      <c r="I27" s="34"/>
      <c r="J27" s="29"/>
      <c r="K27" s="30">
        <v>45985</v>
      </c>
      <c r="L27" s="57">
        <v>46007</v>
      </c>
      <c r="M27" s="31">
        <f>Hitos4352[[#This Row],[FECHA FINAL]]-Hitos4352[[#This Row],[FECHA INICIAL]]</f>
        <v>22</v>
      </c>
      <c r="N27" s="68">
        <f ca="1">Hitos4352[[#This Row],[FECHA FINAL]]-$F$9</f>
        <v>-71</v>
      </c>
      <c r="O27" s="105" t="s">
        <v>37</v>
      </c>
      <c r="P27" s="4"/>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row>
    <row r="28" spans="2:72" s="1" customFormat="1" ht="40.15" customHeight="1" x14ac:dyDescent="0.2">
      <c r="B28" s="103" t="s">
        <v>40</v>
      </c>
      <c r="C28" s="32">
        <v>199559.81</v>
      </c>
      <c r="D28" s="32">
        <v>199559.81</v>
      </c>
      <c r="E28" s="33">
        <f>Hitos4352[[#This Row],[MONTO INICIAL]]/1450</f>
        <v>137.62745517241379</v>
      </c>
      <c r="F28" s="94">
        <f>Hitos4352[[#This Row],[MONTO INICIAL EN USD]]</f>
        <v>137.62745517241379</v>
      </c>
      <c r="G28" s="28"/>
      <c r="H28" s="28"/>
      <c r="I28" s="34"/>
      <c r="J28" s="29"/>
      <c r="K28" s="30">
        <v>45985</v>
      </c>
      <c r="L28" s="57">
        <v>46038</v>
      </c>
      <c r="M28" s="31">
        <f>Hitos4352[[#This Row],[FECHA FINAL]]-Hitos4352[[#This Row],[FECHA INICIAL]]</f>
        <v>53</v>
      </c>
      <c r="N28" s="68">
        <f ca="1">Hitos4352[[#This Row],[FECHA FINAL]]-$F$9</f>
        <v>-40</v>
      </c>
      <c r="O28" s="105" t="s">
        <v>37</v>
      </c>
      <c r="P28" s="4"/>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row>
    <row r="29" spans="2:72" s="1" customFormat="1" ht="40.15" customHeight="1" x14ac:dyDescent="0.2">
      <c r="B29" s="103" t="s">
        <v>41</v>
      </c>
      <c r="C29" s="32">
        <v>199559.81</v>
      </c>
      <c r="D29" s="32">
        <v>199559.81</v>
      </c>
      <c r="E29" s="33">
        <f>Hitos4352[[#This Row],[MONTO INICIAL]]/1450</f>
        <v>137.62745517241379</v>
      </c>
      <c r="F29" s="94">
        <f>Hitos4352[[#This Row],[MONTO INICIAL EN USD]]</f>
        <v>137.62745517241379</v>
      </c>
      <c r="G29" s="28"/>
      <c r="H29" s="28"/>
      <c r="I29" s="34"/>
      <c r="J29" s="29"/>
      <c r="K29" s="30">
        <v>45985</v>
      </c>
      <c r="L29" s="57">
        <v>46069</v>
      </c>
      <c r="M29" s="31">
        <f>Hitos4352[[#This Row],[FECHA FINAL]]-Hitos4352[[#This Row],[FECHA INICIAL]]</f>
        <v>84</v>
      </c>
      <c r="N29" s="68">
        <f ca="1">Hitos4352[[#This Row],[FECHA FINAL]]-$F$9</f>
        <v>-9</v>
      </c>
      <c r="O29" s="31" t="s">
        <v>30</v>
      </c>
      <c r="P29" s="4"/>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row>
    <row r="30" spans="2:72" s="1" customFormat="1" ht="40.15" customHeight="1" x14ac:dyDescent="0.2">
      <c r="B30" s="103" t="s">
        <v>42</v>
      </c>
      <c r="C30" s="32">
        <v>199559.81</v>
      </c>
      <c r="D30" s="32">
        <v>199559.81</v>
      </c>
      <c r="E30" s="33">
        <f>Hitos4352[[#This Row],[MONTO INICIAL]]/1450</f>
        <v>137.62745517241379</v>
      </c>
      <c r="F30" s="94">
        <f>Hitos4352[[#This Row],[MONTO INICIAL EN USD]]</f>
        <v>137.62745517241379</v>
      </c>
      <c r="G30" s="28"/>
      <c r="H30" s="28"/>
      <c r="I30" s="34"/>
      <c r="J30" s="29"/>
      <c r="K30" s="30">
        <v>45985</v>
      </c>
      <c r="L30" s="57">
        <v>46097</v>
      </c>
      <c r="M30" s="31">
        <f>Hitos4352[[#This Row],[FECHA FINAL]]-Hitos4352[[#This Row],[FECHA INICIAL]]</f>
        <v>112</v>
      </c>
      <c r="N30" s="68">
        <f ca="1">Hitos4352[[#This Row],[FECHA FINAL]]-$F$9</f>
        <v>19</v>
      </c>
      <c r="O30" s="31" t="s">
        <v>30</v>
      </c>
      <c r="P30" s="4"/>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row>
    <row r="31" spans="2:72" s="1" customFormat="1" ht="40.15" customHeight="1" x14ac:dyDescent="0.2">
      <c r="B31" s="103" t="s">
        <v>43</v>
      </c>
      <c r="C31" s="32">
        <v>199559.81</v>
      </c>
      <c r="D31" s="32">
        <v>199559.81</v>
      </c>
      <c r="E31" s="33">
        <f>Hitos4352[[#This Row],[MONTO INICIAL]]/1450</f>
        <v>137.62745517241379</v>
      </c>
      <c r="F31" s="94">
        <f>Hitos4352[[#This Row],[MONTO INICIAL EN USD]]</f>
        <v>137.62745517241379</v>
      </c>
      <c r="G31" s="28"/>
      <c r="H31" s="28"/>
      <c r="I31" s="34"/>
      <c r="J31" s="29"/>
      <c r="K31" s="30">
        <v>45985</v>
      </c>
      <c r="L31" s="57">
        <v>46128</v>
      </c>
      <c r="M31" s="31">
        <f>Hitos4352[[#This Row],[FECHA FINAL]]-Hitos4352[[#This Row],[FECHA INICIAL]]</f>
        <v>143</v>
      </c>
      <c r="N31" s="68">
        <f ca="1">Hitos4352[[#This Row],[FECHA FINAL]]-$F$9</f>
        <v>50</v>
      </c>
      <c r="O31" s="31" t="s">
        <v>30</v>
      </c>
      <c r="P31" s="4"/>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row>
    <row r="32" spans="2:72" s="1" customFormat="1" ht="40.15" customHeight="1" x14ac:dyDescent="0.2">
      <c r="B32" s="103" t="s">
        <v>44</v>
      </c>
      <c r="C32" s="32">
        <v>199559.81</v>
      </c>
      <c r="D32" s="32">
        <v>199559.81</v>
      </c>
      <c r="E32" s="33">
        <f>Hitos4352[[#This Row],[MONTO INICIAL]]/1450</f>
        <v>137.62745517241379</v>
      </c>
      <c r="F32" s="94">
        <f>Hitos4352[[#This Row],[MONTO INICIAL EN USD]]</f>
        <v>137.62745517241379</v>
      </c>
      <c r="G32" s="28"/>
      <c r="H32" s="28"/>
      <c r="I32" s="34"/>
      <c r="J32" s="29"/>
      <c r="K32" s="30">
        <v>45985</v>
      </c>
      <c r="L32" s="57">
        <v>46158</v>
      </c>
      <c r="M32" s="31">
        <f>Hitos4352[[#This Row],[FECHA FINAL]]-Hitos4352[[#This Row],[FECHA INICIAL]]</f>
        <v>173</v>
      </c>
      <c r="N32" s="68">
        <f ca="1">Hitos4352[[#This Row],[FECHA FINAL]]-$F$9</f>
        <v>80</v>
      </c>
      <c r="O32" s="31" t="s">
        <v>30</v>
      </c>
      <c r="P32" s="4"/>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row>
    <row r="33" spans="2:72" s="1" customFormat="1" ht="40.15" customHeight="1" x14ac:dyDescent="0.25">
      <c r="B33" s="27"/>
      <c r="C33" s="32"/>
      <c r="D33" s="96"/>
      <c r="E33" s="94"/>
      <c r="F33" s="94"/>
      <c r="G33" s="28"/>
      <c r="H33" s="28"/>
      <c r="I33" s="34"/>
      <c r="J33" s="29"/>
      <c r="K33" s="30"/>
      <c r="L33" s="41"/>
      <c r="M33" s="31"/>
      <c r="N33" s="68"/>
      <c r="O33" s="31"/>
      <c r="P33" s="4"/>
      <c r="Q33" s="35"/>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
      <c r="BI33" s="3"/>
      <c r="BJ33" s="3"/>
      <c r="BK33" s="3"/>
      <c r="BL33" s="3"/>
      <c r="BM33" s="3"/>
      <c r="BN33" s="3"/>
      <c r="BO33" s="3"/>
      <c r="BP33" s="3"/>
      <c r="BQ33" s="3"/>
      <c r="BR33" s="3"/>
      <c r="BS33" s="3"/>
      <c r="BT33" s="3"/>
    </row>
    <row r="34" spans="2:72" s="1" customFormat="1" ht="40.15" customHeight="1" x14ac:dyDescent="0.25">
      <c r="B34" s="61" t="s">
        <v>45</v>
      </c>
      <c r="C34" s="91">
        <f>SUBTOTAL(109,C35:C35)</f>
        <v>0</v>
      </c>
      <c r="D34" s="91">
        <f>SUBTOTAL(109,D35:D35)</f>
        <v>0</v>
      </c>
      <c r="E34" s="92">
        <f>SUBTOTAL(109,E35:E35)</f>
        <v>0</v>
      </c>
      <c r="F34" s="92">
        <f>SUBTOTAL(109,F35:F35)</f>
        <v>0</v>
      </c>
      <c r="G34" s="62"/>
      <c r="H34" s="62"/>
      <c r="I34" s="63"/>
      <c r="J34" s="63"/>
      <c r="K34" s="64"/>
      <c r="L34" s="64"/>
      <c r="M34" s="65"/>
      <c r="N34" s="66"/>
      <c r="O34" s="65"/>
      <c r="P34" s="4"/>
      <c r="Q34" s="35" t="str">
        <f t="shared" ref="Q34:AV34" ca="1" si="10">IF(AND($G34="Objetivo",Q$7&gt;=$K34,Q$7&lt;=$K34+$M34-1),2,IF(AND($G34="Hito",Q$7&gt;=$K34,Q$7&lt;=$K34+$M34-1),1,""))</f>
        <v/>
      </c>
      <c r="R34" s="35" t="str">
        <f t="shared" ca="1" si="10"/>
        <v/>
      </c>
      <c r="S34" s="35" t="str">
        <f t="shared" ca="1" si="10"/>
        <v/>
      </c>
      <c r="T34" s="35" t="str">
        <f t="shared" ca="1" si="10"/>
        <v/>
      </c>
      <c r="U34" s="35" t="str">
        <f t="shared" ca="1" si="10"/>
        <v/>
      </c>
      <c r="V34" s="35" t="str">
        <f t="shared" ca="1" si="10"/>
        <v/>
      </c>
      <c r="W34" s="35" t="str">
        <f t="shared" ca="1" si="10"/>
        <v/>
      </c>
      <c r="X34" s="35" t="str">
        <f t="shared" ca="1" si="10"/>
        <v/>
      </c>
      <c r="Y34" s="35" t="str">
        <f t="shared" ca="1" si="10"/>
        <v/>
      </c>
      <c r="Z34" s="35" t="str">
        <f t="shared" ca="1" si="10"/>
        <v/>
      </c>
      <c r="AA34" s="35" t="str">
        <f t="shared" ca="1" si="10"/>
        <v/>
      </c>
      <c r="AB34" s="35" t="str">
        <f t="shared" ca="1" si="10"/>
        <v/>
      </c>
      <c r="AC34" s="35" t="str">
        <f t="shared" ca="1" si="10"/>
        <v/>
      </c>
      <c r="AD34" s="35" t="str">
        <f t="shared" ca="1" si="10"/>
        <v/>
      </c>
      <c r="AE34" s="35" t="str">
        <f t="shared" ca="1" si="10"/>
        <v/>
      </c>
      <c r="AF34" s="35" t="str">
        <f t="shared" ca="1" si="10"/>
        <v/>
      </c>
      <c r="AG34" s="35" t="str">
        <f t="shared" ca="1" si="10"/>
        <v/>
      </c>
      <c r="AH34" s="35" t="str">
        <f t="shared" ca="1" si="10"/>
        <v/>
      </c>
      <c r="AI34" s="35" t="str">
        <f t="shared" ca="1" si="10"/>
        <v/>
      </c>
      <c r="AJ34" s="35" t="str">
        <f t="shared" ca="1" si="10"/>
        <v/>
      </c>
      <c r="AK34" s="35" t="str">
        <f t="shared" ca="1" si="10"/>
        <v/>
      </c>
      <c r="AL34" s="35" t="str">
        <f t="shared" ca="1" si="10"/>
        <v/>
      </c>
      <c r="AM34" s="35" t="str">
        <f t="shared" ca="1" si="10"/>
        <v/>
      </c>
      <c r="AN34" s="35" t="str">
        <f t="shared" ca="1" si="10"/>
        <v/>
      </c>
      <c r="AO34" s="35" t="str">
        <f t="shared" ca="1" si="10"/>
        <v/>
      </c>
      <c r="AP34" s="35" t="str">
        <f t="shared" ca="1" si="10"/>
        <v/>
      </c>
      <c r="AQ34" s="35" t="str">
        <f t="shared" ca="1" si="10"/>
        <v/>
      </c>
      <c r="AR34" s="35" t="str">
        <f t="shared" ca="1" si="10"/>
        <v/>
      </c>
      <c r="AS34" s="35" t="str">
        <f t="shared" ca="1" si="10"/>
        <v/>
      </c>
      <c r="AT34" s="35" t="str">
        <f t="shared" ca="1" si="10"/>
        <v/>
      </c>
      <c r="AU34" s="35" t="str">
        <f t="shared" ca="1" si="10"/>
        <v/>
      </c>
      <c r="AV34" s="35" t="str">
        <f t="shared" ca="1" si="10"/>
        <v/>
      </c>
      <c r="AW34" s="35" t="str">
        <f t="shared" ref="AW34:BT34" ca="1" si="11">IF(AND($G34="Objetivo",AW$7&gt;=$K34,AW$7&lt;=$K34+$M34-1),2,IF(AND($G34="Hito",AW$7&gt;=$K34,AW$7&lt;=$K34+$M34-1),1,""))</f>
        <v/>
      </c>
      <c r="AX34" s="35" t="str">
        <f t="shared" ca="1" si="11"/>
        <v/>
      </c>
      <c r="AY34" s="35" t="str">
        <f t="shared" ca="1" si="11"/>
        <v/>
      </c>
      <c r="AZ34" s="35" t="str">
        <f t="shared" ca="1" si="11"/>
        <v/>
      </c>
      <c r="BA34" s="35" t="str">
        <f t="shared" ca="1" si="11"/>
        <v/>
      </c>
      <c r="BB34" s="35" t="str">
        <f t="shared" ca="1" si="11"/>
        <v/>
      </c>
      <c r="BC34" s="35" t="str">
        <f t="shared" ca="1" si="11"/>
        <v/>
      </c>
      <c r="BD34" s="35" t="str">
        <f t="shared" ca="1" si="11"/>
        <v/>
      </c>
      <c r="BE34" s="35" t="str">
        <f t="shared" ca="1" si="11"/>
        <v/>
      </c>
      <c r="BF34" s="35" t="str">
        <f t="shared" ca="1" si="11"/>
        <v/>
      </c>
      <c r="BG34" s="35" t="str">
        <f t="shared" ca="1" si="11"/>
        <v/>
      </c>
      <c r="BH34" s="3" t="str">
        <f t="shared" ca="1" si="11"/>
        <v/>
      </c>
      <c r="BI34" s="3" t="str">
        <f t="shared" ca="1" si="11"/>
        <v/>
      </c>
      <c r="BJ34" s="3" t="str">
        <f t="shared" ca="1" si="11"/>
        <v/>
      </c>
      <c r="BK34" s="3" t="str">
        <f t="shared" ca="1" si="11"/>
        <v/>
      </c>
      <c r="BL34" s="3" t="str">
        <f t="shared" ca="1" si="11"/>
        <v/>
      </c>
      <c r="BM34" s="3" t="str">
        <f t="shared" ca="1" si="11"/>
        <v/>
      </c>
      <c r="BN34" s="3" t="str">
        <f t="shared" ca="1" si="11"/>
        <v/>
      </c>
      <c r="BO34" s="3" t="str">
        <f t="shared" ca="1" si="11"/>
        <v/>
      </c>
      <c r="BP34" s="3" t="str">
        <f t="shared" ca="1" si="11"/>
        <v/>
      </c>
      <c r="BQ34" s="3" t="str">
        <f t="shared" ca="1" si="11"/>
        <v/>
      </c>
      <c r="BR34" s="3" t="str">
        <f t="shared" ca="1" si="11"/>
        <v/>
      </c>
      <c r="BS34" s="3" t="str">
        <f t="shared" ca="1" si="11"/>
        <v/>
      </c>
      <c r="BT34" s="3" t="str">
        <f t="shared" ca="1" si="11"/>
        <v/>
      </c>
    </row>
    <row r="35" spans="2:72" s="1" customFormat="1" ht="40.15" customHeight="1" x14ac:dyDescent="0.25">
      <c r="B35" s="27"/>
      <c r="C35" s="96"/>
      <c r="D35" s="67"/>
      <c r="E35" s="94"/>
      <c r="F35" s="67"/>
      <c r="G35" s="28"/>
      <c r="H35" s="28"/>
      <c r="I35" s="34"/>
      <c r="J35" s="29"/>
      <c r="K35" s="30"/>
      <c r="L35" s="30"/>
      <c r="M35" s="31"/>
      <c r="N35" s="68"/>
      <c r="O35" s="31"/>
      <c r="P35" s="4"/>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
      <c r="BI35" s="3"/>
      <c r="BJ35" s="3"/>
      <c r="BK35" s="3"/>
      <c r="BL35" s="3"/>
      <c r="BM35" s="3"/>
      <c r="BN35" s="3"/>
      <c r="BO35" s="3"/>
      <c r="BP35" s="3"/>
      <c r="BQ35" s="3"/>
      <c r="BR35" s="3"/>
      <c r="BS35" s="3"/>
      <c r="BT35" s="3"/>
    </row>
    <row r="36" spans="2:72" s="1" customFormat="1" ht="40.15" customHeight="1" x14ac:dyDescent="0.25">
      <c r="B36" s="61" t="s">
        <v>46</v>
      </c>
      <c r="C36" s="69">
        <f>SUBTOTAL(109,C37:C41)</f>
        <v>152865412.80000001</v>
      </c>
      <c r="D36" s="69">
        <f>SUBTOTAL(109,D37:D41)</f>
        <v>152865412.80000001</v>
      </c>
      <c r="E36" s="70">
        <f>SUBTOTAL(109,E37:E41)</f>
        <v>108100</v>
      </c>
      <c r="F36" s="70">
        <f>SUBTOTAL(109,F37:F41)</f>
        <v>108100</v>
      </c>
      <c r="G36" s="62"/>
      <c r="H36" s="62"/>
      <c r="I36" s="63"/>
      <c r="J36" s="63"/>
      <c r="K36" s="64"/>
      <c r="L36" s="64"/>
      <c r="M36" s="65"/>
      <c r="N36" s="66"/>
      <c r="O36" s="65"/>
      <c r="P36" s="4"/>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c r="BA36" s="35"/>
      <c r="BB36" s="35"/>
      <c r="BC36" s="35"/>
      <c r="BD36" s="35"/>
      <c r="BE36" s="35"/>
      <c r="BF36" s="35"/>
      <c r="BG36" s="35"/>
      <c r="BH36" s="3"/>
      <c r="BI36" s="3"/>
      <c r="BJ36" s="3"/>
      <c r="BK36" s="3"/>
      <c r="BL36" s="3"/>
      <c r="BM36" s="3"/>
      <c r="BN36" s="3"/>
      <c r="BO36" s="3"/>
      <c r="BP36" s="3"/>
      <c r="BQ36" s="3"/>
      <c r="BR36" s="3"/>
      <c r="BS36" s="3"/>
      <c r="BT36" s="3"/>
    </row>
    <row r="37" spans="2:72" s="1" customFormat="1" ht="40.15" customHeight="1" x14ac:dyDescent="0.25">
      <c r="B37" s="27" t="s">
        <v>47</v>
      </c>
      <c r="C37" s="32">
        <v>40865412.799999997</v>
      </c>
      <c r="D37" s="32">
        <f>Hitos4352[[#This Row],[MONTO INICIAL]]</f>
        <v>40865412.799999997</v>
      </c>
      <c r="E37" s="33">
        <v>28100</v>
      </c>
      <c r="F37" s="33">
        <f>Hitos4352[[#This Row],[MONTO INICIAL EN USD]]</f>
        <v>28100</v>
      </c>
      <c r="G37" s="28"/>
      <c r="H37" s="28"/>
      <c r="I37" s="34"/>
      <c r="J37" s="29"/>
      <c r="K37" s="30">
        <v>45971</v>
      </c>
      <c r="L37" s="30">
        <v>46260</v>
      </c>
      <c r="M37" s="31">
        <f>Hitos4352[[#This Row],[FECHA FINAL]]-Hitos4352[[#This Row],[FECHA INICIAL]]</f>
        <v>289</v>
      </c>
      <c r="N37" s="68">
        <f ca="1">Hitos4352[[#This Row],[FECHA FINAL]]-$F$9</f>
        <v>182</v>
      </c>
      <c r="O37" s="31" t="s">
        <v>30</v>
      </c>
      <c r="P37" s="4"/>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
      <c r="BI37" s="3"/>
      <c r="BJ37" s="3"/>
      <c r="BK37" s="3"/>
      <c r="BL37" s="3"/>
      <c r="BM37" s="3"/>
      <c r="BN37" s="3"/>
      <c r="BO37" s="3"/>
      <c r="BP37" s="3"/>
      <c r="BQ37" s="3"/>
      <c r="BR37" s="3"/>
      <c r="BS37" s="3"/>
      <c r="BT37" s="3"/>
    </row>
    <row r="38" spans="2:72" s="1" customFormat="1" ht="40.15" customHeight="1" x14ac:dyDescent="0.25">
      <c r="B38" s="27" t="s">
        <v>48</v>
      </c>
      <c r="C38" s="32">
        <v>19000000</v>
      </c>
      <c r="D38" s="32">
        <v>19000000</v>
      </c>
      <c r="E38" s="33">
        <f>Hitos4352[[#This Row],[MONTO INICIAL]]/1400</f>
        <v>13571.428571428571</v>
      </c>
      <c r="F38" s="33">
        <f>Hitos4352[[#This Row],[A DEVOLVER]]/1400</f>
        <v>13571.428571428571</v>
      </c>
      <c r="G38" s="28"/>
      <c r="H38" s="28"/>
      <c r="I38" s="98"/>
      <c r="J38" s="99"/>
      <c r="K38" s="30">
        <v>45987</v>
      </c>
      <c r="L38" s="30">
        <v>46352</v>
      </c>
      <c r="M38" s="31">
        <f>Hitos4352[[#This Row],[FECHA FINAL]]-Hitos4352[[#This Row],[FECHA INICIAL]]</f>
        <v>365</v>
      </c>
      <c r="N38" s="68">
        <f ca="1">Hitos4352[[#This Row],[FECHA FINAL]]-$F$9</f>
        <v>274</v>
      </c>
      <c r="O38" s="31" t="s">
        <v>30</v>
      </c>
      <c r="P38" s="4"/>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5"/>
      <c r="BG38" s="35"/>
      <c r="BH38" s="3"/>
      <c r="BI38" s="3"/>
      <c r="BJ38" s="3"/>
      <c r="BK38" s="3"/>
      <c r="BL38" s="3"/>
      <c r="BM38" s="3"/>
      <c r="BN38" s="3"/>
      <c r="BO38" s="3"/>
      <c r="BP38" s="3"/>
      <c r="BQ38" s="3"/>
      <c r="BR38" s="3"/>
      <c r="BS38" s="3"/>
      <c r="BT38" s="3"/>
    </row>
    <row r="39" spans="2:72" s="1" customFormat="1" ht="40.15" customHeight="1" x14ac:dyDescent="0.25">
      <c r="B39" s="27" t="s">
        <v>48</v>
      </c>
      <c r="C39" s="32">
        <v>14000000</v>
      </c>
      <c r="D39" s="95">
        <v>14000000</v>
      </c>
      <c r="E39" s="33">
        <f>Hitos4352[[#This Row],[MONTO INICIAL]]/1400</f>
        <v>10000</v>
      </c>
      <c r="F39" s="33">
        <f>Hitos4352[[#This Row],[A DEVOLVER]]/1400</f>
        <v>10000</v>
      </c>
      <c r="G39" s="28"/>
      <c r="H39" s="28"/>
      <c r="I39" s="98"/>
      <c r="J39" s="99"/>
      <c r="K39" s="30">
        <v>46376</v>
      </c>
      <c r="L39" s="30">
        <v>45996</v>
      </c>
      <c r="M39" s="31">
        <f>Hitos4352[[#This Row],[FECHA FINAL]]-Hitos4352[[#This Row],[FECHA INICIAL]]</f>
        <v>-380</v>
      </c>
      <c r="N39" s="68">
        <f ca="1">Hitos4352[[#This Row],[FECHA FINAL]]-$F$9</f>
        <v>-82</v>
      </c>
      <c r="O39" s="31" t="s">
        <v>30</v>
      </c>
      <c r="P39" s="4"/>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
      <c r="BI39" s="3"/>
      <c r="BJ39" s="3"/>
      <c r="BK39" s="3"/>
      <c r="BL39" s="3"/>
      <c r="BM39" s="3"/>
      <c r="BN39" s="3"/>
      <c r="BO39" s="3"/>
      <c r="BP39" s="3"/>
      <c r="BQ39" s="3"/>
      <c r="BR39" s="3"/>
      <c r="BS39" s="3"/>
      <c r="BT39" s="3"/>
    </row>
    <row r="40" spans="2:72" s="1" customFormat="1" ht="40.15" customHeight="1" x14ac:dyDescent="0.25">
      <c r="B40" s="27" t="s">
        <v>49</v>
      </c>
      <c r="C40" s="32">
        <v>79000000</v>
      </c>
      <c r="D40" s="32">
        <v>79000000</v>
      </c>
      <c r="E40" s="33">
        <f>Hitos4352[[#This Row],[MONTO INICIAL]]/1400</f>
        <v>56428.571428571428</v>
      </c>
      <c r="F40" s="33">
        <f>Hitos4352[[#This Row],[A DEVOLVER]]/1400</f>
        <v>56428.571428571428</v>
      </c>
      <c r="G40" s="28"/>
      <c r="H40" s="28"/>
      <c r="I40" s="98"/>
      <c r="J40" s="99"/>
      <c r="K40" s="30"/>
      <c r="L40" s="30"/>
      <c r="M40" s="31"/>
      <c r="N40" s="68"/>
      <c r="O40" s="31"/>
      <c r="P40" s="4"/>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c r="BA40" s="35"/>
      <c r="BB40" s="35"/>
      <c r="BC40" s="35"/>
      <c r="BD40" s="35"/>
      <c r="BE40" s="35"/>
      <c r="BF40" s="35"/>
      <c r="BG40" s="35"/>
      <c r="BH40" s="3"/>
      <c r="BI40" s="3"/>
      <c r="BJ40" s="3"/>
      <c r="BK40" s="3"/>
      <c r="BL40" s="3"/>
      <c r="BM40" s="3"/>
      <c r="BN40" s="3"/>
      <c r="BO40" s="3"/>
      <c r="BP40" s="3"/>
      <c r="BQ40" s="3"/>
      <c r="BR40" s="3"/>
      <c r="BS40" s="3"/>
      <c r="BT40" s="3"/>
    </row>
    <row r="41" spans="2:72" s="1" customFormat="1" ht="40.15" customHeight="1" x14ac:dyDescent="0.25">
      <c r="B41" s="27"/>
      <c r="C41" s="32"/>
      <c r="D41" s="96"/>
      <c r="E41" s="94"/>
      <c r="F41" s="94"/>
      <c r="G41" s="28"/>
      <c r="H41" s="28"/>
      <c r="I41" s="34"/>
      <c r="J41" s="29"/>
      <c r="K41" s="30"/>
      <c r="L41" s="41"/>
      <c r="M41" s="31"/>
      <c r="N41" s="68"/>
      <c r="O41" s="31"/>
      <c r="P41" s="4"/>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
      <c r="BI41" s="3"/>
      <c r="BJ41" s="3"/>
      <c r="BK41" s="3"/>
      <c r="BL41" s="3"/>
      <c r="BM41" s="3"/>
      <c r="BN41" s="3"/>
      <c r="BO41" s="3"/>
      <c r="BP41" s="3"/>
      <c r="BQ41" s="3"/>
      <c r="BR41" s="3"/>
      <c r="BS41" s="3"/>
      <c r="BT41" s="3"/>
    </row>
    <row r="42" spans="2:72" s="1" customFormat="1" ht="40.15" customHeight="1" x14ac:dyDescent="0.25">
      <c r="B42" s="61" t="s">
        <v>50</v>
      </c>
      <c r="C42" s="69">
        <f>SUBTOTAL(109,C43:C58)</f>
        <v>0</v>
      </c>
      <c r="D42" s="69"/>
      <c r="E42" s="70">
        <f>SUBTOTAL(109,E43:E58)</f>
        <v>0</v>
      </c>
      <c r="F42" s="70"/>
      <c r="G42" s="62"/>
      <c r="H42" s="62"/>
      <c r="I42" s="63"/>
      <c r="J42" s="63"/>
      <c r="K42" s="64"/>
      <c r="L42" s="64"/>
      <c r="M42" s="65"/>
      <c r="N42" s="66"/>
      <c r="O42" s="65"/>
      <c r="P42" s="4"/>
      <c r="Q42" s="35" t="str">
        <f t="shared" ref="Q42:AV42" ca="1" si="12">IF(AND($G42="Objetivo",Q$7&gt;=$K42,Q$7&lt;=$K42+$M42-1),2,IF(AND($G42="Hito",Q$7&gt;=$K42,Q$7&lt;=$K42+$M42-1),1,""))</f>
        <v/>
      </c>
      <c r="R42" s="35" t="str">
        <f t="shared" ca="1" si="12"/>
        <v/>
      </c>
      <c r="S42" s="35" t="str">
        <f t="shared" ca="1" si="12"/>
        <v/>
      </c>
      <c r="T42" s="35" t="str">
        <f t="shared" ca="1" si="12"/>
        <v/>
      </c>
      <c r="U42" s="35" t="str">
        <f t="shared" ca="1" si="12"/>
        <v/>
      </c>
      <c r="V42" s="35" t="str">
        <f t="shared" ca="1" si="12"/>
        <v/>
      </c>
      <c r="W42" s="35" t="str">
        <f t="shared" ca="1" si="12"/>
        <v/>
      </c>
      <c r="X42" s="35" t="str">
        <f t="shared" ca="1" si="12"/>
        <v/>
      </c>
      <c r="Y42" s="35" t="str">
        <f t="shared" ca="1" si="12"/>
        <v/>
      </c>
      <c r="Z42" s="35" t="str">
        <f t="shared" ca="1" si="12"/>
        <v/>
      </c>
      <c r="AA42" s="35" t="str">
        <f t="shared" ca="1" si="12"/>
        <v/>
      </c>
      <c r="AB42" s="35" t="str">
        <f t="shared" ca="1" si="12"/>
        <v/>
      </c>
      <c r="AC42" s="35" t="str">
        <f t="shared" ca="1" si="12"/>
        <v/>
      </c>
      <c r="AD42" s="35" t="str">
        <f t="shared" ca="1" si="12"/>
        <v/>
      </c>
      <c r="AE42" s="35" t="str">
        <f t="shared" ca="1" si="12"/>
        <v/>
      </c>
      <c r="AF42" s="35" t="str">
        <f t="shared" ca="1" si="12"/>
        <v/>
      </c>
      <c r="AG42" s="35" t="str">
        <f t="shared" ca="1" si="12"/>
        <v/>
      </c>
      <c r="AH42" s="35" t="str">
        <f t="shared" ca="1" si="12"/>
        <v/>
      </c>
      <c r="AI42" s="35" t="str">
        <f t="shared" ca="1" si="12"/>
        <v/>
      </c>
      <c r="AJ42" s="35" t="str">
        <f t="shared" ca="1" si="12"/>
        <v/>
      </c>
      <c r="AK42" s="35" t="str">
        <f t="shared" ca="1" si="12"/>
        <v/>
      </c>
      <c r="AL42" s="35" t="str">
        <f t="shared" ca="1" si="12"/>
        <v/>
      </c>
      <c r="AM42" s="35" t="str">
        <f t="shared" ca="1" si="12"/>
        <v/>
      </c>
      <c r="AN42" s="35" t="str">
        <f t="shared" ca="1" si="12"/>
        <v/>
      </c>
      <c r="AO42" s="35" t="str">
        <f t="shared" ca="1" si="12"/>
        <v/>
      </c>
      <c r="AP42" s="35" t="str">
        <f t="shared" ca="1" si="12"/>
        <v/>
      </c>
      <c r="AQ42" s="35" t="str">
        <f t="shared" ca="1" si="12"/>
        <v/>
      </c>
      <c r="AR42" s="35" t="str">
        <f t="shared" ca="1" si="12"/>
        <v/>
      </c>
      <c r="AS42" s="35" t="str">
        <f t="shared" ca="1" si="12"/>
        <v/>
      </c>
      <c r="AT42" s="35" t="str">
        <f t="shared" ca="1" si="12"/>
        <v/>
      </c>
      <c r="AU42" s="35" t="str">
        <f t="shared" ca="1" si="12"/>
        <v/>
      </c>
      <c r="AV42" s="35" t="str">
        <f t="shared" ca="1" si="12"/>
        <v/>
      </c>
      <c r="AW42" s="35" t="str">
        <f t="shared" ref="AW42:BT42" ca="1" si="13">IF(AND($G42="Objetivo",AW$7&gt;=$K42,AW$7&lt;=$K42+$M42-1),2,IF(AND($G42="Hito",AW$7&gt;=$K42,AW$7&lt;=$K42+$M42-1),1,""))</f>
        <v/>
      </c>
      <c r="AX42" s="35" t="str">
        <f t="shared" ca="1" si="13"/>
        <v/>
      </c>
      <c r="AY42" s="35" t="str">
        <f t="shared" ca="1" si="13"/>
        <v/>
      </c>
      <c r="AZ42" s="35" t="str">
        <f t="shared" ca="1" si="13"/>
        <v/>
      </c>
      <c r="BA42" s="35" t="str">
        <f t="shared" ca="1" si="13"/>
        <v/>
      </c>
      <c r="BB42" s="35" t="str">
        <f t="shared" ca="1" si="13"/>
        <v/>
      </c>
      <c r="BC42" s="35" t="str">
        <f t="shared" ca="1" si="13"/>
        <v/>
      </c>
      <c r="BD42" s="35" t="str">
        <f t="shared" ca="1" si="13"/>
        <v/>
      </c>
      <c r="BE42" s="35" t="str">
        <f t="shared" ca="1" si="13"/>
        <v/>
      </c>
      <c r="BF42" s="35" t="str">
        <f t="shared" ca="1" si="13"/>
        <v/>
      </c>
      <c r="BG42" s="35" t="str">
        <f t="shared" ca="1" si="13"/>
        <v/>
      </c>
      <c r="BH42" s="35" t="str">
        <f t="shared" ca="1" si="13"/>
        <v/>
      </c>
      <c r="BI42" s="35" t="str">
        <f t="shared" ca="1" si="13"/>
        <v/>
      </c>
      <c r="BJ42" s="35" t="str">
        <f t="shared" ca="1" si="13"/>
        <v/>
      </c>
      <c r="BK42" s="35" t="str">
        <f t="shared" ca="1" si="13"/>
        <v/>
      </c>
      <c r="BL42" s="35" t="str">
        <f t="shared" ca="1" si="13"/>
        <v/>
      </c>
      <c r="BM42" s="35" t="str">
        <f t="shared" ca="1" si="13"/>
        <v/>
      </c>
      <c r="BN42" s="35" t="str">
        <f t="shared" ca="1" si="13"/>
        <v/>
      </c>
      <c r="BO42" s="35" t="str">
        <f t="shared" ca="1" si="13"/>
        <v/>
      </c>
      <c r="BP42" s="35" t="str">
        <f t="shared" ca="1" si="13"/>
        <v/>
      </c>
      <c r="BQ42" s="35" t="str">
        <f t="shared" ca="1" si="13"/>
        <v/>
      </c>
      <c r="BR42" s="35" t="str">
        <f t="shared" ca="1" si="13"/>
        <v/>
      </c>
      <c r="BS42" s="35" t="str">
        <f t="shared" ca="1" si="13"/>
        <v/>
      </c>
      <c r="BT42" s="35" t="str">
        <f t="shared" ca="1" si="13"/>
        <v/>
      </c>
    </row>
    <row r="43" spans="2:72" s="1" customFormat="1" ht="40.15" customHeight="1" x14ac:dyDescent="0.25">
      <c r="B43" s="27"/>
      <c r="C43" s="32"/>
      <c r="D43" s="96"/>
      <c r="E43" s="94"/>
      <c r="F43" s="94"/>
      <c r="G43" s="28"/>
      <c r="H43" s="28"/>
      <c r="I43" s="34"/>
      <c r="J43" s="29"/>
      <c r="K43" s="30"/>
      <c r="L43" s="41"/>
      <c r="M43" s="31"/>
      <c r="N43" s="59"/>
      <c r="O43" s="31"/>
      <c r="P43" s="4"/>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row>
    <row r="44" spans="2:72" s="1" customFormat="1" ht="40.15" customHeight="1" x14ac:dyDescent="0.25">
      <c r="B44" s="27"/>
      <c r="C44" s="32"/>
      <c r="D44" s="96"/>
      <c r="E44" s="94"/>
      <c r="F44" s="94"/>
      <c r="G44" s="28"/>
      <c r="H44" s="28"/>
      <c r="I44" s="34"/>
      <c r="J44" s="29"/>
      <c r="K44" s="30"/>
      <c r="L44" s="41"/>
      <c r="M44" s="31"/>
      <c r="N44" s="59"/>
      <c r="O44" s="31"/>
      <c r="P44" s="4"/>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row>
    <row r="45" spans="2:72" s="1" customFormat="1" ht="40.15" customHeight="1" x14ac:dyDescent="0.25">
      <c r="B45" s="27"/>
      <c r="C45" s="32"/>
      <c r="D45" s="96"/>
      <c r="E45" s="94"/>
      <c r="F45" s="94"/>
      <c r="G45" s="28"/>
      <c r="H45" s="28"/>
      <c r="I45" s="34"/>
      <c r="J45" s="29"/>
      <c r="K45" s="30"/>
      <c r="L45" s="41"/>
      <c r="M45" s="31"/>
      <c r="N45" s="59"/>
      <c r="O45" s="60"/>
      <c r="P45" s="4"/>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row>
    <row r="46" spans="2:72" s="1" customFormat="1" ht="40.15" customHeight="1" x14ac:dyDescent="0.25">
      <c r="B46" s="27"/>
      <c r="C46" s="32"/>
      <c r="D46" s="96"/>
      <c r="E46" s="94"/>
      <c r="F46" s="94"/>
      <c r="G46" s="28"/>
      <c r="H46" s="28"/>
      <c r="I46" s="34"/>
      <c r="J46" s="29"/>
      <c r="K46" s="30"/>
      <c r="L46" s="30"/>
      <c r="M46" s="31"/>
      <c r="N46" s="68"/>
      <c r="O46" s="31"/>
      <c r="P46" s="4"/>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row>
    <row r="47" spans="2:72" s="1" customFormat="1" ht="40.15" customHeight="1" x14ac:dyDescent="0.25">
      <c r="B47" s="27"/>
      <c r="C47" s="32"/>
      <c r="D47" s="96"/>
      <c r="E47" s="94"/>
      <c r="F47" s="94"/>
      <c r="G47" s="28"/>
      <c r="H47" s="28"/>
      <c r="I47" s="34"/>
      <c r="J47" s="29"/>
      <c r="K47" s="30"/>
      <c r="L47" s="30"/>
      <c r="M47" s="31"/>
      <c r="N47" s="59"/>
      <c r="O47" s="60"/>
      <c r="P47" s="4"/>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row>
    <row r="48" spans="2:72" s="1" customFormat="1" ht="40.15" customHeight="1" x14ac:dyDescent="0.25">
      <c r="B48" s="27"/>
      <c r="C48" s="32"/>
      <c r="D48" s="96"/>
      <c r="E48" s="94"/>
      <c r="F48" s="94"/>
      <c r="G48" s="28"/>
      <c r="H48" s="28"/>
      <c r="I48" s="34"/>
      <c r="J48" s="29"/>
      <c r="K48" s="30"/>
      <c r="L48" s="30"/>
      <c r="M48" s="31"/>
      <c r="N48" s="59"/>
      <c r="O48" s="60"/>
      <c r="P48" s="4"/>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row>
    <row r="49" spans="2:72" s="1" customFormat="1" ht="40.15" customHeight="1" x14ac:dyDescent="0.25">
      <c r="B49" s="27"/>
      <c r="C49" s="32"/>
      <c r="D49" s="96"/>
      <c r="E49" s="94"/>
      <c r="F49" s="94"/>
      <c r="G49" s="28"/>
      <c r="H49" s="28"/>
      <c r="I49" s="34"/>
      <c r="J49" s="29"/>
      <c r="K49" s="30"/>
      <c r="L49" s="30"/>
      <c r="M49" s="31"/>
      <c r="N49" s="59"/>
      <c r="O49" s="60"/>
      <c r="P49" s="4"/>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row>
    <row r="50" spans="2:72" s="1" customFormat="1" ht="40.15" customHeight="1" x14ac:dyDescent="0.25">
      <c r="B50" s="27"/>
      <c r="C50" s="32"/>
      <c r="D50" s="96"/>
      <c r="E50" s="94"/>
      <c r="F50" s="94"/>
      <c r="G50" s="28"/>
      <c r="H50" s="28"/>
      <c r="I50" s="34"/>
      <c r="J50" s="29"/>
      <c r="K50" s="30"/>
      <c r="L50" s="30"/>
      <c r="M50" s="31"/>
      <c r="N50" s="59"/>
      <c r="O50" s="60"/>
      <c r="P50" s="4"/>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row>
    <row r="51" spans="2:72" s="1" customFormat="1" ht="40.15" customHeight="1" x14ac:dyDescent="0.25">
      <c r="B51" s="27"/>
      <c r="C51" s="32"/>
      <c r="D51" s="96"/>
      <c r="E51" s="94"/>
      <c r="F51" s="94"/>
      <c r="G51" s="28"/>
      <c r="H51" s="28"/>
      <c r="I51" s="34"/>
      <c r="J51" s="29"/>
      <c r="K51" s="89"/>
      <c r="L51" s="89"/>
      <c r="M51" s="60"/>
      <c r="N51" s="59"/>
      <c r="O51" s="60"/>
      <c r="P51" s="4"/>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row>
    <row r="52" spans="2:72" s="1" customFormat="1" ht="40.15" customHeight="1" x14ac:dyDescent="0.25">
      <c r="B52" s="27"/>
      <c r="C52" s="32"/>
      <c r="D52" s="96"/>
      <c r="E52" s="94"/>
      <c r="F52" s="94"/>
      <c r="G52" s="28"/>
      <c r="H52" s="28"/>
      <c r="I52" s="34"/>
      <c r="J52" s="29"/>
      <c r="K52" s="30"/>
      <c r="L52" s="30"/>
      <c r="M52" s="31"/>
      <c r="N52" s="68"/>
      <c r="O52" s="31"/>
      <c r="P52" s="4"/>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row>
    <row r="53" spans="2:72" s="1" customFormat="1" ht="40.15" customHeight="1" x14ac:dyDescent="0.25">
      <c r="B53" s="27"/>
      <c r="C53" s="32"/>
      <c r="D53" s="96"/>
      <c r="E53" s="94"/>
      <c r="F53" s="94"/>
      <c r="G53" s="28"/>
      <c r="H53" s="28"/>
      <c r="I53" s="34"/>
      <c r="J53" s="29"/>
      <c r="K53" s="30"/>
      <c r="L53" s="30"/>
      <c r="M53" s="31"/>
      <c r="N53" s="68"/>
      <c r="O53" s="31"/>
      <c r="P53" s="4"/>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row>
    <row r="54" spans="2:72" s="1" customFormat="1" ht="40.15" customHeight="1" x14ac:dyDescent="0.25">
      <c r="B54" s="27"/>
      <c r="C54" s="32"/>
      <c r="D54" s="96"/>
      <c r="E54" s="94"/>
      <c r="F54" s="94"/>
      <c r="G54" s="28"/>
      <c r="H54" s="28"/>
      <c r="I54" s="34"/>
      <c r="J54" s="29"/>
      <c r="K54" s="30"/>
      <c r="L54" s="30"/>
      <c r="M54" s="31"/>
      <c r="N54" s="68"/>
      <c r="O54" s="31"/>
      <c r="P54" s="4"/>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row>
    <row r="55" spans="2:72" s="1" customFormat="1" ht="40.15" customHeight="1" x14ac:dyDescent="0.25">
      <c r="B55" s="27"/>
      <c r="C55" s="95"/>
      <c r="D55" s="96"/>
      <c r="E55" s="94"/>
      <c r="F55" s="94"/>
      <c r="G55" s="28"/>
      <c r="H55" s="28"/>
      <c r="I55" s="34"/>
      <c r="J55" s="29"/>
      <c r="K55" s="30"/>
      <c r="L55" s="30"/>
      <c r="M55" s="31"/>
      <c r="N55" s="68"/>
      <c r="O55" s="31"/>
      <c r="P55" s="4"/>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row>
    <row r="56" spans="2:72" s="1" customFormat="1" ht="40.15" customHeight="1" x14ac:dyDescent="0.25">
      <c r="B56" s="27"/>
      <c r="C56" s="95"/>
      <c r="D56" s="96"/>
      <c r="E56" s="94"/>
      <c r="F56" s="94"/>
      <c r="G56" s="28"/>
      <c r="H56" s="28"/>
      <c r="I56" s="34"/>
      <c r="J56" s="29"/>
      <c r="K56" s="30"/>
      <c r="L56" s="30"/>
      <c r="M56" s="31"/>
      <c r="N56" s="68"/>
      <c r="O56" s="31"/>
      <c r="P56" s="4"/>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row>
    <row r="57" spans="2:72" s="1" customFormat="1" ht="40.15" customHeight="1" x14ac:dyDescent="0.25">
      <c r="B57" s="27"/>
      <c r="C57" s="95"/>
      <c r="D57" s="96"/>
      <c r="E57" s="94"/>
      <c r="F57" s="94"/>
      <c r="G57" s="28"/>
      <c r="H57" s="28"/>
      <c r="I57" s="34"/>
      <c r="J57" s="29"/>
      <c r="K57" s="30"/>
      <c r="L57" s="30"/>
      <c r="M57" s="31"/>
      <c r="N57" s="68"/>
      <c r="O57" s="31"/>
      <c r="P57" s="4"/>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row>
    <row r="58" spans="2:72" s="1" customFormat="1" ht="40.15" customHeight="1" x14ac:dyDescent="0.25">
      <c r="B58" s="27"/>
      <c r="C58" s="95"/>
      <c r="D58" s="96"/>
      <c r="E58" s="94"/>
      <c r="F58" s="94"/>
      <c r="G58" s="28"/>
      <c r="H58" s="28"/>
      <c r="I58" s="34"/>
      <c r="J58" s="29"/>
      <c r="K58" s="30"/>
      <c r="L58" s="30"/>
      <c r="M58" s="31"/>
      <c r="N58" s="68"/>
      <c r="O58" s="31"/>
      <c r="P58" s="4"/>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row>
    <row r="59" spans="2:72" s="1" customFormat="1" ht="40.15" customHeight="1" x14ac:dyDescent="0.25">
      <c r="B59" s="27"/>
      <c r="C59" s="95"/>
      <c r="D59" s="96"/>
      <c r="E59" s="94"/>
      <c r="F59" s="94"/>
      <c r="G59" s="28"/>
      <c r="H59" s="28"/>
      <c r="I59" s="34"/>
      <c r="J59" s="29"/>
      <c r="K59" s="89"/>
      <c r="L59" s="89"/>
      <c r="M59" s="60"/>
      <c r="N59" s="59"/>
      <c r="O59" s="60"/>
      <c r="P59" s="4"/>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row>
    <row r="60" spans="2:72" s="1" customFormat="1" ht="40.15" customHeight="1" x14ac:dyDescent="0.25">
      <c r="B60" s="27"/>
      <c r="C60" s="95"/>
      <c r="D60" s="96"/>
      <c r="E60" s="94"/>
      <c r="F60" s="94"/>
      <c r="G60" s="28"/>
      <c r="H60" s="28"/>
      <c r="I60" s="34"/>
      <c r="J60" s="29"/>
      <c r="K60" s="89"/>
      <c r="L60" s="89"/>
      <c r="M60" s="60"/>
      <c r="N60" s="59"/>
      <c r="O60" s="60"/>
      <c r="P60" s="4"/>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row>
    <row r="61" spans="2:72" s="1" customFormat="1" ht="40.15" customHeight="1" x14ac:dyDescent="0.25">
      <c r="B61" s="61" t="s">
        <v>51</v>
      </c>
      <c r="C61" s="69">
        <f>SUM(C62:C62)</f>
        <v>0</v>
      </c>
      <c r="D61" s="69">
        <f>SUM(D62:D62)</f>
        <v>0</v>
      </c>
      <c r="E61" s="70">
        <f>SUM(E62:E62)</f>
        <v>0</v>
      </c>
      <c r="F61" s="70"/>
      <c r="G61" s="61"/>
      <c r="H61" s="61"/>
      <c r="I61" s="61"/>
      <c r="J61" s="61"/>
      <c r="K61" s="61"/>
      <c r="L61" s="61"/>
      <c r="M61" s="61"/>
      <c r="N61" s="61"/>
      <c r="O61" s="61"/>
      <c r="P61" s="4"/>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row>
    <row r="62" spans="2:72" s="1" customFormat="1" ht="40.15" customHeight="1" x14ac:dyDescent="0.25">
      <c r="B62" s="27"/>
      <c r="C62" s="32"/>
      <c r="D62" s="96"/>
      <c r="E62" s="94"/>
      <c r="F62" s="96"/>
      <c r="G62" s="28"/>
      <c r="H62" s="28"/>
      <c r="I62" s="34"/>
      <c r="J62" s="29"/>
      <c r="K62" s="30"/>
      <c r="L62" s="30"/>
      <c r="M62" s="31"/>
      <c r="N62" s="59"/>
      <c r="O62" s="60"/>
      <c r="P62" s="4"/>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row>
    <row r="63" spans="2:72" s="1" customFormat="1" ht="40.15" customHeight="1" x14ac:dyDescent="0.25">
      <c r="B63" s="27"/>
      <c r="C63" s="32"/>
      <c r="D63" s="96"/>
      <c r="E63" s="94"/>
      <c r="F63" s="94"/>
      <c r="G63" s="28"/>
      <c r="H63" s="28"/>
      <c r="I63" s="34"/>
      <c r="J63" s="29"/>
      <c r="K63" s="30"/>
      <c r="L63" s="30"/>
      <c r="M63" s="31"/>
      <c r="N63" s="59"/>
      <c r="O63" s="60"/>
      <c r="P63" s="4"/>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row>
    <row r="64" spans="2:72" s="1" customFormat="1" ht="40.15" customHeight="1" x14ac:dyDescent="0.25">
      <c r="B64" s="61" t="s">
        <v>52</v>
      </c>
      <c r="C64" s="69">
        <f>SUBTOTAL(109,C65:C70)</f>
        <v>0</v>
      </c>
      <c r="D64" s="69">
        <f>SUBTOTAL(109,D65:D69)</f>
        <v>0</v>
      </c>
      <c r="E64" s="70">
        <f>SUBTOTAL(109,E65:E70)</f>
        <v>0</v>
      </c>
      <c r="F64" s="70"/>
      <c r="G64" s="61"/>
      <c r="H64" s="61"/>
      <c r="I64" s="61"/>
      <c r="J64" s="61"/>
      <c r="K64" s="61"/>
      <c r="L64" s="61"/>
      <c r="M64" s="61"/>
      <c r="N64" s="61"/>
      <c r="O64" s="61"/>
      <c r="P64" s="4"/>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row>
    <row r="65" spans="2:72" s="1" customFormat="1" ht="40.15" customHeight="1" x14ac:dyDescent="0.25">
      <c r="B65" s="27"/>
      <c r="C65" s="32"/>
      <c r="D65" s="96"/>
      <c r="E65" s="94"/>
      <c r="F65" s="96"/>
      <c r="G65" s="28"/>
      <c r="H65" s="28"/>
      <c r="I65" s="34"/>
      <c r="J65" s="29"/>
      <c r="K65" s="30"/>
      <c r="L65" s="30"/>
      <c r="M65" s="31"/>
      <c r="N65" s="68"/>
      <c r="O65" s="60"/>
      <c r="P65" s="4"/>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row>
    <row r="66" spans="2:72" s="1" customFormat="1" ht="40.15" customHeight="1" x14ac:dyDescent="0.25">
      <c r="B66" s="27"/>
      <c r="C66" s="32"/>
      <c r="D66" s="96"/>
      <c r="E66" s="94"/>
      <c r="F66" s="96"/>
      <c r="G66" s="28"/>
      <c r="H66" s="28"/>
      <c r="I66" s="34"/>
      <c r="J66" s="29"/>
      <c r="K66" s="30"/>
      <c r="L66" s="30"/>
      <c r="M66" s="31"/>
      <c r="N66" s="68"/>
      <c r="O66" s="60"/>
      <c r="P66" s="4"/>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row>
    <row r="67" spans="2:72" s="1" customFormat="1" ht="40.15" customHeight="1" x14ac:dyDescent="0.25">
      <c r="B67" s="27"/>
      <c r="C67" s="32"/>
      <c r="D67" s="96"/>
      <c r="E67" s="94"/>
      <c r="F67" s="96"/>
      <c r="G67" s="28"/>
      <c r="H67" s="28"/>
      <c r="I67" s="34"/>
      <c r="J67" s="29"/>
      <c r="K67" s="30"/>
      <c r="L67" s="30"/>
      <c r="M67" s="31"/>
      <c r="N67" s="68"/>
      <c r="O67" s="60"/>
      <c r="P67" s="4"/>
      <c r="Q67" s="93"/>
      <c r="R67" s="93"/>
      <c r="S67" s="93"/>
      <c r="T67" s="93"/>
      <c r="U67" s="93"/>
      <c r="V67" s="93"/>
      <c r="W67" s="93"/>
      <c r="X67" s="93"/>
      <c r="Y67" s="93"/>
      <c r="Z67" s="93"/>
      <c r="AA67" s="93"/>
      <c r="AB67" s="93"/>
      <c r="AC67" s="93"/>
      <c r="AD67" s="93"/>
      <c r="AE67" s="93"/>
      <c r="AF67" s="93"/>
      <c r="AG67" s="93"/>
      <c r="AH67" s="93"/>
      <c r="AI67" s="93"/>
      <c r="AJ67" s="93"/>
      <c r="AK67" s="93"/>
      <c r="AL67" s="93"/>
      <c r="AM67" s="93"/>
      <c r="AN67" s="93"/>
      <c r="AO67" s="93"/>
      <c r="AP67" s="93"/>
      <c r="AQ67" s="93"/>
      <c r="AR67" s="93"/>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row>
    <row r="68" spans="2:72" s="1" customFormat="1" ht="40.15" customHeight="1" x14ac:dyDescent="0.25">
      <c r="B68" s="27"/>
      <c r="C68" s="32"/>
      <c r="D68" s="96"/>
      <c r="E68" s="94"/>
      <c r="F68" s="96"/>
      <c r="G68" s="28"/>
      <c r="H68" s="28"/>
      <c r="I68" s="34"/>
      <c r="J68" s="29"/>
      <c r="K68" s="30"/>
      <c r="L68" s="30"/>
      <c r="M68" s="31"/>
      <c r="N68" s="68"/>
      <c r="O68" s="60"/>
      <c r="P68" s="4"/>
      <c r="Q68" s="93"/>
      <c r="R68" s="93"/>
      <c r="S68" s="93"/>
      <c r="T68" s="93"/>
      <c r="U68" s="93"/>
      <c r="V68" s="93"/>
      <c r="W68" s="93"/>
      <c r="X68" s="93"/>
      <c r="Y68" s="93"/>
      <c r="Z68" s="93"/>
      <c r="AA68" s="93"/>
      <c r="AB68" s="93"/>
      <c r="AC68" s="93"/>
      <c r="AD68" s="93"/>
      <c r="AE68" s="93"/>
      <c r="AF68" s="93"/>
      <c r="AG68" s="93"/>
      <c r="AH68" s="93"/>
      <c r="AI68" s="93"/>
      <c r="AJ68" s="93"/>
      <c r="AK68" s="93"/>
      <c r="AL68" s="93"/>
      <c r="AM68" s="93"/>
      <c r="AN68" s="93"/>
      <c r="AO68" s="93"/>
      <c r="AP68" s="93"/>
      <c r="AQ68" s="93"/>
      <c r="AR68" s="93"/>
      <c r="AS68" s="93"/>
      <c r="AT68" s="93"/>
      <c r="AU68" s="93"/>
      <c r="AV68" s="93"/>
      <c r="AW68" s="93"/>
      <c r="AX68" s="93"/>
      <c r="AY68" s="93"/>
      <c r="AZ68" s="93"/>
      <c r="BA68" s="93"/>
      <c r="BB68" s="93"/>
      <c r="BC68" s="93"/>
      <c r="BD68" s="12"/>
      <c r="BE68" s="12"/>
      <c r="BF68" s="12"/>
      <c r="BG68" s="12"/>
      <c r="BH68" s="12"/>
      <c r="BI68" s="12"/>
      <c r="BJ68" s="12"/>
      <c r="BK68" s="12"/>
      <c r="BL68" s="12"/>
      <c r="BM68" s="12"/>
      <c r="BN68" s="12"/>
      <c r="BO68" s="12"/>
      <c r="BP68" s="12"/>
      <c r="BQ68" s="12"/>
      <c r="BR68" s="12"/>
      <c r="BS68" s="12"/>
      <c r="BT68" s="12"/>
    </row>
    <row r="69" spans="2:72" s="1" customFormat="1" ht="40.15" customHeight="1" x14ac:dyDescent="0.25">
      <c r="B69" s="27"/>
      <c r="C69" s="32"/>
      <c r="D69" s="96"/>
      <c r="E69" s="94"/>
      <c r="F69" s="96"/>
      <c r="G69" s="28"/>
      <c r="H69" s="28"/>
      <c r="I69" s="34"/>
      <c r="J69" s="29"/>
      <c r="K69" s="30"/>
      <c r="L69" s="30"/>
      <c r="M69" s="31"/>
      <c r="N69" s="68"/>
      <c r="O69" s="60"/>
      <c r="P69" s="4"/>
      <c r="Q69" s="93"/>
      <c r="R69" s="93"/>
      <c r="S69" s="93"/>
      <c r="T69" s="93"/>
      <c r="U69" s="93"/>
      <c r="V69" s="93"/>
      <c r="W69" s="93"/>
      <c r="X69" s="93"/>
      <c r="Y69" s="93"/>
      <c r="Z69" s="93"/>
      <c r="AA69" s="93"/>
      <c r="AB69" s="93"/>
      <c r="AC69" s="93"/>
      <c r="AD69" s="93"/>
      <c r="AE69" s="93"/>
      <c r="AF69" s="93"/>
      <c r="AG69" s="93"/>
      <c r="AH69" s="93"/>
      <c r="AI69" s="93"/>
      <c r="AJ69" s="93"/>
      <c r="AK69" s="93"/>
      <c r="AL69" s="93"/>
      <c r="AM69" s="93"/>
      <c r="AN69" s="93"/>
      <c r="AO69" s="93"/>
      <c r="AP69" s="93"/>
      <c r="AQ69" s="93"/>
      <c r="AR69" s="93"/>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row>
    <row r="70" spans="2:72" s="1" customFormat="1" ht="40.15" customHeight="1" x14ac:dyDescent="0.25">
      <c r="B70" s="71"/>
      <c r="C70" s="32"/>
      <c r="D70" s="96"/>
      <c r="E70" s="94"/>
      <c r="F70" s="96"/>
      <c r="G70" s="28"/>
      <c r="H70" s="28"/>
      <c r="I70" s="29"/>
      <c r="J70" s="29"/>
      <c r="K70" s="30"/>
      <c r="L70" s="30"/>
      <c r="M70" s="31"/>
      <c r="N70" s="31"/>
      <c r="O70" s="31"/>
      <c r="P70" s="4"/>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row>
    <row r="71" spans="2:72" s="1" customFormat="1" ht="57.75" customHeight="1" x14ac:dyDescent="0.25">
      <c r="B71" s="61" t="s">
        <v>53</v>
      </c>
      <c r="C71" s="69"/>
      <c r="D71" s="69"/>
      <c r="E71" s="70"/>
      <c r="F71" s="70"/>
      <c r="G71" s="61"/>
      <c r="H71" s="61"/>
      <c r="I71" s="61"/>
      <c r="J71" s="61"/>
      <c r="K71" s="61"/>
      <c r="L71" s="61"/>
      <c r="M71" s="61"/>
      <c r="N71" s="61"/>
      <c r="O71" s="61"/>
      <c r="P71" s="4"/>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c r="BR71" s="12"/>
      <c r="BS71" s="12"/>
      <c r="BT71" s="12"/>
    </row>
    <row r="72" spans="2:72" ht="30" customHeight="1" x14ac:dyDescent="0.25">
      <c r="B72" s="72"/>
      <c r="C72" s="73"/>
      <c r="D72" s="32"/>
      <c r="E72" s="32"/>
      <c r="F72" s="33"/>
      <c r="G72" s="74"/>
      <c r="H72" s="75"/>
      <c r="J72" s="40"/>
      <c r="K72" s="76"/>
      <c r="L72" s="77"/>
      <c r="M72" s="78"/>
      <c r="N72" s="78"/>
      <c r="O72" s="78"/>
      <c r="P72" s="2"/>
    </row>
    <row r="73" spans="2:72" ht="30" customHeight="1" x14ac:dyDescent="0.25">
      <c r="B73" s="72"/>
      <c r="C73" s="73"/>
      <c r="D73" s="32"/>
      <c r="E73" s="32"/>
      <c r="F73" s="33"/>
      <c r="G73" s="74"/>
      <c r="H73" s="79"/>
      <c r="J73" s="40"/>
      <c r="K73" s="76"/>
      <c r="L73" s="77"/>
    </row>
    <row r="74" spans="2:72" ht="30" customHeight="1" x14ac:dyDescent="0.25">
      <c r="B74" s="72"/>
      <c r="C74" s="73"/>
      <c r="D74" s="32"/>
      <c r="E74" s="32"/>
      <c r="F74" s="33"/>
      <c r="G74" s="74"/>
      <c r="H74" s="74"/>
      <c r="J74" s="40"/>
      <c r="K74" s="76"/>
      <c r="L74" s="77"/>
    </row>
    <row r="75" spans="2:72" ht="30" customHeight="1" x14ac:dyDescent="0.25">
      <c r="B75" s="72"/>
      <c r="C75" s="73"/>
      <c r="D75" s="32"/>
      <c r="E75" s="32"/>
      <c r="F75" s="33"/>
      <c r="G75" s="74"/>
      <c r="H75" s="74"/>
      <c r="J75" s="40"/>
      <c r="K75" s="76"/>
      <c r="L75" s="77"/>
    </row>
    <row r="76" spans="2:72" ht="30" customHeight="1" x14ac:dyDescent="0.25">
      <c r="B76" s="72"/>
      <c r="C76" s="73"/>
      <c r="D76" s="32"/>
      <c r="E76" s="32"/>
      <c r="F76" s="33"/>
      <c r="G76" s="74"/>
      <c r="H76" s="74"/>
      <c r="J76" s="40"/>
      <c r="K76" s="76"/>
      <c r="L76" s="77"/>
    </row>
    <row r="77" spans="2:72" ht="30" customHeight="1" x14ac:dyDescent="0.25">
      <c r="B77" s="72"/>
      <c r="C77" s="73"/>
      <c r="D77" s="32"/>
      <c r="E77" s="32"/>
      <c r="F77" s="33"/>
      <c r="G77" s="74"/>
      <c r="H77" s="74"/>
      <c r="J77" s="40"/>
      <c r="K77" s="76"/>
      <c r="L77" s="77"/>
    </row>
    <row r="83" spans="6:6" ht="30" customHeight="1" x14ac:dyDescent="0.25">
      <c r="F83" s="90"/>
    </row>
  </sheetData>
  <sheetProtection sheet="1" objects="1" scenarios="1"/>
  <mergeCells count="7">
    <mergeCell ref="W2:AB2"/>
    <mergeCell ref="Q2:V2"/>
    <mergeCell ref="AF4:AI4"/>
    <mergeCell ref="AK4:AN4"/>
    <mergeCell ref="Q4:T4"/>
    <mergeCell ref="V4:Y4"/>
    <mergeCell ref="AA4:AD4"/>
  </mergeCells>
  <conditionalFormatting sqref="I65:J70 I62:J63 I11:J60">
    <cfRule type="dataBar" priority="6">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L13:L32">
    <cfRule type="colorScale" priority="1">
      <colorScale>
        <cfvo type="min"/>
        <cfvo type="percentile" val="50"/>
        <cfvo type="max"/>
        <color rgb="FFF8696B"/>
        <color rgb="FFFFEB84"/>
        <color rgb="FF63BE7B"/>
      </colorScale>
    </cfRule>
  </conditionalFormatting>
  <conditionalFormatting sqref="Q6:AU6">
    <cfRule type="expression" dxfId="8" priority="5">
      <formula>Q$7&lt;=EOMONTH($Q$7,0)</formula>
    </cfRule>
  </conditionalFormatting>
  <conditionalFormatting sqref="Q6:BT6">
    <cfRule type="expression" dxfId="7" priority="3">
      <formula>AND(Q$7&lt;=EOMONTH($Q$7,1),Q$7&gt;EOMONTH($Q$7,0))</formula>
    </cfRule>
  </conditionalFormatting>
  <conditionalFormatting sqref="Q7:BT71">
    <cfRule type="expression" dxfId="6" priority="2">
      <formula>AND(TODAY()&gt;=Q$7,TODAY()&lt;R$7)</formula>
    </cfRule>
  </conditionalFormatting>
  <conditionalFormatting sqref="Q12:BT70">
    <cfRule type="expression" dxfId="5" priority="479" stopIfTrue="1">
      <formula>AND($G12="Riesgo bajo",Q$7&gt;=$K12,Q$7&lt;=$K12+$M12-1)</formula>
    </cfRule>
    <cfRule type="expression" dxfId="4" priority="480" stopIfTrue="1">
      <formula>AND($G12="Riesgo alto",Q$7&gt;=$K12,Q$7&lt;=$K12+$M12-1)</formula>
    </cfRule>
    <cfRule type="expression" dxfId="3" priority="481" stopIfTrue="1">
      <formula>AND($G12="Según lo previsto",Q$7&gt;=$K12,Q$7&lt;=$K12+$M12-1)</formula>
    </cfRule>
    <cfRule type="expression" dxfId="2" priority="482" stopIfTrue="1">
      <formula>AND($G12="Riesgo medio",Q$7&gt;=$K12,Q$7&lt;=$K12+$M12-1)</formula>
    </cfRule>
    <cfRule type="expression" dxfId="1" priority="483" stopIfTrue="1">
      <formula>AND(LEN($G12)=0,Q$7&gt;=$K12,Q$7&lt;=$K12+$M12-1)</formula>
    </cfRule>
  </conditionalFormatting>
  <conditionalFormatting sqref="R6:BT6">
    <cfRule type="expression" dxfId="0" priority="4">
      <formula>AND(R$7&lt;=EOMONTH($Q$7,2),R$7&gt;EOMONTH($Q$7,0),R$7&gt;EOMONTH($Q$7,1))</formula>
    </cfRule>
  </conditionalFormatting>
  <dataValidations count="2">
    <dataValidation type="whole" operator="greaterThanOrEqual" allowBlank="1" showInputMessage="1" promptTitle="Incremento de desplazamiento" prompt="Al cambiar este número, se desplazará la vista del diagrama de Gantt." sqref="F7" xr:uid="{662A47A0-7258-440E-8D71-BC54CBC9C651}">
      <formula1>0</formula1>
    </dataValidation>
    <dataValidation type="list" allowBlank="1" showInputMessage="1" showErrorMessage="1" sqref="G12:G71" xr:uid="{12A8278F-D51D-4B98-A311-DB5FCD18D214}">
      <formula1>"Objetivo,Hito,Según lo previsto, Riesgo bajo, Riesgo medio, Riesgo alto"</formula1>
    </dataValidation>
  </dataValidations>
  <pageMargins left="0.7" right="0.7" top="0.75" bottom="0.75" header="0.3" footer="0.3"/>
  <pageSetup paperSize="8"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6385" r:id="rId4" name="Barra de desplazamiento 1">
              <controlPr defaultSize="0" autoPict="0" altText="Barra de desplazamiento para desplazarse por la escala de tiempo del proyecto Ghantt.">
                <anchor moveWithCells="1">
                  <from>
                    <xdr:col>16</xdr:col>
                    <xdr:colOff>28575</xdr:colOff>
                    <xdr:row>7</xdr:row>
                    <xdr:rowOff>57150</xdr:rowOff>
                  </from>
                  <to>
                    <xdr:col>98</xdr:col>
                    <xdr:colOff>38100</xdr:colOff>
                    <xdr:row>8</xdr:row>
                    <xdr:rowOff>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I65:J70 I62:J63 I11:J60</xm:sqref>
        </x14:conditionalFormatting>
        <x14:conditionalFormatting xmlns:xm="http://schemas.microsoft.com/office/excel/2006/main">
          <x14:cfRule type="iconSet" priority="484"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Q12:BT70</xm:sqref>
        </x14:conditionalFormatting>
        <x14:conditionalFormatting xmlns:xm="http://schemas.microsoft.com/office/excel/2006/main">
          <x14:cfRule type="iconSet" priority="13" id="{A1EFF969-3CBB-4DB2-A4C9-47B01FE32C86}">
            <x14:iconSet iconSet="3Stars" showValue="0" custom="1">
              <x14:cfvo type="percent">
                <xm:f>0</xm:f>
              </x14:cfvo>
              <x14:cfvo type="num">
                <xm:f>1</xm:f>
              </x14:cfvo>
              <x14:cfvo type="num">
                <xm:f>2</xm:f>
              </x14:cfvo>
              <x14:cfIcon iconSet="NoIcons" iconId="0"/>
              <x14:cfIcon iconSet="3Flags" iconId="1"/>
              <x14:cfIcon iconSet="3Signs" iconId="0"/>
            </x14:iconSet>
          </x14:cfRule>
          <xm:sqref>Q71:BT71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3880B-5047-42FA-BE53-D1528515409A}">
  <dimension ref="A1"/>
  <sheetViews>
    <sheetView workbookViewId="0">
      <selection activeCell="P8" sqref="P8"/>
    </sheetView>
  </sheetViews>
  <sheetFormatPr baseColWidth="10" defaultColWidth="11.42578125"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lcf76f155ced4ddcb4097134ff3c332f xmlns="71af3243-3dd4-4a8d-8c0d-dd76da1f02a5">
      <Terms xmlns="http://schemas.microsoft.com/office/infopath/2007/PartnerControls"/>
    </lcf76f155ced4ddcb4097134ff3c332f>
    <TaxCatchAll xmlns="230e9df3-be65-4c73-a93b-d1236ebd677e"/>
    <MediaServiceKeyPoints xmlns="71af3243-3dd4-4a8d-8c0d-dd76da1f02a5" xsi:nil="true"/>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8" ma:contentTypeDescription="Create a new document." ma:contentTypeScope="" ma:versionID="22a266b9fa9a230c5a512669d8b298c3">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ddc33fff6b14141ee5c74a0d29ea6a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24" nillable="true" ma:taxonomy="true" ma:internalName="lcf76f155ced4ddcb4097134ff3c332f" ma:taxonomyFieldName="MediaServiceAITags" ma:displayName="Image Tags" ma:readOnly="false" ma:fieldId="{5cf76f15-5ced-4ddc-b409-7134ff3c332f}" ma:taxonomyMulti="true" ma:sspId="e385fb40-52d4-4fae-9c5b-3e8ff8a5878e" ma:termSetId="09814cd3-568e-4e90-9814-8d621ff8fb84"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A4BA2A8-DB97-40F9-8DB6-154C09C7467C}">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3C0EB13B-A23E-4329-8040-714E99B5DEF0}">
  <ds:schemaRefs>
    <ds:schemaRef ds:uri="http://schemas.microsoft.com/DataMashup"/>
  </ds:schemaRefs>
</ds:datastoreItem>
</file>

<file path=customXml/itemProps3.xml><?xml version="1.0" encoding="utf-8"?>
<ds:datastoreItem xmlns:ds="http://schemas.openxmlformats.org/officeDocument/2006/customXml" ds:itemID="{39060724-9CA2-4290-8A0C-B53624A594E7}">
  <ds:schemaRefs>
    <ds:schemaRef ds:uri="http://schemas.microsoft.com/sharepoint/v3/contenttype/forms"/>
  </ds:schemaRefs>
</ds:datastoreItem>
</file>

<file path=customXml/itemProps4.xml><?xml version="1.0" encoding="utf-8"?>
<ds:datastoreItem xmlns:ds="http://schemas.openxmlformats.org/officeDocument/2006/customXml" ds:itemID="{75C87518-DD8E-42CD-8DAC-291A323E84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Resumen compromisos</vt:lpstr>
      <vt:lpstr>Ligero</vt:lpstr>
      <vt:lpstr>Hoja1</vt:lpstr>
      <vt:lpstr>Ligero!Incremento_de_desplazamiento</vt:lpstr>
      <vt:lpstr>Ligero!Inicio_del_proyecto</vt:lpstr>
      <vt:lpstr>Ligero!Títulos_a_imprimir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2021-02-17T05:31:39Z</dcterms:created>
  <dcterms:modified xsi:type="dcterms:W3CDTF">2026-02-25T14:39:26Z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