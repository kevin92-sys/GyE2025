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Kevin\Dropbox\Administracion\2025\FINANZAS 2025\"/>
    </mc:Choice>
  </mc:AlternateContent>
  <xr:revisionPtr revIDLastSave="0" documentId="13_ncr:1_{86532DC4-24C7-4904-AE54-34FE1C6E9EBD}" xr6:coauthVersionLast="47" xr6:coauthVersionMax="47" xr10:uidLastSave="{00000000-0000-0000-0000-000000000000}"/>
  <bookViews>
    <workbookView xWindow="-120" yWindow="-120" windowWidth="20730" windowHeight="11160" firstSheet="2" activeTab="4" xr2:uid="{CE3AB319-23DC-49A2-B43D-7578FB3CD1E7}"/>
  </bookViews>
  <sheets>
    <sheet name="BALANCE" sheetId="42" r:id="rId1"/>
    <sheet name="EPN" sheetId="44" r:id="rId2"/>
    <sheet name="RESUMEN" sheetId="39" r:id="rId3"/>
    <sheet name="ACTIVIDADES" sheetId="45" r:id="rId4"/>
    <sheet name="MOV" sheetId="38" r:id="rId5"/>
    <sheet name="RDOS" sheetId="41" r:id="rId6"/>
    <sheet name="CAPITAL" sheetId="46" state="hidden" r:id="rId7"/>
    <sheet name="LISTA" sheetId="9" state="hidden" r:id="rId8"/>
  </sheets>
  <externalReferences>
    <externalReference r:id="rId9"/>
    <externalReference r:id="rId10"/>
    <externalReference r:id="rId11"/>
  </externalReferences>
  <definedNames>
    <definedName name="_xlchart.v1.0" hidden="1">ACTIVIDADES!$C$16:$N$16</definedName>
    <definedName name="_xlchart.v1.1" hidden="1">ACTIVIDADES!$C$38:$N$38</definedName>
    <definedName name="act" localSheetId="0">#REF!</definedName>
    <definedName name="ACT">#REF!</definedName>
    <definedName name="ACTIVIDAD" localSheetId="0">#REF!</definedName>
    <definedName name="ACTIVIDAD">#REF!</definedName>
    <definedName name="ADMINISTRACION">#REF!</definedName>
    <definedName name="AGRICULTURA">#REF!</definedName>
    <definedName name="AMORTBI">'[1]Bal1202-200603'!$U$226</definedName>
    <definedName name="AMORTBU">'[1]Bal1202-200603'!$U$225</definedName>
    <definedName name="BASEDATOS">#REF!</definedName>
    <definedName name="BOVINOS">#REF!</definedName>
    <definedName name="CAPRINOS">#REF!</definedName>
    <definedName name="COMBUSTIBLE">#REF!</definedName>
    <definedName name="EOAF">'[1]Bal1202-200603'!$E$10:$R$251</definedName>
    <definedName name="EOAF1">'[1]Bal1202-200603'!$R$10:$R$251</definedName>
    <definedName name="EST" localSheetId="0">#REF!</definedName>
    <definedName name="EST">#REF!</definedName>
    <definedName name="ESTADO" localSheetId="0">#REF!</definedName>
    <definedName name="ESTADO">[2]LISTAS!$O$3:$O$6</definedName>
    <definedName name="ESTRUCTURA" localSheetId="0">#REF!</definedName>
    <definedName name="ESTRUCTURA">#REF!</definedName>
    <definedName name="FORRAJE" localSheetId="0">#REF!</definedName>
    <definedName name="FORRAJE">#REF!</definedName>
    <definedName name="FR">#REF!</definedName>
    <definedName name="GANADERIA">#REF!</definedName>
    <definedName name="GENERAL">#REF!</definedName>
    <definedName name="IMPUESTOS">#REF!</definedName>
    <definedName name="INTERESES">#REF!</definedName>
    <definedName name="MAQUINARIA">#REF!</definedName>
    <definedName name="OVINO">#REF!</definedName>
    <definedName name="PORCINOS">#REF!</definedName>
    <definedName name="SEGUROS">#REF!</definedName>
    <definedName name="SEMILLAS" localSheetId="0">#REF!</definedName>
    <definedName name="SEMILLAS">[3]!Tabla4[#All]</definedName>
    <definedName name="SOCIOS" localSheetId="0">#REF!</definedName>
    <definedName name="SOCIOS">#REF!</definedName>
    <definedName name="SUELDOS" localSheetId="0">#REF!</definedName>
    <definedName name="SUELDOS">#REF!</definedName>
    <definedName name="TIPO_FACT" localSheetId="0">#REF!</definedName>
    <definedName name="TIPO_FACT">[2]LISTAS!$S$3:$S$7</definedName>
  </definedNames>
  <calcPr calcId="191028"/>
  <pivotCaches>
    <pivotCache cacheId="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203" i="38" l="1"/>
  <c r="K1019" i="38"/>
  <c r="K911" i="38"/>
  <c r="A263" i="38"/>
  <c r="A264" i="38"/>
  <c r="A265" i="38"/>
  <c r="A266" i="38"/>
  <c r="A267" i="38"/>
  <c r="A268" i="38"/>
  <c r="A269" i="38"/>
  <c r="A270" i="38"/>
  <c r="J263" i="38"/>
  <c r="K263" i="38"/>
  <c r="J264" i="38"/>
  <c r="K264" i="38"/>
  <c r="J265" i="38"/>
  <c r="K265" i="38"/>
  <c r="J266" i="38"/>
  <c r="K266" i="38"/>
  <c r="J267" i="38"/>
  <c r="K267" i="38"/>
  <c r="J268" i="38"/>
  <c r="K268" i="38"/>
  <c r="J269" i="38"/>
  <c r="K269" i="38"/>
  <c r="J270" i="38"/>
  <c r="K270" i="38"/>
  <c r="G263" i="38"/>
  <c r="H263" i="38" s="1"/>
  <c r="G264" i="38"/>
  <c r="G265" i="38"/>
  <c r="G266" i="38"/>
  <c r="H266" i="38" s="1"/>
  <c r="G267" i="38"/>
  <c r="G268" i="38"/>
  <c r="G269" i="38"/>
  <c r="H269" i="38" s="1"/>
  <c r="G270" i="38"/>
  <c r="J2503" i="38"/>
  <c r="K2503" i="38"/>
  <c r="J2504" i="38"/>
  <c r="K2504" i="38"/>
  <c r="J2505" i="38"/>
  <c r="K2505" i="38"/>
  <c r="J2506" i="38"/>
  <c r="K2506" i="38"/>
  <c r="J2507" i="38"/>
  <c r="K2507" i="38"/>
  <c r="J2508" i="38"/>
  <c r="K2508" i="38"/>
  <c r="J2509" i="38"/>
  <c r="K2509" i="38"/>
  <c r="J2510" i="38"/>
  <c r="K2510" i="38"/>
  <c r="J2511" i="38"/>
  <c r="K2511" i="38"/>
  <c r="J2512" i="38"/>
  <c r="K2512" i="38"/>
  <c r="J2513" i="38"/>
  <c r="K2513" i="38"/>
  <c r="A2507" i="38"/>
  <c r="A2508" i="38"/>
  <c r="A2509" i="38"/>
  <c r="A2510" i="38"/>
  <c r="A2511" i="38"/>
  <c r="A2512" i="38"/>
  <c r="A2513" i="38"/>
  <c r="A2506" i="38"/>
  <c r="A2504" i="38"/>
  <c r="A2505" i="38"/>
  <c r="G2503" i="38"/>
  <c r="G2504" i="38"/>
  <c r="G2505" i="38"/>
  <c r="G2506" i="38"/>
  <c r="G2507" i="38"/>
  <c r="G2508" i="38"/>
  <c r="G2509" i="38"/>
  <c r="G2510" i="38"/>
  <c r="G2511" i="38"/>
  <c r="G2512" i="38"/>
  <c r="G2513" i="38"/>
  <c r="E6" i="38"/>
  <c r="H267" i="38" l="1"/>
  <c r="H264" i="38"/>
  <c r="H270" i="38"/>
  <c r="J2404" i="38"/>
  <c r="K2404" i="38"/>
  <c r="J2405" i="38"/>
  <c r="K2405" i="38"/>
  <c r="J2406" i="38"/>
  <c r="K2406" i="38"/>
  <c r="G2404" i="38"/>
  <c r="G2405" i="38"/>
  <c r="G2406" i="38"/>
  <c r="J1137" i="38"/>
  <c r="K1137" i="38"/>
  <c r="J1138" i="38"/>
  <c r="K1138" i="38"/>
  <c r="G1137" i="38"/>
  <c r="G1138" i="38"/>
  <c r="A1137" i="38"/>
  <c r="A1138" i="38"/>
  <c r="J2399" i="38"/>
  <c r="K2399" i="38"/>
  <c r="J2400" i="38"/>
  <c r="K2400" i="38"/>
  <c r="J2401" i="38"/>
  <c r="K2401" i="38"/>
  <c r="J2402" i="38"/>
  <c r="K2402" i="38"/>
  <c r="J2403" i="38"/>
  <c r="K2403" i="38"/>
  <c r="G2399" i="38"/>
  <c r="G2400" i="38"/>
  <c r="G2401" i="38"/>
  <c r="G2402" i="38"/>
  <c r="G2403" i="38"/>
  <c r="J1134" i="38"/>
  <c r="K1134" i="38"/>
  <c r="J1135" i="38"/>
  <c r="K1135" i="38"/>
  <c r="J1136" i="38"/>
  <c r="K1136" i="38"/>
  <c r="G1134" i="38"/>
  <c r="G1135" i="38"/>
  <c r="G1136" i="38"/>
  <c r="G1133" i="38"/>
  <c r="A1134" i="38"/>
  <c r="A1135" i="38"/>
  <c r="A1136" i="38"/>
  <c r="J2393" i="38"/>
  <c r="K2393" i="38"/>
  <c r="J2394" i="38"/>
  <c r="K2394" i="38"/>
  <c r="J2395" i="38"/>
  <c r="K2395" i="38"/>
  <c r="J2396" i="38"/>
  <c r="K2396" i="38"/>
  <c r="J2397" i="38"/>
  <c r="K2397" i="38"/>
  <c r="J2398" i="38"/>
  <c r="K2398" i="38"/>
  <c r="G2393" i="38"/>
  <c r="G2394" i="38"/>
  <c r="G2395" i="38"/>
  <c r="G2396" i="38"/>
  <c r="G2397" i="38"/>
  <c r="G2398" i="38"/>
  <c r="J1030" i="38"/>
  <c r="J1031" i="38"/>
  <c r="J1032" i="38"/>
  <c r="G1030" i="38"/>
  <c r="G1031" i="38"/>
  <c r="G1032" i="38"/>
  <c r="J2389" i="38"/>
  <c r="K2389" i="38"/>
  <c r="J2390" i="38"/>
  <c r="K2390" i="38"/>
  <c r="J2391" i="38"/>
  <c r="K2391" i="38"/>
  <c r="J2392" i="38"/>
  <c r="K2392" i="38"/>
  <c r="G2389" i="38"/>
  <c r="G2390" i="38"/>
  <c r="G2391" i="38"/>
  <c r="G2392" i="38"/>
  <c r="J1132" i="38"/>
  <c r="K1132" i="38"/>
  <c r="J1133" i="38"/>
  <c r="K1133" i="38"/>
  <c r="G1132" i="38"/>
  <c r="A1132" i="38"/>
  <c r="A1133" i="38"/>
  <c r="J2388" i="38"/>
  <c r="K2388" i="38"/>
  <c r="G2388" i="38"/>
  <c r="J1130" i="38"/>
  <c r="K1130" i="38"/>
  <c r="J1131" i="38"/>
  <c r="K1131" i="38"/>
  <c r="G1130" i="38"/>
  <c r="G1131" i="38"/>
  <c r="A1130" i="38"/>
  <c r="A1131" i="38"/>
  <c r="J2381" i="38"/>
  <c r="K2381" i="38"/>
  <c r="J2382" i="38"/>
  <c r="K2382" i="38"/>
  <c r="J2383" i="38"/>
  <c r="K2383" i="38"/>
  <c r="J2384" i="38"/>
  <c r="K2384" i="38"/>
  <c r="J2385" i="38"/>
  <c r="K2385" i="38"/>
  <c r="J2386" i="38"/>
  <c r="K2386" i="38"/>
  <c r="J2387" i="38"/>
  <c r="K2387" i="38"/>
  <c r="G2381" i="38"/>
  <c r="G2382" i="38"/>
  <c r="G2383" i="38"/>
  <c r="G2384" i="38"/>
  <c r="G2385" i="38"/>
  <c r="G2386" i="38"/>
  <c r="G2387" i="38"/>
  <c r="J1028" i="38"/>
  <c r="J1029" i="38"/>
  <c r="G1028" i="38"/>
  <c r="G1029" i="38"/>
  <c r="J2377" i="38"/>
  <c r="K2377" i="38"/>
  <c r="J2378" i="38"/>
  <c r="K2378" i="38"/>
  <c r="J2379" i="38"/>
  <c r="K2379" i="38"/>
  <c r="J2380" i="38"/>
  <c r="K2380" i="38"/>
  <c r="G2377" i="38"/>
  <c r="G2378" i="38"/>
  <c r="G2379" i="38"/>
  <c r="G2380" i="38"/>
  <c r="J2375" i="38"/>
  <c r="K2375" i="38"/>
  <c r="J2376" i="38"/>
  <c r="K2376" i="38"/>
  <c r="G2375" i="38"/>
  <c r="G2376" i="38"/>
  <c r="J1126" i="38"/>
  <c r="K1126" i="38"/>
  <c r="J1129" i="38"/>
  <c r="K1129" i="38"/>
  <c r="J1128" i="38"/>
  <c r="K1128" i="38"/>
  <c r="J1127" i="38"/>
  <c r="K1127" i="38"/>
  <c r="G1126" i="38"/>
  <c r="G1129" i="38"/>
  <c r="G1128" i="38"/>
  <c r="G1127" i="38"/>
  <c r="A1127" i="38"/>
  <c r="A1128" i="38"/>
  <c r="A1129" i="38"/>
  <c r="A1126" i="38"/>
  <c r="J2372" i="38"/>
  <c r="K2372" i="38"/>
  <c r="J2373" i="38"/>
  <c r="K2373" i="38"/>
  <c r="J2374" i="38"/>
  <c r="K2374" i="38"/>
  <c r="G2372" i="38"/>
  <c r="G2373" i="38"/>
  <c r="G2374" i="38"/>
  <c r="J593" i="38"/>
  <c r="K593" i="38"/>
  <c r="J594" i="38"/>
  <c r="K594" i="38"/>
  <c r="J595" i="38"/>
  <c r="K595" i="38"/>
  <c r="A593" i="38"/>
  <c r="A594" i="38"/>
  <c r="A595" i="38"/>
  <c r="G593" i="38"/>
  <c r="G594" i="38"/>
  <c r="G595" i="38"/>
  <c r="J2366" i="38"/>
  <c r="K2366" i="38"/>
  <c r="J2367" i="38"/>
  <c r="K2367" i="38"/>
  <c r="J2368" i="38"/>
  <c r="K2368" i="38"/>
  <c r="J2369" i="38"/>
  <c r="K2369" i="38"/>
  <c r="J2370" i="38"/>
  <c r="K2370" i="38"/>
  <c r="J2371" i="38"/>
  <c r="K2371" i="38"/>
  <c r="G2366" i="38"/>
  <c r="G2367" i="38"/>
  <c r="G2368" i="38"/>
  <c r="G2369" i="38"/>
  <c r="G2370" i="38"/>
  <c r="G2371" i="38"/>
  <c r="J2356" i="38"/>
  <c r="K2356" i="38"/>
  <c r="J2357" i="38"/>
  <c r="K2357" i="38"/>
  <c r="J2358" i="38"/>
  <c r="K2358" i="38"/>
  <c r="J2359" i="38"/>
  <c r="K2359" i="38"/>
  <c r="J2360" i="38"/>
  <c r="K2360" i="38"/>
  <c r="J2361" i="38"/>
  <c r="K2361" i="38"/>
  <c r="J2362" i="38"/>
  <c r="K2362" i="38"/>
  <c r="J2363" i="38"/>
  <c r="K2363" i="38"/>
  <c r="J2364" i="38"/>
  <c r="K2364" i="38"/>
  <c r="J2365" i="38"/>
  <c r="K2365" i="38"/>
  <c r="G2356" i="38"/>
  <c r="G2357" i="38"/>
  <c r="G2358" i="38"/>
  <c r="G2359" i="38"/>
  <c r="G2360" i="38"/>
  <c r="G2361" i="38"/>
  <c r="G2362" i="38"/>
  <c r="G2363" i="38"/>
  <c r="G2364" i="38"/>
  <c r="G2365" i="38"/>
  <c r="K2409" i="38"/>
  <c r="J2355" i="38"/>
  <c r="K2355" i="38"/>
  <c r="G2355" i="38"/>
  <c r="J1024" i="38"/>
  <c r="J1025" i="38"/>
  <c r="J1026" i="38"/>
  <c r="J1027" i="38"/>
  <c r="G1024" i="38"/>
  <c r="G1025" i="38"/>
  <c r="G1026" i="38"/>
  <c r="G1027" i="38"/>
  <c r="J2350" i="38"/>
  <c r="K2350" i="38"/>
  <c r="J2351" i="38"/>
  <c r="K2351" i="38"/>
  <c r="J2352" i="38"/>
  <c r="K2352" i="38"/>
  <c r="J2353" i="38"/>
  <c r="K2353" i="38"/>
  <c r="J2354" i="38"/>
  <c r="K2354" i="38"/>
  <c r="G2350" i="38"/>
  <c r="G2351" i="38"/>
  <c r="G2352" i="38"/>
  <c r="G2353" i="38"/>
  <c r="G2354" i="38"/>
  <c r="J1019" i="38" l="1"/>
  <c r="J1020" i="38"/>
  <c r="J1021" i="38"/>
  <c r="J1022" i="38"/>
  <c r="J1023" i="38"/>
  <c r="G1019" i="38"/>
  <c r="G1020" i="38"/>
  <c r="G1021" i="38"/>
  <c r="G1022" i="38"/>
  <c r="G1023" i="38"/>
  <c r="J262" i="38"/>
  <c r="K262" i="38"/>
  <c r="A262" i="38"/>
  <c r="G262" i="38"/>
  <c r="J1018" i="38"/>
  <c r="G1018" i="38"/>
  <c r="J2343" i="38"/>
  <c r="K2343" i="38"/>
  <c r="J2344" i="38"/>
  <c r="K2344" i="38"/>
  <c r="J2345" i="38"/>
  <c r="K2345" i="38"/>
  <c r="J2346" i="38"/>
  <c r="K2346" i="38"/>
  <c r="J2347" i="38"/>
  <c r="K2347" i="38"/>
  <c r="J2348" i="38"/>
  <c r="K2348" i="38"/>
  <c r="J2349" i="38"/>
  <c r="K2349" i="38"/>
  <c r="G2343" i="38"/>
  <c r="G2344" i="38"/>
  <c r="G2345" i="38"/>
  <c r="G2346" i="38"/>
  <c r="G2347" i="38"/>
  <c r="G2348" i="38"/>
  <c r="G2349" i="38"/>
  <c r="J259" i="38"/>
  <c r="K259" i="38"/>
  <c r="J2499" i="38"/>
  <c r="K2499" i="38"/>
  <c r="J261" i="38"/>
  <c r="K261" i="38"/>
  <c r="A259" i="38"/>
  <c r="A2499" i="38"/>
  <c r="A261" i="38"/>
  <c r="G259" i="38"/>
  <c r="G2499" i="38"/>
  <c r="G261" i="38"/>
  <c r="J2338" i="38"/>
  <c r="K2338" i="38"/>
  <c r="J2339" i="38"/>
  <c r="K2339" i="38"/>
  <c r="J2340" i="38"/>
  <c r="K2340" i="38"/>
  <c r="J2341" i="38"/>
  <c r="K2341" i="38"/>
  <c r="J2342" i="38"/>
  <c r="K2342" i="38"/>
  <c r="G2338" i="38"/>
  <c r="G2339" i="38"/>
  <c r="G2340" i="38"/>
  <c r="G2341" i="38"/>
  <c r="G2342" i="38"/>
  <c r="J258" i="38"/>
  <c r="K258" i="38"/>
  <c r="A258" i="38"/>
  <c r="G258" i="38"/>
  <c r="J2333" i="38"/>
  <c r="K2333" i="38"/>
  <c r="J2334" i="38"/>
  <c r="K2334" i="38"/>
  <c r="J2335" i="38"/>
  <c r="K2335" i="38"/>
  <c r="J2336" i="38"/>
  <c r="K2336" i="38"/>
  <c r="J2337" i="38"/>
  <c r="K2337" i="38"/>
  <c r="G2333" i="38"/>
  <c r="G2334" i="38"/>
  <c r="G2335" i="38"/>
  <c r="G2336" i="38"/>
  <c r="G2337" i="38"/>
  <c r="J590" i="38" l="1"/>
  <c r="K590" i="38"/>
  <c r="J591" i="38"/>
  <c r="K591" i="38"/>
  <c r="J592" i="38"/>
  <c r="K592" i="38"/>
  <c r="A592" i="38"/>
  <c r="A591" i="38"/>
  <c r="A590" i="38"/>
  <c r="G590" i="38"/>
  <c r="G591" i="38"/>
  <c r="G592" i="38"/>
  <c r="J249" i="38"/>
  <c r="K249" i="38"/>
  <c r="J250" i="38"/>
  <c r="K250" i="38"/>
  <c r="J251" i="38"/>
  <c r="K251" i="38"/>
  <c r="J252" i="38"/>
  <c r="K252" i="38"/>
  <c r="J253" i="38"/>
  <c r="K253" i="38"/>
  <c r="J254" i="38"/>
  <c r="K254" i="38"/>
  <c r="J255" i="38"/>
  <c r="K255" i="38"/>
  <c r="J256" i="38"/>
  <c r="K256" i="38"/>
  <c r="J257" i="38"/>
  <c r="K257" i="38"/>
  <c r="J238" i="38"/>
  <c r="K238" i="38"/>
  <c r="J239" i="38"/>
  <c r="K239" i="38"/>
  <c r="J240" i="38"/>
  <c r="K240" i="38"/>
  <c r="J241" i="38"/>
  <c r="K241" i="38"/>
  <c r="J242" i="38"/>
  <c r="K242" i="38"/>
  <c r="J243" i="38"/>
  <c r="K243" i="38"/>
  <c r="J244" i="38"/>
  <c r="K244" i="38"/>
  <c r="J245" i="38"/>
  <c r="K245" i="38"/>
  <c r="J246" i="38"/>
  <c r="K246" i="38"/>
  <c r="J247" i="38"/>
  <c r="K247" i="38"/>
  <c r="J248" i="38"/>
  <c r="K248" i="38"/>
  <c r="A257" i="38"/>
  <c r="A256" i="38"/>
  <c r="A255" i="38"/>
  <c r="A254" i="38"/>
  <c r="A253" i="38"/>
  <c r="A238" i="38"/>
  <c r="A239" i="38"/>
  <c r="A240" i="38"/>
  <c r="A241" i="38"/>
  <c r="A242" i="38"/>
  <c r="A243" i="38"/>
  <c r="A244" i="38"/>
  <c r="A245" i="38"/>
  <c r="A246" i="38"/>
  <c r="A247" i="38"/>
  <c r="A248" i="38"/>
  <c r="A249" i="38"/>
  <c r="A250" i="38"/>
  <c r="A251" i="38"/>
  <c r="A252" i="38"/>
  <c r="G243" i="38"/>
  <c r="G244" i="38"/>
  <c r="G245" i="38"/>
  <c r="G246" i="38"/>
  <c r="G247" i="38"/>
  <c r="G248" i="38"/>
  <c r="G249" i="38"/>
  <c r="G250" i="38"/>
  <c r="G238" i="38"/>
  <c r="G239" i="38"/>
  <c r="G240" i="38"/>
  <c r="G241" i="38"/>
  <c r="G242" i="38"/>
  <c r="G251" i="38"/>
  <c r="G252" i="38"/>
  <c r="G253" i="38"/>
  <c r="G254" i="38"/>
  <c r="G255" i="38"/>
  <c r="G256" i="38"/>
  <c r="G257" i="38"/>
  <c r="J2328" i="38" l="1"/>
  <c r="K2328" i="38"/>
  <c r="J2329" i="38"/>
  <c r="K2329" i="38"/>
  <c r="J2330" i="38"/>
  <c r="K2330" i="38"/>
  <c r="J2331" i="38"/>
  <c r="K2331" i="38"/>
  <c r="J2332" i="38"/>
  <c r="K2332" i="38"/>
  <c r="G2328" i="38"/>
  <c r="G2329" i="38"/>
  <c r="G2330" i="38"/>
  <c r="G2331" i="38"/>
  <c r="G2332" i="38"/>
  <c r="J1006" i="38"/>
  <c r="J1007" i="38"/>
  <c r="J1008" i="38"/>
  <c r="J1009" i="38"/>
  <c r="J1010" i="38"/>
  <c r="J1011" i="38"/>
  <c r="J1012" i="38"/>
  <c r="J1013" i="38"/>
  <c r="J1014" i="38"/>
  <c r="J1015" i="38"/>
  <c r="J1016" i="38"/>
  <c r="J1017" i="38"/>
  <c r="G1006" i="38"/>
  <c r="G1007" i="38"/>
  <c r="G1008" i="38"/>
  <c r="G1009" i="38"/>
  <c r="G1010" i="38"/>
  <c r="G1011" i="38"/>
  <c r="G1012" i="38"/>
  <c r="G1013" i="38"/>
  <c r="G1014" i="38"/>
  <c r="G1015" i="38"/>
  <c r="G1016" i="38"/>
  <c r="G1017" i="38"/>
  <c r="J2320" i="38"/>
  <c r="K2320" i="38"/>
  <c r="J2321" i="38"/>
  <c r="K2321" i="38"/>
  <c r="J2322" i="38"/>
  <c r="K2322" i="38"/>
  <c r="J2323" i="38"/>
  <c r="K2323" i="38"/>
  <c r="J2324" i="38"/>
  <c r="K2324" i="38"/>
  <c r="J2325" i="38"/>
  <c r="K2325" i="38"/>
  <c r="J2326" i="38"/>
  <c r="K2326" i="38"/>
  <c r="J2327" i="38"/>
  <c r="K2327" i="38"/>
  <c r="G2320" i="38"/>
  <c r="G2321" i="38"/>
  <c r="G2322" i="38"/>
  <c r="G2323" i="38"/>
  <c r="G2324" i="38"/>
  <c r="G2325" i="38"/>
  <c r="G2326" i="38"/>
  <c r="G2327" i="38"/>
  <c r="P30" i="45"/>
  <c r="A2311" i="38"/>
  <c r="J2502" i="38"/>
  <c r="K2502" i="38"/>
  <c r="A2502" i="38"/>
  <c r="G2502" i="38"/>
  <c r="J2310" i="38"/>
  <c r="K2310" i="38"/>
  <c r="J2311" i="38"/>
  <c r="K2311" i="38"/>
  <c r="J2312" i="38"/>
  <c r="K2312" i="38"/>
  <c r="J2313" i="38"/>
  <c r="K2313" i="38"/>
  <c r="J2314" i="38"/>
  <c r="K2314" i="38"/>
  <c r="J2315" i="38"/>
  <c r="K2315" i="38"/>
  <c r="J2316" i="38"/>
  <c r="K2316" i="38"/>
  <c r="J2317" i="38"/>
  <c r="K2317" i="38"/>
  <c r="J2318" i="38"/>
  <c r="K2318" i="38"/>
  <c r="J2319" i="38"/>
  <c r="K2319" i="38"/>
  <c r="G2310" i="38"/>
  <c r="G2311" i="38"/>
  <c r="G2312" i="38"/>
  <c r="G2313" i="38"/>
  <c r="G2314" i="38"/>
  <c r="G2315" i="38"/>
  <c r="G2316" i="38"/>
  <c r="G2317" i="38"/>
  <c r="G2318" i="38"/>
  <c r="G2319" i="38"/>
  <c r="C27" i="45"/>
  <c r="D27" i="45"/>
  <c r="E27" i="45"/>
  <c r="F27" i="45"/>
  <c r="G27" i="45"/>
  <c r="H27" i="45"/>
  <c r="I27" i="45"/>
  <c r="J27" i="45"/>
  <c r="K27" i="45"/>
  <c r="L27" i="45"/>
  <c r="J577" i="38"/>
  <c r="K577" i="38"/>
  <c r="J578" i="38"/>
  <c r="K578" i="38"/>
  <c r="J579" i="38"/>
  <c r="K579" i="38"/>
  <c r="J580" i="38"/>
  <c r="K580" i="38"/>
  <c r="J581" i="38"/>
  <c r="K581" i="38"/>
  <c r="J582" i="38"/>
  <c r="K582" i="38"/>
  <c r="J583" i="38"/>
  <c r="K583" i="38"/>
  <c r="J584" i="38"/>
  <c r="K584" i="38"/>
  <c r="J585" i="38"/>
  <c r="K585" i="38"/>
  <c r="J586" i="38"/>
  <c r="K586" i="38"/>
  <c r="J587" i="38"/>
  <c r="K587" i="38"/>
  <c r="J588" i="38"/>
  <c r="K588" i="38"/>
  <c r="J589" i="38"/>
  <c r="K589" i="38"/>
  <c r="G578" i="38"/>
  <c r="G579" i="38"/>
  <c r="G580" i="38"/>
  <c r="G581" i="38"/>
  <c r="G582" i="38"/>
  <c r="G583" i="38"/>
  <c r="G584" i="38"/>
  <c r="G585" i="38"/>
  <c r="G586" i="38"/>
  <c r="G587" i="38"/>
  <c r="G588" i="38"/>
  <c r="G589" i="38"/>
  <c r="G577" i="38"/>
  <c r="J1004" i="38"/>
  <c r="J1005" i="38"/>
  <c r="G1004" i="38"/>
  <c r="G1005" i="38"/>
  <c r="A1114" i="38"/>
  <c r="A1115" i="38"/>
  <c r="A1116" i="38"/>
  <c r="A1117" i="38"/>
  <c r="A1118" i="38"/>
  <c r="A1119" i="38"/>
  <c r="A1120" i="38"/>
  <c r="J1114" i="38"/>
  <c r="K1114" i="38"/>
  <c r="J1115" i="38"/>
  <c r="K1115" i="38"/>
  <c r="J1116" i="38"/>
  <c r="K1116" i="38"/>
  <c r="J1117" i="38"/>
  <c r="K1117" i="38"/>
  <c r="J1118" i="38"/>
  <c r="K1118" i="38"/>
  <c r="J1119" i="38"/>
  <c r="K1119" i="38"/>
  <c r="J1120" i="38"/>
  <c r="K1120" i="38"/>
  <c r="G1114" i="38"/>
  <c r="G1115" i="38"/>
  <c r="G1116" i="38"/>
  <c r="G1117" i="38"/>
  <c r="G1118" i="38"/>
  <c r="G1119" i="38"/>
  <c r="G1120" i="38"/>
  <c r="J1122" i="38"/>
  <c r="K1122" i="38"/>
  <c r="J1123" i="38"/>
  <c r="K1123" i="38"/>
  <c r="J1124" i="38"/>
  <c r="K1124" i="38"/>
  <c r="J1125" i="38"/>
  <c r="K1125" i="38"/>
  <c r="G1122" i="38"/>
  <c r="G1123" i="38"/>
  <c r="G1124" i="38"/>
  <c r="G1125" i="38"/>
  <c r="A1122" i="38"/>
  <c r="A1123" i="38"/>
  <c r="A1124" i="38"/>
  <c r="A1125" i="38"/>
  <c r="J2301" i="38"/>
  <c r="K2301" i="38"/>
  <c r="J2302" i="38"/>
  <c r="K2302" i="38"/>
  <c r="J2303" i="38"/>
  <c r="K2303" i="38"/>
  <c r="J2304" i="38"/>
  <c r="K2304" i="38"/>
  <c r="J2305" i="38"/>
  <c r="K2305" i="38"/>
  <c r="J2306" i="38"/>
  <c r="K2306" i="38"/>
  <c r="J2307" i="38"/>
  <c r="K2307" i="38"/>
  <c r="J2308" i="38"/>
  <c r="K2308" i="38"/>
  <c r="J2309" i="38"/>
  <c r="K2309" i="38"/>
  <c r="G2301" i="38"/>
  <c r="G2302" i="38"/>
  <c r="G2303" i="38"/>
  <c r="G2304" i="38"/>
  <c r="G2305" i="38"/>
  <c r="G2306" i="38"/>
  <c r="G2307" i="38"/>
  <c r="G2308" i="38"/>
  <c r="G2309" i="38"/>
  <c r="J231" i="38"/>
  <c r="K231" i="38"/>
  <c r="J232" i="38"/>
  <c r="K232" i="38"/>
  <c r="J233" i="38"/>
  <c r="K233" i="38"/>
  <c r="J234" i="38"/>
  <c r="K234" i="38"/>
  <c r="J235" i="38"/>
  <c r="K235" i="38"/>
  <c r="J236" i="38"/>
  <c r="K236" i="38"/>
  <c r="J237" i="38"/>
  <c r="K237" i="38"/>
  <c r="A231" i="38"/>
  <c r="A232" i="38"/>
  <c r="A233" i="38"/>
  <c r="A234" i="38"/>
  <c r="A235" i="38"/>
  <c r="A236" i="38"/>
  <c r="A237" i="38"/>
  <c r="G231" i="38"/>
  <c r="G232" i="38"/>
  <c r="G233" i="38"/>
  <c r="G234" i="38"/>
  <c r="G235" i="38"/>
  <c r="G236" i="38"/>
  <c r="G237" i="38"/>
  <c r="J1002" i="38"/>
  <c r="J1003" i="38"/>
  <c r="G1002" i="38"/>
  <c r="G1003" i="38"/>
  <c r="J2297" i="38"/>
  <c r="K2297" i="38"/>
  <c r="J2298" i="38"/>
  <c r="K2298" i="38"/>
  <c r="J2299" i="38"/>
  <c r="K2299" i="38"/>
  <c r="J2300" i="38"/>
  <c r="K2300" i="38"/>
  <c r="G2297" i="38"/>
  <c r="G2298" i="38"/>
  <c r="G2299" i="38"/>
  <c r="G2300" i="38"/>
  <c r="E999" i="38"/>
  <c r="G999" i="38" s="1"/>
  <c r="J998" i="38"/>
  <c r="J2478" i="38"/>
  <c r="J996" i="38"/>
  <c r="J997" i="38"/>
  <c r="G996" i="38"/>
  <c r="G997" i="38"/>
  <c r="G2478" i="38"/>
  <c r="G998" i="38"/>
  <c r="J2470" i="38"/>
  <c r="G2470" i="38"/>
  <c r="J991" i="38"/>
  <c r="J2462" i="38"/>
  <c r="J994" i="38"/>
  <c r="J1000" i="38"/>
  <c r="J1001" i="38"/>
  <c r="G991" i="38"/>
  <c r="G2462" i="38"/>
  <c r="G994" i="38"/>
  <c r="G1000" i="38"/>
  <c r="G1001" i="38"/>
  <c r="J2291" i="38"/>
  <c r="K2291" i="38"/>
  <c r="J2292" i="38"/>
  <c r="K2292" i="38"/>
  <c r="J2293" i="38"/>
  <c r="K2293" i="38"/>
  <c r="J2294" i="38"/>
  <c r="K2294" i="38"/>
  <c r="J2295" i="38"/>
  <c r="K2295" i="38"/>
  <c r="J2296" i="38"/>
  <c r="K2296" i="38"/>
  <c r="G2291" i="38"/>
  <c r="G2292" i="38"/>
  <c r="G2293" i="38"/>
  <c r="G2294" i="38"/>
  <c r="G2295" i="38"/>
  <c r="G2296" i="38"/>
  <c r="R26" i="45"/>
  <c r="S26" i="45" s="1"/>
  <c r="J988" i="38"/>
  <c r="J989" i="38"/>
  <c r="J990" i="38"/>
  <c r="G988" i="38"/>
  <c r="G989" i="38"/>
  <c r="G990" i="38"/>
  <c r="J230" i="38"/>
  <c r="K230" i="38"/>
  <c r="A230" i="38"/>
  <c r="G230" i="38"/>
  <c r="J984" i="38"/>
  <c r="J985" i="38"/>
  <c r="J986" i="38"/>
  <c r="J987" i="38"/>
  <c r="G984" i="38"/>
  <c r="G985" i="38"/>
  <c r="G986" i="38"/>
  <c r="G987" i="38"/>
  <c r="J2283" i="38"/>
  <c r="K2283" i="38"/>
  <c r="J2284" i="38"/>
  <c r="K2284" i="38"/>
  <c r="G2283" i="38"/>
  <c r="G2284" i="38"/>
  <c r="J2278" i="38"/>
  <c r="K2278" i="38"/>
  <c r="J2279" i="38"/>
  <c r="K2279" i="38"/>
  <c r="J2280" i="38"/>
  <c r="K2280" i="38"/>
  <c r="J2281" i="38"/>
  <c r="K2281" i="38"/>
  <c r="J2282" i="38"/>
  <c r="K2282" i="38"/>
  <c r="J2285" i="38"/>
  <c r="K2285" i="38"/>
  <c r="J2286" i="38"/>
  <c r="K2286" i="38"/>
  <c r="J2287" i="38"/>
  <c r="K2287" i="38"/>
  <c r="J2460" i="38"/>
  <c r="K2460" i="38"/>
  <c r="J2289" i="38"/>
  <c r="K2289" i="38"/>
  <c r="J2290" i="38"/>
  <c r="K2290" i="38"/>
  <c r="G2278" i="38"/>
  <c r="G2279" i="38"/>
  <c r="G2280" i="38"/>
  <c r="G2281" i="38"/>
  <c r="G2282" i="38"/>
  <c r="G2285" i="38"/>
  <c r="G2286" i="38"/>
  <c r="G2287" i="38"/>
  <c r="G2460" i="38"/>
  <c r="G2289" i="38"/>
  <c r="G2290" i="38"/>
  <c r="J2270" i="38"/>
  <c r="K2270" i="38"/>
  <c r="J2271" i="38"/>
  <c r="K2271" i="38"/>
  <c r="J2272" i="38"/>
  <c r="K2272" i="38"/>
  <c r="J2273" i="38"/>
  <c r="K2273" i="38"/>
  <c r="J2274" i="38"/>
  <c r="K2274" i="38"/>
  <c r="J2275" i="38"/>
  <c r="K2275" i="38"/>
  <c r="J2276" i="38"/>
  <c r="K2276" i="38"/>
  <c r="J2277" i="38"/>
  <c r="K2277" i="38"/>
  <c r="G2270" i="38"/>
  <c r="G2271" i="38"/>
  <c r="G2272" i="38"/>
  <c r="G2273" i="38"/>
  <c r="G2274" i="38"/>
  <c r="G2275" i="38"/>
  <c r="G2276" i="38"/>
  <c r="G2277" i="38"/>
  <c r="J569" i="38"/>
  <c r="K569" i="38"/>
  <c r="J570" i="38"/>
  <c r="K570" i="38"/>
  <c r="J571" i="38"/>
  <c r="K571" i="38"/>
  <c r="J572" i="38"/>
  <c r="K572" i="38"/>
  <c r="J573" i="38"/>
  <c r="K573" i="38"/>
  <c r="J574" i="38"/>
  <c r="K574" i="38"/>
  <c r="J2459" i="38"/>
  <c r="K2459" i="38"/>
  <c r="J576" i="38"/>
  <c r="K576" i="38"/>
  <c r="A569" i="38"/>
  <c r="G570" i="38"/>
  <c r="G571" i="38"/>
  <c r="G572" i="38"/>
  <c r="G573" i="38"/>
  <c r="G574" i="38"/>
  <c r="G2459" i="38"/>
  <c r="G569" i="38"/>
  <c r="G576" i="38"/>
  <c r="J2264" i="38"/>
  <c r="K2264" i="38"/>
  <c r="J2265" i="38"/>
  <c r="K2265" i="38"/>
  <c r="J2266" i="38"/>
  <c r="K2266" i="38"/>
  <c r="J2267" i="38"/>
  <c r="K2267" i="38"/>
  <c r="J2268" i="38"/>
  <c r="K2268" i="38"/>
  <c r="J2269" i="38"/>
  <c r="K2269" i="38"/>
  <c r="G2264" i="38"/>
  <c r="G2265" i="38"/>
  <c r="G2266" i="38"/>
  <c r="G2267" i="38"/>
  <c r="G2268" i="38"/>
  <c r="G2269" i="38"/>
  <c r="J2263" i="38"/>
  <c r="K2263" i="38"/>
  <c r="G2263" i="38"/>
  <c r="J2425" i="38"/>
  <c r="K2425" i="38"/>
  <c r="J2500" i="38"/>
  <c r="K2500" i="38"/>
  <c r="J2501" i="38"/>
  <c r="K2501" i="38"/>
  <c r="A2501" i="38"/>
  <c r="G2501" i="38"/>
  <c r="J999" i="38" l="1"/>
  <c r="A2425" i="38"/>
  <c r="G2425" i="38"/>
  <c r="G2500" i="38"/>
  <c r="J2256" i="38"/>
  <c r="K2256" i="38"/>
  <c r="J2257" i="38"/>
  <c r="K2257" i="38"/>
  <c r="J2258" i="38"/>
  <c r="K2258" i="38"/>
  <c r="J2259" i="38"/>
  <c r="K2259" i="38"/>
  <c r="J2260" i="38"/>
  <c r="K2260" i="38"/>
  <c r="J2261" i="38"/>
  <c r="K2261" i="38"/>
  <c r="J2262" i="38"/>
  <c r="K2262" i="38"/>
  <c r="G2256" i="38"/>
  <c r="G2257" i="38"/>
  <c r="G2258" i="38"/>
  <c r="G2259" i="38"/>
  <c r="G2260" i="38"/>
  <c r="G2261" i="38"/>
  <c r="G2262" i="38"/>
  <c r="J215" i="38" l="1"/>
  <c r="K215" i="38"/>
  <c r="J216" i="38"/>
  <c r="K216" i="38"/>
  <c r="J217" i="38"/>
  <c r="K217" i="38"/>
  <c r="J218" i="38"/>
  <c r="K218" i="38"/>
  <c r="J219" i="38"/>
  <c r="K219" i="38"/>
  <c r="J220" i="38"/>
  <c r="K220" i="38"/>
  <c r="J221" i="38"/>
  <c r="K221" i="38"/>
  <c r="J222" i="38"/>
  <c r="K222" i="38"/>
  <c r="J223" i="38"/>
  <c r="K223" i="38"/>
  <c r="J224" i="38"/>
  <c r="K224" i="38"/>
  <c r="J225" i="38"/>
  <c r="K225" i="38"/>
  <c r="J226" i="38"/>
  <c r="K226" i="38"/>
  <c r="J227" i="38"/>
  <c r="K227" i="38"/>
  <c r="J228" i="38"/>
  <c r="K228" i="38"/>
  <c r="J229" i="38"/>
  <c r="K229" i="38"/>
  <c r="A215" i="38"/>
  <c r="A216" i="38"/>
  <c r="A217" i="38"/>
  <c r="A218" i="38"/>
  <c r="A219" i="38"/>
  <c r="A220" i="38"/>
  <c r="A221" i="38"/>
  <c r="A222" i="38"/>
  <c r="A223" i="38"/>
  <c r="A224" i="38"/>
  <c r="A225" i="38"/>
  <c r="A226" i="38"/>
  <c r="A227" i="38"/>
  <c r="A228" i="38"/>
  <c r="A229" i="38"/>
  <c r="G215" i="38"/>
  <c r="G216" i="38"/>
  <c r="G217" i="38"/>
  <c r="G218" i="38"/>
  <c r="G219" i="38"/>
  <c r="G220" i="38"/>
  <c r="G221" i="38"/>
  <c r="G222" i="38"/>
  <c r="G223" i="38"/>
  <c r="G224" i="38"/>
  <c r="G225" i="38"/>
  <c r="G226" i="38"/>
  <c r="G227" i="38"/>
  <c r="G228" i="38"/>
  <c r="G229" i="38"/>
  <c r="J973" i="38"/>
  <c r="J974" i="38"/>
  <c r="J975" i="38"/>
  <c r="J976" i="38"/>
  <c r="J977" i="38"/>
  <c r="J978" i="38"/>
  <c r="J979" i="38"/>
  <c r="J980" i="38"/>
  <c r="J981" i="38"/>
  <c r="J982" i="38"/>
  <c r="J983" i="38"/>
  <c r="G973" i="38"/>
  <c r="G974" i="38"/>
  <c r="G975" i="38"/>
  <c r="G976" i="38"/>
  <c r="G977" i="38"/>
  <c r="G978" i="38"/>
  <c r="G979" i="38"/>
  <c r="G980" i="38"/>
  <c r="G981" i="38"/>
  <c r="G982" i="38"/>
  <c r="G983" i="38"/>
  <c r="J568" i="38"/>
  <c r="K568" i="38"/>
  <c r="H568" i="38"/>
  <c r="G568" i="38"/>
  <c r="J972" i="38"/>
  <c r="G972" i="38"/>
  <c r="A2244" i="38"/>
  <c r="G1113" i="38"/>
  <c r="J1113" i="38"/>
  <c r="K1113" i="38"/>
  <c r="G1121" i="38"/>
  <c r="J1121" i="38"/>
  <c r="K1121" i="38"/>
  <c r="A1121" i="38"/>
  <c r="J2237" i="38"/>
  <c r="K2237" i="38"/>
  <c r="J2238" i="38"/>
  <c r="K2238" i="38"/>
  <c r="J2239" i="38"/>
  <c r="K2239" i="38"/>
  <c r="J2240" i="38"/>
  <c r="K2240" i="38"/>
  <c r="J2241" i="38"/>
  <c r="K2241" i="38"/>
  <c r="J2242" i="38"/>
  <c r="K2242" i="38"/>
  <c r="J2243" i="38"/>
  <c r="K2243" i="38"/>
  <c r="J2244" i="38"/>
  <c r="K2244" i="38"/>
  <c r="J2245" i="38"/>
  <c r="K2245" i="38"/>
  <c r="J2246" i="38"/>
  <c r="K2246" i="38"/>
  <c r="J2247" i="38"/>
  <c r="K2247" i="38"/>
  <c r="J2248" i="38"/>
  <c r="K2248" i="38"/>
  <c r="J2249" i="38"/>
  <c r="K2249" i="38"/>
  <c r="J2250" i="38"/>
  <c r="K2250" i="38"/>
  <c r="J2251" i="38"/>
  <c r="K2251" i="38"/>
  <c r="J2252" i="38"/>
  <c r="K2252" i="38"/>
  <c r="J2253" i="38"/>
  <c r="K2253" i="38"/>
  <c r="J2254" i="38"/>
  <c r="K2254" i="38"/>
  <c r="J2255" i="38"/>
  <c r="K2255" i="38"/>
  <c r="G2246" i="38"/>
  <c r="G2247" i="38"/>
  <c r="G2248" i="38"/>
  <c r="G2249" i="38"/>
  <c r="G2250" i="38"/>
  <c r="G2251" i="38"/>
  <c r="G2252" i="38"/>
  <c r="G2253" i="38"/>
  <c r="G2254" i="38"/>
  <c r="G2255" i="38"/>
  <c r="G2237" i="38"/>
  <c r="G2238" i="38"/>
  <c r="G2239" i="38"/>
  <c r="G2240" i="38"/>
  <c r="G2241" i="38"/>
  <c r="G2242" i="38"/>
  <c r="G2243" i="38"/>
  <c r="G2244" i="38"/>
  <c r="G2245" i="38"/>
  <c r="J1109" i="38"/>
  <c r="K1109" i="38"/>
  <c r="J1110" i="38"/>
  <c r="K1110" i="38"/>
  <c r="J1111" i="38"/>
  <c r="K1111" i="38"/>
  <c r="J1112" i="38"/>
  <c r="K1112" i="38"/>
  <c r="G1109" i="38"/>
  <c r="G1110" i="38"/>
  <c r="G1111" i="38"/>
  <c r="G1112" i="38"/>
  <c r="J2235" i="38"/>
  <c r="K2235" i="38"/>
  <c r="J2236" i="38"/>
  <c r="K2236" i="38"/>
  <c r="G2235" i="38"/>
  <c r="G2236" i="38"/>
  <c r="G104" i="45"/>
  <c r="G105" i="45"/>
  <c r="F102" i="45"/>
  <c r="G102" i="45" s="1"/>
  <c r="N18" i="45"/>
  <c r="N28" i="45"/>
  <c r="D26" i="45"/>
  <c r="J2420" i="38"/>
  <c r="K2420" i="38"/>
  <c r="J2230" i="38"/>
  <c r="K2230" i="38"/>
  <c r="J2231" i="38"/>
  <c r="K2231" i="38"/>
  <c r="J2232" i="38"/>
  <c r="K2232" i="38"/>
  <c r="J2233" i="38"/>
  <c r="K2233" i="38"/>
  <c r="J2234" i="38"/>
  <c r="K2234" i="38"/>
  <c r="G2420" i="38"/>
  <c r="G2230" i="38"/>
  <c r="G2231" i="38"/>
  <c r="G2232" i="38"/>
  <c r="G2233" i="38"/>
  <c r="G2234" i="38"/>
  <c r="J214" i="38"/>
  <c r="K214" i="38"/>
  <c r="A214" i="38"/>
  <c r="G214" i="38"/>
  <c r="J553" i="38"/>
  <c r="K553" i="38"/>
  <c r="J554" i="38"/>
  <c r="K554" i="38"/>
  <c r="J555" i="38"/>
  <c r="K555" i="38"/>
  <c r="J556" i="38"/>
  <c r="K556" i="38"/>
  <c r="J557" i="38"/>
  <c r="K557" i="38"/>
  <c r="J558" i="38"/>
  <c r="K558" i="38"/>
  <c r="J2414" i="38"/>
  <c r="K2414" i="38"/>
  <c r="J560" i="38"/>
  <c r="K560" i="38"/>
  <c r="J561" i="38"/>
  <c r="K561" i="38"/>
  <c r="J562" i="38"/>
  <c r="K562" i="38"/>
  <c r="J563" i="38"/>
  <c r="K563" i="38"/>
  <c r="J564" i="38"/>
  <c r="K564" i="38"/>
  <c r="J565" i="38"/>
  <c r="K565" i="38"/>
  <c r="J566" i="38"/>
  <c r="K566" i="38"/>
  <c r="J567" i="38"/>
  <c r="K567" i="38"/>
  <c r="G554" i="38"/>
  <c r="G555" i="38"/>
  <c r="G556" i="38"/>
  <c r="G557" i="38"/>
  <c r="G558" i="38"/>
  <c r="G2414" i="38"/>
  <c r="G560" i="38"/>
  <c r="G561" i="38"/>
  <c r="G562" i="38"/>
  <c r="G563" i="38"/>
  <c r="G564" i="38"/>
  <c r="G565" i="38"/>
  <c r="G566" i="38"/>
  <c r="G567" i="38"/>
  <c r="G553" i="38"/>
  <c r="J970" i="38"/>
  <c r="J971" i="38"/>
  <c r="G970" i="38"/>
  <c r="G971" i="38"/>
  <c r="J2221" i="38"/>
  <c r="K2221" i="38"/>
  <c r="J2222" i="38"/>
  <c r="K2222" i="38"/>
  <c r="J2223" i="38"/>
  <c r="K2223" i="38"/>
  <c r="J2224" i="38"/>
  <c r="K2224" i="38"/>
  <c r="J2225" i="38"/>
  <c r="K2225" i="38"/>
  <c r="J2226" i="38"/>
  <c r="K2226" i="38"/>
  <c r="J2227" i="38"/>
  <c r="K2227" i="38"/>
  <c r="J2228" i="38"/>
  <c r="K2228" i="38"/>
  <c r="G2221" i="38"/>
  <c r="G2222" i="38"/>
  <c r="G2223" i="38"/>
  <c r="G2224" i="38"/>
  <c r="G2225" i="38"/>
  <c r="G2226" i="38"/>
  <c r="G2227" i="38"/>
  <c r="G2228" i="38"/>
  <c r="J2208" i="38"/>
  <c r="K2208" i="38"/>
  <c r="J2209" i="38"/>
  <c r="K2209" i="38"/>
  <c r="J2210" i="38"/>
  <c r="K2210" i="38"/>
  <c r="J2211" i="38"/>
  <c r="K2211" i="38"/>
  <c r="J2212" i="38"/>
  <c r="K2212" i="38"/>
  <c r="J2213" i="38"/>
  <c r="K2213" i="38"/>
  <c r="J2214" i="38"/>
  <c r="K2214" i="38"/>
  <c r="J2215" i="38"/>
  <c r="K2215" i="38"/>
  <c r="J2216" i="38"/>
  <c r="K2216" i="38"/>
  <c r="J2217" i="38"/>
  <c r="K2217" i="38"/>
  <c r="J2218" i="38"/>
  <c r="K2218" i="38"/>
  <c r="J2219" i="38"/>
  <c r="K2219" i="38"/>
  <c r="J2220" i="38"/>
  <c r="K2220" i="38"/>
  <c r="G2208" i="38"/>
  <c r="G2209" i="38"/>
  <c r="G2210" i="38"/>
  <c r="G2211" i="38"/>
  <c r="G2212" i="38"/>
  <c r="G2213" i="38"/>
  <c r="G2214" i="38"/>
  <c r="G2215" i="38"/>
  <c r="G2216" i="38"/>
  <c r="G2217" i="38"/>
  <c r="G2218" i="38"/>
  <c r="G2219" i="38"/>
  <c r="G2220" i="38"/>
  <c r="G969" i="38"/>
  <c r="J209" i="38"/>
  <c r="K209" i="38"/>
  <c r="J210" i="38"/>
  <c r="K210" i="38"/>
  <c r="A209" i="38"/>
  <c r="A210" i="38"/>
  <c r="A211" i="38"/>
  <c r="G209" i="38"/>
  <c r="G210" i="38"/>
  <c r="J211" i="38"/>
  <c r="K211" i="38"/>
  <c r="J212" i="38"/>
  <c r="K212" i="38"/>
  <c r="J213" i="38"/>
  <c r="K213" i="38"/>
  <c r="A212" i="38"/>
  <c r="A213" i="38"/>
  <c r="G211" i="38"/>
  <c r="G212" i="38"/>
  <c r="G213" i="38"/>
  <c r="J966" i="38"/>
  <c r="J967" i="38"/>
  <c r="J2410" i="38"/>
  <c r="J969" i="38"/>
  <c r="G966" i="38"/>
  <c r="G967" i="38"/>
  <c r="G2410" i="38"/>
  <c r="J2203" i="38"/>
  <c r="K2203" i="38"/>
  <c r="J2204" i="38"/>
  <c r="K2204" i="38"/>
  <c r="J2205" i="38"/>
  <c r="K2205" i="38"/>
  <c r="J2206" i="38"/>
  <c r="K2206" i="38"/>
  <c r="J2207" i="38"/>
  <c r="K2207" i="38"/>
  <c r="G2203" i="38"/>
  <c r="G2204" i="38"/>
  <c r="G2205" i="38"/>
  <c r="G2206" i="38"/>
  <c r="G2207" i="38"/>
  <c r="J208" i="38"/>
  <c r="K208" i="38"/>
  <c r="A208" i="38"/>
  <c r="G208" i="38"/>
  <c r="J2196" i="38"/>
  <c r="K2196" i="38"/>
  <c r="J2197" i="38"/>
  <c r="K2197" i="38"/>
  <c r="J2407" i="38"/>
  <c r="K2407" i="38"/>
  <c r="J2199" i="38"/>
  <c r="K2199" i="38"/>
  <c r="J2200" i="38"/>
  <c r="K2200" i="38"/>
  <c r="J2201" i="38"/>
  <c r="K2201" i="38"/>
  <c r="J2202" i="38"/>
  <c r="K2202" i="38"/>
  <c r="G2196" i="38"/>
  <c r="G2197" i="38"/>
  <c r="G2407" i="38"/>
  <c r="G2199" i="38"/>
  <c r="G2200" i="38"/>
  <c r="G2201" i="38"/>
  <c r="G2202" i="38"/>
  <c r="J2188" i="38"/>
  <c r="K2188" i="38"/>
  <c r="J2229" i="38"/>
  <c r="K2229" i="38"/>
  <c r="J2190" i="38"/>
  <c r="K2190" i="38"/>
  <c r="J2288" i="38"/>
  <c r="K2288" i="38"/>
  <c r="J2192" i="38"/>
  <c r="K2192" i="38"/>
  <c r="J2193" i="38"/>
  <c r="K2193" i="38"/>
  <c r="J2194" i="38"/>
  <c r="K2194" i="38"/>
  <c r="J2195" i="38"/>
  <c r="K2195" i="38"/>
  <c r="G2188" i="38"/>
  <c r="G2229" i="38"/>
  <c r="G2190" i="38"/>
  <c r="G2288" i="38"/>
  <c r="G2192" i="38"/>
  <c r="G2193" i="38"/>
  <c r="G2194" i="38"/>
  <c r="G2195" i="38"/>
  <c r="J206" i="38"/>
  <c r="K206" i="38"/>
  <c r="J207" i="38"/>
  <c r="K207" i="38"/>
  <c r="A206" i="38"/>
  <c r="A207" i="38"/>
  <c r="G206" i="38"/>
  <c r="G207" i="38"/>
  <c r="J2186" i="38"/>
  <c r="K2186" i="38"/>
  <c r="J2187" i="38"/>
  <c r="K2187" i="38"/>
  <c r="G2186" i="38"/>
  <c r="G2187" i="38"/>
  <c r="A205" i="38"/>
  <c r="A204" i="38"/>
  <c r="A203" i="38"/>
  <c r="A202" i="38"/>
  <c r="A201" i="38"/>
  <c r="J203" i="38"/>
  <c r="K203" i="38"/>
  <c r="J204" i="38"/>
  <c r="K204" i="38"/>
  <c r="J205" i="38"/>
  <c r="K205" i="38"/>
  <c r="G203" i="38"/>
  <c r="G204" i="38"/>
  <c r="G205" i="38"/>
  <c r="J2183" i="38"/>
  <c r="K2183" i="38"/>
  <c r="J2184" i="38"/>
  <c r="K2184" i="38"/>
  <c r="J2185" i="38"/>
  <c r="K2185" i="38"/>
  <c r="G2183" i="38"/>
  <c r="G2184" i="38"/>
  <c r="G2185" i="38"/>
  <c r="J963" i="38"/>
  <c r="J964" i="38"/>
  <c r="J965" i="38"/>
  <c r="G963" i="38"/>
  <c r="G964" i="38"/>
  <c r="G965" i="38"/>
  <c r="J552" i="38"/>
  <c r="K552" i="38"/>
  <c r="J202" i="38"/>
  <c r="K202" i="38"/>
  <c r="G202" i="38"/>
  <c r="N16" i="45" l="1"/>
  <c r="G552" i="38"/>
  <c r="J960" i="38"/>
  <c r="J961" i="38"/>
  <c r="J962" i="38"/>
  <c r="G960" i="38"/>
  <c r="G961" i="38"/>
  <c r="G962" i="38"/>
  <c r="J2173" i="38"/>
  <c r="K2173" i="38"/>
  <c r="J2174" i="38"/>
  <c r="K2174" i="38"/>
  <c r="J2175" i="38"/>
  <c r="K2175" i="38"/>
  <c r="J2176" i="38"/>
  <c r="K2176" i="38"/>
  <c r="J2177" i="38"/>
  <c r="K2177" i="38"/>
  <c r="J2178" i="38"/>
  <c r="K2178" i="38"/>
  <c r="J2179" i="38"/>
  <c r="K2179" i="38"/>
  <c r="J2180" i="38"/>
  <c r="K2180" i="38"/>
  <c r="J2181" i="38"/>
  <c r="K2181" i="38"/>
  <c r="J2182" i="38"/>
  <c r="K2182" i="38"/>
  <c r="G2173" i="38"/>
  <c r="G2174" i="38"/>
  <c r="G2175" i="38"/>
  <c r="G2176" i="38"/>
  <c r="G2177" i="38"/>
  <c r="G2178" i="38"/>
  <c r="G2179" i="38"/>
  <c r="G2180" i="38"/>
  <c r="G2181" i="38"/>
  <c r="G2182" i="38"/>
  <c r="J548" i="38"/>
  <c r="K548" i="38"/>
  <c r="J549" i="38"/>
  <c r="K549" i="38"/>
  <c r="J550" i="38"/>
  <c r="K550" i="38"/>
  <c r="J551" i="38"/>
  <c r="K551" i="38"/>
  <c r="A539" i="38"/>
  <c r="G548" i="38"/>
  <c r="G549" i="38"/>
  <c r="G550" i="38"/>
  <c r="G551" i="38"/>
  <c r="J2171" i="38"/>
  <c r="K2171" i="38"/>
  <c r="J2172" i="38"/>
  <c r="K2172" i="38"/>
  <c r="G2171" i="38"/>
  <c r="G2172" i="38"/>
  <c r="A2110" i="38"/>
  <c r="G949" i="38"/>
  <c r="J949" i="38"/>
  <c r="G950" i="38"/>
  <c r="J950" i="38"/>
  <c r="G951" i="38"/>
  <c r="J951" i="38"/>
  <c r="G2189" i="38"/>
  <c r="J2189" i="38"/>
  <c r="J957" i="38"/>
  <c r="J958" i="38"/>
  <c r="J959" i="38"/>
  <c r="G957" i="38"/>
  <c r="G958" i="38"/>
  <c r="G959" i="38"/>
  <c r="J2168" i="38"/>
  <c r="K2168" i="38"/>
  <c r="J2169" i="38"/>
  <c r="K2169" i="38"/>
  <c r="J2170" i="38"/>
  <c r="K2170" i="38"/>
  <c r="G2168" i="38"/>
  <c r="G2169" i="38"/>
  <c r="G2170" i="38"/>
  <c r="J2165" i="38"/>
  <c r="K2165" i="38"/>
  <c r="J547" i="38"/>
  <c r="K547" i="38"/>
  <c r="G2165" i="38"/>
  <c r="G547" i="38"/>
  <c r="J201" i="38"/>
  <c r="K201" i="38"/>
  <c r="G201" i="38"/>
  <c r="J953" i="38"/>
  <c r="J954" i="38"/>
  <c r="J955" i="38"/>
  <c r="J956" i="38"/>
  <c r="G953" i="38"/>
  <c r="G954" i="38"/>
  <c r="G955" i="38"/>
  <c r="G956" i="38"/>
  <c r="J2157" i="38"/>
  <c r="K2157" i="38"/>
  <c r="J2158" i="38"/>
  <c r="K2158" i="38"/>
  <c r="J2191" i="38"/>
  <c r="K2191" i="38"/>
  <c r="J2160" i="38"/>
  <c r="K2160" i="38"/>
  <c r="J2161" i="38"/>
  <c r="K2161" i="38"/>
  <c r="J2162" i="38"/>
  <c r="K2162" i="38"/>
  <c r="J2163" i="38"/>
  <c r="K2163" i="38"/>
  <c r="J2164" i="38"/>
  <c r="K2164" i="38"/>
  <c r="J2198" i="38"/>
  <c r="K2198" i="38"/>
  <c r="J2166" i="38"/>
  <c r="K2166" i="38"/>
  <c r="J2167" i="38"/>
  <c r="K2167" i="38"/>
  <c r="G2157" i="38"/>
  <c r="G2158" i="38"/>
  <c r="G2191" i="38"/>
  <c r="G2160" i="38"/>
  <c r="G2161" i="38"/>
  <c r="G2162" i="38"/>
  <c r="G2163" i="38"/>
  <c r="G2164" i="38"/>
  <c r="G2198" i="38"/>
  <c r="G2166" i="38"/>
  <c r="G2167" i="38"/>
  <c r="J2488" i="38"/>
  <c r="K2488" i="38"/>
  <c r="J2489" i="38"/>
  <c r="K2489" i="38"/>
  <c r="J2490" i="38"/>
  <c r="K2490" i="38"/>
  <c r="J2491" i="38"/>
  <c r="K2491" i="38"/>
  <c r="J2492" i="38"/>
  <c r="K2492" i="38"/>
  <c r="J2493" i="38"/>
  <c r="K2493" i="38"/>
  <c r="J2494" i="38"/>
  <c r="K2494" i="38"/>
  <c r="J2495" i="38"/>
  <c r="K2495" i="38"/>
  <c r="J2496" i="38"/>
  <c r="K2496" i="38"/>
  <c r="J2497" i="38"/>
  <c r="K2497" i="38"/>
  <c r="J2498" i="38"/>
  <c r="K2498" i="38"/>
  <c r="G2493" i="38"/>
  <c r="J2487" i="38"/>
  <c r="K2487" i="38"/>
  <c r="G2487" i="38"/>
  <c r="G2488" i="38"/>
  <c r="G2489" i="38"/>
  <c r="G2490" i="38"/>
  <c r="G2491" i="38"/>
  <c r="G2492" i="38"/>
  <c r="G2494" i="38"/>
  <c r="G2495" i="38"/>
  <c r="G2496" i="38"/>
  <c r="G2497" i="38"/>
  <c r="G2498" i="38"/>
  <c r="J948" i="38"/>
  <c r="G948" i="38"/>
  <c r="J2154" i="38"/>
  <c r="K2154" i="38"/>
  <c r="J2155" i="38"/>
  <c r="K2155" i="38"/>
  <c r="J2156" i="38"/>
  <c r="K2156" i="38"/>
  <c r="G2154" i="38"/>
  <c r="G2155" i="38"/>
  <c r="G2156" i="38"/>
  <c r="J545" i="38"/>
  <c r="K545" i="38"/>
  <c r="G545" i="38"/>
  <c r="J945" i="38"/>
  <c r="J946" i="38"/>
  <c r="J947" i="38"/>
  <c r="G945" i="38"/>
  <c r="G946" i="38"/>
  <c r="G947" i="38"/>
  <c r="J2142" i="38"/>
  <c r="K2142" i="38"/>
  <c r="J2143" i="38"/>
  <c r="K2143" i="38"/>
  <c r="J2144" i="38"/>
  <c r="K2144" i="38"/>
  <c r="J2145" i="38"/>
  <c r="K2145" i="38"/>
  <c r="J2146" i="38"/>
  <c r="K2146" i="38"/>
  <c r="J2159" i="38"/>
  <c r="K2159" i="38"/>
  <c r="J2148" i="38"/>
  <c r="K2148" i="38"/>
  <c r="J2149" i="38"/>
  <c r="K2149" i="38"/>
  <c r="J2150" i="38"/>
  <c r="K2150" i="38"/>
  <c r="J2151" i="38"/>
  <c r="K2151" i="38"/>
  <c r="J2152" i="38"/>
  <c r="K2152" i="38"/>
  <c r="J2153" i="38"/>
  <c r="K2153" i="38"/>
  <c r="G2142" i="38"/>
  <c r="G2143" i="38"/>
  <c r="G2144" i="38"/>
  <c r="G2145" i="38"/>
  <c r="G2146" i="38"/>
  <c r="G2159" i="38"/>
  <c r="G2148" i="38"/>
  <c r="G2149" i="38"/>
  <c r="G2150" i="38"/>
  <c r="G2151" i="38"/>
  <c r="G2152" i="38"/>
  <c r="G2153" i="38"/>
  <c r="J2137" i="38"/>
  <c r="K2137" i="38"/>
  <c r="J2138" i="38"/>
  <c r="K2138" i="38"/>
  <c r="J2139" i="38"/>
  <c r="K2139" i="38"/>
  <c r="J2140" i="38"/>
  <c r="K2140" i="38"/>
  <c r="J2141" i="38"/>
  <c r="K2141" i="38"/>
  <c r="G2137" i="38"/>
  <c r="G2138" i="38"/>
  <c r="G2139" i="38"/>
  <c r="G2140" i="38"/>
  <c r="G2141" i="38"/>
  <c r="J2132" i="38"/>
  <c r="K2132" i="38"/>
  <c r="J2133" i="38"/>
  <c r="K2133" i="38"/>
  <c r="J2134" i="38"/>
  <c r="K2134" i="38"/>
  <c r="J2135" i="38"/>
  <c r="K2135" i="38"/>
  <c r="J2136" i="38"/>
  <c r="K2136" i="38"/>
  <c r="G2132" i="38"/>
  <c r="G2133" i="38"/>
  <c r="G2134" i="38"/>
  <c r="G2135" i="38"/>
  <c r="G2136" i="38"/>
  <c r="J2130" i="38"/>
  <c r="K2130" i="38"/>
  <c r="J2131" i="38"/>
  <c r="K2131" i="38"/>
  <c r="G2130" i="38"/>
  <c r="G2131" i="38"/>
  <c r="J2147" i="38"/>
  <c r="K2147" i="38"/>
  <c r="J2128" i="38"/>
  <c r="K2128" i="38"/>
  <c r="J2129" i="38"/>
  <c r="K2129" i="38"/>
  <c r="G2147" i="38"/>
  <c r="G2128" i="38"/>
  <c r="G2129" i="38"/>
  <c r="N54" i="45"/>
  <c r="N55" i="45"/>
  <c r="N56" i="45"/>
  <c r="P19" i="45"/>
  <c r="P25" i="45"/>
  <c r="P37" i="45"/>
  <c r="D67" i="45" s="1"/>
  <c r="S37" i="45"/>
  <c r="P36" i="45"/>
  <c r="J539" i="38"/>
  <c r="K539" i="38"/>
  <c r="J540" i="38"/>
  <c r="K540" i="38"/>
  <c r="J541" i="38"/>
  <c r="K541" i="38"/>
  <c r="J542" i="38"/>
  <c r="K542" i="38"/>
  <c r="J543" i="38"/>
  <c r="K543" i="38"/>
  <c r="J544" i="38"/>
  <c r="K544" i="38"/>
  <c r="G539" i="38"/>
  <c r="G540" i="38"/>
  <c r="G541" i="38"/>
  <c r="G542" i="38"/>
  <c r="G543" i="38"/>
  <c r="G544" i="38"/>
  <c r="J193" i="38"/>
  <c r="K193" i="38"/>
  <c r="J194" i="38"/>
  <c r="K194" i="38"/>
  <c r="J195" i="38"/>
  <c r="K195" i="38"/>
  <c r="J196" i="38"/>
  <c r="K196" i="38"/>
  <c r="J197" i="38"/>
  <c r="K197" i="38"/>
  <c r="J198" i="38"/>
  <c r="K198" i="38"/>
  <c r="J199" i="38"/>
  <c r="K199" i="38"/>
  <c r="J200" i="38"/>
  <c r="K200" i="38"/>
  <c r="G193" i="38"/>
  <c r="G194" i="38"/>
  <c r="G195" i="38"/>
  <c r="G196" i="38"/>
  <c r="G197" i="38"/>
  <c r="G198" i="38"/>
  <c r="G199" i="38"/>
  <c r="G200" i="38"/>
  <c r="J930" i="38"/>
  <c r="J931" i="38"/>
  <c r="J932" i="38"/>
  <c r="J933" i="38"/>
  <c r="J934" i="38"/>
  <c r="J935" i="38"/>
  <c r="J936" i="38"/>
  <c r="J937" i="38"/>
  <c r="J938" i="38"/>
  <c r="J939" i="38"/>
  <c r="J940" i="38"/>
  <c r="J941" i="38"/>
  <c r="J942" i="38"/>
  <c r="J943" i="38"/>
  <c r="J944" i="38"/>
  <c r="G930" i="38"/>
  <c r="G931" i="38"/>
  <c r="G932" i="38"/>
  <c r="G933" i="38"/>
  <c r="G934" i="38"/>
  <c r="G935" i="38"/>
  <c r="G936" i="38"/>
  <c r="G937" i="38"/>
  <c r="G938" i="38"/>
  <c r="G939" i="38"/>
  <c r="G940" i="38"/>
  <c r="G941" i="38"/>
  <c r="G942" i="38"/>
  <c r="G943" i="38"/>
  <c r="G944" i="38"/>
  <c r="J2127" i="38"/>
  <c r="K2127" i="38"/>
  <c r="J2118" i="38"/>
  <c r="K2118" i="38"/>
  <c r="J2119" i="38"/>
  <c r="K2119" i="38"/>
  <c r="J2120" i="38"/>
  <c r="K2120" i="38"/>
  <c r="J2121" i="38"/>
  <c r="K2121" i="38"/>
  <c r="J2122" i="38"/>
  <c r="K2122" i="38"/>
  <c r="J2123" i="38"/>
  <c r="K2123" i="38"/>
  <c r="J2124" i="38"/>
  <c r="K2124" i="38"/>
  <c r="J2125" i="38"/>
  <c r="K2125" i="38"/>
  <c r="J2126" i="38"/>
  <c r="K2126" i="38"/>
  <c r="G2127" i="38"/>
  <c r="G2118" i="38"/>
  <c r="G2119" i="38"/>
  <c r="G2120" i="38"/>
  <c r="G2121" i="38"/>
  <c r="G2122" i="38"/>
  <c r="G2123" i="38"/>
  <c r="G2124" i="38"/>
  <c r="G2125" i="38"/>
  <c r="G2126" i="38"/>
  <c r="J2109" i="38"/>
  <c r="K2109" i="38"/>
  <c r="J2110" i="38"/>
  <c r="K2110" i="38"/>
  <c r="J2111" i="38"/>
  <c r="K2111" i="38"/>
  <c r="J2112" i="38"/>
  <c r="K2112" i="38"/>
  <c r="J2113" i="38"/>
  <c r="K2113" i="38"/>
  <c r="J2114" i="38"/>
  <c r="K2114" i="38"/>
  <c r="J2115" i="38"/>
  <c r="K2115" i="38"/>
  <c r="J2116" i="38"/>
  <c r="K2116" i="38"/>
  <c r="G2109" i="38"/>
  <c r="G2110" i="38"/>
  <c r="G2111" i="38"/>
  <c r="G2112" i="38"/>
  <c r="G2113" i="38"/>
  <c r="G2114" i="38"/>
  <c r="G2115" i="38"/>
  <c r="G2116" i="38"/>
  <c r="J1105" i="38"/>
  <c r="K1105" i="38"/>
  <c r="J1106" i="38"/>
  <c r="K1106" i="38"/>
  <c r="J1107" i="38"/>
  <c r="K1107" i="38"/>
  <c r="J1108" i="38"/>
  <c r="K1108" i="38"/>
  <c r="G1105" i="38"/>
  <c r="G1106" i="38"/>
  <c r="G1107" i="38"/>
  <c r="G1108" i="38"/>
  <c r="A1105" i="38"/>
  <c r="J2117" i="38"/>
  <c r="K2117" i="38"/>
  <c r="J2100" i="38"/>
  <c r="K2100" i="38"/>
  <c r="J2101" i="38"/>
  <c r="K2101" i="38"/>
  <c r="J2102" i="38"/>
  <c r="K2102" i="38"/>
  <c r="J2103" i="38"/>
  <c r="K2103" i="38"/>
  <c r="J2104" i="38"/>
  <c r="K2104" i="38"/>
  <c r="J2105" i="38"/>
  <c r="K2105" i="38"/>
  <c r="J2106" i="38"/>
  <c r="K2106" i="38"/>
  <c r="J2107" i="38"/>
  <c r="K2107" i="38"/>
  <c r="J2108" i="38"/>
  <c r="K2108" i="38"/>
  <c r="G2117" i="38"/>
  <c r="G2100" i="38"/>
  <c r="G2101" i="38"/>
  <c r="G2102" i="38"/>
  <c r="G2103" i="38"/>
  <c r="G2104" i="38"/>
  <c r="G2105" i="38"/>
  <c r="G2106" i="38"/>
  <c r="G2107" i="38"/>
  <c r="G2108" i="38"/>
  <c r="N57" i="45" l="1"/>
  <c r="C67" i="45"/>
  <c r="N51" i="45"/>
  <c r="G67" i="45"/>
  <c r="N66" i="45"/>
  <c r="N67" i="45"/>
  <c r="J67" i="45"/>
  <c r="F67" i="45"/>
  <c r="I67" i="45"/>
  <c r="E67" i="45"/>
  <c r="H67" i="45"/>
  <c r="J535" i="38"/>
  <c r="K535" i="38"/>
  <c r="J536" i="38"/>
  <c r="K536" i="38"/>
  <c r="J537" i="38"/>
  <c r="K537" i="38"/>
  <c r="J538" i="38"/>
  <c r="K538" i="38"/>
  <c r="G535" i="38"/>
  <c r="G536" i="38"/>
  <c r="G537" i="38"/>
  <c r="G538" i="38"/>
  <c r="J2099" i="38"/>
  <c r="J928" i="38"/>
  <c r="J929" i="38"/>
  <c r="G2099" i="38"/>
  <c r="G928" i="38"/>
  <c r="G929" i="38"/>
  <c r="J2098" i="38"/>
  <c r="K2098" i="38"/>
  <c r="G2098" i="38"/>
  <c r="J532" i="38"/>
  <c r="K532" i="38"/>
  <c r="J533" i="38"/>
  <c r="K533" i="38"/>
  <c r="J534" i="38"/>
  <c r="K534" i="38"/>
  <c r="G532" i="38"/>
  <c r="G533" i="38"/>
  <c r="G534" i="38"/>
  <c r="J187" i="38"/>
  <c r="K187" i="38"/>
  <c r="J188" i="38"/>
  <c r="K188" i="38"/>
  <c r="J189" i="38"/>
  <c r="K189" i="38"/>
  <c r="J190" i="38"/>
  <c r="K190" i="38"/>
  <c r="J191" i="38"/>
  <c r="K191" i="38"/>
  <c r="J192" i="38"/>
  <c r="K192" i="38"/>
  <c r="G187" i="38"/>
  <c r="G188" i="38"/>
  <c r="G189" i="38"/>
  <c r="G190" i="38"/>
  <c r="G191" i="38"/>
  <c r="G192" i="38"/>
  <c r="J924" i="38"/>
  <c r="J925" i="38"/>
  <c r="J926" i="38"/>
  <c r="G924" i="38"/>
  <c r="G925" i="38"/>
  <c r="G926" i="38"/>
  <c r="J923" i="38"/>
  <c r="G923" i="38"/>
  <c r="J185" i="38"/>
  <c r="K185" i="38"/>
  <c r="J186" i="38"/>
  <c r="K186" i="38"/>
  <c r="G185" i="38"/>
  <c r="G186" i="38"/>
  <c r="J2093" i="38"/>
  <c r="K2093" i="38"/>
  <c r="J2094" i="38"/>
  <c r="K2094" i="38"/>
  <c r="J2095" i="38"/>
  <c r="K2095" i="38"/>
  <c r="J2096" i="38"/>
  <c r="K2096" i="38"/>
  <c r="J2097" i="38"/>
  <c r="K2097" i="38"/>
  <c r="G2091" i="38"/>
  <c r="G2092" i="38"/>
  <c r="G2093" i="38"/>
  <c r="G2094" i="38"/>
  <c r="G2095" i="38"/>
  <c r="G2096" i="38"/>
  <c r="G2097" i="38"/>
  <c r="J921" i="38"/>
  <c r="J922" i="38"/>
  <c r="G921" i="38"/>
  <c r="G922" i="38"/>
  <c r="J2086" i="38"/>
  <c r="K2086" i="38"/>
  <c r="J2087" i="38"/>
  <c r="K2087" i="38"/>
  <c r="J2088" i="38"/>
  <c r="K2088" i="38"/>
  <c r="J2089" i="38"/>
  <c r="K2089" i="38"/>
  <c r="J2090" i="38"/>
  <c r="K2090" i="38"/>
  <c r="J2091" i="38"/>
  <c r="K2091" i="38"/>
  <c r="J2092" i="38"/>
  <c r="K2092" i="38"/>
  <c r="G2086" i="38"/>
  <c r="G2087" i="38"/>
  <c r="G2088" i="38"/>
  <c r="G2089" i="38"/>
  <c r="G2090" i="38"/>
  <c r="J919" i="38"/>
  <c r="J920" i="38"/>
  <c r="G919" i="38"/>
  <c r="G920" i="38"/>
  <c r="J2084" i="38"/>
  <c r="K2084" i="38"/>
  <c r="J2085" i="38"/>
  <c r="K2085" i="38"/>
  <c r="G2084" i="38"/>
  <c r="G2085" i="38"/>
  <c r="J911" i="38"/>
  <c r="J912" i="38"/>
  <c r="J913" i="38"/>
  <c r="J914" i="38"/>
  <c r="J915" i="38"/>
  <c r="J916" i="38"/>
  <c r="J917" i="38"/>
  <c r="J918" i="38"/>
  <c r="G911" i="38"/>
  <c r="G912" i="38"/>
  <c r="G913" i="38"/>
  <c r="G914" i="38"/>
  <c r="G915" i="38"/>
  <c r="G916" i="38"/>
  <c r="G917" i="38"/>
  <c r="G918" i="38"/>
  <c r="J2078" i="38" l="1"/>
  <c r="K2078" i="38"/>
  <c r="G2078" i="38"/>
  <c r="J2077" i="38"/>
  <c r="K2077" i="38"/>
  <c r="J2079" i="38"/>
  <c r="K2079" i="38"/>
  <c r="J2080" i="38"/>
  <c r="K2080" i="38"/>
  <c r="J2081" i="38"/>
  <c r="K2081" i="38"/>
  <c r="J2082" i="38"/>
  <c r="K2082" i="38"/>
  <c r="J2083" i="38"/>
  <c r="K2083" i="38"/>
  <c r="G2077" i="38"/>
  <c r="G2079" i="38"/>
  <c r="G2080" i="38"/>
  <c r="G2081" i="38"/>
  <c r="G2082" i="38"/>
  <c r="G2083" i="38"/>
  <c r="J183" i="38"/>
  <c r="K183" i="38"/>
  <c r="J2069" i="38"/>
  <c r="K2069" i="38"/>
  <c r="G183" i="38"/>
  <c r="G2069" i="38"/>
  <c r="J2073" i="38"/>
  <c r="K2073" i="38"/>
  <c r="J2074" i="38"/>
  <c r="K2074" i="38"/>
  <c r="J2075" i="38"/>
  <c r="K2075" i="38"/>
  <c r="J2076" i="38"/>
  <c r="K2076" i="38"/>
  <c r="G2073" i="38"/>
  <c r="G2074" i="38"/>
  <c r="G2075" i="38"/>
  <c r="G2076" i="38"/>
  <c r="J2486" i="38"/>
  <c r="K2486" i="38"/>
  <c r="G2486" i="38"/>
  <c r="J182" i="38"/>
  <c r="K182" i="38"/>
  <c r="G182" i="38"/>
  <c r="J2068" i="38"/>
  <c r="K2068" i="38"/>
  <c r="J1966" i="38"/>
  <c r="K1966" i="38"/>
  <c r="J2070" i="38"/>
  <c r="K2070" i="38"/>
  <c r="J2071" i="38"/>
  <c r="K2071" i="38"/>
  <c r="J2072" i="38"/>
  <c r="K2072" i="38"/>
  <c r="G2068" i="38"/>
  <c r="G1966" i="38"/>
  <c r="G2070" i="38"/>
  <c r="G2071" i="38"/>
  <c r="G2072" i="38"/>
  <c r="J181" i="38"/>
  <c r="K181" i="38"/>
  <c r="G181" i="38"/>
  <c r="J907" i="38"/>
  <c r="J908" i="38"/>
  <c r="J909" i="38"/>
  <c r="J910" i="38"/>
  <c r="G907" i="38"/>
  <c r="G908" i="38"/>
  <c r="G909" i="38"/>
  <c r="G910" i="38"/>
  <c r="J2064" i="38"/>
  <c r="K2064" i="38"/>
  <c r="J2065" i="38"/>
  <c r="K2065" i="38"/>
  <c r="J2066" i="38"/>
  <c r="K2066" i="38"/>
  <c r="J2067" i="38"/>
  <c r="K2067" i="38"/>
  <c r="G2064" i="38"/>
  <c r="G2065" i="38"/>
  <c r="G2066" i="38"/>
  <c r="G2067" i="38"/>
  <c r="J905" i="38"/>
  <c r="J906" i="38"/>
  <c r="G905" i="38"/>
  <c r="G906" i="38"/>
  <c r="J2061" i="38"/>
  <c r="K2061" i="38"/>
  <c r="J2062" i="38"/>
  <c r="K2062" i="38"/>
  <c r="J2063" i="38"/>
  <c r="K2063" i="38"/>
  <c r="G2061" i="38"/>
  <c r="G2062" i="38"/>
  <c r="G2063" i="38"/>
  <c r="J2485" i="38"/>
  <c r="K2485" i="38"/>
  <c r="G2485" i="38"/>
  <c r="J2473" i="38"/>
  <c r="K2473" i="38"/>
  <c r="J2474" i="38"/>
  <c r="K2474" i="38"/>
  <c r="J2475" i="38"/>
  <c r="K2475" i="38"/>
  <c r="J2476" i="38"/>
  <c r="K2476" i="38"/>
  <c r="J2477" i="38"/>
  <c r="K2477" i="38"/>
  <c r="J1935" i="38"/>
  <c r="K1935" i="38"/>
  <c r="J2479" i="38"/>
  <c r="K2479" i="38"/>
  <c r="J2480" i="38"/>
  <c r="K2480" i="38"/>
  <c r="J2481" i="38"/>
  <c r="K2481" i="38"/>
  <c r="J2482" i="38"/>
  <c r="K2482" i="38"/>
  <c r="J2483" i="38"/>
  <c r="K2483" i="38"/>
  <c r="J2484" i="38"/>
  <c r="K2484" i="38"/>
  <c r="G2484" i="38"/>
  <c r="G2483" i="38"/>
  <c r="G2482" i="38"/>
  <c r="G1935" i="38"/>
  <c r="G2479" i="38"/>
  <c r="G2480" i="38"/>
  <c r="G2481" i="38"/>
  <c r="G2473" i="38"/>
  <c r="G2474" i="38"/>
  <c r="G2475" i="38"/>
  <c r="G2476" i="38"/>
  <c r="G2477" i="38"/>
  <c r="J2472" i="38"/>
  <c r="K2472" i="38"/>
  <c r="G2472" i="38"/>
  <c r="J528" i="38"/>
  <c r="K528" i="38"/>
  <c r="J529" i="38"/>
  <c r="K529" i="38"/>
  <c r="J530" i="38"/>
  <c r="K530" i="38"/>
  <c r="J531" i="38"/>
  <c r="K531" i="38"/>
  <c r="G528" i="38"/>
  <c r="G529" i="38"/>
  <c r="G530" i="38"/>
  <c r="G531" i="38"/>
  <c r="K882" i="38"/>
  <c r="K883" i="38"/>
  <c r="K884" i="38"/>
  <c r="K885" i="38"/>
  <c r="K886" i="38"/>
  <c r="K887" i="38"/>
  <c r="K888" i="38"/>
  <c r="K889" i="38"/>
  <c r="K890" i="38"/>
  <c r="K891" i="38"/>
  <c r="K892" i="38"/>
  <c r="K893" i="38"/>
  <c r="K894" i="38"/>
  <c r="K895" i="38"/>
  <c r="K896" i="38"/>
  <c r="J892" i="38"/>
  <c r="J893" i="38"/>
  <c r="J894" i="38"/>
  <c r="J895" i="38"/>
  <c r="J896" i="38"/>
  <c r="J897" i="38"/>
  <c r="J898" i="38"/>
  <c r="J899" i="38"/>
  <c r="J900" i="38"/>
  <c r="J901" i="38"/>
  <c r="J902" i="38"/>
  <c r="J903" i="38"/>
  <c r="J904" i="38"/>
  <c r="G900" i="38"/>
  <c r="G901" i="38"/>
  <c r="G902" i="38"/>
  <c r="G903" i="38"/>
  <c r="G904" i="38"/>
  <c r="J180" i="38"/>
  <c r="K180" i="38"/>
  <c r="G180" i="38"/>
  <c r="J521" i="38"/>
  <c r="K521" i="38"/>
  <c r="J522" i="38"/>
  <c r="K522" i="38"/>
  <c r="J523" i="38"/>
  <c r="K523" i="38"/>
  <c r="J524" i="38"/>
  <c r="K524" i="38"/>
  <c r="J525" i="38"/>
  <c r="K525" i="38"/>
  <c r="J526" i="38"/>
  <c r="K526" i="38"/>
  <c r="G521" i="38"/>
  <c r="G522" i="38"/>
  <c r="G523" i="38"/>
  <c r="G524" i="38"/>
  <c r="G525" i="38"/>
  <c r="G526" i="38"/>
  <c r="G893" i="38"/>
  <c r="G894" i="38"/>
  <c r="G895" i="38"/>
  <c r="G896" i="38"/>
  <c r="G897" i="38"/>
  <c r="G898" i="38"/>
  <c r="G899" i="38"/>
  <c r="J2056" i="38"/>
  <c r="K2056" i="38"/>
  <c r="J2057" i="38"/>
  <c r="K2057" i="38"/>
  <c r="J2058" i="38"/>
  <c r="K2058" i="38"/>
  <c r="J2059" i="38"/>
  <c r="K2059" i="38"/>
  <c r="J2060" i="38"/>
  <c r="K2060" i="38"/>
  <c r="G2054" i="38"/>
  <c r="G2055" i="38"/>
  <c r="G2056" i="38"/>
  <c r="G2057" i="38"/>
  <c r="G2058" i="38"/>
  <c r="G2059" i="38"/>
  <c r="G2060" i="38"/>
  <c r="J520" i="38"/>
  <c r="K520" i="38"/>
  <c r="J527" i="38"/>
  <c r="K527" i="38"/>
  <c r="G520" i="38"/>
  <c r="G527" i="38"/>
  <c r="J179" i="38"/>
  <c r="K179" i="38"/>
  <c r="G179" i="38"/>
  <c r="J2048" i="38"/>
  <c r="K2048" i="38"/>
  <c r="J2049" i="38"/>
  <c r="K2049" i="38"/>
  <c r="J2050" i="38"/>
  <c r="K2050" i="38"/>
  <c r="J2051" i="38"/>
  <c r="K2051" i="38"/>
  <c r="J2052" i="38"/>
  <c r="K2052" i="38"/>
  <c r="J2053" i="38"/>
  <c r="K2053" i="38"/>
  <c r="J2054" i="38"/>
  <c r="K2054" i="38"/>
  <c r="J2055" i="38"/>
  <c r="K2055" i="38"/>
  <c r="G2048" i="38"/>
  <c r="G2049" i="38"/>
  <c r="G2050" i="38"/>
  <c r="G2051" i="38"/>
  <c r="G2052" i="38"/>
  <c r="G2053" i="38"/>
  <c r="J891" i="38"/>
  <c r="G891" i="38"/>
  <c r="G892" i="38"/>
  <c r="J2042" i="38"/>
  <c r="K2042" i="38"/>
  <c r="J2043" i="38"/>
  <c r="K2043" i="38"/>
  <c r="J2044" i="38"/>
  <c r="K2044" i="38"/>
  <c r="J2045" i="38"/>
  <c r="K2045" i="38"/>
  <c r="J2046" i="38"/>
  <c r="K2046" i="38"/>
  <c r="J2047" i="38"/>
  <c r="K2047" i="38"/>
  <c r="G2042" i="38"/>
  <c r="G2043" i="38"/>
  <c r="G2044" i="38"/>
  <c r="G2045" i="38"/>
  <c r="G2046" i="38"/>
  <c r="G2047" i="38"/>
  <c r="J890" i="38"/>
  <c r="G890" i="38"/>
  <c r="J178" i="38"/>
  <c r="K178" i="38"/>
  <c r="G178" i="38"/>
  <c r="J2041" i="38"/>
  <c r="K2041" i="38"/>
  <c r="G2041" i="38"/>
  <c r="J177" i="38"/>
  <c r="K177" i="38"/>
  <c r="G177" i="38"/>
  <c r="J889" i="38"/>
  <c r="G889" i="38"/>
  <c r="J2035" i="38"/>
  <c r="K2035" i="38"/>
  <c r="J2036" i="38"/>
  <c r="K2036" i="38"/>
  <c r="J2037" i="38"/>
  <c r="K2037" i="38"/>
  <c r="J2038" i="38"/>
  <c r="K2038" i="38"/>
  <c r="J2039" i="38"/>
  <c r="K2039" i="38"/>
  <c r="J2040" i="38"/>
  <c r="K2040" i="38"/>
  <c r="G2035" i="38"/>
  <c r="G2036" i="38"/>
  <c r="G2037" i="38"/>
  <c r="G2038" i="38"/>
  <c r="G2039" i="38"/>
  <c r="G2040" i="38"/>
  <c r="J514" i="38"/>
  <c r="K514" i="38"/>
  <c r="J515" i="38"/>
  <c r="K515" i="38"/>
  <c r="J516" i="38"/>
  <c r="K516" i="38"/>
  <c r="J517" i="38"/>
  <c r="K517" i="38"/>
  <c r="J518" i="38"/>
  <c r="K518" i="38"/>
  <c r="J519" i="38"/>
  <c r="K519" i="38"/>
  <c r="G514" i="38"/>
  <c r="G515" i="38"/>
  <c r="G516" i="38"/>
  <c r="G517" i="38"/>
  <c r="G518" i="38"/>
  <c r="G519" i="38"/>
  <c r="J886" i="38"/>
  <c r="J887" i="38"/>
  <c r="J888" i="38"/>
  <c r="G886" i="38"/>
  <c r="G887" i="38"/>
  <c r="G888" i="38"/>
  <c r="J2033" i="38"/>
  <c r="K2033" i="38"/>
  <c r="J2034" i="38"/>
  <c r="K2034" i="38"/>
  <c r="G2033" i="38"/>
  <c r="G2034" i="38"/>
  <c r="J502" i="38"/>
  <c r="K502" i="38"/>
  <c r="J503" i="38"/>
  <c r="K503" i="38"/>
  <c r="J504" i="38"/>
  <c r="K504" i="38"/>
  <c r="J505" i="38"/>
  <c r="K505" i="38"/>
  <c r="J506" i="38"/>
  <c r="K506" i="38"/>
  <c r="J507" i="38"/>
  <c r="K507" i="38"/>
  <c r="J508" i="38"/>
  <c r="K508" i="38"/>
  <c r="J509" i="38"/>
  <c r="K509" i="38"/>
  <c r="J510" i="38"/>
  <c r="K510" i="38"/>
  <c r="J511" i="38"/>
  <c r="K511" i="38"/>
  <c r="J512" i="38"/>
  <c r="K512" i="38"/>
  <c r="J513" i="38"/>
  <c r="K513" i="38"/>
  <c r="G502" i="38"/>
  <c r="G503" i="38"/>
  <c r="G504" i="38"/>
  <c r="G505" i="38"/>
  <c r="G506" i="38"/>
  <c r="G507" i="38"/>
  <c r="G508" i="38"/>
  <c r="G509" i="38"/>
  <c r="G510" i="38"/>
  <c r="G511" i="38"/>
  <c r="G512" i="38"/>
  <c r="G513" i="38"/>
  <c r="J169" i="38"/>
  <c r="K169" i="38"/>
  <c r="J170" i="38"/>
  <c r="K170" i="38"/>
  <c r="J171" i="38"/>
  <c r="K171" i="38"/>
  <c r="J172" i="38"/>
  <c r="K172" i="38"/>
  <c r="J173" i="38"/>
  <c r="K173" i="38"/>
  <c r="J174" i="38"/>
  <c r="K174" i="38"/>
  <c r="J175" i="38"/>
  <c r="K175" i="38"/>
  <c r="J176" i="38"/>
  <c r="K176" i="38"/>
  <c r="G169" i="38"/>
  <c r="G170" i="38"/>
  <c r="G171" i="38"/>
  <c r="G172" i="38"/>
  <c r="G173" i="38"/>
  <c r="G174" i="38"/>
  <c r="G175" i="38"/>
  <c r="G176" i="38"/>
  <c r="J868" i="38"/>
  <c r="K868" i="38"/>
  <c r="J869" i="38"/>
  <c r="K869" i="38"/>
  <c r="J870" i="38"/>
  <c r="K870" i="38"/>
  <c r="J871" i="38"/>
  <c r="K871" i="38"/>
  <c r="J872" i="38"/>
  <c r="K872" i="38"/>
  <c r="J873" i="38"/>
  <c r="K873" i="38"/>
  <c r="J874" i="38"/>
  <c r="K874" i="38"/>
  <c r="J875" i="38"/>
  <c r="K875" i="38"/>
  <c r="J876" i="38"/>
  <c r="K876" i="38"/>
  <c r="J877" i="38"/>
  <c r="K877" i="38"/>
  <c r="J878" i="38"/>
  <c r="K878" i="38"/>
  <c r="J879" i="38"/>
  <c r="K879" i="38"/>
  <c r="J880" i="38"/>
  <c r="K880" i="38"/>
  <c r="J881" i="38"/>
  <c r="K881" i="38"/>
  <c r="J882" i="38"/>
  <c r="J883" i="38"/>
  <c r="J884" i="38"/>
  <c r="J885" i="38"/>
  <c r="G868" i="38"/>
  <c r="G869" i="38"/>
  <c r="G870" i="38"/>
  <c r="G871" i="38"/>
  <c r="G872" i="38"/>
  <c r="G873" i="38"/>
  <c r="G874" i="38"/>
  <c r="G875" i="38"/>
  <c r="G876" i="38"/>
  <c r="G877" i="38"/>
  <c r="G878" i="38"/>
  <c r="G879" i="38"/>
  <c r="G880" i="38"/>
  <c r="G881" i="38"/>
  <c r="G882" i="38"/>
  <c r="G883" i="38"/>
  <c r="G884" i="38"/>
  <c r="G885" i="38"/>
  <c r="J2027" i="38"/>
  <c r="K2027" i="38"/>
  <c r="J2028" i="38"/>
  <c r="K2028" i="38"/>
  <c r="J2029" i="38"/>
  <c r="K2029" i="38"/>
  <c r="J2030" i="38"/>
  <c r="K2030" i="38"/>
  <c r="J2031" i="38"/>
  <c r="K2031" i="38"/>
  <c r="J2032" i="38"/>
  <c r="K2032" i="38"/>
  <c r="G2027" i="38"/>
  <c r="G2028" i="38"/>
  <c r="G2029" i="38"/>
  <c r="G2030" i="38"/>
  <c r="G2031" i="38"/>
  <c r="G2032" i="38"/>
  <c r="J861" i="38" l="1"/>
  <c r="K861" i="38"/>
  <c r="G861" i="38"/>
  <c r="J498" i="38"/>
  <c r="K498" i="38"/>
  <c r="J499" i="38"/>
  <c r="K499" i="38"/>
  <c r="J500" i="38"/>
  <c r="K500" i="38"/>
  <c r="J501" i="38"/>
  <c r="K501" i="38"/>
  <c r="G498" i="38"/>
  <c r="G499" i="38"/>
  <c r="G500" i="38"/>
  <c r="G501" i="38"/>
  <c r="J167" i="38"/>
  <c r="K167" i="38"/>
  <c r="J168" i="38"/>
  <c r="K168" i="38"/>
  <c r="G167" i="38"/>
  <c r="G168" i="38"/>
  <c r="J866" i="38"/>
  <c r="K866" i="38"/>
  <c r="J867" i="38"/>
  <c r="K867" i="38"/>
  <c r="G866" i="38"/>
  <c r="G867" i="38"/>
  <c r="J2016" i="38"/>
  <c r="K2016" i="38"/>
  <c r="J2017" i="38"/>
  <c r="K2017" i="38"/>
  <c r="J2018" i="38"/>
  <c r="K2018" i="38"/>
  <c r="J2019" i="38"/>
  <c r="K2019" i="38"/>
  <c r="J2020" i="38"/>
  <c r="K2020" i="38"/>
  <c r="J2021" i="38"/>
  <c r="K2021" i="38"/>
  <c r="J2022" i="38"/>
  <c r="K2022" i="38"/>
  <c r="J2023" i="38"/>
  <c r="K2023" i="38"/>
  <c r="J2024" i="38"/>
  <c r="K2024" i="38"/>
  <c r="J2025" i="38"/>
  <c r="K2025" i="38"/>
  <c r="J2026" i="38"/>
  <c r="K2026" i="38"/>
  <c r="G2016" i="38"/>
  <c r="G2017" i="38"/>
  <c r="G2018" i="38"/>
  <c r="G2019" i="38"/>
  <c r="G2020" i="38"/>
  <c r="G2021" i="38"/>
  <c r="G2022" i="38"/>
  <c r="G2023" i="38"/>
  <c r="G2024" i="38"/>
  <c r="G2025" i="38"/>
  <c r="G2026" i="38"/>
  <c r="J496" i="38"/>
  <c r="K496" i="38"/>
  <c r="J497" i="38"/>
  <c r="K497" i="38"/>
  <c r="G496" i="38"/>
  <c r="G497" i="38"/>
  <c r="J863" i="38"/>
  <c r="K863" i="38"/>
  <c r="J864" i="38"/>
  <c r="K864" i="38"/>
  <c r="J865" i="38"/>
  <c r="K865" i="38"/>
  <c r="G863" i="38"/>
  <c r="G864" i="38"/>
  <c r="G865" i="38"/>
  <c r="G2011" i="38"/>
  <c r="G2012" i="38"/>
  <c r="G2013" i="38"/>
  <c r="G2014" i="38"/>
  <c r="G2015" i="38"/>
  <c r="J2011" i="38"/>
  <c r="K2011" i="38"/>
  <c r="J2012" i="38"/>
  <c r="K2012" i="38"/>
  <c r="J2013" i="38"/>
  <c r="K2013" i="38"/>
  <c r="J2014" i="38"/>
  <c r="K2014" i="38"/>
  <c r="J2015" i="38"/>
  <c r="K2015" i="38"/>
  <c r="J1103" i="38"/>
  <c r="K1103" i="38"/>
  <c r="J1104" i="38"/>
  <c r="K1104" i="38"/>
  <c r="G1103" i="38"/>
  <c r="G1104" i="38"/>
  <c r="A1103" i="38"/>
  <c r="A1104" i="38"/>
  <c r="J488" i="38"/>
  <c r="K488" i="38"/>
  <c r="J489" i="38"/>
  <c r="K489" i="38"/>
  <c r="J490" i="38"/>
  <c r="K490" i="38"/>
  <c r="J491" i="38"/>
  <c r="K491" i="38"/>
  <c r="J492" i="38"/>
  <c r="K492" i="38"/>
  <c r="J493" i="38"/>
  <c r="K493" i="38"/>
  <c r="J494" i="38"/>
  <c r="K494" i="38"/>
  <c r="J495" i="38"/>
  <c r="K495" i="38"/>
  <c r="G488" i="38"/>
  <c r="G489" i="38"/>
  <c r="G490" i="38"/>
  <c r="G491" i="38"/>
  <c r="G492" i="38"/>
  <c r="G493" i="38"/>
  <c r="G494" i="38"/>
  <c r="G495" i="38"/>
  <c r="J2007" i="38"/>
  <c r="K2007" i="38"/>
  <c r="J2008" i="38"/>
  <c r="K2008" i="38"/>
  <c r="J2009" i="38"/>
  <c r="K2009" i="38"/>
  <c r="J2010" i="38"/>
  <c r="K2010" i="38"/>
  <c r="G2007" i="38"/>
  <c r="G2008" i="38"/>
  <c r="G2009" i="38"/>
  <c r="G2010" i="38"/>
  <c r="J1100" i="38"/>
  <c r="K1100" i="38"/>
  <c r="J1101" i="38"/>
  <c r="K1101" i="38"/>
  <c r="J1102" i="38"/>
  <c r="K1102" i="38"/>
  <c r="G1100" i="38"/>
  <c r="G1101" i="38"/>
  <c r="G1102" i="38"/>
  <c r="A1100" i="38"/>
  <c r="A1101" i="38"/>
  <c r="A1102" i="38"/>
  <c r="P31" i="45"/>
  <c r="P29" i="45"/>
  <c r="J862" i="38"/>
  <c r="K862" i="38"/>
  <c r="G862" i="38"/>
  <c r="J2003" i="38"/>
  <c r="K2003" i="38"/>
  <c r="J2004" i="38"/>
  <c r="K2004" i="38"/>
  <c r="J2005" i="38"/>
  <c r="K2005" i="38"/>
  <c r="J2006" i="38"/>
  <c r="K2006" i="38"/>
  <c r="G2003" i="38"/>
  <c r="G2004" i="38"/>
  <c r="G2005" i="38"/>
  <c r="G2006" i="38"/>
  <c r="J164" i="38"/>
  <c r="K164" i="38"/>
  <c r="J165" i="38"/>
  <c r="K165" i="38"/>
  <c r="A164" i="38"/>
  <c r="G164" i="38"/>
  <c r="G165" i="38"/>
  <c r="J1994" i="38"/>
  <c r="K1994" i="38"/>
  <c r="J1995" i="38"/>
  <c r="K1995" i="38"/>
  <c r="J1996" i="38"/>
  <c r="K1996" i="38"/>
  <c r="J1997" i="38"/>
  <c r="K1997" i="38"/>
  <c r="J1998" i="38"/>
  <c r="K1998" i="38"/>
  <c r="J1999" i="38"/>
  <c r="K1999" i="38"/>
  <c r="J2000" i="38"/>
  <c r="K2000" i="38"/>
  <c r="J2001" i="38"/>
  <c r="K2001" i="38"/>
  <c r="J2002" i="38"/>
  <c r="K2002" i="38"/>
  <c r="G1994" i="38"/>
  <c r="G1995" i="38"/>
  <c r="G1996" i="38"/>
  <c r="G1997" i="38"/>
  <c r="G1998" i="38"/>
  <c r="G1999" i="38"/>
  <c r="G2000" i="38"/>
  <c r="G2001" i="38"/>
  <c r="G2002" i="38"/>
  <c r="G858" i="38"/>
  <c r="G859" i="38"/>
  <c r="G860" i="38"/>
  <c r="J858" i="38"/>
  <c r="K858" i="38"/>
  <c r="J859" i="38"/>
  <c r="K859" i="38"/>
  <c r="J860" i="38"/>
  <c r="K860" i="38"/>
  <c r="J166" i="38"/>
  <c r="K166" i="38"/>
  <c r="G166" i="38"/>
  <c r="J855" i="38"/>
  <c r="K855" i="38"/>
  <c r="J856" i="38"/>
  <c r="K856" i="38"/>
  <c r="J857" i="38"/>
  <c r="K857" i="38"/>
  <c r="G855" i="38"/>
  <c r="G856" i="38"/>
  <c r="G857" i="38"/>
  <c r="J1986" i="38"/>
  <c r="K1986" i="38"/>
  <c r="J1987" i="38"/>
  <c r="K1987" i="38"/>
  <c r="J1988" i="38"/>
  <c r="K1988" i="38"/>
  <c r="J1989" i="38"/>
  <c r="K1989" i="38"/>
  <c r="J1990" i="38"/>
  <c r="K1990" i="38"/>
  <c r="J1991" i="38"/>
  <c r="K1991" i="38"/>
  <c r="J1992" i="38"/>
  <c r="K1992" i="38"/>
  <c r="J1993" i="38"/>
  <c r="K1993" i="38"/>
  <c r="G1986" i="38"/>
  <c r="G1987" i="38"/>
  <c r="G1988" i="38"/>
  <c r="G1989" i="38"/>
  <c r="G1990" i="38"/>
  <c r="G1991" i="38"/>
  <c r="G1992" i="38"/>
  <c r="G1993" i="38"/>
  <c r="J483" i="38"/>
  <c r="K483" i="38"/>
  <c r="J484" i="38"/>
  <c r="K484" i="38"/>
  <c r="J485" i="38"/>
  <c r="K485" i="38"/>
  <c r="J486" i="38"/>
  <c r="K486" i="38"/>
  <c r="J487" i="38"/>
  <c r="K487" i="38"/>
  <c r="G483" i="38"/>
  <c r="G484" i="38"/>
  <c r="G485" i="38"/>
  <c r="G486" i="38"/>
  <c r="G487" i="38"/>
  <c r="J854" i="38"/>
  <c r="K854" i="38"/>
  <c r="G854" i="38"/>
  <c r="J1982" i="38"/>
  <c r="K1982" i="38"/>
  <c r="J1983" i="38"/>
  <c r="K1983" i="38"/>
  <c r="J1984" i="38"/>
  <c r="K1984" i="38"/>
  <c r="J1985" i="38"/>
  <c r="K1985" i="38"/>
  <c r="G1982" i="38"/>
  <c r="G1983" i="38"/>
  <c r="G1984" i="38"/>
  <c r="G1985" i="38"/>
  <c r="J480" i="38"/>
  <c r="K480" i="38"/>
  <c r="J481" i="38"/>
  <c r="K481" i="38"/>
  <c r="J482" i="38"/>
  <c r="K482" i="38"/>
  <c r="G480" i="38"/>
  <c r="G481" i="38"/>
  <c r="G482" i="38"/>
  <c r="J852" i="38"/>
  <c r="K852" i="38"/>
  <c r="J853" i="38"/>
  <c r="K853" i="38"/>
  <c r="G852" i="38"/>
  <c r="G853" i="38"/>
  <c r="J1970" i="38"/>
  <c r="K1970" i="38"/>
  <c r="J1971" i="38"/>
  <c r="K1971" i="38"/>
  <c r="J1972" i="38"/>
  <c r="K1972" i="38"/>
  <c r="J1973" i="38"/>
  <c r="K1973" i="38"/>
  <c r="J1974" i="38"/>
  <c r="K1974" i="38"/>
  <c r="J1975" i="38"/>
  <c r="K1975" i="38"/>
  <c r="J1976" i="38"/>
  <c r="K1976" i="38"/>
  <c r="J1977" i="38"/>
  <c r="K1977" i="38"/>
  <c r="J1978" i="38"/>
  <c r="K1978" i="38"/>
  <c r="J1979" i="38"/>
  <c r="K1979" i="38"/>
  <c r="J1980" i="38"/>
  <c r="K1980" i="38"/>
  <c r="J1981" i="38"/>
  <c r="K1981" i="38"/>
  <c r="G1970" i="38"/>
  <c r="G1971" i="38"/>
  <c r="G1972" i="38"/>
  <c r="G1973" i="38"/>
  <c r="G1974" i="38"/>
  <c r="G1975" i="38"/>
  <c r="G1976" i="38"/>
  <c r="G1977" i="38"/>
  <c r="G1978" i="38"/>
  <c r="G1979" i="38"/>
  <c r="G1980" i="38"/>
  <c r="G1981" i="38"/>
  <c r="J849" i="38"/>
  <c r="K849" i="38"/>
  <c r="J850" i="38"/>
  <c r="K850" i="38"/>
  <c r="J851" i="38"/>
  <c r="K851" i="38"/>
  <c r="G849" i="38"/>
  <c r="G850" i="38"/>
  <c r="G851" i="38"/>
  <c r="J1963" i="38"/>
  <c r="K1963" i="38"/>
  <c r="J1964" i="38"/>
  <c r="K1964" i="38"/>
  <c r="J1965" i="38"/>
  <c r="K1965" i="38"/>
  <c r="J1909" i="38"/>
  <c r="K1909" i="38"/>
  <c r="J1967" i="38"/>
  <c r="K1967" i="38"/>
  <c r="J1968" i="38"/>
  <c r="K1968" i="38"/>
  <c r="J1969" i="38"/>
  <c r="K1969" i="38"/>
  <c r="G1963" i="38"/>
  <c r="G1964" i="38"/>
  <c r="G1965" i="38"/>
  <c r="G1909" i="38"/>
  <c r="G1967" i="38"/>
  <c r="G1968" i="38"/>
  <c r="G1969" i="38"/>
  <c r="J1097" i="38"/>
  <c r="K1097" i="38"/>
  <c r="J1098" i="38"/>
  <c r="K1098" i="38"/>
  <c r="J1099" i="38"/>
  <c r="K1099" i="38"/>
  <c r="G1097" i="38"/>
  <c r="G1098" i="38"/>
  <c r="G1099" i="38"/>
  <c r="A1099" i="38"/>
  <c r="A1098" i="38"/>
  <c r="A1097" i="38"/>
  <c r="J478" i="38"/>
  <c r="K478" i="38"/>
  <c r="J479" i="38"/>
  <c r="K479" i="38"/>
  <c r="G478" i="38"/>
  <c r="G479" i="38"/>
  <c r="J1951" i="38"/>
  <c r="K1951" i="38"/>
  <c r="J1952" i="38"/>
  <c r="K1952" i="38"/>
  <c r="J1953" i="38"/>
  <c r="K1953" i="38"/>
  <c r="J1954" i="38"/>
  <c r="K1954" i="38"/>
  <c r="J1955" i="38"/>
  <c r="K1955" i="38"/>
  <c r="J1956" i="38"/>
  <c r="K1956" i="38"/>
  <c r="J1957" i="38"/>
  <c r="K1957" i="38"/>
  <c r="J1958" i="38"/>
  <c r="K1958" i="38"/>
  <c r="J1959" i="38"/>
  <c r="K1959" i="38"/>
  <c r="J1960" i="38"/>
  <c r="K1960" i="38"/>
  <c r="J1961" i="38"/>
  <c r="K1961" i="38"/>
  <c r="J1962" i="38"/>
  <c r="K1962" i="38"/>
  <c r="G1951" i="38"/>
  <c r="G1952" i="38"/>
  <c r="G1953" i="38"/>
  <c r="G1954" i="38"/>
  <c r="G1955" i="38"/>
  <c r="G1956" i="38"/>
  <c r="G1957" i="38"/>
  <c r="G1958" i="38"/>
  <c r="G1959" i="38"/>
  <c r="G1960" i="38"/>
  <c r="G1961" i="38"/>
  <c r="G1962" i="38"/>
  <c r="J846" i="38"/>
  <c r="K846" i="38"/>
  <c r="J847" i="38"/>
  <c r="K847" i="38"/>
  <c r="J848" i="38"/>
  <c r="K848" i="38"/>
  <c r="G846" i="38"/>
  <c r="G847" i="38"/>
  <c r="G848" i="38"/>
  <c r="J845" i="38"/>
  <c r="K845" i="38"/>
  <c r="G845" i="38"/>
  <c r="J1948" i="38"/>
  <c r="K1948" i="38"/>
  <c r="J1949" i="38"/>
  <c r="K1949" i="38"/>
  <c r="J1950" i="38"/>
  <c r="K1950" i="38"/>
  <c r="G1948" i="38"/>
  <c r="G1949" i="38"/>
  <c r="G1950" i="38"/>
  <c r="J477" i="38"/>
  <c r="K477" i="38"/>
  <c r="G477" i="38"/>
  <c r="J841" i="38"/>
  <c r="K841" i="38"/>
  <c r="J842" i="38"/>
  <c r="K842" i="38"/>
  <c r="J843" i="38"/>
  <c r="K843" i="38"/>
  <c r="J844" i="38"/>
  <c r="K844" i="38"/>
  <c r="G841" i="38"/>
  <c r="G842" i="38"/>
  <c r="G843" i="38"/>
  <c r="G844" i="38"/>
  <c r="J1941" i="38"/>
  <c r="K1941" i="38"/>
  <c r="J1942" i="38"/>
  <c r="K1942" i="38"/>
  <c r="J1943" i="38"/>
  <c r="K1943" i="38"/>
  <c r="J1944" i="38"/>
  <c r="K1944" i="38"/>
  <c r="J1945" i="38"/>
  <c r="K1945" i="38"/>
  <c r="J1946" i="38"/>
  <c r="K1946" i="38"/>
  <c r="J1947" i="38"/>
  <c r="K1947" i="38"/>
  <c r="G1941" i="38"/>
  <c r="G1942" i="38"/>
  <c r="G1943" i="38"/>
  <c r="G1944" i="38"/>
  <c r="G1945" i="38"/>
  <c r="G1946" i="38"/>
  <c r="G1947" i="38"/>
  <c r="J472" i="38"/>
  <c r="K472" i="38"/>
  <c r="J473" i="38"/>
  <c r="K473" i="38"/>
  <c r="J474" i="38"/>
  <c r="K474" i="38"/>
  <c r="J475" i="38"/>
  <c r="K475" i="38"/>
  <c r="J476" i="38"/>
  <c r="K476" i="38"/>
  <c r="G472" i="38"/>
  <c r="G473" i="38"/>
  <c r="G474" i="38"/>
  <c r="G475" i="38"/>
  <c r="G476" i="38"/>
  <c r="J2471" i="38"/>
  <c r="K2471" i="38"/>
  <c r="G2471" i="38"/>
  <c r="J2466" i="38"/>
  <c r="K2466" i="38"/>
  <c r="J2467" i="38"/>
  <c r="K2467" i="38"/>
  <c r="J2468" i="38"/>
  <c r="K2468" i="38"/>
  <c r="J2469" i="38"/>
  <c r="K2469" i="38"/>
  <c r="J1807" i="38"/>
  <c r="K1807" i="38"/>
  <c r="G2466" i="38"/>
  <c r="G2467" i="38"/>
  <c r="G2468" i="38"/>
  <c r="G2469" i="38"/>
  <c r="G1807" i="38"/>
  <c r="J1654" i="38"/>
  <c r="K1654" i="38"/>
  <c r="J2461" i="38"/>
  <c r="K2461" i="38"/>
  <c r="J1742" i="38"/>
  <c r="K1742" i="38"/>
  <c r="J2463" i="38"/>
  <c r="K2463" i="38"/>
  <c r="J2464" i="38"/>
  <c r="K2464" i="38"/>
  <c r="J2465" i="38"/>
  <c r="K2465" i="38"/>
  <c r="G1654" i="38"/>
  <c r="G2461" i="38"/>
  <c r="G1742" i="38"/>
  <c r="G2463" i="38"/>
  <c r="G2464" i="38"/>
  <c r="G2465" i="38"/>
  <c r="J2448" i="38"/>
  <c r="J2449" i="38"/>
  <c r="K2449" i="38"/>
  <c r="J2450" i="38"/>
  <c r="K2450" i="38"/>
  <c r="J2451" i="38"/>
  <c r="K2451" i="38"/>
  <c r="J2452" i="38"/>
  <c r="K2452" i="38"/>
  <c r="J2453" i="38"/>
  <c r="K2453" i="38"/>
  <c r="J2454" i="38"/>
  <c r="K2454" i="38"/>
  <c r="J2455" i="38"/>
  <c r="K2455" i="38"/>
  <c r="J2456" i="38"/>
  <c r="K2456" i="38"/>
  <c r="J2457" i="38"/>
  <c r="K2457" i="38"/>
  <c r="J2458" i="38"/>
  <c r="K2458" i="38"/>
  <c r="J1632" i="38"/>
  <c r="K1632" i="38"/>
  <c r="G2455" i="38"/>
  <c r="G2456" i="38"/>
  <c r="G2457" i="38"/>
  <c r="G2458" i="38"/>
  <c r="G1632" i="38"/>
  <c r="J1929" i="38"/>
  <c r="K1929" i="38"/>
  <c r="J1930" i="38"/>
  <c r="K1930" i="38"/>
  <c r="J1931" i="38"/>
  <c r="K1931" i="38"/>
  <c r="J1932" i="38"/>
  <c r="K1932" i="38"/>
  <c r="J1933" i="38"/>
  <c r="K1933" i="38"/>
  <c r="J1934" i="38"/>
  <c r="K1934" i="38"/>
  <c r="J1833" i="38"/>
  <c r="K1833" i="38"/>
  <c r="J1936" i="38"/>
  <c r="K1936" i="38"/>
  <c r="J1937" i="38"/>
  <c r="K1937" i="38"/>
  <c r="J1938" i="38"/>
  <c r="K1938" i="38"/>
  <c r="J1939" i="38"/>
  <c r="K1939" i="38"/>
  <c r="J1940" i="38"/>
  <c r="K1940" i="38"/>
  <c r="G1929" i="38"/>
  <c r="G1930" i="38"/>
  <c r="G1931" i="38"/>
  <c r="G1932" i="38"/>
  <c r="G1933" i="38"/>
  <c r="G1934" i="38"/>
  <c r="G1833" i="38"/>
  <c r="G1936" i="38"/>
  <c r="G1937" i="38"/>
  <c r="G1938" i="38"/>
  <c r="G1939" i="38"/>
  <c r="G1940" i="38"/>
  <c r="F2448" i="38"/>
  <c r="K2448" i="38" s="1"/>
  <c r="G2449" i="38"/>
  <c r="G2450" i="38"/>
  <c r="G2451" i="38"/>
  <c r="G2452" i="38"/>
  <c r="G2453" i="38"/>
  <c r="G2454" i="38"/>
  <c r="J1925" i="38"/>
  <c r="K1925" i="38"/>
  <c r="J1926" i="38"/>
  <c r="K1926" i="38"/>
  <c r="J1927" i="38"/>
  <c r="K1927" i="38"/>
  <c r="J1928" i="38"/>
  <c r="K1928" i="38"/>
  <c r="G1925" i="38"/>
  <c r="G1926" i="38"/>
  <c r="G1927" i="38"/>
  <c r="G1928" i="38"/>
  <c r="J1923" i="38"/>
  <c r="K1923" i="38"/>
  <c r="J1924" i="38"/>
  <c r="K1924" i="38"/>
  <c r="G1923" i="38"/>
  <c r="G1924" i="38"/>
  <c r="J471" i="38"/>
  <c r="K471" i="38"/>
  <c r="G471" i="38"/>
  <c r="J163" i="38"/>
  <c r="K163" i="38"/>
  <c r="A163" i="38"/>
  <c r="G163" i="38"/>
  <c r="J840" i="38"/>
  <c r="K840" i="38"/>
  <c r="G840" i="38"/>
  <c r="J1919" i="38"/>
  <c r="K1919" i="38"/>
  <c r="J1920" i="38"/>
  <c r="K1920" i="38"/>
  <c r="J1921" i="38"/>
  <c r="K1921" i="38"/>
  <c r="J1922" i="38"/>
  <c r="K1922" i="38"/>
  <c r="G1919" i="38"/>
  <c r="G1920" i="38"/>
  <c r="G1921" i="38"/>
  <c r="G1922" i="38"/>
  <c r="J1916" i="38"/>
  <c r="K1916" i="38"/>
  <c r="J1917" i="38"/>
  <c r="K1917" i="38"/>
  <c r="J1918" i="38"/>
  <c r="K1918" i="38"/>
  <c r="G1916" i="38"/>
  <c r="G1917" i="38"/>
  <c r="G1918" i="38"/>
  <c r="A154" i="38"/>
  <c r="J1908" i="38"/>
  <c r="K1908" i="38"/>
  <c r="J1646" i="38"/>
  <c r="K1646" i="38"/>
  <c r="J1910" i="38"/>
  <c r="K1910" i="38"/>
  <c r="J1911" i="38"/>
  <c r="K1911" i="38"/>
  <c r="J1912" i="38"/>
  <c r="K1912" i="38"/>
  <c r="J1913" i="38"/>
  <c r="K1913" i="38"/>
  <c r="J1914" i="38"/>
  <c r="K1914" i="38"/>
  <c r="J1915" i="38"/>
  <c r="K1915" i="38"/>
  <c r="G1908" i="38"/>
  <c r="G1646" i="38"/>
  <c r="G1910" i="38"/>
  <c r="G1911" i="38"/>
  <c r="G1912" i="38"/>
  <c r="G1913" i="38"/>
  <c r="G1914" i="38"/>
  <c r="G1915" i="38"/>
  <c r="J461" i="38"/>
  <c r="K461" i="38"/>
  <c r="J462" i="38"/>
  <c r="K462" i="38"/>
  <c r="J463" i="38"/>
  <c r="K463" i="38"/>
  <c r="J464" i="38"/>
  <c r="K464" i="38"/>
  <c r="J465" i="38"/>
  <c r="K465" i="38"/>
  <c r="J466" i="38"/>
  <c r="K466" i="38"/>
  <c r="J467" i="38"/>
  <c r="K467" i="38"/>
  <c r="J468" i="38"/>
  <c r="K468" i="38"/>
  <c r="J469" i="38"/>
  <c r="K469" i="38"/>
  <c r="J470" i="38"/>
  <c r="K470" i="38"/>
  <c r="A465" i="38"/>
  <c r="G461" i="38"/>
  <c r="G462" i="38"/>
  <c r="G463" i="38"/>
  <c r="G464" i="38"/>
  <c r="G465" i="38"/>
  <c r="G466" i="38"/>
  <c r="G467" i="38"/>
  <c r="G468" i="38"/>
  <c r="G469" i="38"/>
  <c r="G470" i="38"/>
  <c r="A825" i="38"/>
  <c r="J160" i="38"/>
  <c r="K160" i="38"/>
  <c r="J161" i="38"/>
  <c r="K161" i="38"/>
  <c r="J162" i="38"/>
  <c r="K162" i="38"/>
  <c r="G160" i="38"/>
  <c r="G161" i="38"/>
  <c r="G162" i="38"/>
  <c r="J825" i="38"/>
  <c r="K825" i="38"/>
  <c r="J826" i="38"/>
  <c r="K826" i="38"/>
  <c r="J827" i="38"/>
  <c r="K827" i="38"/>
  <c r="J828" i="38"/>
  <c r="K828" i="38"/>
  <c r="J829" i="38"/>
  <c r="K829" i="38"/>
  <c r="J830" i="38"/>
  <c r="K830" i="38"/>
  <c r="J831" i="38"/>
  <c r="K831" i="38"/>
  <c r="J832" i="38"/>
  <c r="K832" i="38"/>
  <c r="J833" i="38"/>
  <c r="K833" i="38"/>
  <c r="J834" i="38"/>
  <c r="K834" i="38"/>
  <c r="J835" i="38"/>
  <c r="K835" i="38"/>
  <c r="J836" i="38"/>
  <c r="K836" i="38"/>
  <c r="J837" i="38"/>
  <c r="K837" i="38"/>
  <c r="J838" i="38"/>
  <c r="K838" i="38"/>
  <c r="J839" i="38"/>
  <c r="K839" i="38"/>
  <c r="G825" i="38"/>
  <c r="G826" i="38"/>
  <c r="G827" i="38"/>
  <c r="G828" i="38"/>
  <c r="G829" i="38"/>
  <c r="G830" i="38"/>
  <c r="G831" i="38"/>
  <c r="G832" i="38"/>
  <c r="G833" i="38"/>
  <c r="G834" i="38"/>
  <c r="G835" i="38"/>
  <c r="G836" i="38"/>
  <c r="G837" i="38"/>
  <c r="G838" i="38"/>
  <c r="G839" i="38"/>
  <c r="J1897" i="38"/>
  <c r="K1897" i="38"/>
  <c r="J1898" i="38"/>
  <c r="K1898" i="38"/>
  <c r="J1899" i="38"/>
  <c r="K1899" i="38"/>
  <c r="J1900" i="38"/>
  <c r="K1900" i="38"/>
  <c r="J1901" i="38"/>
  <c r="K1901" i="38"/>
  <c r="J1902" i="38"/>
  <c r="K1902" i="38"/>
  <c r="J1903" i="38"/>
  <c r="K1903" i="38"/>
  <c r="J1904" i="38"/>
  <c r="K1904" i="38"/>
  <c r="J1905" i="38"/>
  <c r="K1905" i="38"/>
  <c r="J1906" i="38"/>
  <c r="K1906" i="38"/>
  <c r="J1907" i="38"/>
  <c r="K1907" i="38"/>
  <c r="G1897" i="38"/>
  <c r="G1898" i="38"/>
  <c r="G1899" i="38"/>
  <c r="G1900" i="38"/>
  <c r="G1901" i="38"/>
  <c r="G1902" i="38"/>
  <c r="G1903" i="38"/>
  <c r="G1904" i="38"/>
  <c r="G1905" i="38"/>
  <c r="G1906" i="38"/>
  <c r="G1907" i="38"/>
  <c r="J1095" i="38"/>
  <c r="K1095" i="38"/>
  <c r="J1096" i="38"/>
  <c r="K1096" i="38"/>
  <c r="G1095" i="38"/>
  <c r="G1096" i="38"/>
  <c r="J158" i="38"/>
  <c r="K158" i="38"/>
  <c r="J159" i="38"/>
  <c r="K159" i="38"/>
  <c r="G158" i="38"/>
  <c r="G159" i="38"/>
  <c r="A1889" i="38"/>
  <c r="J1878" i="38"/>
  <c r="K1878" i="38"/>
  <c r="J1879" i="38"/>
  <c r="K1879" i="38"/>
  <c r="J1880" i="38"/>
  <c r="K1880" i="38"/>
  <c r="J1881" i="38"/>
  <c r="K1881" i="38"/>
  <c r="J1882" i="38"/>
  <c r="K1882" i="38"/>
  <c r="J1883" i="38"/>
  <c r="K1883" i="38"/>
  <c r="J1884" i="38"/>
  <c r="K1884" i="38"/>
  <c r="J1885" i="38"/>
  <c r="K1885" i="38"/>
  <c r="J1886" i="38"/>
  <c r="K1886" i="38"/>
  <c r="J1887" i="38"/>
  <c r="K1887" i="38"/>
  <c r="J1888" i="38"/>
  <c r="K1888" i="38"/>
  <c r="J1889" i="38"/>
  <c r="K1889" i="38"/>
  <c r="J1890" i="38"/>
  <c r="K1890" i="38"/>
  <c r="J1891" i="38"/>
  <c r="K1891" i="38"/>
  <c r="J1892" i="38"/>
  <c r="K1892" i="38"/>
  <c r="J1893" i="38"/>
  <c r="K1893" i="38"/>
  <c r="J1894" i="38"/>
  <c r="K1894" i="38"/>
  <c r="J1895" i="38"/>
  <c r="K1895" i="38"/>
  <c r="J1896" i="38"/>
  <c r="K1896" i="38"/>
  <c r="G1879" i="38"/>
  <c r="G1880" i="38"/>
  <c r="G1881" i="38"/>
  <c r="G1882" i="38"/>
  <c r="G1883" i="38"/>
  <c r="G1884" i="38"/>
  <c r="G1885" i="38"/>
  <c r="G1886" i="38"/>
  <c r="G1887" i="38"/>
  <c r="G1888" i="38"/>
  <c r="G1889" i="38"/>
  <c r="G1890" i="38"/>
  <c r="G1891" i="38"/>
  <c r="G1892" i="38"/>
  <c r="G1893" i="38"/>
  <c r="G1894" i="38"/>
  <c r="G1895" i="38"/>
  <c r="G1896" i="38"/>
  <c r="J1091" i="38"/>
  <c r="K1091" i="38"/>
  <c r="J1092" i="38"/>
  <c r="K1092" i="38"/>
  <c r="J1093" i="38"/>
  <c r="K1093" i="38"/>
  <c r="J1094" i="38"/>
  <c r="K1094" i="38"/>
  <c r="G1091" i="38"/>
  <c r="G1092" i="38"/>
  <c r="G1093" i="38"/>
  <c r="G1094" i="38"/>
  <c r="J1872" i="38"/>
  <c r="K1872" i="38"/>
  <c r="J1873" i="38"/>
  <c r="K1873" i="38"/>
  <c r="J1874" i="38"/>
  <c r="K1874" i="38"/>
  <c r="J1875" i="38"/>
  <c r="K1875" i="38"/>
  <c r="J1876" i="38"/>
  <c r="K1876" i="38"/>
  <c r="J1877" i="38"/>
  <c r="K1877" i="38"/>
  <c r="G1872" i="38"/>
  <c r="G1873" i="38"/>
  <c r="G1874" i="38"/>
  <c r="G1875" i="38"/>
  <c r="G1876" i="38"/>
  <c r="G1877" i="38"/>
  <c r="G1878" i="38"/>
  <c r="G1326" i="38"/>
  <c r="J824" i="38"/>
  <c r="K824" i="38"/>
  <c r="G824" i="38"/>
  <c r="J823" i="38"/>
  <c r="K823" i="38"/>
  <c r="G823" i="38"/>
  <c r="J1862" i="38"/>
  <c r="K1862" i="38"/>
  <c r="J1863" i="38"/>
  <c r="K1863" i="38"/>
  <c r="J1864" i="38"/>
  <c r="K1864" i="38"/>
  <c r="J1865" i="38"/>
  <c r="K1865" i="38"/>
  <c r="J1866" i="38"/>
  <c r="K1866" i="38"/>
  <c r="J1867" i="38"/>
  <c r="K1867" i="38"/>
  <c r="J1868" i="38"/>
  <c r="K1868" i="38"/>
  <c r="J1869" i="38"/>
  <c r="K1869" i="38"/>
  <c r="J1870" i="38"/>
  <c r="K1870" i="38"/>
  <c r="J1871" i="38"/>
  <c r="K1871" i="38"/>
  <c r="G1862" i="38"/>
  <c r="G1863" i="38"/>
  <c r="G1864" i="38"/>
  <c r="G1865" i="38"/>
  <c r="G1866" i="38"/>
  <c r="G1867" i="38"/>
  <c r="G1868" i="38"/>
  <c r="G1869" i="38"/>
  <c r="G1870" i="38"/>
  <c r="G1871" i="38"/>
  <c r="J459" i="38"/>
  <c r="K459" i="38"/>
  <c r="J460" i="38"/>
  <c r="K460" i="38"/>
  <c r="G459" i="38"/>
  <c r="G460" i="38"/>
  <c r="J1851" i="38"/>
  <c r="K1851" i="38"/>
  <c r="J1852" i="38"/>
  <c r="K1852" i="38"/>
  <c r="J1853" i="38"/>
  <c r="K1853" i="38"/>
  <c r="J1854" i="38"/>
  <c r="K1854" i="38"/>
  <c r="J1855" i="38"/>
  <c r="K1855" i="38"/>
  <c r="J1856" i="38"/>
  <c r="K1856" i="38"/>
  <c r="J1857" i="38"/>
  <c r="K1857" i="38"/>
  <c r="J1858" i="38"/>
  <c r="K1858" i="38"/>
  <c r="J1859" i="38"/>
  <c r="K1859" i="38"/>
  <c r="J1860" i="38"/>
  <c r="K1860" i="38"/>
  <c r="J1861" i="38"/>
  <c r="K1861" i="38"/>
  <c r="G1851" i="38"/>
  <c r="G1852" i="38"/>
  <c r="G1853" i="38"/>
  <c r="G1854" i="38"/>
  <c r="G1855" i="38"/>
  <c r="G1856" i="38"/>
  <c r="G1857" i="38"/>
  <c r="G1858" i="38"/>
  <c r="G1859" i="38"/>
  <c r="G1860" i="38"/>
  <c r="G1861" i="38"/>
  <c r="J1326" i="38"/>
  <c r="K1326" i="38"/>
  <c r="G2408" i="38"/>
  <c r="J2408" i="38"/>
  <c r="K2408" i="38"/>
  <c r="G2409" i="38"/>
  <c r="J2409" i="38"/>
  <c r="G1330" i="38"/>
  <c r="J1330" i="38"/>
  <c r="K1330" i="38"/>
  <c r="G2411" i="38"/>
  <c r="J2411" i="38"/>
  <c r="K2411" i="38"/>
  <c r="G2412" i="38"/>
  <c r="J2412" i="38"/>
  <c r="K2412" i="38"/>
  <c r="G2413" i="38"/>
  <c r="J2413" i="38"/>
  <c r="K2413" i="38"/>
  <c r="G952" i="38"/>
  <c r="J952" i="38"/>
  <c r="K952" i="38"/>
  <c r="J155" i="38"/>
  <c r="K155" i="38"/>
  <c r="J156" i="38"/>
  <c r="K156" i="38"/>
  <c r="J157" i="38"/>
  <c r="K157" i="38"/>
  <c r="G155" i="38"/>
  <c r="G156" i="38"/>
  <c r="G157" i="38"/>
  <c r="J821" i="38"/>
  <c r="K821" i="38"/>
  <c r="J822" i="38"/>
  <c r="K822" i="38"/>
  <c r="G821" i="38"/>
  <c r="G822" i="38"/>
  <c r="J1844" i="38"/>
  <c r="K1844" i="38"/>
  <c r="J1845" i="38"/>
  <c r="K1845" i="38"/>
  <c r="J1846" i="38"/>
  <c r="K1846" i="38"/>
  <c r="J1847" i="38"/>
  <c r="K1847" i="38"/>
  <c r="J1848" i="38"/>
  <c r="K1848" i="38"/>
  <c r="J1849" i="38"/>
  <c r="K1849" i="38"/>
  <c r="J1850" i="38"/>
  <c r="K1850" i="38"/>
  <c r="G1844" i="38"/>
  <c r="G1845" i="38"/>
  <c r="G1846" i="38"/>
  <c r="G1847" i="38"/>
  <c r="G1848" i="38"/>
  <c r="G1849" i="38"/>
  <c r="G1850" i="38"/>
  <c r="S36" i="45"/>
  <c r="D36" i="45"/>
  <c r="D66" i="45" s="1"/>
  <c r="J820" i="38"/>
  <c r="K820" i="38"/>
  <c r="G820" i="38"/>
  <c r="J1838" i="38"/>
  <c r="K1838" i="38"/>
  <c r="J1839" i="38"/>
  <c r="K1839" i="38"/>
  <c r="J1840" i="38"/>
  <c r="K1840" i="38"/>
  <c r="J1841" i="38"/>
  <c r="K1841" i="38"/>
  <c r="J1842" i="38"/>
  <c r="K1842" i="38"/>
  <c r="J1843" i="38"/>
  <c r="K1843" i="38"/>
  <c r="G1838" i="38"/>
  <c r="G1839" i="38"/>
  <c r="G1840" i="38"/>
  <c r="G1841" i="38"/>
  <c r="G1842" i="38"/>
  <c r="G1843" i="38"/>
  <c r="J818" i="38"/>
  <c r="K818" i="38"/>
  <c r="J819" i="38"/>
  <c r="K819" i="38"/>
  <c r="G818" i="38"/>
  <c r="G819" i="38"/>
  <c r="J1829" i="38"/>
  <c r="K1829" i="38"/>
  <c r="J1830" i="38"/>
  <c r="K1830" i="38"/>
  <c r="J1831" i="38"/>
  <c r="K1831" i="38"/>
  <c r="J1832" i="38"/>
  <c r="K1832" i="38"/>
  <c r="J1592" i="38"/>
  <c r="K1592" i="38"/>
  <c r="J1834" i="38"/>
  <c r="K1834" i="38"/>
  <c r="J1835" i="38"/>
  <c r="K1835" i="38"/>
  <c r="J1836" i="38"/>
  <c r="K1836" i="38"/>
  <c r="J1837" i="38"/>
  <c r="K1837" i="38"/>
  <c r="G1829" i="38"/>
  <c r="G1830" i="38"/>
  <c r="G1831" i="38"/>
  <c r="G1832" i="38"/>
  <c r="G1592" i="38"/>
  <c r="G1834" i="38"/>
  <c r="G1835" i="38"/>
  <c r="G1836" i="38"/>
  <c r="G1837" i="38"/>
  <c r="J817" i="38"/>
  <c r="K817" i="38"/>
  <c r="G817" i="38"/>
  <c r="J1824" i="38"/>
  <c r="K1824" i="38"/>
  <c r="J1825" i="38"/>
  <c r="K1825" i="38"/>
  <c r="J1826" i="38"/>
  <c r="K1826" i="38"/>
  <c r="J1827" i="38"/>
  <c r="K1827" i="38"/>
  <c r="J1828" i="38"/>
  <c r="K1828" i="38"/>
  <c r="G1824" i="38"/>
  <c r="G1825" i="38"/>
  <c r="G1826" i="38"/>
  <c r="G1827" i="38"/>
  <c r="G1828" i="38"/>
  <c r="J1819" i="38"/>
  <c r="K1819" i="38"/>
  <c r="J1820" i="38"/>
  <c r="K1820" i="38"/>
  <c r="J1821" i="38"/>
  <c r="K1821" i="38"/>
  <c r="J1822" i="38"/>
  <c r="K1822" i="38"/>
  <c r="J1823" i="38"/>
  <c r="K1823" i="38"/>
  <c r="G1819" i="38"/>
  <c r="G1820" i="38"/>
  <c r="G1821" i="38"/>
  <c r="G1822" i="38"/>
  <c r="G1823" i="38"/>
  <c r="J2440" i="38"/>
  <c r="K2440" i="38"/>
  <c r="J2441" i="38"/>
  <c r="K2441" i="38"/>
  <c r="J2442" i="38"/>
  <c r="K2442" i="38"/>
  <c r="J2443" i="38"/>
  <c r="K2443" i="38"/>
  <c r="J2444" i="38"/>
  <c r="K2444" i="38"/>
  <c r="J2445" i="38"/>
  <c r="K2445" i="38"/>
  <c r="J2446" i="38"/>
  <c r="K2446" i="38"/>
  <c r="J2447" i="38"/>
  <c r="K2447" i="38"/>
  <c r="G2440" i="38"/>
  <c r="G2441" i="38"/>
  <c r="G2442" i="38"/>
  <c r="G2443" i="38"/>
  <c r="G2444" i="38"/>
  <c r="G2445" i="38"/>
  <c r="G2446" i="38"/>
  <c r="G2447" i="38"/>
  <c r="J1088" i="38"/>
  <c r="K1088" i="38"/>
  <c r="J1089" i="38"/>
  <c r="K1089" i="38"/>
  <c r="J1090" i="38"/>
  <c r="K1090" i="38"/>
  <c r="G1088" i="38"/>
  <c r="G1089" i="38"/>
  <c r="G1090" i="38"/>
  <c r="J1815" i="38"/>
  <c r="K1815" i="38"/>
  <c r="J1816" i="38"/>
  <c r="K1816" i="38"/>
  <c r="J1817" i="38"/>
  <c r="K1817" i="38"/>
  <c r="J1818" i="38"/>
  <c r="K1818" i="38"/>
  <c r="G1815" i="38"/>
  <c r="G1816" i="38"/>
  <c r="G1817" i="38"/>
  <c r="G1818" i="38"/>
  <c r="N59" i="45" l="1"/>
  <c r="N61" i="45"/>
  <c r="G2448" i="38"/>
  <c r="J1805" i="38"/>
  <c r="K1805" i="38"/>
  <c r="J1806" i="38"/>
  <c r="K1806" i="38"/>
  <c r="J1588" i="38"/>
  <c r="K1588" i="38"/>
  <c r="J1808" i="38"/>
  <c r="K1808" i="38"/>
  <c r="J1809" i="38"/>
  <c r="K1809" i="38"/>
  <c r="J1810" i="38"/>
  <c r="K1810" i="38"/>
  <c r="J1811" i="38"/>
  <c r="K1811" i="38"/>
  <c r="J1812" i="38"/>
  <c r="K1812" i="38"/>
  <c r="J1813" i="38"/>
  <c r="K1813" i="38"/>
  <c r="J1814" i="38"/>
  <c r="K1814" i="38"/>
  <c r="G1805" i="38"/>
  <c r="G1806" i="38"/>
  <c r="G1588" i="38"/>
  <c r="G1808" i="38"/>
  <c r="G1809" i="38"/>
  <c r="G1810" i="38"/>
  <c r="G1811" i="38"/>
  <c r="G1812" i="38"/>
  <c r="G1813" i="38"/>
  <c r="G1814" i="38"/>
  <c r="J1798" i="38"/>
  <c r="K1798" i="38"/>
  <c r="J1799" i="38"/>
  <c r="K1799" i="38"/>
  <c r="J1800" i="38"/>
  <c r="K1800" i="38"/>
  <c r="J1801" i="38"/>
  <c r="K1801" i="38"/>
  <c r="J1802" i="38"/>
  <c r="K1802" i="38"/>
  <c r="J1803" i="38"/>
  <c r="K1803" i="38"/>
  <c r="J1804" i="38"/>
  <c r="K1804" i="38"/>
  <c r="G1798" i="38"/>
  <c r="G1799" i="38"/>
  <c r="G1800" i="38"/>
  <c r="G1801" i="38"/>
  <c r="G1802" i="38"/>
  <c r="G1803" i="38"/>
  <c r="G1804" i="38"/>
  <c r="J816" i="38"/>
  <c r="K816" i="38"/>
  <c r="G816" i="38"/>
  <c r="J1790" i="38"/>
  <c r="K1790" i="38"/>
  <c r="J1791" i="38"/>
  <c r="K1791" i="38"/>
  <c r="J1792" i="38"/>
  <c r="K1792" i="38"/>
  <c r="J1793" i="38"/>
  <c r="K1793" i="38"/>
  <c r="J1794" i="38"/>
  <c r="K1794" i="38"/>
  <c r="J1795" i="38"/>
  <c r="K1795" i="38"/>
  <c r="J1796" i="38"/>
  <c r="K1796" i="38"/>
  <c r="J1797" i="38"/>
  <c r="K1797" i="38"/>
  <c r="G1790" i="38"/>
  <c r="G1791" i="38"/>
  <c r="G1792" i="38"/>
  <c r="G1793" i="38"/>
  <c r="G1794" i="38"/>
  <c r="G1795" i="38"/>
  <c r="G1796" i="38"/>
  <c r="G1797" i="38"/>
  <c r="J814" i="38"/>
  <c r="K814" i="38"/>
  <c r="J815" i="38"/>
  <c r="K815" i="38"/>
  <c r="G814" i="38"/>
  <c r="G815" i="38"/>
  <c r="J1783" i="38"/>
  <c r="K1783" i="38"/>
  <c r="J1784" i="38"/>
  <c r="K1784" i="38"/>
  <c r="J1785" i="38"/>
  <c r="K1785" i="38"/>
  <c r="J1786" i="38"/>
  <c r="K1786" i="38"/>
  <c r="J1787" i="38"/>
  <c r="K1787" i="38"/>
  <c r="J1788" i="38"/>
  <c r="K1788" i="38"/>
  <c r="J1789" i="38"/>
  <c r="K1789" i="38"/>
  <c r="G1783" i="38"/>
  <c r="G1784" i="38"/>
  <c r="G1785" i="38"/>
  <c r="G1786" i="38"/>
  <c r="G1787" i="38"/>
  <c r="G1788" i="38"/>
  <c r="G1789" i="38"/>
  <c r="J813" i="38" l="1"/>
  <c r="K813" i="38"/>
  <c r="G813" i="38"/>
  <c r="J1781" i="38"/>
  <c r="K1781" i="38"/>
  <c r="J1782" i="38"/>
  <c r="K1782" i="38"/>
  <c r="G1781" i="38"/>
  <c r="G1782" i="38"/>
  <c r="J812" i="38"/>
  <c r="K812" i="38"/>
  <c r="G812" i="38"/>
  <c r="J1777" i="38"/>
  <c r="K1777" i="38"/>
  <c r="J1778" i="38"/>
  <c r="K1778" i="38"/>
  <c r="J1779" i="38"/>
  <c r="K1779" i="38"/>
  <c r="J1780" i="38"/>
  <c r="K1780" i="38"/>
  <c r="G1777" i="38"/>
  <c r="G1778" i="38"/>
  <c r="G1779" i="38"/>
  <c r="G1780" i="38"/>
  <c r="J2434" i="38"/>
  <c r="K2434" i="38"/>
  <c r="J2435" i="38"/>
  <c r="K2435" i="38"/>
  <c r="J2436" i="38"/>
  <c r="K2436" i="38"/>
  <c r="J2437" i="38"/>
  <c r="K2437" i="38"/>
  <c r="J2438" i="38"/>
  <c r="K2438" i="38"/>
  <c r="J2439" i="38"/>
  <c r="K2439" i="38"/>
  <c r="G2439" i="38"/>
  <c r="G2438" i="38"/>
  <c r="G2437" i="38"/>
  <c r="G2436" i="38"/>
  <c r="J2433" i="38"/>
  <c r="K2433" i="38"/>
  <c r="G2433" i="38"/>
  <c r="G2434" i="38"/>
  <c r="G2435" i="38"/>
  <c r="J1770" i="38"/>
  <c r="K1770" i="38"/>
  <c r="J1771" i="38"/>
  <c r="K1771" i="38"/>
  <c r="J1772" i="38"/>
  <c r="K1772" i="38"/>
  <c r="J1773" i="38"/>
  <c r="K1773" i="38"/>
  <c r="J1774" i="38"/>
  <c r="K1774" i="38"/>
  <c r="J1775" i="38"/>
  <c r="K1775" i="38"/>
  <c r="J1776" i="38"/>
  <c r="K1776" i="38"/>
  <c r="G1770" i="38"/>
  <c r="G1771" i="38"/>
  <c r="G1772" i="38"/>
  <c r="G1773" i="38"/>
  <c r="G1774" i="38"/>
  <c r="G1775" i="38"/>
  <c r="G1776" i="38"/>
  <c r="P38" i="45"/>
  <c r="R43" i="45"/>
  <c r="N38" i="45"/>
  <c r="J809" i="38"/>
  <c r="K809" i="38"/>
  <c r="J810" i="38"/>
  <c r="K810" i="38"/>
  <c r="J811" i="38"/>
  <c r="K811" i="38"/>
  <c r="G809" i="38"/>
  <c r="G810" i="38"/>
  <c r="G811" i="38"/>
  <c r="J1764" i="38"/>
  <c r="K1764" i="38"/>
  <c r="J1765" i="38"/>
  <c r="K1765" i="38"/>
  <c r="J1766" i="38"/>
  <c r="K1766" i="38"/>
  <c r="J1767" i="38"/>
  <c r="K1767" i="38"/>
  <c r="J1768" i="38"/>
  <c r="K1768" i="38"/>
  <c r="J1769" i="38"/>
  <c r="K1769" i="38"/>
  <c r="G1764" i="38"/>
  <c r="G1765" i="38"/>
  <c r="G1766" i="38"/>
  <c r="G1767" i="38"/>
  <c r="G1768" i="38"/>
  <c r="G1769" i="38"/>
  <c r="J1758" i="38"/>
  <c r="K1758" i="38"/>
  <c r="J1759" i="38"/>
  <c r="K1759" i="38"/>
  <c r="J1760" i="38"/>
  <c r="K1760" i="38"/>
  <c r="J1761" i="38"/>
  <c r="K1761" i="38"/>
  <c r="J1762" i="38"/>
  <c r="K1762" i="38"/>
  <c r="J1763" i="38"/>
  <c r="K1763" i="38"/>
  <c r="G1758" i="38"/>
  <c r="G1759" i="38"/>
  <c r="G1760" i="38"/>
  <c r="G1761" i="38"/>
  <c r="G1762" i="38"/>
  <c r="G1763" i="38"/>
  <c r="J451" i="38"/>
  <c r="K451" i="38"/>
  <c r="J452" i="38"/>
  <c r="K452" i="38"/>
  <c r="J453" i="38"/>
  <c r="K453" i="38"/>
  <c r="J454" i="38"/>
  <c r="K454" i="38"/>
  <c r="J455" i="38"/>
  <c r="K455" i="38"/>
  <c r="J456" i="38"/>
  <c r="K456" i="38"/>
  <c r="J457" i="38"/>
  <c r="K457" i="38"/>
  <c r="J458" i="38"/>
  <c r="K458" i="38"/>
  <c r="G452" i="38"/>
  <c r="G453" i="38"/>
  <c r="G454" i="38"/>
  <c r="G455" i="38"/>
  <c r="G456" i="38"/>
  <c r="G457" i="38"/>
  <c r="G451" i="38"/>
  <c r="G458" i="38"/>
  <c r="J807" i="38"/>
  <c r="K807" i="38"/>
  <c r="J808" i="38"/>
  <c r="K808" i="38"/>
  <c r="G808" i="38"/>
  <c r="G807" i="38"/>
  <c r="J1753" i="38"/>
  <c r="K1753" i="38"/>
  <c r="J1754" i="38"/>
  <c r="K1754" i="38"/>
  <c r="J1755" i="38"/>
  <c r="K1755" i="38"/>
  <c r="J1756" i="38"/>
  <c r="K1756" i="38"/>
  <c r="J1757" i="38"/>
  <c r="K1757" i="38"/>
  <c r="G1753" i="38"/>
  <c r="G1754" i="38"/>
  <c r="G1755" i="38"/>
  <c r="G1756" i="38"/>
  <c r="G1757" i="38"/>
  <c r="J146" i="38"/>
  <c r="K146" i="38"/>
  <c r="J147" i="38"/>
  <c r="K147" i="38"/>
  <c r="J148" i="38"/>
  <c r="K148" i="38"/>
  <c r="J149" i="38"/>
  <c r="K149" i="38"/>
  <c r="J150" i="38"/>
  <c r="K150" i="38"/>
  <c r="J151" i="38"/>
  <c r="K151" i="38"/>
  <c r="J152" i="38"/>
  <c r="K152" i="38"/>
  <c r="J153" i="38"/>
  <c r="K153" i="38"/>
  <c r="J154" i="38"/>
  <c r="K154" i="38"/>
  <c r="G148" i="38"/>
  <c r="G149" i="38"/>
  <c r="G150" i="38"/>
  <c r="G151" i="38"/>
  <c r="G152" i="38"/>
  <c r="G153" i="38"/>
  <c r="G146" i="38"/>
  <c r="G147" i="38"/>
  <c r="G154" i="38"/>
  <c r="J793" i="38"/>
  <c r="K793" i="38"/>
  <c r="J794" i="38"/>
  <c r="K794" i="38"/>
  <c r="J795" i="38"/>
  <c r="K795" i="38"/>
  <c r="J796" i="38"/>
  <c r="K796" i="38"/>
  <c r="J797" i="38"/>
  <c r="K797" i="38"/>
  <c r="J798" i="38"/>
  <c r="K798" i="38"/>
  <c r="J799" i="38"/>
  <c r="K799" i="38"/>
  <c r="J800" i="38"/>
  <c r="K800" i="38"/>
  <c r="J801" i="38"/>
  <c r="K801" i="38"/>
  <c r="J802" i="38"/>
  <c r="K802" i="38"/>
  <c r="J803" i="38"/>
  <c r="K803" i="38"/>
  <c r="J804" i="38"/>
  <c r="K804" i="38"/>
  <c r="J805" i="38"/>
  <c r="K805" i="38"/>
  <c r="J806" i="38"/>
  <c r="K806" i="38"/>
  <c r="G793" i="38"/>
  <c r="G794" i="38"/>
  <c r="G795" i="38"/>
  <c r="G796" i="38"/>
  <c r="G797" i="38"/>
  <c r="G798" i="38"/>
  <c r="G799" i="38"/>
  <c r="G800" i="38"/>
  <c r="G801" i="38"/>
  <c r="G802" i="38"/>
  <c r="G803" i="38"/>
  <c r="G804" i="38"/>
  <c r="G805" i="38"/>
  <c r="G806" i="38"/>
  <c r="J1085" i="38"/>
  <c r="K1085" i="38"/>
  <c r="J1086" i="38"/>
  <c r="K1086" i="38"/>
  <c r="J1087" i="38"/>
  <c r="K1087" i="38"/>
  <c r="G1080" i="38"/>
  <c r="G1081" i="38"/>
  <c r="G1082" i="38"/>
  <c r="G1083" i="38"/>
  <c r="G1084" i="38"/>
  <c r="G1085" i="38"/>
  <c r="G1086" i="38"/>
  <c r="G1087" i="38"/>
  <c r="K15" i="42"/>
  <c r="K16" i="42"/>
  <c r="J1741" i="38"/>
  <c r="K1741" i="38"/>
  <c r="J1574" i="38"/>
  <c r="K1574" i="38"/>
  <c r="J1743" i="38"/>
  <c r="K1743" i="38"/>
  <c r="J1744" i="38"/>
  <c r="K1744" i="38"/>
  <c r="J1745" i="38"/>
  <c r="K1745" i="38"/>
  <c r="J1746" i="38"/>
  <c r="K1746" i="38"/>
  <c r="J1747" i="38"/>
  <c r="K1747" i="38"/>
  <c r="J1748" i="38"/>
  <c r="K1748" i="38"/>
  <c r="J1749" i="38"/>
  <c r="K1749" i="38"/>
  <c r="J1750" i="38"/>
  <c r="K1750" i="38"/>
  <c r="J1751" i="38"/>
  <c r="K1751" i="38"/>
  <c r="J1752" i="38"/>
  <c r="K1752" i="38"/>
  <c r="G1741" i="38"/>
  <c r="G1574" i="38"/>
  <c r="G1743" i="38"/>
  <c r="G1744" i="38"/>
  <c r="G1745" i="38"/>
  <c r="G1746" i="38"/>
  <c r="G1747" i="38"/>
  <c r="G1748" i="38"/>
  <c r="G1749" i="38"/>
  <c r="G1750" i="38"/>
  <c r="G1751" i="38"/>
  <c r="G1752" i="38"/>
  <c r="J144" i="38"/>
  <c r="K144" i="38"/>
  <c r="J145" i="38"/>
  <c r="K145" i="38"/>
  <c r="G144" i="38"/>
  <c r="G145" i="38"/>
  <c r="J1730" i="38"/>
  <c r="K1730" i="38"/>
  <c r="J1731" i="38"/>
  <c r="K1731" i="38"/>
  <c r="J1732" i="38"/>
  <c r="K1732" i="38"/>
  <c r="J1733" i="38"/>
  <c r="K1733" i="38"/>
  <c r="J1734" i="38"/>
  <c r="K1734" i="38"/>
  <c r="J1735" i="38"/>
  <c r="K1735" i="38"/>
  <c r="J1736" i="38"/>
  <c r="K1736" i="38"/>
  <c r="J1737" i="38"/>
  <c r="K1737" i="38"/>
  <c r="J1738" i="38"/>
  <c r="K1738" i="38"/>
  <c r="J1739" i="38"/>
  <c r="K1739" i="38"/>
  <c r="J1740" i="38"/>
  <c r="K1740" i="38"/>
  <c r="G1730" i="38"/>
  <c r="G1731" i="38"/>
  <c r="G1732" i="38"/>
  <c r="G1733" i="38"/>
  <c r="G1734" i="38"/>
  <c r="G1735" i="38"/>
  <c r="G1736" i="38"/>
  <c r="G1737" i="38"/>
  <c r="G1738" i="38"/>
  <c r="G1739" i="38"/>
  <c r="G1740" i="38"/>
  <c r="J449" i="38"/>
  <c r="K449" i="38"/>
  <c r="J450" i="38"/>
  <c r="K450" i="38"/>
  <c r="G449" i="38"/>
  <c r="G450" i="38"/>
  <c r="J1080" i="38"/>
  <c r="K1080" i="38"/>
  <c r="J1081" i="38"/>
  <c r="K1081" i="38"/>
  <c r="J1082" i="38"/>
  <c r="K1082" i="38"/>
  <c r="J1083" i="38"/>
  <c r="K1083" i="38"/>
  <c r="J1084" i="38"/>
  <c r="K1084" i="38"/>
  <c r="J1722" i="38"/>
  <c r="K1722" i="38"/>
  <c r="J1723" i="38"/>
  <c r="K1723" i="38"/>
  <c r="J1724" i="38"/>
  <c r="K1724" i="38"/>
  <c r="J1725" i="38"/>
  <c r="K1725" i="38"/>
  <c r="J1726" i="38"/>
  <c r="K1726" i="38"/>
  <c r="J1727" i="38"/>
  <c r="K1727" i="38"/>
  <c r="J1728" i="38"/>
  <c r="K1728" i="38"/>
  <c r="J1729" i="38"/>
  <c r="K1729" i="38"/>
  <c r="G1722" i="38"/>
  <c r="G1723" i="38"/>
  <c r="G1724" i="38"/>
  <c r="G1725" i="38"/>
  <c r="G1726" i="38"/>
  <c r="G1727" i="38"/>
  <c r="G1728" i="38"/>
  <c r="G1729" i="38"/>
  <c r="G791" i="38"/>
  <c r="J1717" i="38"/>
  <c r="K1717" i="38"/>
  <c r="J1718" i="38"/>
  <c r="K1718" i="38"/>
  <c r="J1719" i="38"/>
  <c r="K1719" i="38"/>
  <c r="J1720" i="38"/>
  <c r="K1720" i="38"/>
  <c r="J1721" i="38"/>
  <c r="K1721" i="38"/>
  <c r="G1717" i="38"/>
  <c r="G1718" i="38"/>
  <c r="G1719" i="38"/>
  <c r="G1720" i="38"/>
  <c r="G1721" i="38"/>
  <c r="J445" i="38"/>
  <c r="K445" i="38"/>
  <c r="J446" i="38"/>
  <c r="K446" i="38"/>
  <c r="J447" i="38"/>
  <c r="K447" i="38"/>
  <c r="J448" i="38"/>
  <c r="K448" i="38"/>
  <c r="G445" i="38"/>
  <c r="G446" i="38"/>
  <c r="G447" i="38"/>
  <c r="G448" i="38"/>
  <c r="J141" i="38"/>
  <c r="K141" i="38"/>
  <c r="J142" i="38"/>
  <c r="K142" i="38"/>
  <c r="J143" i="38"/>
  <c r="K143" i="38"/>
  <c r="G141" i="38"/>
  <c r="G142" i="38"/>
  <c r="G143" i="38"/>
  <c r="J1709" i="38"/>
  <c r="K1709" i="38"/>
  <c r="J1710" i="38"/>
  <c r="K1710" i="38"/>
  <c r="J1711" i="38"/>
  <c r="K1711" i="38"/>
  <c r="J1712" i="38"/>
  <c r="K1712" i="38"/>
  <c r="J1713" i="38"/>
  <c r="K1713" i="38"/>
  <c r="J1714" i="38"/>
  <c r="K1714" i="38"/>
  <c r="J1715" i="38"/>
  <c r="K1715" i="38"/>
  <c r="J1716" i="38"/>
  <c r="K1716" i="38"/>
  <c r="G1709" i="38"/>
  <c r="G1710" i="38"/>
  <c r="G1711" i="38"/>
  <c r="G1712" i="38"/>
  <c r="G1713" i="38"/>
  <c r="G1714" i="38"/>
  <c r="G1715" i="38"/>
  <c r="G1716" i="38"/>
  <c r="J790" i="38"/>
  <c r="K790" i="38"/>
  <c r="J791" i="38"/>
  <c r="K791" i="38"/>
  <c r="J792" i="38"/>
  <c r="K792" i="38"/>
  <c r="G790" i="38"/>
  <c r="G792" i="38"/>
  <c r="J2429" i="38"/>
  <c r="J2430" i="38"/>
  <c r="K2430" i="38"/>
  <c r="J2431" i="38"/>
  <c r="K2431" i="38"/>
  <c r="J2432" i="38"/>
  <c r="K2432" i="38"/>
  <c r="F2429" i="38"/>
  <c r="K2429" i="38" s="1"/>
  <c r="G2430" i="38"/>
  <c r="G2431" i="38"/>
  <c r="G2432" i="38"/>
  <c r="J788" i="38"/>
  <c r="K788" i="38"/>
  <c r="G788" i="38"/>
  <c r="J444" i="38"/>
  <c r="K444" i="38"/>
  <c r="G444" i="38"/>
  <c r="J139" i="38"/>
  <c r="K139" i="38"/>
  <c r="J140" i="38"/>
  <c r="K140" i="38"/>
  <c r="G139" i="38"/>
  <c r="G140" i="38"/>
  <c r="J785" i="38"/>
  <c r="K785" i="38"/>
  <c r="J786" i="38"/>
  <c r="K786" i="38"/>
  <c r="J787" i="38"/>
  <c r="K787" i="38"/>
  <c r="J789" i="38"/>
  <c r="K789" i="38"/>
  <c r="G785" i="38"/>
  <c r="G786" i="38"/>
  <c r="G787" i="38"/>
  <c r="G789" i="38"/>
  <c r="J1700" i="38"/>
  <c r="K1700" i="38"/>
  <c r="J1701" i="38"/>
  <c r="K1701" i="38"/>
  <c r="J1702" i="38"/>
  <c r="K1702" i="38"/>
  <c r="J1703" i="38"/>
  <c r="K1703" i="38"/>
  <c r="J1704" i="38"/>
  <c r="K1704" i="38"/>
  <c r="J1705" i="38"/>
  <c r="K1705" i="38"/>
  <c r="J1706" i="38"/>
  <c r="K1706" i="38"/>
  <c r="J1707" i="38"/>
  <c r="K1707" i="38"/>
  <c r="J1708" i="38"/>
  <c r="K1708" i="38"/>
  <c r="G1700" i="38"/>
  <c r="G1701" i="38"/>
  <c r="G1702" i="38"/>
  <c r="G1703" i="38"/>
  <c r="G1704" i="38"/>
  <c r="G1705" i="38"/>
  <c r="G1706" i="38"/>
  <c r="G1707" i="38"/>
  <c r="G1708" i="38"/>
  <c r="J778" i="38"/>
  <c r="K778" i="38"/>
  <c r="J779" i="38"/>
  <c r="K779" i="38"/>
  <c r="J780" i="38"/>
  <c r="K780" i="38"/>
  <c r="J781" i="38"/>
  <c r="K781" i="38"/>
  <c r="J782" i="38"/>
  <c r="K782" i="38"/>
  <c r="J783" i="38"/>
  <c r="K783" i="38"/>
  <c r="J784" i="38"/>
  <c r="K784" i="38"/>
  <c r="G778" i="38"/>
  <c r="G779" i="38"/>
  <c r="G780" i="38"/>
  <c r="G781" i="38"/>
  <c r="G782" i="38"/>
  <c r="G783" i="38"/>
  <c r="G784" i="38"/>
  <c r="G1033" i="38"/>
  <c r="J1693" i="38"/>
  <c r="K1693" i="38"/>
  <c r="J1694" i="38"/>
  <c r="K1694" i="38"/>
  <c r="J1695" i="38"/>
  <c r="K1695" i="38"/>
  <c r="J1696" i="38"/>
  <c r="K1696" i="38"/>
  <c r="J1697" i="38"/>
  <c r="K1697" i="38"/>
  <c r="J1698" i="38"/>
  <c r="K1698" i="38"/>
  <c r="J1699" i="38"/>
  <c r="K1699" i="38"/>
  <c r="G1693" i="38"/>
  <c r="G1694" i="38"/>
  <c r="G1695" i="38"/>
  <c r="G1696" i="38"/>
  <c r="G1697" i="38"/>
  <c r="G1698" i="38"/>
  <c r="G1699" i="38"/>
  <c r="J2427" i="38"/>
  <c r="K2427" i="38"/>
  <c r="J2428" i="38"/>
  <c r="K2428" i="38"/>
  <c r="G2427" i="38"/>
  <c r="G2428" i="38"/>
  <c r="J1553" i="38"/>
  <c r="K1553" i="38"/>
  <c r="J2426" i="38"/>
  <c r="K2426" i="38"/>
  <c r="G1553" i="38"/>
  <c r="G2426" i="38"/>
  <c r="J775" i="38"/>
  <c r="K775" i="38"/>
  <c r="G775" i="38"/>
  <c r="J773" i="38"/>
  <c r="K773" i="38"/>
  <c r="J777" i="38"/>
  <c r="K777" i="38"/>
  <c r="J774" i="38"/>
  <c r="K774" i="38"/>
  <c r="J776" i="38"/>
  <c r="K776" i="38"/>
  <c r="G773" i="38"/>
  <c r="G777" i="38"/>
  <c r="G774" i="38"/>
  <c r="G776" i="38"/>
  <c r="J1691" i="38"/>
  <c r="K1691" i="38"/>
  <c r="J1692" i="38"/>
  <c r="K1692" i="38"/>
  <c r="G1691" i="38"/>
  <c r="G1692" i="38"/>
  <c r="R17" i="45"/>
  <c r="R39" i="45"/>
  <c r="R40" i="45"/>
  <c r="R41" i="45"/>
  <c r="R42" i="45"/>
  <c r="J771" i="38"/>
  <c r="K771" i="38"/>
  <c r="J772" i="38"/>
  <c r="K772" i="38"/>
  <c r="G771" i="38"/>
  <c r="G772" i="38"/>
  <c r="J1687" i="38"/>
  <c r="K1687" i="38"/>
  <c r="J1688" i="38"/>
  <c r="K1688" i="38"/>
  <c r="J1689" i="38"/>
  <c r="K1689" i="38"/>
  <c r="J1690" i="38"/>
  <c r="K1690" i="38"/>
  <c r="G1687" i="38"/>
  <c r="G1688" i="38"/>
  <c r="G1689" i="38"/>
  <c r="G1690" i="38"/>
  <c r="J769" i="38"/>
  <c r="K769" i="38"/>
  <c r="J770" i="38"/>
  <c r="K770" i="38"/>
  <c r="G769" i="38"/>
  <c r="G770" i="38"/>
  <c r="J1679" i="38"/>
  <c r="K1679" i="38"/>
  <c r="J1680" i="38"/>
  <c r="K1680" i="38"/>
  <c r="J1681" i="38"/>
  <c r="K1681" i="38"/>
  <c r="J1682" i="38"/>
  <c r="K1682" i="38"/>
  <c r="J1683" i="38"/>
  <c r="K1683" i="38"/>
  <c r="J1684" i="38"/>
  <c r="K1684" i="38"/>
  <c r="J1685" i="38"/>
  <c r="K1685" i="38"/>
  <c r="J1686" i="38"/>
  <c r="K1686" i="38"/>
  <c r="G1679" i="38"/>
  <c r="G1680" i="38"/>
  <c r="G1681" i="38"/>
  <c r="G1682" i="38"/>
  <c r="G1683" i="38"/>
  <c r="G1684" i="38"/>
  <c r="G1685" i="38"/>
  <c r="G1686" i="38"/>
  <c r="J743" i="38"/>
  <c r="K743" i="38"/>
  <c r="J744" i="38"/>
  <c r="K744" i="38"/>
  <c r="J745" i="38"/>
  <c r="K745" i="38"/>
  <c r="J746" i="38"/>
  <c r="K746" i="38"/>
  <c r="J747" i="38"/>
  <c r="K747" i="38"/>
  <c r="J748" i="38"/>
  <c r="K748" i="38"/>
  <c r="J749" i="38"/>
  <c r="K749" i="38"/>
  <c r="J750" i="38"/>
  <c r="K750" i="38"/>
  <c r="J751" i="38"/>
  <c r="K751" i="38"/>
  <c r="J752" i="38"/>
  <c r="K752" i="38"/>
  <c r="J753" i="38"/>
  <c r="K753" i="38"/>
  <c r="G743" i="38"/>
  <c r="G744" i="38"/>
  <c r="G745" i="38"/>
  <c r="G746" i="38"/>
  <c r="G747" i="38"/>
  <c r="G748" i="38"/>
  <c r="G749" i="38"/>
  <c r="G750" i="38"/>
  <c r="G751" i="38"/>
  <c r="G752" i="38"/>
  <c r="G753" i="38"/>
  <c r="J1630" i="38"/>
  <c r="K1630" i="38"/>
  <c r="J1631" i="38"/>
  <c r="K1631" i="38"/>
  <c r="J1493" i="38"/>
  <c r="K1493" i="38"/>
  <c r="J1633" i="38"/>
  <c r="K1633" i="38"/>
  <c r="G1633" i="38"/>
  <c r="G1631" i="38"/>
  <c r="G1493" i="38"/>
  <c r="J1629" i="38"/>
  <c r="K1629" i="38"/>
  <c r="G1630" i="38"/>
  <c r="J443" i="38"/>
  <c r="K443" i="38"/>
  <c r="G443" i="38"/>
  <c r="J138" i="38"/>
  <c r="K138" i="38"/>
  <c r="G138" i="38"/>
  <c r="J767" i="38"/>
  <c r="K767" i="38"/>
  <c r="J768" i="38"/>
  <c r="K768" i="38"/>
  <c r="G767" i="38"/>
  <c r="G768" i="38"/>
  <c r="J1671" i="38"/>
  <c r="K1671" i="38"/>
  <c r="J1672" i="38"/>
  <c r="K1672" i="38"/>
  <c r="G1671" i="38"/>
  <c r="G1672" i="38"/>
  <c r="K20" i="42"/>
  <c r="Q28" i="42"/>
  <c r="Q27" i="42"/>
  <c r="J1664" i="38"/>
  <c r="K1664" i="38"/>
  <c r="J1665" i="38"/>
  <c r="K1665" i="38"/>
  <c r="J1666" i="38"/>
  <c r="K1666" i="38"/>
  <c r="J1667" i="38"/>
  <c r="K1667" i="38"/>
  <c r="J1668" i="38"/>
  <c r="K1668" i="38"/>
  <c r="J1669" i="38"/>
  <c r="K1669" i="38"/>
  <c r="J1670" i="38"/>
  <c r="K1670" i="38"/>
  <c r="J1673" i="38"/>
  <c r="K1673" i="38"/>
  <c r="J1674" i="38"/>
  <c r="K1674" i="38"/>
  <c r="J1675" i="38"/>
  <c r="K1675" i="38"/>
  <c r="J1676" i="38"/>
  <c r="K1676" i="38"/>
  <c r="J1677" i="38"/>
  <c r="K1677" i="38"/>
  <c r="J1678" i="38"/>
  <c r="K1678" i="38"/>
  <c r="G1664" i="38"/>
  <c r="G1665" i="38"/>
  <c r="G1666" i="38"/>
  <c r="G1667" i="38"/>
  <c r="G1668" i="38"/>
  <c r="G1669" i="38"/>
  <c r="G1670" i="38"/>
  <c r="G1673" i="38"/>
  <c r="G1674" i="38"/>
  <c r="G1675" i="38"/>
  <c r="G1676" i="38"/>
  <c r="G1677" i="38"/>
  <c r="G1678" i="38"/>
  <c r="J2417" i="38"/>
  <c r="K2417" i="38"/>
  <c r="J2418" i="38"/>
  <c r="K2418" i="38"/>
  <c r="J2419" i="38"/>
  <c r="K2419" i="38"/>
  <c r="J1482" i="38"/>
  <c r="K1482" i="38"/>
  <c r="J2421" i="38"/>
  <c r="K2421" i="38"/>
  <c r="J2422" i="38"/>
  <c r="K2422" i="38"/>
  <c r="J2423" i="38"/>
  <c r="K2423" i="38"/>
  <c r="J2424" i="38"/>
  <c r="K2424" i="38"/>
  <c r="G2423" i="38"/>
  <c r="G2417" i="38"/>
  <c r="G2418" i="38"/>
  <c r="G2419" i="38"/>
  <c r="G1482" i="38"/>
  <c r="G2421" i="38"/>
  <c r="G2422" i="38"/>
  <c r="G2424" i="38"/>
  <c r="J1662" i="38"/>
  <c r="K1662" i="38"/>
  <c r="J1659" i="38"/>
  <c r="K1659" i="38"/>
  <c r="J1660" i="38"/>
  <c r="K1660" i="38"/>
  <c r="J1661" i="38"/>
  <c r="K1661" i="38"/>
  <c r="J1663" i="38"/>
  <c r="K1663" i="38"/>
  <c r="G1662" i="38"/>
  <c r="G1659" i="38"/>
  <c r="G1660" i="38"/>
  <c r="G1661" i="38"/>
  <c r="G1663" i="38"/>
  <c r="J765" i="38"/>
  <c r="K765" i="38"/>
  <c r="J766" i="38"/>
  <c r="K766" i="38"/>
  <c r="G765" i="38"/>
  <c r="G766" i="38"/>
  <c r="J1644" i="38"/>
  <c r="K1644" i="38"/>
  <c r="J1645" i="38"/>
  <c r="K1645" i="38"/>
  <c r="J1505" i="38"/>
  <c r="K1505" i="38"/>
  <c r="J1647" i="38"/>
  <c r="K1647" i="38"/>
  <c r="J1648" i="38"/>
  <c r="K1648" i="38"/>
  <c r="J1649" i="38"/>
  <c r="K1649" i="38"/>
  <c r="J1650" i="38"/>
  <c r="K1650" i="38"/>
  <c r="J1651" i="38"/>
  <c r="K1651" i="38"/>
  <c r="J1652" i="38"/>
  <c r="K1652" i="38"/>
  <c r="J1653" i="38"/>
  <c r="K1653" i="38"/>
  <c r="J1538" i="38"/>
  <c r="K1538" i="38"/>
  <c r="J1655" i="38"/>
  <c r="K1655" i="38"/>
  <c r="J1656" i="38"/>
  <c r="K1656" i="38"/>
  <c r="J1657" i="38"/>
  <c r="K1657" i="38"/>
  <c r="J1658" i="38"/>
  <c r="K1658" i="38"/>
  <c r="G1644" i="38"/>
  <c r="G1645" i="38"/>
  <c r="G1505" i="38"/>
  <c r="G1647" i="38"/>
  <c r="G1648" i="38"/>
  <c r="G1649" i="38"/>
  <c r="G1650" i="38"/>
  <c r="G1651" i="38"/>
  <c r="G1652" i="38"/>
  <c r="G1653" i="38"/>
  <c r="G1538" i="38"/>
  <c r="G1655" i="38"/>
  <c r="G1656" i="38"/>
  <c r="G1657" i="38"/>
  <c r="G1658" i="38"/>
  <c r="J763" i="38"/>
  <c r="K763" i="38"/>
  <c r="J764" i="38"/>
  <c r="K764" i="38"/>
  <c r="G763" i="38"/>
  <c r="G764" i="38"/>
  <c r="J1642" i="38"/>
  <c r="K1642" i="38"/>
  <c r="J1643" i="38"/>
  <c r="K1643" i="38"/>
  <c r="G1642" i="38"/>
  <c r="G1643" i="38"/>
  <c r="J1634" i="38"/>
  <c r="K1634" i="38"/>
  <c r="J1635" i="38"/>
  <c r="K1635" i="38"/>
  <c r="J1636" i="38"/>
  <c r="K1636" i="38"/>
  <c r="J1637" i="38"/>
  <c r="K1637" i="38"/>
  <c r="J1638" i="38"/>
  <c r="K1638" i="38"/>
  <c r="J1639" i="38"/>
  <c r="K1639" i="38"/>
  <c r="J1640" i="38"/>
  <c r="K1640" i="38"/>
  <c r="J1641" i="38"/>
  <c r="K1641" i="38"/>
  <c r="G1629" i="38"/>
  <c r="G1634" i="38"/>
  <c r="G1635" i="38"/>
  <c r="G1636" i="38"/>
  <c r="G1637" i="38"/>
  <c r="G1638" i="38"/>
  <c r="G1639" i="38"/>
  <c r="G1640" i="38"/>
  <c r="G1641" i="38"/>
  <c r="J760" i="38"/>
  <c r="K760" i="38"/>
  <c r="J761" i="38"/>
  <c r="K761" i="38"/>
  <c r="J762" i="38"/>
  <c r="K762" i="38"/>
  <c r="G760" i="38"/>
  <c r="G761" i="38"/>
  <c r="G762" i="38"/>
  <c r="J123" i="38"/>
  <c r="K123" i="38"/>
  <c r="J124" i="38"/>
  <c r="K124" i="38"/>
  <c r="J125" i="38"/>
  <c r="K125" i="38"/>
  <c r="J126" i="38"/>
  <c r="K126" i="38"/>
  <c r="J127" i="38"/>
  <c r="K127" i="38"/>
  <c r="J128" i="38"/>
  <c r="K128" i="38"/>
  <c r="J129" i="38"/>
  <c r="K129" i="38"/>
  <c r="J130" i="38"/>
  <c r="K130" i="38"/>
  <c r="J131" i="38"/>
  <c r="K131" i="38"/>
  <c r="J132" i="38"/>
  <c r="K132" i="38"/>
  <c r="J133" i="38"/>
  <c r="K133" i="38"/>
  <c r="J134" i="38"/>
  <c r="K134" i="38"/>
  <c r="J135" i="38"/>
  <c r="K135" i="38"/>
  <c r="J136" i="38"/>
  <c r="K136" i="38"/>
  <c r="J137" i="38"/>
  <c r="K137" i="38"/>
  <c r="A65" i="38"/>
  <c r="A314" i="38"/>
  <c r="A363" i="38"/>
  <c r="A364" i="38"/>
  <c r="A365" i="38"/>
  <c r="A366" i="38"/>
  <c r="A367" i="38"/>
  <c r="A368" i="38"/>
  <c r="A369" i="38"/>
  <c r="A370" i="38"/>
  <c r="A371" i="38"/>
  <c r="A372" i="38"/>
  <c r="A373" i="38"/>
  <c r="A374" i="38"/>
  <c r="A375" i="38"/>
  <c r="A376" i="38"/>
  <c r="A377" i="38"/>
  <c r="A378" i="38"/>
  <c r="A379" i="38"/>
  <c r="A380" i="38"/>
  <c r="A381" i="38"/>
  <c r="A382" i="38"/>
  <c r="A383" i="38"/>
  <c r="A384" i="38"/>
  <c r="A385" i="38"/>
  <c r="A386" i="38"/>
  <c r="A387" i="38"/>
  <c r="A388" i="38"/>
  <c r="A389" i="38"/>
  <c r="A390" i="38"/>
  <c r="A391" i="38"/>
  <c r="A392" i="38"/>
  <c r="A393" i="38"/>
  <c r="A394" i="38"/>
  <c r="A395" i="38"/>
  <c r="A396" i="38"/>
  <c r="A968" i="38"/>
  <c r="A398" i="38"/>
  <c r="A399" i="38"/>
  <c r="A400" i="38"/>
  <c r="A401" i="38"/>
  <c r="A402" i="38"/>
  <c r="A403" i="38"/>
  <c r="A404" i="38"/>
  <c r="A405" i="38"/>
  <c r="A406" i="38"/>
  <c r="A407" i="38"/>
  <c r="A408" i="38"/>
  <c r="A1171" i="38"/>
  <c r="A410" i="38"/>
  <c r="A411" i="38"/>
  <c r="A412" i="38"/>
  <c r="A413" i="38"/>
  <c r="A414" i="38"/>
  <c r="A415" i="38"/>
  <c r="A416" i="38"/>
  <c r="A417" i="38"/>
  <c r="A418" i="38"/>
  <c r="G123" i="38"/>
  <c r="G124" i="38"/>
  <c r="G125" i="38"/>
  <c r="G126" i="38"/>
  <c r="G127" i="38"/>
  <c r="G128" i="38"/>
  <c r="G129" i="38"/>
  <c r="G130" i="38"/>
  <c r="G131" i="38"/>
  <c r="G132" i="38"/>
  <c r="G133" i="38"/>
  <c r="G134" i="38"/>
  <c r="G135" i="38"/>
  <c r="G136" i="38"/>
  <c r="G137" i="38"/>
  <c r="J758" i="38"/>
  <c r="K758" i="38"/>
  <c r="J759" i="38"/>
  <c r="K759" i="38"/>
  <c r="G758" i="38"/>
  <c r="G759" i="38"/>
  <c r="J1628" i="38"/>
  <c r="K1628" i="38"/>
  <c r="G1628" i="38"/>
  <c r="J756" i="38"/>
  <c r="K756" i="38"/>
  <c r="J757" i="38"/>
  <c r="K757" i="38"/>
  <c r="G756" i="38"/>
  <c r="G757" i="38"/>
  <c r="J1625" i="38"/>
  <c r="K1625" i="38"/>
  <c r="J1626" i="38"/>
  <c r="K1626" i="38"/>
  <c r="J1627" i="38"/>
  <c r="K1627" i="38"/>
  <c r="G1625" i="38"/>
  <c r="G1626" i="38"/>
  <c r="G1627" i="38"/>
  <c r="J437" i="38"/>
  <c r="K437" i="38"/>
  <c r="J438" i="38"/>
  <c r="K438" i="38"/>
  <c r="J439" i="38"/>
  <c r="K439" i="38"/>
  <c r="J440" i="38"/>
  <c r="K440" i="38"/>
  <c r="J441" i="38"/>
  <c r="K441" i="38"/>
  <c r="J442" i="38"/>
  <c r="K442" i="38"/>
  <c r="G437" i="38"/>
  <c r="G438" i="38"/>
  <c r="G439" i="38"/>
  <c r="G440" i="38"/>
  <c r="G441" i="38"/>
  <c r="G442" i="38"/>
  <c r="M31" i="45" l="1"/>
  <c r="M61" i="45" s="1"/>
  <c r="M34" i="45"/>
  <c r="M29" i="45"/>
  <c r="M27" i="45"/>
  <c r="M35" i="45"/>
  <c r="M30" i="45"/>
  <c r="L26" i="45"/>
  <c r="M32" i="45"/>
  <c r="M36" i="45"/>
  <c r="M66" i="45" s="1"/>
  <c r="M37" i="45"/>
  <c r="M67" i="45" s="1"/>
  <c r="M33" i="45"/>
  <c r="M23" i="45"/>
  <c r="M25" i="45"/>
  <c r="M24" i="45"/>
  <c r="M21" i="45"/>
  <c r="M22" i="45"/>
  <c r="M20" i="45"/>
  <c r="M19" i="45"/>
  <c r="M26" i="45"/>
  <c r="K41" i="45"/>
  <c r="M39" i="45"/>
  <c r="L42" i="45"/>
  <c r="M40" i="45"/>
  <c r="M41" i="45"/>
  <c r="M42" i="45"/>
  <c r="L41" i="45"/>
  <c r="M43" i="45"/>
  <c r="L32" i="45"/>
  <c r="G26" i="45"/>
  <c r="L30" i="45"/>
  <c r="J26" i="45"/>
  <c r="C26" i="45"/>
  <c r="K26" i="45"/>
  <c r="L21" i="45"/>
  <c r="L25" i="45"/>
  <c r="L57" i="45" s="1"/>
  <c r="E26" i="45"/>
  <c r="I26" i="45"/>
  <c r="L37" i="45"/>
  <c r="L67" i="45" s="1"/>
  <c r="L19" i="45"/>
  <c r="L23" i="45"/>
  <c r="L55" i="45" s="1"/>
  <c r="L40" i="45"/>
  <c r="L35" i="45"/>
  <c r="L36" i="45"/>
  <c r="L66" i="45" s="1"/>
  <c r="L29" i="45"/>
  <c r="L22" i="45"/>
  <c r="L54" i="45" s="1"/>
  <c r="F26" i="45"/>
  <c r="L43" i="45"/>
  <c r="L39" i="45"/>
  <c r="L33" i="45"/>
  <c r="L31" i="45"/>
  <c r="L61" i="45" s="1"/>
  <c r="L20" i="45"/>
  <c r="L24" i="45"/>
  <c r="L56" i="45" s="1"/>
  <c r="H26" i="45"/>
  <c r="L17" i="45"/>
  <c r="L34" i="45"/>
  <c r="K30" i="45"/>
  <c r="K22" i="45"/>
  <c r="K54" i="45" s="1"/>
  <c r="K29" i="45"/>
  <c r="K42" i="45"/>
  <c r="K24" i="45"/>
  <c r="K56" i="45" s="1"/>
  <c r="K36" i="45"/>
  <c r="K66" i="45" s="1"/>
  <c r="K32" i="45"/>
  <c r="K17" i="45"/>
  <c r="K19" i="45"/>
  <c r="K23" i="45"/>
  <c r="K55" i="45" s="1"/>
  <c r="K34" i="45"/>
  <c r="K31" i="45"/>
  <c r="K61" i="45" s="1"/>
  <c r="K35" i="45"/>
  <c r="K40" i="45"/>
  <c r="K20" i="45"/>
  <c r="K43" i="45"/>
  <c r="K39" i="45"/>
  <c r="K25" i="45"/>
  <c r="K57" i="45" s="1"/>
  <c r="K21" i="45"/>
  <c r="K37" i="45"/>
  <c r="K33" i="45"/>
  <c r="R38" i="45"/>
  <c r="J25" i="45"/>
  <c r="J57" i="45" s="1"/>
  <c r="J22" i="45"/>
  <c r="J54" i="45" s="1"/>
  <c r="I25" i="45"/>
  <c r="I57" i="45" s="1"/>
  <c r="I36" i="45"/>
  <c r="I66" i="45" s="1"/>
  <c r="J33" i="45"/>
  <c r="J23" i="45"/>
  <c r="J55" i="45" s="1"/>
  <c r="J36" i="45"/>
  <c r="J66" i="45" s="1"/>
  <c r="J32" i="45"/>
  <c r="J24" i="45"/>
  <c r="J56" i="45" s="1"/>
  <c r="J21" i="45"/>
  <c r="I29" i="45"/>
  <c r="J35" i="45"/>
  <c r="J31" i="45"/>
  <c r="J61" i="45" s="1"/>
  <c r="J29" i="45"/>
  <c r="J20" i="45"/>
  <c r="J19" i="45"/>
  <c r="J17" i="45"/>
  <c r="I19" i="45"/>
  <c r="H36" i="45"/>
  <c r="H66" i="45" s="1"/>
  <c r="J34" i="45"/>
  <c r="J30" i="45"/>
  <c r="I42" i="45"/>
  <c r="J41" i="45"/>
  <c r="I40" i="45"/>
  <c r="I43" i="45"/>
  <c r="J40" i="45"/>
  <c r="I39" i="45"/>
  <c r="J43" i="45"/>
  <c r="J39" i="45"/>
  <c r="H40" i="45"/>
  <c r="J42" i="45"/>
  <c r="I41" i="45"/>
  <c r="I22" i="45"/>
  <c r="I54" i="45" s="1"/>
  <c r="I33" i="45"/>
  <c r="I32" i="45"/>
  <c r="I35" i="45"/>
  <c r="I31" i="45"/>
  <c r="I61" i="45" s="1"/>
  <c r="I34" i="45"/>
  <c r="I30" i="45"/>
  <c r="E36" i="45"/>
  <c r="E66" i="45" s="1"/>
  <c r="C36" i="45"/>
  <c r="C66" i="45" s="1"/>
  <c r="F36" i="45"/>
  <c r="F66" i="45" s="1"/>
  <c r="I23" i="45"/>
  <c r="I55" i="45" s="1"/>
  <c r="G36" i="45"/>
  <c r="G66" i="45" s="1"/>
  <c r="I24" i="45"/>
  <c r="I56" i="45" s="1"/>
  <c r="E43" i="45"/>
  <c r="C43" i="45"/>
  <c r="H43" i="45"/>
  <c r="D43" i="45"/>
  <c r="G43" i="45"/>
  <c r="F43" i="45"/>
  <c r="H19" i="45"/>
  <c r="F17" i="45"/>
  <c r="H25" i="45"/>
  <c r="H57" i="45" s="1"/>
  <c r="H21" i="45"/>
  <c r="G17" i="45"/>
  <c r="I21" i="45"/>
  <c r="D17" i="45"/>
  <c r="I17" i="45"/>
  <c r="G19" i="45"/>
  <c r="E17" i="45"/>
  <c r="H17" i="45"/>
  <c r="G21" i="45"/>
  <c r="G2429" i="38"/>
  <c r="H22" i="45"/>
  <c r="H54" i="45" s="1"/>
  <c r="H23" i="45"/>
  <c r="H55" i="45" s="1"/>
  <c r="H42" i="45"/>
  <c r="H31" i="45"/>
  <c r="H61" i="45" s="1"/>
  <c r="H39" i="45"/>
  <c r="H29" i="45"/>
  <c r="H33" i="45"/>
  <c r="H30" i="45"/>
  <c r="H34" i="45"/>
  <c r="H41" i="45"/>
  <c r="H20" i="45"/>
  <c r="H24" i="45"/>
  <c r="H56" i="45" s="1"/>
  <c r="H32" i="45"/>
  <c r="H35" i="45"/>
  <c r="G29" i="45"/>
  <c r="F29" i="45"/>
  <c r="J754" i="38"/>
  <c r="K754" i="38"/>
  <c r="J755" i="38"/>
  <c r="K755" i="38"/>
  <c r="G754" i="38"/>
  <c r="G755" i="38"/>
  <c r="J1621" i="38"/>
  <c r="K1621" i="38"/>
  <c r="J1622" i="38"/>
  <c r="K1622" i="38"/>
  <c r="J1623" i="38"/>
  <c r="K1623" i="38"/>
  <c r="J1624" i="38"/>
  <c r="K1624" i="38"/>
  <c r="G1621" i="38"/>
  <c r="G1622" i="38"/>
  <c r="G1623" i="38"/>
  <c r="G1624" i="38"/>
  <c r="G741" i="38"/>
  <c r="J741" i="38"/>
  <c r="K741" i="38"/>
  <c r="G742" i="38"/>
  <c r="J742" i="38"/>
  <c r="K742" i="38"/>
  <c r="J1609" i="38"/>
  <c r="K1609" i="38"/>
  <c r="J1610" i="38"/>
  <c r="K1610" i="38"/>
  <c r="J1611" i="38"/>
  <c r="K1611" i="38"/>
  <c r="J1612" i="38"/>
  <c r="K1612" i="38"/>
  <c r="J1613" i="38"/>
  <c r="K1613" i="38"/>
  <c r="J1614" i="38"/>
  <c r="K1614" i="38"/>
  <c r="J1615" i="38"/>
  <c r="K1615" i="38"/>
  <c r="J1616" i="38"/>
  <c r="K1616" i="38"/>
  <c r="J1617" i="38"/>
  <c r="K1617" i="38"/>
  <c r="J1618" i="38"/>
  <c r="K1618" i="38"/>
  <c r="J1619" i="38"/>
  <c r="K1619" i="38"/>
  <c r="J1620" i="38"/>
  <c r="K1620" i="38"/>
  <c r="G1609" i="38"/>
  <c r="G1610" i="38"/>
  <c r="G1611" i="38"/>
  <c r="G1612" i="38"/>
  <c r="G1613" i="38"/>
  <c r="G1614" i="38"/>
  <c r="G1615" i="38"/>
  <c r="G1616" i="38"/>
  <c r="G1617" i="38"/>
  <c r="G1618" i="38"/>
  <c r="G1619" i="38"/>
  <c r="G1620" i="38"/>
  <c r="J739" i="38"/>
  <c r="K739" i="38"/>
  <c r="J740" i="38"/>
  <c r="K740" i="38"/>
  <c r="G739" i="38"/>
  <c r="G740" i="38"/>
  <c r="K18" i="45" l="1"/>
  <c r="L18" i="45"/>
  <c r="M28" i="45"/>
  <c r="M59" i="45"/>
  <c r="M18" i="45"/>
  <c r="I18" i="45"/>
  <c r="H18" i="45"/>
  <c r="J18" i="45"/>
  <c r="O26" i="45"/>
  <c r="Q26" i="45" s="1"/>
  <c r="M38" i="45"/>
  <c r="L28" i="45"/>
  <c r="L59" i="45"/>
  <c r="L51" i="45"/>
  <c r="L38" i="45"/>
  <c r="H59" i="45"/>
  <c r="H28" i="45"/>
  <c r="F59" i="45"/>
  <c r="J51" i="45"/>
  <c r="K59" i="45"/>
  <c r="K28" i="45"/>
  <c r="G51" i="45"/>
  <c r="H51" i="45"/>
  <c r="G59" i="45"/>
  <c r="I59" i="45"/>
  <c r="I28" i="45"/>
  <c r="K51" i="45"/>
  <c r="I51" i="45"/>
  <c r="J59" i="45"/>
  <c r="J28" i="45"/>
  <c r="K38" i="45"/>
  <c r="O37" i="45"/>
  <c r="Q37" i="45" s="1"/>
  <c r="K67" i="45"/>
  <c r="O67" i="45" s="1"/>
  <c r="O36" i="45"/>
  <c r="Q36" i="45" s="1"/>
  <c r="I38" i="45"/>
  <c r="J38" i="45"/>
  <c r="O43" i="45"/>
  <c r="Q43" i="45" s="1"/>
  <c r="H38" i="45"/>
  <c r="J1075" i="38"/>
  <c r="K1075" i="38"/>
  <c r="J1076" i="38"/>
  <c r="K1076" i="38"/>
  <c r="J1077" i="38"/>
  <c r="K1077" i="38"/>
  <c r="J1078" i="38"/>
  <c r="K1078" i="38"/>
  <c r="J1079" i="38"/>
  <c r="K1079" i="38"/>
  <c r="G1075" i="38"/>
  <c r="G1076" i="38"/>
  <c r="G1077" i="38"/>
  <c r="G1078" i="38"/>
  <c r="G1079" i="38"/>
  <c r="J1605" i="38"/>
  <c r="K1605" i="38"/>
  <c r="J1606" i="38"/>
  <c r="K1606" i="38"/>
  <c r="J1607" i="38"/>
  <c r="K1607" i="38"/>
  <c r="J1608" i="38"/>
  <c r="K1608" i="38"/>
  <c r="G1605" i="38"/>
  <c r="G1606" i="38"/>
  <c r="G1607" i="38"/>
  <c r="G1608" i="38"/>
  <c r="J737" i="38"/>
  <c r="K737" i="38"/>
  <c r="J738" i="38"/>
  <c r="K738" i="38"/>
  <c r="G737" i="38"/>
  <c r="G738" i="38"/>
  <c r="J1599" i="38"/>
  <c r="K1599" i="38"/>
  <c r="J1600" i="38"/>
  <c r="K1600" i="38"/>
  <c r="J1601" i="38"/>
  <c r="K1601" i="38"/>
  <c r="J1602" i="38"/>
  <c r="K1602" i="38"/>
  <c r="J1603" i="38"/>
  <c r="K1603" i="38"/>
  <c r="J1604" i="38"/>
  <c r="K1604" i="38"/>
  <c r="G1599" i="38"/>
  <c r="G1600" i="38"/>
  <c r="G1601" i="38"/>
  <c r="G1602" i="38"/>
  <c r="G1603" i="38"/>
  <c r="G1604" i="38"/>
  <c r="H736" i="38"/>
  <c r="J735" i="38"/>
  <c r="K735" i="38"/>
  <c r="J736" i="38"/>
  <c r="K736" i="38"/>
  <c r="G735" i="38"/>
  <c r="G736" i="38"/>
  <c r="J1443" i="38"/>
  <c r="K1443" i="38"/>
  <c r="J1593" i="38"/>
  <c r="K1593" i="38"/>
  <c r="J1594" i="38"/>
  <c r="K1594" i="38"/>
  <c r="J1595" i="38"/>
  <c r="K1595" i="38"/>
  <c r="J1596" i="38"/>
  <c r="K1596" i="38"/>
  <c r="J1597" i="38"/>
  <c r="K1597" i="38"/>
  <c r="J1598" i="38"/>
  <c r="K1598" i="38"/>
  <c r="G1443" i="38"/>
  <c r="G1593" i="38"/>
  <c r="G1594" i="38"/>
  <c r="G1595" i="38"/>
  <c r="G1596" i="38"/>
  <c r="G1597" i="38"/>
  <c r="G1598" i="38"/>
  <c r="F7" i="38"/>
  <c r="J1587" i="38"/>
  <c r="K1587" i="38"/>
  <c r="J1433" i="38"/>
  <c r="K1433" i="38"/>
  <c r="G1587" i="38"/>
  <c r="G1433" i="38"/>
  <c r="J1586" i="38"/>
  <c r="K1586" i="38"/>
  <c r="J1589" i="38"/>
  <c r="K1589" i="38"/>
  <c r="J1590" i="38"/>
  <c r="K1590" i="38"/>
  <c r="J1591" i="38"/>
  <c r="K1591" i="38"/>
  <c r="G1586" i="38"/>
  <c r="G1589" i="38"/>
  <c r="G1590" i="38"/>
  <c r="G1591" i="38"/>
  <c r="J120" i="38"/>
  <c r="K120" i="38"/>
  <c r="J121" i="38"/>
  <c r="K121" i="38"/>
  <c r="J122" i="38"/>
  <c r="K122" i="38"/>
  <c r="G120" i="38"/>
  <c r="G121" i="38"/>
  <c r="G122" i="38"/>
  <c r="J1579" i="38"/>
  <c r="K1579" i="38"/>
  <c r="J1580" i="38"/>
  <c r="K1580" i="38"/>
  <c r="J1581" i="38"/>
  <c r="K1581" i="38"/>
  <c r="J1578" i="38"/>
  <c r="K1578" i="38"/>
  <c r="J1582" i="38"/>
  <c r="K1582" i="38"/>
  <c r="J1583" i="38"/>
  <c r="K1583" i="38"/>
  <c r="J1584" i="38"/>
  <c r="K1584" i="38"/>
  <c r="J1585" i="38"/>
  <c r="K1585" i="38"/>
  <c r="G1579" i="38"/>
  <c r="G1580" i="38"/>
  <c r="G1581" i="38"/>
  <c r="G1578" i="38"/>
  <c r="G1582" i="38"/>
  <c r="G1583" i="38"/>
  <c r="G1584" i="38"/>
  <c r="G1585" i="38"/>
  <c r="J1573" i="38"/>
  <c r="K1573" i="38"/>
  <c r="J1401" i="38"/>
  <c r="K1401" i="38"/>
  <c r="G1573" i="38"/>
  <c r="G1401" i="38"/>
  <c r="J1572" i="38"/>
  <c r="K1572" i="38"/>
  <c r="J1575" i="38"/>
  <c r="K1575" i="38"/>
  <c r="J1576" i="38"/>
  <c r="K1576" i="38"/>
  <c r="J1577" i="38"/>
  <c r="K1577" i="38"/>
  <c r="G1572" i="38"/>
  <c r="G1575" i="38"/>
  <c r="G1576" i="38"/>
  <c r="G1577" i="38"/>
  <c r="J119" i="38"/>
  <c r="K119" i="38"/>
  <c r="G119" i="38"/>
  <c r="J1565" i="38"/>
  <c r="K1565" i="38"/>
  <c r="J1566" i="38"/>
  <c r="K1566" i="38"/>
  <c r="J1567" i="38"/>
  <c r="K1567" i="38"/>
  <c r="J1568" i="38"/>
  <c r="K1568" i="38"/>
  <c r="J1569" i="38"/>
  <c r="K1569" i="38"/>
  <c r="J1570" i="38"/>
  <c r="K1570" i="38"/>
  <c r="J1571" i="38"/>
  <c r="K1571" i="38"/>
  <c r="G1565" i="38"/>
  <c r="G1566" i="38"/>
  <c r="G1567" i="38"/>
  <c r="G1568" i="38"/>
  <c r="G1569" i="38"/>
  <c r="G1570" i="38"/>
  <c r="G1571" i="38"/>
  <c r="J110" i="38"/>
  <c r="K110" i="38"/>
  <c r="J111" i="38"/>
  <c r="K111" i="38"/>
  <c r="J112" i="38"/>
  <c r="K112" i="38"/>
  <c r="J113" i="38"/>
  <c r="K113" i="38"/>
  <c r="J114" i="38"/>
  <c r="K114" i="38"/>
  <c r="J115" i="38"/>
  <c r="K115" i="38"/>
  <c r="J116" i="38"/>
  <c r="K116" i="38"/>
  <c r="J117" i="38"/>
  <c r="K117" i="38"/>
  <c r="J118" i="38"/>
  <c r="K118" i="38"/>
  <c r="G114" i="38"/>
  <c r="G115" i="38"/>
  <c r="G116" i="38"/>
  <c r="G117" i="38"/>
  <c r="G110" i="38"/>
  <c r="G111" i="38"/>
  <c r="G112" i="38"/>
  <c r="G113" i="38"/>
  <c r="G118" i="38"/>
  <c r="J434" i="38"/>
  <c r="K434" i="38"/>
  <c r="J435" i="38"/>
  <c r="K435" i="38"/>
  <c r="J436" i="38"/>
  <c r="K436" i="38"/>
  <c r="G434" i="38"/>
  <c r="G435" i="38"/>
  <c r="G436" i="38"/>
  <c r="I16" i="45" l="1"/>
  <c r="I44" i="45" s="1"/>
  <c r="H16" i="45"/>
  <c r="K16" i="45"/>
  <c r="L16" i="45"/>
  <c r="J16" i="45"/>
  <c r="J1557" i="38"/>
  <c r="K1557" i="38"/>
  <c r="J1558" i="38"/>
  <c r="K1558" i="38"/>
  <c r="J1559" i="38"/>
  <c r="K1559" i="38"/>
  <c r="J1560" i="38"/>
  <c r="K1560" i="38"/>
  <c r="J1561" i="38"/>
  <c r="K1561" i="38"/>
  <c r="J1562" i="38"/>
  <c r="K1562" i="38"/>
  <c r="J1563" i="38"/>
  <c r="K1563" i="38"/>
  <c r="J1564" i="38"/>
  <c r="K1564" i="38"/>
  <c r="G1557" i="38"/>
  <c r="G1558" i="38"/>
  <c r="G1559" i="38"/>
  <c r="G1560" i="38"/>
  <c r="G1561" i="38"/>
  <c r="G1562" i="38"/>
  <c r="G1563" i="38"/>
  <c r="G1564" i="38"/>
  <c r="J1546" i="38"/>
  <c r="K1546" i="38"/>
  <c r="J1542" i="38"/>
  <c r="K1542" i="38"/>
  <c r="J1548" i="38"/>
  <c r="K1548" i="38"/>
  <c r="J1549" i="38"/>
  <c r="K1549" i="38"/>
  <c r="J1550" i="38"/>
  <c r="K1550" i="38"/>
  <c r="G1550" i="38"/>
  <c r="G1546" i="38"/>
  <c r="G1542" i="38"/>
  <c r="G1548" i="38"/>
  <c r="G1549" i="38"/>
  <c r="J1544" i="38" l="1"/>
  <c r="K1544" i="38"/>
  <c r="J1545" i="38"/>
  <c r="K1545" i="38"/>
  <c r="J1547" i="38"/>
  <c r="K1547" i="38"/>
  <c r="J1551" i="38"/>
  <c r="K1551" i="38"/>
  <c r="J1552" i="38"/>
  <c r="K1552" i="38"/>
  <c r="J1399" i="38"/>
  <c r="K1399" i="38"/>
  <c r="J1554" i="38"/>
  <c r="K1554" i="38"/>
  <c r="J1555" i="38"/>
  <c r="K1555" i="38"/>
  <c r="J1556" i="38"/>
  <c r="K1556" i="38"/>
  <c r="G1544" i="38"/>
  <c r="G1545" i="38"/>
  <c r="G1547" i="38"/>
  <c r="G1551" i="38"/>
  <c r="G1552" i="38"/>
  <c r="G1399" i="38"/>
  <c r="G1554" i="38"/>
  <c r="G1555" i="38"/>
  <c r="G1556" i="38"/>
  <c r="K30" i="44"/>
  <c r="K16" i="44"/>
  <c r="E16" i="44"/>
  <c r="H18" i="44"/>
  <c r="J18" i="44" s="1"/>
  <c r="K18" i="44" s="1"/>
  <c r="G29" i="44"/>
  <c r="G18" i="44"/>
  <c r="F18" i="44"/>
  <c r="Q15" i="42"/>
  <c r="J733" i="38"/>
  <c r="K733" i="38"/>
  <c r="J734" i="38"/>
  <c r="K734" i="38"/>
  <c r="G733" i="38"/>
  <c r="G734" i="38"/>
  <c r="J1070" i="38"/>
  <c r="K1070" i="38"/>
  <c r="J1071" i="38"/>
  <c r="K1071" i="38"/>
  <c r="J1072" i="38"/>
  <c r="K1072" i="38"/>
  <c r="J1073" i="38"/>
  <c r="K1073" i="38"/>
  <c r="J1074" i="38"/>
  <c r="K1074" i="38"/>
  <c r="G1070" i="38"/>
  <c r="G1071" i="38"/>
  <c r="G1072" i="38"/>
  <c r="G1073" i="38"/>
  <c r="G1074" i="38"/>
  <c r="J2416" i="38"/>
  <c r="K2416" i="38"/>
  <c r="G2416" i="38"/>
  <c r="J1531" i="38"/>
  <c r="K1531" i="38"/>
  <c r="J1532" i="38"/>
  <c r="K1532" i="38"/>
  <c r="J1533" i="38"/>
  <c r="K1533" i="38"/>
  <c r="J1534" i="38"/>
  <c r="K1534" i="38"/>
  <c r="J1535" i="38"/>
  <c r="K1535" i="38"/>
  <c r="J1536" i="38"/>
  <c r="K1536" i="38"/>
  <c r="J1537" i="38"/>
  <c r="K1537" i="38"/>
  <c r="J1384" i="38"/>
  <c r="K1384" i="38"/>
  <c r="J1539" i="38"/>
  <c r="K1539" i="38"/>
  <c r="J1540" i="38"/>
  <c r="K1540" i="38"/>
  <c r="J1541" i="38"/>
  <c r="K1541" i="38"/>
  <c r="J1543" i="38"/>
  <c r="K1543" i="38"/>
  <c r="G1531" i="38"/>
  <c r="G1532" i="38"/>
  <c r="G1533" i="38"/>
  <c r="G1534" i="38"/>
  <c r="G1535" i="38"/>
  <c r="G1536" i="38"/>
  <c r="G1537" i="38"/>
  <c r="G1384" i="38"/>
  <c r="G1539" i="38"/>
  <c r="G1540" i="38"/>
  <c r="G1541" i="38"/>
  <c r="G1543" i="38"/>
  <c r="J730" i="38"/>
  <c r="J731" i="38"/>
  <c r="K14" i="42"/>
  <c r="K731" i="38"/>
  <c r="J732" i="38"/>
  <c r="K732" i="38"/>
  <c r="G730" i="38"/>
  <c r="G731" i="38"/>
  <c r="G732" i="38"/>
  <c r="J1524" i="38"/>
  <c r="K1524" i="38"/>
  <c r="J1525" i="38"/>
  <c r="K1525" i="38"/>
  <c r="J1526" i="38"/>
  <c r="K1526" i="38"/>
  <c r="J1527" i="38"/>
  <c r="K1527" i="38"/>
  <c r="J1528" i="38"/>
  <c r="K1528" i="38"/>
  <c r="J1529" i="38"/>
  <c r="K1529" i="38"/>
  <c r="J1530" i="38"/>
  <c r="K1530" i="38"/>
  <c r="G1524" i="38"/>
  <c r="G1525" i="38"/>
  <c r="G1526" i="38"/>
  <c r="G1527" i="38"/>
  <c r="G1528" i="38"/>
  <c r="G1529" i="38"/>
  <c r="G1530" i="38"/>
  <c r="K730" i="38"/>
  <c r="G1523" i="38"/>
  <c r="G1519" i="38"/>
  <c r="G1520" i="38"/>
  <c r="G1521" i="38"/>
  <c r="G1522" i="38"/>
  <c r="J1519" i="38"/>
  <c r="K1519" i="38"/>
  <c r="J1520" i="38"/>
  <c r="K1520" i="38"/>
  <c r="J1521" i="38"/>
  <c r="K1521" i="38"/>
  <c r="J1522" i="38"/>
  <c r="K1522" i="38"/>
  <c r="J1523" i="38"/>
  <c r="K1523" i="38"/>
  <c r="J109" i="38"/>
  <c r="K109" i="38"/>
  <c r="G109" i="38"/>
  <c r="J1502" i="38"/>
  <c r="K1502" i="38"/>
  <c r="J1503" i="38"/>
  <c r="K1503" i="38"/>
  <c r="J1504" i="38"/>
  <c r="K1504" i="38"/>
  <c r="J1364" i="38"/>
  <c r="K1364" i="38"/>
  <c r="J1506" i="38"/>
  <c r="K1506" i="38"/>
  <c r="J1507" i="38"/>
  <c r="K1507" i="38"/>
  <c r="J1508" i="38"/>
  <c r="K1508" i="38"/>
  <c r="J1509" i="38"/>
  <c r="K1509" i="38"/>
  <c r="J1510" i="38"/>
  <c r="K1510" i="38"/>
  <c r="J1511" i="38"/>
  <c r="K1511" i="38"/>
  <c r="J1512" i="38"/>
  <c r="K1512" i="38"/>
  <c r="J1513" i="38"/>
  <c r="K1513" i="38"/>
  <c r="J1514" i="38"/>
  <c r="K1514" i="38"/>
  <c r="J1515" i="38"/>
  <c r="K1515" i="38"/>
  <c r="J1516" i="38"/>
  <c r="K1516" i="38"/>
  <c r="J1517" i="38"/>
  <c r="K1517" i="38"/>
  <c r="J1518" i="38"/>
  <c r="K1518" i="38"/>
  <c r="G1502" i="38"/>
  <c r="G1503" i="38"/>
  <c r="G1504" i="38"/>
  <c r="G1364" i="38"/>
  <c r="G1506" i="38"/>
  <c r="G1507" i="38"/>
  <c r="G1508" i="38"/>
  <c r="G1509" i="38"/>
  <c r="G1510" i="38"/>
  <c r="G1511" i="38"/>
  <c r="G1512" i="38"/>
  <c r="G1513" i="38"/>
  <c r="G1514" i="38"/>
  <c r="G1515" i="38"/>
  <c r="G1516" i="38"/>
  <c r="G1517" i="38"/>
  <c r="G1518" i="38"/>
  <c r="G31" i="46" l="1"/>
  <c r="F31" i="46"/>
  <c r="E31" i="46"/>
  <c r="D31" i="46"/>
  <c r="C31" i="46"/>
  <c r="G22" i="46"/>
  <c r="F22" i="46"/>
  <c r="E22" i="46"/>
  <c r="D22" i="46"/>
  <c r="C22" i="46"/>
  <c r="H30" i="46"/>
  <c r="I30" i="46"/>
  <c r="J30" i="46"/>
  <c r="K30" i="46"/>
  <c r="L30" i="46"/>
  <c r="M30" i="46"/>
  <c r="N30" i="46"/>
  <c r="H21" i="46"/>
  <c r="I21" i="46"/>
  <c r="J21" i="46"/>
  <c r="K21" i="46"/>
  <c r="L21" i="46"/>
  <c r="M21" i="46"/>
  <c r="N21" i="46"/>
  <c r="J17" i="46"/>
  <c r="K17" i="46"/>
  <c r="L17" i="46"/>
  <c r="M17" i="46"/>
  <c r="N17" i="46"/>
  <c r="C19" i="46"/>
  <c r="D19" i="46"/>
  <c r="G19" i="46"/>
  <c r="F19" i="46"/>
  <c r="E19" i="46"/>
  <c r="L28" i="46"/>
  <c r="G29" i="46"/>
  <c r="G28" i="46"/>
  <c r="C29" i="46"/>
  <c r="N29" i="46"/>
  <c r="M29" i="46"/>
  <c r="L29" i="46"/>
  <c r="K29" i="46"/>
  <c r="J29" i="46"/>
  <c r="I29" i="46"/>
  <c r="H29" i="46"/>
  <c r="F29" i="46"/>
  <c r="E29" i="46"/>
  <c r="D29" i="46"/>
  <c r="E28" i="46"/>
  <c r="N28" i="46"/>
  <c r="M28" i="46"/>
  <c r="K28" i="46"/>
  <c r="J28" i="46"/>
  <c r="I28" i="46"/>
  <c r="H28" i="46"/>
  <c r="F28" i="46"/>
  <c r="D28" i="46"/>
  <c r="C28" i="46"/>
  <c r="O33" i="46"/>
  <c r="O20" i="46"/>
  <c r="O24" i="46"/>
  <c r="Q13" i="42"/>
  <c r="J2415" i="38"/>
  <c r="K2415" i="38"/>
  <c r="G1500" i="38"/>
  <c r="J1490" i="38"/>
  <c r="K1490" i="38"/>
  <c r="J1491" i="38"/>
  <c r="K1491" i="38"/>
  <c r="J1492" i="38"/>
  <c r="K1492" i="38"/>
  <c r="J1317" i="38"/>
  <c r="K1317" i="38"/>
  <c r="J1494" i="38"/>
  <c r="K1494" i="38"/>
  <c r="J1501" i="38"/>
  <c r="K1501" i="38"/>
  <c r="J1495" i="38"/>
  <c r="K1495" i="38"/>
  <c r="J1496" i="38"/>
  <c r="K1496" i="38"/>
  <c r="J1497" i="38"/>
  <c r="K1497" i="38"/>
  <c r="J1498" i="38"/>
  <c r="K1498" i="38"/>
  <c r="J1499" i="38"/>
  <c r="K1499" i="38"/>
  <c r="J1500" i="38"/>
  <c r="K1500" i="38"/>
  <c r="G1492" i="38"/>
  <c r="G1317" i="38"/>
  <c r="G1494" i="38"/>
  <c r="G1501" i="38"/>
  <c r="G1495" i="38"/>
  <c r="G1496" i="38"/>
  <c r="G1497" i="38"/>
  <c r="G1498" i="38"/>
  <c r="G1499" i="38"/>
  <c r="J1486" i="38"/>
  <c r="K1486" i="38"/>
  <c r="J1487" i="38"/>
  <c r="K1487" i="38"/>
  <c r="J1488" i="38"/>
  <c r="K1488" i="38"/>
  <c r="J1489" i="38"/>
  <c r="K1489" i="38"/>
  <c r="G1487" i="38"/>
  <c r="G1488" i="38"/>
  <c r="G1489" i="38"/>
  <c r="G1490" i="38"/>
  <c r="G1491" i="38"/>
  <c r="J429" i="38"/>
  <c r="K429" i="38"/>
  <c r="J430" i="38"/>
  <c r="K430" i="38"/>
  <c r="J431" i="38"/>
  <c r="K431" i="38"/>
  <c r="J432" i="38"/>
  <c r="K432" i="38"/>
  <c r="J433" i="38"/>
  <c r="K433" i="38"/>
  <c r="G429" i="38"/>
  <c r="G430" i="38"/>
  <c r="G431" i="38"/>
  <c r="G432" i="38"/>
  <c r="G433" i="38"/>
  <c r="J729" i="38"/>
  <c r="K729" i="38"/>
  <c r="G729" i="38"/>
  <c r="J1479" i="38"/>
  <c r="K1479" i="38"/>
  <c r="J1480" i="38"/>
  <c r="K1480" i="38"/>
  <c r="J1481" i="38"/>
  <c r="K1481" i="38"/>
  <c r="J1308" i="38"/>
  <c r="K1308" i="38"/>
  <c r="J1483" i="38"/>
  <c r="K1483" i="38"/>
  <c r="J1484" i="38"/>
  <c r="K1484" i="38"/>
  <c r="J1485" i="38"/>
  <c r="K1485" i="38"/>
  <c r="G1479" i="38"/>
  <c r="G1480" i="38"/>
  <c r="G1481" i="38"/>
  <c r="G1308" i="38"/>
  <c r="G1483" i="38"/>
  <c r="G1484" i="38"/>
  <c r="G1485" i="38"/>
  <c r="G1486" i="38"/>
  <c r="J1470" i="38"/>
  <c r="K1470" i="38"/>
  <c r="J1471" i="38"/>
  <c r="K1471" i="38"/>
  <c r="J1472" i="38"/>
  <c r="K1472" i="38"/>
  <c r="J1473" i="38"/>
  <c r="K1473" i="38"/>
  <c r="J1474" i="38"/>
  <c r="K1474" i="38"/>
  <c r="J1475" i="38"/>
  <c r="K1475" i="38"/>
  <c r="J1476" i="38"/>
  <c r="K1476" i="38"/>
  <c r="J1477" i="38"/>
  <c r="K1477" i="38"/>
  <c r="J1478" i="38"/>
  <c r="K1478" i="38"/>
  <c r="G1470" i="38"/>
  <c r="G1471" i="38"/>
  <c r="G1472" i="38"/>
  <c r="G1473" i="38"/>
  <c r="G1474" i="38"/>
  <c r="G1475" i="38"/>
  <c r="G1476" i="38"/>
  <c r="G1477" i="38"/>
  <c r="G1478" i="38"/>
  <c r="J96" i="38"/>
  <c r="K96" i="38"/>
  <c r="J97" i="38"/>
  <c r="K97" i="38"/>
  <c r="J98" i="38"/>
  <c r="K98" i="38"/>
  <c r="J99" i="38"/>
  <c r="K99" i="38"/>
  <c r="J100" i="38"/>
  <c r="K100" i="38"/>
  <c r="J101" i="38"/>
  <c r="K101" i="38"/>
  <c r="J102" i="38"/>
  <c r="K102" i="38"/>
  <c r="J103" i="38"/>
  <c r="K103" i="38"/>
  <c r="J104" i="38"/>
  <c r="K104" i="38"/>
  <c r="J105" i="38"/>
  <c r="K105" i="38"/>
  <c r="J106" i="38"/>
  <c r="K106" i="38"/>
  <c r="J107" i="38"/>
  <c r="K107" i="38"/>
  <c r="J108" i="38"/>
  <c r="K108" i="38"/>
  <c r="G96" i="38"/>
  <c r="G97" i="38"/>
  <c r="G98" i="38"/>
  <c r="G99" i="38"/>
  <c r="G100" i="38"/>
  <c r="G101" i="38"/>
  <c r="G102" i="38"/>
  <c r="G103" i="38"/>
  <c r="G104" i="38"/>
  <c r="G105" i="38"/>
  <c r="G106" i="38"/>
  <c r="G107" i="38"/>
  <c r="G108" i="38"/>
  <c r="J419" i="38"/>
  <c r="K419" i="38"/>
  <c r="J420" i="38"/>
  <c r="K420" i="38"/>
  <c r="J421" i="38"/>
  <c r="K421" i="38"/>
  <c r="J422" i="38"/>
  <c r="K422" i="38"/>
  <c r="J423" i="38"/>
  <c r="K423" i="38"/>
  <c r="J424" i="38"/>
  <c r="K424" i="38"/>
  <c r="J425" i="38"/>
  <c r="K425" i="38"/>
  <c r="J426" i="38"/>
  <c r="K426" i="38"/>
  <c r="J427" i="38"/>
  <c r="K427" i="38"/>
  <c r="J428" i="38"/>
  <c r="K428" i="38"/>
  <c r="G423" i="38"/>
  <c r="G424" i="38"/>
  <c r="G425" i="38"/>
  <c r="G426" i="38"/>
  <c r="G427" i="38"/>
  <c r="G428" i="38"/>
  <c r="G419" i="38"/>
  <c r="G420" i="38"/>
  <c r="G421" i="38"/>
  <c r="G422" i="38"/>
  <c r="J720" i="38"/>
  <c r="K720" i="38"/>
  <c r="J721" i="38"/>
  <c r="K721" i="38"/>
  <c r="J722" i="38"/>
  <c r="K722" i="38"/>
  <c r="J723" i="38"/>
  <c r="K723" i="38"/>
  <c r="J724" i="38"/>
  <c r="K724" i="38"/>
  <c r="J725" i="38"/>
  <c r="K725" i="38"/>
  <c r="J726" i="38"/>
  <c r="K726" i="38"/>
  <c r="J727" i="38"/>
  <c r="K727" i="38"/>
  <c r="J728" i="38"/>
  <c r="K728" i="38"/>
  <c r="G720" i="38"/>
  <c r="G721" i="38"/>
  <c r="G722" i="38"/>
  <c r="G723" i="38"/>
  <c r="G724" i="38"/>
  <c r="G725" i="38"/>
  <c r="G726" i="38"/>
  <c r="G727" i="38"/>
  <c r="G728" i="38"/>
  <c r="J1462" i="38"/>
  <c r="K1462" i="38"/>
  <c r="J1463" i="38"/>
  <c r="K1463" i="38"/>
  <c r="J1464" i="38"/>
  <c r="K1464" i="38"/>
  <c r="J1465" i="38"/>
  <c r="K1465" i="38"/>
  <c r="J1466" i="38"/>
  <c r="K1466" i="38"/>
  <c r="J1467" i="38"/>
  <c r="K1467" i="38"/>
  <c r="J1468" i="38"/>
  <c r="K1468" i="38"/>
  <c r="J1469" i="38"/>
  <c r="K1469" i="38"/>
  <c r="G1462" i="38"/>
  <c r="G1463" i="38"/>
  <c r="G1464" i="38"/>
  <c r="G1465" i="38"/>
  <c r="G1466" i="38"/>
  <c r="G1467" i="38"/>
  <c r="G1468" i="38"/>
  <c r="G1469" i="38"/>
  <c r="G1068" i="38"/>
  <c r="G1069" i="38"/>
  <c r="J1068" i="38"/>
  <c r="K1068" i="38"/>
  <c r="J1069" i="38"/>
  <c r="K1069" i="38"/>
  <c r="J1451" i="38"/>
  <c r="K1451" i="38"/>
  <c r="J1452" i="38"/>
  <c r="K1452" i="38"/>
  <c r="J1453" i="38"/>
  <c r="K1453" i="38"/>
  <c r="J1454" i="38"/>
  <c r="K1454" i="38"/>
  <c r="J1455" i="38"/>
  <c r="K1455" i="38"/>
  <c r="J1456" i="38"/>
  <c r="K1456" i="38"/>
  <c r="J1457" i="38"/>
  <c r="K1457" i="38"/>
  <c r="J1458" i="38"/>
  <c r="K1458" i="38"/>
  <c r="J1459" i="38"/>
  <c r="K1459" i="38"/>
  <c r="J1460" i="38"/>
  <c r="K1460" i="38"/>
  <c r="J1461" i="38"/>
  <c r="K1461" i="38"/>
  <c r="G1451" i="38"/>
  <c r="G1452" i="38"/>
  <c r="G1453" i="38"/>
  <c r="G1454" i="38"/>
  <c r="G1455" i="38"/>
  <c r="G1456" i="38"/>
  <c r="G1457" i="38"/>
  <c r="G1458" i="38"/>
  <c r="G1459" i="38"/>
  <c r="G1460" i="38"/>
  <c r="G1461" i="38"/>
  <c r="J403" i="38"/>
  <c r="K403" i="38"/>
  <c r="J404" i="38"/>
  <c r="K404" i="38"/>
  <c r="J405" i="38"/>
  <c r="K405" i="38"/>
  <c r="J406" i="38"/>
  <c r="K406" i="38"/>
  <c r="J407" i="38"/>
  <c r="K407" i="38"/>
  <c r="J408" i="38"/>
  <c r="K408" i="38"/>
  <c r="J1171" i="38"/>
  <c r="K1171" i="38"/>
  <c r="J410" i="38"/>
  <c r="K410" i="38"/>
  <c r="J411" i="38"/>
  <c r="K411" i="38"/>
  <c r="J412" i="38"/>
  <c r="K412" i="38"/>
  <c r="J413" i="38"/>
  <c r="K413" i="38"/>
  <c r="J414" i="38"/>
  <c r="K414" i="38"/>
  <c r="J415" i="38"/>
  <c r="K415" i="38"/>
  <c r="J416" i="38"/>
  <c r="K416" i="38"/>
  <c r="J417" i="38"/>
  <c r="K417" i="38"/>
  <c r="J418" i="38"/>
  <c r="K418" i="38"/>
  <c r="G410" i="38"/>
  <c r="G411" i="38"/>
  <c r="G412" i="38"/>
  <c r="G413" i="38"/>
  <c r="G414" i="38"/>
  <c r="G415" i="38"/>
  <c r="G416" i="38"/>
  <c r="G417" i="38"/>
  <c r="G418" i="38"/>
  <c r="G403" i="38"/>
  <c r="G404" i="38"/>
  <c r="G405" i="38"/>
  <c r="G406" i="38"/>
  <c r="G407" i="38"/>
  <c r="G408" i="38"/>
  <c r="G1171" i="38"/>
  <c r="J995" i="38"/>
  <c r="K995" i="38"/>
  <c r="J95" i="38"/>
  <c r="K95" i="38"/>
  <c r="G995" i="38"/>
  <c r="G95" i="38"/>
  <c r="J1181" i="38"/>
  <c r="K1181" i="38"/>
  <c r="J719" i="38"/>
  <c r="K719" i="38"/>
  <c r="G716" i="38"/>
  <c r="G717" i="38"/>
  <c r="G1181" i="38"/>
  <c r="G719" i="38"/>
  <c r="M16" i="46" l="1"/>
  <c r="L16" i="46"/>
  <c r="N16" i="46"/>
  <c r="J16" i="46"/>
  <c r="O31" i="46"/>
  <c r="O22" i="46"/>
  <c r="K16" i="46"/>
  <c r="O19" i="46"/>
  <c r="O28" i="46"/>
  <c r="O29" i="46"/>
  <c r="J1064" i="38"/>
  <c r="K1064" i="38"/>
  <c r="J1065" i="38"/>
  <c r="K1065" i="38"/>
  <c r="J1066" i="38"/>
  <c r="K1066" i="38"/>
  <c r="J1067" i="38"/>
  <c r="K1067" i="38"/>
  <c r="G1064" i="38"/>
  <c r="G1065" i="38"/>
  <c r="G1066" i="38"/>
  <c r="G1067" i="38"/>
  <c r="J1244" i="38"/>
  <c r="K1244" i="38"/>
  <c r="J1444" i="38"/>
  <c r="K1444" i="38"/>
  <c r="J1445" i="38"/>
  <c r="K1445" i="38"/>
  <c r="J1446" i="38"/>
  <c r="K1446" i="38"/>
  <c r="J1447" i="38"/>
  <c r="K1447" i="38"/>
  <c r="J1448" i="38"/>
  <c r="K1448" i="38"/>
  <c r="J1449" i="38"/>
  <c r="K1449" i="38"/>
  <c r="J1450" i="38"/>
  <c r="K1450" i="38"/>
  <c r="G1244" i="38"/>
  <c r="G1444" i="38"/>
  <c r="G1445" i="38"/>
  <c r="G1446" i="38"/>
  <c r="G1447" i="38"/>
  <c r="G1448" i="38"/>
  <c r="G1449" i="38"/>
  <c r="G1450" i="38"/>
  <c r="J993" i="38"/>
  <c r="K993" i="38"/>
  <c r="J1434" i="38"/>
  <c r="K1434" i="38"/>
  <c r="J1435" i="38"/>
  <c r="K1435" i="38"/>
  <c r="J1436" i="38"/>
  <c r="K1436" i="38"/>
  <c r="J1437" i="38"/>
  <c r="K1437" i="38"/>
  <c r="J1438" i="38"/>
  <c r="K1438" i="38"/>
  <c r="J1439" i="38"/>
  <c r="K1439" i="38"/>
  <c r="J1440" i="38"/>
  <c r="K1440" i="38"/>
  <c r="J1441" i="38"/>
  <c r="K1441" i="38"/>
  <c r="J1442" i="38"/>
  <c r="K1442" i="38"/>
  <c r="G993" i="38"/>
  <c r="G1434" i="38"/>
  <c r="G1435" i="38"/>
  <c r="G1436" i="38"/>
  <c r="G1437" i="38"/>
  <c r="G1438" i="38"/>
  <c r="G1439" i="38"/>
  <c r="G1440" i="38"/>
  <c r="G1441" i="38"/>
  <c r="G1442" i="38"/>
  <c r="Q33" i="42"/>
  <c r="J992" i="38"/>
  <c r="K992" i="38"/>
  <c r="J89" i="38"/>
  <c r="K89" i="38"/>
  <c r="J90" i="38"/>
  <c r="K90" i="38"/>
  <c r="J91" i="38"/>
  <c r="K91" i="38"/>
  <c r="J92" i="38"/>
  <c r="K92" i="38"/>
  <c r="J93" i="38"/>
  <c r="K93" i="38"/>
  <c r="G91" i="38" l="1"/>
  <c r="G92" i="38"/>
  <c r="G93" i="38"/>
  <c r="G992" i="38"/>
  <c r="G89" i="38"/>
  <c r="G90" i="38"/>
  <c r="J715" i="38"/>
  <c r="K715" i="38"/>
  <c r="J716" i="38"/>
  <c r="K716" i="38"/>
  <c r="J717" i="38"/>
  <c r="K717" i="38"/>
  <c r="G715" i="38"/>
  <c r="J1432" i="38"/>
  <c r="K1432" i="38"/>
  <c r="G1432" i="38"/>
  <c r="J968" i="38"/>
  <c r="K968" i="38"/>
  <c r="J398" i="38"/>
  <c r="K398" i="38"/>
  <c r="J399" i="38"/>
  <c r="K399" i="38"/>
  <c r="J400" i="38"/>
  <c r="K400" i="38"/>
  <c r="J401" i="38"/>
  <c r="K401" i="38"/>
  <c r="J402" i="38"/>
  <c r="K402" i="38"/>
  <c r="G968" i="38"/>
  <c r="G398" i="38"/>
  <c r="G399" i="38"/>
  <c r="G400" i="38"/>
  <c r="G401" i="38"/>
  <c r="G402" i="38"/>
  <c r="K13" i="42"/>
  <c r="G2415" i="38"/>
  <c r="J388" i="38"/>
  <c r="K388" i="38"/>
  <c r="J389" i="38"/>
  <c r="K389" i="38"/>
  <c r="J390" i="38"/>
  <c r="K390" i="38"/>
  <c r="J391" i="38"/>
  <c r="K391" i="38"/>
  <c r="J392" i="38"/>
  <c r="K392" i="38"/>
  <c r="J393" i="38"/>
  <c r="K393" i="38"/>
  <c r="J394" i="38"/>
  <c r="K394" i="38"/>
  <c r="J395" i="38"/>
  <c r="K395" i="38"/>
  <c r="J396" i="38"/>
  <c r="K396" i="38"/>
  <c r="J1426" i="38"/>
  <c r="K1426" i="38"/>
  <c r="J1427" i="38"/>
  <c r="K1427" i="38"/>
  <c r="J1428" i="38"/>
  <c r="K1428" i="38"/>
  <c r="J1429" i="38"/>
  <c r="K1429" i="38"/>
  <c r="J1430" i="38"/>
  <c r="K1430" i="38"/>
  <c r="J1431" i="38"/>
  <c r="K1431" i="38"/>
  <c r="G389" i="38"/>
  <c r="G390" i="38"/>
  <c r="G391" i="38"/>
  <c r="G392" i="38"/>
  <c r="G393" i="38"/>
  <c r="G394" i="38"/>
  <c r="G395" i="38"/>
  <c r="G396" i="38"/>
  <c r="G388" i="38"/>
  <c r="G1427" i="38"/>
  <c r="G1428" i="38"/>
  <c r="G1429" i="38"/>
  <c r="G1430" i="38"/>
  <c r="G1431" i="38"/>
  <c r="G1426" i="38"/>
  <c r="G713" i="38"/>
  <c r="J713" i="38"/>
  <c r="K713" i="38"/>
  <c r="G714" i="38"/>
  <c r="J714" i="38"/>
  <c r="K714" i="38"/>
  <c r="J385" i="38"/>
  <c r="K385" i="38"/>
  <c r="J386" i="38"/>
  <c r="K386" i="38"/>
  <c r="J387" i="38"/>
  <c r="K387" i="38"/>
  <c r="G385" i="38"/>
  <c r="G386" i="38"/>
  <c r="G387" i="38"/>
  <c r="J1417" i="38"/>
  <c r="K1417" i="38"/>
  <c r="J1418" i="38"/>
  <c r="K1418" i="38"/>
  <c r="J1419" i="38"/>
  <c r="K1419" i="38"/>
  <c r="J1420" i="38"/>
  <c r="K1420" i="38"/>
  <c r="J1421" i="38"/>
  <c r="K1421" i="38"/>
  <c r="J1422" i="38"/>
  <c r="K1422" i="38"/>
  <c r="J1423" i="38"/>
  <c r="K1423" i="38"/>
  <c r="J1424" i="38"/>
  <c r="K1424" i="38"/>
  <c r="J1425" i="38"/>
  <c r="K1425" i="38"/>
  <c r="G1417" i="38"/>
  <c r="G1418" i="38"/>
  <c r="G1419" i="38"/>
  <c r="G1420" i="38"/>
  <c r="G1421" i="38"/>
  <c r="G1422" i="38"/>
  <c r="G1423" i="38"/>
  <c r="G1424" i="38"/>
  <c r="G1425" i="38"/>
  <c r="J712" i="38"/>
  <c r="K712" i="38"/>
  <c r="G712" i="38"/>
  <c r="J378" i="38"/>
  <c r="K378" i="38"/>
  <c r="J379" i="38"/>
  <c r="K379" i="38"/>
  <c r="J380" i="38"/>
  <c r="K380" i="38"/>
  <c r="J381" i="38"/>
  <c r="K381" i="38"/>
  <c r="J382" i="38"/>
  <c r="K382" i="38"/>
  <c r="J383" i="38"/>
  <c r="K383" i="38"/>
  <c r="J384" i="38"/>
  <c r="K384" i="38"/>
  <c r="J927" i="38"/>
  <c r="K927" i="38"/>
  <c r="J709" i="38"/>
  <c r="K709" i="38"/>
  <c r="J710" i="38"/>
  <c r="K710" i="38"/>
  <c r="J711" i="38"/>
  <c r="K711" i="38"/>
  <c r="G927" i="38"/>
  <c r="G709" i="38"/>
  <c r="G710" i="38"/>
  <c r="G711" i="38"/>
  <c r="J1414" i="38"/>
  <c r="K1414" i="38"/>
  <c r="J1415" i="38"/>
  <c r="K1415" i="38"/>
  <c r="J1416" i="38"/>
  <c r="K1416" i="38"/>
  <c r="G1414" i="38"/>
  <c r="G1415" i="38"/>
  <c r="G1416" i="38"/>
  <c r="G378" i="38"/>
  <c r="G379" i="38"/>
  <c r="G380" i="38"/>
  <c r="G381" i="38"/>
  <c r="G382" i="38"/>
  <c r="G383" i="38"/>
  <c r="G384" i="38"/>
  <c r="J695" i="38"/>
  <c r="K695" i="38"/>
  <c r="J696" i="38"/>
  <c r="K696" i="38"/>
  <c r="J708" i="38"/>
  <c r="K708" i="38"/>
  <c r="J698" i="38"/>
  <c r="K698" i="38"/>
  <c r="J718" i="38"/>
  <c r="K718" i="38"/>
  <c r="G695" i="38"/>
  <c r="G696" i="38"/>
  <c r="G708" i="38"/>
  <c r="G698" i="38"/>
  <c r="G718" i="38"/>
  <c r="J694" i="38"/>
  <c r="K694" i="38"/>
  <c r="J700" i="38"/>
  <c r="K700" i="38"/>
  <c r="J701" i="38"/>
  <c r="K701" i="38"/>
  <c r="J702" i="38"/>
  <c r="K702" i="38"/>
  <c r="J703" i="38"/>
  <c r="K703" i="38"/>
  <c r="J705" i="38"/>
  <c r="K705" i="38"/>
  <c r="J706" i="38"/>
  <c r="K706" i="38"/>
  <c r="J707" i="38"/>
  <c r="K707" i="38"/>
  <c r="G694" i="38"/>
  <c r="G700" i="38"/>
  <c r="G701" i="38"/>
  <c r="G702" i="38"/>
  <c r="G703" i="38"/>
  <c r="G705" i="38"/>
  <c r="G706" i="38"/>
  <c r="G707" i="38"/>
  <c r="K375" i="38"/>
  <c r="J375" i="38"/>
  <c r="K374" i="38"/>
  <c r="J374" i="38"/>
  <c r="K373" i="38"/>
  <c r="J373" i="38"/>
  <c r="K372" i="38"/>
  <c r="J372" i="38"/>
  <c r="G372" i="38"/>
  <c r="G373" i="38"/>
  <c r="G374" i="38"/>
  <c r="G375" i="38"/>
  <c r="J377" i="38"/>
  <c r="K377" i="38"/>
  <c r="G377" i="38"/>
  <c r="J691" i="38"/>
  <c r="K691" i="38"/>
  <c r="J704" i="38"/>
  <c r="K704" i="38"/>
  <c r="J692" i="38"/>
  <c r="K692" i="38"/>
  <c r="J693" i="38"/>
  <c r="K693" i="38"/>
  <c r="G691" i="38"/>
  <c r="G704" i="38"/>
  <c r="G692" i="38"/>
  <c r="G693" i="38"/>
  <c r="H691" i="38"/>
  <c r="H704" i="38"/>
  <c r="H692" i="38"/>
  <c r="H693" i="38"/>
  <c r="Q34" i="42"/>
  <c r="K376" i="38"/>
  <c r="J376" i="38"/>
  <c r="K370" i="38"/>
  <c r="J370" i="38"/>
  <c r="K354" i="38"/>
  <c r="J354" i="38"/>
  <c r="K350" i="38"/>
  <c r="J350" i="38"/>
  <c r="K347" i="38"/>
  <c r="J347" i="38"/>
  <c r="K343" i="38"/>
  <c r="J343" i="38"/>
  <c r="K333" i="38"/>
  <c r="J333" i="38"/>
  <c r="K332" i="38"/>
  <c r="J332" i="38"/>
  <c r="K325" i="38"/>
  <c r="J325" i="38"/>
  <c r="K316" i="38"/>
  <c r="J316" i="38"/>
  <c r="K314" i="38"/>
  <c r="J314" i="38"/>
  <c r="K281" i="38"/>
  <c r="J281" i="38"/>
  <c r="K271" i="38"/>
  <c r="J271" i="38"/>
  <c r="K87" i="38"/>
  <c r="J87" i="38"/>
  <c r="K83" i="38"/>
  <c r="J83" i="38"/>
  <c r="K68" i="38"/>
  <c r="J68" i="38"/>
  <c r="G376" i="38"/>
  <c r="G87" i="38"/>
  <c r="J680" i="38"/>
  <c r="K680" i="38"/>
  <c r="J681" i="38"/>
  <c r="K681" i="38"/>
  <c r="J682" i="38"/>
  <c r="K682" i="38"/>
  <c r="J683" i="38"/>
  <c r="K683" i="38"/>
  <c r="J684" i="38"/>
  <c r="K684" i="38"/>
  <c r="J685" i="38"/>
  <c r="K685" i="38"/>
  <c r="J699" i="38"/>
  <c r="K699" i="38"/>
  <c r="J687" i="38"/>
  <c r="K687" i="38"/>
  <c r="J688" i="38"/>
  <c r="K688" i="38"/>
  <c r="J689" i="38"/>
  <c r="K689" i="38"/>
  <c r="J690" i="38"/>
  <c r="K690" i="38"/>
  <c r="G679" i="38"/>
  <c r="G680" i="38"/>
  <c r="G681" i="38"/>
  <c r="G682" i="38"/>
  <c r="G683" i="38"/>
  <c r="G684" i="38"/>
  <c r="G685" i="38"/>
  <c r="G699" i="38"/>
  <c r="G687" i="38"/>
  <c r="G688" i="38"/>
  <c r="G689" i="38"/>
  <c r="G690" i="38"/>
  <c r="J1408" i="38"/>
  <c r="K1408" i="38"/>
  <c r="J1409" i="38"/>
  <c r="K1409" i="38"/>
  <c r="J1410" i="38"/>
  <c r="K1410" i="38"/>
  <c r="J1411" i="38"/>
  <c r="K1411" i="38"/>
  <c r="J1412" i="38"/>
  <c r="K1412" i="38"/>
  <c r="J1413" i="38"/>
  <c r="K1413" i="38"/>
  <c r="G1408" i="38"/>
  <c r="G1409" i="38"/>
  <c r="G1410" i="38"/>
  <c r="G1411" i="38"/>
  <c r="G1412" i="38"/>
  <c r="G1413" i="38"/>
  <c r="J1407" i="38"/>
  <c r="K1407" i="38"/>
  <c r="G1407" i="38"/>
  <c r="Q49" i="42"/>
  <c r="J676" i="38"/>
  <c r="K676" i="38"/>
  <c r="G676" i="38"/>
  <c r="J369" i="38"/>
  <c r="K369" i="38"/>
  <c r="J371" i="38"/>
  <c r="K371" i="38"/>
  <c r="G369" i="38"/>
  <c r="G370" i="38"/>
  <c r="G371" i="38"/>
  <c r="J697" i="38"/>
  <c r="K697" i="38"/>
  <c r="J1402" i="38"/>
  <c r="K1402" i="38"/>
  <c r="J1403" i="38"/>
  <c r="K1403" i="38"/>
  <c r="J1404" i="38"/>
  <c r="K1404" i="38"/>
  <c r="J1405" i="38"/>
  <c r="K1405" i="38"/>
  <c r="J1406" i="38"/>
  <c r="K1406" i="38"/>
  <c r="G697" i="38"/>
  <c r="G1402" i="38"/>
  <c r="G1403" i="38"/>
  <c r="G1404" i="38"/>
  <c r="G1405" i="38"/>
  <c r="G1406" i="38"/>
  <c r="J686" i="38"/>
  <c r="K686" i="38"/>
  <c r="J1400" i="38"/>
  <c r="K1400" i="38"/>
  <c r="G686" i="38"/>
  <c r="G1400" i="38"/>
  <c r="J363" i="38"/>
  <c r="K363" i="38"/>
  <c r="J364" i="38"/>
  <c r="K364" i="38"/>
  <c r="J365" i="38"/>
  <c r="K365" i="38"/>
  <c r="J366" i="38"/>
  <c r="K366" i="38"/>
  <c r="J367" i="38"/>
  <c r="K367" i="38"/>
  <c r="J368" i="38"/>
  <c r="K368" i="38"/>
  <c r="G18" i="46" l="1"/>
  <c r="G17" i="46" s="1"/>
  <c r="K27" i="46"/>
  <c r="K26" i="46" s="1"/>
  <c r="K25" i="46" s="1"/>
  <c r="K34" i="46" s="1"/>
  <c r="G27" i="46"/>
  <c r="G26" i="46" s="1"/>
  <c r="C27" i="46"/>
  <c r="E18" i="46"/>
  <c r="E17" i="46" s="1"/>
  <c r="I18" i="46"/>
  <c r="I17" i="46" s="1"/>
  <c r="I16" i="46" s="1"/>
  <c r="D18" i="46"/>
  <c r="D17" i="46" s="1"/>
  <c r="M27" i="46"/>
  <c r="M26" i="46" s="1"/>
  <c r="M25" i="46" s="1"/>
  <c r="M34" i="46" s="1"/>
  <c r="H18" i="46"/>
  <c r="H17" i="46" s="1"/>
  <c r="H16" i="46" s="1"/>
  <c r="L27" i="46"/>
  <c r="L26" i="46" s="1"/>
  <c r="L25" i="46" s="1"/>
  <c r="L34" i="46" s="1"/>
  <c r="D27" i="46"/>
  <c r="D26" i="46" s="1"/>
  <c r="F18" i="46"/>
  <c r="F17" i="46" s="1"/>
  <c r="N27" i="46"/>
  <c r="N26" i="46" s="1"/>
  <c r="N25" i="46" s="1"/>
  <c r="N34" i="46" s="1"/>
  <c r="J27" i="46"/>
  <c r="J26" i="46" s="1"/>
  <c r="J25" i="46" s="1"/>
  <c r="J34" i="46" s="1"/>
  <c r="F27" i="46"/>
  <c r="F26" i="46" s="1"/>
  <c r="I27" i="46"/>
  <c r="I26" i="46" s="1"/>
  <c r="I25" i="46" s="1"/>
  <c r="E27" i="46"/>
  <c r="E26" i="46" s="1"/>
  <c r="C18" i="46"/>
  <c r="H27" i="46"/>
  <c r="H26" i="46" s="1"/>
  <c r="H25" i="46" s="1"/>
  <c r="E32" i="46"/>
  <c r="E30" i="46" s="1"/>
  <c r="G23" i="46"/>
  <c r="G21" i="46" s="1"/>
  <c r="C23" i="46"/>
  <c r="D32" i="46"/>
  <c r="D30" i="46" s="1"/>
  <c r="F23" i="46"/>
  <c r="F21" i="46" s="1"/>
  <c r="E23" i="46"/>
  <c r="E21" i="46" s="1"/>
  <c r="F32" i="46"/>
  <c r="F30" i="46" s="1"/>
  <c r="C32" i="46"/>
  <c r="D23" i="46"/>
  <c r="D21" i="46" s="1"/>
  <c r="G32" i="46"/>
  <c r="G30" i="46" s="1"/>
  <c r="G363" i="38"/>
  <c r="G364" i="38"/>
  <c r="G365" i="38"/>
  <c r="G366" i="38"/>
  <c r="G367" i="38"/>
  <c r="G368" i="38"/>
  <c r="J1394" i="38"/>
  <c r="K1394" i="38"/>
  <c r="J1395" i="38"/>
  <c r="K1395" i="38"/>
  <c r="J1396" i="38"/>
  <c r="K1396" i="38"/>
  <c r="J1397" i="38"/>
  <c r="K1397" i="38"/>
  <c r="J1398" i="38"/>
  <c r="K1398" i="38"/>
  <c r="G1394" i="38"/>
  <c r="G1395" i="38"/>
  <c r="G1396" i="38"/>
  <c r="G1397" i="38"/>
  <c r="G1398" i="38"/>
  <c r="F25" i="46" l="1"/>
  <c r="G25" i="46"/>
  <c r="I34" i="46"/>
  <c r="H34" i="46"/>
  <c r="F16" i="46"/>
  <c r="C26" i="46"/>
  <c r="O26" i="46" s="1"/>
  <c r="O27" i="46"/>
  <c r="D16" i="46"/>
  <c r="C21" i="46"/>
  <c r="O21" i="46" s="1"/>
  <c r="O23" i="46"/>
  <c r="C17" i="46"/>
  <c r="O18" i="46"/>
  <c r="O32" i="46"/>
  <c r="C30" i="46"/>
  <c r="D25" i="46"/>
  <c r="E25" i="46"/>
  <c r="E16" i="46"/>
  <c r="G16" i="46"/>
  <c r="Q26" i="42"/>
  <c r="Q14" i="42"/>
  <c r="J671" i="38"/>
  <c r="K671" i="38"/>
  <c r="J672" i="38"/>
  <c r="K672" i="38"/>
  <c r="J673" i="38"/>
  <c r="K673" i="38"/>
  <c r="J674" i="38"/>
  <c r="K674" i="38"/>
  <c r="J675" i="38"/>
  <c r="K675" i="38"/>
  <c r="J677" i="38"/>
  <c r="K677" i="38"/>
  <c r="J678" i="38"/>
  <c r="K678" i="38"/>
  <c r="J679" i="38"/>
  <c r="K679" i="38"/>
  <c r="G671" i="38"/>
  <c r="G672" i="38"/>
  <c r="G673" i="38"/>
  <c r="G674" i="38"/>
  <c r="G675" i="38"/>
  <c r="G677" i="38"/>
  <c r="G678" i="38"/>
  <c r="J357" i="38"/>
  <c r="K357" i="38"/>
  <c r="J358" i="38"/>
  <c r="K358" i="38"/>
  <c r="J359" i="38"/>
  <c r="K359" i="38"/>
  <c r="J360" i="38"/>
  <c r="K360" i="38"/>
  <c r="J361" i="38"/>
  <c r="K361" i="38"/>
  <c r="J362" i="38"/>
  <c r="K362" i="38"/>
  <c r="G358" i="38"/>
  <c r="G359" i="38"/>
  <c r="G360" i="38"/>
  <c r="G361" i="38"/>
  <c r="G362" i="38"/>
  <c r="G357" i="38"/>
  <c r="J643" i="38"/>
  <c r="K643" i="38"/>
  <c r="J1385" i="38"/>
  <c r="K1385" i="38"/>
  <c r="J1386" i="38"/>
  <c r="K1386" i="38"/>
  <c r="J1387" i="38"/>
  <c r="K1387" i="38"/>
  <c r="J1388" i="38"/>
  <c r="K1388" i="38"/>
  <c r="J1389" i="38"/>
  <c r="K1389" i="38"/>
  <c r="J1390" i="38"/>
  <c r="K1390" i="38"/>
  <c r="J1391" i="38"/>
  <c r="K1391" i="38"/>
  <c r="J1392" i="38"/>
  <c r="K1392" i="38"/>
  <c r="G643" i="38"/>
  <c r="G1385" i="38"/>
  <c r="G1386" i="38"/>
  <c r="G1387" i="38"/>
  <c r="G1388" i="38"/>
  <c r="G1389" i="38"/>
  <c r="G1390" i="38"/>
  <c r="G1391" i="38"/>
  <c r="G1392" i="38"/>
  <c r="J69" i="38"/>
  <c r="K69" i="38"/>
  <c r="J70" i="38"/>
  <c r="K70" i="38"/>
  <c r="J71" i="38"/>
  <c r="K71" i="38"/>
  <c r="J72" i="38"/>
  <c r="K72" i="38"/>
  <c r="J73" i="38"/>
  <c r="K73" i="38"/>
  <c r="J74" i="38"/>
  <c r="K74" i="38"/>
  <c r="J75" i="38"/>
  <c r="K75" i="38"/>
  <c r="J76" i="38"/>
  <c r="K76" i="38"/>
  <c r="J77" i="38"/>
  <c r="K77" i="38"/>
  <c r="J78" i="38"/>
  <c r="K78" i="38"/>
  <c r="J79" i="38"/>
  <c r="K79" i="38"/>
  <c r="J80" i="38"/>
  <c r="K80" i="38"/>
  <c r="J81" i="38"/>
  <c r="K81" i="38"/>
  <c r="J82" i="38"/>
  <c r="K82" i="38"/>
  <c r="J84" i="38"/>
  <c r="K84" i="38"/>
  <c r="J85" i="38"/>
  <c r="K85" i="38"/>
  <c r="J86" i="38"/>
  <c r="K86" i="38"/>
  <c r="G70" i="38"/>
  <c r="G71" i="38"/>
  <c r="G72" i="38"/>
  <c r="G73" i="38"/>
  <c r="G74" i="38"/>
  <c r="G75" i="38"/>
  <c r="G76" i="38"/>
  <c r="G77" i="38"/>
  <c r="G78" i="38"/>
  <c r="G79" i="38"/>
  <c r="G80" i="38"/>
  <c r="G81" i="38"/>
  <c r="G82" i="38"/>
  <c r="G83" i="38"/>
  <c r="G84" i="38"/>
  <c r="G85" i="38"/>
  <c r="G86" i="38"/>
  <c r="G69" i="38"/>
  <c r="J666" i="38"/>
  <c r="K666" i="38"/>
  <c r="J667" i="38"/>
  <c r="K667" i="38"/>
  <c r="J668" i="38"/>
  <c r="K668" i="38"/>
  <c r="J669" i="38"/>
  <c r="K669" i="38"/>
  <c r="J670" i="38"/>
  <c r="K670" i="38"/>
  <c r="G666" i="38"/>
  <c r="G667" i="38"/>
  <c r="G668" i="38"/>
  <c r="G669" i="38"/>
  <c r="G670" i="38"/>
  <c r="J658" i="38"/>
  <c r="K658" i="38"/>
  <c r="J659" i="38"/>
  <c r="K659" i="38"/>
  <c r="J660" i="38"/>
  <c r="K660" i="38"/>
  <c r="J661" i="38"/>
  <c r="K661" i="38"/>
  <c r="J662" i="38"/>
  <c r="K662" i="38"/>
  <c r="J663" i="38"/>
  <c r="K663" i="38"/>
  <c r="J664" i="38"/>
  <c r="K664" i="38"/>
  <c r="J665" i="38"/>
  <c r="K665" i="38"/>
  <c r="G658" i="38"/>
  <c r="G659" i="38"/>
  <c r="G660" i="38"/>
  <c r="G661" i="38"/>
  <c r="G662" i="38"/>
  <c r="G663" i="38"/>
  <c r="G664" i="38"/>
  <c r="G665" i="38"/>
  <c r="J1393" i="38"/>
  <c r="K1393" i="38"/>
  <c r="G1393" i="38"/>
  <c r="J1374" i="38"/>
  <c r="K1374" i="38"/>
  <c r="J1375" i="38"/>
  <c r="K1375" i="38"/>
  <c r="J1376" i="38"/>
  <c r="K1376" i="38"/>
  <c r="J1377" i="38"/>
  <c r="K1377" i="38"/>
  <c r="J1378" i="38"/>
  <c r="K1378" i="38"/>
  <c r="J1379" i="38"/>
  <c r="K1379" i="38"/>
  <c r="J1380" i="38"/>
  <c r="K1380" i="38"/>
  <c r="J1381" i="38"/>
  <c r="K1381" i="38"/>
  <c r="J1382" i="38"/>
  <c r="K1382" i="38"/>
  <c r="J1383" i="38"/>
  <c r="K1383" i="38"/>
  <c r="G1374" i="38"/>
  <c r="G1375" i="38"/>
  <c r="G1376" i="38"/>
  <c r="G1377" i="38"/>
  <c r="G1378" i="38"/>
  <c r="G1379" i="38"/>
  <c r="G1380" i="38"/>
  <c r="G1381" i="38"/>
  <c r="G1382" i="38"/>
  <c r="G1383" i="38"/>
  <c r="J656" i="38"/>
  <c r="K656" i="38"/>
  <c r="J657" i="38"/>
  <c r="K657" i="38"/>
  <c r="G656" i="38"/>
  <c r="G657" i="38"/>
  <c r="J1062" i="38"/>
  <c r="J1063" i="38"/>
  <c r="K1062" i="38"/>
  <c r="K1063" i="38"/>
  <c r="G1062" i="38"/>
  <c r="G1063" i="38"/>
  <c r="J1372" i="38"/>
  <c r="K1372" i="38"/>
  <c r="J1373" i="38"/>
  <c r="K1373" i="38"/>
  <c r="G1372" i="38"/>
  <c r="G1373" i="38"/>
  <c r="J1059" i="38"/>
  <c r="K1059" i="38"/>
  <c r="J1060" i="38"/>
  <c r="K1060" i="38"/>
  <c r="J1061" i="38"/>
  <c r="K1061" i="38"/>
  <c r="G1059" i="38"/>
  <c r="G1060" i="38"/>
  <c r="G1061" i="38"/>
  <c r="J351" i="38"/>
  <c r="K351" i="38"/>
  <c r="J352" i="38"/>
  <c r="K352" i="38"/>
  <c r="J353" i="38"/>
  <c r="K353" i="38"/>
  <c r="J355" i="38"/>
  <c r="K355" i="38"/>
  <c r="J356" i="38"/>
  <c r="K356" i="38"/>
  <c r="G351" i="38"/>
  <c r="G352" i="38"/>
  <c r="G353" i="38"/>
  <c r="G354" i="38"/>
  <c r="G355" i="38"/>
  <c r="G356" i="38"/>
  <c r="J1366" i="38"/>
  <c r="K1366" i="38"/>
  <c r="J1367" i="38"/>
  <c r="K1367" i="38"/>
  <c r="J1368" i="38"/>
  <c r="K1368" i="38"/>
  <c r="J1369" i="38"/>
  <c r="K1369" i="38"/>
  <c r="J1370" i="38"/>
  <c r="K1370" i="38"/>
  <c r="J1371" i="38"/>
  <c r="K1371" i="38"/>
  <c r="G1366" i="38"/>
  <c r="G1367" i="38"/>
  <c r="G1368" i="38"/>
  <c r="G1369" i="38"/>
  <c r="G1370" i="38"/>
  <c r="G1371" i="38"/>
  <c r="G68" i="38"/>
  <c r="J654" i="38"/>
  <c r="K654" i="38"/>
  <c r="J655" i="38"/>
  <c r="K655" i="38"/>
  <c r="G654" i="38"/>
  <c r="G655" i="38"/>
  <c r="J1362" i="38"/>
  <c r="K1362" i="38"/>
  <c r="J1363" i="38"/>
  <c r="K1363" i="38"/>
  <c r="G1362" i="38"/>
  <c r="G1363" i="38"/>
  <c r="J1359" i="38"/>
  <c r="K1359" i="38"/>
  <c r="J1360" i="38"/>
  <c r="K1360" i="38"/>
  <c r="J1361" i="38"/>
  <c r="K1361" i="38"/>
  <c r="J575" i="38"/>
  <c r="K575" i="38"/>
  <c r="J1365" i="38"/>
  <c r="K1365" i="38"/>
  <c r="G1359" i="38"/>
  <c r="G1360" i="38"/>
  <c r="G1361" i="38"/>
  <c r="G575" i="38"/>
  <c r="G1365" i="38"/>
  <c r="J652" i="38"/>
  <c r="K652" i="38"/>
  <c r="J653" i="38"/>
  <c r="K653" i="38"/>
  <c r="G652" i="38"/>
  <c r="G653" i="38"/>
  <c r="C25" i="46" l="1"/>
  <c r="G34" i="46"/>
  <c r="D34" i="46"/>
  <c r="F34" i="46"/>
  <c r="C16" i="46"/>
  <c r="O17" i="46"/>
  <c r="E34" i="46"/>
  <c r="J1357" i="38"/>
  <c r="K1357" i="38"/>
  <c r="J1358" i="38"/>
  <c r="K1358" i="38"/>
  <c r="G1357" i="38"/>
  <c r="G1358" i="38"/>
  <c r="J1054" i="38"/>
  <c r="K1054" i="38"/>
  <c r="J1055" i="38"/>
  <c r="K1055" i="38"/>
  <c r="J1056" i="38"/>
  <c r="K1056" i="38"/>
  <c r="J1057" i="38"/>
  <c r="K1057" i="38"/>
  <c r="J1058" i="38"/>
  <c r="K1058" i="38"/>
  <c r="G1054" i="38"/>
  <c r="G1055" i="38"/>
  <c r="G1056" i="38"/>
  <c r="G1057" i="38"/>
  <c r="G1058" i="38"/>
  <c r="J1353" i="38"/>
  <c r="K1353" i="38"/>
  <c r="J1354" i="38"/>
  <c r="K1354" i="38"/>
  <c r="J1355" i="38"/>
  <c r="K1355" i="38"/>
  <c r="J1356" i="38"/>
  <c r="K1356" i="38"/>
  <c r="G1353" i="38"/>
  <c r="G1354" i="38"/>
  <c r="G1355" i="38"/>
  <c r="G1356" i="38"/>
  <c r="J348" i="38"/>
  <c r="K348" i="38"/>
  <c r="J349" i="38"/>
  <c r="K349" i="38"/>
  <c r="G350" i="38"/>
  <c r="J1351" i="38"/>
  <c r="K1351" i="38"/>
  <c r="J1352" i="38"/>
  <c r="K1352" i="38"/>
  <c r="G1351" i="38"/>
  <c r="G1352" i="38"/>
  <c r="J1348" i="38"/>
  <c r="K1348" i="38"/>
  <c r="J1349" i="38"/>
  <c r="K1349" i="38"/>
  <c r="J1350" i="38"/>
  <c r="K1350" i="38"/>
  <c r="G1348" i="38"/>
  <c r="G1349" i="38"/>
  <c r="G1350" i="38"/>
  <c r="G348" i="38"/>
  <c r="G349" i="38"/>
  <c r="J1345" i="38"/>
  <c r="K1345" i="38"/>
  <c r="J1346" i="38"/>
  <c r="K1346" i="38"/>
  <c r="J1347" i="38"/>
  <c r="K1347" i="38"/>
  <c r="G1345" i="38"/>
  <c r="G1346" i="38"/>
  <c r="G1347" i="38"/>
  <c r="J651" i="38"/>
  <c r="K651" i="38"/>
  <c r="G651" i="38"/>
  <c r="G347" i="38"/>
  <c r="J1332" i="38"/>
  <c r="K1332" i="38"/>
  <c r="G1332" i="38"/>
  <c r="J1333" i="38"/>
  <c r="K1333" i="38"/>
  <c r="J1334" i="38"/>
  <c r="K1334" i="38"/>
  <c r="J1335" i="38"/>
  <c r="K1335" i="38"/>
  <c r="J1336" i="38"/>
  <c r="K1336" i="38"/>
  <c r="J1337" i="38"/>
  <c r="K1337" i="38"/>
  <c r="J1338" i="38"/>
  <c r="K1338" i="38"/>
  <c r="J1339" i="38"/>
  <c r="K1339" i="38"/>
  <c r="J1340" i="38"/>
  <c r="K1340" i="38"/>
  <c r="J1341" i="38"/>
  <c r="K1341" i="38"/>
  <c r="J1342" i="38"/>
  <c r="K1342" i="38"/>
  <c r="G1341" i="38"/>
  <c r="G1342" i="38"/>
  <c r="G1339" i="38"/>
  <c r="G1340" i="38"/>
  <c r="G1333" i="38"/>
  <c r="G1334" i="38"/>
  <c r="G1335" i="38"/>
  <c r="G1336" i="38"/>
  <c r="G1337" i="38"/>
  <c r="G1338" i="38"/>
  <c r="J1328" i="38"/>
  <c r="K1328" i="38"/>
  <c r="J1329" i="38"/>
  <c r="K1329" i="38"/>
  <c r="J559" i="38"/>
  <c r="K559" i="38"/>
  <c r="J1331" i="38"/>
  <c r="K1331" i="38"/>
  <c r="J1343" i="38"/>
  <c r="K1343" i="38"/>
  <c r="J1344" i="38"/>
  <c r="K1344" i="38"/>
  <c r="G1328" i="38"/>
  <c r="G1329" i="38"/>
  <c r="G559" i="38"/>
  <c r="G1331" i="38"/>
  <c r="G1343" i="38"/>
  <c r="G1344" i="38"/>
  <c r="J649" i="38"/>
  <c r="K649" i="38"/>
  <c r="J650" i="38"/>
  <c r="K650" i="38"/>
  <c r="G649" i="38"/>
  <c r="G650" i="38"/>
  <c r="D21" i="44"/>
  <c r="Q37" i="42"/>
  <c r="Q38" i="42"/>
  <c r="J546" i="38"/>
  <c r="K546" i="38"/>
  <c r="J1327" i="38"/>
  <c r="K1327" i="38"/>
  <c r="G546" i="38"/>
  <c r="G1327" i="38"/>
  <c r="C34" i="46" l="1"/>
  <c r="C35" i="46" s="1"/>
  <c r="D35" i="46" s="1"/>
  <c r="E35" i="46" s="1"/>
  <c r="F35" i="46" s="1"/>
  <c r="G35" i="46" s="1"/>
  <c r="H35" i="46" s="1"/>
  <c r="I35" i="46" s="1"/>
  <c r="J35" i="46" s="1"/>
  <c r="K35" i="46" s="1"/>
  <c r="L35" i="46" s="1"/>
  <c r="M35" i="46" s="1"/>
  <c r="N35" i="46" s="1"/>
  <c r="J648" i="38"/>
  <c r="K648" i="38"/>
  <c r="G648" i="38"/>
  <c r="J1323" i="38"/>
  <c r="K1323" i="38"/>
  <c r="J1321" i="38"/>
  <c r="K1321" i="38"/>
  <c r="J1322" i="38"/>
  <c r="K1322" i="38"/>
  <c r="J1324" i="38"/>
  <c r="K1324" i="38"/>
  <c r="J1325" i="38"/>
  <c r="K1325" i="38"/>
  <c r="G1323" i="38"/>
  <c r="G1321" i="38"/>
  <c r="G1322" i="38"/>
  <c r="G1324" i="38"/>
  <c r="G1325" i="38"/>
  <c r="J646" i="38"/>
  <c r="K646" i="38"/>
  <c r="J647" i="38"/>
  <c r="K647" i="38"/>
  <c r="G646" i="38"/>
  <c r="G647" i="38"/>
  <c r="J1320" i="38"/>
  <c r="K1320" i="38"/>
  <c r="G1320" i="38"/>
  <c r="J346" i="38"/>
  <c r="K346" i="38"/>
  <c r="J345" i="38"/>
  <c r="K345" i="38"/>
  <c r="G343" i="38"/>
  <c r="G346" i="38"/>
  <c r="G345" i="38"/>
  <c r="J339" i="38"/>
  <c r="K339" i="38"/>
  <c r="J340" i="38"/>
  <c r="K340" i="38"/>
  <c r="J341" i="38"/>
  <c r="K341" i="38"/>
  <c r="J342" i="38"/>
  <c r="K342" i="38"/>
  <c r="G342" i="38"/>
  <c r="G339" i="38"/>
  <c r="G340" i="38"/>
  <c r="G341" i="38"/>
  <c r="J331" i="38"/>
  <c r="K331" i="38"/>
  <c r="J67" i="38"/>
  <c r="K67" i="38"/>
  <c r="G331" i="38"/>
  <c r="G67" i="38"/>
  <c r="J397" i="38"/>
  <c r="K397" i="38"/>
  <c r="J644" i="38"/>
  <c r="K644" i="38"/>
  <c r="J645" i="38"/>
  <c r="K645" i="38"/>
  <c r="G397" i="38"/>
  <c r="G644" i="38"/>
  <c r="G645" i="38"/>
  <c r="J409" i="38"/>
  <c r="K409" i="38"/>
  <c r="J1318" i="38"/>
  <c r="K1318" i="38"/>
  <c r="J1319" i="38"/>
  <c r="K1319" i="38"/>
  <c r="G409" i="38"/>
  <c r="G1318" i="38"/>
  <c r="G1319" i="38"/>
  <c r="G640" i="38"/>
  <c r="G641" i="38"/>
  <c r="G642" i="38"/>
  <c r="J640" i="38"/>
  <c r="K640" i="38"/>
  <c r="J641" i="38"/>
  <c r="K641" i="38"/>
  <c r="J642" i="38"/>
  <c r="K642" i="38"/>
  <c r="J1314" i="38"/>
  <c r="K1314" i="38"/>
  <c r="J1315" i="38"/>
  <c r="K1315" i="38"/>
  <c r="J1316" i="38"/>
  <c r="K1316" i="38"/>
  <c r="G1314" i="38"/>
  <c r="G1315" i="38"/>
  <c r="G1316" i="38"/>
  <c r="J285" i="38"/>
  <c r="K285" i="38"/>
  <c r="J334" i="38"/>
  <c r="K334" i="38"/>
  <c r="J335" i="38"/>
  <c r="K335" i="38"/>
  <c r="J336" i="38"/>
  <c r="K336" i="38"/>
  <c r="J337" i="38"/>
  <c r="K337" i="38"/>
  <c r="J338" i="38"/>
  <c r="K338" i="38"/>
  <c r="G285" i="38"/>
  <c r="G332" i="38"/>
  <c r="G333" i="38"/>
  <c r="G334" i="38"/>
  <c r="G335" i="38"/>
  <c r="G336" i="38"/>
  <c r="G337" i="38"/>
  <c r="G338" i="38"/>
  <c r="J638" i="38"/>
  <c r="K638" i="38"/>
  <c r="J639" i="38"/>
  <c r="K639" i="38"/>
  <c r="G638" i="38"/>
  <c r="G639" i="38"/>
  <c r="J1309" i="38"/>
  <c r="K1309" i="38"/>
  <c r="J1310" i="38"/>
  <c r="K1310" i="38"/>
  <c r="J1311" i="38"/>
  <c r="K1311" i="38"/>
  <c r="J1312" i="38"/>
  <c r="K1312" i="38"/>
  <c r="J1313" i="38"/>
  <c r="K1313" i="38"/>
  <c r="G1309" i="38"/>
  <c r="G1310" i="38"/>
  <c r="G1311" i="38"/>
  <c r="G1312" i="38"/>
  <c r="G1313" i="38"/>
  <c r="J637" i="38"/>
  <c r="K637" i="38"/>
  <c r="G637" i="38"/>
  <c r="J1303" i="38"/>
  <c r="K1303" i="38"/>
  <c r="J1304" i="38"/>
  <c r="K1304" i="38"/>
  <c r="J1305" i="38"/>
  <c r="K1305" i="38"/>
  <c r="J1306" i="38"/>
  <c r="K1306" i="38"/>
  <c r="J1307" i="38"/>
  <c r="K1307" i="38"/>
  <c r="J324" i="38"/>
  <c r="K324" i="38"/>
  <c r="G1303" i="38"/>
  <c r="G1304" i="38"/>
  <c r="G1305" i="38"/>
  <c r="G1306" i="38"/>
  <c r="G1307" i="38"/>
  <c r="G324" i="38"/>
  <c r="J260" i="38"/>
  <c r="K260" i="38"/>
  <c r="J326" i="38"/>
  <c r="K326" i="38"/>
  <c r="J327" i="38"/>
  <c r="K327" i="38"/>
  <c r="J328" i="38"/>
  <c r="K328" i="38"/>
  <c r="J329" i="38"/>
  <c r="K329" i="38"/>
  <c r="J330" i="38"/>
  <c r="K330" i="38"/>
  <c r="G260" i="38"/>
  <c r="G325" i="38"/>
  <c r="G326" i="38"/>
  <c r="G327" i="38"/>
  <c r="G328" i="38"/>
  <c r="G329" i="38"/>
  <c r="G330" i="38"/>
  <c r="J315" i="38"/>
  <c r="K315" i="38"/>
  <c r="J317" i="38"/>
  <c r="K317" i="38"/>
  <c r="J318" i="38"/>
  <c r="K318" i="38"/>
  <c r="J319" i="38"/>
  <c r="K319" i="38"/>
  <c r="J320" i="38"/>
  <c r="K320" i="38"/>
  <c r="J321" i="38"/>
  <c r="K321" i="38"/>
  <c r="J322" i="38"/>
  <c r="K322" i="38"/>
  <c r="J323" i="38"/>
  <c r="K323" i="38"/>
  <c r="G316" i="38"/>
  <c r="G317" i="38"/>
  <c r="G318" i="38"/>
  <c r="G319" i="38"/>
  <c r="G320" i="38"/>
  <c r="G321" i="38"/>
  <c r="G314" i="38"/>
  <c r="G315" i="38"/>
  <c r="G322" i="38"/>
  <c r="G323" i="38"/>
  <c r="J57" i="38"/>
  <c r="K57" i="38"/>
  <c r="J58" i="38"/>
  <c r="K58" i="38"/>
  <c r="J59" i="38"/>
  <c r="K59" i="38"/>
  <c r="J60" i="38"/>
  <c r="K60" i="38"/>
  <c r="J61" i="38"/>
  <c r="K61" i="38"/>
  <c r="J62" i="38"/>
  <c r="K62" i="38"/>
  <c r="J63" i="38"/>
  <c r="K63" i="38"/>
  <c r="J64" i="38"/>
  <c r="K64" i="38"/>
  <c r="J65" i="38"/>
  <c r="K65" i="38"/>
  <c r="G58" i="38"/>
  <c r="G59" i="38"/>
  <c r="G60" i="38"/>
  <c r="G61" i="38"/>
  <c r="G62" i="38"/>
  <c r="G63" i="38"/>
  <c r="G64" i="38"/>
  <c r="G65" i="38"/>
  <c r="G57" i="38"/>
  <c r="J625" i="38"/>
  <c r="K625" i="38"/>
  <c r="J626" i="38"/>
  <c r="K626" i="38"/>
  <c r="J627" i="38"/>
  <c r="K627" i="38"/>
  <c r="J628" i="38"/>
  <c r="K628" i="38"/>
  <c r="J629" i="38"/>
  <c r="K629" i="38"/>
  <c r="J630" i="38"/>
  <c r="K630" i="38"/>
  <c r="J631" i="38"/>
  <c r="K631" i="38"/>
  <c r="J632" i="38"/>
  <c r="K632" i="38"/>
  <c r="J633" i="38"/>
  <c r="K633" i="38"/>
  <c r="J634" i="38"/>
  <c r="K634" i="38"/>
  <c r="J635" i="38"/>
  <c r="K635" i="38"/>
  <c r="J636" i="38"/>
  <c r="K636" i="38"/>
  <c r="G625" i="38"/>
  <c r="G626" i="38"/>
  <c r="G627" i="38"/>
  <c r="G628" i="38"/>
  <c r="G629" i="38"/>
  <c r="G630" i="38"/>
  <c r="G631" i="38"/>
  <c r="G632" i="38"/>
  <c r="G633" i="38"/>
  <c r="G634" i="38"/>
  <c r="G635" i="38"/>
  <c r="G636" i="38"/>
  <c r="J1291" i="38"/>
  <c r="K1291" i="38"/>
  <c r="J1292" i="38"/>
  <c r="K1292" i="38"/>
  <c r="J1293" i="38"/>
  <c r="K1293" i="38"/>
  <c r="J1294" i="38"/>
  <c r="K1294" i="38"/>
  <c r="J1295" i="38"/>
  <c r="K1295" i="38"/>
  <c r="J1296" i="38"/>
  <c r="K1296" i="38"/>
  <c r="J1297" i="38"/>
  <c r="K1297" i="38"/>
  <c r="J1298" i="38"/>
  <c r="K1298" i="38"/>
  <c r="J1299" i="38"/>
  <c r="K1299" i="38"/>
  <c r="J1300" i="38"/>
  <c r="K1300" i="38"/>
  <c r="J1301" i="38"/>
  <c r="K1301" i="38"/>
  <c r="J1302" i="38"/>
  <c r="K1302" i="38"/>
  <c r="G1291" i="38"/>
  <c r="G1292" i="38"/>
  <c r="G1293" i="38"/>
  <c r="G1294" i="38"/>
  <c r="G1295" i="38"/>
  <c r="G1296" i="38"/>
  <c r="G1297" i="38"/>
  <c r="G1298" i="38"/>
  <c r="G1299" i="38"/>
  <c r="G1300" i="38"/>
  <c r="G1301" i="38"/>
  <c r="G1302" i="38"/>
  <c r="G32" i="45" l="1"/>
  <c r="G20" i="45"/>
  <c r="G22" i="45"/>
  <c r="G54" i="45" s="1"/>
  <c r="G25" i="45"/>
  <c r="G57" i="45" s="1"/>
  <c r="G40" i="45"/>
  <c r="G34" i="45"/>
  <c r="G33" i="45"/>
  <c r="G23" i="45"/>
  <c r="G55" i="45" s="1"/>
  <c r="G39" i="45"/>
  <c r="G30" i="45"/>
  <c r="G35" i="45"/>
  <c r="G24" i="45"/>
  <c r="G56" i="45" s="1"/>
  <c r="G41" i="45"/>
  <c r="G42" i="45"/>
  <c r="G31" i="45"/>
  <c r="G61" i="45" s="1"/>
  <c r="F39" i="45"/>
  <c r="F32" i="45"/>
  <c r="F25" i="45"/>
  <c r="F57" i="45" s="1"/>
  <c r="F21" i="45"/>
  <c r="F42" i="45"/>
  <c r="F24" i="45"/>
  <c r="F56" i="45" s="1"/>
  <c r="F41" i="45"/>
  <c r="F34" i="45"/>
  <c r="F30" i="45"/>
  <c r="F23" i="45"/>
  <c r="F55" i="45" s="1"/>
  <c r="F40" i="45"/>
  <c r="F33" i="45"/>
  <c r="F22" i="45"/>
  <c r="F54" i="45" s="1"/>
  <c r="F19" i="45"/>
  <c r="F35" i="45"/>
  <c r="F31" i="45"/>
  <c r="F61" i="45" s="1"/>
  <c r="F20" i="45"/>
  <c r="E31" i="45"/>
  <c r="E61" i="45" s="1"/>
  <c r="E19" i="45"/>
  <c r="E29" i="45"/>
  <c r="E35" i="45"/>
  <c r="E22" i="45"/>
  <c r="E54" i="45" s="1"/>
  <c r="C21" i="45"/>
  <c r="C19" i="45"/>
  <c r="E33" i="45"/>
  <c r="E25" i="45"/>
  <c r="E57" i="45" s="1"/>
  <c r="E20" i="45"/>
  <c r="C34" i="45"/>
  <c r="E23" i="45"/>
  <c r="E55" i="45" s="1"/>
  <c r="E32" i="45"/>
  <c r="C25" i="45"/>
  <c r="C33" i="45"/>
  <c r="C20" i="45"/>
  <c r="C32" i="45"/>
  <c r="E24" i="45"/>
  <c r="E56" i="45" s="1"/>
  <c r="E34" i="45"/>
  <c r="E30" i="45"/>
  <c r="E21" i="45"/>
  <c r="C23" i="45"/>
  <c r="C29" i="45"/>
  <c r="C31" i="45"/>
  <c r="C61" i="45" s="1"/>
  <c r="C22" i="45"/>
  <c r="C35" i="45"/>
  <c r="C30" i="45"/>
  <c r="C24" i="45"/>
  <c r="C42" i="45"/>
  <c r="C41" i="45"/>
  <c r="C40" i="45"/>
  <c r="C39" i="45"/>
  <c r="D41" i="45"/>
  <c r="D42" i="45"/>
  <c r="E42" i="45"/>
  <c r="E39" i="45"/>
  <c r="E40" i="45"/>
  <c r="E41" i="45"/>
  <c r="D39" i="45"/>
  <c r="D21" i="45"/>
  <c r="J1290" i="38"/>
  <c r="K1290" i="38"/>
  <c r="G1290" i="38"/>
  <c r="J624" i="38"/>
  <c r="K624" i="38"/>
  <c r="G624" i="38"/>
  <c r="J1287" i="38"/>
  <c r="K1287" i="38"/>
  <c r="J1288" i="38"/>
  <c r="K1288" i="38"/>
  <c r="J1289" i="38"/>
  <c r="K1289" i="38"/>
  <c r="G1287" i="38"/>
  <c r="G1288" i="38"/>
  <c r="G1289" i="38"/>
  <c r="J312" i="38"/>
  <c r="K312" i="38"/>
  <c r="J313" i="38"/>
  <c r="K313" i="38"/>
  <c r="G312" i="38"/>
  <c r="G313" i="38"/>
  <c r="K1286" i="38"/>
  <c r="J1286" i="38"/>
  <c r="K1285" i="38"/>
  <c r="J1285" i="38"/>
  <c r="K1284" i="38"/>
  <c r="J1284" i="38"/>
  <c r="G1286" i="38"/>
  <c r="G1285" i="38"/>
  <c r="G1284" i="38"/>
  <c r="J1052" i="38"/>
  <c r="K1052" i="38"/>
  <c r="J1053" i="38"/>
  <c r="K1053" i="38"/>
  <c r="G1052" i="38"/>
  <c r="G1053" i="38"/>
  <c r="J1283" i="38"/>
  <c r="K1283" i="38"/>
  <c r="J1279" i="38"/>
  <c r="K1279" i="38"/>
  <c r="J1280" i="38"/>
  <c r="K1280" i="38"/>
  <c r="J1281" i="38"/>
  <c r="K1281" i="38"/>
  <c r="J1282" i="38"/>
  <c r="K1282" i="38"/>
  <c r="G1279" i="38"/>
  <c r="G1280" i="38"/>
  <c r="G1281" i="38"/>
  <c r="G1282" i="38"/>
  <c r="G1283" i="38"/>
  <c r="J1049" i="38"/>
  <c r="K1049" i="38"/>
  <c r="J1050" i="38"/>
  <c r="K1050" i="38"/>
  <c r="J1051" i="38"/>
  <c r="K1051" i="38"/>
  <c r="G1049" i="38"/>
  <c r="G1050" i="38"/>
  <c r="G1051" i="38"/>
  <c r="J622" i="38"/>
  <c r="K622" i="38"/>
  <c r="J623" i="38"/>
  <c r="K623" i="38"/>
  <c r="G622" i="38"/>
  <c r="G623" i="38"/>
  <c r="J1274" i="38"/>
  <c r="K1274" i="38"/>
  <c r="J1275" i="38"/>
  <c r="K1275" i="38"/>
  <c r="J1276" i="38"/>
  <c r="K1276" i="38"/>
  <c r="J1277" i="38"/>
  <c r="K1277" i="38"/>
  <c r="J1278" i="38"/>
  <c r="K1278" i="38"/>
  <c r="G1274" i="38"/>
  <c r="G1275" i="38"/>
  <c r="G1276" i="38"/>
  <c r="G1277" i="38"/>
  <c r="G1278" i="38"/>
  <c r="D29" i="45"/>
  <c r="D30" i="45"/>
  <c r="D31" i="45"/>
  <c r="D61" i="45" s="1"/>
  <c r="D32" i="45"/>
  <c r="D33" i="45"/>
  <c r="D34" i="45"/>
  <c r="D35" i="45"/>
  <c r="D24" i="45"/>
  <c r="D56" i="45" s="1"/>
  <c r="J54" i="38"/>
  <c r="K54" i="38"/>
  <c r="J55" i="38"/>
  <c r="K55" i="38"/>
  <c r="J56" i="38"/>
  <c r="K56" i="38"/>
  <c r="G54" i="38"/>
  <c r="G55" i="38"/>
  <c r="G56" i="38"/>
  <c r="D23" i="45"/>
  <c r="D55" i="45" s="1"/>
  <c r="D25" i="45"/>
  <c r="D57" i="45" s="1"/>
  <c r="D22" i="45"/>
  <c r="D54" i="45" s="1"/>
  <c r="D19" i="45"/>
  <c r="D20" i="45"/>
  <c r="J1272" i="38"/>
  <c r="K1272" i="38"/>
  <c r="J1273" i="38"/>
  <c r="K1273" i="38"/>
  <c r="G1272" i="38"/>
  <c r="G1273" i="38"/>
  <c r="J621" i="38"/>
  <c r="K621" i="38"/>
  <c r="G621" i="38"/>
  <c r="J53" i="38"/>
  <c r="K53" i="38"/>
  <c r="G53" i="38"/>
  <c r="J1267" i="38"/>
  <c r="K1267" i="38"/>
  <c r="J1268" i="38"/>
  <c r="K1268" i="38"/>
  <c r="J1269" i="38"/>
  <c r="K1269" i="38"/>
  <c r="J1270" i="38"/>
  <c r="K1270" i="38"/>
  <c r="J1271" i="38"/>
  <c r="K1271" i="38"/>
  <c r="G1267" i="38"/>
  <c r="G1268" i="38"/>
  <c r="G1269" i="38"/>
  <c r="G1270" i="38"/>
  <c r="G1271" i="38"/>
  <c r="J310" i="38"/>
  <c r="K310" i="38"/>
  <c r="G310" i="38"/>
  <c r="J307" i="38"/>
  <c r="K307" i="38"/>
  <c r="J308" i="38"/>
  <c r="K308" i="38"/>
  <c r="J309" i="38"/>
  <c r="K309" i="38"/>
  <c r="G307" i="38"/>
  <c r="G308" i="38"/>
  <c r="G309" i="38"/>
  <c r="J344" i="38"/>
  <c r="K344" i="38"/>
  <c r="J305" i="38"/>
  <c r="K305" i="38"/>
  <c r="J306" i="38"/>
  <c r="K306" i="38"/>
  <c r="J311" i="38"/>
  <c r="K311" i="38"/>
  <c r="G344" i="38"/>
  <c r="G305" i="38"/>
  <c r="G306" i="38"/>
  <c r="G311" i="38"/>
  <c r="J1256" i="38"/>
  <c r="K1256" i="38"/>
  <c r="J1257" i="38"/>
  <c r="K1257" i="38"/>
  <c r="J1258" i="38"/>
  <c r="K1258" i="38"/>
  <c r="J1259" i="38"/>
  <c r="K1259" i="38"/>
  <c r="J1260" i="38"/>
  <c r="K1260" i="38"/>
  <c r="J1261" i="38"/>
  <c r="K1261" i="38"/>
  <c r="J1262" i="38"/>
  <c r="K1262" i="38"/>
  <c r="J1263" i="38"/>
  <c r="K1263" i="38"/>
  <c r="J1264" i="38"/>
  <c r="K1264" i="38"/>
  <c r="J1265" i="38"/>
  <c r="K1265" i="38"/>
  <c r="J1266" i="38"/>
  <c r="K1266" i="38"/>
  <c r="G1256" i="38"/>
  <c r="G1257" i="38"/>
  <c r="G1258" i="38"/>
  <c r="G1259" i="38"/>
  <c r="G1260" i="38"/>
  <c r="G1261" i="38"/>
  <c r="G1262" i="38"/>
  <c r="G1263" i="38"/>
  <c r="G1264" i="38"/>
  <c r="G1265" i="38"/>
  <c r="G1266" i="38"/>
  <c r="V11" i="42"/>
  <c r="V14" i="42" s="1"/>
  <c r="V15" i="42" s="1"/>
  <c r="J52" i="38"/>
  <c r="K52" i="38"/>
  <c r="G52" i="38"/>
  <c r="J1254" i="38"/>
  <c r="K1254" i="38"/>
  <c r="J1255" i="38"/>
  <c r="K1255" i="38"/>
  <c r="G1254" i="38"/>
  <c r="G1255" i="38"/>
  <c r="J1251" i="38"/>
  <c r="K1251" i="38"/>
  <c r="J1252" i="38"/>
  <c r="K1252" i="38"/>
  <c r="J1253" i="38"/>
  <c r="K1253" i="38"/>
  <c r="G1251" i="38"/>
  <c r="G1252" i="38"/>
  <c r="G1253" i="38"/>
  <c r="Q43" i="42"/>
  <c r="D22" i="44"/>
  <c r="J297" i="38"/>
  <c r="K297" i="38"/>
  <c r="J298" i="38"/>
  <c r="K298" i="38"/>
  <c r="J299" i="38"/>
  <c r="K299" i="38"/>
  <c r="J300" i="38"/>
  <c r="K300" i="38"/>
  <c r="J301" i="38"/>
  <c r="K301" i="38"/>
  <c r="J302" i="38"/>
  <c r="K302" i="38"/>
  <c r="J303" i="38"/>
  <c r="K303" i="38"/>
  <c r="J304" i="38"/>
  <c r="K304" i="38"/>
  <c r="G297" i="38"/>
  <c r="G298" i="38"/>
  <c r="G299" i="38"/>
  <c r="G300" i="38"/>
  <c r="G301" i="38"/>
  <c r="G302" i="38"/>
  <c r="G303" i="38"/>
  <c r="G304" i="38"/>
  <c r="K51" i="38"/>
  <c r="J51" i="38"/>
  <c r="J49" i="38"/>
  <c r="K49" i="38"/>
  <c r="J50" i="38"/>
  <c r="K50" i="38"/>
  <c r="G49" i="38"/>
  <c r="G50" i="38"/>
  <c r="G51" i="38"/>
  <c r="C18" i="45" l="1"/>
  <c r="D18" i="45"/>
  <c r="E18" i="45"/>
  <c r="G18" i="45"/>
  <c r="F18" i="45"/>
  <c r="C56" i="45"/>
  <c r="M56" i="45"/>
  <c r="C54" i="45"/>
  <c r="M54" i="45"/>
  <c r="C55" i="45"/>
  <c r="M55" i="45"/>
  <c r="C57" i="45"/>
  <c r="M57" i="45"/>
  <c r="M16" i="45"/>
  <c r="M51" i="45"/>
  <c r="F28" i="45"/>
  <c r="C59" i="45"/>
  <c r="C28" i="45"/>
  <c r="C51" i="45"/>
  <c r="E59" i="45"/>
  <c r="E28" i="45"/>
  <c r="D51" i="45"/>
  <c r="D59" i="45"/>
  <c r="D28" i="45"/>
  <c r="E51" i="45"/>
  <c r="G28" i="45"/>
  <c r="F51" i="45"/>
  <c r="O19" i="45"/>
  <c r="E38" i="45"/>
  <c r="C38" i="45"/>
  <c r="F38" i="45"/>
  <c r="G38" i="45"/>
  <c r="J1250" i="38"/>
  <c r="K1250" i="38"/>
  <c r="G1250" i="38"/>
  <c r="J1249" i="38"/>
  <c r="K1249" i="38"/>
  <c r="G1249" i="38"/>
  <c r="J295" i="38"/>
  <c r="K295" i="38"/>
  <c r="J296" i="38"/>
  <c r="K296" i="38"/>
  <c r="G295" i="38"/>
  <c r="G296" i="38"/>
  <c r="J43" i="38"/>
  <c r="K43" i="38"/>
  <c r="J44" i="38"/>
  <c r="K44" i="38"/>
  <c r="J45" i="38"/>
  <c r="K45" i="38"/>
  <c r="J46" i="38"/>
  <c r="K46" i="38"/>
  <c r="G44" i="38"/>
  <c r="G45" i="38"/>
  <c r="G46" i="38"/>
  <c r="G43" i="38"/>
  <c r="E47" i="38"/>
  <c r="K47" i="38"/>
  <c r="J48" i="38"/>
  <c r="K48" i="38"/>
  <c r="G48" i="38"/>
  <c r="J41" i="38"/>
  <c r="K41" i="38"/>
  <c r="J42" i="38"/>
  <c r="K42" i="38"/>
  <c r="G41" i="38"/>
  <c r="G42" i="38"/>
  <c r="J1237" i="38"/>
  <c r="K1237" i="38"/>
  <c r="J1238" i="38"/>
  <c r="K1238" i="38"/>
  <c r="J1239" i="38"/>
  <c r="K1239" i="38"/>
  <c r="J1240" i="38"/>
  <c r="K1240" i="38"/>
  <c r="J1241" i="38"/>
  <c r="K1241" i="38"/>
  <c r="J1242" i="38"/>
  <c r="K1242" i="38"/>
  <c r="J1243" i="38"/>
  <c r="K1243" i="38"/>
  <c r="J184" i="38"/>
  <c r="K184" i="38"/>
  <c r="J1245" i="38"/>
  <c r="K1245" i="38"/>
  <c r="J1246" i="38"/>
  <c r="K1246" i="38"/>
  <c r="J1247" i="38"/>
  <c r="K1247" i="38"/>
  <c r="J1248" i="38"/>
  <c r="K1248" i="38"/>
  <c r="G1243" i="38"/>
  <c r="G184" i="38"/>
  <c r="G1245" i="38"/>
  <c r="G1246" i="38"/>
  <c r="G1247" i="38"/>
  <c r="G1248" i="38"/>
  <c r="G1046" i="38"/>
  <c r="G1047" i="38"/>
  <c r="G1048" i="38"/>
  <c r="J1046" i="38"/>
  <c r="K1046" i="38"/>
  <c r="J1047" i="38"/>
  <c r="K1047" i="38"/>
  <c r="J1048" i="38"/>
  <c r="K1048" i="38"/>
  <c r="G1242" i="38"/>
  <c r="J612" i="38"/>
  <c r="K612" i="38"/>
  <c r="J613" i="38"/>
  <c r="K613" i="38"/>
  <c r="J614" i="38"/>
  <c r="K614" i="38"/>
  <c r="J615" i="38"/>
  <c r="K615" i="38"/>
  <c r="J616" i="38"/>
  <c r="K616" i="38"/>
  <c r="J617" i="38"/>
  <c r="K617" i="38"/>
  <c r="J618" i="38"/>
  <c r="K618" i="38"/>
  <c r="J619" i="38"/>
  <c r="K619" i="38"/>
  <c r="J620" i="38"/>
  <c r="K620" i="38"/>
  <c r="G612" i="38"/>
  <c r="G613" i="38"/>
  <c r="G614" i="38"/>
  <c r="G615" i="38"/>
  <c r="G616" i="38"/>
  <c r="G617" i="38"/>
  <c r="G618" i="38"/>
  <c r="G619" i="38"/>
  <c r="G620" i="38"/>
  <c r="J31" i="38"/>
  <c r="K31" i="38"/>
  <c r="J32" i="38"/>
  <c r="K32" i="38"/>
  <c r="J33" i="38"/>
  <c r="K33" i="38"/>
  <c r="J34" i="38"/>
  <c r="K34" i="38"/>
  <c r="J35" i="38"/>
  <c r="K35" i="38"/>
  <c r="J36" i="38"/>
  <c r="K36" i="38"/>
  <c r="J37" i="38"/>
  <c r="K37" i="38"/>
  <c r="J38" i="38"/>
  <c r="K38" i="38"/>
  <c r="J39" i="38"/>
  <c r="K39" i="38"/>
  <c r="J40" i="38"/>
  <c r="K40" i="38"/>
  <c r="G31" i="38"/>
  <c r="G32" i="38"/>
  <c r="G33" i="38"/>
  <c r="G34" i="38"/>
  <c r="G35" i="38"/>
  <c r="G36" i="38"/>
  <c r="G37" i="38"/>
  <c r="G38" i="38"/>
  <c r="G39" i="38"/>
  <c r="G40" i="38"/>
  <c r="G1240" i="38"/>
  <c r="G1241" i="38"/>
  <c r="G1238" i="38"/>
  <c r="G1239" i="38"/>
  <c r="J289" i="38"/>
  <c r="K289" i="38"/>
  <c r="J290" i="38"/>
  <c r="K290" i="38"/>
  <c r="J291" i="38"/>
  <c r="K291" i="38"/>
  <c r="J292" i="38"/>
  <c r="K292" i="38"/>
  <c r="J293" i="38"/>
  <c r="K293" i="38"/>
  <c r="J294" i="38"/>
  <c r="K294" i="38"/>
  <c r="G289" i="38"/>
  <c r="G290" i="38"/>
  <c r="G291" i="38"/>
  <c r="G292" i="38"/>
  <c r="G293" i="38"/>
  <c r="G294" i="38"/>
  <c r="J1235" i="38"/>
  <c r="K1235" i="38"/>
  <c r="J1236" i="38"/>
  <c r="K1236" i="38"/>
  <c r="G1235" i="38"/>
  <c r="G1236" i="38"/>
  <c r="G1237" i="38"/>
  <c r="P33" i="45"/>
  <c r="E63" i="45" s="1"/>
  <c r="F60" i="45"/>
  <c r="P32" i="45"/>
  <c r="E62" i="45" s="1"/>
  <c r="P34" i="45"/>
  <c r="P35" i="45"/>
  <c r="D65" i="45" s="1"/>
  <c r="S22" i="45"/>
  <c r="F16" i="45" l="1"/>
  <c r="E16" i="45"/>
  <c r="G16" i="45"/>
  <c r="D16" i="45"/>
  <c r="F63" i="45"/>
  <c r="C65" i="45"/>
  <c r="C63" i="45"/>
  <c r="G63" i="45"/>
  <c r="L64" i="45"/>
  <c r="M64" i="45"/>
  <c r="N64" i="45"/>
  <c r="K64" i="45"/>
  <c r="H64" i="45"/>
  <c r="J64" i="45"/>
  <c r="I64" i="45"/>
  <c r="D64" i="45"/>
  <c r="L62" i="45"/>
  <c r="K62" i="45"/>
  <c r="M62" i="45"/>
  <c r="N62" i="45"/>
  <c r="J62" i="45"/>
  <c r="I62" i="45"/>
  <c r="H62" i="45"/>
  <c r="C62" i="45"/>
  <c r="G64" i="45"/>
  <c r="F64" i="45"/>
  <c r="E64" i="45"/>
  <c r="L60" i="45"/>
  <c r="K60" i="45"/>
  <c r="M60" i="45"/>
  <c r="N60" i="45"/>
  <c r="I60" i="45"/>
  <c r="H60" i="45"/>
  <c r="J60" i="45"/>
  <c r="G62" i="45"/>
  <c r="G60" i="45"/>
  <c r="C60" i="45"/>
  <c r="E60" i="45"/>
  <c r="L65" i="45"/>
  <c r="K65" i="45"/>
  <c r="M65" i="45"/>
  <c r="N65" i="45"/>
  <c r="H65" i="45"/>
  <c r="I65" i="45"/>
  <c r="J65" i="45"/>
  <c r="L63" i="45"/>
  <c r="M63" i="45"/>
  <c r="N63" i="45"/>
  <c r="K63" i="45"/>
  <c r="H63" i="45"/>
  <c r="I63" i="45"/>
  <c r="J63" i="45"/>
  <c r="F62" i="45"/>
  <c r="D62" i="45"/>
  <c r="F65" i="45"/>
  <c r="D63" i="45"/>
  <c r="G65" i="45"/>
  <c r="C64" i="45"/>
  <c r="D60" i="45"/>
  <c r="E65" i="45"/>
  <c r="J47" i="38"/>
  <c r="Q44" i="42"/>
  <c r="G47" i="38"/>
  <c r="S30" i="45"/>
  <c r="S31" i="45"/>
  <c r="S32" i="45"/>
  <c r="S33" i="45"/>
  <c r="S34" i="45"/>
  <c r="S35" i="45"/>
  <c r="S29" i="45"/>
  <c r="S21" i="45" l="1"/>
  <c r="P21" i="45"/>
  <c r="P20" i="45"/>
  <c r="S20" i="45"/>
  <c r="S25" i="45"/>
  <c r="N52" i="45" l="1"/>
  <c r="L52" i="45"/>
  <c r="I52" i="45"/>
  <c r="M52" i="45"/>
  <c r="K52" i="45"/>
  <c r="H52" i="45"/>
  <c r="J52" i="45"/>
  <c r="F52" i="45"/>
  <c r="C52" i="45"/>
  <c r="E52" i="45"/>
  <c r="D52" i="45"/>
  <c r="G52" i="45"/>
  <c r="N53" i="45"/>
  <c r="L53" i="45"/>
  <c r="M53" i="45"/>
  <c r="K53" i="45"/>
  <c r="H53" i="45"/>
  <c r="J53" i="45"/>
  <c r="I53" i="45"/>
  <c r="G53" i="45"/>
  <c r="D53" i="45"/>
  <c r="E53" i="45"/>
  <c r="F53" i="45"/>
  <c r="C53" i="45"/>
  <c r="R23" i="45"/>
  <c r="S23" i="45" s="1"/>
  <c r="R24" i="45"/>
  <c r="S24" i="45" s="1"/>
  <c r="S17" i="45"/>
  <c r="K272" i="38"/>
  <c r="D40" i="45"/>
  <c r="D38" i="45" s="1"/>
  <c r="J1230" i="38" l="1"/>
  <c r="K1230" i="38"/>
  <c r="J1231" i="38"/>
  <c r="K1231" i="38"/>
  <c r="J1232" i="38"/>
  <c r="K1232" i="38"/>
  <c r="J1233" i="38"/>
  <c r="K1233" i="38"/>
  <c r="J1234" i="38"/>
  <c r="K1234" i="38"/>
  <c r="G1230" i="38"/>
  <c r="G1231" i="38"/>
  <c r="G1232" i="38"/>
  <c r="G1233" i="38"/>
  <c r="G1234" i="38"/>
  <c r="J1041" i="38"/>
  <c r="K1041" i="38"/>
  <c r="J1042" i="38"/>
  <c r="K1042" i="38"/>
  <c r="J1043" i="38"/>
  <c r="K1043" i="38"/>
  <c r="J1044" i="38"/>
  <c r="K1044" i="38"/>
  <c r="J1045" i="38"/>
  <c r="K1045" i="38"/>
  <c r="G1041" i="38"/>
  <c r="G1042" i="38"/>
  <c r="G1043" i="38"/>
  <c r="G1044" i="38"/>
  <c r="G1045" i="38"/>
  <c r="J1229" i="38"/>
  <c r="K1229" i="38"/>
  <c r="G1229" i="38"/>
  <c r="D27" i="44"/>
  <c r="D26" i="44"/>
  <c r="Q41" i="42"/>
  <c r="Q40" i="42"/>
  <c r="D25" i="44"/>
  <c r="Q39" i="42"/>
  <c r="Q36" i="42" l="1"/>
  <c r="J27" i="38"/>
  <c r="K27" i="38"/>
  <c r="J28" i="38"/>
  <c r="K28" i="38"/>
  <c r="J29" i="38"/>
  <c r="K29" i="38"/>
  <c r="J30" i="38"/>
  <c r="K30" i="38"/>
  <c r="G27" i="38"/>
  <c r="G28" i="38"/>
  <c r="G29" i="38"/>
  <c r="G30" i="38"/>
  <c r="J1228" i="38"/>
  <c r="K1228" i="38"/>
  <c r="G1228" i="38"/>
  <c r="J287" i="38"/>
  <c r="K287" i="38"/>
  <c r="J288" i="38"/>
  <c r="K288" i="38"/>
  <c r="G287" i="38"/>
  <c r="G288" i="38"/>
  <c r="J1224" i="38"/>
  <c r="K1224" i="38"/>
  <c r="J1225" i="38"/>
  <c r="K1225" i="38"/>
  <c r="J1226" i="38"/>
  <c r="K1226" i="38"/>
  <c r="J1227" i="38"/>
  <c r="K1227" i="38"/>
  <c r="G1224" i="38"/>
  <c r="G1225" i="38"/>
  <c r="G1226" i="38"/>
  <c r="G1227" i="38"/>
  <c r="G10" i="38"/>
  <c r="G11" i="38"/>
  <c r="H11" i="38" s="1"/>
  <c r="G12" i="38"/>
  <c r="G13" i="38"/>
  <c r="G14" i="38"/>
  <c r="G15" i="38"/>
  <c r="G16" i="38"/>
  <c r="G17" i="38"/>
  <c r="G18" i="38"/>
  <c r="G19" i="38"/>
  <c r="G88" i="38"/>
  <c r="G22" i="38"/>
  <c r="G23" i="38"/>
  <c r="G24" i="38"/>
  <c r="G25" i="38"/>
  <c r="G26" i="38"/>
  <c r="G271" i="38"/>
  <c r="G272" i="38"/>
  <c r="G273" i="38"/>
  <c r="G274" i="38"/>
  <c r="G275" i="38"/>
  <c r="G276" i="38"/>
  <c r="G277" i="38"/>
  <c r="G278" i="38"/>
  <c r="G279" i="38"/>
  <c r="G280" i="38"/>
  <c r="G281" i="38"/>
  <c r="G282" i="38"/>
  <c r="G283" i="38"/>
  <c r="G284" i="38"/>
  <c r="G94" i="38"/>
  <c r="G286" i="38"/>
  <c r="G596" i="38"/>
  <c r="G597" i="38"/>
  <c r="G598" i="38"/>
  <c r="G599" i="38"/>
  <c r="G600" i="38"/>
  <c r="G601" i="38"/>
  <c r="G602" i="38"/>
  <c r="G603" i="38"/>
  <c r="G604" i="38"/>
  <c r="G605" i="38"/>
  <c r="G606" i="38"/>
  <c r="G607" i="38"/>
  <c r="G608" i="38"/>
  <c r="G609" i="38"/>
  <c r="G610" i="38"/>
  <c r="G611" i="38"/>
  <c r="G1034" i="38"/>
  <c r="G1035" i="38"/>
  <c r="G1036" i="38"/>
  <c r="G1037" i="38"/>
  <c r="G1038" i="38"/>
  <c r="G1039" i="38"/>
  <c r="G1040" i="38"/>
  <c r="G1139" i="38"/>
  <c r="G1140" i="38"/>
  <c r="G1141" i="38"/>
  <c r="G1142" i="38"/>
  <c r="G1143" i="38"/>
  <c r="G1144" i="38"/>
  <c r="G1145" i="38"/>
  <c r="G1146" i="38"/>
  <c r="G1147" i="38"/>
  <c r="G1148" i="38"/>
  <c r="G1149" i="38"/>
  <c r="G1150" i="38"/>
  <c r="G1151" i="38"/>
  <c r="G1152" i="38"/>
  <c r="G1153" i="38"/>
  <c r="G1154" i="38"/>
  <c r="G1155" i="38"/>
  <c r="G1156" i="38"/>
  <c r="G1157" i="38"/>
  <c r="G1158" i="38"/>
  <c r="G1159" i="38"/>
  <c r="G1160" i="38"/>
  <c r="G1161" i="38"/>
  <c r="G1162" i="38"/>
  <c r="G1163" i="38"/>
  <c r="G1164" i="38"/>
  <c r="G1165" i="38"/>
  <c r="G1166" i="38"/>
  <c r="G1167" i="38"/>
  <c r="G1168" i="38"/>
  <c r="G1169" i="38"/>
  <c r="G1170" i="38"/>
  <c r="G21" i="38"/>
  <c r="G1172" i="38"/>
  <c r="G1173" i="38"/>
  <c r="G1174" i="38"/>
  <c r="G1175" i="38"/>
  <c r="G1176" i="38"/>
  <c r="G1177" i="38"/>
  <c r="G1178" i="38"/>
  <c r="G1179" i="38"/>
  <c r="G1180" i="38"/>
  <c r="G66" i="38"/>
  <c r="G1182" i="38"/>
  <c r="G1183" i="38"/>
  <c r="G1184" i="38"/>
  <c r="G1185" i="38"/>
  <c r="G1186" i="38"/>
  <c r="G1187" i="38"/>
  <c r="G1188" i="38"/>
  <c r="G1189" i="38"/>
  <c r="G1190" i="38"/>
  <c r="G1191" i="38"/>
  <c r="G1192" i="38"/>
  <c r="G1193" i="38"/>
  <c r="G1194" i="38"/>
  <c r="G1195" i="38"/>
  <c r="G1196" i="38"/>
  <c r="G1197" i="38"/>
  <c r="G1198" i="38"/>
  <c r="G1199" i="38"/>
  <c r="G1200" i="38"/>
  <c r="G1201" i="38"/>
  <c r="G1202" i="38"/>
  <c r="G1203" i="38"/>
  <c r="G1204" i="38"/>
  <c r="G1205" i="38"/>
  <c r="G1206" i="38"/>
  <c r="G1207" i="38"/>
  <c r="G1208" i="38"/>
  <c r="G1209" i="38"/>
  <c r="G1210" i="38"/>
  <c r="G1211" i="38"/>
  <c r="G1212" i="38"/>
  <c r="G1213" i="38"/>
  <c r="G1214" i="38"/>
  <c r="G1215" i="38"/>
  <c r="G1216" i="38"/>
  <c r="G1217" i="38"/>
  <c r="G1218" i="38"/>
  <c r="G1219" i="38"/>
  <c r="G1220" i="38"/>
  <c r="G1221" i="38"/>
  <c r="G1222" i="38"/>
  <c r="G1223" i="38"/>
  <c r="G9" i="38"/>
  <c r="J286" i="38"/>
  <c r="K286" i="38"/>
  <c r="J1217" i="38"/>
  <c r="K1217" i="38"/>
  <c r="J1218" i="38"/>
  <c r="K1218" i="38"/>
  <c r="J1216" i="38"/>
  <c r="K1216" i="38"/>
  <c r="J1219" i="38"/>
  <c r="K1219" i="38"/>
  <c r="J1220" i="38"/>
  <c r="K1220" i="38"/>
  <c r="J1221" i="38"/>
  <c r="K1221" i="38"/>
  <c r="J1222" i="38"/>
  <c r="K1222" i="38"/>
  <c r="J1223" i="38"/>
  <c r="K1223" i="38"/>
  <c r="K282" i="38"/>
  <c r="K283" i="38"/>
  <c r="K284" i="38"/>
  <c r="K94" i="38"/>
  <c r="J282" i="38"/>
  <c r="J283" i="38"/>
  <c r="J284" i="38"/>
  <c r="J94" i="38"/>
  <c r="H12" i="38" l="1"/>
  <c r="H13" i="38" s="1"/>
  <c r="H14" i="38" s="1"/>
  <c r="H15" i="38" s="1"/>
  <c r="H16" i="38" s="1"/>
  <c r="H17" i="38" s="1"/>
  <c r="H18" i="38" s="1"/>
  <c r="H19" i="38" s="1"/>
  <c r="N44" i="45"/>
  <c r="M44" i="45"/>
  <c r="H44" i="45"/>
  <c r="L44" i="45"/>
  <c r="K44" i="45"/>
  <c r="G44" i="45"/>
  <c r="F44" i="45"/>
  <c r="D44" i="45"/>
  <c r="J1213" i="38"/>
  <c r="K1213" i="38"/>
  <c r="J1214" i="38"/>
  <c r="K1214" i="38"/>
  <c r="J1215" i="38"/>
  <c r="K1215" i="38"/>
  <c r="O62" i="45"/>
  <c r="O54" i="45"/>
  <c r="R19" i="45" l="1"/>
  <c r="O63" i="45"/>
  <c r="O55" i="45"/>
  <c r="J1212" i="38"/>
  <c r="K1212" i="38"/>
  <c r="J1200" i="38"/>
  <c r="K1200" i="38"/>
  <c r="J1201" i="38"/>
  <c r="K1201" i="38"/>
  <c r="J1202" i="38"/>
  <c r="K1202" i="38"/>
  <c r="J1203" i="38"/>
  <c r="J1204" i="38"/>
  <c r="K1204" i="38"/>
  <c r="J1205" i="38"/>
  <c r="K1205" i="38"/>
  <c r="J1206" i="38"/>
  <c r="K1206" i="38"/>
  <c r="J1207" i="38"/>
  <c r="K1207" i="38"/>
  <c r="J1208" i="38"/>
  <c r="K1208" i="38"/>
  <c r="J1209" i="38"/>
  <c r="K1209" i="38"/>
  <c r="J1210" i="38"/>
  <c r="K1210" i="38"/>
  <c r="J1211" i="38"/>
  <c r="K1211" i="38"/>
  <c r="J26" i="38"/>
  <c r="K26" i="38"/>
  <c r="N50" i="45"/>
  <c r="D50" i="45"/>
  <c r="F50" i="45"/>
  <c r="G50" i="45"/>
  <c r="H50" i="45"/>
  <c r="I50" i="45"/>
  <c r="J50" i="45"/>
  <c r="K50" i="45"/>
  <c r="L50" i="45"/>
  <c r="M50" i="45"/>
  <c r="O33" i="45"/>
  <c r="O22" i="45"/>
  <c r="Q32" i="42"/>
  <c r="S19" i="45" l="1"/>
  <c r="R16" i="45"/>
  <c r="Q22" i="45"/>
  <c r="Q33" i="45"/>
  <c r="O42" i="45"/>
  <c r="Q42" i="45" s="1"/>
  <c r="O56" i="45"/>
  <c r="O30" i="45"/>
  <c r="O20" i="45"/>
  <c r="O65" i="45"/>
  <c r="O51" i="45" l="1"/>
  <c r="Q30" i="45"/>
  <c r="O35" i="45"/>
  <c r="O64" i="45"/>
  <c r="O52" i="45"/>
  <c r="O21" i="45"/>
  <c r="O53" i="45"/>
  <c r="O24" i="45"/>
  <c r="O25" i="45"/>
  <c r="O34" i="45"/>
  <c r="O29" i="45"/>
  <c r="Q34" i="45" l="1"/>
  <c r="Q19" i="45"/>
  <c r="Q20" i="45"/>
  <c r="Q25" i="45"/>
  <c r="Q24" i="45"/>
  <c r="Q21" i="45"/>
  <c r="Q35" i="45"/>
  <c r="O41" i="45"/>
  <c r="Q41" i="45" s="1"/>
  <c r="O40" i="45"/>
  <c r="Q40" i="45" s="1"/>
  <c r="O57" i="45"/>
  <c r="J279" i="38"/>
  <c r="K279" i="38"/>
  <c r="J280" i="38"/>
  <c r="K280" i="38"/>
  <c r="O39" i="45" l="1"/>
  <c r="O38" i="45" s="1"/>
  <c r="O23" i="45"/>
  <c r="E20" i="38"/>
  <c r="J88" i="38"/>
  <c r="K88" i="38"/>
  <c r="J22" i="38"/>
  <c r="K22" i="38"/>
  <c r="K20" i="38"/>
  <c r="J23" i="38"/>
  <c r="K23" i="38"/>
  <c r="J24" i="38"/>
  <c r="K24" i="38"/>
  <c r="J25" i="38"/>
  <c r="K25" i="38"/>
  <c r="J1194" i="38"/>
  <c r="K1194" i="38"/>
  <c r="J1195" i="38"/>
  <c r="K1195" i="38"/>
  <c r="J1196" i="38"/>
  <c r="K1196" i="38"/>
  <c r="J1197" i="38"/>
  <c r="K1197" i="38"/>
  <c r="J1198" i="38"/>
  <c r="K1198" i="38"/>
  <c r="J1199" i="38"/>
  <c r="K1199" i="38"/>
  <c r="J19" i="38"/>
  <c r="K19" i="38"/>
  <c r="J1188" i="38"/>
  <c r="K1188" i="38"/>
  <c r="J1189" i="38"/>
  <c r="K1189" i="38"/>
  <c r="J1190" i="38"/>
  <c r="K1190" i="38"/>
  <c r="J1191" i="38"/>
  <c r="K1191" i="38"/>
  <c r="J1192" i="38"/>
  <c r="K1192" i="38"/>
  <c r="J1193" i="38"/>
  <c r="K1193" i="38"/>
  <c r="J610" i="38"/>
  <c r="K610" i="38"/>
  <c r="J611" i="38"/>
  <c r="K611" i="38"/>
  <c r="K18" i="38"/>
  <c r="J18" i="38"/>
  <c r="J1180" i="38"/>
  <c r="K1180" i="38"/>
  <c r="J66" i="38"/>
  <c r="K66" i="38"/>
  <c r="J1182" i="38"/>
  <c r="K1182" i="38"/>
  <c r="J1183" i="38"/>
  <c r="K1183" i="38"/>
  <c r="J1184" i="38"/>
  <c r="K1184" i="38"/>
  <c r="J1185" i="38"/>
  <c r="K1185" i="38"/>
  <c r="J1186" i="38"/>
  <c r="K1186" i="38"/>
  <c r="J1187" i="38"/>
  <c r="K1187" i="38"/>
  <c r="K19" i="42"/>
  <c r="K1179" i="38"/>
  <c r="J1179" i="38"/>
  <c r="K1178" i="38"/>
  <c r="J1177" i="38"/>
  <c r="J1178" i="38"/>
  <c r="I16" i="44"/>
  <c r="I19" i="44" s="1"/>
  <c r="D28" i="44"/>
  <c r="G23" i="44"/>
  <c r="B20" i="44"/>
  <c r="B23" i="44"/>
  <c r="C23" i="44"/>
  <c r="E23" i="44"/>
  <c r="F23" i="44"/>
  <c r="H23" i="44"/>
  <c r="I23" i="44"/>
  <c r="J23" i="44"/>
  <c r="D24" i="44"/>
  <c r="F16" i="44"/>
  <c r="E19" i="44"/>
  <c r="G14" i="44"/>
  <c r="H14" i="44" s="1"/>
  <c r="J14" i="44" s="1"/>
  <c r="K14" i="44" s="1"/>
  <c r="C20" i="44"/>
  <c r="D20" i="44"/>
  <c r="K20" i="44" s="1"/>
  <c r="E20" i="44"/>
  <c r="F20" i="44"/>
  <c r="G20" i="44"/>
  <c r="H20" i="44"/>
  <c r="H29" i="44" s="1"/>
  <c r="I20" i="44"/>
  <c r="I29" i="44" s="1"/>
  <c r="J20" i="44"/>
  <c r="J29" i="44" s="1"/>
  <c r="B16" i="44"/>
  <c r="B19" i="44" s="1"/>
  <c r="C16" i="44"/>
  <c r="C19" i="44" s="1"/>
  <c r="D16" i="44"/>
  <c r="D19" i="44" s="1"/>
  <c r="J609" i="38"/>
  <c r="K609" i="38"/>
  <c r="J1174" i="38"/>
  <c r="K1174" i="38"/>
  <c r="J1175" i="38"/>
  <c r="K1175" i="38"/>
  <c r="J1176" i="38"/>
  <c r="K1176" i="38"/>
  <c r="K1177" i="38"/>
  <c r="J607" i="38"/>
  <c r="K607" i="38"/>
  <c r="J608" i="38"/>
  <c r="K608" i="38"/>
  <c r="J1173" i="38"/>
  <c r="K1173" i="38"/>
  <c r="J21" i="38"/>
  <c r="K21" i="38"/>
  <c r="J1172" i="38"/>
  <c r="K1172" i="38"/>
  <c r="J16" i="38"/>
  <c r="K16" i="38"/>
  <c r="J17" i="38"/>
  <c r="K17" i="38"/>
  <c r="J15" i="38"/>
  <c r="K15" i="38"/>
  <c r="J605" i="38"/>
  <c r="K605" i="38"/>
  <c r="J606" i="38"/>
  <c r="K606" i="38"/>
  <c r="K1166" i="38"/>
  <c r="K1167" i="38"/>
  <c r="K1168" i="38"/>
  <c r="K1169" i="38"/>
  <c r="K1170" i="38"/>
  <c r="J1166" i="38"/>
  <c r="J1167" i="38"/>
  <c r="J1168" i="38"/>
  <c r="J1169" i="38"/>
  <c r="J1170" i="38"/>
  <c r="J11" i="38"/>
  <c r="J12" i="38"/>
  <c r="J13" i="38"/>
  <c r="J14" i="38"/>
  <c r="K11" i="38"/>
  <c r="K12" i="38"/>
  <c r="K13" i="38"/>
  <c r="K14" i="38"/>
  <c r="K1036" i="38"/>
  <c r="K1037" i="38"/>
  <c r="K1038" i="38"/>
  <c r="K1039" i="38"/>
  <c r="K1040" i="38"/>
  <c r="J1036" i="38"/>
  <c r="J1037" i="38"/>
  <c r="J1038" i="38"/>
  <c r="J1039" i="38"/>
  <c r="J1040" i="38"/>
  <c r="K1160" i="38"/>
  <c r="K1161" i="38"/>
  <c r="K1162" i="38"/>
  <c r="K1163" i="38"/>
  <c r="K1164" i="38"/>
  <c r="K1165" i="38"/>
  <c r="J1160" i="38"/>
  <c r="J1161" i="38"/>
  <c r="J1162" i="38"/>
  <c r="J1163" i="38"/>
  <c r="J1164" i="38"/>
  <c r="J1165" i="38"/>
  <c r="K1158" i="38"/>
  <c r="K1159" i="38"/>
  <c r="J1158" i="38"/>
  <c r="J1159" i="38"/>
  <c r="Q38" i="45" l="1"/>
  <c r="Q39" i="45"/>
  <c r="C17" i="45"/>
  <c r="C16" i="45" s="1"/>
  <c r="E7" i="38"/>
  <c r="B29" i="44"/>
  <c r="F29" i="44"/>
  <c r="B31" i="44"/>
  <c r="K7" i="42"/>
  <c r="X11" i="42"/>
  <c r="X12" i="42" s="1"/>
  <c r="W11" i="42"/>
  <c r="Q23" i="45"/>
  <c r="E29" i="44"/>
  <c r="E31" i="44" s="1"/>
  <c r="C29" i="44"/>
  <c r="C31" i="44" s="1"/>
  <c r="I31" i="44"/>
  <c r="G20" i="38"/>
  <c r="H20" i="38" s="1"/>
  <c r="J20" i="38"/>
  <c r="G16" i="44"/>
  <c r="D23" i="44"/>
  <c r="Q4" i="42"/>
  <c r="L17" i="42"/>
  <c r="M17" i="42"/>
  <c r="L4" i="42"/>
  <c r="M4" i="42"/>
  <c r="S36" i="42"/>
  <c r="R36" i="42"/>
  <c r="S24" i="42"/>
  <c r="R24" i="42"/>
  <c r="S4" i="42"/>
  <c r="M51" i="42" s="1"/>
  <c r="R4" i="42"/>
  <c r="L51" i="42" s="1"/>
  <c r="Q24" i="42"/>
  <c r="K18" i="42"/>
  <c r="K17" i="42" s="1"/>
  <c r="K9" i="38"/>
  <c r="K10" i="38"/>
  <c r="J9" i="38"/>
  <c r="J10" i="38"/>
  <c r="K1033" i="38"/>
  <c r="K1034" i="38"/>
  <c r="K1035" i="38"/>
  <c r="J1033" i="38"/>
  <c r="J1034" i="38"/>
  <c r="J1035" i="38"/>
  <c r="K1153" i="38"/>
  <c r="K1154" i="38"/>
  <c r="K1155" i="38"/>
  <c r="K1156" i="38"/>
  <c r="K1157" i="38"/>
  <c r="K596" i="38"/>
  <c r="K1139" i="38"/>
  <c r="K1140" i="38"/>
  <c r="K1141" i="38"/>
  <c r="K1142" i="38"/>
  <c r="K1143" i="38"/>
  <c r="K1144" i="38"/>
  <c r="K1145" i="38"/>
  <c r="K1146" i="38"/>
  <c r="K1147" i="38"/>
  <c r="K1148" i="38"/>
  <c r="K1149" i="38"/>
  <c r="K1150" i="38"/>
  <c r="K1151" i="38"/>
  <c r="K1152" i="38"/>
  <c r="K273" i="38"/>
  <c r="K274" i="38"/>
  <c r="K275" i="38"/>
  <c r="K276" i="38"/>
  <c r="K277" i="38"/>
  <c r="K278" i="38"/>
  <c r="K604" i="38"/>
  <c r="K603" i="38"/>
  <c r="K602" i="38"/>
  <c r="K601" i="38"/>
  <c r="K600" i="38"/>
  <c r="K599" i="38"/>
  <c r="K598" i="38"/>
  <c r="K597" i="38"/>
  <c r="J603" i="38"/>
  <c r="J602" i="38"/>
  <c r="J601" i="38"/>
  <c r="J600" i="38"/>
  <c r="J599" i="38"/>
  <c r="J598" i="38"/>
  <c r="J597" i="38"/>
  <c r="J596" i="38"/>
  <c r="J1139" i="38"/>
  <c r="J1140" i="38"/>
  <c r="J1141" i="38"/>
  <c r="J1142" i="38"/>
  <c r="J1143" i="38"/>
  <c r="J1144" i="38"/>
  <c r="J1145" i="38"/>
  <c r="J1146" i="38"/>
  <c r="J1147" i="38"/>
  <c r="J1148" i="38"/>
  <c r="J1149" i="38"/>
  <c r="J1150" i="38"/>
  <c r="J1151" i="38"/>
  <c r="J1152" i="38"/>
  <c r="J1153" i="38"/>
  <c r="J1154" i="38"/>
  <c r="J1155" i="38"/>
  <c r="J1156" i="38"/>
  <c r="J1157" i="38"/>
  <c r="J273" i="38"/>
  <c r="J274" i="38"/>
  <c r="J275" i="38"/>
  <c r="J276" i="38"/>
  <c r="J277" i="38"/>
  <c r="J278" i="38"/>
  <c r="J604" i="38"/>
  <c r="J272" i="38"/>
  <c r="K9" i="42"/>
  <c r="K12" i="42"/>
  <c r="K7" i="38" l="1"/>
  <c r="J7" i="38"/>
  <c r="O66" i="45"/>
  <c r="O32" i="45"/>
  <c r="Q32" i="45" s="1"/>
  <c r="F17" i="44"/>
  <c r="G17" i="44" s="1"/>
  <c r="K4" i="42"/>
  <c r="D29" i="44"/>
  <c r="D31" i="44" s="1"/>
  <c r="K23" i="44"/>
  <c r="K29" i="44" s="1"/>
  <c r="H16" i="44"/>
  <c r="J16" i="44" s="1"/>
  <c r="G7" i="38"/>
  <c r="G1" i="38" s="1"/>
  <c r="K51" i="42"/>
  <c r="C50" i="45"/>
  <c r="L52" i="42"/>
  <c r="M52" i="42"/>
  <c r="M50" i="42"/>
  <c r="L50" i="42"/>
  <c r="R3" i="42"/>
  <c r="S3" i="42"/>
  <c r="M53" i="42" s="1"/>
  <c r="F19" i="44" l="1"/>
  <c r="F31" i="44" s="1"/>
  <c r="G19" i="44"/>
  <c r="G31" i="44" s="1"/>
  <c r="H31" i="44" s="1"/>
  <c r="H37" i="44" s="1"/>
  <c r="H17" i="44"/>
  <c r="J17" i="44" s="1"/>
  <c r="K17" i="44" s="1"/>
  <c r="K52" i="42"/>
  <c r="L53" i="42"/>
  <c r="L54" i="42"/>
  <c r="R50" i="42"/>
  <c r="S50" i="42"/>
  <c r="M54" i="42"/>
  <c r="K3" i="42"/>
  <c r="K50" i="42" s="1"/>
  <c r="Q3" i="42"/>
  <c r="Q50" i="42" s="1"/>
  <c r="J44" i="45" l="1"/>
  <c r="O60" i="45"/>
  <c r="O61" i="45"/>
  <c r="O31" i="45"/>
  <c r="Q31" i="45" s="1"/>
  <c r="S52" i="42"/>
  <c r="X14" i="42"/>
  <c r="X15" i="42"/>
  <c r="Q52" i="42"/>
  <c r="K53" i="42"/>
  <c r="K54" i="42"/>
  <c r="H19" i="44"/>
  <c r="J19" i="44" s="1"/>
  <c r="K19" i="44" s="1"/>
  <c r="J31" i="44"/>
  <c r="K31" i="44" s="1"/>
  <c r="X17" i="42" l="1"/>
  <c r="P16" i="45" l="1"/>
  <c r="Q29" i="45"/>
  <c r="O59" i="45" l="1"/>
  <c r="O17" i="45"/>
  <c r="E50" i="45"/>
  <c r="O50" i="45" s="1"/>
  <c r="E44" i="45"/>
  <c r="Q17" i="45" l="1"/>
  <c r="O16" i="45"/>
  <c r="Q16" i="45" s="1"/>
  <c r="O30" i="46"/>
  <c r="O25" i="46" l="1"/>
  <c r="O16" i="46" l="1"/>
  <c r="C44" i="45"/>
  <c r="H22" i="38" l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H56" i="38" s="1"/>
  <c r="H57" i="38" s="1"/>
  <c r="H58" i="38" s="1"/>
  <c r="H59" i="38" s="1"/>
  <c r="H60" i="38" s="1"/>
  <c r="H61" i="38" s="1"/>
  <c r="H62" i="38" s="1"/>
  <c r="H63" i="38" s="1"/>
  <c r="H64" i="38" s="1"/>
  <c r="H65" i="38" s="1"/>
  <c r="H67" i="38"/>
  <c r="H68" i="38" s="1"/>
  <c r="H69" i="38" s="1"/>
  <c r="H70" i="38" s="1"/>
  <c r="H71" i="38" s="1"/>
  <c r="H72" i="38" s="1"/>
  <c r="H73" i="38" s="1"/>
  <c r="H74" i="38" s="1"/>
  <c r="H75" i="38" s="1"/>
  <c r="H76" i="38" s="1"/>
  <c r="H77" i="38" s="1"/>
  <c r="H78" i="38" s="1"/>
  <c r="H79" i="38" s="1"/>
  <c r="H80" i="38" s="1"/>
  <c r="H81" i="38" s="1"/>
  <c r="H82" i="38" s="1"/>
  <c r="H83" i="38" s="1"/>
  <c r="H84" i="38" s="1"/>
  <c r="H85" i="38" s="1"/>
  <c r="H86" i="38" s="1"/>
  <c r="H87" i="38" s="1"/>
  <c r="H88" i="38" s="1"/>
  <c r="H89" i="38" s="1"/>
  <c r="H90" i="38" s="1"/>
  <c r="H91" i="38" s="1"/>
  <c r="H92" i="38" s="1"/>
  <c r="H93" i="38" s="1"/>
  <c r="H995" i="38"/>
  <c r="H95" i="38"/>
  <c r="H96" i="38" s="1"/>
  <c r="H97" i="38" s="1"/>
  <c r="H98" i="38" s="1"/>
  <c r="H99" i="38" s="1"/>
  <c r="H100" i="38" s="1"/>
  <c r="H101" i="38" s="1"/>
  <c r="H102" i="38" s="1"/>
  <c r="H103" i="38" s="1"/>
  <c r="H104" i="38" s="1"/>
  <c r="H105" i="38" s="1"/>
  <c r="H106" i="38" s="1"/>
  <c r="H107" i="38" s="1"/>
  <c r="H108" i="38" s="1"/>
  <c r="H109" i="38" s="1"/>
  <c r="H110" i="38" s="1"/>
  <c r="H111" i="38" s="1"/>
  <c r="H112" i="38" s="1"/>
  <c r="H113" i="38" s="1"/>
  <c r="H114" i="38" s="1"/>
  <c r="H115" i="38" s="1"/>
  <c r="H116" i="38" s="1"/>
  <c r="H117" i="38" s="1"/>
  <c r="H118" i="38" s="1"/>
  <c r="H119" i="38" s="1"/>
  <c r="H120" i="38" s="1"/>
  <c r="H121" i="38" s="1"/>
  <c r="H122" i="38" s="1"/>
  <c r="H123" i="38" s="1"/>
  <c r="H124" i="38" s="1"/>
  <c r="H125" i="38" s="1"/>
  <c r="H126" i="38" s="1"/>
  <c r="H127" i="38" s="1"/>
  <c r="H128" i="38" s="1"/>
  <c r="H129" i="38" s="1"/>
  <c r="H130" i="38" s="1"/>
  <c r="H131" i="38" s="1"/>
  <c r="H132" i="38" s="1"/>
  <c r="H133" i="38" s="1"/>
  <c r="H134" i="38" s="1"/>
  <c r="H135" i="38" s="1"/>
  <c r="H136" i="38" s="1"/>
  <c r="H137" i="38" s="1"/>
  <c r="H138" i="38" s="1"/>
  <c r="H139" i="38" s="1"/>
  <c r="H140" i="38" s="1"/>
  <c r="H141" i="38" s="1"/>
  <c r="H142" i="38" s="1"/>
  <c r="H143" i="38" s="1"/>
  <c r="H144" i="38" s="1"/>
  <c r="H145" i="38" s="1"/>
  <c r="H146" i="38" s="1"/>
  <c r="H147" i="38" s="1"/>
  <c r="H148" i="38" s="1"/>
  <c r="H149" i="38" s="1"/>
  <c r="H150" i="38" s="1"/>
  <c r="H151" i="38" s="1"/>
  <c r="H152" i="38" s="1"/>
  <c r="H153" i="38" s="1"/>
  <c r="H154" i="38" s="1"/>
  <c r="H155" i="38" s="1"/>
  <c r="H156" i="38" s="1"/>
  <c r="H157" i="38" s="1"/>
  <c r="H158" i="38" s="1"/>
  <c r="H159" i="38" s="1"/>
  <c r="H160" i="38" s="1"/>
  <c r="H161" i="38" s="1"/>
  <c r="H162" i="38" s="1"/>
  <c r="H163" i="38" s="1"/>
  <c r="H164" i="38" s="1"/>
  <c r="H165" i="38" s="1"/>
  <c r="H166" i="38" s="1"/>
  <c r="H167" i="38" s="1"/>
  <c r="H168" i="38" s="1"/>
  <c r="H169" i="38" s="1"/>
  <c r="H170" i="38" s="1"/>
  <c r="H171" i="38" s="1"/>
  <c r="H172" i="38" s="1"/>
  <c r="H173" i="38" s="1"/>
  <c r="H174" i="38" s="1"/>
  <c r="H175" i="38" s="1"/>
  <c r="H176" i="38" s="1"/>
  <c r="H177" i="38" s="1"/>
  <c r="H178" i="38" s="1"/>
  <c r="H179" i="38" s="1"/>
  <c r="H180" i="38" s="1"/>
  <c r="H181" i="38" s="1"/>
  <c r="H182" i="38" s="1"/>
  <c r="H183" i="38" s="1"/>
  <c r="H2069" i="38"/>
  <c r="H185" i="38"/>
  <c r="H186" i="38" s="1"/>
  <c r="H187" i="38" s="1"/>
  <c r="H188" i="38" s="1"/>
  <c r="H189" i="38" s="1"/>
  <c r="H190" i="38" s="1"/>
  <c r="H191" i="38" s="1"/>
  <c r="H192" i="38" s="1"/>
  <c r="H193" i="38" s="1"/>
  <c r="H194" i="38" s="1"/>
  <c r="H195" i="38" s="1"/>
  <c r="H196" i="38" s="1"/>
  <c r="H197" i="38" s="1"/>
  <c r="H198" i="38" s="1"/>
  <c r="H199" i="38" s="1"/>
  <c r="H200" i="38" s="1"/>
  <c r="H201" i="38" s="1"/>
  <c r="H202" i="38" s="1"/>
  <c r="H203" i="38" s="1"/>
  <c r="H204" i="38" s="1"/>
  <c r="H205" i="38" s="1"/>
  <c r="H206" i="38" s="1"/>
  <c r="H207" i="38" s="1"/>
  <c r="H208" i="38" s="1"/>
  <c r="H209" i="38" s="1"/>
  <c r="H210" i="38" s="1"/>
  <c r="H211" i="38" s="1"/>
  <c r="H212" i="38" s="1"/>
  <c r="H213" i="38" s="1"/>
  <c r="H214" i="38" s="1"/>
  <c r="H215" i="38" s="1"/>
  <c r="H216" i="38" s="1"/>
  <c r="H217" i="38" s="1"/>
  <c r="H218" i="38" s="1"/>
  <c r="H219" i="38" s="1"/>
  <c r="H220" i="38" s="1"/>
  <c r="H221" i="38" s="1"/>
  <c r="H222" i="38" s="1"/>
  <c r="H223" i="38" s="1"/>
  <c r="H224" i="38" s="1"/>
  <c r="H225" i="38" s="1"/>
  <c r="H226" i="38" s="1"/>
  <c r="H227" i="38" s="1"/>
  <c r="H228" i="38" s="1"/>
  <c r="H229" i="38" s="1"/>
  <c r="H230" i="38" s="1"/>
  <c r="H231" i="38" s="1"/>
  <c r="H232" i="38" s="1"/>
  <c r="H233" i="38" s="1"/>
  <c r="H234" i="38" s="1"/>
  <c r="H235" i="38" s="1"/>
  <c r="H236" i="38" s="1"/>
  <c r="H237" i="38" s="1"/>
  <c r="H238" i="38" s="1"/>
  <c r="H239" i="38" s="1"/>
  <c r="H240" i="38" s="1"/>
  <c r="H241" i="38" s="1"/>
  <c r="H242" i="38" s="1"/>
  <c r="H243" i="38" s="1"/>
  <c r="H244" i="38" s="1"/>
  <c r="H245" i="38" s="1"/>
  <c r="H246" i="38" s="1"/>
  <c r="H247" i="38" s="1"/>
  <c r="H248" i="38" s="1"/>
  <c r="H249" i="38" s="1"/>
  <c r="H250" i="38" s="1"/>
  <c r="H251" i="38" s="1"/>
  <c r="H252" i="38" s="1"/>
  <c r="H253" i="38" s="1"/>
  <c r="H254" i="38" s="1"/>
  <c r="H255" i="38" s="1"/>
  <c r="H256" i="38" s="1"/>
  <c r="H257" i="38" s="1"/>
  <c r="H258" i="38" s="1"/>
  <c r="H259" i="38" s="1"/>
  <c r="H2499" i="38"/>
  <c r="H261" i="38"/>
  <c r="H992" i="38"/>
  <c r="H331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Kevin</author>
  </authors>
  <commentList>
    <comment ref="L6" authorId="0" shapeId="0" xr:uid="{09D16E9E-3114-4BBF-97D3-710C8BDF3917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ESTE SALDO PASA AL 2025 COMO RESULTADO NEGATIVO, PERO ES DE 5M</t>
        </r>
      </text>
    </comment>
    <comment ref="K12" authorId="0" shapeId="0" xr:uid="{A6DBBB3E-54BA-4B1A-AB19-22A4B4ECF152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17500000 son del credito del 2024 del GALICIA. POR UN LADO SE CANCELA EL PASIVO POR EL MONTO INICIAL Y POR OTRO SE COMPUTA EL DINERO SALIDO LOS INTERESES</t>
        </r>
      </text>
    </comment>
    <comment ref="P14" authorId="0" shapeId="0" xr:uid="{6530035D-6435-4850-97CB-4C4C1B41848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BRIZZIO, HERRERO </t>
        </r>
      </text>
    </comment>
    <comment ref="P15" authorId="0" shapeId="0" xr:uid="{91F669B4-183A-4A2F-9796-62E1B02DA280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SANTIAGO</t>
        </r>
      </text>
    </comment>
    <comment ref="O23" authorId="0" shapeId="0" xr:uid="{31F91BD4-8348-42DE-B9AF-E300EC77F366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INCLUYE UATRE, F931</t>
        </r>
      </text>
    </comment>
    <comment ref="P26" authorId="0" shapeId="0" xr:uid="{ABC2EBEE-0A7A-47E0-BFFE-F465CFA47F23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lo compense con una cuenta regularizadora dedl pasivo (amort creditos)</t>
        </r>
      </text>
    </comment>
    <comment ref="Q33" authorId="0" shapeId="0" xr:uid="{0608E0A0-BE5E-44C2-BEF9-C39C0C1BA4E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PRESTAMO POR
 UN TOTAL DE $19.664.000</t>
        </r>
      </text>
    </comment>
    <comment ref="O36" authorId="0" shapeId="0" xr:uid="{8C438E68-A471-4F27-8B4A-F6887E382D07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se incorpora en 2025 el estado de EPN</t>
        </r>
      </text>
    </comment>
    <comment ref="O37" authorId="0" shapeId="0" xr:uid="{9EF30313-1BC8-485E-9697-FCF1EE6140EC}">
      <text>
        <r>
          <rPr>
            <b/>
            <sz val="9"/>
            <color indexed="81"/>
            <rFont val="Tahoma"/>
            <family val="2"/>
          </rPr>
          <t xml:space="preserve">NETO 
</t>
        </r>
        <r>
          <rPr>
            <sz val="9"/>
            <color indexed="81"/>
            <rFont val="Tahoma"/>
            <family val="2"/>
          </rPr>
          <t>APORTES Y RETIROS SOCIOS</t>
        </r>
      </text>
    </comment>
    <comment ref="O79" authorId="0" shapeId="0" xr:uid="{FCD8711A-C785-4D7B-BACF-86031FC5D001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BRIZZIO, HERRERO Y SANTIAGO</t>
        </r>
      </text>
    </comment>
    <comment ref="O80" authorId="0" shapeId="0" xr:uid="{DD372CB2-AA79-42FB-8322-FDF2002A5AF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SANTIAGO</t>
        </r>
      </text>
    </comment>
    <comment ref="O96" authorId="0" shapeId="0" xr:uid="{EEAC3017-6759-44E9-B6EF-E6D180599D03}">
      <text>
        <r>
          <rPr>
            <b/>
            <sz val="9"/>
            <color indexed="81"/>
            <rFont val="Tahoma"/>
            <family val="2"/>
          </rPr>
          <t xml:space="preserve">NETO 
</t>
        </r>
        <r>
          <rPr>
            <sz val="9"/>
            <color indexed="81"/>
            <rFont val="Tahoma"/>
            <family val="2"/>
          </rPr>
          <t>APORTES Y RETIROS SOCIOS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Kevin</author>
  </authors>
  <commentList>
    <comment ref="F18" authorId="0" shapeId="0" xr:uid="{928DE6C5-83E4-49B5-851E-C8CB223B098A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al 19/05/2025
</t>
        </r>
      </text>
    </comment>
    <comment ref="K31" authorId="0" shapeId="0" xr:uid="{1CE79F0C-909B-44E9-AEB8-ADEA0755512B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cuando termine el ejercicio 2025 este RDO va a RDOs de ej
es la suma del patrimonio neto + la variacion de caja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Kevin</author>
  </authors>
  <commentList>
    <comment ref="E48" authorId="0" shapeId="0" xr:uid="{ED9D1B12-760E-4F75-B764-CC7D8051AF0A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estos montos suman 261 en el banco</t>
        </r>
      </text>
    </comment>
    <comment ref="E51" authorId="0" shapeId="0" xr:uid="{2E41F3CA-1A4E-40EA-BEA3-24F4B3A1426E}">
      <text>
        <r>
          <rPr>
            <b/>
            <sz val="9"/>
            <color indexed="81"/>
            <rFont val="Tahoma"/>
            <family val="2"/>
          </rPr>
          <t>LA SUMA TOTAL EN EL BANCO ES DE 480 QU SE LE DEVOLVIO A ADRIAN</t>
        </r>
      </text>
    </comment>
    <comment ref="Q68" authorId="0" shapeId="0" xr:uid="{C6FB8279-DC68-465C-BF0E-2A4BB196F9A0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SE DEBITA TODOS LOS 10 DE CADA MES POR 6 MESES</t>
        </r>
      </text>
    </comment>
    <comment ref="E306" authorId="0" shapeId="0" xr:uid="{103BCFF5-1640-45B9-AF51-6C5666F3DC96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TOTAL 184.363</t>
        </r>
      </text>
    </comment>
    <comment ref="E307" authorId="0" shapeId="0" xr:uid="{86DD00E9-1B68-494E-B7DA-5A240F25F16A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TOTAL 184.400</t>
        </r>
      </text>
    </comment>
    <comment ref="E310" authorId="0" shapeId="0" xr:uid="{EB70A9CF-B729-461D-B0DF-E3CED5581B6D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675" authorId="0" shapeId="0" xr:uid="{25A66DC5-445E-49BD-A696-7C59DA8D9DC1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es el mismo movimiento, solo ue los 5 M son los intereses</t>
        </r>
      </text>
    </comment>
    <comment ref="Q681" authorId="0" shapeId="0" xr:uid="{E402FE16-F30E-4F64-AD97-C8287E8EDAE4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ES A 6 MESES, VENCE EN OCTUBRE EL 8</t>
        </r>
      </text>
    </comment>
    <comment ref="S687" authorId="0" shapeId="0" xr:uid="{BD79C61B-C804-4E4F-925F-CEC9BA2F9E1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SE LE TRANSFIRIO A ADRIAN PARA QUE LE DE EL EF. 1300000 SUELDO TTAL - 250 DE CHQ DESC</t>
        </r>
      </text>
    </comment>
    <comment ref="E694" authorId="0" shapeId="0" xr:uid="{88A89987-1BA7-4D95-8050-804C26EBC5EF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JUNTO CON LOS MONTOS DE ABAJO CONFORMAN EL 1034000</t>
        </r>
      </text>
    </comment>
    <comment ref="E1333" authorId="0" shapeId="0" xr:uid="{AE994E60-8365-4D48-A2D0-7F74ED773A1C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TOTAL 1879400, QUE ESTA COMPUESTO POR VARIOS GASTOS</t>
        </r>
      </text>
    </comment>
    <comment ref="E1342" authorId="0" shapeId="0" xr:uid="{F07ECA20-955D-4190-A0E2-E7B7317A118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TODOS ESTOS GASTOS FUERON DEVUELTOS A ADRIAN YA QUE EL ENTREGO EFECTIVO</t>
        </r>
      </text>
    </comment>
    <comment ref="E1361" authorId="0" shapeId="0" xr:uid="{E1A563FD-99E9-4285-B63E-0570A5EC7B0A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194.000</t>
        </r>
      </text>
    </comment>
    <comment ref="E1547" authorId="0" shapeId="0" xr:uid="{B09A5778-E371-4FBA-B2B6-2A83B011002D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LA SUMA DE LOS SALDOS A PARTIR DE ESTE DEBEN DAR LA TRANSF DE 1.895.311</t>
        </r>
      </text>
    </comment>
    <comment ref="E1572" authorId="0" shapeId="0" xr:uid="{7EAC3D86-3DB1-470F-9043-C72A2E4806A0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LA SUMA D LOS CONCEPTOS ES 273.460</t>
        </r>
      </text>
    </comment>
    <comment ref="E1670" authorId="0" shapeId="0" xr:uid="{27830880-29CF-4A8C-81E7-932C96A296B3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TOTAL SUMA DEVUELTA A ADRIAN 2.122.963,20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3216C9-3A8A-4B0C-B0AE-C23026C7C00C}" keepAlive="1" name="Consulta - BANCO_CONSOLIDADO (2)" description="Conexión a la consulta 'BANCO_CONSOLIDADO (2)' en el libro." type="5" refreshedVersion="8" background="1" saveData="1">
    <dbPr connection="Provider=Microsoft.Mashup.OleDb.1;Data Source=$Workbook$;Location=&quot;BANCO_CONSOLIDADO (2)&quot;;Extended Properties=&quot;&quot;" command="SELECT * FROM [BANCO_CONSOLIDADO (2)]"/>
  </connection>
  <connection id="2" xr16:uid="{9BB1A0EA-1E5C-46B4-9890-46C03FCB8829}" keepAlive="1" name="Consulta - MACRO1" description="Conexión a la consulta 'MACRO1' en el libro." type="5" refreshedVersion="0" background="1">
    <dbPr connection="Provider=Microsoft.Mashup.OleDb.1;Data Source=$Workbook$;Location=MACRO1;Extended Properties=&quot;&quot;" command="SELECT * FROM [MACRO1]"/>
  </connection>
  <connection id="3" xr16:uid="{3A3EE9C8-3A48-4250-BEC9-1466FAE5EDA6}" keepAlive="1" name="Consulta - PAMPA3" description="Conexión a la consulta 'PAMPA3' en el libro." type="5" refreshedVersion="0" background="1">
    <dbPr connection="Provider=Microsoft.Mashup.OleDb.1;Data Source=$Workbook$;Location=PAMPA3;Extended Properties=&quot;&quot;" command="SELECT * FROM [PAMPA3]"/>
  </connection>
</connections>
</file>

<file path=xl/sharedStrings.xml><?xml version="1.0" encoding="utf-8"?>
<sst xmlns="http://schemas.openxmlformats.org/spreadsheetml/2006/main" count="34451" uniqueCount="1428">
  <si>
    <t>ESTADO DE SITUACION PATRIMONIAL AL 31/12/23</t>
  </si>
  <si>
    <t>ESTADO DE SITUACION PATRIMONIAL AL 01/01/25</t>
  </si>
  <si>
    <t>PARTIDAS CONTABLES</t>
  </si>
  <si>
    <t xml:space="preserve"> DIC 22- DIC 2023</t>
  </si>
  <si>
    <t>DIC 24-DIC 25</t>
  </si>
  <si>
    <t>DIC 23- DIC 24</t>
  </si>
  <si>
    <t>DIC 22- DIC 24</t>
  </si>
  <si>
    <t>DIC 24- DIC 25</t>
  </si>
  <si>
    <t>EXISTENCIAS AL:</t>
  </si>
  <si>
    <t>ACTIVOS</t>
  </si>
  <si>
    <t>PASIVOS</t>
  </si>
  <si>
    <t>PARTIDAS</t>
  </si>
  <si>
    <t>M DE ERROR</t>
  </si>
  <si>
    <t>% REPRESEN</t>
  </si>
  <si>
    <t>ACTIVOS CORRIENTES</t>
  </si>
  <si>
    <t>PASIVOS CORRIENTES</t>
  </si>
  <si>
    <t>EXISTENCIAS</t>
  </si>
  <si>
    <t>ACREEDORES DE CP</t>
  </si>
  <si>
    <t>EXISTENCIAS FINAL PERIODO ANT</t>
  </si>
  <si>
    <t>DEUDAS COMERCIALES CP</t>
  </si>
  <si>
    <t>MACRO</t>
  </si>
  <si>
    <t>DESCUBIERTO BANCOS</t>
  </si>
  <si>
    <t>EFECTIVO Y OTROS ACTIVOS LÍQUIDOS EQ. (1)</t>
  </si>
  <si>
    <t>EFECTIVO Y OTROS ACT LÍQ EQ.</t>
  </si>
  <si>
    <t>PROVEEDORES</t>
  </si>
  <si>
    <t>PAMPA</t>
  </si>
  <si>
    <t>MERCADERIA</t>
  </si>
  <si>
    <t>CHEQUES A CUBRIR</t>
  </si>
  <si>
    <t>GALICIA</t>
  </si>
  <si>
    <t>BIENES Y SERVICIOS</t>
  </si>
  <si>
    <t>NACION</t>
  </si>
  <si>
    <t>INVERSIONES TEMPORARIAS</t>
  </si>
  <si>
    <t>(1) SALDO REAL</t>
  </si>
  <si>
    <t>INSUMOS</t>
  </si>
  <si>
    <t>(2) SALDO ARROJADO</t>
  </si>
  <si>
    <t>OTROS INSUMOS</t>
  </si>
  <si>
    <t>AMORT. CREDITOS GAL</t>
  </si>
  <si>
    <t>AMORT CREDITOS</t>
  </si>
  <si>
    <t>AMORT. CREDITOS</t>
  </si>
  <si>
    <t>DEUDAS FINANCIERAS CP</t>
  </si>
  <si>
    <t>(3) COMPENSACIONES</t>
  </si>
  <si>
    <t>INSUMOS 2025</t>
  </si>
  <si>
    <t>PRESTAMOS CORTO PLAZO</t>
  </si>
  <si>
    <t>(4) SALDO NETO TOTAL (2)+(3)</t>
  </si>
  <si>
    <t>OTROS BIENES Y SERVICIOS</t>
  </si>
  <si>
    <t>ACREEDORES CORTO PLAZO</t>
  </si>
  <si>
    <t>(5) SALDO NETO TOTAL (1)+(4)</t>
  </si>
  <si>
    <t>ACREEDORES A COBRAR</t>
  </si>
  <si>
    <t>ACTIVOS NO CORRIENTES</t>
  </si>
  <si>
    <t>OTROS PROVEEDORES A PAGAR</t>
  </si>
  <si>
    <t>BIENES DE USO</t>
  </si>
  <si>
    <t>ACREEDORES BANCARIOS</t>
  </si>
  <si>
    <t>LOS GROBO</t>
  </si>
  <si>
    <t>vence</t>
  </si>
  <si>
    <t>tasa</t>
  </si>
  <si>
    <t>INFRAESTRUCTURA</t>
  </si>
  <si>
    <t>ACREEDOR DE LP</t>
  </si>
  <si>
    <t>SANTIAGO</t>
  </si>
  <si>
    <t>TODO CAMPO INS</t>
  </si>
  <si>
    <t>ACUERDO descubierto NACION</t>
  </si>
  <si>
    <t xml:space="preserve">OTROS </t>
  </si>
  <si>
    <t>INVERSIONES</t>
  </si>
  <si>
    <t>KWS</t>
  </si>
  <si>
    <t>ACUERDO descubierto GALICIA</t>
  </si>
  <si>
    <t>ACA</t>
  </si>
  <si>
    <t>ACUERDO descubierto MACRO 1</t>
  </si>
  <si>
    <t>44.88 %</t>
  </si>
  <si>
    <t>OTRAS INVERSIONES</t>
  </si>
  <si>
    <t xml:space="preserve">CARGAS FISCALES </t>
  </si>
  <si>
    <t>RENTAS</t>
  </si>
  <si>
    <t>ACUERDO descubierto MACRO 2</t>
  </si>
  <si>
    <t>43.73 %</t>
  </si>
  <si>
    <t>ACTIVOS INTANGIBLES</t>
  </si>
  <si>
    <t>DEUDAS SEG SOCIAL</t>
  </si>
  <si>
    <t>ACUERDO descubierto PAMPA</t>
  </si>
  <si>
    <t>PASIVOS NO CORRIENTES</t>
  </si>
  <si>
    <t>OTROS ACTIVOS</t>
  </si>
  <si>
    <t>PROVEEDORES DE LP</t>
  </si>
  <si>
    <t>EL JAQUE</t>
  </si>
  <si>
    <t>DEUDAS FINANCIERAS LP</t>
  </si>
  <si>
    <t>CREDITO NACION</t>
  </si>
  <si>
    <t>CREDITOS A SOLA FIRMA GALICIA</t>
  </si>
  <si>
    <t>BAYER</t>
  </si>
  <si>
    <t>CREDITO MACRO FW 120tn 3,5%</t>
  </si>
  <si>
    <t>MONSANTO</t>
  </si>
  <si>
    <t>CREDITO MACRO FW 90tn 3,5%</t>
  </si>
  <si>
    <t>YPF CARDINALES</t>
  </si>
  <si>
    <t>CREDITOS A SOLA FIRMA NACION</t>
  </si>
  <si>
    <t>CREDITO TARJETA AGRONACION</t>
  </si>
  <si>
    <t>PATRIMONIO NETO</t>
  </si>
  <si>
    <t>CREDITO MACRO CANJE</t>
  </si>
  <si>
    <t>CREDITOS MACRO</t>
  </si>
  <si>
    <t>CREDITOS PAMPA</t>
  </si>
  <si>
    <t>GALICIA A SOLA FIRMA 6M</t>
  </si>
  <si>
    <t>CAPITAL SOCIAL</t>
  </si>
  <si>
    <t>INTERESES A PAGAR</t>
  </si>
  <si>
    <t>RESERVAS</t>
  </si>
  <si>
    <t>INGRESOS</t>
  </si>
  <si>
    <t>APORTES DE CAPITAL</t>
  </si>
  <si>
    <t>EGRESOS</t>
  </si>
  <si>
    <t>RETIRO DE CAPITAL</t>
  </si>
  <si>
    <t>DISTR UTILIDADES</t>
  </si>
  <si>
    <t>FUTURAS UT. ADL CLAUDIA</t>
  </si>
  <si>
    <t>FUTURAS UT. ADL MONICA</t>
  </si>
  <si>
    <t>FUTURAS UT. ADL RAUL</t>
  </si>
  <si>
    <t>EGRESOS SEG SOCIAL y CARGAS FISCALES (-)</t>
  </si>
  <si>
    <t>RDO EJERC ANTERIORES</t>
  </si>
  <si>
    <t>CAPITAL HACIENDA</t>
  </si>
  <si>
    <t>INGRESOS POR INV (+)</t>
  </si>
  <si>
    <t>INTERESES  CRED (-)</t>
  </si>
  <si>
    <t>TOTAL RECURSOS</t>
  </si>
  <si>
    <t>TOTAL FINANCIAMIENTO</t>
  </si>
  <si>
    <t>DIF</t>
  </si>
  <si>
    <t>EF/PC:</t>
  </si>
  <si>
    <t>Índice de liquidez:</t>
  </si>
  <si>
    <t>PT/PN:</t>
  </si>
  <si>
    <t>Índice de endeudamiento:</t>
  </si>
  <si>
    <t>PT/ANC:</t>
  </si>
  <si>
    <t>Índice de endeudamiento sobre activo Corrientes</t>
  </si>
  <si>
    <t>PT/AC</t>
  </si>
  <si>
    <t>Prueba ácida</t>
  </si>
  <si>
    <t>(4) SALDO EST. TOTAL (2)+(3)</t>
  </si>
  <si>
    <t>(5) SALDO NETO (1)+(4)</t>
  </si>
  <si>
    <t>(2) SALDO ESTIMADO</t>
  </si>
  <si>
    <t xml:space="preserve">ESTADO DE SITUACION PATRIMONIAL AL 31/12/23 en USD TC </t>
  </si>
  <si>
    <t xml:space="preserve">ESTADO DE SITUACION PATRIMONIAL AL 01/01/25 en USD TC </t>
  </si>
  <si>
    <t>DEUDAS COMERCIALES</t>
  </si>
  <si>
    <t>PROVEEDORES A PAGAR</t>
  </si>
  <si>
    <t>IMPUESTOS A PAGAR</t>
  </si>
  <si>
    <t>CREDITO GALICIA</t>
  </si>
  <si>
    <t>UTILIDADES ADL CLAUDIA</t>
  </si>
  <si>
    <t>UTILIDADES ADL MONICA</t>
  </si>
  <si>
    <t>UTILIDADES ADL RAUL</t>
  </si>
  <si>
    <t>EGRESOS SEG SOCIAL (-)</t>
  </si>
  <si>
    <t>ESTADOS CONTABLES DE LA ADMINISTRACIÓN CENTRAL</t>
  </si>
  <si>
    <t>ESTADO DE EVOLUCIÓN DEL PATRIMONIO NETO</t>
  </si>
  <si>
    <t>POR EL PERÍODO FINALIZADO EL 31 DE DICIEMBRE DE 2025</t>
  </si>
  <si>
    <t>EN MILLONES DE PESOS</t>
  </si>
  <si>
    <t>C O N C E P T O</t>
  </si>
  <si>
    <t>RESULTADO DE LA CUENTA CORRIENTE</t>
  </si>
  <si>
    <t>CAPITAL</t>
  </si>
  <si>
    <t>AJUSTE</t>
  </si>
  <si>
    <t>VARIACIONES</t>
  </si>
  <si>
    <t>HACIENDA</t>
  </si>
  <si>
    <t>PATRIMONIO</t>
  </si>
  <si>
    <t>TOTAL AL</t>
  </si>
  <si>
    <t>FISCAL</t>
  </si>
  <si>
    <t>DEL CAPITAL</t>
  </si>
  <si>
    <t>PATRIMONIALES</t>
  </si>
  <si>
    <t>PÚBLICA</t>
  </si>
  <si>
    <t>PÚBLICO</t>
  </si>
  <si>
    <t>TOTAL</t>
  </si>
  <si>
    <t>EJERCICIOS</t>
  </si>
  <si>
    <t>DEL</t>
  </si>
  <si>
    <t>(1)</t>
  </si>
  <si>
    <t>(2)</t>
  </si>
  <si>
    <t>(3)</t>
  </si>
  <si>
    <t>ANTERIORES</t>
  </si>
  <si>
    <t>EJERCICIO</t>
  </si>
  <si>
    <t>(4)</t>
  </si>
  <si>
    <t>(5)=(1)+(2)+(3)+(4)</t>
  </si>
  <si>
    <t>(6)</t>
  </si>
  <si>
    <t>(7)=(5)+(6)</t>
  </si>
  <si>
    <t>Saldos al inicio del ejercicio</t>
  </si>
  <si>
    <t>- S/estados contables del ej anterior</t>
  </si>
  <si>
    <t>- Ajuste por Inflación</t>
  </si>
  <si>
    <t>Saldo reexpresado al inicio</t>
  </si>
  <si>
    <t>- Modificacion del saldo</t>
  </si>
  <si>
    <t xml:space="preserve"> - Descubierto Bancos</t>
  </si>
  <si>
    <t>Saldos modif. al inicio del ejercicio</t>
  </si>
  <si>
    <t>Incremento del ejercicio</t>
  </si>
  <si>
    <t>Disminuciones del ejercicio</t>
  </si>
  <si>
    <t>Resultado del Ejercicio</t>
  </si>
  <si>
    <t>INTERESES DE DEUDA</t>
  </si>
  <si>
    <t>Saldos al cierre del ejercicio</t>
  </si>
  <si>
    <t>* Los presentes Estados se encuentran expresados a moneda de cierre.</t>
  </si>
  <si>
    <t>rdo negativo absorvido</t>
  </si>
  <si>
    <t>saldo real en banco</t>
  </si>
  <si>
    <t>RESUMEN DE ACTIVIDADES 2025</t>
  </si>
  <si>
    <t>Etiquetas de fila</t>
  </si>
  <si>
    <t>Suma de EGRESOS</t>
  </si>
  <si>
    <t>Suma de INGRESOS</t>
  </si>
  <si>
    <t>Suma de EGRES USD</t>
  </si>
  <si>
    <t>Suma de INGRES USD</t>
  </si>
  <si>
    <t>ADMINISTRACION</t>
  </si>
  <si>
    <t>GASTOS_ADM</t>
  </si>
  <si>
    <t>COMISIONES</t>
  </si>
  <si>
    <t>CONTADORA</t>
  </si>
  <si>
    <t>HONORARIOS</t>
  </si>
  <si>
    <t>SEGUROS</t>
  </si>
  <si>
    <t>ALQUILER</t>
  </si>
  <si>
    <t>CERTIFICACIONES</t>
  </si>
  <si>
    <t>JUDICIAL</t>
  </si>
  <si>
    <t>ESCRIBANA</t>
  </si>
  <si>
    <t>PLAN DE PAGOS</t>
  </si>
  <si>
    <t>GASTOS_BANC</t>
  </si>
  <si>
    <t>IMPUESTOS</t>
  </si>
  <si>
    <t>GASTOS_FIN</t>
  </si>
  <si>
    <t xml:space="preserve">INTERESES </t>
  </si>
  <si>
    <t>PERSONAL</t>
  </si>
  <si>
    <t>JORNALES</t>
  </si>
  <si>
    <t>SUELDO</t>
  </si>
  <si>
    <t>VARIOS</t>
  </si>
  <si>
    <t>SOCIOS</t>
  </si>
  <si>
    <t>APORTES</t>
  </si>
  <si>
    <t>DEVOLUCION</t>
  </si>
  <si>
    <t>RETIROS</t>
  </si>
  <si>
    <t>(en blanco)</t>
  </si>
  <si>
    <t>A CTA DE HONORARIOS</t>
  </si>
  <si>
    <t>A CTA DE JUBILACION</t>
  </si>
  <si>
    <t>TERCEROS</t>
  </si>
  <si>
    <t>APORTES (EN REALIDAD EL DEVUELVE)</t>
  </si>
  <si>
    <t>PRESTAMOS</t>
  </si>
  <si>
    <t>GASTOS_OF</t>
  </si>
  <si>
    <t>SERVICIOS</t>
  </si>
  <si>
    <t>AGRICULTURA</t>
  </si>
  <si>
    <t>CULT. PRINCIPAL</t>
  </si>
  <si>
    <t>ASESORAMIENTO</t>
  </si>
  <si>
    <t>LABORATORIO</t>
  </si>
  <si>
    <t>MAIZ</t>
  </si>
  <si>
    <t>SOJA</t>
  </si>
  <si>
    <t>MANI</t>
  </si>
  <si>
    <t>GIRASOL</t>
  </si>
  <si>
    <t>CULT. COBERTURA</t>
  </si>
  <si>
    <t>ALFALFA</t>
  </si>
  <si>
    <t>ESTRUCTURA</t>
  </si>
  <si>
    <t>MAQUINARIAS</t>
  </si>
  <si>
    <t>MANTENIMIENTO</t>
  </si>
  <si>
    <t>MICHIGAN</t>
  </si>
  <si>
    <t>SEMBRADORA</t>
  </si>
  <si>
    <t>LUBRICANTES</t>
  </si>
  <si>
    <t>JOHN DEERE</t>
  </si>
  <si>
    <t>JD 3550</t>
  </si>
  <si>
    <t>VEHICULOS</t>
  </si>
  <si>
    <t>DUSTER</t>
  </si>
  <si>
    <t>HILUX</t>
  </si>
  <si>
    <t>ESTABLECIMIENTO</t>
  </si>
  <si>
    <t>PANADERIA</t>
  </si>
  <si>
    <t>PILETA</t>
  </si>
  <si>
    <t>SUPERMERCADO</t>
  </si>
  <si>
    <t>CONSTRUCCION</t>
  </si>
  <si>
    <t xml:space="preserve">REPARACIONES </t>
  </si>
  <si>
    <t>INDUMENTARIA</t>
  </si>
  <si>
    <t>REPARACIONES</t>
  </si>
  <si>
    <t>FINANCIERA</t>
  </si>
  <si>
    <t>CANCELACION</t>
  </si>
  <si>
    <t>CUOTA NACION</t>
  </si>
  <si>
    <t>CUOTA 1 PAMPA</t>
  </si>
  <si>
    <t>CANCELACION GALICIA</t>
  </si>
  <si>
    <t>CUOTA 2 PAMPA</t>
  </si>
  <si>
    <t>CUOTA 3 PAMPA</t>
  </si>
  <si>
    <t>CANCELACION MACRO USD</t>
  </si>
  <si>
    <t>CUOTA 4 PAMPA</t>
  </si>
  <si>
    <t>CONTRATO FW 120 TN</t>
  </si>
  <si>
    <t>CONTRATO FW 90 TN</t>
  </si>
  <si>
    <t>CUOTA 5 PAMPA</t>
  </si>
  <si>
    <t>CUOTA 6 PAMPA</t>
  </si>
  <si>
    <t>TARJETA AGRONACION</t>
  </si>
  <si>
    <t>TARJETA CORPORATIVA</t>
  </si>
  <si>
    <t>INTERBANKING</t>
  </si>
  <si>
    <t>TRANSF. PROPIAS</t>
  </si>
  <si>
    <t>CREDITOS</t>
  </si>
  <si>
    <t>GALICIA A SOLA FIRMA 6MESES</t>
  </si>
  <si>
    <t xml:space="preserve">MACRO A SOLA FIRMA </t>
  </si>
  <si>
    <t>CREDITO SGR</t>
  </si>
  <si>
    <t>PAMPA 6 MESES</t>
  </si>
  <si>
    <t xml:space="preserve">GALICIA A SOLA FIRMA 1 AÑO </t>
  </si>
  <si>
    <t>CREDITO MACRO USD</t>
  </si>
  <si>
    <t>40MIL USD VTO 30/07/26</t>
  </si>
  <si>
    <t>GALICIA A SOLA FIRMA 3MESES</t>
  </si>
  <si>
    <t>MACRO USD</t>
  </si>
  <si>
    <t>AJUSTES</t>
  </si>
  <si>
    <t>SALDO RECUPERO</t>
  </si>
  <si>
    <t>IVA</t>
  </si>
  <si>
    <t>SUSCRIPCION</t>
  </si>
  <si>
    <t>RESCATE</t>
  </si>
  <si>
    <t>OTROS</t>
  </si>
  <si>
    <t>OVEJAS</t>
  </si>
  <si>
    <t>ESQUILADO</t>
  </si>
  <si>
    <t>SOCIAL</t>
  </si>
  <si>
    <t>AYUDA SOCIAL</t>
  </si>
  <si>
    <t>REGALO</t>
  </si>
  <si>
    <t>PERROS</t>
  </si>
  <si>
    <t>ALIMENTOS</t>
  </si>
  <si>
    <t>CHANCHOS</t>
  </si>
  <si>
    <t>ARTICULOS KIOSCO</t>
  </si>
  <si>
    <t>GANADERIA</t>
  </si>
  <si>
    <t>COSTOS_OP</t>
  </si>
  <si>
    <t>COMBUSTIBLES</t>
  </si>
  <si>
    <t>VETERINARIA</t>
  </si>
  <si>
    <t>GUIAS</t>
  </si>
  <si>
    <t>FLETES</t>
  </si>
  <si>
    <t>ALIMENTACION</t>
  </si>
  <si>
    <t>SUPLEMENTOS</t>
  </si>
  <si>
    <t>COMPRA TERN</t>
  </si>
  <si>
    <t>CUOTA 1- 203 TERNEROS</t>
  </si>
  <si>
    <t>CUOTA 1- 68 TERNEROS</t>
  </si>
  <si>
    <t>CUOTA 2- 68 TERNEROS</t>
  </si>
  <si>
    <t>CUOTA 1- 25+55 TERNEROS</t>
  </si>
  <si>
    <t>CUOTA 1- 63+17 TERNEROS</t>
  </si>
  <si>
    <t>CUOTA 1- 22+43 TERNEROS</t>
  </si>
  <si>
    <t>CUOTA 2- 203 TERNEROS</t>
  </si>
  <si>
    <t>CUOTA 2- 43 TERNEROS</t>
  </si>
  <si>
    <t>CUOTA 2- 160 TENERNOS</t>
  </si>
  <si>
    <t>VENTAS NOV</t>
  </si>
  <si>
    <t>39 NOVILLOS</t>
  </si>
  <si>
    <t>38 NOVILLOS</t>
  </si>
  <si>
    <t>53 NOVILLOS</t>
  </si>
  <si>
    <t>Total general</t>
  </si>
  <si>
    <t>IMPUTACION DE MONTOS DE LAS ACTIVIDADES PRODUCTIVAS 2025</t>
  </si>
  <si>
    <t>ACTIVIDADES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</si>
  <si>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</si>
  <si>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</si>
  <si>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</si>
  <si>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</si>
  <si>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</si>
  <si>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</si>
  <si>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</si>
  <si>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</si>
  <si>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</si>
  <si>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</si>
  <si>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</si>
  <si>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</si>
  <si>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ESTIMADO</t>
  </si>
  <si>
    <t>%</t>
  </si>
  <si>
    <t>USD</t>
  </si>
  <si>
    <t>USD/HA</t>
  </si>
  <si>
    <t>SIEMBRA</t>
  </si>
  <si>
    <t>SEMILLAS</t>
  </si>
  <si>
    <t>APLICACIONES</t>
  </si>
  <si>
    <t>DESYUYADOR</t>
  </si>
  <si>
    <t>COSECHA 114 HAS</t>
  </si>
  <si>
    <t>EXTRACCION</t>
  </si>
  <si>
    <t>SOJA P EXPELLER</t>
  </si>
  <si>
    <t>FLETES FERTILIZANTE</t>
  </si>
  <si>
    <t>COSECHA MAIZ</t>
  </si>
  <si>
    <t>PICADO</t>
  </si>
  <si>
    <t>ACARREO</t>
  </si>
  <si>
    <t>CAMPAÑA 2025-2026</t>
  </si>
  <si>
    <t>AGRONASAJA</t>
  </si>
  <si>
    <t>12 BOLSAS</t>
  </si>
  <si>
    <t>FALLA LA SIEMBRA</t>
  </si>
  <si>
    <t>SUPRA</t>
  </si>
  <si>
    <t>TODO CAMPO</t>
  </si>
  <si>
    <t>SALDO INICIAL BANCOS:</t>
  </si>
  <si>
    <t>saldos con descub</t>
  </si>
  <si>
    <t>SALDO FINAL BANCOS:</t>
  </si>
  <si>
    <t>SALDO MACRO</t>
  </si>
  <si>
    <t>SALDO GALICIA</t>
  </si>
  <si>
    <t>SALDO PAMPA</t>
  </si>
  <si>
    <t>SALDO NACION</t>
  </si>
  <si>
    <t>FINAL 2025</t>
  </si>
  <si>
    <t>PERIODO</t>
  </si>
  <si>
    <t>FECHA</t>
  </si>
  <si>
    <t>DESCRIPCION</t>
  </si>
  <si>
    <t>N DE REFERENCIA</t>
  </si>
  <si>
    <t>SALDO</t>
  </si>
  <si>
    <t>SALDO BANCO</t>
  </si>
  <si>
    <t>TC</t>
  </si>
  <si>
    <t>EGRES USD</t>
  </si>
  <si>
    <t>INGRES USD</t>
  </si>
  <si>
    <t>MONEDA</t>
  </si>
  <si>
    <t>CUENTA</t>
  </si>
  <si>
    <t>BANCO</t>
  </si>
  <si>
    <t>ACTIVIDAD</t>
  </si>
  <si>
    <t>RUBRO</t>
  </si>
  <si>
    <t>CONCEPTO</t>
  </si>
  <si>
    <t>DETALLES</t>
  </si>
  <si>
    <t>PROVEEDOR CLIENTE</t>
  </si>
  <si>
    <t>FACTURA</t>
  </si>
  <si>
    <t>RDS</t>
  </si>
  <si>
    <t>SOCIO</t>
  </si>
  <si>
    <t>CAMPAÑA</t>
  </si>
  <si>
    <t>DEBITO</t>
  </si>
  <si>
    <t>CREDITO</t>
  </si>
  <si>
    <t>PAMPA DIG TRF.</t>
  </si>
  <si>
    <t>ARS</t>
  </si>
  <si>
    <t>CC</t>
  </si>
  <si>
    <t>HACIA CC MACRO</t>
  </si>
  <si>
    <t>06. COMPENSATORIOS</t>
  </si>
  <si>
    <t>24/25</t>
  </si>
  <si>
    <t>IMP.DEB/CRED P/DEB.</t>
  </si>
  <si>
    <t>DEBITO IVA FISCAL</t>
  </si>
  <si>
    <t>ARCA</t>
  </si>
  <si>
    <t>05. GASTOS_ADM</t>
  </si>
  <si>
    <t xml:space="preserve">RETIRO EN CAJA </t>
  </si>
  <si>
    <t>RAUL</t>
  </si>
  <si>
    <t>20. A CTA DE HONORARIOS</t>
  </si>
  <si>
    <t>SUELO+EXTRA+%HAC</t>
  </si>
  <si>
    <t>ANDRES TOLEDO</t>
  </si>
  <si>
    <t>10. SUELDOS Y JORNALES</t>
  </si>
  <si>
    <t xml:space="preserve">PERIODO DIC </t>
  </si>
  <si>
    <t>KEVIN TOLEDO</t>
  </si>
  <si>
    <t>HACIA EL MACRO</t>
  </si>
  <si>
    <t>TASA GRAL</t>
  </si>
  <si>
    <t>RETIRO RAUL</t>
  </si>
  <si>
    <t>CESAR DIAZ</t>
  </si>
  <si>
    <t>FA 35</t>
  </si>
  <si>
    <t>01. FACT PAGADAS 24</t>
  </si>
  <si>
    <t>23/24</t>
  </si>
  <si>
    <t>BIENES Y SERVICIOS 2024</t>
  </si>
  <si>
    <t xml:space="preserve">PAGO TELEFONO </t>
  </si>
  <si>
    <t>ALDO DIAZ</t>
  </si>
  <si>
    <t>04. SIN FACTURA 25</t>
  </si>
  <si>
    <t>TRANSF. MACRONLINE E-SET M/T</t>
  </si>
  <si>
    <t>DESDE CC MACRO</t>
  </si>
  <si>
    <t>VESTIMENTA CAMPO</t>
  </si>
  <si>
    <t>HUINCAGRO</t>
  </si>
  <si>
    <t>FA625</t>
  </si>
  <si>
    <t>PINTADA DE PILETA</t>
  </si>
  <si>
    <t>DARIO RODRIGUEZ</t>
  </si>
  <si>
    <t>FA 22</t>
  </si>
  <si>
    <t>02. FACT PAGADAS 25</t>
  </si>
  <si>
    <t>FUT UTILIDADES ENERO</t>
  </si>
  <si>
    <t>CLAUDIA ERRECALDE</t>
  </si>
  <si>
    <t>CLAUDIA</t>
  </si>
  <si>
    <t>IVA PERCEPC.ALIC.RED</t>
  </si>
  <si>
    <t>IVA PERCEPCION</t>
  </si>
  <si>
    <t>INTERESES ACUERDOS</t>
  </si>
  <si>
    <t>ACUERDOS</t>
  </si>
  <si>
    <t>IVA REDUCCION 10,5%</t>
  </si>
  <si>
    <t>IVA REDUCCION</t>
  </si>
  <si>
    <t>IMP.SELLOS</t>
  </si>
  <si>
    <t>SELLOS</t>
  </si>
  <si>
    <t>COM. MANTENIMIENTO DE CUENTA</t>
  </si>
  <si>
    <t>PERIODO ENERO25</t>
  </si>
  <si>
    <t>CABLE CARGADOR</t>
  </si>
  <si>
    <t>MATIAS LUCERO</t>
  </si>
  <si>
    <t>ESPEJO RETROVISOR</t>
  </si>
  <si>
    <t>03. SIN FACTURA 24</t>
  </si>
  <si>
    <t>LAVADERO</t>
  </si>
  <si>
    <t>NORMA TOLEDO</t>
  </si>
  <si>
    <t>RESTO SUELDO</t>
  </si>
  <si>
    <t>SUELDO+EXTRA</t>
  </si>
  <si>
    <t>SEGURO</t>
  </si>
  <si>
    <t>COLO BUSTOS</t>
  </si>
  <si>
    <t>SERVICIO A CAMPO</t>
  </si>
  <si>
    <t>FA 38</t>
  </si>
  <si>
    <t>TRF.POR CAJ.AUT./HB - 20164045693-ERRECALDE RAUL ALBERTO VAR-</t>
  </si>
  <si>
    <t>16. APORTE SOCIO RAUL</t>
  </si>
  <si>
    <t>IMP.DEB/CRED P/CRED.</t>
  </si>
  <si>
    <t>PMOS COMERCIALES</t>
  </si>
  <si>
    <t>08. CREDITOS</t>
  </si>
  <si>
    <t>INTERESES</t>
  </si>
  <si>
    <t>HACIA EL GALICIA</t>
  </si>
  <si>
    <t>COM.TRANSF PAMPA DIG</t>
  </si>
  <si>
    <t>DATANET EXENTO - 30708920882-G &amp; E S.A.</t>
  </si>
  <si>
    <t>DESDE CC GALICIA</t>
  </si>
  <si>
    <t>TRANSFERENCIA RECIBIDA - 20164045693-ERRECALDE RAUL ALBERTO VAR-</t>
  </si>
  <si>
    <t>IMP. DEBITOS Y CRED. POR DEBITO</t>
  </si>
  <si>
    <t>IMP. DEBITOS Y CRED. POR CREDITO</t>
  </si>
  <si>
    <t>DEPOSITO EF PARA EL PAMPA</t>
  </si>
  <si>
    <t>SANTIAGO ERRECALDE</t>
  </si>
  <si>
    <t>17. TERCEROS</t>
  </si>
  <si>
    <t>COBRO PRESTAMO COMERCIAL</t>
  </si>
  <si>
    <t>PRESTAMO PAMPA A 6MESES</t>
  </si>
  <si>
    <t>BANCO PAMPA</t>
  </si>
  <si>
    <t>18. CANC PARCIAL CREDITO PAMPA</t>
  </si>
  <si>
    <t>IVA PERCEPCION ALICUOTA REDUCIDA</t>
  </si>
  <si>
    <t>INTERESES ACUERDO SALDO DEUDOR</t>
  </si>
  <si>
    <t>IVA 10,5%</t>
  </si>
  <si>
    <t>INTERESES EXCESO DESCUBIERTO</t>
  </si>
  <si>
    <t>INTERESES DESCUBIERTO</t>
  </si>
  <si>
    <t>IMPUESTO DE SELLOS</t>
  </si>
  <si>
    <t>COM. ALTA DE ACUERDO</t>
  </si>
  <si>
    <t>TRANSF. PROPIA ENVIADA PD - 30708920882-G &amp; E S.A.</t>
  </si>
  <si>
    <t>HACIA CC GALICIA</t>
  </si>
  <si>
    <t>HACIA CC PAMPA</t>
  </si>
  <si>
    <t xml:space="preserve">TRANSF. ENVIADA PAMPA DIGITAL </t>
  </si>
  <si>
    <t>PRESTO ADRIAN PARA JORNAL Y SEGURO</t>
  </si>
  <si>
    <t>MARTIN TOLEDO</t>
  </si>
  <si>
    <t>DATANET EXENTO - 07089208823-G &amp; E SA</t>
  </si>
  <si>
    <t>HACIA CC NACION</t>
  </si>
  <si>
    <t>TRANSFERENCIA RECIBIDA - 30708920882-G &amp; E S.A. VAR-</t>
  </si>
  <si>
    <t>DESDE CC NACION</t>
  </si>
  <si>
    <t>25/26</t>
  </si>
  <si>
    <t>DATANET EXENTO - 07089208823-G E S A</t>
  </si>
  <si>
    <t>TRANSF. ENVIADA PAMPA DIGITAL - 20170457715-BECERRA ADRIAN OSCAR</t>
  </si>
  <si>
    <t>TRANSFERENCIA RECIBIDA - 20416806102-ERRECALDE SANTIAGO VAR-0041680610</t>
  </si>
  <si>
    <t>TRANSF PARA EL CRED PAMPA</t>
  </si>
  <si>
    <t>COM. TRANSF. PAMPA DIGITAL</t>
  </si>
  <si>
    <t>EMBARGO JUDICIAL</t>
  </si>
  <si>
    <t>EMBARGO</t>
  </si>
  <si>
    <t>COM. CHEQUE PAGADO POR CAJA</t>
  </si>
  <si>
    <t>CHEQUE PAGADO POR CAJA</t>
  </si>
  <si>
    <t>VILLAFAÑE LUCAS</t>
  </si>
  <si>
    <t>CHEQUERA</t>
  </si>
  <si>
    <t>CHEQUERAS</t>
  </si>
  <si>
    <t>TRANSF. ENVIADA PAMPA DIGITAL - 20164045693-ERRECALDE RAUL ALBERTO transf</t>
  </si>
  <si>
    <t>TRANSF. ENVIADA PAMPA DIGITAL - 20299218660-BIROLO MARCOS DAVID fa309</t>
  </si>
  <si>
    <t>BIROLO MARCOS</t>
  </si>
  <si>
    <t>FA 309</t>
  </si>
  <si>
    <t>PAGO PRESTAMO</t>
  </si>
  <si>
    <t>ULTIMA CUOTA DE PRESTAMO PASADO</t>
  </si>
  <si>
    <t>BANCO NACION</t>
  </si>
  <si>
    <t>07. CANC PRESTAMO 2023</t>
  </si>
  <si>
    <t>COMISION PAQUETES</t>
  </si>
  <si>
    <t>I.V.A. BASE</t>
  </si>
  <si>
    <t>RETEN. I.V.A. RG.2408</t>
  </si>
  <si>
    <t>RETENCIONES</t>
  </si>
  <si>
    <t>GRAVAMEN LEY 25413 S/DEB</t>
  </si>
  <si>
    <t>48HS. BANCOS</t>
  </si>
  <si>
    <t xml:space="preserve">TARQUINO </t>
  </si>
  <si>
    <t>FA81,13,29,99,32,57</t>
  </si>
  <si>
    <t>RETIRO POR CAJA PARA PAGOS</t>
  </si>
  <si>
    <t>RUSO MALDONADO</t>
  </si>
  <si>
    <t>UATRE</t>
  </si>
  <si>
    <t>RESTO DEL1,7 M QUE SE RETIRO DEL BANCO</t>
  </si>
  <si>
    <t>DEB.TRAN.INTERBMISMO TIT</t>
  </si>
  <si>
    <t>UTILIDADES FUTURAS</t>
  </si>
  <si>
    <t>MONICA ERRECALDE</t>
  </si>
  <si>
    <t>13. UTILIDADES MONICA</t>
  </si>
  <si>
    <t>MONICA</t>
  </si>
  <si>
    <t>CAM.FED.DIST.PZA. O/BCOS.</t>
  </si>
  <si>
    <t>BPAS</t>
  </si>
  <si>
    <t>MINISTERIO DE AGROINDUSTRIA CORDOBA</t>
  </si>
  <si>
    <t>15. INGRESOS AGROPECUARIOS</t>
  </si>
  <si>
    <t>COMIS. CANJE O/BANCOS</t>
  </si>
  <si>
    <t>GRAVAMEN LEY 25413 S/CRED</t>
  </si>
  <si>
    <t>JORNAL</t>
  </si>
  <si>
    <t>JORGE SUAREZ</t>
  </si>
  <si>
    <t>IGNACIO MALDONADO</t>
  </si>
  <si>
    <t>DIRECTV</t>
  </si>
  <si>
    <t>DEP.EFECTIVO</t>
  </si>
  <si>
    <t>BECERRA ADRIAN</t>
  </si>
  <si>
    <t>COMIS.TRANSF.NE24</t>
  </si>
  <si>
    <t>DEPOSITO EF EN CC</t>
  </si>
  <si>
    <t>TRANSF.INT.DIST.TITULAR - CUIT/CUIL: 20164045693</t>
  </si>
  <si>
    <t>BCA.E.TR.O/BCO - CUIT/CUIL: 30708920882</t>
  </si>
  <si>
    <t>FUT UTILIDADES FEBRERO</t>
  </si>
  <si>
    <t>12. UTILIDADES CLAUDIA</t>
  </si>
  <si>
    <t>TRANSF.INT.DIST.TITULAR - CUIT/CUIL: 27200806536</t>
  </si>
  <si>
    <t>16. APORTE SOCIO CLAUDIA</t>
  </si>
  <si>
    <t>ROLLOS</t>
  </si>
  <si>
    <t>DAVI ARMANDO</t>
  </si>
  <si>
    <t>EN EFECTIVO EN NACIOON</t>
  </si>
  <si>
    <t>COM TRANSFE ELECTRONICA</t>
  </si>
  <si>
    <t>CUBRE EL DESCUBIERTO</t>
  </si>
  <si>
    <t>COMIS.DE COMPROMISO</t>
  </si>
  <si>
    <t>PM/TOT. RES. AGRONACION</t>
  </si>
  <si>
    <t>P/CUBRIR EL NACION DE GASTOS</t>
  </si>
  <si>
    <t>PARA TRANSF A RAUL</t>
  </si>
  <si>
    <t>EFEC DE ADRIAN</t>
  </si>
  <si>
    <t>COBRADO POR CAJA</t>
  </si>
  <si>
    <t>COSECHA</t>
  </si>
  <si>
    <t>ALTINA JOSE</t>
  </si>
  <si>
    <t>CRED BE O BCO-MIS TIT IBK - CUIT/CUIL: 30708920882</t>
  </si>
  <si>
    <t>COM.EXT.NO GRA</t>
  </si>
  <si>
    <t>CREDITO SGR 2025</t>
  </si>
  <si>
    <t>CREDITOS SGR</t>
  </si>
  <si>
    <t>DEB.TRAN.INTERB</t>
  </si>
  <si>
    <t>ARIEL RODRIGUEZ</t>
  </si>
  <si>
    <t>PARTE SEPTIEMBRE</t>
  </si>
  <si>
    <t>TRANSF.INTER.MMO.TITULAR - CUIT/CUIL: 30708920882</t>
  </si>
  <si>
    <t>DESDE CC PAMPA</t>
  </si>
  <si>
    <t xml:space="preserve">22. CANC CREDITO NACION </t>
  </si>
  <si>
    <t>AMORT. CREDITO NACION</t>
  </si>
  <si>
    <t>ACREDITACION PRESTAMO</t>
  </si>
  <si>
    <t>COM DIS FOND CDT</t>
  </si>
  <si>
    <t>PAGO MINIMO</t>
  </si>
  <si>
    <t>DB PM/TOT RESUMEN TCORP</t>
  </si>
  <si>
    <t>PAGO ANUAL</t>
  </si>
  <si>
    <t>TRANSF.INT.DIST.TITULAR - CUIT/CUIL: 20416806102</t>
  </si>
  <si>
    <t>PAGO TOTAL</t>
  </si>
  <si>
    <t>PERCEP. IVA</t>
  </si>
  <si>
    <t>COMISION SERVICIO DE CUENTA</t>
  </si>
  <si>
    <t>IMP. DEB. LEY 25413 GRAL.</t>
  </si>
  <si>
    <t>INTERESES SOBRE SALDOS DEUDORES</t>
  </si>
  <si>
    <t>TRF INMED PROVEED</t>
  </si>
  <si>
    <t>TRANSP. MDB</t>
  </si>
  <si>
    <t>FA 6973</t>
  </si>
  <si>
    <t>MES DICIEMBRE</t>
  </si>
  <si>
    <t>CHICHIN PICCO</t>
  </si>
  <si>
    <t>TRANSF INMED CP</t>
  </si>
  <si>
    <t>INSUMOS PARA PILETA</t>
  </si>
  <si>
    <t>SUR SANITARIOS</t>
  </si>
  <si>
    <t>FA 6248</t>
  </si>
  <si>
    <t xml:space="preserve">CHEQUE 48 HS. </t>
  </si>
  <si>
    <t>N68698131</t>
  </si>
  <si>
    <t>HACIA EL PAMPA</t>
  </si>
  <si>
    <t>COMISION CHEQUE PAGADO POR CLEARING</t>
  </si>
  <si>
    <t>N68698139</t>
  </si>
  <si>
    <t>ELECT CASA</t>
  </si>
  <si>
    <t>COOPERATIVA ELC</t>
  </si>
  <si>
    <t>TRANSFERENCIA DE CUENTA PROPIA</t>
  </si>
  <si>
    <t>N68698136</t>
  </si>
  <si>
    <t>CANSECO</t>
  </si>
  <si>
    <t>FA209 FA 152</t>
  </si>
  <si>
    <t>N68698134</t>
  </si>
  <si>
    <t>REPUESTOS</t>
  </si>
  <si>
    <t xml:space="preserve">ZANOTTO </t>
  </si>
  <si>
    <t>FA 2833</t>
  </si>
  <si>
    <t>TRANSFERENCIA DE TERCEROS</t>
  </si>
  <si>
    <t>IMP. CRE. LEY 25413</t>
  </si>
  <si>
    <t>HACIA EL NACION</t>
  </si>
  <si>
    <t>N68698138</t>
  </si>
  <si>
    <t>MES ENERO</t>
  </si>
  <si>
    <t>MERLO</t>
  </si>
  <si>
    <t>TRANSFER. CASH MISMA TITULARIDAD</t>
  </si>
  <si>
    <t>N68698137</t>
  </si>
  <si>
    <t>EL CALDEN</t>
  </si>
  <si>
    <t>FA75 FA 37</t>
  </si>
  <si>
    <t>N68698133</t>
  </si>
  <si>
    <t>DEP.EFVO.AUTOSERVICIO TICKET: 2096</t>
  </si>
  <si>
    <t>CUOTA DE PRESTAMO</t>
  </si>
  <si>
    <t>PRESTAMO GALICIA</t>
  </si>
  <si>
    <t>BANCO GALICIA</t>
  </si>
  <si>
    <t>18. CANC CREDITO GALICIA</t>
  </si>
  <si>
    <t>DEBITO IIBB - NÚMERO DE CUOTA:1</t>
  </si>
  <si>
    <t>IIBB</t>
  </si>
  <si>
    <t>CREDITO PRESTAMO</t>
  </si>
  <si>
    <t>FA 41</t>
  </si>
  <si>
    <t>PERIODO MARZO 25</t>
  </si>
  <si>
    <t>SUELDO MARZO 25</t>
  </si>
  <si>
    <t>ANALISIS SUELO</t>
  </si>
  <si>
    <t>ALANIZ MELANIA</t>
  </si>
  <si>
    <t>FA 176</t>
  </si>
  <si>
    <t>HACIA NACION</t>
  </si>
  <si>
    <t>PARA CUBRIR EL NACION</t>
  </si>
  <si>
    <t>TELEFONO</t>
  </si>
  <si>
    <t>CEL RAULI</t>
  </si>
  <si>
    <t>PAGO A BERGIA</t>
  </si>
  <si>
    <t>COM. GESTION TRANSF.FDOS ENTRE BCOS</t>
  </si>
  <si>
    <t>PIDIO PARA MUTUAL</t>
  </si>
  <si>
    <t>PARTE MARZO</t>
  </si>
  <si>
    <t>DEPOSITO EN EFECTIVO</t>
  </si>
  <si>
    <t>N68698140</t>
  </si>
  <si>
    <t>AGROTRAC</t>
  </si>
  <si>
    <t>FA 1891</t>
  </si>
  <si>
    <t>CHEQUE 48 HS.</t>
  </si>
  <si>
    <t>N68698142</t>
  </si>
  <si>
    <t>PALO VERDE</t>
  </si>
  <si>
    <t>FA 1932</t>
  </si>
  <si>
    <t xml:space="preserve"> N68698145</t>
  </si>
  <si>
    <t>CLERICI JUAN PABLO</t>
  </si>
  <si>
    <t xml:space="preserve">FA147 </t>
  </si>
  <si>
    <t>N68698148</t>
  </si>
  <si>
    <t>TODO CAMPO COMB</t>
  </si>
  <si>
    <t>FA8373 FA8374</t>
  </si>
  <si>
    <t xml:space="preserve"> N68698150</t>
  </si>
  <si>
    <t>TRIVERO</t>
  </si>
  <si>
    <t>FA 0487</t>
  </si>
  <si>
    <t>N68698147</t>
  </si>
  <si>
    <t>MOLINO</t>
  </si>
  <si>
    <t>CORTI</t>
  </si>
  <si>
    <t>FA 288</t>
  </si>
  <si>
    <t xml:space="preserve"> IVA</t>
  </si>
  <si>
    <t xml:space="preserve"> PERCEP. IVA</t>
  </si>
  <si>
    <t xml:space="preserve"> COMISION CHEQUE PAGADO POR CLEARING</t>
  </si>
  <si>
    <t xml:space="preserve"> IMP. DEB. LEY 25413</t>
  </si>
  <si>
    <t xml:space="preserve"> INTERESES SOBRE SALDOS DEUDORES</t>
  </si>
  <si>
    <t xml:space="preserve"> IMPUESTO DE SELLOS</t>
  </si>
  <si>
    <t>N68698153</t>
  </si>
  <si>
    <t>LA YUNTA VET</t>
  </si>
  <si>
    <t>FA35 FA46</t>
  </si>
  <si>
    <t>N68698152</t>
  </si>
  <si>
    <t>FEDE PICCIOCHI</t>
  </si>
  <si>
    <t>FA341</t>
  </si>
  <si>
    <t>N68698149</t>
  </si>
  <si>
    <t>SE DEPOSITO EN EFEC PARA CUBRIR CHEQUE</t>
  </si>
  <si>
    <t>N68698154</t>
  </si>
  <si>
    <t>MARZO ABRIL</t>
  </si>
  <si>
    <t>N68698143</t>
  </si>
  <si>
    <t>FA 9152</t>
  </si>
  <si>
    <t>N68698155</t>
  </si>
  <si>
    <t>HA COMBUSTIBLES</t>
  </si>
  <si>
    <t>FA 2957</t>
  </si>
  <si>
    <t>N68698151</t>
  </si>
  <si>
    <t>ALINEACIONES ROBLEDO</t>
  </si>
  <si>
    <t>FA 0065</t>
  </si>
  <si>
    <t xml:space="preserve">CHEQUE GALICIA </t>
  </si>
  <si>
    <t>N68698156</t>
  </si>
  <si>
    <t>OSECAC Y FAECYS</t>
  </si>
  <si>
    <t>PARTE JULIO</t>
  </si>
  <si>
    <t>RESTO DEL SEGURO</t>
  </si>
  <si>
    <t>LA SEGUNDA SEGUROS</t>
  </si>
  <si>
    <t xml:space="preserve">FACUNDO DE DIOS </t>
  </si>
  <si>
    <t>POR PAGO A MARTIN, GUIA,  DE DIOS FACUNDO</t>
  </si>
  <si>
    <t xml:space="preserve">ECHEQ 48 HS. </t>
  </si>
  <si>
    <t>N119</t>
  </si>
  <si>
    <t>MARGARIA</t>
  </si>
  <si>
    <t>FA 931</t>
  </si>
  <si>
    <t>SENASA</t>
  </si>
  <si>
    <t>MOVISTAR</t>
  </si>
  <si>
    <t>DIRATCHETTE AGUSTIN</t>
  </si>
  <si>
    <t>FA 607</t>
  </si>
  <si>
    <t>DEBITO AUTOMATICO GALICIA RURAL</t>
  </si>
  <si>
    <t>N68698146</t>
  </si>
  <si>
    <t>FA 147</t>
  </si>
  <si>
    <t>COLOMBO&amp;COLOMBO</t>
  </si>
  <si>
    <t>22. COSTOS GANADEROS</t>
  </si>
  <si>
    <t>N68698144</t>
  </si>
  <si>
    <t>N120</t>
  </si>
  <si>
    <t>N121</t>
  </si>
  <si>
    <t>IMP. ING. BRUTOS</t>
  </si>
  <si>
    <t>COMISION ENTREGA DE CHEQUERAS</t>
  </si>
  <si>
    <t>N123</t>
  </si>
  <si>
    <t>FA 8780</t>
  </si>
  <si>
    <t>N68698159</t>
  </si>
  <si>
    <t>FA 870</t>
  </si>
  <si>
    <t>N68698163</t>
  </si>
  <si>
    <t xml:space="preserve"> N68698160</t>
  </si>
  <si>
    <t>N68698158</t>
  </si>
  <si>
    <t>N122</t>
  </si>
  <si>
    <t xml:space="preserve"> N68698162</t>
  </si>
  <si>
    <t>IVA RG 2300/2007</t>
  </si>
  <si>
    <t>LEIVA HNOS</t>
  </si>
  <si>
    <t>N68698164</t>
  </si>
  <si>
    <t>N68698157</t>
  </si>
  <si>
    <t>N68698161</t>
  </si>
  <si>
    <t>TRANSFERENCIAS CASH PROVEEDORES</t>
  </si>
  <si>
    <t>N68698170</t>
  </si>
  <si>
    <t>AMIN MIGUEL</t>
  </si>
  <si>
    <t>FA 873</t>
  </si>
  <si>
    <t>N68698172</t>
  </si>
  <si>
    <t>GALICIA A SOLA FIRMA 1A</t>
  </si>
  <si>
    <t>TRANSF. A TERCEROS</t>
  </si>
  <si>
    <t>MES AGOSTO</t>
  </si>
  <si>
    <t>DEVOLUCION APORTADO</t>
  </si>
  <si>
    <t>N68698165</t>
  </si>
  <si>
    <t>N68698167</t>
  </si>
  <si>
    <t>LUCARELLI AGUSTIN</t>
  </si>
  <si>
    <t>INSUMOS 2024</t>
  </si>
  <si>
    <t>CHEQUE GALICIA</t>
  </si>
  <si>
    <t>N68698166</t>
  </si>
  <si>
    <t>N68698171</t>
  </si>
  <si>
    <t>KETO GAS</t>
  </si>
  <si>
    <t>N68698173</t>
  </si>
  <si>
    <t>FA 34</t>
  </si>
  <si>
    <t>N32841146</t>
  </si>
  <si>
    <t>LA FORTALEZA</t>
  </si>
  <si>
    <t>MES SEPTIEMBRE</t>
  </si>
  <si>
    <t>TRANSFERENCIA A TERCEROS</t>
  </si>
  <si>
    <t>COBRO IIBB CUOTA N°1</t>
  </si>
  <si>
    <t>PARTE OCTUBRE</t>
  </si>
  <si>
    <t>PEREYRA</t>
  </si>
  <si>
    <t>JULIO TOLEDO</t>
  </si>
  <si>
    <t>CRISTIAN OLMEDO</t>
  </si>
  <si>
    <t>DESPOSTADO DE NOVILLO</t>
  </si>
  <si>
    <t>CENTENO</t>
  </si>
  <si>
    <t>TEKNAL</t>
  </si>
  <si>
    <t>EMBARGO CTAS</t>
  </si>
  <si>
    <t>EXPENSAS CORDOBA</t>
  </si>
  <si>
    <t>SEGUROS ECOGAS</t>
  </si>
  <si>
    <t>SEGURO CAMIONETA</t>
  </si>
  <si>
    <t>OSECAC</t>
  </si>
  <si>
    <t>FA 224</t>
  </si>
  <si>
    <t>LAUTARO AGUSTIN MASIN</t>
  </si>
  <si>
    <t>MES NOVIEMBRE</t>
  </si>
  <si>
    <t>SUELDO NOV 25</t>
  </si>
  <si>
    <t>AR PINTURAS</t>
  </si>
  <si>
    <t>CERUTTI MARIA ELINA</t>
  </si>
  <si>
    <t>SERVICIO HILUX</t>
  </si>
  <si>
    <t>VERO MICOLINI</t>
  </si>
  <si>
    <t>TOSQUITAS CEREALES</t>
  </si>
  <si>
    <t>FA 6613</t>
  </si>
  <si>
    <t>INSUMOS 2026</t>
  </si>
  <si>
    <t>TEF DATANET PAGOS AFIP</t>
  </si>
  <si>
    <t>CA</t>
  </si>
  <si>
    <t>F931 DIC 24</t>
  </si>
  <si>
    <t>DBCR 25413 S/CR TASA GRAL</t>
  </si>
  <si>
    <t>CR TRANSF AUT SDO MISMO TIT</t>
  </si>
  <si>
    <t>DEBITO FISCAL IVA BASICO</t>
  </si>
  <si>
    <t>DEBITO FISCAL IVA PERCEPCION</t>
  </si>
  <si>
    <t>COM RETIRO EFECTIVO POR CAJA</t>
  </si>
  <si>
    <t>MANTENIMIENTO MENSUAL PAQUETE</t>
  </si>
  <si>
    <t>F931 ENE 25</t>
  </si>
  <si>
    <t>HACIA LA CC</t>
  </si>
  <si>
    <t>F931 OCTUBRE 24</t>
  </si>
  <si>
    <t>F931 AGOSTO 24</t>
  </si>
  <si>
    <t>F931 FEB 2025</t>
  </si>
  <si>
    <t>F931 MAR 2025</t>
  </si>
  <si>
    <t>F931</t>
  </si>
  <si>
    <t>DBCR 25413 S/DB TASA GRAL</t>
  </si>
  <si>
    <t>F931 MARZ</t>
  </si>
  <si>
    <t>F931 ABRIL</t>
  </si>
  <si>
    <t>F931 AGOSTO</t>
  </si>
  <si>
    <t>F931 SEPTIEMBRE</t>
  </si>
  <si>
    <t>F931 NOVIEMBRE</t>
  </si>
  <si>
    <t>F931 OCTUBRE</t>
  </si>
  <si>
    <t>INTER.ADEL.CC C/ACUERD</t>
  </si>
  <si>
    <t>INTER.ADEL.CC S/ACUERD</t>
  </si>
  <si>
    <t>CHEQUE P/CAMARA</t>
  </si>
  <si>
    <t>N54053745</t>
  </si>
  <si>
    <t>FA15, 39</t>
  </si>
  <si>
    <t>N51936031</t>
  </si>
  <si>
    <t>FA 118</t>
  </si>
  <si>
    <t>N51936034</t>
  </si>
  <si>
    <t>FA 137</t>
  </si>
  <si>
    <t>N54056923</t>
  </si>
  <si>
    <t>FA 53</t>
  </si>
  <si>
    <t>N54213833</t>
  </si>
  <si>
    <t>FA 0123</t>
  </si>
  <si>
    <t>TRANSF G Y E SA 30708920882 VAR VARIOS 161104</t>
  </si>
  <si>
    <t>COMISION CHEQUE CONSULTA</t>
  </si>
  <si>
    <t>DB TR..AUT.SDO.MISMO TIT.</t>
  </si>
  <si>
    <t>HACIA LA CA</t>
  </si>
  <si>
    <t>N54382191</t>
  </si>
  <si>
    <t>ARREGLO CUB AUX</t>
  </si>
  <si>
    <t>GOMERIA GONZALEZ</t>
  </si>
  <si>
    <t>TRANSF. MACRONLINE E-SET D/T</t>
  </si>
  <si>
    <t>ANALISIS COPROLOGICO</t>
  </si>
  <si>
    <t>FA 164</t>
  </si>
  <si>
    <t>COM. SERV DESC NO AUTORIZ.</t>
  </si>
  <si>
    <t>HACIA CA MACRO</t>
  </si>
  <si>
    <t>N51936044</t>
  </si>
  <si>
    <t>FA306</t>
  </si>
  <si>
    <t>N54580542</t>
  </si>
  <si>
    <t>DIESEL LANGE</t>
  </si>
  <si>
    <t>FA86,03,16</t>
  </si>
  <si>
    <t>TEF DATANET MT G E S A 30708920882</t>
  </si>
  <si>
    <t>N54323560</t>
  </si>
  <si>
    <t>CORRALON RIVADAVIA</t>
  </si>
  <si>
    <t>FA1802</t>
  </si>
  <si>
    <t>N51936047</t>
  </si>
  <si>
    <t>AGRICOLA CENTENO</t>
  </si>
  <si>
    <t>FA7488</t>
  </si>
  <si>
    <t>CHEQUE CANJE INTERNO</t>
  </si>
  <si>
    <t>N51936037</t>
  </si>
  <si>
    <t>FERNANDO MAGALLANES</t>
  </si>
  <si>
    <t>N51936045</t>
  </si>
  <si>
    <t>FA 604</t>
  </si>
  <si>
    <t>SANCORSEG - SANCOR SEGUROS</t>
  </si>
  <si>
    <t>DGR FINANZAS CBA</t>
  </si>
  <si>
    <t>CUOTA 2/6</t>
  </si>
  <si>
    <t>09. PLAN DE PAGOS RENTAS CUOTA 2</t>
  </si>
  <si>
    <t>DB/CR - COMEX- Suc.:811</t>
  </si>
  <si>
    <t>MACRO A SOLA FIRMA</t>
  </si>
  <si>
    <t>COMISION TRF. MACROL E-SET</t>
  </si>
  <si>
    <t>VACACIONES</t>
  </si>
  <si>
    <t>FA 6278, 79</t>
  </si>
  <si>
    <t>TRASLADO A REALICO</t>
  </si>
  <si>
    <t>MEDERO</t>
  </si>
  <si>
    <t>FA 152</t>
  </si>
  <si>
    <t>ENCOMIENDA MACRO Y SEGURO EMPLEADO</t>
  </si>
  <si>
    <t>ENTREGA A EMPL CAMPO</t>
  </si>
  <si>
    <t>SOJA PRESTADA ANTERIOR</t>
  </si>
  <si>
    <t>COMISION CHQ PAG CLEARING</t>
  </si>
  <si>
    <t>FA 6295</t>
  </si>
  <si>
    <t>TRANSF:2501280000839698783283-20445501205</t>
  </si>
  <si>
    <t>N54213938</t>
  </si>
  <si>
    <t>N53810327</t>
  </si>
  <si>
    <t>FA 144</t>
  </si>
  <si>
    <t>N54623173</t>
  </si>
  <si>
    <t>FA 7084</t>
  </si>
  <si>
    <t>DGR SELLOS CORDOBA</t>
  </si>
  <si>
    <t>N54382306</t>
  </si>
  <si>
    <t>N53810330</t>
  </si>
  <si>
    <t>FERRRETERIA BULTOR</t>
  </si>
  <si>
    <t>FA 216</t>
  </si>
  <si>
    <t>CUOTA 3/6</t>
  </si>
  <si>
    <t>N53810333</t>
  </si>
  <si>
    <t>DANI PEREYRA</t>
  </si>
  <si>
    <t>ABOGADA</t>
  </si>
  <si>
    <t>QUARANTA CARLOS</t>
  </si>
  <si>
    <t>TRANSF 30708920882 VAR 190181700002</t>
  </si>
  <si>
    <t>INYECTORES</t>
  </si>
  <si>
    <t>VCA REPUESTOS</t>
  </si>
  <si>
    <t>N53810345</t>
  </si>
  <si>
    <t>FA 667</t>
  </si>
  <si>
    <t>N53810332</t>
  </si>
  <si>
    <t>FA 630</t>
  </si>
  <si>
    <t>N53810331</t>
  </si>
  <si>
    <t>FA315</t>
  </si>
  <si>
    <t>N51936048</t>
  </si>
  <si>
    <t>LEO FERNANDEZ</t>
  </si>
  <si>
    <t>FA 286 282</t>
  </si>
  <si>
    <t>N53810328</t>
  </si>
  <si>
    <t>FA 804</t>
  </si>
  <si>
    <t>N53810342</t>
  </si>
  <si>
    <t>FA 7381</t>
  </si>
  <si>
    <t>N53810326</t>
  </si>
  <si>
    <t>GARELLO</t>
  </si>
  <si>
    <t>FA 092</t>
  </si>
  <si>
    <t>N53810338</t>
  </si>
  <si>
    <t>FA 31,32,33</t>
  </si>
  <si>
    <t>N53810346</t>
  </si>
  <si>
    <t>FA319</t>
  </si>
  <si>
    <t>N53810352</t>
  </si>
  <si>
    <t>N54213999</t>
  </si>
  <si>
    <t>FA123</t>
  </si>
  <si>
    <t>N53810347</t>
  </si>
  <si>
    <t>N53810350</t>
  </si>
  <si>
    <t>N54382421</t>
  </si>
  <si>
    <t>N53810343</t>
  </si>
  <si>
    <t>PINTURAS PARA CASA</t>
  </si>
  <si>
    <t>FA246</t>
  </si>
  <si>
    <t>N53810334</t>
  </si>
  <si>
    <t>TRANSF ERRECALDE 20164045693 VAR VARIOS</t>
  </si>
  <si>
    <t>N53810339</t>
  </si>
  <si>
    <t>FA31, 32, 33</t>
  </si>
  <si>
    <t>N56186509</t>
  </si>
  <si>
    <t>DIESEL REALICO</t>
  </si>
  <si>
    <t>FA 3740</t>
  </si>
  <si>
    <t>DEVOLUCION PARTE APORTADO</t>
  </si>
  <si>
    <t>PERIODO FEBRERO 25</t>
  </si>
  <si>
    <t>TRASLADO AL CAMPO</t>
  </si>
  <si>
    <t>CUOTA 4/6</t>
  </si>
  <si>
    <t>FABIANA VICENTIN</t>
  </si>
  <si>
    <t>LLAVES DE PASO</t>
  </si>
  <si>
    <t>CIANCIO</t>
  </si>
  <si>
    <t>FA 951</t>
  </si>
  <si>
    <t>IVA BASICO</t>
  </si>
  <si>
    <t>N53810351</t>
  </si>
  <si>
    <t>CALAFAT CESAR</t>
  </si>
  <si>
    <t>N53810353</t>
  </si>
  <si>
    <t>N53810354</t>
  </si>
  <si>
    <t>FA322</t>
  </si>
  <si>
    <t>N53810335</t>
  </si>
  <si>
    <t>TORTONE</t>
  </si>
  <si>
    <t>N53810349</t>
  </si>
  <si>
    <t>TRANSF 20164045693 VAR</t>
  </si>
  <si>
    <t>TRANSF 30708920882 VAR</t>
  </si>
  <si>
    <t>N53810357</t>
  </si>
  <si>
    <t>ADELANTO SUELDO</t>
  </si>
  <si>
    <t>N53810337</t>
  </si>
  <si>
    <t>N53810340</t>
  </si>
  <si>
    <t>N53810355</t>
  </si>
  <si>
    <t>FA7641</t>
  </si>
  <si>
    <t>N53810356</t>
  </si>
  <si>
    <t>MES ENERO, FEB</t>
  </si>
  <si>
    <t>N53810359</t>
  </si>
  <si>
    <t>FA 7952</t>
  </si>
  <si>
    <t>AJUSTE SALDO DEUDA RECUPERO</t>
  </si>
  <si>
    <t>19. AJUSTES</t>
  </si>
  <si>
    <t>N53810362</t>
  </si>
  <si>
    <t>N53810368</t>
  </si>
  <si>
    <t>FA333</t>
  </si>
  <si>
    <t>TRANSF LEIVA HER 30710771576 VAR VARIOS</t>
  </si>
  <si>
    <t>VENTA</t>
  </si>
  <si>
    <t>N53810341</t>
  </si>
  <si>
    <t>N53810360</t>
  </si>
  <si>
    <t>N53810364</t>
  </si>
  <si>
    <t>DEVOLUCION APORTADO PARA MARTIIN</t>
  </si>
  <si>
    <t>TEF DATANET PR ACEITERA GENERAL 30502874353</t>
  </si>
  <si>
    <t>AGD</t>
  </si>
  <si>
    <t>COMISIÀN ADMINISTRACIÀN DE CHEQUERA</t>
  </si>
  <si>
    <t>MES ABRIL</t>
  </si>
  <si>
    <t>PERIODO ABRIL</t>
  </si>
  <si>
    <t>INSCRIPCION DE FEDE</t>
  </si>
  <si>
    <t>CUOTA 6/6</t>
  </si>
  <si>
    <t>N53810371</t>
  </si>
  <si>
    <t xml:space="preserve">PICADO </t>
  </si>
  <si>
    <t>FA 8266</t>
  </si>
  <si>
    <t>N53810358</t>
  </si>
  <si>
    <t>TEF DATANET PR SWIFT ARGENTINA SA 30560378056</t>
  </si>
  <si>
    <t>VENTA 24/4/2025</t>
  </si>
  <si>
    <t>SWIFT</t>
  </si>
  <si>
    <t>N° Liq: 1615</t>
  </si>
  <si>
    <t>15. INGRESOS GANADEROS</t>
  </si>
  <si>
    <t>N53810363</t>
  </si>
  <si>
    <t>FA 837</t>
  </si>
  <si>
    <t>ABRIL RESTO</t>
  </si>
  <si>
    <t>N53810367</t>
  </si>
  <si>
    <t>FA 706</t>
  </si>
  <si>
    <t>FA48 FA50</t>
  </si>
  <si>
    <t>PARA UATRE</t>
  </si>
  <si>
    <t>UATRE MAYO</t>
  </si>
  <si>
    <t>FAECYS</t>
  </si>
  <si>
    <t>ALAMBRADO</t>
  </si>
  <si>
    <t>FA 8330</t>
  </si>
  <si>
    <t>NECRI</t>
  </si>
  <si>
    <t>FA 6821</t>
  </si>
  <si>
    <t>A KVIN POR CUMPLE</t>
  </si>
  <si>
    <t>PAMPA SUR</t>
  </si>
  <si>
    <t>N53810365</t>
  </si>
  <si>
    <t>N57572069</t>
  </si>
  <si>
    <t>GOMAS</t>
  </si>
  <si>
    <t>GOMERIA ALTAMIRANO (AMETSEN)</t>
  </si>
  <si>
    <t>FA 328</t>
  </si>
  <si>
    <t>N53810366</t>
  </si>
  <si>
    <t>FA 8250</t>
  </si>
  <si>
    <t>N53810369</t>
  </si>
  <si>
    <t>FA 8133</t>
  </si>
  <si>
    <t>N53810370</t>
  </si>
  <si>
    <t>PERIODO JUNIO</t>
  </si>
  <si>
    <t>PARTE DE LOS 2,6M</t>
  </si>
  <si>
    <t>N57572267</t>
  </si>
  <si>
    <t>AMETSEN</t>
  </si>
  <si>
    <t>N57612038</t>
  </si>
  <si>
    <t>FA 080</t>
  </si>
  <si>
    <t>A ALIBERTI</t>
  </si>
  <si>
    <t>N53810361</t>
  </si>
  <si>
    <t>FA192</t>
  </si>
  <si>
    <t>PARTE JUNIO</t>
  </si>
  <si>
    <t>CCERR MACRO AGRO 30645289826 CIRC.CERRADO</t>
  </si>
  <si>
    <t>90 TN</t>
  </si>
  <si>
    <t>TEF DATANET PR UNICER SAS 30715839888</t>
  </si>
  <si>
    <t>PERIODO MAYO 25</t>
  </si>
  <si>
    <t>EXTRA SUELDO</t>
  </si>
  <si>
    <t>N53810372</t>
  </si>
  <si>
    <t>FA 8489</t>
  </si>
  <si>
    <t>LIQ.SUSC 10 000000000324771</t>
  </si>
  <si>
    <t>FCI MONEY MARKET</t>
  </si>
  <si>
    <t>BANCO MACRO</t>
  </si>
  <si>
    <t>21. INVERSIONES</t>
  </si>
  <si>
    <t>SE CUBRE DESCUBIERTO</t>
  </si>
  <si>
    <t>CUOTA 5/6</t>
  </si>
  <si>
    <t>DB.CEXT YCBIOS.GRAV.L25413 SUC.:811</t>
  </si>
  <si>
    <t>FOWARD 90 TN</t>
  </si>
  <si>
    <t>23. CANCELACION FOWARD 90TN</t>
  </si>
  <si>
    <t>N57979221</t>
  </si>
  <si>
    <t>FA 8655</t>
  </si>
  <si>
    <t>10 SOL.RESC 6644683 324771</t>
  </si>
  <si>
    <t>TRAE EFECTIVO</t>
  </si>
  <si>
    <t>HACIA GALICIA</t>
  </si>
  <si>
    <t>N58150466</t>
  </si>
  <si>
    <t>N58730909</t>
  </si>
  <si>
    <t>N57979293</t>
  </si>
  <si>
    <t>N58637979</t>
  </si>
  <si>
    <t>N53810373</t>
  </si>
  <si>
    <t>FA 067</t>
  </si>
  <si>
    <t>N57572139</t>
  </si>
  <si>
    <t>N57867826</t>
  </si>
  <si>
    <t>LUCHI GIL</t>
  </si>
  <si>
    <t>FA 31</t>
  </si>
  <si>
    <t>N57867829</t>
  </si>
  <si>
    <t>CENTRO DE GANADERO</t>
  </si>
  <si>
    <t>N57939816</t>
  </si>
  <si>
    <t>VENTA 28/5/2025</t>
  </si>
  <si>
    <t>N° Liq: 24429</t>
  </si>
  <si>
    <t>N53810374</t>
  </si>
  <si>
    <t xml:space="preserve">COSECHA </t>
  </si>
  <si>
    <t>N58345537</t>
  </si>
  <si>
    <t>FA 83 FA 09</t>
  </si>
  <si>
    <t>N57867830</t>
  </si>
  <si>
    <t xml:space="preserve">AMIN JOSE </t>
  </si>
  <si>
    <t>FA50</t>
  </si>
  <si>
    <t>N58819565</t>
  </si>
  <si>
    <t>EL POLO TAVI GALVAN</t>
  </si>
  <si>
    <t>TRANSF 30710771576 VAR</t>
  </si>
  <si>
    <t>N57867832</t>
  </si>
  <si>
    <t>FA 346</t>
  </si>
  <si>
    <t>N51936042</t>
  </si>
  <si>
    <t>FA89 FA06 FA65</t>
  </si>
  <si>
    <t>APROBACION ACTAS</t>
  </si>
  <si>
    <t>CONSEJO PROF CS ECONOMICAS</t>
  </si>
  <si>
    <t>TERMO PARA ANDRES</t>
  </si>
  <si>
    <t>RODRIGUEZ RAUL</t>
  </si>
  <si>
    <t>FA 52</t>
  </si>
  <si>
    <t>VENTA 12/06/2025</t>
  </si>
  <si>
    <t>N° Liq: 24543</t>
  </si>
  <si>
    <t>N57867827</t>
  </si>
  <si>
    <t>SUELDO JUNIO+SAC</t>
  </si>
  <si>
    <t>EXTRA</t>
  </si>
  <si>
    <t>N57867833</t>
  </si>
  <si>
    <t>BAQUE FACUNDO</t>
  </si>
  <si>
    <t>ESPINAGRO</t>
  </si>
  <si>
    <t>FA 1936</t>
  </si>
  <si>
    <t>PARTE AGOSTO</t>
  </si>
  <si>
    <t>N57867834</t>
  </si>
  <si>
    <t>N59296422</t>
  </si>
  <si>
    <t>VENTA 22/06/2025</t>
  </si>
  <si>
    <t>N° Liq: 24611</t>
  </si>
  <si>
    <t>N58150511</t>
  </si>
  <si>
    <t>PAGO A AMETSEN POR GOMAS</t>
  </si>
  <si>
    <t>TRF MO CCDO DIST T - 30708920882</t>
  </si>
  <si>
    <t>CONTRATO ALQUILER</t>
  </si>
  <si>
    <t>AFILADO DE CADENA</t>
  </si>
  <si>
    <t>BENITEZ</t>
  </si>
  <si>
    <t>PINTURAS</t>
  </si>
  <si>
    <t>ROPA PERSONAL</t>
  </si>
  <si>
    <t>PAMPERO</t>
  </si>
  <si>
    <t>N57867828</t>
  </si>
  <si>
    <t>N59345389</t>
  </si>
  <si>
    <t>NUTRIMAX</t>
  </si>
  <si>
    <t>FA 316</t>
  </si>
  <si>
    <t>VENTA 24/06/2025</t>
  </si>
  <si>
    <t>N° Liq: 24626</t>
  </si>
  <si>
    <t>N57867831</t>
  </si>
  <si>
    <t>FA346</t>
  </si>
  <si>
    <t>COMISION TRANSFERE</t>
  </si>
  <si>
    <t>PRESTAMO 30 MIL USD</t>
  </si>
  <si>
    <t>19. CANC CREDITO MACRO USD</t>
  </si>
  <si>
    <t>AMORT. CREDITOS MACR</t>
  </si>
  <si>
    <t>N57572177</t>
  </si>
  <si>
    <t xml:space="preserve">ALTAMIRANO </t>
  </si>
  <si>
    <t>FA9152</t>
  </si>
  <si>
    <t>N57867841</t>
  </si>
  <si>
    <t>FERRERE AGUSTIN</t>
  </si>
  <si>
    <t>FA2991</t>
  </si>
  <si>
    <t>N59108400</t>
  </si>
  <si>
    <t>N53810375</t>
  </si>
  <si>
    <t>N57867837</t>
  </si>
  <si>
    <t>N59110321</t>
  </si>
  <si>
    <t>10 Liq.Susc 871158 324771</t>
  </si>
  <si>
    <t>N57867836</t>
  </si>
  <si>
    <t>ARREGL DE CUB AUX</t>
  </si>
  <si>
    <t>GOMERIA CARLITOS</t>
  </si>
  <si>
    <t>FA429</t>
  </si>
  <si>
    <t>N57867848</t>
  </si>
  <si>
    <t>MARZO MAYO JUNIO</t>
  </si>
  <si>
    <t>10 SOL.RESC 887385 324771</t>
  </si>
  <si>
    <t>N57867838</t>
  </si>
  <si>
    <t>10 SOL.RESC 921516 324771</t>
  </si>
  <si>
    <t>TRANSF 30710771576 VAR LEIVA HERMAN</t>
  </si>
  <si>
    <t>N51936043</t>
  </si>
  <si>
    <t>N57867835</t>
  </si>
  <si>
    <t>N59456885</t>
  </si>
  <si>
    <t>MDB</t>
  </si>
  <si>
    <t>FA 69</t>
  </si>
  <si>
    <t>N59298834</t>
  </si>
  <si>
    <t>10 SOL.RESC 948996 324771</t>
  </si>
  <si>
    <t>N59457028</t>
  </si>
  <si>
    <t>BIROLO NICOLAS</t>
  </si>
  <si>
    <t>FA 85</t>
  </si>
  <si>
    <t>N59456972</t>
  </si>
  <si>
    <t>FA 82</t>
  </si>
  <si>
    <t>TRANSF G Y E SA 30708920882 VAR VARIOS 306174</t>
  </si>
  <si>
    <t>VENTA 10/07/2025</t>
  </si>
  <si>
    <t>N° Liq: 24748</t>
  </si>
  <si>
    <t>N57867844</t>
  </si>
  <si>
    <t>N57867845</t>
  </si>
  <si>
    <t>FA 813</t>
  </si>
  <si>
    <t>N59345484</t>
  </si>
  <si>
    <t>CAMBIO DE FILTROS Y ACEITE CBA</t>
  </si>
  <si>
    <t>TORRES ALBERTO</t>
  </si>
  <si>
    <t>TRANSF:2508010000835727826949-20219370548</t>
  </si>
  <si>
    <t>TUBOS GAS</t>
  </si>
  <si>
    <t>N60183518</t>
  </si>
  <si>
    <t>N60183697</t>
  </si>
  <si>
    <t>CORRALON EL ESCONDIDO</t>
  </si>
  <si>
    <t>N57867842</t>
  </si>
  <si>
    <t>N57867846</t>
  </si>
  <si>
    <t>VENTA 16/07/2025</t>
  </si>
  <si>
    <t>N° Liq: 24808</t>
  </si>
  <si>
    <t>N60288395</t>
  </si>
  <si>
    <t>DB.CEXT YCBIOS.GRAV.L25413 Suc.:811</t>
  </si>
  <si>
    <t>FOWARD 120 TN</t>
  </si>
  <si>
    <t>24. CANCELACION FOWARD 120TN</t>
  </si>
  <si>
    <t>120 TN</t>
  </si>
  <si>
    <t>CCERR J H B SAU 30717114422 CIRC.CERRADO</t>
  </si>
  <si>
    <t>N57867843</t>
  </si>
  <si>
    <t>CARDAN, CRUCETA</t>
  </si>
  <si>
    <t>FA 318 340</t>
  </si>
  <si>
    <t>MES JULIO</t>
  </si>
  <si>
    <t>AGROFAMANO</t>
  </si>
  <si>
    <t>N57867849</t>
  </si>
  <si>
    <t>MURRA GROSSO</t>
  </si>
  <si>
    <t>N58150600</t>
  </si>
  <si>
    <t>TEF DATANET PR OLEGA S.A. 33568425249</t>
  </si>
  <si>
    <t>ALQUILER- CUOTA 1</t>
  </si>
  <si>
    <t>OLEGA SA</t>
  </si>
  <si>
    <t>N57867847</t>
  </si>
  <si>
    <t>N57867850</t>
  </si>
  <si>
    <t>N57867853</t>
  </si>
  <si>
    <t>ZANOTTO</t>
  </si>
  <si>
    <t>FA 2953</t>
  </si>
  <si>
    <t>N57867855</t>
  </si>
  <si>
    <t>N59719907</t>
  </si>
  <si>
    <t>FA 670</t>
  </si>
  <si>
    <t>N59843807</t>
  </si>
  <si>
    <t>FA 9044</t>
  </si>
  <si>
    <t>N60401874</t>
  </si>
  <si>
    <t>CONTRATO</t>
  </si>
  <si>
    <t>GARANTIZAR</t>
  </si>
  <si>
    <t>N57867854</t>
  </si>
  <si>
    <t xml:space="preserve">TRIVERO </t>
  </si>
  <si>
    <t>FA18 FA 52</t>
  </si>
  <si>
    <t>GUANTES, NIPLE ETC</t>
  </si>
  <si>
    <t>FA 3560</t>
  </si>
  <si>
    <t>N59108466</t>
  </si>
  <si>
    <t>TRANSF G E S.A 30708920882 VAR VARIOS</t>
  </si>
  <si>
    <t>PRESTAMO 26 MIL USD</t>
  </si>
  <si>
    <t>TRANSF:2508200000474250964901-30715434616</t>
  </si>
  <si>
    <t>PRODUCTO PARA MOLINO</t>
  </si>
  <si>
    <t>MARCU SA</t>
  </si>
  <si>
    <t>N57867852</t>
  </si>
  <si>
    <t>TARQUINO</t>
  </si>
  <si>
    <t>FA 2802</t>
  </si>
  <si>
    <t>N59526445</t>
  </si>
  <si>
    <t>LIQ.SUSC 1518854 324771</t>
  </si>
  <si>
    <t>LIQ.SUSC 1518570 324771</t>
  </si>
  <si>
    <t>10 LIQ.SUSC 1549736 324771</t>
  </si>
  <si>
    <t>10 LIQ.SUSC 1549795 324771</t>
  </si>
  <si>
    <t>N57867856</t>
  </si>
  <si>
    <t>FA193</t>
  </si>
  <si>
    <t>10 SOL.RESC 1588691 324771</t>
  </si>
  <si>
    <t>MOTOSIERRA</t>
  </si>
  <si>
    <t>VILLARREAL</t>
  </si>
  <si>
    <t>N57867863</t>
  </si>
  <si>
    <t>FA 838</t>
  </si>
  <si>
    <t>N57867872</t>
  </si>
  <si>
    <t xml:space="preserve">ROMERO JOSE </t>
  </si>
  <si>
    <t>FA 791</t>
  </si>
  <si>
    <t>10 SOL.RESC 1622338 324771</t>
  </si>
  <si>
    <t>TEF DATANET PR GARANTIZAR S G R 30688331761</t>
  </si>
  <si>
    <t>N57867839</t>
  </si>
  <si>
    <t>N57867859</t>
  </si>
  <si>
    <t>HUGO DE DIOS</t>
  </si>
  <si>
    <t>FA 207</t>
  </si>
  <si>
    <t>3 SOL.RESC 1714350 324771</t>
  </si>
  <si>
    <t>10 SOL.RESC 1714382 324771</t>
  </si>
  <si>
    <t>N57867862</t>
  </si>
  <si>
    <t>N60501848</t>
  </si>
  <si>
    <t>FA6025</t>
  </si>
  <si>
    <t>N57867868</t>
  </si>
  <si>
    <t>FA 973</t>
  </si>
  <si>
    <t>TRANSF G Y E SA 30708920882 VAR VARIOS 331928</t>
  </si>
  <si>
    <t>TRANSF G Y E SA 30708920882 VAR VARIOS 333550</t>
  </si>
  <si>
    <t>N57867865</t>
  </si>
  <si>
    <t>N60335067</t>
  </si>
  <si>
    <t>FA 935</t>
  </si>
  <si>
    <t>TRANSF G Y E SA 30708920882 VAR VARIOS 337125</t>
  </si>
  <si>
    <t>N57867861</t>
  </si>
  <si>
    <t>N60838101</t>
  </si>
  <si>
    <t>N57867864</t>
  </si>
  <si>
    <t>FA 852</t>
  </si>
  <si>
    <t>N60500045</t>
  </si>
  <si>
    <t>N60569569</t>
  </si>
  <si>
    <t>FA 157</t>
  </si>
  <si>
    <t>TRANSF G Y E SA 30708920882 VAR VARIOS 342245</t>
  </si>
  <si>
    <t>N57867851</t>
  </si>
  <si>
    <t>N60626406</t>
  </si>
  <si>
    <t>TRANSF G Y E SA 30708920882 VAR VARIOS 343146</t>
  </si>
  <si>
    <t>N57867873</t>
  </si>
  <si>
    <t>ALCIDES QUIROGA</t>
  </si>
  <si>
    <t>N57867857</t>
  </si>
  <si>
    <t>FA 190</t>
  </si>
  <si>
    <t>N57867869</t>
  </si>
  <si>
    <t>FA 633</t>
  </si>
  <si>
    <t>TRANSF G Y E SA 30708920882 VAR VARIOS 346335</t>
  </si>
  <si>
    <t>N57867840</t>
  </si>
  <si>
    <t>N60335177</t>
  </si>
  <si>
    <t>FA 396</t>
  </si>
  <si>
    <t>TRANSF G Y E SA 30708920882 VAR VARIOS 347074</t>
  </si>
  <si>
    <t>N60588062</t>
  </si>
  <si>
    <t>FA 9367</t>
  </si>
  <si>
    <t>TRANSF ERRECALDE 20164045693 VAR VARIOS 00164</t>
  </si>
  <si>
    <t>N57867870</t>
  </si>
  <si>
    <t>N60458281</t>
  </si>
  <si>
    <t>FA78 FA84</t>
  </si>
  <si>
    <t>N60458278</t>
  </si>
  <si>
    <t>FA881</t>
  </si>
  <si>
    <t>N60458285</t>
  </si>
  <si>
    <t>ADELANTO SUELDO 1/3</t>
  </si>
  <si>
    <t>N60458276</t>
  </si>
  <si>
    <t>FA367</t>
  </si>
  <si>
    <t>N60458277</t>
  </si>
  <si>
    <t>FA 881</t>
  </si>
  <si>
    <t>N57867866</t>
  </si>
  <si>
    <t>DB/CR - COMEX- SUC.:811</t>
  </si>
  <si>
    <t>30 MIL USD 11%</t>
  </si>
  <si>
    <t>FUNES JAVIER</t>
  </si>
  <si>
    <t>GUASTELLA GERARDO DAMIAN</t>
  </si>
  <si>
    <t>COMISION TRANSFERENCIAS</t>
  </si>
  <si>
    <t>TRANSF:2510130000131072740411-27317104400</t>
  </si>
  <si>
    <t>A GABI</t>
  </si>
  <si>
    <t>N57867874</t>
  </si>
  <si>
    <t>N57867875</t>
  </si>
  <si>
    <t>ALQUILER- PARCIAL CUOTA 2</t>
  </si>
  <si>
    <t>N57867867</t>
  </si>
  <si>
    <t>N61672603</t>
  </si>
  <si>
    <t>PAGO FED PATRONAL</t>
  </si>
  <si>
    <t>N57867858</t>
  </si>
  <si>
    <t>N61631032</t>
  </si>
  <si>
    <t>COTAGRO</t>
  </si>
  <si>
    <t>PAGO DE RESP CIVIL</t>
  </si>
  <si>
    <t>N61797179</t>
  </si>
  <si>
    <t xml:space="preserve">SUPRA </t>
  </si>
  <si>
    <t>TRANSF G Y E SA 30708920882 VAR VARIOS 370253</t>
  </si>
  <si>
    <t>TEF DATANET PR LA HILDA SAS 33715912789</t>
  </si>
  <si>
    <t>N60458283</t>
  </si>
  <si>
    <t>AGOSTO SEPTIEMBRE</t>
  </si>
  <si>
    <t>N60458284</t>
  </si>
  <si>
    <t>N61430535</t>
  </si>
  <si>
    <t>FA9636</t>
  </si>
  <si>
    <t>N61559204</t>
  </si>
  <si>
    <t>FA 62 55</t>
  </si>
  <si>
    <t>N57867871</t>
  </si>
  <si>
    <t>FA 761</t>
  </si>
  <si>
    <t>N60458286</t>
  </si>
  <si>
    <t>TRANSF BECERRA,A 20170457715 VAR VARIOS TRANS</t>
  </si>
  <si>
    <t>N60458282</t>
  </si>
  <si>
    <t>FA 78 84</t>
  </si>
  <si>
    <t>N60458290</t>
  </si>
  <si>
    <t>FA 913</t>
  </si>
  <si>
    <t>N60458293</t>
  </si>
  <si>
    <t>N60458280</t>
  </si>
  <si>
    <t>RUSO HEINRICH</t>
  </si>
  <si>
    <t>N60458279</t>
  </si>
  <si>
    <t>N60458291</t>
  </si>
  <si>
    <t>PERIODO OCTUBRE</t>
  </si>
  <si>
    <t>MES OCTUBRE</t>
  </si>
  <si>
    <t>N60458288</t>
  </si>
  <si>
    <t>GOMERIA OCHOA</t>
  </si>
  <si>
    <t>FA 10</t>
  </si>
  <si>
    <t>N60458289</t>
  </si>
  <si>
    <t>FA 371</t>
  </si>
  <si>
    <t>FERRESUR</t>
  </si>
  <si>
    <t>FA956</t>
  </si>
  <si>
    <t>N62537416</t>
  </si>
  <si>
    <t>N60458294</t>
  </si>
  <si>
    <t>N61672676</t>
  </si>
  <si>
    <t>FA 09</t>
  </si>
  <si>
    <t>N60458299</t>
  </si>
  <si>
    <t>FA 351</t>
  </si>
  <si>
    <t>N60458301</t>
  </si>
  <si>
    <t>N60458296</t>
  </si>
  <si>
    <t>TRANSF G Y E SA 30708920882 VAR VARIOS 398569</t>
  </si>
  <si>
    <t>N60458302</t>
  </si>
  <si>
    <t xml:space="preserve">CORTI </t>
  </si>
  <si>
    <t>FA 307 308</t>
  </si>
  <si>
    <t>TRANSF G Y E SA 30708920882 VAR VARIOS 402648</t>
  </si>
  <si>
    <t>N60458292</t>
  </si>
  <si>
    <t>N62841080</t>
  </si>
  <si>
    <t>FA 86</t>
  </si>
  <si>
    <t>A 280 DIAS</t>
  </si>
  <si>
    <t>N60458305</t>
  </si>
  <si>
    <t>N61727381</t>
  </si>
  <si>
    <t>N61727441</t>
  </si>
  <si>
    <t>PARTE NOVIEMBRE</t>
  </si>
  <si>
    <t>TRANSF:2512160000656106780616-27221595349</t>
  </si>
  <si>
    <t>FRESNOS</t>
  </si>
  <si>
    <t>ERICA MERLO</t>
  </si>
  <si>
    <t>AFIP</t>
  </si>
  <si>
    <t>PLAN DE PAGOS VEPS</t>
  </si>
  <si>
    <t>N60458287</t>
  </si>
  <si>
    <t>N62739060</t>
  </si>
  <si>
    <t xml:space="preserve">EL JAQUE </t>
  </si>
  <si>
    <t>FA2191</t>
  </si>
  <si>
    <t>N60458306</t>
  </si>
  <si>
    <t>FA79</t>
  </si>
  <si>
    <t>N60458300</t>
  </si>
  <si>
    <t>FA9445</t>
  </si>
  <si>
    <t>N60458304</t>
  </si>
  <si>
    <t>ANALISIS SEMILLA</t>
  </si>
  <si>
    <t>UNC</t>
  </si>
  <si>
    <t>FA7603</t>
  </si>
  <si>
    <t>SAC</t>
  </si>
  <si>
    <t>TRANSF:2512260000335867153786-20307048346</t>
  </si>
  <si>
    <t>SAC DICIEMBRE</t>
  </si>
  <si>
    <t>BULONES TRANQUERA CARGADOR</t>
  </si>
  <si>
    <t>BULONERA FENIX</t>
  </si>
  <si>
    <t>DESDE CA MACRO</t>
  </si>
  <si>
    <t>TRANSFERENCIA</t>
  </si>
  <si>
    <t>-</t>
  </si>
  <si>
    <t>PARA PAGO MARTIN</t>
  </si>
  <si>
    <t>EFECTIVO</t>
  </si>
  <si>
    <t>UATRE ABRIL</t>
  </si>
  <si>
    <t>ASADO CAMPO</t>
  </si>
  <si>
    <t>LIMPIEZA CASA CAMPO</t>
  </si>
  <si>
    <t>GRACIELA</t>
  </si>
  <si>
    <t>PAGO CN 2 GOMAS A FACUNDO DE DIOS- PARTE DE DEVOLUCION</t>
  </si>
  <si>
    <t>PAGO VARIOS</t>
  </si>
  <si>
    <t>BETO RODRIGUEZ</t>
  </si>
  <si>
    <t>SUELDO JUNIO+SAC+EXTRA</t>
  </si>
  <si>
    <t>PARA PAGO CONCEPTOS</t>
  </si>
  <si>
    <t>UATRE JUNIO</t>
  </si>
  <si>
    <t>FLETE HUINCA CONTRATO MANI</t>
  </si>
  <si>
    <t>CAÑO DE ESCAPE</t>
  </si>
  <si>
    <t>FLETE RIO IV CONTRATO MANI</t>
  </si>
  <si>
    <t>CLERICI</t>
  </si>
  <si>
    <t>MAMADERA CORDERITO</t>
  </si>
  <si>
    <t>COMISIONISTA REALICO</t>
  </si>
  <si>
    <t>LIBRERÍA</t>
  </si>
  <si>
    <t>OSECAC+FAECYS</t>
  </si>
  <si>
    <t>SUELDO JULIO</t>
  </si>
  <si>
    <t>CARNEADA CHANCHO</t>
  </si>
  <si>
    <t>EXPENSAS CBA</t>
  </si>
  <si>
    <t>FARMACIA</t>
  </si>
  <si>
    <t>PAGO A MARTIN Y REPUESTOS</t>
  </si>
  <si>
    <t>FLETE HCA VETERINARIA</t>
  </si>
  <si>
    <t>VIDAL</t>
  </si>
  <si>
    <t>JUEZ</t>
  </si>
  <si>
    <t>UATRE AGOSTO</t>
  </si>
  <si>
    <t>PERIODO AGOSTO 25</t>
  </si>
  <si>
    <t>ALAMBRE</t>
  </si>
  <si>
    <t>FA1910</t>
  </si>
  <si>
    <t>REMEDIOS ANDRES</t>
  </si>
  <si>
    <t>SUELDO OCTUBRE</t>
  </si>
  <si>
    <t>FA 213</t>
  </si>
  <si>
    <t>ADELANTO SUELDO (INTERNACION PAPA)</t>
  </si>
  <si>
    <t>LLAVE CERRADURA</t>
  </si>
  <si>
    <t>SACO DE LIBRERÍA</t>
  </si>
  <si>
    <t>ASIGNACIONES RESULTADOS 2025</t>
  </si>
  <si>
    <t>RESULTADO ANUAL</t>
  </si>
  <si>
    <t>Etiquetas de columna</t>
  </si>
  <si>
    <t>SALDO ACUM</t>
  </si>
  <si>
    <t>FINACIERA</t>
  </si>
  <si>
    <t>AMORT. CRED</t>
  </si>
  <si>
    <t>CULTIVO PRINCIPAL</t>
  </si>
  <si>
    <t>CULTIVO COBERTURA</t>
  </si>
  <si>
    <t>HERRAMIENTAS</t>
  </si>
  <si>
    <t>OVINO</t>
  </si>
  <si>
    <t>PORCINOS</t>
  </si>
  <si>
    <t>CAPRINOS</t>
  </si>
  <si>
    <t>GALLINAS</t>
  </si>
  <si>
    <t>SUELDOS</t>
  </si>
  <si>
    <t>GASTOS_VARIOS</t>
  </si>
  <si>
    <t>APORTE</t>
  </si>
  <si>
    <t>BIENES PERSONALES</t>
  </si>
  <si>
    <t>CUOTAS PRESTAMOS</t>
  </si>
  <si>
    <t>PLAZO FIJO</t>
  </si>
  <si>
    <t>ANALISIS LAB.</t>
  </si>
  <si>
    <t>DESMALEZADORA</t>
  </si>
  <si>
    <t xml:space="preserve">HILUX </t>
  </si>
  <si>
    <t>GENERADOR HONDA</t>
  </si>
  <si>
    <t>ESQUILA</t>
  </si>
  <si>
    <t>WALTER MEDINA</t>
  </si>
  <si>
    <t xml:space="preserve">DEVOLUCION </t>
  </si>
  <si>
    <t>GANANCIAS</t>
  </si>
  <si>
    <t>DHUSTER</t>
  </si>
  <si>
    <t>FERTILIZANTES</t>
  </si>
  <si>
    <t>MIXER</t>
  </si>
  <si>
    <t>PINCHES ROLLOS</t>
  </si>
  <si>
    <t>VETERINARIO</t>
  </si>
  <si>
    <t>INMOBILIARIOS</t>
  </si>
  <si>
    <t>HERBICIDAS</t>
  </si>
  <si>
    <t>MEDICAMENTOS</t>
  </si>
  <si>
    <t>PALA CARGADORA</t>
  </si>
  <si>
    <t>MULTAS</t>
  </si>
  <si>
    <t>INSECTICIDAS</t>
  </si>
  <si>
    <t xml:space="preserve">REPUESTOS_SEM </t>
  </si>
  <si>
    <t>ESCRIBANIA</t>
  </si>
  <si>
    <t>FUNGICIDA</t>
  </si>
  <si>
    <t>FORRAJERIA</t>
  </si>
  <si>
    <t>REPUESTOS_SEM PLA</t>
  </si>
  <si>
    <t>TRACTOR 780</t>
  </si>
  <si>
    <t>TASAS</t>
  </si>
  <si>
    <t>VENTA HAC.</t>
  </si>
  <si>
    <t>TRACTOR JD</t>
  </si>
  <si>
    <t xml:space="preserve">ALQUILERES </t>
  </si>
  <si>
    <t>GRANOS</t>
  </si>
  <si>
    <t>INOCULANTE</t>
  </si>
  <si>
    <t>ASESORAMIENTO PROF.</t>
  </si>
  <si>
    <t>VENTA CEREALES</t>
  </si>
  <si>
    <t>EXTRACCION MAIZ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</si>
</sst>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[$USD]\ * #,##0.00_-;\-[$USD]\ * #,##0.00_-;_-[$USD]\ * &quot;-&quot;??_-;_-@_-"/>
    <numFmt numFmtId="166" formatCode="dd/mm/yyyy;@"/>
    <numFmt numFmtId="167" formatCode="0.0%"/>
    <numFmt numFmtId="168" formatCode="_(* #,##0.00_);_(* \(#,##0.00\);_(* &quot;-&quot;??_);_(@_)"/>
    <numFmt numFmtId="169" formatCode="#,##0_ ;\-#,##0\ "/>
    <numFmt numFmtId="170" formatCode="d/m/yy;@"/>
    <numFmt numFmtId="171" formatCode="#,##0.00_ ;\-#,##0.00\ "/>
    <numFmt numFmtId="172" formatCode="&quot;$&quot;\ #,##0.00"/>
    <numFmt numFmtId="173" formatCode="_-&quot;$&quot;\ * #,##0_-;\-&quot;$&quot;\ * #,##0_-;_-&quot;$&quot;\ * &quot;-&quot;??_-;_-@_-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Calibri"/>
      <family val="2"/>
    </font>
    <font>
      <sz val="9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1"/>
      <name val="Book Antiqua"/>
      <family val="1"/>
    </font>
    <font>
      <sz val="11"/>
      <name val="Book Antiqua"/>
      <family val="1"/>
    </font>
    <font>
      <i/>
      <u/>
      <sz val="11"/>
      <name val="Book Antiqua"/>
      <family val="1"/>
    </font>
    <font>
      <sz val="11"/>
      <name val="Arial"/>
      <family val="2"/>
    </font>
    <font>
      <i/>
      <sz val="11"/>
      <name val="Book Antiqua"/>
      <family val="1"/>
    </font>
    <font>
      <b/>
      <sz val="11"/>
      <color rgb="FF00B050"/>
      <name val="Book Antiqua"/>
      <family val="1"/>
    </font>
    <font>
      <b/>
      <sz val="11"/>
      <color rgb="FFFF0000"/>
      <name val="Book Antiqua"/>
      <family val="1"/>
    </font>
    <font>
      <sz val="11"/>
      <color rgb="FF000000"/>
      <name val="Calibri"/>
      <family val="2"/>
      <scheme val="minor"/>
    </font>
    <font>
      <sz val="12"/>
      <color rgb="FF3B3B3B"/>
      <name val="Arial"/>
      <family val="2"/>
    </font>
    <font>
      <b/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0"/>
      <color rgb="FFC00000"/>
      <name val="Calibri"/>
      <family val="2"/>
      <scheme val="minor"/>
    </font>
    <font>
      <sz val="11"/>
      <color rgb="FFFF0000"/>
      <name val="Book Antiqua"/>
      <family val="1"/>
    </font>
    <font>
      <sz val="11"/>
      <color rgb="FF00B050"/>
      <name val="Book Antiqua"/>
      <family val="1"/>
    </font>
    <font>
      <u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EF70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69D44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5D5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indexed="64"/>
      </patternFill>
    </fill>
  </fills>
  <borders count="4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indexed="65"/>
      </top>
      <bottom/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4" fillId="0" borderId="0"/>
    <xf numFmtId="9" fontId="1" fillId="0" borderId="0" applyFont="0" applyFill="0" applyBorder="0" applyAlignment="0" applyProtection="0"/>
    <xf numFmtId="168" fontId="10" fillId="0" borderId="0" applyFont="0" applyFill="0" applyBorder="0" applyAlignment="0" applyProtection="0"/>
  </cellStyleXfs>
  <cellXfs count="430">
    <xf numFmtId="0" fontId="0" fillId="0" borderId="0" xfId="0"/>
    <xf numFmtId="0" fontId="2" fillId="0" borderId="0" xfId="0" applyFont="1"/>
    <xf numFmtId="0" fontId="7" fillId="0" borderId="0" xfId="0" applyFont="1"/>
    <xf numFmtId="0" fontId="4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2" borderId="0" xfId="0" applyFill="1"/>
    <xf numFmtId="0" fontId="6" fillId="2" borderId="0" xfId="0" applyFont="1" applyFill="1"/>
    <xf numFmtId="0" fontId="5" fillId="2" borderId="0" xfId="0" applyFont="1" applyFill="1" applyAlignment="1">
      <alignment horizontal="center"/>
    </xf>
    <xf numFmtId="0" fontId="4" fillId="6" borderId="0" xfId="0" applyFont="1" applyFill="1"/>
    <xf numFmtId="165" fontId="0" fillId="0" borderId="0" xfId="0" applyNumberFormat="1"/>
    <xf numFmtId="0" fontId="0" fillId="10" borderId="0" xfId="0" applyFill="1"/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right" vertical="center"/>
    </xf>
    <xf numFmtId="0" fontId="2" fillId="2" borderId="17" xfId="0" applyFont="1" applyFill="1" applyBorder="1" applyAlignment="1">
      <alignment horizontal="right" vertical="center"/>
    </xf>
    <xf numFmtId="0" fontId="2" fillId="2" borderId="16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8" xfId="0" applyFont="1" applyFill="1" applyBorder="1" applyAlignment="1">
      <alignment horizontal="left" vertical="center"/>
    </xf>
    <xf numFmtId="44" fontId="16" fillId="2" borderId="0" xfId="1" applyFont="1" applyFill="1" applyBorder="1" applyAlignment="1">
      <alignment horizontal="center" vertical="center"/>
    </xf>
    <xf numFmtId="44" fontId="16" fillId="2" borderId="19" xfId="1" applyFont="1" applyFill="1" applyBorder="1" applyAlignment="1">
      <alignment horizontal="center" vertical="center"/>
    </xf>
    <xf numFmtId="44" fontId="7" fillId="0" borderId="15" xfId="1" applyFont="1" applyFill="1" applyBorder="1" applyAlignment="1">
      <alignment horizontal="center" vertical="center"/>
    </xf>
    <xf numFmtId="44" fontId="7" fillId="2" borderId="15" xfId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left" vertical="center"/>
    </xf>
    <xf numFmtId="44" fontId="2" fillId="2" borderId="0" xfId="1" applyFont="1" applyFill="1" applyBorder="1" applyAlignment="1">
      <alignment horizontal="center" vertical="center"/>
    </xf>
    <xf numFmtId="44" fontId="2" fillId="2" borderId="19" xfId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left" vertical="center"/>
    </xf>
    <xf numFmtId="44" fontId="7" fillId="2" borderId="21" xfId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left" vertical="center"/>
    </xf>
    <xf numFmtId="44" fontId="7" fillId="2" borderId="22" xfId="1" applyFont="1" applyFill="1" applyBorder="1" applyAlignment="1">
      <alignment horizontal="center" vertical="center"/>
    </xf>
    <xf numFmtId="0" fontId="0" fillId="2" borderId="18" xfId="0" applyFill="1" applyBorder="1" applyAlignment="1">
      <alignment horizontal="left" vertical="center"/>
    </xf>
    <xf numFmtId="44" fontId="1" fillId="2" borderId="0" xfId="1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44" fontId="2" fillId="2" borderId="19" xfId="0" applyNumberFormat="1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left" vertical="center"/>
    </xf>
    <xf numFmtId="44" fontId="6" fillId="2" borderId="0" xfId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44" fontId="6" fillId="2" borderId="19" xfId="1" applyFont="1" applyFill="1" applyBorder="1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44" fontId="8" fillId="2" borderId="0" xfId="1" applyFont="1" applyFill="1" applyBorder="1" applyAlignment="1">
      <alignment horizontal="center" vertical="center"/>
    </xf>
    <xf numFmtId="17" fontId="6" fillId="2" borderId="0" xfId="0" applyNumberFormat="1" applyFont="1" applyFill="1" applyAlignment="1">
      <alignment horizontal="right" vertical="center"/>
    </xf>
    <xf numFmtId="44" fontId="2" fillId="2" borderId="0" xfId="0" applyNumberFormat="1" applyFont="1" applyFill="1" applyAlignment="1">
      <alignment horizontal="left" vertical="center"/>
    </xf>
    <xf numFmtId="44" fontId="7" fillId="2" borderId="0" xfId="0" applyNumberFormat="1" applyFont="1" applyFill="1" applyAlignment="1">
      <alignment horizontal="center" vertical="center"/>
    </xf>
    <xf numFmtId="0" fontId="6" fillId="2" borderId="18" xfId="0" applyFont="1" applyFill="1" applyBorder="1"/>
    <xf numFmtId="44" fontId="1" fillId="2" borderId="19" xfId="1" applyFont="1" applyFill="1" applyBorder="1" applyAlignment="1">
      <alignment horizontal="center" vertical="center"/>
    </xf>
    <xf numFmtId="44" fontId="7" fillId="2" borderId="19" xfId="1" applyFont="1" applyFill="1" applyBorder="1" applyAlignment="1">
      <alignment horizontal="center" vertical="center"/>
    </xf>
    <xf numFmtId="44" fontId="7" fillId="2" borderId="0" xfId="1" applyFont="1" applyFill="1" applyAlignment="1">
      <alignment horizontal="left" vertical="center"/>
    </xf>
    <xf numFmtId="0" fontId="7" fillId="2" borderId="18" xfId="0" applyFont="1" applyFill="1" applyBorder="1" applyAlignment="1">
      <alignment horizontal="left" vertical="center"/>
    </xf>
    <xf numFmtId="44" fontId="7" fillId="2" borderId="0" xfId="1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18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44" fontId="2" fillId="2" borderId="15" xfId="1" applyFont="1" applyFill="1" applyBorder="1" applyAlignment="1">
      <alignment horizontal="center" vertical="center"/>
    </xf>
    <xf numFmtId="44" fontId="2" fillId="2" borderId="17" xfId="0" applyNumberFormat="1" applyFont="1" applyFill="1" applyBorder="1" applyAlignment="1">
      <alignment horizontal="center" vertical="center"/>
    </xf>
    <xf numFmtId="44" fontId="2" fillId="2" borderId="15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44" fontId="0" fillId="2" borderId="0" xfId="0" applyNumberFormat="1" applyFill="1" applyAlignment="1">
      <alignment horizontal="center" vertical="center"/>
    </xf>
    <xf numFmtId="167" fontId="0" fillId="2" borderId="0" xfId="11" applyNumberFormat="1" applyFont="1" applyFill="1"/>
    <xf numFmtId="44" fontId="2" fillId="2" borderId="0" xfId="0" applyNumberFormat="1" applyFont="1" applyFill="1" applyAlignment="1">
      <alignment horizontal="center" vertical="center"/>
    </xf>
    <xf numFmtId="44" fontId="2" fillId="11" borderId="0" xfId="1" applyFont="1" applyFill="1" applyAlignment="1">
      <alignment horizontal="left" vertical="center"/>
    </xf>
    <xf numFmtId="44" fontId="2" fillId="11" borderId="0" xfId="1" applyFont="1" applyFill="1" applyAlignment="1">
      <alignment vertical="center"/>
    </xf>
    <xf numFmtId="165" fontId="16" fillId="2" borderId="0" xfId="1" applyNumberFormat="1" applyFont="1" applyFill="1" applyBorder="1" applyAlignment="1">
      <alignment horizontal="center" vertical="center"/>
    </xf>
    <xf numFmtId="165" fontId="16" fillId="2" borderId="19" xfId="1" applyNumberFormat="1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left" vertical="center"/>
    </xf>
    <xf numFmtId="165" fontId="7" fillId="2" borderId="21" xfId="1" applyNumberFormat="1" applyFont="1" applyFill="1" applyBorder="1" applyAlignment="1">
      <alignment horizontal="center" vertical="center"/>
    </xf>
    <xf numFmtId="165" fontId="7" fillId="2" borderId="22" xfId="1" applyNumberFormat="1" applyFont="1" applyFill="1" applyBorder="1" applyAlignment="1">
      <alignment horizontal="center" vertical="center"/>
    </xf>
    <xf numFmtId="165" fontId="2" fillId="2" borderId="0" xfId="1" applyNumberFormat="1" applyFont="1" applyFill="1" applyBorder="1" applyAlignment="1">
      <alignment horizontal="center" vertical="center"/>
    </xf>
    <xf numFmtId="165" fontId="2" fillId="2" borderId="19" xfId="1" applyNumberFormat="1" applyFont="1" applyFill="1" applyBorder="1" applyAlignment="1">
      <alignment horizontal="center" vertical="center"/>
    </xf>
    <xf numFmtId="165" fontId="1" fillId="2" borderId="0" xfId="1" applyNumberFormat="1" applyFont="1" applyFill="1" applyBorder="1" applyAlignment="1">
      <alignment horizontal="center" vertical="center"/>
    </xf>
    <xf numFmtId="165" fontId="0" fillId="2" borderId="19" xfId="0" applyNumberFormat="1" applyFill="1" applyBorder="1" applyAlignment="1">
      <alignment horizontal="center" vertical="center"/>
    </xf>
    <xf numFmtId="165" fontId="8" fillId="2" borderId="0" xfId="1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65" fontId="6" fillId="2" borderId="0" xfId="1" applyNumberFormat="1" applyFont="1" applyFill="1" applyBorder="1" applyAlignment="1">
      <alignment horizontal="center" vertical="center"/>
    </xf>
    <xf numFmtId="165" fontId="1" fillId="2" borderId="19" xfId="1" applyNumberFormat="1" applyFont="1" applyFill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0" fillId="2" borderId="19" xfId="1" applyNumberFormat="1" applyFont="1" applyFill="1" applyBorder="1" applyAlignment="1">
      <alignment horizontal="center" vertical="center"/>
    </xf>
    <xf numFmtId="0" fontId="0" fillId="2" borderId="18" xfId="0" applyFill="1" applyBorder="1"/>
    <xf numFmtId="165" fontId="6" fillId="2" borderId="19" xfId="1" applyNumberFormat="1" applyFont="1" applyFill="1" applyBorder="1" applyAlignment="1">
      <alignment horizontal="center" vertical="center"/>
    </xf>
    <xf numFmtId="165" fontId="7" fillId="2" borderId="19" xfId="1" applyNumberFormat="1" applyFont="1" applyFill="1" applyBorder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165" fontId="2" fillId="2" borderId="17" xfId="0" applyNumberFormat="1" applyFont="1" applyFill="1" applyBorder="1" applyAlignment="1">
      <alignment horizontal="center" vertical="center"/>
    </xf>
    <xf numFmtId="165" fontId="0" fillId="2" borderId="0" xfId="0" applyNumberFormat="1" applyFill="1"/>
    <xf numFmtId="165" fontId="2" fillId="2" borderId="24" xfId="0" applyNumberFormat="1" applyFont="1" applyFill="1" applyBorder="1" applyAlignment="1">
      <alignment horizontal="center" vertical="center"/>
    </xf>
    <xf numFmtId="0" fontId="0" fillId="2" borderId="24" xfId="0" applyFill="1" applyBorder="1" applyAlignment="1">
      <alignment horizontal="left" vertical="center"/>
    </xf>
    <xf numFmtId="165" fontId="2" fillId="2" borderId="15" xfId="1" applyNumberFormat="1" applyFont="1" applyFill="1" applyBorder="1" applyAlignment="1">
      <alignment horizontal="center" vertical="center"/>
    </xf>
    <xf numFmtId="165" fontId="2" fillId="2" borderId="15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/>
    </xf>
    <xf numFmtId="44" fontId="7" fillId="2" borderId="21" xfId="1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left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24" xfId="0" applyFont="1" applyFill="1" applyBorder="1" applyAlignment="1" applyProtection="1">
      <alignment horizontal="center" vertical="center"/>
      <protection locked="0"/>
    </xf>
    <xf numFmtId="44" fontId="2" fillId="2" borderId="15" xfId="0" applyNumberFormat="1" applyFont="1" applyFill="1" applyBorder="1" applyAlignment="1" applyProtection="1">
      <alignment horizontal="left" vertical="center"/>
      <protection locked="0"/>
    </xf>
    <xf numFmtId="44" fontId="7" fillId="2" borderId="15" xfId="1" applyFont="1" applyFill="1" applyBorder="1" applyAlignment="1" applyProtection="1">
      <alignment horizontal="center" vertical="center"/>
      <protection locked="0"/>
    </xf>
    <xf numFmtId="44" fontId="7" fillId="2" borderId="22" xfId="1" applyFont="1" applyFill="1" applyBorder="1" applyAlignment="1" applyProtection="1">
      <alignment horizontal="center" vertical="center"/>
      <protection locked="0"/>
    </xf>
    <xf numFmtId="44" fontId="6" fillId="2" borderId="19" xfId="1" applyFont="1" applyFill="1" applyBorder="1" applyAlignment="1" applyProtection="1">
      <alignment horizontal="center" vertical="center"/>
      <protection locked="0"/>
    </xf>
    <xf numFmtId="44" fontId="6" fillId="2" borderId="0" xfId="1" applyFont="1" applyFill="1" applyAlignment="1" applyProtection="1">
      <alignment horizontal="right" vertical="center"/>
      <protection locked="0"/>
    </xf>
    <xf numFmtId="44" fontId="7" fillId="2" borderId="0" xfId="1" applyFont="1" applyFill="1" applyAlignment="1" applyProtection="1">
      <alignment horizontal="center" vertical="center"/>
      <protection locked="0"/>
    </xf>
    <xf numFmtId="44" fontId="6" fillId="2" borderId="0" xfId="1" applyFont="1" applyFill="1" applyAlignment="1" applyProtection="1">
      <alignment horizontal="left" vertical="center"/>
      <protection locked="0"/>
    </xf>
    <xf numFmtId="44" fontId="2" fillId="2" borderId="15" xfId="0" applyNumberFormat="1" applyFont="1" applyFill="1" applyBorder="1" applyAlignment="1" applyProtection="1">
      <alignment horizontal="right" vertical="center"/>
      <protection locked="0"/>
    </xf>
    <xf numFmtId="44" fontId="11" fillId="2" borderId="0" xfId="0" applyNumberFormat="1" applyFont="1" applyFill="1" applyAlignment="1">
      <alignment horizontal="center" vertical="center"/>
    </xf>
    <xf numFmtId="44" fontId="0" fillId="2" borderId="0" xfId="1" applyFont="1" applyFill="1"/>
    <xf numFmtId="0" fontId="2" fillId="2" borderId="0" xfId="0" applyFont="1" applyFill="1" applyAlignment="1">
      <alignment horizontal="right" vertical="center"/>
    </xf>
    <xf numFmtId="44" fontId="6" fillId="2" borderId="0" xfId="1" applyFont="1" applyFill="1" applyBorder="1" applyAlignment="1" applyProtection="1">
      <alignment horizontal="center" vertical="center"/>
      <protection locked="0"/>
    </xf>
    <xf numFmtId="44" fontId="7" fillId="2" borderId="20" xfId="1" applyFont="1" applyFill="1" applyBorder="1" applyAlignment="1">
      <alignment horizontal="center" vertical="center"/>
    </xf>
    <xf numFmtId="44" fontId="7" fillId="2" borderId="18" xfId="1" applyFont="1" applyFill="1" applyBorder="1" applyAlignment="1">
      <alignment horizontal="center" vertical="center"/>
    </xf>
    <xf numFmtId="44" fontId="6" fillId="2" borderId="18" xfId="1" applyFont="1" applyFill="1" applyBorder="1" applyAlignment="1">
      <alignment horizontal="center" vertical="center"/>
    </xf>
    <xf numFmtId="44" fontId="6" fillId="2" borderId="23" xfId="1" applyFont="1" applyFill="1" applyBorder="1" applyAlignment="1">
      <alignment horizontal="center" vertical="center"/>
    </xf>
    <xf numFmtId="44" fontId="0" fillId="2" borderId="0" xfId="0" applyNumberFormat="1" applyFill="1"/>
    <xf numFmtId="44" fontId="8" fillId="2" borderId="19" xfId="1" applyFont="1" applyFill="1" applyBorder="1" applyAlignment="1" applyProtection="1">
      <alignment horizontal="center" vertical="center"/>
      <protection locked="0"/>
    </xf>
    <xf numFmtId="44" fontId="7" fillId="2" borderId="19" xfId="1" applyFont="1" applyFill="1" applyBorder="1" applyAlignment="1" applyProtection="1">
      <alignment horizontal="center" vertical="center"/>
      <protection locked="0"/>
    </xf>
    <xf numFmtId="44" fontId="6" fillId="2" borderId="19" xfId="1" applyFont="1" applyFill="1" applyBorder="1" applyAlignment="1" applyProtection="1">
      <alignment horizontal="left" vertical="center"/>
      <protection locked="0"/>
    </xf>
    <xf numFmtId="44" fontId="6" fillId="2" borderId="19" xfId="1" applyFont="1" applyFill="1" applyBorder="1" applyProtection="1">
      <protection locked="0"/>
    </xf>
    <xf numFmtId="44" fontId="8" fillId="2" borderId="19" xfId="1" applyFont="1" applyFill="1" applyBorder="1" applyAlignment="1" applyProtection="1">
      <alignment horizontal="left" vertical="center"/>
      <protection locked="0"/>
    </xf>
    <xf numFmtId="44" fontId="15" fillId="2" borderId="0" xfId="1" applyFont="1" applyFill="1"/>
    <xf numFmtId="44" fontId="20" fillId="2" borderId="0" xfId="1" applyFont="1" applyFill="1"/>
    <xf numFmtId="44" fontId="19" fillId="2" borderId="0" xfId="1" applyFont="1" applyFill="1"/>
    <xf numFmtId="44" fontId="6" fillId="2" borderId="0" xfId="1" applyFont="1" applyFill="1"/>
    <xf numFmtId="165" fontId="6" fillId="2" borderId="0" xfId="0" applyNumberFormat="1" applyFont="1" applyFill="1"/>
    <xf numFmtId="44" fontId="21" fillId="2" borderId="0" xfId="1" applyFont="1" applyFill="1"/>
    <xf numFmtId="44" fontId="8" fillId="2" borderId="0" xfId="1" applyFont="1" applyFill="1" applyAlignment="1">
      <alignment vertical="center"/>
    </xf>
    <xf numFmtId="169" fontId="23" fillId="0" borderId="0" xfId="12" applyNumberFormat="1" applyFont="1"/>
    <xf numFmtId="169" fontId="22" fillId="0" borderId="0" xfId="12" applyNumberFormat="1" applyFont="1" applyAlignment="1">
      <alignment horizontal="right"/>
    </xf>
    <xf numFmtId="169" fontId="24" fillId="0" borderId="0" xfId="12" applyNumberFormat="1" applyFont="1" applyAlignment="1">
      <alignment horizontal="center"/>
    </xf>
    <xf numFmtId="169" fontId="22" fillId="0" borderId="0" xfId="12" applyNumberFormat="1" applyFont="1" applyAlignment="1">
      <alignment horizontal="center"/>
    </xf>
    <xf numFmtId="169" fontId="23" fillId="0" borderId="0" xfId="12" applyNumberFormat="1" applyFont="1" applyAlignment="1">
      <alignment horizontal="center"/>
    </xf>
    <xf numFmtId="169" fontId="22" fillId="0" borderId="0" xfId="12" quotePrefix="1" applyNumberFormat="1" applyFont="1" applyAlignment="1">
      <alignment horizontal="center"/>
    </xf>
    <xf numFmtId="169" fontId="22" fillId="0" borderId="18" xfId="12" applyNumberFormat="1" applyFont="1" applyBorder="1" applyAlignment="1">
      <alignment horizontal="center"/>
    </xf>
    <xf numFmtId="169" fontId="22" fillId="0" borderId="0" xfId="12" applyNumberFormat="1" applyFont="1" applyAlignment="1">
      <alignment vertical="center"/>
    </xf>
    <xf numFmtId="169" fontId="23" fillId="0" borderId="0" xfId="12" applyNumberFormat="1" applyFont="1" applyAlignment="1">
      <alignment vertical="center"/>
    </xf>
    <xf numFmtId="169" fontId="26" fillId="0" borderId="0" xfId="12" applyNumberFormat="1" applyFont="1" applyAlignment="1">
      <alignment horizontal="left"/>
    </xf>
    <xf numFmtId="169" fontId="23" fillId="0" borderId="21" xfId="12" applyNumberFormat="1" applyFont="1" applyBorder="1"/>
    <xf numFmtId="169" fontId="22" fillId="2" borderId="27" xfId="12" applyNumberFormat="1" applyFont="1" applyFill="1" applyBorder="1" applyAlignment="1">
      <alignment horizontal="center" vertical="center"/>
    </xf>
    <xf numFmtId="169" fontId="22" fillId="2" borderId="28" xfId="12" applyNumberFormat="1" applyFont="1" applyFill="1" applyBorder="1" applyAlignment="1">
      <alignment horizontal="center" vertical="center"/>
    </xf>
    <xf numFmtId="169" fontId="22" fillId="2" borderId="28" xfId="12" applyNumberFormat="1" applyFont="1" applyFill="1" applyBorder="1" applyAlignment="1">
      <alignment horizontal="center"/>
    </xf>
    <xf numFmtId="169" fontId="22" fillId="2" borderId="32" xfId="12" applyNumberFormat="1" applyFont="1" applyFill="1" applyBorder="1" applyAlignment="1">
      <alignment horizontal="center"/>
    </xf>
    <xf numFmtId="169" fontId="25" fillId="2" borderId="33" xfId="12" applyNumberFormat="1" applyFont="1" applyFill="1" applyBorder="1" applyAlignment="1">
      <alignment horizontal="center" vertical="center"/>
    </xf>
    <xf numFmtId="169" fontId="22" fillId="2" borderId="34" xfId="12" applyNumberFormat="1" applyFont="1" applyFill="1" applyBorder="1" applyAlignment="1">
      <alignment horizontal="center" vertical="center"/>
    </xf>
    <xf numFmtId="169" fontId="22" fillId="2" borderId="34" xfId="12" applyNumberFormat="1" applyFont="1" applyFill="1" applyBorder="1" applyAlignment="1">
      <alignment horizontal="center"/>
    </xf>
    <xf numFmtId="169" fontId="25" fillId="2" borderId="18" xfId="12" applyNumberFormat="1" applyFont="1" applyFill="1" applyBorder="1" applyAlignment="1">
      <alignment horizontal="center" vertical="center"/>
    </xf>
    <xf numFmtId="169" fontId="25" fillId="2" borderId="0" xfId="12" applyNumberFormat="1" applyFont="1" applyFill="1" applyAlignment="1">
      <alignment horizontal="center" vertical="center"/>
    </xf>
    <xf numFmtId="169" fontId="25" fillId="2" borderId="19" xfId="12" applyNumberFormat="1" applyFont="1" applyFill="1" applyBorder="1" applyAlignment="1">
      <alignment horizontal="center" vertical="center"/>
    </xf>
    <xf numFmtId="169" fontId="22" fillId="2" borderId="35" xfId="12" applyNumberFormat="1" applyFont="1" applyFill="1" applyBorder="1" applyAlignment="1">
      <alignment horizontal="center"/>
    </xf>
    <xf numFmtId="169" fontId="25" fillId="2" borderId="23" xfId="12" applyNumberFormat="1" applyFont="1" applyFill="1" applyBorder="1" applyAlignment="1">
      <alignment horizontal="center" vertical="center"/>
    </xf>
    <xf numFmtId="169" fontId="25" fillId="2" borderId="24" xfId="12" applyNumberFormat="1" applyFont="1" applyFill="1" applyBorder="1" applyAlignment="1">
      <alignment horizontal="center" vertical="center"/>
    </xf>
    <xf numFmtId="169" fontId="25" fillId="2" borderId="25" xfId="12" applyNumberFormat="1" applyFont="1" applyFill="1" applyBorder="1" applyAlignment="1">
      <alignment horizontal="center" vertical="center"/>
    </xf>
    <xf numFmtId="170" fontId="22" fillId="2" borderId="35" xfId="12" applyNumberFormat="1" applyFont="1" applyFill="1" applyBorder="1" applyAlignment="1">
      <alignment horizontal="center"/>
    </xf>
    <xf numFmtId="169" fontId="25" fillId="2" borderId="36" xfId="12" applyNumberFormat="1" applyFont="1" applyFill="1" applyBorder="1" applyAlignment="1">
      <alignment horizontal="center" vertical="center"/>
    </xf>
    <xf numFmtId="169" fontId="22" fillId="2" borderId="37" xfId="12" quotePrefix="1" applyNumberFormat="1" applyFont="1" applyFill="1" applyBorder="1" applyAlignment="1">
      <alignment horizontal="center" vertical="center"/>
    </xf>
    <xf numFmtId="169" fontId="22" fillId="2" borderId="37" xfId="12" quotePrefix="1" applyNumberFormat="1" applyFont="1" applyFill="1" applyBorder="1" applyAlignment="1">
      <alignment horizontal="center"/>
    </xf>
    <xf numFmtId="169" fontId="22" fillId="2" borderId="37" xfId="12" applyNumberFormat="1" applyFont="1" applyFill="1" applyBorder="1" applyAlignment="1">
      <alignment horizontal="center"/>
    </xf>
    <xf numFmtId="169" fontId="22" fillId="2" borderId="38" xfId="12" applyNumberFormat="1" applyFont="1" applyFill="1" applyBorder="1" applyAlignment="1">
      <alignment horizontal="center"/>
    </xf>
    <xf numFmtId="169" fontId="23" fillId="2" borderId="39" xfId="12" applyNumberFormat="1" applyFont="1" applyFill="1" applyBorder="1" applyAlignment="1">
      <alignment vertical="center"/>
    </xf>
    <xf numFmtId="169" fontId="23" fillId="2" borderId="29" xfId="12" applyNumberFormat="1" applyFont="1" applyFill="1" applyBorder="1" applyAlignment="1">
      <alignment vertical="center"/>
    </xf>
    <xf numFmtId="169" fontId="22" fillId="2" borderId="32" xfId="12" applyNumberFormat="1" applyFont="1" applyFill="1" applyBorder="1" applyAlignment="1">
      <alignment vertical="center"/>
    </xf>
    <xf numFmtId="169" fontId="23" fillId="2" borderId="40" xfId="12" applyNumberFormat="1" applyFont="1" applyFill="1" applyBorder="1" applyAlignment="1">
      <alignment vertical="center"/>
    </xf>
    <xf numFmtId="169" fontId="23" fillId="2" borderId="18" xfId="12" applyNumberFormat="1" applyFont="1" applyFill="1" applyBorder="1" applyAlignment="1">
      <alignment vertical="center"/>
    </xf>
    <xf numFmtId="169" fontId="23" fillId="2" borderId="34" xfId="12" applyNumberFormat="1" applyFont="1" applyFill="1" applyBorder="1" applyAlignment="1">
      <alignment vertical="center"/>
    </xf>
    <xf numFmtId="169" fontId="23" fillId="2" borderId="0" xfId="12" applyNumberFormat="1" applyFont="1" applyFill="1" applyAlignment="1">
      <alignment vertical="center"/>
    </xf>
    <xf numFmtId="169" fontId="23" fillId="2" borderId="35" xfId="12" applyNumberFormat="1" applyFont="1" applyFill="1" applyBorder="1" applyAlignment="1">
      <alignment vertical="center"/>
    </xf>
    <xf numFmtId="169" fontId="22" fillId="2" borderId="0" xfId="12" applyNumberFormat="1" applyFont="1" applyFill="1"/>
    <xf numFmtId="169" fontId="23" fillId="2" borderId="0" xfId="12" applyNumberFormat="1" applyFont="1" applyFill="1"/>
    <xf numFmtId="169" fontId="22" fillId="2" borderId="0" xfId="12" applyNumberFormat="1" applyFont="1" applyFill="1" applyAlignment="1">
      <alignment horizontal="right"/>
    </xf>
    <xf numFmtId="169" fontId="23" fillId="2" borderId="0" xfId="12" applyNumberFormat="1" applyFont="1" applyFill="1" applyAlignment="1">
      <alignment horizontal="center"/>
    </xf>
    <xf numFmtId="169" fontId="22" fillId="2" borderId="26" xfId="12" applyNumberFormat="1" applyFont="1" applyFill="1" applyBorder="1"/>
    <xf numFmtId="169" fontId="23" fillId="2" borderId="26" xfId="12" applyNumberFormat="1" applyFont="1" applyFill="1" applyBorder="1"/>
    <xf numFmtId="169" fontId="22" fillId="2" borderId="0" xfId="12" quotePrefix="1" applyNumberFormat="1" applyFont="1" applyFill="1" applyAlignment="1">
      <alignment horizontal="center"/>
    </xf>
    <xf numFmtId="169" fontId="22" fillId="2" borderId="41" xfId="12" applyNumberFormat="1" applyFont="1" applyFill="1" applyBorder="1" applyAlignment="1">
      <alignment vertical="center"/>
    </xf>
    <xf numFmtId="169" fontId="23" fillId="2" borderId="42" xfId="12" applyNumberFormat="1" applyFont="1" applyFill="1" applyBorder="1" applyAlignment="1">
      <alignment vertical="center"/>
    </xf>
    <xf numFmtId="169" fontId="22" fillId="2" borderId="44" xfId="12" applyNumberFormat="1" applyFont="1" applyFill="1" applyBorder="1" applyAlignment="1">
      <alignment vertical="center"/>
    </xf>
    <xf numFmtId="44" fontId="23" fillId="2" borderId="20" xfId="1" applyFont="1" applyFill="1" applyBorder="1" applyAlignment="1">
      <alignment vertical="center"/>
    </xf>
    <xf numFmtId="44" fontId="23" fillId="2" borderId="18" xfId="1" applyFont="1" applyFill="1" applyBorder="1" applyAlignment="1">
      <alignment vertical="center"/>
    </xf>
    <xf numFmtId="44" fontId="23" fillId="2" borderId="34" xfId="1" applyFont="1" applyFill="1" applyBorder="1" applyAlignment="1">
      <alignment vertical="center"/>
    </xf>
    <xf numFmtId="44" fontId="23" fillId="2" borderId="0" xfId="1" applyFont="1" applyFill="1" applyAlignment="1">
      <alignment vertical="center"/>
    </xf>
    <xf numFmtId="44" fontId="23" fillId="2" borderId="0" xfId="1" applyFont="1" applyFill="1" applyBorder="1" applyAlignment="1">
      <alignment vertical="center"/>
    </xf>
    <xf numFmtId="44" fontId="23" fillId="2" borderId="35" xfId="1" applyFont="1" applyFill="1" applyBorder="1" applyAlignment="1">
      <alignment vertical="center"/>
    </xf>
    <xf numFmtId="169" fontId="22" fillId="2" borderId="40" xfId="12" applyNumberFormat="1" applyFont="1" applyFill="1" applyBorder="1" applyAlignment="1">
      <alignment vertical="center"/>
    </xf>
    <xf numFmtId="169" fontId="22" fillId="2" borderId="42" xfId="12" applyNumberFormat="1" applyFont="1" applyFill="1" applyBorder="1" applyAlignment="1">
      <alignment vertical="center"/>
    </xf>
    <xf numFmtId="171" fontId="23" fillId="2" borderId="18" xfId="12" applyNumberFormat="1" applyFont="1" applyFill="1" applyBorder="1" applyAlignment="1">
      <alignment vertical="center"/>
    </xf>
    <xf numFmtId="44" fontId="22" fillId="2" borderId="37" xfId="1" applyFont="1" applyFill="1" applyBorder="1" applyAlignment="1">
      <alignment vertical="center"/>
    </xf>
    <xf numFmtId="44" fontId="22" fillId="2" borderId="43" xfId="1" applyFont="1" applyFill="1" applyBorder="1" applyAlignment="1">
      <alignment vertical="center"/>
    </xf>
    <xf numFmtId="169" fontId="23" fillId="2" borderId="40" xfId="12" applyNumberFormat="1" applyFont="1" applyFill="1" applyBorder="1" applyAlignment="1">
      <alignment horizontal="left" vertical="center"/>
    </xf>
    <xf numFmtId="44" fontId="28" fillId="2" borderId="18" xfId="1" applyFont="1" applyFill="1" applyBorder="1" applyAlignment="1">
      <alignment vertical="center"/>
    </xf>
    <xf numFmtId="44" fontId="22" fillId="2" borderId="38" xfId="1" applyFont="1" applyFill="1" applyBorder="1" applyAlignment="1">
      <alignment vertical="center"/>
    </xf>
    <xf numFmtId="44" fontId="22" fillId="7" borderId="45" xfId="1" applyFont="1" applyFill="1" applyBorder="1" applyAlignment="1">
      <alignment vertical="center"/>
    </xf>
    <xf numFmtId="0" fontId="3" fillId="2" borderId="0" xfId="0" applyFont="1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2" fillId="2" borderId="1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1" xfId="0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5" xfId="0" applyNumberFormat="1" applyFill="1" applyBorder="1"/>
    <xf numFmtId="44" fontId="2" fillId="2" borderId="6" xfId="0" applyNumberFormat="1" applyFont="1" applyFill="1" applyBorder="1"/>
    <xf numFmtId="0" fontId="2" fillId="2" borderId="4" xfId="0" applyFont="1" applyFill="1" applyBorder="1" applyAlignment="1">
      <alignment horizontal="left"/>
    </xf>
    <xf numFmtId="44" fontId="0" fillId="2" borderId="4" xfId="0" applyNumberFormat="1" applyFill="1" applyBorder="1"/>
    <xf numFmtId="44" fontId="0" fillId="2" borderId="7" xfId="0" applyNumberFormat="1" applyFill="1" applyBorder="1"/>
    <xf numFmtId="44" fontId="2" fillId="2" borderId="8" xfId="0" applyNumberFormat="1" applyFont="1" applyFill="1" applyBorder="1"/>
    <xf numFmtId="0" fontId="2" fillId="2" borderId="9" xfId="0" applyFont="1" applyFill="1" applyBorder="1" applyAlignment="1">
      <alignment horizontal="left"/>
    </xf>
    <xf numFmtId="44" fontId="2" fillId="2" borderId="9" xfId="0" applyNumberFormat="1" applyFont="1" applyFill="1" applyBorder="1"/>
    <xf numFmtId="44" fontId="2" fillId="2" borderId="10" xfId="0" applyNumberFormat="1" applyFont="1" applyFill="1" applyBorder="1"/>
    <xf numFmtId="0" fontId="2" fillId="2" borderId="12" xfId="0" applyFont="1" applyFill="1" applyBorder="1"/>
    <xf numFmtId="165" fontId="0" fillId="2" borderId="7" xfId="0" applyNumberFormat="1" applyFill="1" applyBorder="1"/>
    <xf numFmtId="165" fontId="0" fillId="2" borderId="13" xfId="0" applyNumberFormat="1" applyFill="1" applyBorder="1"/>
    <xf numFmtId="44" fontId="7" fillId="2" borderId="17" xfId="1" applyFont="1" applyFill="1" applyBorder="1" applyAlignment="1">
      <alignment horizontal="center" vertical="center"/>
    </xf>
    <xf numFmtId="44" fontId="6" fillId="2" borderId="19" xfId="0" applyNumberFormat="1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44" fontId="2" fillId="2" borderId="17" xfId="1" applyFont="1" applyFill="1" applyBorder="1" applyAlignment="1">
      <alignment horizontal="center" vertical="center"/>
    </xf>
    <xf numFmtId="0" fontId="2" fillId="2" borderId="0" xfId="0" applyFont="1" applyFill="1"/>
    <xf numFmtId="44" fontId="2" fillId="2" borderId="0" xfId="11" applyNumberFormat="1" applyFont="1" applyFill="1" applyAlignment="1">
      <alignment horizontal="left" vertical="center"/>
    </xf>
    <xf numFmtId="10" fontId="2" fillId="2" borderId="0" xfId="11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0" fontId="2" fillId="2" borderId="24" xfId="0" applyFont="1" applyFill="1" applyBorder="1"/>
    <xf numFmtId="0" fontId="2" fillId="2" borderId="15" xfId="0" applyFont="1" applyFill="1" applyBorder="1"/>
    <xf numFmtId="44" fontId="2" fillId="2" borderId="15" xfId="1" applyFont="1" applyFill="1" applyBorder="1"/>
    <xf numFmtId="44" fontId="2" fillId="2" borderId="0" xfId="1" applyFont="1" applyFill="1" applyBorder="1" applyAlignment="1">
      <alignment horizontal="center"/>
    </xf>
    <xf numFmtId="44" fontId="2" fillId="2" borderId="0" xfId="1" applyFont="1" applyFill="1" applyBorder="1"/>
    <xf numFmtId="167" fontId="1" fillId="2" borderId="0" xfId="11" applyNumberFormat="1" applyFont="1" applyFill="1" applyBorder="1" applyAlignment="1">
      <alignment horizontal="center"/>
    </xf>
    <xf numFmtId="167" fontId="2" fillId="2" borderId="0" xfId="0" applyNumberFormat="1" applyFont="1" applyFill="1" applyAlignment="1">
      <alignment horizontal="center"/>
    </xf>
    <xf numFmtId="10" fontId="0" fillId="2" borderId="0" xfId="11" applyNumberFormat="1" applyFont="1" applyFill="1"/>
    <xf numFmtId="0" fontId="2" fillId="11" borderId="24" xfId="0" applyFont="1" applyFill="1" applyBorder="1"/>
    <xf numFmtId="0" fontId="0" fillId="11" borderId="0" xfId="0" applyFill="1" applyAlignment="1">
      <alignment horizontal="right"/>
    </xf>
    <xf numFmtId="0" fontId="0" fillId="11" borderId="0" xfId="0" applyFill="1"/>
    <xf numFmtId="172" fontId="0" fillId="11" borderId="0" xfId="0" applyNumberFormat="1" applyFill="1" applyAlignment="1">
      <alignment horizontal="right"/>
    </xf>
    <xf numFmtId="0" fontId="0" fillId="2" borderId="4" xfId="0" applyFill="1" applyBorder="1" applyAlignment="1">
      <alignment horizontal="left" indent="2"/>
    </xf>
    <xf numFmtId="166" fontId="0" fillId="11" borderId="0" xfId="0" applyNumberFormat="1" applyFill="1"/>
    <xf numFmtId="166" fontId="0" fillId="11" borderId="0" xfId="0" applyNumberFormat="1" applyFill="1" applyAlignment="1">
      <alignment horizontal="center"/>
    </xf>
    <xf numFmtId="44" fontId="0" fillId="11" borderId="0" xfId="1" applyFont="1" applyFill="1"/>
    <xf numFmtId="14" fontId="0" fillId="11" borderId="0" xfId="0" applyNumberFormat="1" applyFill="1" applyAlignment="1">
      <alignment horizontal="center"/>
    </xf>
    <xf numFmtId="166" fontId="6" fillId="11" borderId="0" xfId="0" applyNumberFormat="1" applyFont="1" applyFill="1" applyAlignment="1">
      <alignment horizontal="center"/>
    </xf>
    <xf numFmtId="0" fontId="6" fillId="11" borderId="0" xfId="0" applyFont="1" applyFill="1"/>
    <xf numFmtId="44" fontId="6" fillId="11" borderId="0" xfId="1" applyFont="1" applyFill="1"/>
    <xf numFmtId="165" fontId="2" fillId="9" borderId="0" xfId="0" applyNumberFormat="1" applyFont="1" applyFill="1" applyAlignment="1">
      <alignment horizontal="center" vertical="center"/>
    </xf>
    <xf numFmtId="44" fontId="2" fillId="2" borderId="0" xfId="1" applyFont="1" applyFill="1"/>
    <xf numFmtId="165" fontId="2" fillId="2" borderId="10" xfId="0" applyNumberFormat="1" applyFont="1" applyFill="1" applyBorder="1"/>
    <xf numFmtId="165" fontId="2" fillId="2" borderId="14" xfId="0" applyNumberFormat="1" applyFont="1" applyFill="1" applyBorder="1"/>
    <xf numFmtId="167" fontId="7" fillId="2" borderId="0" xfId="11" applyNumberFormat="1" applyFont="1" applyFill="1" applyAlignment="1">
      <alignment horizontal="center" vertical="center"/>
    </xf>
    <xf numFmtId="0" fontId="0" fillId="2" borderId="5" xfId="0" applyFill="1" applyBorder="1"/>
    <xf numFmtId="1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24" xfId="0" applyFill="1" applyBorder="1" applyAlignment="1">
      <alignment horizontal="left"/>
    </xf>
    <xf numFmtId="0" fontId="0" fillId="0" borderId="24" xfId="0" applyBorder="1"/>
    <xf numFmtId="0" fontId="0" fillId="2" borderId="24" xfId="0" applyFill="1" applyBorder="1"/>
    <xf numFmtId="44" fontId="8" fillId="2" borderId="0" xfId="1" applyFont="1" applyFill="1"/>
    <xf numFmtId="44" fontId="32" fillId="2" borderId="0" xfId="1" applyFont="1" applyFill="1"/>
    <xf numFmtId="166" fontId="8" fillId="11" borderId="0" xfId="0" applyNumberFormat="1" applyFont="1" applyFill="1"/>
    <xf numFmtId="166" fontId="8" fillId="11" borderId="0" xfId="0" applyNumberFormat="1" applyFont="1" applyFill="1" applyAlignment="1">
      <alignment horizontal="center"/>
    </xf>
    <xf numFmtId="0" fontId="8" fillId="11" borderId="0" xfId="0" applyFont="1" applyFill="1"/>
    <xf numFmtId="44" fontId="8" fillId="11" borderId="0" xfId="1" applyFont="1" applyFill="1"/>
    <xf numFmtId="165" fontId="8" fillId="2" borderId="0" xfId="0" applyNumberFormat="1" applyFont="1" applyFill="1"/>
    <xf numFmtId="0" fontId="8" fillId="2" borderId="0" xfId="0" applyFont="1" applyFill="1"/>
    <xf numFmtId="166" fontId="6" fillId="11" borderId="0" xfId="0" applyNumberFormat="1" applyFont="1" applyFill="1"/>
    <xf numFmtId="44" fontId="35" fillId="2" borderId="0" xfId="1" applyFont="1" applyFill="1"/>
    <xf numFmtId="0" fontId="6" fillId="0" borderId="0" xfId="0" applyFont="1"/>
    <xf numFmtId="0" fontId="37" fillId="2" borderId="1" xfId="0" applyFont="1" applyFill="1" applyBorder="1"/>
    <xf numFmtId="0" fontId="38" fillId="2" borderId="1" xfId="0" applyFont="1" applyFill="1" applyBorder="1"/>
    <xf numFmtId="44" fontId="17" fillId="2" borderId="0" xfId="1" applyFont="1" applyFill="1" applyAlignment="1" applyProtection="1">
      <alignment horizontal="center" vertical="center"/>
      <protection locked="0"/>
    </xf>
    <xf numFmtId="173" fontId="2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44" fontId="2" fillId="11" borderId="4" xfId="0" applyNumberFormat="1" applyFont="1" applyFill="1" applyBorder="1"/>
    <xf numFmtId="44" fontId="2" fillId="11" borderId="7" xfId="0" applyNumberFormat="1" applyFont="1" applyFill="1" applyBorder="1"/>
    <xf numFmtId="165" fontId="2" fillId="11" borderId="7" xfId="0" applyNumberFormat="1" applyFont="1" applyFill="1" applyBorder="1"/>
    <xf numFmtId="165" fontId="2" fillId="11" borderId="13" xfId="0" applyNumberFormat="1" applyFont="1" applyFill="1" applyBorder="1"/>
    <xf numFmtId="0" fontId="6" fillId="12" borderId="0" xfId="0" applyFont="1" applyFill="1" applyAlignment="1">
      <alignment horizontal="left" vertical="center"/>
    </xf>
    <xf numFmtId="44" fontId="6" fillId="12" borderId="0" xfId="1" applyFont="1" applyFill="1" applyAlignment="1" applyProtection="1">
      <alignment horizontal="left" vertical="center"/>
      <protection locked="0"/>
    </xf>
    <xf numFmtId="44" fontId="6" fillId="12" borderId="18" xfId="1" applyFont="1" applyFill="1" applyBorder="1" applyAlignment="1">
      <alignment horizontal="center" vertical="center"/>
    </xf>
    <xf numFmtId="14" fontId="2" fillId="2" borderId="19" xfId="0" applyNumberFormat="1" applyFont="1" applyFill="1" applyBorder="1" applyAlignment="1">
      <alignment horizontal="center" vertical="center"/>
    </xf>
    <xf numFmtId="9" fontId="2" fillId="2" borderId="19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9" fontId="2" fillId="2" borderId="25" xfId="0" applyNumberFormat="1" applyFont="1" applyFill="1" applyBorder="1" applyAlignment="1">
      <alignment horizontal="center" vertical="center"/>
    </xf>
    <xf numFmtId="44" fontId="7" fillId="2" borderId="34" xfId="1" applyFont="1" applyFill="1" applyBorder="1" applyAlignment="1">
      <alignment horizontal="center" vertical="center"/>
    </xf>
    <xf numFmtId="8" fontId="2" fillId="2" borderId="18" xfId="0" applyNumberFormat="1" applyFont="1" applyFill="1" applyBorder="1" applyAlignment="1">
      <alignment horizontal="left" vertical="center"/>
    </xf>
    <xf numFmtId="8" fontId="2" fillId="2" borderId="23" xfId="0" applyNumberFormat="1" applyFont="1" applyFill="1" applyBorder="1" applyAlignment="1">
      <alignment horizontal="left" vertical="center"/>
    </xf>
    <xf numFmtId="44" fontId="8" fillId="2" borderId="0" xfId="1" applyFont="1" applyFill="1" applyAlignment="1" applyProtection="1">
      <alignment horizontal="left" vertical="center"/>
      <protection locked="0"/>
    </xf>
    <xf numFmtId="44" fontId="2" fillId="13" borderId="9" xfId="0" applyNumberFormat="1" applyFont="1" applyFill="1" applyBorder="1"/>
    <xf numFmtId="44" fontId="2" fillId="12" borderId="10" xfId="0" applyNumberFormat="1" applyFont="1" applyFill="1" applyBorder="1"/>
    <xf numFmtId="44" fontId="2" fillId="13" borderId="11" xfId="0" applyNumberFormat="1" applyFont="1" applyFill="1" applyBorder="1"/>
    <xf numFmtId="44" fontId="2" fillId="12" borderId="11" xfId="0" applyNumberFormat="1" applyFont="1" applyFill="1" applyBorder="1"/>
    <xf numFmtId="44" fontId="11" fillId="12" borderId="0" xfId="1" applyFont="1" applyFill="1" applyAlignment="1">
      <alignment horizontal="center" vertical="center"/>
    </xf>
    <xf numFmtId="44" fontId="11" fillId="13" borderId="0" xfId="1" applyFont="1" applyFill="1" applyAlignment="1">
      <alignment horizontal="center" vertical="center"/>
    </xf>
    <xf numFmtId="44" fontId="2" fillId="2" borderId="24" xfId="1" applyFont="1" applyFill="1" applyBorder="1"/>
    <xf numFmtId="44" fontId="2" fillId="2" borderId="15" xfId="0" applyNumberFormat="1" applyFont="1" applyFill="1" applyBorder="1"/>
    <xf numFmtId="0" fontId="0" fillId="2" borderId="0" xfId="0" applyFill="1" applyAlignment="1">
      <alignment horizontal="right"/>
    </xf>
    <xf numFmtId="0" fontId="2" fillId="2" borderId="0" xfId="0" applyFont="1" applyFill="1" applyAlignment="1">
      <alignment horizontal="right"/>
    </xf>
    <xf numFmtId="44" fontId="1" fillId="2" borderId="0" xfId="1" applyFont="1" applyFill="1" applyBorder="1"/>
    <xf numFmtId="44" fontId="0" fillId="2" borderId="0" xfId="1" applyFont="1" applyFill="1" applyBorder="1"/>
    <xf numFmtId="8" fontId="36" fillId="2" borderId="0" xfId="1" applyNumberFormat="1" applyFont="1" applyFill="1"/>
    <xf numFmtId="0" fontId="6" fillId="11" borderId="0" xfId="0" applyFont="1" applyFill="1" applyAlignment="1">
      <alignment horizontal="left" vertical="center"/>
    </xf>
    <xf numFmtId="0" fontId="7" fillId="11" borderId="0" xfId="0" applyFont="1" applyFill="1" applyAlignment="1">
      <alignment horizontal="center" vertical="center"/>
    </xf>
    <xf numFmtId="44" fontId="6" fillId="11" borderId="0" xfId="1" applyFont="1" applyFill="1" applyAlignment="1" applyProtection="1">
      <alignment horizontal="center" vertical="center"/>
      <protection locked="0"/>
    </xf>
    <xf numFmtId="44" fontId="6" fillId="11" borderId="19" xfId="1" applyFont="1" applyFill="1" applyBorder="1" applyAlignment="1" applyProtection="1">
      <alignment horizontal="center" vertical="center"/>
      <protection locked="0"/>
    </xf>
    <xf numFmtId="0" fontId="6" fillId="11" borderId="24" xfId="0" applyFont="1" applyFill="1" applyBorder="1" applyAlignment="1">
      <alignment horizontal="left" vertical="center"/>
    </xf>
    <xf numFmtId="0" fontId="7" fillId="11" borderId="24" xfId="0" applyFont="1" applyFill="1" applyBorder="1" applyAlignment="1">
      <alignment horizontal="center" vertical="center"/>
    </xf>
    <xf numFmtId="171" fontId="23" fillId="2" borderId="34" xfId="12" applyNumberFormat="1" applyFont="1" applyFill="1" applyBorder="1" applyAlignment="1">
      <alignment vertical="center"/>
    </xf>
    <xf numFmtId="44" fontId="22" fillId="2" borderId="34" xfId="1" applyFont="1" applyFill="1" applyBorder="1" applyAlignment="1">
      <alignment vertical="center"/>
    </xf>
    <xf numFmtId="44" fontId="22" fillId="2" borderId="0" xfId="1" applyFont="1" applyFill="1" applyBorder="1" applyAlignment="1">
      <alignment vertical="center"/>
    </xf>
    <xf numFmtId="44" fontId="27" fillId="2" borderId="34" xfId="1" applyFont="1" applyFill="1" applyBorder="1" applyAlignment="1">
      <alignment vertical="center"/>
    </xf>
    <xf numFmtId="44" fontId="42" fillId="2" borderId="46" xfId="1" applyFont="1" applyFill="1" applyBorder="1" applyAlignment="1">
      <alignment vertical="center"/>
    </xf>
    <xf numFmtId="44" fontId="43" fillId="2" borderId="0" xfId="1" applyFont="1" applyFill="1" applyBorder="1" applyAlignment="1">
      <alignment vertical="center"/>
    </xf>
    <xf numFmtId="44" fontId="43" fillId="2" borderId="34" xfId="1" applyFont="1" applyFill="1" applyBorder="1" applyAlignment="1">
      <alignment vertical="center"/>
    </xf>
    <xf numFmtId="44" fontId="22" fillId="2" borderId="18" xfId="1" applyFont="1" applyFill="1" applyBorder="1" applyAlignment="1">
      <alignment vertical="center"/>
    </xf>
    <xf numFmtId="169" fontId="23" fillId="0" borderId="17" xfId="12" applyNumberFormat="1" applyFont="1" applyBorder="1"/>
    <xf numFmtId="44" fontId="42" fillId="2" borderId="17" xfId="1" applyFont="1" applyFill="1" applyBorder="1" applyAlignment="1">
      <alignment vertical="center"/>
    </xf>
    <xf numFmtId="44" fontId="22" fillId="14" borderId="43" xfId="1" applyFont="1" applyFill="1" applyBorder="1" applyAlignment="1">
      <alignment vertical="center"/>
    </xf>
    <xf numFmtId="44" fontId="22" fillId="10" borderId="43" xfId="1" applyFont="1" applyFill="1" applyBorder="1" applyAlignment="1">
      <alignment vertical="center"/>
    </xf>
    <xf numFmtId="44" fontId="22" fillId="2" borderId="20" xfId="1" applyFont="1" applyFill="1" applyBorder="1" applyAlignment="1">
      <alignment vertical="center"/>
    </xf>
    <xf numFmtId="44" fontId="22" fillId="2" borderId="35" xfId="1" applyFont="1" applyFill="1" applyBorder="1" applyAlignment="1">
      <alignment vertical="center"/>
    </xf>
    <xf numFmtId="165" fontId="0" fillId="2" borderId="12" xfId="0" applyNumberFormat="1" applyFill="1" applyBorder="1"/>
    <xf numFmtId="165" fontId="0" fillId="2" borderId="5" xfId="0" applyNumberFormat="1" applyFill="1" applyBorder="1"/>
    <xf numFmtId="0" fontId="0" fillId="2" borderId="0" xfId="0" applyFill="1" applyAlignment="1">
      <alignment vertical="center"/>
    </xf>
    <xf numFmtId="44" fontId="0" fillId="2" borderId="0" xfId="0" applyNumberFormat="1" applyFill="1" applyAlignment="1">
      <alignment vertical="center"/>
    </xf>
    <xf numFmtId="44" fontId="2" fillId="2" borderId="1" xfId="0" applyNumberFormat="1" applyFont="1" applyFill="1" applyBorder="1"/>
    <xf numFmtId="44" fontId="2" fillId="2" borderId="5" xfId="0" applyNumberFormat="1" applyFont="1" applyFill="1" applyBorder="1"/>
    <xf numFmtId="44" fontId="34" fillId="2" borderId="0" xfId="1" applyFont="1" applyFill="1"/>
    <xf numFmtId="44" fontId="31" fillId="2" borderId="0" xfId="1" applyFont="1" applyFill="1"/>
    <xf numFmtId="44" fontId="36" fillId="2" borderId="0" xfId="1" applyFont="1" applyFill="1"/>
    <xf numFmtId="8" fontId="30" fillId="2" borderId="0" xfId="0" applyNumberFormat="1" applyFont="1" applyFill="1"/>
    <xf numFmtId="0" fontId="29" fillId="2" borderId="0" xfId="0" applyFont="1" applyFill="1"/>
    <xf numFmtId="0" fontId="40" fillId="2" borderId="0" xfId="0" applyFont="1" applyFill="1"/>
    <xf numFmtId="44" fontId="40" fillId="2" borderId="0" xfId="1" applyFont="1" applyFill="1"/>
    <xf numFmtId="44" fontId="41" fillId="2" borderId="0" xfId="1" applyFont="1" applyFill="1"/>
    <xf numFmtId="165" fontId="40" fillId="2" borderId="0" xfId="0" applyNumberFormat="1" applyFont="1" applyFill="1"/>
    <xf numFmtId="44" fontId="33" fillId="2" borderId="0" xfId="1" applyFont="1" applyFill="1"/>
    <xf numFmtId="166" fontId="40" fillId="11" borderId="0" xfId="0" applyNumberFormat="1" applyFont="1" applyFill="1"/>
    <xf numFmtId="166" fontId="40" fillId="11" borderId="0" xfId="0" applyNumberFormat="1" applyFont="1" applyFill="1" applyAlignment="1">
      <alignment horizontal="center"/>
    </xf>
    <xf numFmtId="0" fontId="40" fillId="11" borderId="0" xfId="0" applyFont="1" applyFill="1"/>
    <xf numFmtId="44" fontId="40" fillId="11" borderId="0" xfId="1" applyFont="1" applyFill="1"/>
    <xf numFmtId="44" fontId="2" fillId="2" borderId="4" xfId="0" applyNumberFormat="1" applyFont="1" applyFill="1" applyBorder="1"/>
    <xf numFmtId="44" fontId="2" fillId="2" borderId="7" xfId="0" applyNumberFormat="1" applyFont="1" applyFill="1" applyBorder="1"/>
    <xf numFmtId="14" fontId="6" fillId="2" borderId="0" xfId="0" applyNumberFormat="1" applyFont="1" applyFill="1"/>
    <xf numFmtId="0" fontId="0" fillId="2" borderId="4" xfId="0" applyFill="1" applyBorder="1" applyAlignment="1">
      <alignment horizontal="left" indent="1"/>
    </xf>
    <xf numFmtId="0" fontId="2" fillId="2" borderId="4" xfId="0" applyFont="1" applyFill="1" applyBorder="1" applyAlignment="1">
      <alignment horizontal="left" indent="1"/>
    </xf>
    <xf numFmtId="0" fontId="0" fillId="2" borderId="1" xfId="0" applyFill="1" applyBorder="1" applyAlignment="1">
      <alignment horizontal="left" indent="1"/>
    </xf>
    <xf numFmtId="0" fontId="2" fillId="11" borderId="1" xfId="0" applyFont="1" applyFill="1" applyBorder="1" applyAlignment="1">
      <alignment horizontal="left"/>
    </xf>
    <xf numFmtId="44" fontId="2" fillId="11" borderId="1" xfId="0" applyNumberFormat="1" applyFont="1" applyFill="1" applyBorder="1"/>
    <xf numFmtId="44" fontId="2" fillId="11" borderId="5" xfId="0" applyNumberFormat="1" applyFont="1" applyFill="1" applyBorder="1"/>
    <xf numFmtId="165" fontId="2" fillId="11" borderId="5" xfId="0" applyNumberFormat="1" applyFont="1" applyFill="1" applyBorder="1"/>
    <xf numFmtId="165" fontId="2" fillId="11" borderId="12" xfId="0" applyNumberFormat="1" applyFont="1" applyFill="1" applyBorder="1"/>
    <xf numFmtId="0" fontId="2" fillId="11" borderId="4" xfId="0" applyFont="1" applyFill="1" applyBorder="1" applyAlignment="1">
      <alignment horizontal="left"/>
    </xf>
    <xf numFmtId="0" fontId="44" fillId="2" borderId="0" xfId="0" applyFont="1" applyFill="1"/>
    <xf numFmtId="44" fontId="0" fillId="0" borderId="0" xfId="1" applyFont="1"/>
    <xf numFmtId="165" fontId="2" fillId="2" borderId="7" xfId="0" applyNumberFormat="1" applyFont="1" applyFill="1" applyBorder="1"/>
    <xf numFmtId="165" fontId="2" fillId="2" borderId="13" xfId="0" applyNumberFormat="1" applyFont="1" applyFill="1" applyBorder="1"/>
    <xf numFmtId="44" fontId="6" fillId="15" borderId="0" xfId="1" applyFont="1" applyFill="1"/>
    <xf numFmtId="0" fontId="0" fillId="11" borderId="24" xfId="0" applyFill="1" applyBorder="1"/>
    <xf numFmtId="44" fontId="0" fillId="2" borderId="24" xfId="1" applyFont="1" applyFill="1" applyBorder="1"/>
    <xf numFmtId="10" fontId="0" fillId="2" borderId="24" xfId="11" applyNumberFormat="1" applyFont="1" applyFill="1" applyBorder="1"/>
    <xf numFmtId="165" fontId="0" fillId="2" borderId="24" xfId="0" applyNumberFormat="1" applyFill="1" applyBorder="1"/>
    <xf numFmtId="10" fontId="2" fillId="2" borderId="24" xfId="11" applyNumberFormat="1" applyFont="1" applyFill="1" applyBorder="1"/>
    <xf numFmtId="165" fontId="2" fillId="2" borderId="24" xfId="0" applyNumberFormat="1" applyFont="1" applyFill="1" applyBorder="1"/>
    <xf numFmtId="0" fontId="2" fillId="11" borderId="15" xfId="0" applyFont="1" applyFill="1" applyBorder="1" applyAlignment="1">
      <alignment horizontal="left"/>
    </xf>
    <xf numFmtId="0" fontId="2" fillId="8" borderId="0" xfId="0" applyFont="1" applyFill="1" applyAlignment="1">
      <alignment horizontal="center"/>
    </xf>
    <xf numFmtId="167" fontId="2" fillId="8" borderId="0" xfId="0" applyNumberFormat="1" applyFont="1" applyFill="1" applyAlignment="1">
      <alignment horizontal="center"/>
    </xf>
    <xf numFmtId="0" fontId="2" fillId="11" borderId="15" xfId="0" applyFont="1" applyFill="1" applyBorder="1" applyAlignment="1">
      <alignment horizontal="center"/>
    </xf>
    <xf numFmtId="167" fontId="2" fillId="11" borderId="15" xfId="0" applyNumberFormat="1" applyFont="1" applyFill="1" applyBorder="1" applyAlignment="1">
      <alignment horizontal="center"/>
    </xf>
    <xf numFmtId="0" fontId="0" fillId="11" borderId="24" xfId="0" applyFill="1" applyBorder="1" applyAlignment="1">
      <alignment horizontal="right"/>
    </xf>
    <xf numFmtId="0" fontId="2" fillId="8" borderId="24" xfId="0" applyFont="1" applyFill="1" applyBorder="1"/>
    <xf numFmtId="44" fontId="2" fillId="11" borderId="24" xfId="1" applyFont="1" applyFill="1" applyBorder="1"/>
    <xf numFmtId="0" fontId="2" fillId="16" borderId="15" xfId="0" applyFont="1" applyFill="1" applyBorder="1"/>
    <xf numFmtId="44" fontId="2" fillId="16" borderId="15" xfId="0" applyNumberFormat="1" applyFont="1" applyFill="1" applyBorder="1"/>
    <xf numFmtId="10" fontId="2" fillId="16" borderId="15" xfId="11" applyNumberFormat="1" applyFont="1" applyFill="1" applyBorder="1"/>
    <xf numFmtId="165" fontId="2" fillId="16" borderId="15" xfId="0" applyNumberFormat="1" applyFont="1" applyFill="1" applyBorder="1"/>
    <xf numFmtId="0" fontId="0" fillId="16" borderId="15" xfId="0" applyFill="1" applyBorder="1"/>
    <xf numFmtId="10" fontId="0" fillId="11" borderId="24" xfId="11" applyNumberFormat="1" applyFont="1" applyFill="1" applyBorder="1"/>
    <xf numFmtId="165" fontId="0" fillId="11" borderId="24" xfId="0" applyNumberFormat="1" applyFill="1" applyBorder="1"/>
    <xf numFmtId="166" fontId="17" fillId="11" borderId="0" xfId="0" applyNumberFormat="1" applyFont="1" applyFill="1"/>
    <xf numFmtId="166" fontId="17" fillId="11" borderId="0" xfId="0" applyNumberFormat="1" applyFont="1" applyFill="1" applyAlignment="1">
      <alignment horizontal="center"/>
    </xf>
    <xf numFmtId="0" fontId="17" fillId="11" borderId="0" xfId="0" applyFont="1" applyFill="1"/>
    <xf numFmtId="44" fontId="17" fillId="11" borderId="0" xfId="1" applyFont="1" applyFill="1"/>
    <xf numFmtId="44" fontId="17" fillId="2" borderId="0" xfId="1" applyFont="1" applyFill="1"/>
    <xf numFmtId="165" fontId="17" fillId="2" borderId="0" xfId="0" applyNumberFormat="1" applyFont="1" applyFill="1"/>
    <xf numFmtId="0" fontId="17" fillId="2" borderId="0" xfId="0" applyFont="1" applyFill="1"/>
    <xf numFmtId="166" fontId="7" fillId="11" borderId="0" xfId="0" applyNumberFormat="1" applyFont="1" applyFill="1"/>
    <xf numFmtId="166" fontId="7" fillId="11" borderId="0" xfId="0" applyNumberFormat="1" applyFont="1" applyFill="1" applyAlignment="1">
      <alignment horizontal="center"/>
    </xf>
    <xf numFmtId="0" fontId="7" fillId="11" borderId="0" xfId="0" applyFont="1" applyFill="1"/>
    <xf numFmtId="44" fontId="7" fillId="11" borderId="0" xfId="1" applyFont="1" applyFill="1"/>
    <xf numFmtId="44" fontId="7" fillId="2" borderId="0" xfId="1" applyFont="1" applyFill="1"/>
    <xf numFmtId="165" fontId="7" fillId="2" borderId="0" xfId="0" applyNumberFormat="1" applyFont="1" applyFill="1"/>
    <xf numFmtId="0" fontId="7" fillId="2" borderId="0" xfId="0" applyFont="1" applyFill="1"/>
    <xf numFmtId="44" fontId="45" fillId="2" borderId="0" xfId="1" applyFont="1" applyFill="1"/>
    <xf numFmtId="0" fontId="0" fillId="2" borderId="4" xfId="0" applyFill="1" applyBorder="1" applyAlignment="1">
      <alignment horizontal="left"/>
    </xf>
    <xf numFmtId="0" fontId="46" fillId="2" borderId="0" xfId="0" applyFont="1" applyFill="1" applyAlignment="1">
      <alignment horizontal="center" vertical="center"/>
    </xf>
    <xf numFmtId="165" fontId="47" fillId="9" borderId="0" xfId="0" applyNumberFormat="1" applyFont="1" applyFill="1" applyAlignment="1">
      <alignment horizontal="center" vertical="center"/>
    </xf>
    <xf numFmtId="0" fontId="48" fillId="2" borderId="0" xfId="0" applyFont="1" applyFill="1" applyAlignment="1">
      <alignment vertical="center"/>
    </xf>
    <xf numFmtId="165" fontId="48" fillId="9" borderId="0" xfId="0" applyNumberFormat="1" applyFont="1" applyFill="1" applyAlignment="1">
      <alignment horizontal="center" vertical="center"/>
    </xf>
    <xf numFmtId="44" fontId="48" fillId="2" borderId="0" xfId="1" applyFont="1" applyFill="1" applyAlignment="1">
      <alignment horizontal="center" vertical="center"/>
    </xf>
    <xf numFmtId="0" fontId="49" fillId="2" borderId="0" xfId="0" applyFont="1" applyFill="1" applyAlignment="1">
      <alignment vertical="center"/>
    </xf>
    <xf numFmtId="8" fontId="49" fillId="2" borderId="0" xfId="0" applyNumberFormat="1" applyFont="1" applyFill="1" applyAlignment="1">
      <alignment vertical="center"/>
    </xf>
    <xf numFmtId="44" fontId="47" fillId="9" borderId="0" xfId="1" applyFont="1" applyFill="1" applyAlignment="1">
      <alignment horizontal="center" vertical="center"/>
    </xf>
    <xf numFmtId="0" fontId="50" fillId="2" borderId="0" xfId="0" applyFont="1" applyFill="1" applyAlignment="1">
      <alignment vertical="center"/>
    </xf>
    <xf numFmtId="44" fontId="50" fillId="2" borderId="0" xfId="0" applyNumberFormat="1" applyFont="1" applyFill="1" applyAlignment="1">
      <alignment vertical="center"/>
    </xf>
    <xf numFmtId="0" fontId="47" fillId="2" borderId="0" xfId="0" applyFont="1" applyFill="1" applyAlignment="1">
      <alignment horizontal="center" vertical="center"/>
    </xf>
    <xf numFmtId="0" fontId="51" fillId="2" borderId="0" xfId="0" applyFont="1" applyFill="1" applyAlignment="1">
      <alignment vertical="center"/>
    </xf>
    <xf numFmtId="44" fontId="51" fillId="2" borderId="0" xfId="0" applyNumberFormat="1" applyFont="1" applyFill="1" applyAlignment="1">
      <alignment vertical="center"/>
    </xf>
    <xf numFmtId="44" fontId="2" fillId="2" borderId="0" xfId="0" applyNumberFormat="1" applyFont="1" applyFill="1" applyAlignment="1">
      <alignment vertical="center"/>
    </xf>
    <xf numFmtId="44" fontId="0" fillId="2" borderId="8" xfId="0" applyNumberFormat="1" applyFill="1" applyBorder="1"/>
    <xf numFmtId="0" fontId="2" fillId="2" borderId="0" xfId="0" applyFont="1" applyFill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169" fontId="22" fillId="2" borderId="0" xfId="12" applyNumberFormat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right" vertical="center"/>
    </xf>
    <xf numFmtId="169" fontId="22" fillId="2" borderId="0" xfId="12" applyNumberFormat="1" applyFont="1" applyFill="1" applyAlignment="1">
      <alignment horizontal="center"/>
    </xf>
    <xf numFmtId="169" fontId="22" fillId="2" borderId="29" xfId="12" applyNumberFormat="1" applyFont="1" applyFill="1" applyBorder="1" applyAlignment="1">
      <alignment horizontal="center" vertical="center"/>
    </xf>
    <xf numFmtId="169" fontId="22" fillId="2" borderId="30" xfId="12" applyNumberFormat="1" applyFont="1" applyFill="1" applyBorder="1" applyAlignment="1">
      <alignment horizontal="center" vertical="center"/>
    </xf>
    <xf numFmtId="169" fontId="22" fillId="2" borderId="31" xfId="12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0" fillId="8" borderId="0" xfId="0" applyFill="1" applyAlignment="1">
      <alignment horizontal="center"/>
    </xf>
  </cellXfs>
  <cellStyles count="13">
    <cellStyle name="Hipervínculo 2" xfId="3" xr:uid="{F1DBD3DD-DA4E-4E09-8FEF-72D0051675C3}"/>
    <cellStyle name="Hyperlink" xfId="4" xr:uid="{13592B8A-7BEE-4256-9EAC-EA380D394220}"/>
    <cellStyle name="Millares 2" xfId="7" xr:uid="{01471E9E-0054-4605-9C69-15E4A9A3EF2C}"/>
    <cellStyle name="Millares 3" xfId="12" xr:uid="{3F5AEFD8-B3CF-4C68-911D-2F25969CF7EF}"/>
    <cellStyle name="Moneda" xfId="1" builtinId="4"/>
    <cellStyle name="Moneda 2" xfId="2" xr:uid="{E7F2EE38-A63B-4BEB-A9EC-44AD72B1966B}"/>
    <cellStyle name="Moneda 2 2" xfId="6" xr:uid="{E6730077-4323-46B0-AF3B-98A17C1AE784}"/>
    <cellStyle name="Moneda 3" xfId="8" xr:uid="{46EB06B5-4572-484E-A38E-7FBF1F210DAA}"/>
    <cellStyle name="Moneda 4" xfId="9" xr:uid="{00601BAA-0AFE-497B-82B1-844BAC834250}"/>
    <cellStyle name="Normal" xfId="0" builtinId="0"/>
    <cellStyle name="Normal 2" xfId="5" xr:uid="{DB1BECC0-8B85-48BD-9DF0-CFD3AFA28BE2}"/>
    <cellStyle name="Normal 3" xfId="10" xr:uid="{4430A685-A73B-4370-9A31-182DDA51BC2D}"/>
    <cellStyle name="Porcentaje" xfId="11" builtinId="5"/>
  </cellStyles>
  <dxfs count="209"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>
          <bgColor rgb="FF99FF66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theme="4" tint="-0.499984740745262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fill>
        <patternFill>
          <bgColor rgb="FFFF5D5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rgb="FFC0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b/>
      </font>
      <fill>
        <patternFill>
          <fgColor indexed="64"/>
          <bgColor theme="0"/>
        </patternFill>
      </fill>
    </dxf>
    <dxf>
      <font>
        <b/>
      </font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</dxf>
    <dxf>
      <font>
        <b/>
      </font>
    </dxf>
    <dxf>
      <fill>
        <patternFill>
          <bgColor rgb="FF99FF66"/>
        </patternFill>
      </fill>
    </dxf>
    <dxf>
      <fill>
        <patternFill>
          <bgColor rgb="FFFF5D5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b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5" formatCode="_-[$USD]\ * #,##0.00_-;\-[$USD]\ * #,##0.00_-;_-[$USD]\ * &quot;-&quot;??_-;_-@_-"/>
      <fill>
        <patternFill>
          <bgColor theme="0"/>
        </patternFill>
      </fill>
    </dxf>
    <dxf>
      <numFmt numFmtId="165" formatCode="_-[$USD]\ * #,##0.00_-;\-[$USD]\ * #,##0.00_-;_-[$USD]\ * &quot;-&quot;??_-;_-@_-"/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numFmt numFmtId="166" formatCode="dd/mm/yyyy;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</dxf>
    <dxf>
      <numFmt numFmtId="166" formatCode="dd/mm/yyyy;@"/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rgb="FF69D44C"/>
        </patternFill>
      </fill>
    </dxf>
    <dxf>
      <font>
        <strike val="0"/>
      </font>
      <fill>
        <patternFill>
          <bgColor theme="0"/>
        </patternFill>
      </fill>
      <border>
        <horizontal style="hair">
          <color auto="1"/>
        </horizontal>
      </border>
    </dxf>
  </dxfs>
  <tableStyles count="1" defaultTableStyle="TableStyleMedium2" defaultPivotStyle="PivotStyleLight16">
    <tableStyle name="SIMPLE" pivot="0" count="1" xr9:uid="{7D061920-DE3F-4771-A4EB-7C22F4744C3E}">
      <tableStyleElement type="wholeTable" dxfId="208"/>
    </tableStyle>
  </tableStyles>
  <colors>
    <mruColors>
      <color rgb="FFEF7011"/>
      <color rgb="FFFF5D5D"/>
      <color rgb="FFCC6600"/>
      <color rgb="FFFFD653"/>
      <color rgb="FF69D44C"/>
      <color rgb="FF99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9320307432761685E-2"/>
          <c:y val="5.8243283972118164E-2"/>
          <c:w val="0.89179079247616455"/>
          <c:h val="0.82758946007118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ACTIVIDADES!$B$16</c:f>
              <c:strCache>
                <c:ptCount val="1"/>
                <c:pt idx="0">
                  <c:v>AGRICULTURA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1339826119686437E-3"/>
                  <c:y val="-1.1197067214129042E-2"/>
                </c:manualLayout>
              </c:layout>
              <c:spPr>
                <a:solidFill>
                  <a:schemeClr val="bg1"/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0" tIns="36000" rIns="0" bIns="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ln>
                        <a:noFill/>
                      </a:ln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layout>
                    <c:manualLayout>
                      <c:w val="5.9646727897809178E-2"/>
                      <c:h val="9.038512434367559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2234-4021-83A3-9A2F7792BBA3}"/>
                </c:ext>
              </c:extLst>
            </c:dLbl>
            <c:dLbl>
              <c:idx val="1"/>
              <c:layout>
                <c:manualLayout>
                  <c:x val="-1.2237154734659464E-2"/>
                  <c:y val="-9.95893198104141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EB-4E98-9B0F-A0D053E6955C}"/>
                </c:ext>
              </c:extLst>
            </c:dLbl>
            <c:dLbl>
              <c:idx val="2"/>
              <c:layout>
                <c:manualLayout>
                  <c:x val="-5.5141990625861594E-3"/>
                  <c:y val="-0.1537441693682170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C1-49B9-B546-E819CBEA9564}"/>
                </c:ext>
              </c:extLst>
            </c:dLbl>
            <c:dLbl>
              <c:idx val="3"/>
              <c:layout>
                <c:manualLayout>
                  <c:x val="-1.0944780551079763E-2"/>
                  <c:y val="-0.1151720406856413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DA-4EA1-9736-FD365A4A2BBF}"/>
                </c:ext>
              </c:extLst>
            </c:dLbl>
            <c:dLbl>
              <c:idx val="4"/>
              <c:layout>
                <c:manualLayout>
                  <c:x val="-1.0760134606998638E-2"/>
                  <c:y val="-0.1057712296778427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26-444F-AFAF-6C3DBEE42DD1}"/>
                </c:ext>
              </c:extLst>
            </c:dLbl>
            <c:dLbl>
              <c:idx val="5"/>
              <c:layout>
                <c:manualLayout>
                  <c:x val="-2.083433301244874E-2"/>
                  <c:y val="-7.813860602503497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26-444F-AFAF-6C3DBEE42DD1}"/>
                </c:ext>
              </c:extLst>
            </c:dLbl>
            <c:dLbl>
              <c:idx val="6"/>
              <c:layout>
                <c:manualLayout>
                  <c:x val="-4.5952930659596478E-3"/>
                  <c:y val="-0.10046970659618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826-444F-AFAF-6C3DBEE42DD1}"/>
                </c:ext>
              </c:extLst>
            </c:dLbl>
            <c:dLbl>
              <c:idx val="7"/>
              <c:layout>
                <c:manualLayout>
                  <c:x val="-5.1216481952295152E-3"/>
                  <c:y val="-6.877327765203473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234-4021-83A3-9A2F7792BBA3}"/>
                </c:ext>
              </c:extLst>
            </c:dLbl>
            <c:dLbl>
              <c:idx val="8"/>
              <c:layout>
                <c:manualLayout>
                  <c:x val="-1.6094916035182122E-2"/>
                  <c:y val="-3.685142961622817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34-4021-83A3-9A2F7792BBA3}"/>
                </c:ext>
              </c:extLst>
            </c:dLbl>
            <c:dLbl>
              <c:idx val="9"/>
              <c:layout>
                <c:manualLayout>
                  <c:x val="-9.1954022988505746E-3"/>
                  <c:y val="-3.1549906534565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EF-4EBA-95DF-871D9E7D13CF}"/>
                </c:ext>
              </c:extLst>
            </c:dLbl>
            <c:dLbl>
              <c:idx val="10"/>
              <c:layout>
                <c:manualLayout>
                  <c:x val="-2.3403319099219302E-2"/>
                  <c:y val="-4.122163789512001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EF-4EBA-95DF-871D9E7D13CF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ACTIVIDADES!$C$15:$N$15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ACTIVIDADES!$C$16:$N$16</c:f>
              <c:numCache>
                <c:formatCode>_("$"* #,##0.00_);_("$"* \(#,##0.00\);_("$"* "-"??_);_(@_)</c:formatCode>
                <c:ptCount val="12"/>
                <c:pt idx="0">
                  <c:v>10731041.789999999</c:v>
                </c:pt>
                <c:pt idx="1">
                  <c:v>1766963.27</c:v>
                </c:pt>
                <c:pt idx="2">
                  <c:v>4756184.78</c:v>
                </c:pt>
                <c:pt idx="3">
                  <c:v>11510526</c:v>
                </c:pt>
                <c:pt idx="4">
                  <c:v>7255180.75</c:v>
                </c:pt>
                <c:pt idx="5">
                  <c:v>16714521.83</c:v>
                </c:pt>
                <c:pt idx="6">
                  <c:v>28274249.839999996</c:v>
                </c:pt>
                <c:pt idx="7">
                  <c:v>20899823.41</c:v>
                </c:pt>
                <c:pt idx="8">
                  <c:v>15964460</c:v>
                </c:pt>
                <c:pt idx="9">
                  <c:v>55684110.770000003</c:v>
                </c:pt>
                <c:pt idx="10">
                  <c:v>15412000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25-4A3A-B96E-52A06C939A20}"/>
            </c:ext>
          </c:extLst>
        </c:ser>
        <c:ser>
          <c:idx val="1"/>
          <c:order val="1"/>
          <c:tx>
            <c:strRef>
              <c:f>ACTIVIDADES!$B$38</c:f>
              <c:strCache>
                <c:ptCount val="1"/>
                <c:pt idx="0">
                  <c:v>GANADERIA</c:v>
                </c:pt>
              </c:strCache>
            </c:strRef>
          </c:tx>
          <c:spPr>
            <a:solidFill>
              <a:srgbClr val="CC66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476685238694061E-3"/>
                  <c:y val="-0.19780650526103113"/>
                </c:manualLayout>
              </c:layout>
              <c:spPr>
                <a:solidFill>
                  <a:schemeClr val="bg1"/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0" tIns="36000" rIns="0" bIns="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CC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layout>
                    <c:manualLayout>
                      <c:w val="6.9980541804873619E-2"/>
                      <c:h val="7.85527092452718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285-4577-8F4B-D0F4E5491065}"/>
                </c:ext>
              </c:extLst>
            </c:dLbl>
            <c:dLbl>
              <c:idx val="1"/>
              <c:layout>
                <c:manualLayout>
                  <c:x val="1.340847758946905E-2"/>
                  <c:y val="-3.26419368008355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F16-4445-B5F1-16AA86E12F5B}"/>
                </c:ext>
              </c:extLst>
            </c:dLbl>
            <c:dLbl>
              <c:idx val="2"/>
              <c:layout>
                <c:manualLayout>
                  <c:x val="-1.6712539613726574E-3"/>
                  <c:y val="-2.872882834670124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C1-49B9-B546-E819CBEA9564}"/>
                </c:ext>
              </c:extLst>
            </c:dLbl>
            <c:dLbl>
              <c:idx val="3"/>
              <c:layout>
                <c:manualLayout>
                  <c:x val="4.1457717913301814E-3"/>
                  <c:y val="-4.510886489798853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DA-4EA1-9736-FD365A4A2BBF}"/>
                </c:ext>
              </c:extLst>
            </c:dLbl>
            <c:dLbl>
              <c:idx val="4"/>
              <c:layout>
                <c:manualLayout>
                  <c:x val="4.9697372975625164E-3"/>
                  <c:y val="2.71963959661680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FB0-44EE-ACC6-7EE9D398BD61}"/>
                </c:ext>
              </c:extLst>
            </c:dLbl>
            <c:dLbl>
              <c:idx val="5"/>
              <c:layout>
                <c:manualLayout>
                  <c:x val="2.3162981707952317E-3"/>
                  <c:y val="7.3251186163609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26-444F-AFAF-6C3DBEE42DD1}"/>
                </c:ext>
              </c:extLst>
            </c:dLbl>
            <c:dLbl>
              <c:idx val="8"/>
              <c:layout>
                <c:manualLayout>
                  <c:x val="2.5608194622279128E-3"/>
                  <c:y val="-1.927583699361071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34-4021-83A3-9A2F7792BBA3}"/>
                </c:ext>
              </c:extLst>
            </c:dLbl>
            <c:dLbl>
              <c:idx val="10"/>
              <c:layout>
                <c:manualLayout>
                  <c:x val="5.8277260796945835E-3"/>
                  <c:y val="-4.81561970630397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69F-4651-BDD6-229293E917F3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CC66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ACTIVIDADES!$C$38:$N$38</c:f>
              <c:numCache>
                <c:formatCode>_("$"* #,##0.00_);_("$"* \(#,##0.00\);_("$"* "-"??_);_(@_)</c:formatCode>
                <c:ptCount val="12"/>
                <c:pt idx="0">
                  <c:v>1436637</c:v>
                </c:pt>
                <c:pt idx="1">
                  <c:v>2697602.6399999997</c:v>
                </c:pt>
                <c:pt idx="2">
                  <c:v>1525425.44</c:v>
                </c:pt>
                <c:pt idx="3">
                  <c:v>2951393.42</c:v>
                </c:pt>
                <c:pt idx="4">
                  <c:v>6698423.46</c:v>
                </c:pt>
                <c:pt idx="5">
                  <c:v>35932866.769999996</c:v>
                </c:pt>
                <c:pt idx="6">
                  <c:v>163178745.45000002</c:v>
                </c:pt>
                <c:pt idx="7">
                  <c:v>141824736.24000001</c:v>
                </c:pt>
                <c:pt idx="8">
                  <c:v>2279014.4699999997</c:v>
                </c:pt>
                <c:pt idx="9">
                  <c:v>2376278.35</c:v>
                </c:pt>
                <c:pt idx="10">
                  <c:v>5199242.12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5-4577-8F4B-D0F4E549106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94916095"/>
        <c:axId val="1694916575"/>
      </c:barChart>
      <c:catAx>
        <c:axId val="169491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575"/>
        <c:crosses val="autoZero"/>
        <c:auto val="1"/>
        <c:lblAlgn val="ctr"/>
        <c:lblOffset val="100"/>
        <c:noMultiLvlLbl val="0"/>
      </c:catAx>
      <c:valAx>
        <c:axId val="169491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221530664104653"/>
          <c:y val="0.27799809479123272"/>
          <c:w val="0.19470280855091623"/>
          <c:h val="0.13651547168110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803602408274696E-2"/>
          <c:y val="7.9120370370370396E-2"/>
          <c:w val="0.87341857593778705"/>
          <c:h val="0.83662839020122481"/>
        </c:manualLayout>
      </c:layout>
      <c:lineChart>
        <c:grouping val="standard"/>
        <c:varyColors val="0"/>
        <c:ser>
          <c:idx val="0"/>
          <c:order val="0"/>
          <c:tx>
            <c:strRef>
              <c:f>ACTIVIDADES!$B$18</c:f>
              <c:strCache>
                <c:ptCount val="1"/>
                <c:pt idx="0">
                  <c:v>SOJA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3503818542240907E-2"/>
                  <c:y val="-0.1782061096529600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57B-4229-86B7-A485F9F20A22}"/>
                </c:ext>
              </c:extLst>
            </c:dLbl>
            <c:dLbl>
              <c:idx val="1"/>
              <c:layout>
                <c:manualLayout>
                  <c:x val="-5.5804052577680549E-2"/>
                  <c:y val="-0.1226505540974045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57B-4229-86B7-A485F9F20A22}"/>
                </c:ext>
              </c:extLst>
            </c:dLbl>
            <c:dLbl>
              <c:idx val="2"/>
              <c:layout>
                <c:manualLayout>
                  <c:x val="-5.0454671099913966E-2"/>
                  <c:y val="-0.1272801837270341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57B-4229-86B7-A485F9F20A22}"/>
                </c:ext>
              </c:extLst>
            </c:dLbl>
            <c:dLbl>
              <c:idx val="3"/>
              <c:layout>
                <c:manualLayout>
                  <c:x val="-4.9117325730472304E-2"/>
                  <c:y val="-6.7094998541848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57B-4229-86B7-A485F9F20A22}"/>
                </c:ext>
              </c:extLst>
            </c:dLbl>
            <c:dLbl>
              <c:idx val="4"/>
              <c:layout>
                <c:manualLayout>
                  <c:x val="-5.7141397947122204E-2"/>
                  <c:y val="-0.1643172207640712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57B-4229-86B7-A485F9F20A22}"/>
                </c:ext>
              </c:extLst>
            </c:dLbl>
            <c:dLbl>
              <c:idx val="5"/>
              <c:layout>
                <c:manualLayout>
                  <c:x val="-5.9816088686005624E-2"/>
                  <c:y val="-0.2615394429862933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57B-4229-86B7-A485F9F20A22}"/>
                </c:ext>
              </c:extLst>
            </c:dLbl>
            <c:dLbl>
              <c:idx val="6"/>
              <c:layout>
                <c:manualLayout>
                  <c:x val="-5.0829127803357681E-2"/>
                  <c:y val="-0.2245024059492564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57B-4229-86B7-A485F9F20A22}"/>
                </c:ext>
              </c:extLst>
            </c:dLbl>
            <c:dLbl>
              <c:idx val="7"/>
              <c:layout>
                <c:manualLayout>
                  <c:x val="-5.0829127803357577E-2"/>
                  <c:y val="-0.233761665208515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57B-4229-86B7-A485F9F20A22}"/>
                </c:ext>
              </c:extLst>
            </c:dLbl>
            <c:dLbl>
              <c:idx val="8"/>
              <c:layout>
                <c:manualLayout>
                  <c:x val="-4.7779980361030601E-2"/>
                  <c:y val="-0.2059838874307378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57B-4229-86B7-A485F9F20A22}"/>
                </c:ext>
              </c:extLst>
            </c:dLbl>
            <c:dLbl>
              <c:idx val="9"/>
              <c:layout>
                <c:manualLayout>
                  <c:x val="-4.3767944252705623E-2"/>
                  <c:y val="-0.1596875911344415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57B-4229-86B7-A485F9F20A22}"/>
                </c:ext>
              </c:extLst>
            </c:dLbl>
            <c:spPr>
              <a:solidFill>
                <a:srgbClr val="69D44C">
                  <a:alpha val="22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val>
            <c:numRef>
              <c:f>ACTIVIDADES!$C$18:$N$18</c:f>
              <c:numCache>
                <c:formatCode>_("$"* #,##0.00_);_("$"* \(#,##0.00\);_("$"* "-"??_);_(@_)</c:formatCode>
                <c:ptCount val="12"/>
                <c:pt idx="0">
                  <c:v>10097164</c:v>
                </c:pt>
                <c:pt idx="1">
                  <c:v>1356153.27</c:v>
                </c:pt>
                <c:pt idx="2">
                  <c:v>4756184.78</c:v>
                </c:pt>
                <c:pt idx="3">
                  <c:v>2585406</c:v>
                </c:pt>
                <c:pt idx="4">
                  <c:v>6329622.75</c:v>
                </c:pt>
                <c:pt idx="5">
                  <c:v>8530442.5</c:v>
                </c:pt>
                <c:pt idx="6">
                  <c:v>19155918.509999998</c:v>
                </c:pt>
                <c:pt idx="7">
                  <c:v>12715744.08</c:v>
                </c:pt>
                <c:pt idx="8">
                  <c:v>9071603</c:v>
                </c:pt>
                <c:pt idx="9">
                  <c:v>6845360.8799999999</c:v>
                </c:pt>
                <c:pt idx="10">
                  <c:v>14812000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7B-4229-86B7-A485F9F20A22}"/>
            </c:ext>
          </c:extLst>
        </c:ser>
        <c:ser>
          <c:idx val="1"/>
          <c:order val="1"/>
          <c:tx>
            <c:strRef>
              <c:f>ACTIVIDADES!$B$28</c:f>
              <c:strCache>
                <c:ptCount val="1"/>
                <c:pt idx="0">
                  <c:v>MAIZ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CC6600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5.5804052577680549E-2"/>
                  <c:y val="-0.1967246281714784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57B-4229-86B7-A485F9F20A22}"/>
                </c:ext>
              </c:extLst>
            </c:dLbl>
            <c:dLbl>
              <c:idx val="5"/>
              <c:layout>
                <c:manualLayout>
                  <c:x val="-6.1153434055447278E-2"/>
                  <c:y val="-0.2013542578011081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57B-4229-86B7-A485F9F20A22}"/>
                </c:ext>
              </c:extLst>
            </c:dLbl>
            <c:dLbl>
              <c:idx val="6"/>
              <c:layout>
                <c:manualLayout>
                  <c:x val="-4.9117325730472255E-2"/>
                  <c:y val="-0.219872776319626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57B-4229-86B7-A485F9F20A22}"/>
                </c:ext>
              </c:extLst>
            </c:dLbl>
            <c:dLbl>
              <c:idx val="7"/>
              <c:layout>
                <c:manualLayout>
                  <c:x val="-4.3767944252705623E-2"/>
                  <c:y val="-0.1735764800233304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57B-4229-86B7-A485F9F20A22}"/>
                </c:ext>
              </c:extLst>
            </c:dLbl>
            <c:dLbl>
              <c:idx val="8"/>
              <c:layout>
                <c:manualLayout>
                  <c:x val="-5.3129361838797233E-2"/>
                  <c:y val="-0.1689468503937006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57B-4229-86B7-A485F9F20A22}"/>
                </c:ext>
              </c:extLst>
            </c:dLbl>
            <c:spPr>
              <a:solidFill>
                <a:srgbClr val="FFC000">
                  <a:alpha val="32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ACTIVIDADES!$C$28:$N$28</c:f>
              <c:numCache>
                <c:formatCode>_("$"* #,##0.00_);_("$"* \(#,##0.00\);_("$"* "-"??_);_(@_)</c:formatCode>
                <c:ptCount val="12"/>
                <c:pt idx="0">
                  <c:v>326700</c:v>
                </c:pt>
                <c:pt idx="1">
                  <c:v>0</c:v>
                </c:pt>
                <c:pt idx="2">
                  <c:v>0</c:v>
                </c:pt>
                <c:pt idx="3">
                  <c:v>8508500</c:v>
                </c:pt>
                <c:pt idx="4">
                  <c:v>0</c:v>
                </c:pt>
                <c:pt idx="5">
                  <c:v>8184079.3300000001</c:v>
                </c:pt>
                <c:pt idx="6">
                  <c:v>8184079.3300000001</c:v>
                </c:pt>
                <c:pt idx="7">
                  <c:v>8184079.3300000001</c:v>
                </c:pt>
                <c:pt idx="8">
                  <c:v>2155200</c:v>
                </c:pt>
                <c:pt idx="9">
                  <c:v>48838749.890000001</c:v>
                </c:pt>
                <c:pt idx="10">
                  <c:v>600000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57B-4229-86B7-A485F9F20A2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89614256"/>
        <c:axId val="1889610416"/>
      </c:lineChart>
      <c:catAx>
        <c:axId val="188961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10416"/>
        <c:crosses val="autoZero"/>
        <c:auto val="1"/>
        <c:lblAlgn val="ctr"/>
        <c:lblOffset val="100"/>
        <c:noMultiLvlLbl val="0"/>
      </c:catAx>
      <c:valAx>
        <c:axId val="188961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1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015942451638"/>
          <c:y val="6.4814814814814811E-2"/>
          <c:w val="0.88461815884125594"/>
          <c:h val="0.8277857976086322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CC66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6600"/>
              </a:solidFill>
              <a:ln w="9525">
                <a:solidFill>
                  <a:srgbClr val="CC6600"/>
                </a:solidFill>
              </a:ln>
              <a:effectLst/>
            </c:spPr>
          </c:marker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val>
            <c:numRef>
              <c:f>ACTIVIDADES!$C$38:$N$38</c:f>
              <c:numCache>
                <c:formatCode>_("$"* #,##0.00_);_("$"* \(#,##0.00\);_("$"* "-"??_);_(@_)</c:formatCode>
                <c:ptCount val="12"/>
                <c:pt idx="0">
                  <c:v>1436637</c:v>
                </c:pt>
                <c:pt idx="1">
                  <c:v>2697602.6399999997</c:v>
                </c:pt>
                <c:pt idx="2">
                  <c:v>1525425.44</c:v>
                </c:pt>
                <c:pt idx="3">
                  <c:v>2951393.42</c:v>
                </c:pt>
                <c:pt idx="4">
                  <c:v>6698423.46</c:v>
                </c:pt>
                <c:pt idx="5">
                  <c:v>35932866.769999996</c:v>
                </c:pt>
                <c:pt idx="6">
                  <c:v>163178745.45000002</c:v>
                </c:pt>
                <c:pt idx="7">
                  <c:v>141824736.24000001</c:v>
                </c:pt>
                <c:pt idx="8">
                  <c:v>2279014.4699999997</c:v>
                </c:pt>
                <c:pt idx="9">
                  <c:v>2376278.35</c:v>
                </c:pt>
                <c:pt idx="10">
                  <c:v>5199242.12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8-4711-BBEB-957FDC960E4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89628656"/>
        <c:axId val="1889623376"/>
      </c:lineChart>
      <c:catAx>
        <c:axId val="188962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23376"/>
        <c:crosses val="autoZero"/>
        <c:auto val="1"/>
        <c:lblAlgn val="ctr"/>
        <c:lblOffset val="100"/>
        <c:noMultiLvlLbl val="0"/>
      </c:catAx>
      <c:valAx>
        <c:axId val="188962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2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94724478337851E-2"/>
          <c:y val="7.944937629876879E-2"/>
          <c:w val="0.88331631774374664"/>
          <c:h val="0.80638336774453157"/>
        </c:manualLayout>
      </c:layout>
      <c:barChart>
        <c:barDir val="col"/>
        <c:grouping val="clustered"/>
        <c:varyColors val="0"/>
        <c:ser>
          <c:idx val="0"/>
          <c:order val="0"/>
          <c:tx>
            <c:v>Raul Aportes</c:v>
          </c:tx>
          <c:invertIfNegative val="0"/>
          <c:dLbls>
            <c:dLbl>
              <c:idx val="2"/>
              <c:layout>
                <c:manualLayout>
                  <c:x val="-8.7489063867019835E-4"/>
                  <c:y val="1.086227811873572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DC0-4ACE-AB56-15DC48D49537}"/>
                </c:ext>
              </c:extLst>
            </c:dLbl>
            <c:dLbl>
              <c:idx val="3"/>
              <c:layout>
                <c:manualLayout>
                  <c:x val="-8.7489063867023044E-4"/>
                  <c:y val="-5.805752194287880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159-4910-BBB2-79CCFF2EFC14}"/>
                </c:ext>
              </c:extLst>
            </c:dLbl>
            <c:dLbl>
              <c:idx val="4"/>
              <c:layout>
                <c:manualLayout>
                  <c:x val="-2.6246719160104987E-3"/>
                  <c:y val="-2.539220834735254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DC0-4ACE-AB56-15DC48D49537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CAPITAL!$C$15:$N$15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CAPITAL!$C$18:$N$18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5770000</c:v>
                </c:pt>
                <c:pt idx="3">
                  <c:v>3431000</c:v>
                </c:pt>
                <c:pt idx="4">
                  <c:v>700000</c:v>
                </c:pt>
                <c:pt idx="5">
                  <c:v>17473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59-4910-BBB2-79CCFF2EFC14}"/>
            </c:ext>
          </c:extLst>
        </c:ser>
        <c:ser>
          <c:idx val="1"/>
          <c:order val="1"/>
          <c:tx>
            <c:v>Raul retiros</c:v>
          </c:tx>
          <c:invertIfNegative val="0"/>
          <c:dLbls>
            <c:dLbl>
              <c:idx val="0"/>
              <c:layout>
                <c:manualLayout>
                  <c:x val="0"/>
                  <c:y val="1.169006711644732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B28-43E2-B57A-15A4FD4BF407}"/>
                </c:ext>
              </c:extLst>
            </c:dLbl>
            <c:dLbl>
              <c:idx val="1"/>
              <c:layout>
                <c:manualLayout>
                  <c:x val="-1.7497812773403325E-3"/>
                  <c:y val="1.087020953122012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B28-43E2-B57A-15A4FD4BF407}"/>
                </c:ext>
              </c:extLst>
            </c:dLbl>
            <c:dLbl>
              <c:idx val="2"/>
              <c:layout>
                <c:manualLayout>
                  <c:x val="-3.499562554680665E-3"/>
                  <c:y val="1.1690067116447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B28-43E2-B57A-15A4FD4BF407}"/>
                </c:ext>
              </c:extLst>
            </c:dLbl>
            <c:dLbl>
              <c:idx val="3"/>
              <c:layout>
                <c:manualLayout>
                  <c:x val="-2.6246719160104987E-3"/>
                  <c:y val="1.087020953122012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B28-43E2-B57A-15A4FD4BF407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FF0000"/>
                    </a:solidFill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CAPITAL!$C$27:$N$27</c:f>
              <c:numCache>
                <c:formatCode>_("$"* #,##0.00_);_("$"* \(#,##0.00\);_("$"* "-"??_);_(@_)</c:formatCode>
                <c:ptCount val="12"/>
                <c:pt idx="0">
                  <c:v>1032678.3500000001</c:v>
                </c:pt>
                <c:pt idx="1">
                  <c:v>1000000</c:v>
                </c:pt>
                <c:pt idx="2">
                  <c:v>2300035.5699999998</c:v>
                </c:pt>
                <c:pt idx="3">
                  <c:v>3132179</c:v>
                </c:pt>
                <c:pt idx="4">
                  <c:v>10500000</c:v>
                </c:pt>
                <c:pt idx="5">
                  <c:v>3066158</c:v>
                </c:pt>
                <c:pt idx="6">
                  <c:v>3096280</c:v>
                </c:pt>
                <c:pt idx="7">
                  <c:v>3536160</c:v>
                </c:pt>
                <c:pt idx="8">
                  <c:v>2005927</c:v>
                </c:pt>
                <c:pt idx="9">
                  <c:v>10425463.970000001</c:v>
                </c:pt>
                <c:pt idx="10">
                  <c:v>2391133</c:v>
                </c:pt>
                <c:pt idx="11">
                  <c:v>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28-43E2-B57A-15A4FD4BF40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694916095"/>
        <c:axId val="1694916575"/>
      </c:barChart>
      <c:catAx>
        <c:axId val="169491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575"/>
        <c:crosses val="autoZero"/>
        <c:auto val="1"/>
        <c:lblAlgn val="ctr"/>
        <c:lblOffset val="100"/>
        <c:noMultiLvlLbl val="0"/>
      </c:catAx>
      <c:valAx>
        <c:axId val="169491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  <a:alpha val="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383243433153527"/>
          <c:y val="9.7746310014702326E-2"/>
          <c:w val="5.4900903135139602E-2"/>
          <c:h val="0.178927656334401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plotArea>
      <cx:plotAreaRegion>
        <cx:series layoutId="waterfall" uniqueId="{60D88776-E508-4342-8DCC-AF4B3D198C9A}" formatIdx="0">
          <cx:spPr>
            <a:solidFill>
              <a:srgbClr val="CC6600"/>
            </a:solidFill>
          </cx:spPr>
          <cx:dataId val="0"/>
          <cx:layoutPr>
            <cx:subtotals/>
          </cx:layoutPr>
        </cx:series>
      </cx:plotAreaRegion>
      <cx:axis id="0">
        <cx:catScaling gapWidth="0.550000012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_xlchart.v1.0</cx:f>
      </cx:numDim>
    </cx:data>
  </cx:chartData>
  <cx:chart>
    <cx:plotArea>
      <cx:plotAreaRegion>
        <cx:series layoutId="waterfall" uniqueId="{E3D33E09-BEAC-48A2-AEC1-62B17E23B425}" formatIdx="0">
          <cx:dataId val="0"/>
          <cx:layoutPr>
            <cx:subtotals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microsoft.com/office/2014/relationships/chartEx" Target="../charts/chartEx2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50</xdr:row>
      <xdr:rowOff>104775</xdr:rowOff>
    </xdr:from>
    <xdr:to>
      <xdr:col>4</xdr:col>
      <xdr:colOff>1362075</xdr:colOff>
      <xdr:row>52</xdr:row>
      <xdr:rowOff>100134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25161F-9BAB-4405-B749-FCE2C9A9E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" y="9382125"/>
          <a:ext cx="5048250" cy="4144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</xdr:row>
      <xdr:rowOff>14287</xdr:rowOff>
    </xdr:from>
    <xdr:to>
      <xdr:col>14</xdr:col>
      <xdr:colOff>962025</xdr:colOff>
      <xdr:row>13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5905DE6-E6B4-8A6F-C3F4-BAE30B41D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66674</xdr:colOff>
      <xdr:row>68</xdr:row>
      <xdr:rowOff>33337</xdr:rowOff>
    </xdr:from>
    <xdr:to>
      <xdr:col>10</xdr:col>
      <xdr:colOff>28575</xdr:colOff>
      <xdr:row>82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4D2666-DF38-C8FA-EC11-239B3F3A4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76200</xdr:colOff>
      <xdr:row>82</xdr:row>
      <xdr:rowOff>166687</xdr:rowOff>
    </xdr:from>
    <xdr:to>
      <xdr:col>10</xdr:col>
      <xdr:colOff>9525</xdr:colOff>
      <xdr:row>97</xdr:row>
      <xdr:rowOff>52387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1E033F-347F-6270-B4BC-54B60A907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228600</xdr:colOff>
      <xdr:row>83</xdr:row>
      <xdr:rowOff>4762</xdr:rowOff>
    </xdr:from>
    <xdr:to>
      <xdr:col>14</xdr:col>
      <xdr:colOff>895350</xdr:colOff>
      <xdr:row>97</xdr:row>
      <xdr:rowOff>80962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E5BBA0F-A81A-F5B9-EB21-D1B4E51507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82275" y="15863887"/>
              <a:ext cx="46958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10</xdr:col>
      <xdr:colOff>242887</xdr:colOff>
      <xdr:row>67</xdr:row>
      <xdr:rowOff>185737</xdr:rowOff>
    </xdr:from>
    <xdr:to>
      <xdr:col>14</xdr:col>
      <xdr:colOff>909637</xdr:colOff>
      <xdr:row>82</xdr:row>
      <xdr:rowOff>71437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B3B38970-629E-E4B6-F245-7F0D89FF76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96562" y="12996862"/>
              <a:ext cx="46958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</xdr:row>
      <xdr:rowOff>14287</xdr:rowOff>
    </xdr:from>
    <xdr:to>
      <xdr:col>14</xdr:col>
      <xdr:colOff>962025</xdr:colOff>
      <xdr:row>13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D78B2E0-582E-4C63-8EFE-461F5C1E4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NFORMAT\04-05-MAY\cierre_2003_prueba_final\AUXILIARES\archivos%20auxiliares\pablo_2002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vin\Desktop\01.xlsx" TargetMode="External"/><Relationship Id="rId1" Type="http://schemas.openxmlformats.org/officeDocument/2006/relationships/externalLinkPath" Target="/Users/Kevin/Desktop/0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vin\Dropbox\ADMINISTRACION%20G&amp;E%20SA\ACTIVIDADES\AGRICULTURA.xlsx" TargetMode="External"/><Relationship Id="rId1" Type="http://schemas.openxmlformats.org/officeDocument/2006/relationships/externalLinkPath" Target="/Users/Kevin/Dropbox/ADMINISTRACION%20G&amp;E%20SA/ACTIVIDADES/AGRICULTU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P_EERR"/>
      <sheetName val="EEPN"/>
      <sheetName val="EOAF"/>
      <sheetName val="Anexo A"/>
      <sheetName val="Bal1202-200603"/>
      <sheetName val="Saldos"/>
      <sheetName val="Hoja1"/>
      <sheetName val="Ajustes No Contabilizad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_DINAMICA"/>
      <sheetName val="Hoja2"/>
      <sheetName val="20 10 2022"/>
      <sheetName val="BD_ADM"/>
      <sheetName val="Borrador Ganaderia"/>
      <sheetName val="Borrador Agricultura"/>
      <sheetName val="DIA A DIAvehic asist pagos "/>
      <sheetName val="Walter Medina PAGO"/>
      <sheetName val="Aplicaciones camp 2023 2024"/>
      <sheetName val="DIARIO GRAL"/>
      <sheetName val="MOV HACIENDA"/>
      <sheetName val="Tropa ingresada 30 03 2023 "/>
      <sheetName val="REMITOS INSUMOS"/>
      <sheetName val="ORDEN DE TRABAJO"/>
      <sheetName val="BD COMERCIAL"/>
      <sheetName val="REMITOS"/>
      <sheetName val="LISTAS"/>
      <sheetName val="BORRADOR"/>
      <sheetName val="COMPRA VENTA HACIEND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3">
          <cell r="A3" t="str">
            <v>ADMINISTRACION</v>
          </cell>
          <cell r="O3" t="str">
            <v>PAGADO</v>
          </cell>
          <cell r="S3" t="str">
            <v>A</v>
          </cell>
        </row>
        <row r="4">
          <cell r="O4" t="str">
            <v>PENDIENTE</v>
          </cell>
          <cell r="S4" t="str">
            <v>B</v>
          </cell>
        </row>
        <row r="5">
          <cell r="O5" t="str">
            <v>CONTRATO SOJA</v>
          </cell>
          <cell r="S5" t="str">
            <v>C</v>
          </cell>
        </row>
        <row r="6">
          <cell r="O6" t="str">
            <v>CONTRATO MAIZ</v>
          </cell>
          <cell r="S6" t="str">
            <v>X</v>
          </cell>
        </row>
        <row r="7">
          <cell r="S7" t="str">
            <v>NOTA DE DEBITO</v>
          </cell>
        </row>
      </sheetData>
      <sheetData sheetId="17" refreshError="1"/>
      <sheetData sheetId="1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RICULTURA"/>
      <sheetName val="FACTURAS"/>
      <sheetName val="REMITO_INSUMOS"/>
      <sheetName val="REMITO_SEMILLAS"/>
      <sheetName val="REMITO_COSECHA"/>
      <sheetName val="LISTAS (2)"/>
      <sheetName val="LISTA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" refreshedDate="46041.356880439816" createdVersion="8" refreshedVersion="8" minRefreshableVersion="3" recordCount="2505" xr:uid="{777AA83C-B1EE-4C92-8F11-6EE859611451}">
  <cacheSource type="worksheet">
    <worksheetSource name="Tabla3"/>
  </cacheSource>
  <cacheFields count="25">
    <cacheField name="PERIODO" numFmtId="166">
      <sharedItems containsBlank="1" count="13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  <m u="1"/>
      </sharedItems>
    </cacheField>
    <cacheField name="FECHA" numFmtId="0">
      <sharedItems containsSemiMixedTypes="0" containsNonDate="0" containsDate="1" containsString="0" minDate="2025-01-02T00:00:00" maxDate="2026-01-01T00:00:00"/>
    </cacheField>
    <cacheField name="DESCRIPCION" numFmtId="0">
      <sharedItems/>
    </cacheField>
    <cacheField name="N DE REFERENCIA" numFmtId="0">
      <sharedItems containsBlank="1" containsMixedTypes="1" containsNumber="1" containsInteger="1" minValue="51936050" maxValue="61672519"/>
    </cacheField>
    <cacheField name="EGRESOS" numFmtId="44">
      <sharedItems containsSemiMixedTypes="0" containsString="0" containsNumber="1" minValue="0" maxValue="83285264.400000006"/>
    </cacheField>
    <cacheField name="INGRESOS" numFmtId="44">
      <sharedItems containsSemiMixedTypes="0" containsString="0" containsNumber="1" minValue="0" maxValue="91700000"/>
    </cacheField>
    <cacheField name="SALDO" numFmtId="44">
      <sharedItems containsSemiMixedTypes="0" containsString="0" containsNumber="1" minValue="-83285264.400000006" maxValue="91700000"/>
    </cacheField>
    <cacheField name="SALDO BANCO" numFmtId="0">
      <sharedItems containsString="0" containsBlank="1" containsNumber="1" minValue="-62338089.32" maxValue="114337440.58"/>
    </cacheField>
    <cacheField name="TC" numFmtId="44">
      <sharedItems containsSemiMixedTypes="0" containsString="0" containsNumber="1" minValue="1140" maxValue="1516.6666666666699"/>
    </cacheField>
    <cacheField name="EGRES USD" numFmtId="165">
      <sharedItems containsSemiMixedTypes="0" containsString="0" containsNumber="1" minValue="0" maxValue="64562.220465116283"/>
    </cacheField>
    <cacheField name="INGRES USD" numFmtId="165">
      <sharedItems containsSemiMixedTypes="0" containsString="0" containsNumber="1" minValue="0" maxValue="67426.470588235301"/>
    </cacheField>
    <cacheField name="MONEDA" numFmtId="0">
      <sharedItems containsBlank="1"/>
    </cacheField>
    <cacheField name="CUENTA" numFmtId="0">
      <sharedItems/>
    </cacheField>
    <cacheField name="BANCO" numFmtId="0">
      <sharedItems/>
    </cacheField>
    <cacheField name="ACTIVIDAD" numFmtId="0">
      <sharedItems containsBlank="1" count="10">
        <s v="FINANCIERA"/>
        <s v="ADMINISTRACION"/>
        <s v="AGRICULTURA"/>
        <s v="ESTRUCTURA"/>
        <s v="OTROS"/>
        <s v="GANADERIA"/>
        <s v="ESTABLECIMIENTO" u="1"/>
        <m u="1"/>
        <s v="GANADERIA " u="1"/>
        <s v="ADD" u="1"/>
      </sharedItems>
    </cacheField>
    <cacheField name="RUBRO" numFmtId="0">
      <sharedItems containsBlank="1" count="36">
        <s v="INTERBANKING"/>
        <s v="GASTOS_BANC"/>
        <s v="SOCIOS"/>
        <s v="PERSONAL"/>
        <s v="CULT. PRINCIPAL"/>
        <s v="ESTABLECIMIENTO"/>
        <s v="GASTOS_FIN"/>
        <s v="GASTOS_ADM"/>
        <s v="VEHICULOS"/>
        <s v="SOCIAL"/>
        <s v="CREDITOS"/>
        <s v="TERCEROS"/>
        <s v="AMORT. CREDITOS"/>
        <s v="COSTOS_OP"/>
        <s v="MAQUINARIAS"/>
        <s v="CULT. COBERTURA"/>
        <s v="PERROS"/>
        <s v="GASTOS_OF"/>
        <s v="COMPRA TERN"/>
        <s v="OVEJAS"/>
        <s v="VARIOS"/>
        <s v="AJUSTES"/>
        <s v="VENTAS NOV"/>
        <s v="REGALO"/>
        <s v="INVERSIONES"/>
        <m/>
        <s v="CHANCHOS"/>
        <s v="INSUMOS" u="1"/>
        <s v="HONORARIOS" u="1"/>
        <s v="CONSEJO CS EC" u="1"/>
        <s v="COMPRA" u="1"/>
        <s v="VENTAS" u="1"/>
        <s v="IVA" u="1"/>
        <s v="ALIMENTO" u="1"/>
        <s v="PLAN DE PAGOS" u="1"/>
        <s v="AYUDA SOCIAL" u="1"/>
      </sharedItems>
    </cacheField>
    <cacheField name="CONCEPTO" numFmtId="0">
      <sharedItems containsBlank="1" count="123">
        <s v="TRANSF. PROPIAS"/>
        <s v="IMPUESTOS"/>
        <s v="A CTA DE HONORARIOS"/>
        <s v="SUELDO"/>
        <s v="ASESORAMIENTO"/>
        <s v="SOJA"/>
        <s v="INSUMOS"/>
        <s v="MANTENIMIENTO"/>
        <s v="INTERESES "/>
        <s v="COMISIONES"/>
        <s v="VARIOS"/>
        <s v="DUSTER"/>
        <s v="AYUDA SOCIAL"/>
        <s v="JORNALES"/>
        <s v="APORTES"/>
        <s v="PAMPA 6 MESES"/>
        <s v="CUOTA 1 PAMPA"/>
        <s v="CUOTA 2 PAMPA"/>
        <s v="CUOTA 3 PAMPA"/>
        <s v="CUOTA 4 PAMPA"/>
        <s v="CUOTA 5 PAMPA"/>
        <s v="CUOTA 6 PAMPA"/>
        <s v="JUDICIAL"/>
        <s v="FLETES"/>
        <s v="CUOTA NACION"/>
        <s v="VETERINARIA"/>
        <s v="MICHIGAN"/>
        <s v="RETIROS"/>
        <s v="SERVICIOS"/>
        <s v="ALFALFA"/>
        <s v="DEVOLUCION"/>
        <s v="CREDITO SGR"/>
        <s v="CREDITO NACION"/>
        <s v="TARJETA AGRONACION"/>
        <s v="TARJETA CORPORATIVA"/>
        <s v="MAIZ"/>
        <s v="PANADERIA"/>
        <s v="PILETA"/>
        <s v="CONSTRUCCION"/>
        <s v="HILUX"/>
        <s v="SUPERMERCADO"/>
        <s v="ALIMENTOS"/>
        <s v="CANCELACION GALICIA"/>
        <s v="GALICIA A SOLA FIRMA 6MESES"/>
        <s v="LABORATORIO"/>
        <m/>
        <s v="COMBUSTIBLES"/>
        <s v="REPARACIONES "/>
        <s v="GUIAS"/>
        <s v="SEMBRADORA"/>
        <s v="CUOTA 1- 203 TERNEROS"/>
        <s v="GALICIA A SOLA FIRMA 1 AÑO "/>
        <s v="CANCELACION"/>
        <s v="ESQUILADO"/>
        <s v="ALIMENTACION"/>
        <s v="GALICIA A SOLA FIRMA 3MESES"/>
        <s v="ESCRIBANA"/>
        <s v="JOHN DEERE"/>
        <s v="SEGUROS"/>
        <s v="MACRO A SOLA FIRMA "/>
        <s v="LUBRICANTES"/>
        <s v="HONORARIOS"/>
        <s v="IVA"/>
        <s v="SALDO RECUPERO"/>
        <s v="39 NOVILLOS"/>
        <s v="A KVIN POR CUMPLE"/>
        <s v="PRESTAMOS"/>
        <s v="CONTRATO FW 90 TN"/>
        <s v="SUSCRIPCION"/>
        <s v="RESCATE"/>
        <s v="CUOTA 1- 68 TERNEROS"/>
        <s v="CERTIFICACIONES"/>
        <s v="38 NOVILLOS"/>
        <s v="A CTA DE JUBILACION"/>
        <s v="MANI"/>
        <s v="INDUMENTARIA"/>
        <s v="SUPLEMENTOS"/>
        <s v="CANCELACION MACRO USD"/>
        <s v="CUOTA 2- 68 TERNEROS"/>
        <s v="CUOTA 1- 63+17 TERNEROS"/>
        <s v="CUOTA 1- 25+55 TERNEROS"/>
        <s v="53 NOVILLOS"/>
        <s v="CUOTA 1- 22+43 TERNEROS"/>
        <s v="CUOTA 2- 203 TERNEROS"/>
        <s v="CONTRATO FW 120 TN"/>
        <s v="CUOTA 2- 43 TERNEROS"/>
        <s v="CUOTA 2- 160 TENERNOS"/>
        <s v="CREDITO MACRO USD"/>
        <s v="CONTADORA"/>
        <s v="40MIL USD VTO 30/07/26"/>
        <s v="REPARACIONES"/>
        <s v="MACRO USD"/>
        <s v="PLAN DE PAGOS"/>
        <s v="JD 3550"/>
        <s v="GIRASOL"/>
        <s v="APORTES (EN REALIDAD EL DEVUELVE)"/>
        <s v="ALQUILER"/>
        <s v="ARTICULOS KIOSCO"/>
        <s v="PRESTAMO" u="1"/>
        <s v="OTROS" u="1"/>
        <s v="TRAMITES" u="1"/>
        <s v="CALEFACCION" u="1"/>
        <s v="CONTABLE" u="1"/>
        <s v="APROBACION ACTAS" u="1"/>
        <s v="TASA MUNICIPAL" u="1"/>
        <s v="RECIBIDOS" u="1"/>
        <s v="52 NOVILLOS" u="1"/>
        <s v="CUOTA 1-63+17 TERNEROS" u="1"/>
        <s v="PERROS" u="1"/>
        <s v="CONTRATO FW" u="1"/>
        <s v="CONTRATO MANI" u="1"/>
        <s v="HACIENDA" u="1"/>
        <s v="CUOTA 21 PAMPA" u="1"/>
        <s v="COSECHA" u="1"/>
        <s v="SIEMBRA" u="1"/>
        <s v="APLICACIONES" u="1"/>
        <s v="ENTRE CUENTAS" u="1"/>
        <s v="GASTOS VARIOS" u="1"/>
        <s v="DSMLZ, MICHIGAN" u="1"/>
        <s v="VIAJES O VIATICOS" u="1"/>
        <s v="CUOTA 1" u="1"/>
        <s v="OTORGADO" u="1"/>
        <s v=" MICHIGAN" u="1"/>
      </sharedItems>
    </cacheField>
    <cacheField name="DETALLES" numFmtId="0">
      <sharedItems containsBlank="1"/>
    </cacheField>
    <cacheField name="PROVEEDOR CLIENTE" numFmtId="0">
      <sharedItems containsBlank="1"/>
    </cacheField>
    <cacheField name="FACTURA" numFmtId="0">
      <sharedItems containsBlank="1"/>
    </cacheField>
    <cacheField name="RDS" numFmtId="0">
      <sharedItems containsBlank="1" count="66">
        <s v="06. COMPENSATORIOS"/>
        <s v="05. GASTOS_ADM"/>
        <s v="20. A CTA DE HONORARIOS"/>
        <s v="10. SUELDOS Y JORNALES"/>
        <s v="01. FACT PAGADAS 24"/>
        <s v="04. SIN FACTURA 25"/>
        <s v="02. FACT PAGADAS 25"/>
        <s v="03. SIN FACTURA 24"/>
        <s v="16. APORTE SOCIO RAUL"/>
        <s v="08. CREDITOS"/>
        <s v="17. TERCEROS"/>
        <s v="18. CANC PARCIAL CREDITO PAMPA"/>
        <s v="07. CANC PRESTAMO 2023"/>
        <s v="13. UTILIDADES MONICA"/>
        <s v="15. INGRESOS AGROPECUARIOS"/>
        <s v="12. UTILIDADES CLAUDIA"/>
        <s v="16. APORTE SOCIO CLAUDIA"/>
        <s v="22. CANC CREDITO NACION "/>
        <s v="18. CANC CREDITO GALICIA"/>
        <s v="22. COSTOS GANADEROS"/>
        <s v="09. PLAN DE PAGOS RENTAS CUOTA 2"/>
        <s v="19. AJUSTES"/>
        <s v="15. INGRESOS GANADEROS"/>
        <s v="21. INVERSIONES"/>
        <s v="23. CANCELACION FOWARD 90TN"/>
        <s v="19. CANC CREDITO MACRO USD"/>
        <s v="24. CANCELACION FOWARD 120TN"/>
        <m/>
        <s v="02. FACT PAGADAS 24" u="1"/>
        <s v="11. DEVOLUCIONES RAUL" u="1"/>
        <s v="14. UTILIDADES RAUL" u="1"/>
        <s v="15. TERCEROS" u="1"/>
        <s v="17. CANC CREDITO GALICIA" u="1"/>
        <s v="16. INGRESOS GANADEROS" u="1"/>
        <s v="16. APORTE SOCIO" u="1"/>
        <s v="10. SUELDOS" u="1"/>
        <s v="15. INGRESOS AGROPECUARIO" u="1"/>
        <s v="6. COMPENSATORIOS" u="1"/>
        <s v="5. GASTOS_ADM" u="1"/>
        <s v="4. SIN FACTURA 25" u="1"/>
        <s v="3. SIN FACTURA 24" u="1"/>
        <s v="7. CANC PRESTAMO 2023" u="1"/>
        <s v="9. PLAN DE PAGOS RENTAS CUOTA 2" u="1"/>
        <s v="8. CREDITOS" u="1"/>
        <s v="2. FACT PAGADAS 25" u="1"/>
        <s v="1. FACT PAGADAS 24" u="1"/>
        <s v="COMPENSATORIOS" u="1"/>
        <s v="GASTOS_ADM" u="1"/>
        <s v="DEVOLUCIONES RAUL" u="1"/>
        <s v="SUELDOS" u="1"/>
        <s v="UTILIDADES RAUL" u="1"/>
        <s v="FACT PAGADAS 25" u="1"/>
        <s v="SIN FACTURA 25" u="1"/>
        <s v="UTILIDADES CLAUDIA" u="1"/>
        <s v="SIN FACTURA 24" u="1"/>
        <s v="CANC PRESTAMO 2023" u="1"/>
        <s v="FACT PAGADAS 24" u="1"/>
        <s v="UTILIDADES MONICA" u="1"/>
        <s v="PLAN DE PAGOS RENTAS CUOTA 2" u="1"/>
        <s v="CREDITOS" u="1"/>
        <s v="SIN FACT 25" u="1"/>
        <s v="FUTURAS UTILIDADES MONICA" u="1"/>
        <s v="FUTURAS UTILIDADES" u="1"/>
        <s v="PLAN DE PAGOS RENTAS" u="1"/>
        <s v="SIN FACT 24" u="1"/>
        <s v="FACT PAGADA 24" u="1"/>
      </sharedItems>
    </cacheField>
    <cacheField name="SOCIO" numFmtId="0">
      <sharedItems containsBlank="1"/>
    </cacheField>
    <cacheField name="CAMPAÑA" numFmtId="0">
      <sharedItems containsBlank="1"/>
    </cacheField>
    <cacheField name="DEBITO" numFmtId="0">
      <sharedItems containsBlank="1"/>
    </cacheField>
    <cacheField name="CREDI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5">
  <r>
    <x v="0"/>
    <d v="2025-01-03T00:00:00"/>
    <s v="PAMPA DIG TRF."/>
    <m/>
    <n v="3100000"/>
    <n v="0"/>
    <n v="-3100000"/>
    <m/>
    <n v="1140"/>
    <n v="2719.2982456140353"/>
    <n v="0"/>
    <s v="ARS"/>
    <s v="CC"/>
    <s v="PAMPA"/>
    <x v="0"/>
    <x v="0"/>
    <x v="0"/>
    <s v="HACIA CC MACRO"/>
    <m/>
    <m/>
    <x v="0"/>
    <m/>
    <s v="24/25"/>
    <m/>
    <m/>
  </r>
  <r>
    <x v="0"/>
    <d v="2025-01-03T00:00:00"/>
    <s v="PAMPA DIG TRF."/>
    <m/>
    <n v="1000000"/>
    <n v="0"/>
    <n v="-1000000"/>
    <n v="-4370577.21"/>
    <n v="1140"/>
    <n v="877.19298245614038"/>
    <n v="0"/>
    <s v="ARS"/>
    <s v="CC"/>
    <s v="PAMPA"/>
    <x v="0"/>
    <x v="0"/>
    <x v="0"/>
    <s v="HACIA CC MACRO"/>
    <m/>
    <m/>
    <x v="0"/>
    <m/>
    <s v="24/25"/>
    <m/>
    <m/>
  </r>
  <r>
    <x v="0"/>
    <d v="2025-01-08T00:00:00"/>
    <s v="IMP.DEB/CRED P/DEB."/>
    <m/>
    <n v="8728.74"/>
    <n v="0"/>
    <n v="-8728.74"/>
    <n v="-4379305.95"/>
    <n v="1140"/>
    <n v="7.6567894736842099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0"/>
    <d v="2025-01-08T00:00:00"/>
    <s v="PAMPA DIG TRF."/>
    <m/>
    <n v="200000"/>
    <n v="0"/>
    <n v="-200000"/>
    <n v="-4579305.95"/>
    <n v="1140"/>
    <n v="175.43859649122808"/>
    <n v="0"/>
    <s v="ARS"/>
    <s v="CC"/>
    <s v="PAMPA"/>
    <x v="1"/>
    <x v="2"/>
    <x v="2"/>
    <s v="RETIRO EN CAJA "/>
    <s v="RAUL"/>
    <m/>
    <x v="2"/>
    <s v="RAUL"/>
    <s v="24/25"/>
    <s v="FUTURAS UT. ADL RAUL"/>
    <s v="EFECTIVO Y OTROS ACT LÍQ EQ."/>
  </r>
  <r>
    <x v="0"/>
    <d v="2025-01-08T00:00:00"/>
    <s v="PAMPA DIG TRF."/>
    <m/>
    <n v="812400"/>
    <n v="0"/>
    <n v="-812400"/>
    <n v="-5391705.9500000002"/>
    <n v="1140"/>
    <n v="712.63157894736844"/>
    <n v="0"/>
    <s v="ARS"/>
    <s v="CC"/>
    <s v="PAMPA"/>
    <x v="1"/>
    <x v="3"/>
    <x v="3"/>
    <s v="SUELO+EXTRA+%HAC"/>
    <s v="ANDRES TOLEDO"/>
    <m/>
    <x v="3"/>
    <m/>
    <s v="24/25"/>
    <s v="EGRESOS"/>
    <s v="EFECTIVO Y OTROS ACT LÍQ EQ."/>
  </r>
  <r>
    <x v="0"/>
    <d v="2025-01-08T00:00:00"/>
    <s v="PAMPA DIG TRF."/>
    <m/>
    <n v="442389.74"/>
    <n v="0"/>
    <n v="-442389.74"/>
    <n v="-5834095.6900000004"/>
    <n v="1140"/>
    <n v="388.06117543859648"/>
    <n v="0"/>
    <s v="ARS"/>
    <s v="CC"/>
    <s v="PAMPA"/>
    <x v="1"/>
    <x v="3"/>
    <x v="3"/>
    <s v="PERIODO DIC "/>
    <s v="KEVIN TOLEDO"/>
    <m/>
    <x v="3"/>
    <m/>
    <s v="24/25"/>
    <s v="EGRESOS"/>
    <s v="EFECTIVO Y OTROS ACT LÍQ EQ."/>
  </r>
  <r>
    <x v="0"/>
    <d v="2025-01-09T00:00:00"/>
    <s v="PAMPA DIG TRF."/>
    <m/>
    <n v="500000"/>
    <n v="0"/>
    <n v="-500000"/>
    <n v="-6334095.6900000004"/>
    <n v="1140"/>
    <n v="438.59649122807019"/>
    <n v="0"/>
    <s v="ARS"/>
    <s v="CC"/>
    <s v="PAMPA"/>
    <x v="0"/>
    <x v="0"/>
    <x v="0"/>
    <s v="HACIA EL MACRO"/>
    <m/>
    <m/>
    <x v="0"/>
    <m/>
    <s v="24/25"/>
    <m/>
    <m/>
  </r>
  <r>
    <x v="0"/>
    <d v="2025-01-10T00:00:00"/>
    <s v="IMP.DEB/CRED P/DEB."/>
    <m/>
    <n v="1800"/>
    <n v="0"/>
    <n v="-1800"/>
    <n v="-6335895.6900000004"/>
    <n v="1140"/>
    <n v="1.5789473684210527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0"/>
    <d v="2025-01-10T00:00:00"/>
    <s v="PAMPA DIG TRF."/>
    <m/>
    <n v="300000"/>
    <n v="0"/>
    <n v="-300000"/>
    <n v="-6635895.6900000004"/>
    <n v="1140"/>
    <n v="263.15789473684208"/>
    <n v="0"/>
    <s v="ARS"/>
    <s v="CC"/>
    <s v="PAMPA"/>
    <x v="1"/>
    <x v="2"/>
    <x v="2"/>
    <s v="RETIRO RAUL"/>
    <s v="RAUL"/>
    <m/>
    <x v="2"/>
    <s v="RAUL"/>
    <s v="24/25"/>
    <s v="FUTURAS UT. ADL RAUL"/>
    <s v="EFECTIVO Y OTROS ACT LÍQ EQ."/>
  </r>
  <r>
    <x v="0"/>
    <d v="2025-01-16T00:00:00"/>
    <s v="PAMPA DIG TRF."/>
    <m/>
    <n v="500000"/>
    <n v="0"/>
    <n v="-500000"/>
    <n v="-7135895.6900000004"/>
    <n v="1140"/>
    <n v="438.59649122807019"/>
    <n v="0"/>
    <s v="ARS"/>
    <s v="CC"/>
    <s v="PAMPA"/>
    <x v="0"/>
    <x v="0"/>
    <x v="0"/>
    <s v="HACIA EL MACRO"/>
    <m/>
    <m/>
    <x v="0"/>
    <m/>
    <s v="24/25"/>
    <m/>
    <m/>
  </r>
  <r>
    <x v="0"/>
    <d v="2025-01-17T00:00:00"/>
    <s v="PAMPA DIG TRF."/>
    <m/>
    <n v="600000"/>
    <n v="0"/>
    <n v="-600000"/>
    <n v="-7735895.6900000004"/>
    <n v="1140"/>
    <n v="526.31578947368416"/>
    <n v="0"/>
    <s v="ARS"/>
    <s v="CC"/>
    <s v="PAMPA"/>
    <x v="0"/>
    <x v="0"/>
    <x v="0"/>
    <s v="HACIA EL MACRO"/>
    <m/>
    <m/>
    <x v="0"/>
    <m/>
    <s v="24/25"/>
    <m/>
    <m/>
  </r>
  <r>
    <x v="0"/>
    <d v="2025-01-20T00:00:00"/>
    <s v="PAMPA DIG TRF."/>
    <m/>
    <n v="401128"/>
    <n v="0"/>
    <n v="-401128"/>
    <n v="-8137023.6900000004"/>
    <n v="1140"/>
    <n v="351.86666666666667"/>
    <n v="0"/>
    <s v="ARS"/>
    <s v="CC"/>
    <s v="PAMPA"/>
    <x v="2"/>
    <x v="4"/>
    <x v="4"/>
    <s v="HONORARIOS"/>
    <s v="CESAR DIAZ"/>
    <s v="FA 35"/>
    <x v="4"/>
    <m/>
    <s v="23/24"/>
    <s v="BIENES Y SERVICIOS 2024"/>
    <s v="EFECTIVO Y OTROS ACT LÍQ EQ."/>
  </r>
  <r>
    <x v="0"/>
    <d v="2025-01-20T00:00:00"/>
    <s v="PAMPA DIG TRF."/>
    <m/>
    <n v="106049.79"/>
    <n v="0"/>
    <n v="-106049.79"/>
    <n v="-8243073.4800000004"/>
    <n v="1140"/>
    <n v="93.026131578947357"/>
    <n v="0"/>
    <s v="ARS"/>
    <s v="CC"/>
    <s v="PAMPA"/>
    <x v="1"/>
    <x v="2"/>
    <x v="2"/>
    <s v="PAGO TELEFONO "/>
    <s v="RAUL"/>
    <m/>
    <x v="2"/>
    <s v="RAUL"/>
    <s v="24/25"/>
    <s v="FUTURAS UT. ADL RAUL"/>
    <s v="EFECTIVO Y OTROS ACT LÍQ EQ."/>
  </r>
  <r>
    <x v="0"/>
    <d v="2025-01-20T00:00:00"/>
    <s v="PAMPA DIG TRF."/>
    <m/>
    <n v="400000"/>
    <n v="0"/>
    <n v="-400000"/>
    <n v="-8643073.4800000004"/>
    <n v="1140"/>
    <n v="350.87719298245617"/>
    <n v="0"/>
    <s v="ARS"/>
    <s v="CC"/>
    <s v="PAMPA"/>
    <x v="2"/>
    <x v="4"/>
    <x v="5"/>
    <s v="DESYUYADOR"/>
    <s v="ALDO DIAZ"/>
    <m/>
    <x v="5"/>
    <m/>
    <s v="24/25"/>
    <s v="BIENES Y SERVICIOS"/>
    <s v="EFECTIVO Y OTROS ACT LÍQ EQ."/>
  </r>
  <r>
    <x v="0"/>
    <d v="2025-01-20T00:00:00"/>
    <s v="PAMPA DIG TRF."/>
    <m/>
    <n v="200000"/>
    <n v="0"/>
    <n v="-200000"/>
    <n v="-8843073.4800000004"/>
    <n v="1140"/>
    <n v="175.43859649122808"/>
    <n v="0"/>
    <s v="ARS"/>
    <s v="CC"/>
    <s v="PAMPA"/>
    <x v="0"/>
    <x v="0"/>
    <x v="0"/>
    <s v="HACIA EL MACRO"/>
    <m/>
    <m/>
    <x v="0"/>
    <m/>
    <s v="24/25"/>
    <m/>
    <m/>
  </r>
  <r>
    <x v="0"/>
    <d v="2025-01-20T00:00:00"/>
    <s v="PAMPA DIG TRF."/>
    <m/>
    <n v="1100000"/>
    <n v="0"/>
    <n v="-1100000"/>
    <n v="-9943073.4800000004"/>
    <n v="1140"/>
    <n v="964.91228070175441"/>
    <n v="0"/>
    <s v="ARS"/>
    <s v="CC"/>
    <s v="PAMPA"/>
    <x v="0"/>
    <x v="0"/>
    <x v="0"/>
    <s v="HACIA EL MACRO"/>
    <m/>
    <m/>
    <x v="0"/>
    <m/>
    <s v="24/25"/>
    <m/>
    <m/>
  </r>
  <r>
    <x v="0"/>
    <d v="2025-01-20T00:00:00"/>
    <s v="IMP.DEB/CRED P/DEB."/>
    <m/>
    <n v="5443.07"/>
    <n v="0"/>
    <n v="-5443.07"/>
    <n v="-9948516.5500000007"/>
    <n v="1140"/>
    <n v="4.7746228070175434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0"/>
    <d v="2025-01-23T00:00:00"/>
    <s v="TRANSF. MACRONLINE E-SET M/T"/>
    <m/>
    <n v="0"/>
    <n v="10000000"/>
    <n v="10000000"/>
    <n v="51483.449999999255"/>
    <n v="1140"/>
    <n v="0"/>
    <n v="8771.9298245614027"/>
    <s v="ARS"/>
    <s v="CC"/>
    <s v="PAMPA"/>
    <x v="0"/>
    <x v="0"/>
    <x v="0"/>
    <s v="DESDE CC MACRO"/>
    <m/>
    <m/>
    <x v="0"/>
    <m/>
    <s v="24/25"/>
    <m/>
    <m/>
  </r>
  <r>
    <x v="0"/>
    <d v="2025-01-29T00:00:00"/>
    <s v="PAMPA DIG TRF."/>
    <m/>
    <n v="236100"/>
    <n v="0"/>
    <n v="-236100"/>
    <n v="-184616.55000000075"/>
    <n v="1140"/>
    <n v="207.10526315789474"/>
    <n v="0"/>
    <s v="ARS"/>
    <s v="CC"/>
    <s v="PAMPA"/>
    <x v="3"/>
    <x v="5"/>
    <x v="6"/>
    <s v="VESTIMENTA CAMPO"/>
    <s v="HUINCAGRO"/>
    <s v="FA625"/>
    <x v="4"/>
    <m/>
    <s v="23/24"/>
    <s v="BIENES Y SERVICIOS"/>
    <s v="EFECTIVO Y OTROS ACT LÍQ EQ."/>
  </r>
  <r>
    <x v="0"/>
    <d v="2025-01-29T00:00:00"/>
    <s v="PAMPA DIG TRF."/>
    <m/>
    <n v="750000"/>
    <n v="0"/>
    <n v="-750000"/>
    <n v="-934616.55000000075"/>
    <n v="1140"/>
    <n v="657.89473684210532"/>
    <n v="0"/>
    <s v="ARS"/>
    <s v="CC"/>
    <s v="PAMPA"/>
    <x v="3"/>
    <x v="5"/>
    <x v="7"/>
    <s v="PINTADA DE PILETA"/>
    <s v="DARIO RODRIGUEZ"/>
    <s v="FA 22"/>
    <x v="6"/>
    <m/>
    <s v="24/25"/>
    <s v="BIENES Y SERVICIOS"/>
    <s v="EFECTIVO Y OTROS ACT LÍQ EQ."/>
  </r>
  <r>
    <x v="0"/>
    <d v="2025-01-29T00:00:00"/>
    <s v="PAMPA DIG TRF."/>
    <m/>
    <n v="1000000"/>
    <n v="0"/>
    <n v="-1000000"/>
    <n v="-1934616.5500000007"/>
    <n v="1140"/>
    <n v="877.19298245614038"/>
    <n v="0"/>
    <s v="ARS"/>
    <s v="CC"/>
    <s v="PAMPA"/>
    <x v="1"/>
    <x v="2"/>
    <x v="2"/>
    <s v="FUT UTILIDADES ENERO"/>
    <s v="CLAUDIA ERRECALDE"/>
    <m/>
    <x v="2"/>
    <s v="CLAUDIA"/>
    <s v="24/25"/>
    <s v="FUTURAS UT. ADL CLAUDIA"/>
    <s v="EFECTIVO Y OTROS ACT LÍQ EQ."/>
  </r>
  <r>
    <x v="0"/>
    <d v="2025-01-29T00:00:00"/>
    <s v="IMP.DEB/CRED P/DEB."/>
    <m/>
    <n v="11916.6"/>
    <n v="0"/>
    <n v="-11916.6"/>
    <n v="-1946533.1500000008"/>
    <n v="1140"/>
    <n v="10.453157894736842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0"/>
    <d v="2025-01-31T00:00:00"/>
    <s v="IVA PERCEPC.ALIC.RED"/>
    <m/>
    <n v="2827.37"/>
    <n v="0"/>
    <n v="-2827.37"/>
    <n v="-1949360.5200000009"/>
    <n v="1140"/>
    <n v="2.4801491228070174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0"/>
    <d v="2025-01-31T00:00:00"/>
    <s v="INTERESES ACUERDOS"/>
    <m/>
    <n v="188491.31"/>
    <n v="0"/>
    <n v="-188491.31"/>
    <n v="-2137851.830000001"/>
    <n v="1140"/>
    <n v="165.34325438596491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0"/>
    <d v="2025-01-31T00:00:00"/>
    <s v="IMP.DEB/CRED P/DEB."/>
    <m/>
    <n v="1528.72"/>
    <n v="0"/>
    <n v="-1528.72"/>
    <n v="-2139380.5500000012"/>
    <n v="1140"/>
    <n v="1.3409824561403509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0"/>
    <d v="2025-01-31T00:00:00"/>
    <s v="IVA REDUCCION 10,5%"/>
    <m/>
    <n v="19791.59"/>
    <n v="0"/>
    <n v="-19791.59"/>
    <n v="-2159172.1400000011"/>
    <n v="1140"/>
    <n v="17.361043859649122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0"/>
    <d v="2025-01-31T00:00:00"/>
    <s v="IVA"/>
    <m/>
    <n v="6615"/>
    <n v="0"/>
    <n v="-6615"/>
    <n v="-2165787.1400000011"/>
    <n v="1140"/>
    <n v="5.8026315789473681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0"/>
    <d v="2025-01-31T00:00:00"/>
    <s v="IMP.SELLOS"/>
    <m/>
    <n v="4616.1000000000004"/>
    <n v="0"/>
    <n v="-4616.1000000000004"/>
    <n v="-2170403.2400000012"/>
    <n v="1140"/>
    <n v="4.0492105263157896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0"/>
    <d v="2025-01-31T00:00:00"/>
    <s v="COM. MANTENIMIENTO DE CUENTA"/>
    <m/>
    <n v="31500"/>
    <n v="0"/>
    <n v="-31500"/>
    <n v="-2201903.2400000012"/>
    <n v="1140"/>
    <n v="27.631578947368421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0"/>
    <d v="2025-01-31T00:00:00"/>
    <s v="IVA PERCEPCION"/>
    <m/>
    <n v="945"/>
    <n v="0"/>
    <n v="-945"/>
    <n v="-2202848.2400000012"/>
    <n v="1140"/>
    <n v="0.8289473684210526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"/>
    <d v="2025-02-05T00:00:00"/>
    <s v="IMP.DEB/CRED P/DEB."/>
    <m/>
    <n v="2681.47"/>
    <n v="0"/>
    <n v="-2681.47"/>
    <n v="-2205529.7100000014"/>
    <n v="1140"/>
    <n v="2.3521666666666663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05T00:00:00"/>
    <s v="PAMPA DIG TRF."/>
    <m/>
    <n v="446912.35"/>
    <n v="0"/>
    <n v="-446912.35"/>
    <n v="-2652442.0600000015"/>
    <n v="1140"/>
    <n v="392.02837719298242"/>
    <n v="0"/>
    <s v="ARS"/>
    <s v="CC"/>
    <s v="PAMPA"/>
    <x v="1"/>
    <x v="3"/>
    <x v="3"/>
    <s v="PERIODO ENERO25"/>
    <s v="KEVIN TOLEDO"/>
    <m/>
    <x v="3"/>
    <m/>
    <s v="24/25"/>
    <s v="EGRESOS"/>
    <s v="EFECTIVO Y OTROS ACT LÍQ EQ."/>
  </r>
  <r>
    <x v="1"/>
    <d v="2025-02-10T00:00:00"/>
    <s v="IMP.DEB/CRED P/DEB."/>
    <m/>
    <n v="1566.61"/>
    <n v="0"/>
    <n v="-1566.61"/>
    <n v="-2654008.6700000013"/>
    <n v="1140"/>
    <n v="1.3742192982456138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10T00:00:00"/>
    <s v="PAMPA DIG TRF."/>
    <m/>
    <n v="3000000"/>
    <n v="0"/>
    <n v="-3000000"/>
    <n v="-5654008.6700000018"/>
    <n v="1140"/>
    <n v="2631.5789473684213"/>
    <n v="0"/>
    <s v="ARS"/>
    <s v="CC"/>
    <s v="PAMPA"/>
    <x v="0"/>
    <x v="0"/>
    <x v="0"/>
    <m/>
    <m/>
    <m/>
    <x v="0"/>
    <m/>
    <s v="24/25"/>
    <m/>
    <m/>
  </r>
  <r>
    <x v="1"/>
    <d v="2025-02-10T00:00:00"/>
    <s v="PAMPA DIG TRF."/>
    <m/>
    <n v="3100"/>
    <n v="0"/>
    <n v="-3100"/>
    <n v="-5657108.6700000018"/>
    <n v="1140"/>
    <n v="2.7192982456140351"/>
    <n v="0"/>
    <s v="ARS"/>
    <s v="CC"/>
    <s v="PAMPA"/>
    <x v="1"/>
    <x v="3"/>
    <x v="10"/>
    <s v="CABLE CARGADOR"/>
    <s v="MATIAS LUCERO"/>
    <m/>
    <x v="3"/>
    <m/>
    <s v="24/25"/>
    <s v="EGRESOS"/>
    <s v="EFECTIVO Y OTROS ACT LÍQ EQ."/>
  </r>
  <r>
    <x v="1"/>
    <d v="2025-02-10T00:00:00"/>
    <s v="PAMPA DIG TRF."/>
    <m/>
    <n v="80000"/>
    <n v="0"/>
    <n v="-80000"/>
    <n v="-5737108.6700000018"/>
    <n v="1140"/>
    <n v="70.175438596491233"/>
    <n v="0"/>
    <s v="ARS"/>
    <s v="CC"/>
    <s v="PAMPA"/>
    <x v="3"/>
    <x v="8"/>
    <x v="11"/>
    <s v="ESPEJO RETROVISOR"/>
    <m/>
    <m/>
    <x v="7"/>
    <m/>
    <s v="23/24"/>
    <s v="EGRESOS"/>
    <s v="EFECTIVO Y OTROS ACT LÍQ EQ."/>
  </r>
  <r>
    <x v="1"/>
    <d v="2025-02-10T00:00:00"/>
    <s v="PAMPA DIG TRF."/>
    <m/>
    <n v="40000"/>
    <n v="0"/>
    <n v="-40000"/>
    <n v="-5777108.6700000018"/>
    <n v="1140"/>
    <n v="35.087719298245617"/>
    <n v="0"/>
    <s v="ARS"/>
    <s v="CC"/>
    <s v="PAMPA"/>
    <x v="3"/>
    <x v="8"/>
    <x v="11"/>
    <s v="LAVADERO"/>
    <m/>
    <m/>
    <x v="5"/>
    <m/>
    <s v="24/25"/>
    <s v="BIENES Y SERVICIOS"/>
    <s v="EFECTIVO Y OTROS ACT LÍQ EQ."/>
  </r>
  <r>
    <x v="1"/>
    <d v="2025-02-10T00:00:00"/>
    <s v="PAMPA DIG TRF."/>
    <m/>
    <n v="30000"/>
    <n v="0"/>
    <n v="-30000"/>
    <n v="-5807108.6700000018"/>
    <n v="1140"/>
    <n v="26.315789473684209"/>
    <n v="0"/>
    <s v="ARS"/>
    <s v="CC"/>
    <s v="PAMPA"/>
    <x v="4"/>
    <x v="9"/>
    <x v="12"/>
    <m/>
    <s v="NORMA TOLEDO"/>
    <m/>
    <x v="1"/>
    <m/>
    <s v="24/25"/>
    <s v="EGRESOS"/>
    <s v="EFECTIVO Y OTROS ACT LÍQ EQ."/>
  </r>
  <r>
    <x v="1"/>
    <d v="2025-02-10T00:00:00"/>
    <s v="PAMPA DIG TRF."/>
    <m/>
    <n v="8001.35"/>
    <n v="0"/>
    <n v="-8001.35"/>
    <n v="-5815110.0200000014"/>
    <n v="1140"/>
    <n v="7.0187280701754391"/>
    <n v="0"/>
    <s v="ARS"/>
    <s v="CC"/>
    <s v="PAMPA"/>
    <x v="1"/>
    <x v="3"/>
    <x v="3"/>
    <s v="RESTO SUELDO"/>
    <s v="ANDRES TOLEDO"/>
    <m/>
    <x v="3"/>
    <m/>
    <s v="24/25"/>
    <s v="EGRESOS"/>
    <s v="EFECTIVO Y OTROS ACT LÍQ EQ."/>
  </r>
  <r>
    <x v="1"/>
    <d v="2025-02-10T00:00:00"/>
    <s v="PAMPA DIG TRF."/>
    <m/>
    <n v="100000"/>
    <n v="0"/>
    <n v="-100000"/>
    <n v="-5915110.0200000014"/>
    <n v="1140"/>
    <n v="87.719298245614041"/>
    <n v="0"/>
    <s v="ARS"/>
    <s v="CC"/>
    <s v="PAMPA"/>
    <x v="1"/>
    <x v="3"/>
    <x v="13"/>
    <s v="JORNALES"/>
    <s v="MATIAS LUCERO"/>
    <m/>
    <x v="3"/>
    <m/>
    <s v="24/25"/>
    <s v="EGRESOS"/>
    <s v="EFECTIVO Y OTROS ACT LÍQ EQ."/>
  </r>
  <r>
    <x v="1"/>
    <d v="2025-02-12T00:00:00"/>
    <s v="IMP.DEB/CRED P/DEB."/>
    <m/>
    <n v="2880.44"/>
    <n v="0"/>
    <n v="-2880.44"/>
    <n v="-5917990.4600000018"/>
    <n v="1140"/>
    <n v="2.5267017543859649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12T00:00:00"/>
    <s v="PAMPA DIG TRF."/>
    <m/>
    <n v="476800"/>
    <n v="0"/>
    <n v="-476800"/>
    <n v="-6394790.4600000018"/>
    <n v="1140"/>
    <n v="418.24561403508773"/>
    <n v="0"/>
    <s v="ARS"/>
    <s v="CC"/>
    <s v="PAMPA"/>
    <x v="1"/>
    <x v="3"/>
    <x v="3"/>
    <s v="SUELDO+EXTRA"/>
    <s v="ANDRES TOLEDO"/>
    <m/>
    <x v="3"/>
    <m/>
    <s v="24/25"/>
    <s v="EGRESOS"/>
    <s v="EFECTIVO Y OTROS ACT LÍQ EQ."/>
  </r>
  <r>
    <x v="1"/>
    <d v="2025-02-12T00:00:00"/>
    <s v="PAMPA DIG TRF."/>
    <m/>
    <n v="3273"/>
    <n v="0"/>
    <n v="-3273"/>
    <n v="-6398063.4600000018"/>
    <n v="1140"/>
    <n v="2.8710526315789475"/>
    <n v="0"/>
    <s v="ARS"/>
    <s v="CC"/>
    <s v="PAMPA"/>
    <x v="1"/>
    <x v="3"/>
    <x v="3"/>
    <s v="SEGURO"/>
    <s v="COLO BUSTOS"/>
    <m/>
    <x v="3"/>
    <m/>
    <s v="24/25"/>
    <s v="BIENES Y SERVICIOS"/>
    <s v="EFECTIVO Y OTROS ACT LÍQ EQ."/>
  </r>
  <r>
    <x v="1"/>
    <d v="2025-02-14T00:00:00"/>
    <s v="PAMPA DIG TRF."/>
    <m/>
    <n v="2000000"/>
    <n v="0"/>
    <n v="-2000000"/>
    <n v="-8398063.4600000009"/>
    <n v="1140"/>
    <n v="1754.3859649122808"/>
    <n v="0"/>
    <s v="ARS"/>
    <s v="CC"/>
    <s v="PAMPA"/>
    <x v="0"/>
    <x v="0"/>
    <x v="0"/>
    <s v="HACIA EL MACRO"/>
    <m/>
    <m/>
    <x v="0"/>
    <m/>
    <s v="24/25"/>
    <m/>
    <m/>
  </r>
  <r>
    <x v="1"/>
    <d v="2025-02-24T00:00:00"/>
    <s v="PAMPA DIG TRF."/>
    <m/>
    <n v="500000"/>
    <n v="0"/>
    <n v="-500000"/>
    <n v="-8898063.4600000009"/>
    <n v="1140"/>
    <n v="438.59649122807019"/>
    <n v="0"/>
    <s v="ARS"/>
    <s v="CC"/>
    <s v="PAMPA"/>
    <x v="0"/>
    <x v="0"/>
    <x v="0"/>
    <s v="HACIA EL MACRO"/>
    <m/>
    <m/>
    <x v="0"/>
    <m/>
    <s v="24/25"/>
    <m/>
    <m/>
  </r>
  <r>
    <x v="1"/>
    <d v="2025-02-25T00:00:00"/>
    <s v="IMP.DEB/CRED P/DEB."/>
    <m/>
    <n v="4804.8599999999997"/>
    <n v="0"/>
    <n v="-4804.8599999999997"/>
    <n v="-8902868.3200000003"/>
    <n v="1140"/>
    <n v="4.2147894736842106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1"/>
    <d v="2025-02-25T00:00:00"/>
    <s v="PAMPA DIG TRF."/>
    <m/>
    <n v="390000"/>
    <n v="0"/>
    <n v="-390000"/>
    <n v="-9292868.3200000003"/>
    <n v="1140"/>
    <n v="342.10526315789474"/>
    <n v="0"/>
    <s v="ARS"/>
    <s v="CC"/>
    <s v="PAMPA"/>
    <x v="1"/>
    <x v="3"/>
    <x v="13"/>
    <s v="SERVICIO A CAMPO"/>
    <s v="COLO BUSTOS"/>
    <m/>
    <x v="3"/>
    <m/>
    <s v="24/25"/>
    <s v="BIENES Y SERVICIOS"/>
    <s v="EFECTIVO Y OTROS ACT LÍQ EQ."/>
  </r>
  <r>
    <x v="1"/>
    <d v="2025-02-25T00:00:00"/>
    <s v="PAMPA DIG TRF."/>
    <m/>
    <n v="410810"/>
    <n v="0"/>
    <n v="-410810"/>
    <n v="-9703678.3200000003"/>
    <n v="1140"/>
    <n v="360.35964912280701"/>
    <n v="0"/>
    <s v="ARS"/>
    <s v="CC"/>
    <s v="PAMPA"/>
    <x v="2"/>
    <x v="4"/>
    <x v="4"/>
    <s v="HONORARIOS"/>
    <s v="CESAR DIAZ"/>
    <s v="FA 38"/>
    <x v="6"/>
    <m/>
    <s v="24/25"/>
    <s v="BIENES Y SERVICIOS"/>
    <s v="EFECTIVO Y OTROS ACT LÍQ EQ."/>
  </r>
  <r>
    <x v="1"/>
    <d v="2025-02-28T00:00:00"/>
    <s v="IVA PERCEPC.ALIC.RED"/>
    <m/>
    <n v="3422.05"/>
    <n v="0"/>
    <n v="-3422.05"/>
    <n v="-9707100.370000001"/>
    <n v="1140"/>
    <n v="3.001798245614035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"/>
    <d v="2025-02-28T00:00:00"/>
    <s v="INTERESES ACUERDOS"/>
    <m/>
    <n v="228136.62"/>
    <n v="0"/>
    <n v="-228136.62"/>
    <n v="-9935236.9900000002"/>
    <n v="1140"/>
    <n v="200.11984210526316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1"/>
    <d v="2025-02-28T00:00:00"/>
    <s v="IMP.DEB/CRED P/DEB."/>
    <m/>
    <n v="1802.63"/>
    <n v="0"/>
    <n v="-1802.63"/>
    <n v="-9937039.620000001"/>
    <n v="1140"/>
    <n v="1.5812543859649124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28T00:00:00"/>
    <s v="IVA REDUCCION 10,5%"/>
    <m/>
    <n v="23954.35"/>
    <n v="0"/>
    <n v="-23954.35"/>
    <n v="-9960993.9700000007"/>
    <n v="1140"/>
    <n v="21.012587719298246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1"/>
    <d v="2025-02-28T00:00:00"/>
    <s v="IVA"/>
    <m/>
    <n v="6615"/>
    <n v="0"/>
    <n v="-6615"/>
    <n v="-9967608.9700000007"/>
    <n v="1140"/>
    <n v="5.8026315789473681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28T00:00:00"/>
    <s v="IMP.SELLOS"/>
    <m/>
    <n v="5864.99"/>
    <n v="0"/>
    <n v="-5864.99"/>
    <n v="-9973473.9600000009"/>
    <n v="1140"/>
    <n v="5.1447280701754385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1"/>
    <d v="2025-02-28T00:00:00"/>
    <s v="COM. MANTENIMIENTO DE CUENTA"/>
    <m/>
    <n v="31500"/>
    <n v="0"/>
    <n v="-31500"/>
    <n v="-10004973.960000001"/>
    <n v="1140"/>
    <n v="27.631578947368421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1"/>
    <d v="2025-02-28T00:00:00"/>
    <s v="IVA PERCEPCION"/>
    <m/>
    <n v="945"/>
    <n v="0"/>
    <n v="-945"/>
    <n v="-10005918.960000001"/>
    <n v="1140"/>
    <n v="0.8289473684210526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PAMPA DIG TRF."/>
    <m/>
    <n v="290000"/>
    <n v="0"/>
    <n v="-290000"/>
    <n v="-10295918.960000001"/>
    <n v="1140"/>
    <n v="254.38596491228071"/>
    <n v="0"/>
    <s v="ARS"/>
    <s v="CC"/>
    <s v="PAMPA"/>
    <x v="0"/>
    <x v="0"/>
    <x v="0"/>
    <s v="HACIA EL MACRO"/>
    <m/>
    <m/>
    <x v="0"/>
    <m/>
    <s v="24/25"/>
    <m/>
    <m/>
  </r>
  <r>
    <x v="2"/>
    <d v="2025-03-11T00:00:00"/>
    <s v="TRF.POR CAJ.AUT./HB - 20164045693-ERRECALDE RAUL ALBERTO VAR-"/>
    <m/>
    <n v="0"/>
    <n v="310000"/>
    <n v="310000"/>
    <n v="-9985918.9600000009"/>
    <n v="1140"/>
    <n v="0"/>
    <n v="271.92982456140351"/>
    <s v="ARS"/>
    <s v="CC"/>
    <s v="PAMPA"/>
    <x v="1"/>
    <x v="2"/>
    <x v="14"/>
    <m/>
    <s v="RAUL"/>
    <m/>
    <x v="8"/>
    <s v="RAUL"/>
    <s v="24/25"/>
    <s v="EFECTIVO Y OTROS ACT LÍQ EQ."/>
    <s v="APORTES DE CAPITAL"/>
  </r>
  <r>
    <x v="2"/>
    <d v="2025-03-11T00:00:00"/>
    <s v="IMP.DEB/CRED P/CRED."/>
    <m/>
    <n v="1860"/>
    <n v="0"/>
    <n v="-1860"/>
    <n v="-9987778.9600000009"/>
    <n v="1140"/>
    <n v="1.631578947368421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2"/>
    <d v="2025-03-26T00:00:00"/>
    <s v="PMOS COMERCIALES"/>
    <m/>
    <n v="0"/>
    <n v="19664000"/>
    <n v="19664000"/>
    <n v="9676221.0399999991"/>
    <n v="1140"/>
    <n v="0"/>
    <n v="17249.122807017542"/>
    <s v="ARS"/>
    <s v="CC"/>
    <s v="PAMPA"/>
    <x v="0"/>
    <x v="10"/>
    <x v="15"/>
    <m/>
    <s v="PAMPA"/>
    <m/>
    <x v="9"/>
    <m/>
    <s v="24/25"/>
    <s v="EFECTIVO Y OTROS ACT LÍQ EQ."/>
    <s v="CREDITOS PAMPA"/>
  </r>
  <r>
    <x v="2"/>
    <d v="2025-03-31T00:00:00"/>
    <s v="IVA PERCEPC.ALIC.RED"/>
    <m/>
    <n v="4722.55"/>
    <n v="0"/>
    <n v="-4722.55"/>
    <n v="9671498.4899999984"/>
    <n v="1140"/>
    <n v="4.1425877192982457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2"/>
    <d v="2025-03-31T00:00:00"/>
    <s v="INTERESES ACUERDOS"/>
    <m/>
    <n v="314836.5"/>
    <n v="0"/>
    <n v="-314836.5"/>
    <n v="9356661.9899999984"/>
    <n v="1140"/>
    <n v="276.17236842105262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2"/>
    <d v="2025-03-31T00:00:00"/>
    <s v="IMP.DEB/CRED P/DEB."/>
    <m/>
    <n v="2422.2399999999998"/>
    <n v="0"/>
    <n v="-2422.2399999999998"/>
    <n v="9354239.7499999981"/>
    <n v="1140"/>
    <n v="2.1247719298245613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2"/>
    <d v="2025-03-31T00:00:00"/>
    <s v="IVA REDUCCION 10,5%"/>
    <m/>
    <n v="33057.83"/>
    <n v="0"/>
    <n v="-33057.83"/>
    <n v="9321181.9199999981"/>
    <n v="1140"/>
    <n v="28.998096491228072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2"/>
    <d v="2025-03-31T00:00:00"/>
    <s v="IVA REDUCCION 10,5%"/>
    <m/>
    <n v="238.09"/>
    <n v="0"/>
    <n v="-238.09"/>
    <n v="9320943.8299999982"/>
    <n v="1140"/>
    <n v="0.20885087719298245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2"/>
    <d v="2025-03-31T00:00:00"/>
    <s v="IVA REDUCCION 10,5%"/>
    <m/>
    <n v="119.04"/>
    <n v="0"/>
    <n v="-119.04"/>
    <n v="9320824.7899999991"/>
    <n v="1140"/>
    <n v="0.10442105263157896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2"/>
    <d v="2025-03-31T00:00:00"/>
    <s v="INTERESES"/>
    <m/>
    <n v="1133.74"/>
    <n v="0"/>
    <n v="-1133.74"/>
    <n v="9319691.0499999989"/>
    <n v="1140"/>
    <n v="0.99450877192982456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2"/>
    <d v="2025-03-31T00:00:00"/>
    <s v="IVA"/>
    <m/>
    <n v="6615"/>
    <n v="0"/>
    <n v="-6615"/>
    <n v="9313076.0499999989"/>
    <n v="1140"/>
    <n v="5.8026315789473681"/>
    <n v="0"/>
    <s v="ARS"/>
    <s v="CC"/>
    <s v="PAMPA"/>
    <x v="1"/>
    <x v="1"/>
    <x v="1"/>
    <s v="IVA"/>
    <s v="ARCA"/>
    <m/>
    <x v="1"/>
    <m/>
    <s v="24/25"/>
    <s v="EGRESOS"/>
    <s v="EFECTIVO Y OTROS ACT LÍQ EQ."/>
  </r>
  <r>
    <x v="2"/>
    <d v="2025-03-31T00:00:00"/>
    <s v="INTERESES"/>
    <m/>
    <n v="2267.48"/>
    <n v="0"/>
    <n v="-2267.48"/>
    <n v="9310808.5699999984"/>
    <n v="1140"/>
    <n v="1.9890175438596491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2"/>
    <d v="2025-03-31T00:00:00"/>
    <s v="IMP.SELLOS"/>
    <m/>
    <n v="8213.15"/>
    <n v="0"/>
    <n v="-8213.15"/>
    <n v="9302595.4199999981"/>
    <n v="1140"/>
    <n v="7.2045175438596489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2"/>
    <d v="2025-03-31T00:00:00"/>
    <s v="IMP.SELLOS"/>
    <m/>
    <n v="59.15"/>
    <n v="0"/>
    <n v="-59.15"/>
    <n v="9302536.2699999977"/>
    <n v="1140"/>
    <n v="5.1885964912280702E-2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2"/>
    <d v="2025-03-31T00:00:00"/>
    <s v="COM. MANTENIMIENTO DE CUENTA"/>
    <m/>
    <n v="31500"/>
    <n v="0"/>
    <n v="-31500"/>
    <n v="9271036.2699999977"/>
    <n v="1140"/>
    <n v="27.631578947368421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2"/>
    <d v="2025-03-31T00:00:00"/>
    <s v="IVA PERCEPCION"/>
    <m/>
    <n v="945"/>
    <n v="0"/>
    <n v="-945"/>
    <n v="9270091.2699999977"/>
    <n v="1140"/>
    <n v="0.8289473684210526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MP.DEB/CRED P/DEB."/>
    <m/>
    <n v="44.64"/>
    <n v="0"/>
    <n v="-44.64"/>
    <n v="9270046.6299999971"/>
    <n v="1140"/>
    <n v="3.9157894736842107E-2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PAMPA DIG TRF."/>
    <m/>
    <n v="19600000"/>
    <n v="0"/>
    <n v="-19600000"/>
    <n v="-10329953.370000003"/>
    <n v="1140"/>
    <n v="17192.982456140351"/>
    <n v="0"/>
    <s v="ARS"/>
    <s v="CC"/>
    <s v="PAMPA"/>
    <x v="0"/>
    <x v="0"/>
    <x v="0"/>
    <s v="HACIA EL GALICIA"/>
    <m/>
    <m/>
    <x v="0"/>
    <m/>
    <s v="24/25"/>
    <m/>
    <m/>
  </r>
  <r>
    <x v="3"/>
    <d v="2025-04-01T00:00:00"/>
    <s v="COM.TRANSF PAMPA DIG"/>
    <m/>
    <n v="6000"/>
    <n v="0"/>
    <n v="-6000"/>
    <n v="-10335953.370000003"/>
    <n v="1140"/>
    <n v="5.2631578947368425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3"/>
    <d v="2025-04-01T00:00:00"/>
    <s v="IVA"/>
    <m/>
    <n v="1260"/>
    <n v="0"/>
    <n v="-1260"/>
    <n v="-10337213.370000003"/>
    <n v="1140"/>
    <n v="1.1052631578947369"/>
    <n v="0"/>
    <s v="ARS"/>
    <s v="CC"/>
    <s v="PAMPA"/>
    <x v="1"/>
    <x v="1"/>
    <x v="1"/>
    <s v="IVA"/>
    <s v="ARCA"/>
    <m/>
    <x v="1"/>
    <m/>
    <s v="24/25"/>
    <s v="EGRESOS"/>
    <s v="EFECTIVO Y OTROS ACT LÍQ EQ."/>
  </r>
  <r>
    <x v="3"/>
    <d v="2025-04-01T00:00:00"/>
    <s v="IVA PERCEPCION"/>
    <m/>
    <n v="180"/>
    <n v="0"/>
    <n v="-180"/>
    <n v="-10337393.370000003"/>
    <n v="1140"/>
    <n v="0.1578947368421052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3"/>
    <d v="2025-04-09T00:00:00"/>
    <s v="DATANET EXENTO - 30708920882-G &amp; E S.A."/>
    <m/>
    <n v="0"/>
    <n v="350000"/>
    <n v="350000"/>
    <n v="-9987393.3700000029"/>
    <n v="1140"/>
    <n v="0"/>
    <n v="307.01754385964909"/>
    <s v="ARS"/>
    <s v="CC"/>
    <s v="PAMPA"/>
    <x v="0"/>
    <x v="0"/>
    <x v="0"/>
    <s v="DESDE CC GALICIA"/>
    <m/>
    <m/>
    <x v="0"/>
    <m/>
    <s v="24/25"/>
    <m/>
    <m/>
  </r>
  <r>
    <x v="3"/>
    <d v="2025-04-25T00:00:00"/>
    <s v="TRANSFERENCIA RECIBIDA - 20164045693-ERRECALDE RAUL ALBERTO VAR-"/>
    <m/>
    <n v="0"/>
    <n v="50000"/>
    <n v="50000"/>
    <n v="-9937393.3700000029"/>
    <n v="1140"/>
    <n v="0"/>
    <n v="43.859649122807021"/>
    <s v="ARS"/>
    <s v="CC"/>
    <s v="PAMPA"/>
    <x v="1"/>
    <x v="2"/>
    <x v="14"/>
    <m/>
    <s v="RAUL"/>
    <m/>
    <x v="8"/>
    <s v="RAUL"/>
    <s v="24/25"/>
    <s v="EFECTIVO Y OTROS ACT LÍQ EQ."/>
    <s v="APORTES DE CAPITAL"/>
  </r>
  <r>
    <x v="3"/>
    <d v="2025-04-25T00:00:00"/>
    <s v="IMP. DEBITOS Y CRED. POR DEBITO"/>
    <m/>
    <n v="22331.49"/>
    <n v="0"/>
    <n v="-22331.49"/>
    <n v="-9959724.8600000031"/>
    <n v="1140"/>
    <n v="19.589026315789475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3"/>
    <d v="2025-04-25T00:00:00"/>
    <s v="IMP. DEBITOS Y CRED. POR CREDITO"/>
    <m/>
    <n v="8400"/>
    <n v="0"/>
    <n v="-8400"/>
    <n v="-9968124.8600000031"/>
    <n v="1140"/>
    <n v="7.3684210526315788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3"/>
    <d v="2025-04-25T00:00:00"/>
    <s v="DATANET EXENTO - 30708920882-G &amp; E S.A."/>
    <m/>
    <n v="0"/>
    <n v="2340000"/>
    <n v="2340000"/>
    <n v="-7628124.8600000031"/>
    <n v="1140"/>
    <n v="0"/>
    <n v="2052.6315789473683"/>
    <s v="ARS"/>
    <s v="CC"/>
    <s v="PAMPA"/>
    <x v="0"/>
    <x v="0"/>
    <x v="0"/>
    <s v="DESDE CC GALICIA"/>
    <m/>
    <m/>
    <x v="0"/>
    <m/>
    <s v="24/25"/>
    <m/>
    <m/>
  </r>
  <r>
    <x v="3"/>
    <d v="2025-04-25T00:00:00"/>
    <s v="DATANET EXENTO - 30708920882-G &amp; E S.A."/>
    <m/>
    <n v="0"/>
    <n v="1350000"/>
    <n v="1350000"/>
    <n v="-6278124.8600000031"/>
    <n v="1140"/>
    <n v="0"/>
    <n v="1184.2105263157894"/>
    <s v="ARS"/>
    <s v="CC"/>
    <s v="PAMPA"/>
    <x v="1"/>
    <x v="11"/>
    <x v="14"/>
    <s v="DEPOSITO EF PARA EL PAMPA"/>
    <s v="SANTIAGO ERRECALDE"/>
    <m/>
    <x v="10"/>
    <m/>
    <s v="24/25"/>
    <s v="EFECTIVO Y OTROS ACT LÍQ EQ."/>
    <s v="ACREEDORES CORTO PLAZO"/>
  </r>
  <r>
    <x v="3"/>
    <d v="2025-04-25T00:00:00"/>
    <s v="COBRO PRESTAMO COMERCIAL"/>
    <m/>
    <n v="3721914.98"/>
    <n v="0"/>
    <n v="-3721914.98"/>
    <n v="-10000039.840000004"/>
    <n v="1140"/>
    <n v="3264.8377017543858"/>
    <n v="0"/>
    <s v="ARS"/>
    <s v="CC"/>
    <s v="PAMPA"/>
    <x v="0"/>
    <x v="12"/>
    <x v="16"/>
    <s v="PRESTAMO PAMPA A 6MESES"/>
    <s v="BANCO PAMPA"/>
    <m/>
    <x v="11"/>
    <m/>
    <s v="24/25"/>
    <s v="CREDITOS PAMPA"/>
    <s v="EFECTIVO Y OTROS ACT LÍQ EQ."/>
  </r>
  <r>
    <x v="3"/>
    <d v="2025-04-29T00:00:00"/>
    <s v="TRANSFERENCIA RECIBIDA - 20164045693-ERRECALDE RAUL ALBERTO VAR-"/>
    <m/>
    <n v="0"/>
    <n v="1000"/>
    <n v="1000"/>
    <n v="-9999039.8400000036"/>
    <n v="1140"/>
    <n v="0"/>
    <n v="0.8771929824561403"/>
    <s v="ARS"/>
    <s v="CC"/>
    <s v="PAMPA"/>
    <x v="1"/>
    <x v="2"/>
    <x v="14"/>
    <m/>
    <s v="RAUL"/>
    <m/>
    <x v="8"/>
    <s v="RAUL"/>
    <s v="24/25"/>
    <s v="EFECTIVO Y OTROS ACT LÍQ EQ."/>
    <s v="APORTES DE CAPITAL"/>
  </r>
  <r>
    <x v="3"/>
    <d v="2025-04-29T00:00:00"/>
    <s v="IMP. DEBITOS Y CRED. POR CREDITO"/>
    <m/>
    <n v="6"/>
    <n v="0"/>
    <n v="-6"/>
    <n v="-9999045.8400000036"/>
    <n v="1140"/>
    <n v="5.263157894736842E-3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3"/>
    <d v="2025-04-30T00:00:00"/>
    <s v="IVA PERCEPCION ALICUOTA REDUCIDA"/>
    <m/>
    <n v="6283.35"/>
    <n v="0"/>
    <n v="-6283.35"/>
    <n v="-10005329.190000003"/>
    <n v="1141"/>
    <n v="5.5068799298860656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3"/>
    <d v="2025-04-30T00:00:00"/>
    <s v="INTERESES ACUERDO SALDO DEUDOR"/>
    <m/>
    <n v="418889.79"/>
    <n v="0"/>
    <n v="-418889.79"/>
    <n v="-10424218.980000002"/>
    <n v="1142"/>
    <n v="366.8036690017513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3"/>
    <d v="2025-04-30T00:00:00"/>
    <s v="IMP. DEBITOS Y CRED. POR DEBITO"/>
    <m/>
    <n v="3191.16"/>
    <n v="0"/>
    <n v="-3191.16"/>
    <n v="-10427410.140000002"/>
    <n v="1143"/>
    <n v="2.7919160104986873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3"/>
    <d v="2025-04-30T00:00:00"/>
    <s v="IVA 10,5%"/>
    <m/>
    <n v="43983.43"/>
    <n v="0"/>
    <n v="-43983.43"/>
    <n v="-10471393.570000002"/>
    <n v="1144"/>
    <n v="38.447054195804199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3"/>
    <d v="2025-04-30T00:00:00"/>
    <s v="IVA 10,5%"/>
    <m/>
    <n v="357.2"/>
    <n v="0"/>
    <n v="-357.2"/>
    <n v="-10471750.770000001"/>
    <n v="1145"/>
    <n v="0.31196506550218339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3"/>
    <d v="2025-04-30T00:00:00"/>
    <s v="IVA 10,5%"/>
    <m/>
    <n v="178.6"/>
    <n v="0"/>
    <n v="-178.6"/>
    <n v="-10471929.370000001"/>
    <n v="1146"/>
    <n v="0.15584642233856894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3"/>
    <d v="2025-04-30T00:00:00"/>
    <s v="INTERESES EXCESO DESCUBIERTO"/>
    <m/>
    <n v="1700.96"/>
    <n v="0"/>
    <n v="-1700.96"/>
    <n v="-10473630.330000002"/>
    <n v="1147"/>
    <n v="1.4829642545771577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3"/>
    <d v="2025-04-30T00:00:00"/>
    <s v="IVA"/>
    <m/>
    <n v="7980"/>
    <n v="0"/>
    <n v="-7980"/>
    <n v="-10481610.330000002"/>
    <n v="1148"/>
    <n v="6.9512195121951219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3"/>
    <d v="2025-04-30T00:00:00"/>
    <s v="INTERESES DESCUBIERTO"/>
    <m/>
    <n v="3401.92"/>
    <n v="0"/>
    <n v="-3401.92"/>
    <n v="-10485012.250000002"/>
    <n v="1149"/>
    <n v="2.9607658833768493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3"/>
    <d v="2025-04-30T00:00:00"/>
    <s v="IMPUESTO DE SELLOS"/>
    <m/>
    <n v="9856.32"/>
    <n v="0"/>
    <n v="-9856.32"/>
    <n v="-10494868.570000002"/>
    <n v="1150"/>
    <n v="8.5707130434782606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3"/>
    <d v="2025-04-30T00:00:00"/>
    <s v="IMPUESTO DE SELLOS"/>
    <m/>
    <n v="88.74"/>
    <n v="0"/>
    <n v="-88.74"/>
    <n v="-10494957.310000002"/>
    <n v="1151"/>
    <n v="7.7098175499565588E-2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3"/>
    <d v="2025-04-30T00:00:00"/>
    <s v="COM. MANTENIMIENTO DE CUENTA"/>
    <m/>
    <n v="38000"/>
    <n v="0"/>
    <n v="-38000"/>
    <n v="-10532957.310000002"/>
    <n v="1152"/>
    <n v="32.986111111111114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3"/>
    <d v="2025-04-30T00:00:00"/>
    <s v="IVA PERCEPCION"/>
    <m/>
    <n v="1140"/>
    <n v="0"/>
    <n v="-1140"/>
    <n v="-10534097.310000002"/>
    <n v="1153"/>
    <n v="0.9887250650477016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12T00:00:00"/>
    <s v="DATANET EXENTO - 30708920882-G &amp; E S.A."/>
    <m/>
    <n v="0"/>
    <n v="550000"/>
    <n v="550000"/>
    <n v="-9984097.3100000024"/>
    <n v="1154"/>
    <n v="0"/>
    <n v="476.60311958405543"/>
    <s v="ARS"/>
    <s v="CC"/>
    <s v="PAMPA"/>
    <x v="0"/>
    <x v="0"/>
    <x v="0"/>
    <s v="DESDE CC MACRO"/>
    <m/>
    <m/>
    <x v="0"/>
    <m/>
    <m/>
    <m/>
    <m/>
  </r>
  <r>
    <x v="4"/>
    <d v="2025-05-19T00:00:00"/>
    <s v="IVA PERCEPCION ALICUOTA REDUCIDA"/>
    <m/>
    <n v="4369.68"/>
    <n v="0"/>
    <n v="-4369.68"/>
    <n v="-9988466.9900000021"/>
    <n v="1155"/>
    <n v="3.7832727272727276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19T00:00:00"/>
    <s v="INTERESES ACUERDO SALDO DEUDOR"/>
    <m/>
    <n v="291312.3"/>
    <n v="0"/>
    <n v="-291312.3"/>
    <n v="-10279779.290000003"/>
    <n v="1156"/>
    <n v="252.00025951557092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4"/>
    <d v="2025-05-19T00:00:00"/>
    <s v="IMP. DEBITOS Y CRED. POR DEBITO"/>
    <m/>
    <n v="1995.07"/>
    <n v="0"/>
    <n v="-1995.07"/>
    <n v="-10281774.360000003"/>
    <n v="1157"/>
    <n v="1.7243474503025065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4"/>
    <d v="2025-05-19T00:00:00"/>
    <s v="IVA 10,5%"/>
    <m/>
    <n v="30587.79"/>
    <n v="0"/>
    <n v="-30587.79"/>
    <n v="-10312362.150000002"/>
    <n v="1158"/>
    <n v="26.414326424870467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4"/>
    <d v="2025-05-19T00:00:00"/>
    <s v="IMPUESTO DE SELLOS"/>
    <m/>
    <n v="6242.39"/>
    <n v="0"/>
    <n v="-6242.39"/>
    <n v="-10318604.540000003"/>
    <n v="1159"/>
    <n v="5.386013805004314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4"/>
    <d v="2025-05-20T00:00:00"/>
    <s v="IVA PERCEPCION ALICUOTA REDUCIDA"/>
    <m/>
    <n v="375"/>
    <n v="0"/>
    <n v="-375"/>
    <n v="-10318979.540000003"/>
    <n v="1160"/>
    <n v="0.3232758620689655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20T00:00:00"/>
    <s v="IMP. DEBITOS Y CRED. POR DEBITO"/>
    <m/>
    <n v="168"/>
    <n v="0"/>
    <n v="-168"/>
    <n v="-10319147.540000003"/>
    <n v="1161"/>
    <n v="0.14470284237726097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4"/>
    <d v="2025-05-20T00:00:00"/>
    <s v="IVA 10,5%"/>
    <m/>
    <n v="2625"/>
    <n v="0"/>
    <n v="-2625"/>
    <n v="-10321772.540000003"/>
    <n v="1162"/>
    <n v="2.2590361445783134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4"/>
    <d v="2025-05-20T00:00:00"/>
    <s v="COM. ALTA DE ACUERDO"/>
    <m/>
    <n v="25000"/>
    <n v="0"/>
    <n v="-25000"/>
    <n v="-10346772.540000003"/>
    <n v="1163"/>
    <n v="21.496130696474633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4"/>
    <d v="2025-05-21T00:00:00"/>
    <s v="DATANET EXENTO - 30708920882-G &amp; E S.A."/>
    <m/>
    <n v="0"/>
    <n v="350000"/>
    <n v="350000"/>
    <n v="-9996772.5400000028"/>
    <n v="1164"/>
    <n v="0"/>
    <n v="300.68728522336772"/>
    <s v="ARS"/>
    <s v="CC"/>
    <s v="PAMPA"/>
    <x v="0"/>
    <x v="0"/>
    <x v="0"/>
    <s v="DESDE CC MACRO"/>
    <m/>
    <m/>
    <x v="0"/>
    <m/>
    <m/>
    <m/>
    <m/>
  </r>
  <r>
    <x v="4"/>
    <d v="2025-05-23T00:00:00"/>
    <s v="IMP. DEBITOS Y CRED. POR DEBITO"/>
    <m/>
    <n v="22062.85"/>
    <n v="0"/>
    <n v="-22062.85"/>
    <n v="-10018835.390000002"/>
    <n v="1165"/>
    <n v="18.938068669527897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4"/>
    <d v="2025-05-23T00:00:00"/>
    <s v="DATANET EXENTO - 30708920882-G &amp; E S.A."/>
    <m/>
    <n v="0"/>
    <n v="4000000"/>
    <n v="4000000"/>
    <n v="-6018835.3900000025"/>
    <n v="1166"/>
    <n v="0"/>
    <n v="3430.5317324185248"/>
    <s v="ARS"/>
    <s v="CC"/>
    <s v="PAMPA"/>
    <x v="0"/>
    <x v="0"/>
    <x v="0"/>
    <s v="DESDE CC MACRO"/>
    <m/>
    <m/>
    <x v="0"/>
    <m/>
    <m/>
    <m/>
    <m/>
  </r>
  <r>
    <x v="4"/>
    <d v="2025-05-23T00:00:00"/>
    <s v="COBRO PRESTAMO COMERCIAL"/>
    <m/>
    <n v="3677142.48"/>
    <n v="0"/>
    <n v="-3677142.48"/>
    <n v="-9695977.8700000029"/>
    <n v="1167"/>
    <n v="3150.9361439588688"/>
    <n v="0"/>
    <s v="ARS"/>
    <s v="CC"/>
    <s v="PAMPA"/>
    <x v="0"/>
    <x v="12"/>
    <x v="17"/>
    <s v="PRESTAMO PAMPA A 6MESES"/>
    <s v="BANCO PAMPA"/>
    <m/>
    <x v="11"/>
    <m/>
    <s v="24/25"/>
    <s v="CREDITOS PAMPA"/>
    <s v="EFECTIVO Y OTROS ACT LÍQ EQ."/>
  </r>
  <r>
    <x v="4"/>
    <d v="2025-05-31T00:00:00"/>
    <s v="IVA PERCEPCION ALICUOTA REDUCIDA"/>
    <m/>
    <n v="2698.53"/>
    <n v="0"/>
    <n v="-2698.53"/>
    <n v="-9698676.4000000022"/>
    <n v="1168"/>
    <n v="2.31038527397260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31T00:00:00"/>
    <s v="IVA PERCEPCION ALICUOTA REDUCIDA"/>
    <m/>
    <n v="150.88999999999999"/>
    <n v="0"/>
    <n v="-150.88999999999999"/>
    <n v="-9698827.2900000028"/>
    <n v="1169"/>
    <n v="0.12907613344739091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31T00:00:00"/>
    <s v="IVA PERCEPCION ALICUOTA REDUCIDA"/>
    <m/>
    <n v="75.44"/>
    <n v="0"/>
    <n v="-75.44"/>
    <n v="-9698902.7300000023"/>
    <n v="1170"/>
    <n v="6.4478632478632475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31T00:00:00"/>
    <s v="INTERESES ACUERDO SALDO DEUDOR"/>
    <m/>
    <n v="179902.05"/>
    <n v="0"/>
    <n v="-179902.05"/>
    <n v="-9878804.7800000031"/>
    <n v="1171"/>
    <n v="153.63112724167377"/>
    <n v="0"/>
    <s v="ARS"/>
    <s v="CC"/>
    <s v="PAMPA"/>
    <x v="1"/>
    <x v="6"/>
    <x v="8"/>
    <s v="ACUERDOS"/>
    <m/>
    <m/>
    <x v="1"/>
    <m/>
    <s v="23/24"/>
    <s v="EGRESOS"/>
    <s v="EFECTIVO Y OTROS ACT LÍQ EQ."/>
  </r>
  <r>
    <x v="4"/>
    <d v="2025-05-31T00:00:00"/>
    <s v="IMP. DEBITOS Y CRED. POR DEBITO"/>
    <m/>
    <n v="1617.48"/>
    <n v="0"/>
    <n v="-1617.48"/>
    <n v="-9880422.2600000035"/>
    <n v="1172"/>
    <n v="1.3801023890784982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4"/>
    <d v="2025-05-31T00:00:00"/>
    <s v="IVA 10,5%"/>
    <m/>
    <n v="18889.72"/>
    <n v="0"/>
    <n v="-18889.72"/>
    <n v="-9899311.9800000042"/>
    <n v="1173"/>
    <n v="16.103768115942032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4"/>
    <d v="2025-05-31T00:00:00"/>
    <s v="IVA 10,5%"/>
    <m/>
    <n v="1056.21"/>
    <n v="0"/>
    <n v="-1056.21"/>
    <n v="-9900368.1900000051"/>
    <n v="1174"/>
    <n v="0.89966780238500854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4"/>
    <d v="2025-05-31T00:00:00"/>
    <s v="IVA 10,5%"/>
    <m/>
    <n v="528.1"/>
    <n v="0"/>
    <n v="-528.1"/>
    <n v="-9900896.2900000047"/>
    <n v="1175"/>
    <n v="0.44944680851063834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4"/>
    <d v="2025-05-31T00:00:00"/>
    <s v="INTERESES EXCESO DESCUBIERTO"/>
    <m/>
    <n v="5029.55"/>
    <n v="0"/>
    <n v="-5029.55"/>
    <n v="-9905925.8400000054"/>
    <n v="1176"/>
    <n v="4.2768282312925168"/>
    <n v="0"/>
    <s v="ARS"/>
    <s v="CC"/>
    <s v="PAMPA"/>
    <x v="1"/>
    <x v="6"/>
    <x v="8"/>
    <s v="ACUERDOS"/>
    <m/>
    <m/>
    <x v="1"/>
    <m/>
    <s v="23/24"/>
    <s v="EGRESOS"/>
    <s v="EFECTIVO Y OTROS ACT LÍQ EQ."/>
  </r>
  <r>
    <x v="4"/>
    <d v="2025-05-31T00:00:00"/>
    <s v="IVA"/>
    <m/>
    <n v="7980"/>
    <n v="0"/>
    <n v="-7980"/>
    <n v="-9913905.8400000054"/>
    <n v="1177"/>
    <n v="6.7799490229396771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4"/>
    <d v="2025-05-31T00:00:00"/>
    <s v="INTERESES DESCUBIERTO"/>
    <m/>
    <n v="10059.1"/>
    <n v="0"/>
    <n v="-10059.1"/>
    <n v="-9923964.9400000051"/>
    <n v="1178"/>
    <n v="8.5391341256366733"/>
    <n v="0"/>
    <s v="ARS"/>
    <s v="CC"/>
    <s v="PAMPA"/>
    <x v="1"/>
    <x v="6"/>
    <x v="8"/>
    <s v="ACUERDOS"/>
    <m/>
    <m/>
    <x v="1"/>
    <m/>
    <s v="23/24"/>
    <s v="EGRESOS"/>
    <s v="EFECTIVO Y OTROS ACT LÍQ EQ."/>
  </r>
  <r>
    <x v="4"/>
    <d v="2025-05-31T00:00:00"/>
    <s v="IMPUESTO DE SELLOS"/>
    <m/>
    <n v="3855.04"/>
    <n v="0"/>
    <n v="-3855.04"/>
    <n v="-9927819.9800000042"/>
    <n v="1179"/>
    <n v="3.2697540288379985"/>
    <n v="0"/>
    <s v="ARS"/>
    <s v="CC"/>
    <s v="PAMPA"/>
    <x v="1"/>
    <x v="1"/>
    <x v="1"/>
    <s v="SELLOS"/>
    <s v="RENTAS"/>
    <m/>
    <x v="1"/>
    <m/>
    <s v="23/24"/>
    <s v="EGRESOS"/>
    <s v="EFECTIVO Y OTROS ACT LÍQ EQ."/>
  </r>
  <r>
    <x v="4"/>
    <d v="2025-05-31T00:00:00"/>
    <s v="IMPUESTO DE SELLOS"/>
    <m/>
    <n v="215.55"/>
    <n v="0"/>
    <n v="-215.55"/>
    <n v="-9928035.5300000049"/>
    <n v="1180"/>
    <n v="0.18266949152542375"/>
    <n v="0"/>
    <s v="ARS"/>
    <s v="CC"/>
    <s v="PAMPA"/>
    <x v="1"/>
    <x v="1"/>
    <x v="1"/>
    <s v="SELLOS"/>
    <s v="RENTAS"/>
    <m/>
    <x v="1"/>
    <m/>
    <s v="23/24"/>
    <s v="EGRESOS"/>
    <s v="EFECTIVO Y OTROS ACT LÍQ EQ."/>
  </r>
  <r>
    <x v="4"/>
    <d v="2025-05-31T00:00:00"/>
    <s v="COM. MANTENIMIENTO DE CUENTA"/>
    <m/>
    <n v="38000"/>
    <n v="0"/>
    <n v="-38000"/>
    <n v="-9966035.5300000049"/>
    <n v="1181"/>
    <n v="32.176121930567312"/>
    <n v="0"/>
    <s v="ARS"/>
    <s v="CC"/>
    <s v="PAMPA"/>
    <x v="1"/>
    <x v="7"/>
    <x v="9"/>
    <s v="MANTENIMIENTO"/>
    <m/>
    <m/>
    <x v="1"/>
    <m/>
    <s v="23/24"/>
    <s v="EGRESOS"/>
    <s v="EFECTIVO Y OTROS ACT LÍQ EQ."/>
  </r>
  <r>
    <x v="4"/>
    <d v="2025-05-31T00:00:00"/>
    <s v="IVA PERCEPCION"/>
    <m/>
    <n v="1140"/>
    <n v="0"/>
    <n v="-1140"/>
    <n v="-9967175.5300000049"/>
    <n v="1182"/>
    <n v="0.96446700507614214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5"/>
    <d v="2025-06-12T00:00:00"/>
    <s v="DATANET EXENTO - 30708920882-G &amp; E S.A."/>
    <m/>
    <n v="0"/>
    <n v="10000000"/>
    <n v="10000000"/>
    <n v="32824.469999995083"/>
    <n v="1183"/>
    <n v="0"/>
    <n v="8453.0853761622984"/>
    <s v="ARS"/>
    <s v="CC"/>
    <s v="PAMPA"/>
    <x v="0"/>
    <x v="0"/>
    <x v="0"/>
    <s v="DESDE CC MACRO"/>
    <m/>
    <m/>
    <x v="0"/>
    <m/>
    <m/>
    <m/>
    <m/>
  </r>
  <r>
    <x v="5"/>
    <d v="2025-06-24T00:00:00"/>
    <s v="TRANSF. PROPIA ENVIADA PD - 30708920882-G &amp; E S.A."/>
    <m/>
    <n v="4700000"/>
    <n v="0"/>
    <n v="-4700000"/>
    <n v="-4667175.5300000049"/>
    <n v="1184"/>
    <n v="3969.5945945945946"/>
    <n v="0"/>
    <s v="ARS"/>
    <s v="CC"/>
    <s v="PAMPA"/>
    <x v="0"/>
    <x v="0"/>
    <x v="0"/>
    <s v="HACIA CC MACRO"/>
    <m/>
    <m/>
    <x v="0"/>
    <m/>
    <m/>
    <m/>
    <m/>
  </r>
  <r>
    <x v="5"/>
    <d v="2025-06-24T00:00:00"/>
    <s v="TRANSF. PROPIA ENVIADA PD - 30708920882-G &amp; E S.A."/>
    <m/>
    <n v="5000000"/>
    <n v="0"/>
    <n v="-5000000"/>
    <n v="-9667175.5300000049"/>
    <n v="1185"/>
    <n v="4219.4092827004215"/>
    <n v="0"/>
    <s v="ARS"/>
    <s v="CC"/>
    <s v="PAMPA"/>
    <x v="0"/>
    <x v="0"/>
    <x v="0"/>
    <s v="HACIA CC GALICIA"/>
    <m/>
    <m/>
    <x v="0"/>
    <m/>
    <m/>
    <m/>
    <m/>
  </r>
  <r>
    <x v="5"/>
    <d v="2025-06-25T00:00:00"/>
    <s v="IMP. DEBITOS Y CRED. POR DEBITO"/>
    <m/>
    <n v="22461.29"/>
    <n v="0"/>
    <n v="-22461.29"/>
    <n v="-9689636.820000004"/>
    <n v="1186"/>
    <n v="18.938693086003372"/>
    <n v="0"/>
    <s v="ARS"/>
    <s v="CC"/>
    <s v="PAMPA"/>
    <x v="1"/>
    <x v="1"/>
    <x v="1"/>
    <m/>
    <m/>
    <m/>
    <x v="1"/>
    <m/>
    <s v="23/24"/>
    <s v="EGRESOS"/>
    <s v="EFECTIVO Y OTROS ACT LÍQ EQ."/>
  </r>
  <r>
    <x v="5"/>
    <d v="2025-06-25T00:00:00"/>
    <s v="DATANET EXENTO - 30708920882-G &amp; E S.A."/>
    <m/>
    <n v="0"/>
    <n v="14000000"/>
    <n v="14000000"/>
    <n v="4310363.179999996"/>
    <n v="1187"/>
    <n v="0"/>
    <n v="11794.439764111205"/>
    <s v="ARS"/>
    <s v="CC"/>
    <s v="PAMPA"/>
    <x v="0"/>
    <x v="0"/>
    <x v="0"/>
    <s v="HACIA CC PAMPA"/>
    <m/>
    <m/>
    <x v="0"/>
    <m/>
    <m/>
    <m/>
    <m/>
  </r>
  <r>
    <x v="5"/>
    <d v="2025-06-25T00:00:00"/>
    <s v="COBRO PRESTAMO COMERCIAL"/>
    <m/>
    <n v="3743547.5"/>
    <n v="0"/>
    <n v="-3743547.5"/>
    <n v="566815.67999999598"/>
    <n v="1188"/>
    <n v="3151.1342592592591"/>
    <n v="0"/>
    <s v="ARS"/>
    <s v="CC"/>
    <s v="PAMPA"/>
    <x v="0"/>
    <x v="12"/>
    <x v="18"/>
    <s v="PRESTAMO PAMPA A 6MESES"/>
    <s v="BANCO PAMPA"/>
    <m/>
    <x v="11"/>
    <m/>
    <s v="24/25"/>
    <s v="CREDITOS PAMPA"/>
    <s v="EFECTIVO Y OTROS ACT LÍQ EQ."/>
  </r>
  <r>
    <x v="5"/>
    <d v="2025-06-30T00:00:00"/>
    <s v="IMP. DEBITOS Y CRED. POR DEBITO"/>
    <m/>
    <n v="930"/>
    <n v="0"/>
    <n v="-930"/>
    <n v="565885.67999999598"/>
    <n v="1189"/>
    <n v="0.78216989066442388"/>
    <n v="0"/>
    <s v="ARS"/>
    <s v="CC"/>
    <s v="PAMPA"/>
    <x v="1"/>
    <x v="1"/>
    <x v="1"/>
    <m/>
    <m/>
    <m/>
    <x v="1"/>
    <m/>
    <s v="23/24"/>
    <s v="EGRESOS"/>
    <s v="EFECTIVO Y OTROS ACT LÍQ EQ."/>
  </r>
  <r>
    <x v="5"/>
    <d v="2025-06-30T00:00:00"/>
    <s v="TRANSF. ENVIADA PAMPA DIGITAL "/>
    <m/>
    <n v="155000"/>
    <n v="0"/>
    <n v="-155000"/>
    <n v="410885.67999999598"/>
    <n v="1190"/>
    <n v="130.25210084033614"/>
    <n v="0"/>
    <s v="ARS"/>
    <s v="CC"/>
    <s v="PAMPA"/>
    <x v="1"/>
    <x v="3"/>
    <x v="13"/>
    <s v="PRESTO ADRIAN PARA JORNAL Y SEGURO"/>
    <s v="MARTIN TOLEDO"/>
    <m/>
    <x v="3"/>
    <m/>
    <s v="24/25"/>
    <s v="EGRESOS"/>
    <s v="EFECTIVO Y OTROS ACT LÍQ EQ."/>
  </r>
  <r>
    <x v="5"/>
    <d v="2025-06-30T00:00:00"/>
    <s v="IVA PERCEPCION"/>
    <m/>
    <n v="1140"/>
    <n v="0"/>
    <n v="-1140"/>
    <n v="409745.67999999598"/>
    <n v="1191"/>
    <n v="0.95717884130982367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5"/>
    <d v="2025-06-30T00:00:00"/>
    <s v="COM. MANTENIMIENTO DE CUENTA"/>
    <m/>
    <n v="38000"/>
    <n v="0"/>
    <n v="-38000"/>
    <n v="371745.67999999598"/>
    <n v="1192"/>
    <n v="31.879194630872483"/>
    <n v="0"/>
    <s v="ARS"/>
    <s v="CC"/>
    <s v="PAMPA"/>
    <x v="1"/>
    <x v="7"/>
    <x v="9"/>
    <s v="MANTENIMIENTO"/>
    <m/>
    <m/>
    <x v="1"/>
    <m/>
    <s v="23/24"/>
    <s v="EGRESOS"/>
    <s v="EFECTIVO Y OTROS ACT LÍQ EQ."/>
  </r>
  <r>
    <x v="5"/>
    <d v="2025-06-30T00:00:00"/>
    <s v="IMPUESTO DE SELLOS"/>
    <m/>
    <n v="3922.39"/>
    <n v="0"/>
    <n v="-3922.39"/>
    <n v="367823.28999999596"/>
    <n v="1193"/>
    <n v="3.2878373847443418"/>
    <n v="0"/>
    <s v="ARS"/>
    <s v="CC"/>
    <s v="PAMPA"/>
    <x v="1"/>
    <x v="1"/>
    <x v="1"/>
    <s v="SELLOS"/>
    <s v="RENTAS"/>
    <m/>
    <x v="1"/>
    <m/>
    <s v="23/24"/>
    <s v="EGRESOS"/>
    <s v="EFECTIVO Y OTROS ACT LÍQ EQ."/>
  </r>
  <r>
    <x v="5"/>
    <d v="2025-06-30T00:00:00"/>
    <s v="IVA"/>
    <m/>
    <n v="7980"/>
    <n v="0"/>
    <n v="-7980"/>
    <n v="359843.28999999596"/>
    <n v="1194"/>
    <n v="6.683417085427136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5"/>
    <d v="2025-06-30T00:00:00"/>
    <s v="IVA 10,5%"/>
    <m/>
    <n v="19219.77"/>
    <n v="0"/>
    <n v="-19219.77"/>
    <n v="340623.51999999594"/>
    <n v="1195"/>
    <n v="16.083489539748953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5"/>
    <d v="2025-06-30T00:00:00"/>
    <s v="IMP. DEBITOS Y CRED. POR DEBITO"/>
    <m/>
    <n v="930"/>
    <n v="0"/>
    <n v="-930"/>
    <n v="339693.51999999594"/>
    <n v="1196"/>
    <n v="0.77759197324414719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5"/>
    <d v="2025-06-30T00:00:00"/>
    <s v="IMP. DEBITOS Y CRED. POR DEBITO"/>
    <m/>
    <n v="1536.31"/>
    <n v="0"/>
    <n v="-1536.31"/>
    <n v="338157.20999999595"/>
    <n v="1197"/>
    <n v="1.2834670008354219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5"/>
    <d v="2025-06-30T00:00:00"/>
    <s v="INTERESES ACUERDO SALDO DEUDOR"/>
    <m/>
    <n v="183045.4"/>
    <n v="0"/>
    <n v="-183045.4"/>
    <n v="155111.80999999595"/>
    <n v="1198"/>
    <n v="152.79248747913189"/>
    <n v="0"/>
    <s v="ARS"/>
    <s v="CC"/>
    <s v="PAMPA"/>
    <x v="1"/>
    <x v="6"/>
    <x v="8"/>
    <s v="ACUERDOS"/>
    <m/>
    <m/>
    <x v="1"/>
    <m/>
    <s v="23/24"/>
    <s v="EGRESOS"/>
    <s v="EFECTIVO Y OTROS ACT LÍQ EQ."/>
  </r>
  <r>
    <x v="5"/>
    <d v="2025-06-30T00:00:00"/>
    <s v="IVA PERCEPCION ALICUOTA REDUCIDA"/>
    <m/>
    <n v="2745.68"/>
    <n v="0"/>
    <n v="-2745.68"/>
    <n v="152366.12999999596"/>
    <n v="1199"/>
    <n v="2.2899749791492909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6"/>
    <d v="2025-07-25T00:00:00"/>
    <s v="IMP. DEBITOS Y CRED. POR DEBITO"/>
    <m/>
    <n v="22144"/>
    <n v="0"/>
    <n v="-22144"/>
    <n v="130222.12999999596"/>
    <n v="1200"/>
    <n v="18.453333333333333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6"/>
    <d v="2025-07-25T00:00:00"/>
    <s v="DATANET EXENTO - 07089208823-G &amp; E SA"/>
    <m/>
    <n v="0"/>
    <n v="3600000"/>
    <n v="3600000"/>
    <n v="3730222.1299999962"/>
    <n v="1201"/>
    <n v="0"/>
    <n v="2997.5020815986677"/>
    <s v="ARS"/>
    <s v="CC"/>
    <s v="PAMPA"/>
    <x v="0"/>
    <x v="0"/>
    <x v="0"/>
    <s v="DESDE CC MACRO"/>
    <m/>
    <m/>
    <x v="0"/>
    <m/>
    <s v="24/25"/>
    <m/>
    <m/>
  </r>
  <r>
    <x v="6"/>
    <d v="2025-07-25T00:00:00"/>
    <s v="COBRO PRESTAMO COMERCIAL"/>
    <m/>
    <n v="3690666.26"/>
    <n v="0"/>
    <n v="-3690666.26"/>
    <n v="39555.869999996386"/>
    <n v="1202"/>
    <n v="3070.4378202995008"/>
    <n v="0"/>
    <s v="ARS"/>
    <s v="CC"/>
    <s v="PAMPA"/>
    <x v="0"/>
    <x v="12"/>
    <x v="19"/>
    <s v="PRESTAMO PAMPA A 6MESES"/>
    <s v="BANCO PAMPA"/>
    <m/>
    <x v="11"/>
    <m/>
    <s v="24/25"/>
    <s v="CREDITOS PAMPA"/>
    <s v="EFECTIVO Y OTROS ACT LÍQ EQ."/>
  </r>
  <r>
    <x v="6"/>
    <d v="2025-07-31T00:00:00"/>
    <s v="DATANET EXENTO - 07089208823-G &amp; E SA"/>
    <m/>
    <n v="0"/>
    <n v="8000000"/>
    <n v="8000000"/>
    <n v="8039555.8699999964"/>
    <n v="1203"/>
    <n v="0"/>
    <n v="6650.0415627597677"/>
    <s v="ARS"/>
    <s v="CC"/>
    <s v="PAMPA"/>
    <x v="0"/>
    <x v="0"/>
    <x v="0"/>
    <s v="DESDE CC MACRO"/>
    <m/>
    <m/>
    <x v="0"/>
    <m/>
    <s v="24/25"/>
    <m/>
    <m/>
  </r>
  <r>
    <x v="6"/>
    <d v="2025-07-31T00:00:00"/>
    <s v="TRANSF. PROPIA ENVIADA PD - 30708920882-G &amp; E S.A."/>
    <m/>
    <n v="8000000"/>
    <n v="0"/>
    <n v="-8000000"/>
    <n v="39555.869999996386"/>
    <n v="1204"/>
    <n v="6644.5182724252491"/>
    <n v="0"/>
    <s v="ARS"/>
    <s v="CC"/>
    <s v="PAMPA"/>
    <x v="0"/>
    <x v="0"/>
    <x v="0"/>
    <s v="HACIA CC MACRO"/>
    <m/>
    <m/>
    <x v="0"/>
    <m/>
    <s v="24/25"/>
    <m/>
    <m/>
  </r>
  <r>
    <x v="6"/>
    <d v="2025-07-31T00:00:00"/>
    <s v="IVA"/>
    <m/>
    <n v="7980"/>
    <n v="0"/>
    <n v="-7980"/>
    <n v="31575.869999996386"/>
    <n v="1250"/>
    <n v="6.3840000000000003"/>
    <n v="0"/>
    <s v="ARS"/>
    <s v="CC"/>
    <s v="PAMPA"/>
    <x v="1"/>
    <x v="1"/>
    <x v="1"/>
    <s v="IVA"/>
    <s v="ARCA"/>
    <m/>
    <x v="1"/>
    <m/>
    <s v="24/25"/>
    <s v="EGRESOS"/>
    <s v="EFECTIVO Y OTROS ACT LÍQ EQ."/>
  </r>
  <r>
    <x v="6"/>
    <d v="2025-07-31T00:00:00"/>
    <s v="COM. MANTENIMIENTO DE CUENTA"/>
    <m/>
    <n v="38000"/>
    <n v="0"/>
    <n v="-38000"/>
    <n v="-6424.1300000036135"/>
    <n v="1250"/>
    <n v="30.4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6"/>
    <d v="2025-07-31T00:00:00"/>
    <s v="IVA PERCEPCION"/>
    <m/>
    <n v="1140"/>
    <n v="0"/>
    <n v="-1140"/>
    <n v="-7564.1300000036135"/>
    <n v="1250"/>
    <n v="0.9120000000000000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7"/>
    <d v="2025-08-06T00:00:00"/>
    <s v="DATANET EXENTO - 07089208823-G &amp; E SA"/>
    <m/>
    <n v="0"/>
    <n v="20000"/>
    <n v="20000"/>
    <n v="12435.869999996386"/>
    <n v="1290"/>
    <n v="0"/>
    <n v="15.503875968992247"/>
    <s v="ARS"/>
    <s v="CC"/>
    <s v="PAMPA"/>
    <x v="0"/>
    <x v="0"/>
    <x v="0"/>
    <s v="DESDE CC MACRO"/>
    <m/>
    <m/>
    <x v="0"/>
    <m/>
    <s v="24/25"/>
    <m/>
    <m/>
  </r>
  <r>
    <x v="7"/>
    <d v="2025-08-25T00:00:00"/>
    <s v="IMP. DEBITOS Y CRED. POR DEBITO"/>
    <m/>
    <n v="22121.43"/>
    <n v="0"/>
    <n v="-22121.43"/>
    <n v="-9685.5600000036138"/>
    <n v="1370"/>
    <n v="16.147029197080293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7"/>
    <d v="2025-08-25T00:00:00"/>
    <s v="DATANET EXENTO - 07089208823-G &amp; E SA"/>
    <m/>
    <n v="0"/>
    <n v="3700000"/>
    <n v="3700000"/>
    <n v="3690314.4399999962"/>
    <n v="1370"/>
    <n v="0"/>
    <n v="2700.7299270072995"/>
    <s v="ARS"/>
    <s v="CC"/>
    <s v="PAMPA"/>
    <x v="0"/>
    <x v="0"/>
    <x v="0"/>
    <s v="DESDE CC MACRO"/>
    <m/>
    <m/>
    <x v="0"/>
    <m/>
    <s v="24/25"/>
    <m/>
    <m/>
  </r>
  <r>
    <x v="7"/>
    <d v="2025-08-25T00:00:00"/>
    <s v="COBRO PRESTAMO COMERCIAL"/>
    <m/>
    <n v="3686904.33"/>
    <n v="0"/>
    <n v="-3686904.33"/>
    <n v="3410.1099999961443"/>
    <n v="1370"/>
    <n v="2691.1710437956203"/>
    <n v="0"/>
    <s v="ARS"/>
    <s v="CC"/>
    <s v="PAMPA"/>
    <x v="0"/>
    <x v="12"/>
    <x v="20"/>
    <s v="PRESTAMO PAMPA A 6MESES"/>
    <s v="BANCO PAMPA"/>
    <m/>
    <x v="11"/>
    <m/>
    <s v="24/25"/>
    <s v="CREDITOS PAMPA"/>
    <s v="EFECTIVO Y OTROS ACT LÍQ EQ."/>
  </r>
  <r>
    <x v="7"/>
    <d v="2025-08-29T00:00:00"/>
    <s v="TRANSF. PROPIA ENVIADA PD - 30708920882-G &amp; E S.A."/>
    <m/>
    <n v="6000000"/>
    <n v="0"/>
    <n v="-6000000"/>
    <n v="-5996589.8900000043"/>
    <n v="1370"/>
    <n v="4379.5620437956204"/>
    <n v="0"/>
    <s v="ARS"/>
    <s v="CC"/>
    <s v="PAMPA"/>
    <x v="0"/>
    <x v="0"/>
    <x v="0"/>
    <s v="HACIA CC NACION"/>
    <m/>
    <m/>
    <x v="0"/>
    <m/>
    <s v="24/25"/>
    <m/>
    <m/>
  </r>
  <r>
    <x v="7"/>
    <d v="2025-08-29T00:00:00"/>
    <s v="TRANSFERENCIA RECIBIDA - 30708920882-G &amp; E S.A. VAR-"/>
    <m/>
    <n v="0"/>
    <n v="2000000"/>
    <n v="2000000"/>
    <n v="-3996589.8900000043"/>
    <n v="1370"/>
    <n v="0"/>
    <n v="1459.8540145985401"/>
    <s v="ARS"/>
    <s v="CC"/>
    <s v="PAMPA"/>
    <x v="0"/>
    <x v="0"/>
    <x v="0"/>
    <s v="DESDE CC NACION"/>
    <m/>
    <m/>
    <x v="0"/>
    <m/>
    <m/>
    <m/>
    <m/>
  </r>
  <r>
    <x v="7"/>
    <d v="2025-08-31T00:00:00"/>
    <s v="IVA PERCEPCION ALICUOTA REDUCIDA"/>
    <m/>
    <n v="424.47"/>
    <n v="0"/>
    <n v="-424.47"/>
    <n v="-3997014.3600000045"/>
    <n v="1370"/>
    <n v="0.30983211678832118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7"/>
    <d v="2025-08-31T00:00:00"/>
    <s v="INTERESES ACUERDO SALDO DEUDOR"/>
    <m/>
    <n v="28298.29"/>
    <n v="0"/>
    <n v="-28298.29"/>
    <n v="-4025312.6500000046"/>
    <n v="1370"/>
    <n v="20.655686131386862"/>
    <n v="0"/>
    <s v="ARS"/>
    <s v="CC"/>
    <s v="PAMPA"/>
    <x v="1"/>
    <x v="6"/>
    <x v="8"/>
    <m/>
    <m/>
    <m/>
    <x v="1"/>
    <m/>
    <s v="24/25"/>
    <s v="EGRESOS"/>
    <s v="EFECTIVO Y OTROS ACT LÍQ EQ."/>
  </r>
  <r>
    <x v="7"/>
    <d v="2025-08-31T00:00:00"/>
    <s v="IMP. DEBITOS Y CRED. POR DEBITO"/>
    <m/>
    <n v="475.26"/>
    <n v="0"/>
    <n v="-475.26"/>
    <n v="-4025787.9100000043"/>
    <n v="1370"/>
    <n v="0.34690510948905107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7"/>
    <d v="2025-08-31T00:00:00"/>
    <s v="IVA 10,5%"/>
    <m/>
    <n v="2971.32"/>
    <n v="0"/>
    <n v="-2971.32"/>
    <n v="-4028759.2300000042"/>
    <n v="1370"/>
    <n v="2.1688467153284674"/>
    <n v="0"/>
    <s v="ARS"/>
    <s v="CC"/>
    <s v="PAMPA"/>
    <x v="1"/>
    <x v="1"/>
    <x v="1"/>
    <s v="IVA"/>
    <m/>
    <m/>
    <x v="1"/>
    <m/>
    <s v="24/25"/>
    <s v="EGRESOS"/>
    <s v="EFECTIVO Y OTROS ACT LÍQ EQ."/>
  </r>
  <r>
    <x v="7"/>
    <d v="2025-08-31T00:00:00"/>
    <s v="IVA"/>
    <m/>
    <n v="7980"/>
    <n v="0"/>
    <n v="-7980"/>
    <n v="-4036739.2300000042"/>
    <n v="1370"/>
    <n v="5.8248175182481754"/>
    <n v="0"/>
    <s v="ARS"/>
    <s v="CC"/>
    <s v="PAMPA"/>
    <x v="1"/>
    <x v="1"/>
    <x v="1"/>
    <s v="IVA"/>
    <m/>
    <m/>
    <x v="1"/>
    <m/>
    <s v="24/25"/>
    <s v="EGRESOS"/>
    <s v="EFECTIVO Y OTROS ACT LÍQ EQ."/>
  </r>
  <r>
    <x v="7"/>
    <d v="2025-08-31T00:00:00"/>
    <s v="IMPUESTO DE SELLOS"/>
    <m/>
    <n v="395.26"/>
    <n v="0"/>
    <n v="-395.26"/>
    <n v="-4037134.4900000039"/>
    <n v="1370"/>
    <n v="0.28851094890510948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7"/>
    <d v="2025-08-31T00:00:00"/>
    <s v="COM. MANTENIMIENTO DE CUENTA"/>
    <m/>
    <n v="38000"/>
    <n v="0"/>
    <n v="-38000"/>
    <n v="-4075134.4900000039"/>
    <n v="1370"/>
    <n v="27.737226277372262"/>
    <n v="0"/>
    <s v="ARS"/>
    <s v="CC"/>
    <s v="PAMPA"/>
    <x v="1"/>
    <x v="7"/>
    <x v="9"/>
    <m/>
    <m/>
    <m/>
    <x v="1"/>
    <m/>
    <s v="24/25"/>
    <s v="EGRESOS"/>
    <s v="EFECTIVO Y OTROS ACT LÍQ EQ."/>
  </r>
  <r>
    <x v="7"/>
    <d v="2025-08-31T00:00:00"/>
    <s v="IVA PERCEPCION"/>
    <m/>
    <n v="1140"/>
    <n v="0"/>
    <n v="-1140"/>
    <n v="-4076274.4900000039"/>
    <n v="1370"/>
    <n v="0.83211678832116787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8"/>
    <d v="2025-09-03T00:00:00"/>
    <s v="TRANSF. PROPIA ENVIADA PD - 30708920882-G &amp; E S.A."/>
    <m/>
    <n v="250000"/>
    <n v="0"/>
    <n v="-250000"/>
    <n v="-4326274.4900000039"/>
    <n v="1370"/>
    <n v="182.48175182481751"/>
    <n v="0"/>
    <s v="ARS"/>
    <s v="CC"/>
    <s v="PAMPA"/>
    <x v="0"/>
    <x v="0"/>
    <x v="0"/>
    <s v="HACIA CC MACRO"/>
    <m/>
    <m/>
    <x v="0"/>
    <m/>
    <s v="25/26"/>
    <m/>
    <m/>
  </r>
  <r>
    <x v="8"/>
    <d v="2025-09-04T00:00:00"/>
    <s v="TRANSF. PROPIA ENVIADA PD - 30708920882-G &amp; E S.A."/>
    <m/>
    <n v="20000"/>
    <n v="0"/>
    <n v="-20000"/>
    <n v="-4346274.4900000039"/>
    <n v="1371"/>
    <n v="14.587892049598834"/>
    <n v="0"/>
    <s v="ARS"/>
    <s v="CC"/>
    <s v="PAMPA"/>
    <x v="0"/>
    <x v="0"/>
    <x v="0"/>
    <s v="HACIA CC MACRO"/>
    <m/>
    <m/>
    <x v="0"/>
    <m/>
    <s v="25/26"/>
    <m/>
    <m/>
  </r>
  <r>
    <x v="8"/>
    <d v="2025-09-09T00:00:00"/>
    <s v="TRANSF. PROPIA ENVIADA PD - 30708920882-G &amp; E S.A."/>
    <m/>
    <n v="2500000"/>
    <n v="0"/>
    <n v="-2500000"/>
    <n v="-6846274.4900000039"/>
    <n v="1410"/>
    <n v="1773.049645390071"/>
    <n v="0"/>
    <s v="ARS"/>
    <s v="CC"/>
    <s v="PAMPA"/>
    <x v="0"/>
    <x v="0"/>
    <x v="0"/>
    <s v="HACIA CC MACRO"/>
    <m/>
    <m/>
    <x v="0"/>
    <m/>
    <s v="25/26"/>
    <m/>
    <m/>
  </r>
  <r>
    <x v="8"/>
    <d v="2025-09-10T00:00:00"/>
    <s v="DATANET EXENTO - 07089208823-G E S A"/>
    <m/>
    <n v="0"/>
    <n v="7000000"/>
    <n v="7000000"/>
    <n v="153725.50999999605"/>
    <n v="1449"/>
    <n v="0"/>
    <n v="4830.9178743961356"/>
    <s v="ARS"/>
    <s v="CC"/>
    <s v="PAMPA"/>
    <x v="0"/>
    <x v="0"/>
    <x v="0"/>
    <s v="DESDE CC GALICIA"/>
    <m/>
    <m/>
    <x v="0"/>
    <m/>
    <s v="25/26"/>
    <m/>
    <m/>
  </r>
  <r>
    <x v="8"/>
    <d v="2025-09-16T00:00:00"/>
    <s v="TRANSF. PROPIA ENVIADA PD - 30708920882-G &amp; E S.A."/>
    <m/>
    <n v="3400000"/>
    <n v="0"/>
    <n v="-3400000"/>
    <n v="-3246274.4900000039"/>
    <n v="1488"/>
    <n v="2284.9462365591398"/>
    <n v="0"/>
    <s v="ARS"/>
    <s v="CC"/>
    <s v="PAMPA"/>
    <x v="0"/>
    <x v="0"/>
    <x v="0"/>
    <s v="HACIA CC MACRO"/>
    <m/>
    <m/>
    <x v="0"/>
    <m/>
    <s v="25/26"/>
    <m/>
    <m/>
  </r>
  <r>
    <x v="8"/>
    <d v="2025-09-17T00:00:00"/>
    <s v="TRANSF. PROPIA ENVIADA PD - 30708920882-G &amp; E S.A."/>
    <m/>
    <n v="1200000"/>
    <n v="0"/>
    <n v="-1200000"/>
    <n v="-4446274.4900000039"/>
    <n v="1488"/>
    <n v="806.45161290322585"/>
    <n v="0"/>
    <s v="ARS"/>
    <s v="CC"/>
    <s v="PAMPA"/>
    <x v="0"/>
    <x v="0"/>
    <x v="0"/>
    <s v="HACIA CC MACRO"/>
    <m/>
    <m/>
    <x v="0"/>
    <m/>
    <s v="25/26"/>
    <m/>
    <m/>
  </r>
  <r>
    <x v="8"/>
    <d v="2025-09-18T00:00:00"/>
    <s v="IMP. DEBITOS Y CRED. POR DEBITO"/>
    <m/>
    <n v="961.03"/>
    <n v="0"/>
    <n v="-961.03"/>
    <n v="-4447235.5200000042"/>
    <n v="1488"/>
    <n v="0.64585349462365593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8"/>
    <d v="2025-09-18T00:00:00"/>
    <s v="TRANSF. ENVIADA PAMPA DIGITAL - 20170457715-BECERRA ADRIAN OSCAR"/>
    <m/>
    <n v="160172"/>
    <n v="0"/>
    <n v="-160172"/>
    <n v="-4607407.5200000042"/>
    <n v="1488"/>
    <n v="107.64247311827957"/>
    <n v="0"/>
    <s v="ARS"/>
    <s v="CC"/>
    <s v="PAMPA"/>
    <x v="1"/>
    <x v="2"/>
    <x v="2"/>
    <s v="PAGO TELEFONO "/>
    <s v="RAUL"/>
    <m/>
    <x v="2"/>
    <s v="RAUL"/>
    <s v="24/25"/>
    <s v="FUTURAS UT. ADL RAUL"/>
    <s v="EFECTIVO Y OTROS ACT LÍQ EQ."/>
  </r>
  <r>
    <x v="8"/>
    <d v="2025-09-23T00:00:00"/>
    <s v="TRANSF. PROPIA ENVIADA PD - 30708920882-G &amp; E S.A."/>
    <m/>
    <n v="3000000"/>
    <n v="0"/>
    <n v="-3000000"/>
    <n v="-7607407.5200000042"/>
    <n v="1488"/>
    <n v="2016.1290322580646"/>
    <n v="0"/>
    <s v="ARS"/>
    <s v="CC"/>
    <s v="PAMPA"/>
    <x v="0"/>
    <x v="0"/>
    <x v="0"/>
    <s v="HACIA CC MACRO"/>
    <m/>
    <m/>
    <x v="0"/>
    <m/>
    <s v="25/26"/>
    <m/>
    <m/>
  </r>
  <r>
    <x v="8"/>
    <d v="2025-09-24T00:00:00"/>
    <s v="TRANSF. PROPIA ENVIADA PD - 30708920882-G &amp; E S.A."/>
    <m/>
    <n v="2350000"/>
    <n v="0"/>
    <n v="-2350000"/>
    <n v="-9957407.5200000033"/>
    <n v="1488"/>
    <n v="1579.3010752688172"/>
    <n v="0"/>
    <s v="ARS"/>
    <s v="CC"/>
    <s v="PAMPA"/>
    <x v="0"/>
    <x v="0"/>
    <x v="0"/>
    <s v="HACIA CC MACRO"/>
    <m/>
    <m/>
    <x v="0"/>
    <m/>
    <s v="25/26"/>
    <m/>
    <m/>
  </r>
  <r>
    <x v="8"/>
    <d v="2025-09-25T00:00:00"/>
    <s v="TRANSFERENCIA RECIBIDA - 20416806102-ERRECALDE SANTIAGO VAR-0041680610"/>
    <m/>
    <n v="0"/>
    <n v="600000"/>
    <n v="600000"/>
    <n v="-9357407.5200000033"/>
    <n v="1488"/>
    <n v="0"/>
    <n v="403.22580645161293"/>
    <s v="ARS"/>
    <s v="CC"/>
    <s v="PAMPA"/>
    <x v="1"/>
    <x v="11"/>
    <x v="14"/>
    <s v="TRANSF PARA EL CRED PAMPA"/>
    <s v="SANTIAGO ERRECALDE"/>
    <m/>
    <x v="10"/>
    <m/>
    <s v="24/25"/>
    <s v="EFECTIVO Y OTROS ACT LÍQ EQ."/>
    <s v="ACREEDORES CORTO PLAZO"/>
  </r>
  <r>
    <x v="8"/>
    <d v="2025-09-25T00:00:00"/>
    <s v="IMP. DEBITOS Y CRED. POR DEBITO"/>
    <m/>
    <n v="22032.65"/>
    <n v="0"/>
    <n v="-22032.65"/>
    <n v="-9379440.1700000037"/>
    <n v="1488"/>
    <n v="14.806888440860217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8"/>
    <d v="2025-09-25T00:00:00"/>
    <s v="IMP. DEBITOS Y CRED. POR CREDITO"/>
    <m/>
    <n v="3600"/>
    <n v="0"/>
    <n v="-3600"/>
    <n v="-9383040.1700000037"/>
    <n v="1488"/>
    <n v="2.4193548387096775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8"/>
    <d v="2025-09-25T00:00:00"/>
    <s v="DATANET EXENTO - 07089208823-G E S A"/>
    <m/>
    <n v="0"/>
    <n v="100000"/>
    <n v="100000"/>
    <n v="-9283040.1700000037"/>
    <n v="1488"/>
    <n v="0"/>
    <n v="67.204301075268816"/>
    <s v="ARS"/>
    <s v="CC"/>
    <s v="PAMPA"/>
    <x v="0"/>
    <x v="0"/>
    <x v="0"/>
    <s v="DESDE CC GALICIA"/>
    <m/>
    <m/>
    <x v="0"/>
    <m/>
    <s v="25/26"/>
    <m/>
    <m/>
  </r>
  <r>
    <x v="8"/>
    <d v="2025-09-25T00:00:00"/>
    <s v="TRANSFERENCIA RECIBIDA - 30708920882-G &amp; E S.A. VAR-"/>
    <m/>
    <n v="0"/>
    <n v="3000000"/>
    <n v="3000000"/>
    <n v="-6283040.1700000037"/>
    <n v="1488"/>
    <n v="0"/>
    <n v="2016.1290322580646"/>
    <s v="ARS"/>
    <s v="CC"/>
    <s v="PAMPA"/>
    <x v="0"/>
    <x v="0"/>
    <x v="0"/>
    <s v="DESDE CC NACION"/>
    <m/>
    <m/>
    <x v="0"/>
    <m/>
    <s v="25/26"/>
    <m/>
    <m/>
  </r>
  <r>
    <x v="8"/>
    <d v="2025-09-25T00:00:00"/>
    <s v="COBRO PRESTAMO COMERCIAL"/>
    <m/>
    <n v="3672109.11"/>
    <n v="0"/>
    <n v="-3672109.11"/>
    <n v="-9955149.2800000031"/>
    <n v="1488"/>
    <n v="2467.8152620967739"/>
    <n v="0"/>
    <s v="ARS"/>
    <s v="CC"/>
    <s v="PAMPA"/>
    <x v="0"/>
    <x v="12"/>
    <x v="21"/>
    <s v="PRESTAMO PAMPA A 6MESES"/>
    <s v="BANCO PAMPA"/>
    <m/>
    <x v="11"/>
    <m/>
    <s v="24/25"/>
    <s v="CREDITOS PAMPA"/>
    <s v="EFECTIVO Y OTROS ACT LÍQ EQ."/>
  </r>
  <r>
    <x v="8"/>
    <d v="2025-09-30T00:00:00"/>
    <s v="IVA PERCEPCION ALICUOTA REDUCIDA"/>
    <m/>
    <n v="5145.63"/>
    <n v="0"/>
    <n v="-5145.63"/>
    <n v="-9960294.9100000039"/>
    <n v="1488"/>
    <n v="3.4580846774193548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8"/>
    <d v="2025-09-30T00:00:00"/>
    <s v="INTERESES ACUERDO SALDO DEUDOR"/>
    <m/>
    <n v="343042.26"/>
    <n v="0"/>
    <n v="-343042.26"/>
    <n v="-10303337.170000004"/>
    <n v="1488"/>
    <n v="230.53915322580644"/>
    <n v="0"/>
    <s v="ARS"/>
    <s v="CC"/>
    <s v="PAMPA"/>
    <x v="1"/>
    <x v="6"/>
    <x v="8"/>
    <m/>
    <m/>
    <m/>
    <x v="1"/>
    <m/>
    <s v="24/25"/>
    <s v="EGRESOS"/>
    <s v="EFECTIVO Y OTROS ACT LÍQ EQ."/>
  </r>
  <r>
    <x v="8"/>
    <d v="2025-09-30T00:00:00"/>
    <s v="IMP. DEBITOS Y CRED. POR DEBITO"/>
    <m/>
    <n v="2706.64"/>
    <n v="0"/>
    <n v="-2706.64"/>
    <n v="-10306043.810000004"/>
    <n v="1488"/>
    <n v="1.818978494623655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8"/>
    <d v="2025-09-30T00:00:00"/>
    <s v="IVA 10,5%"/>
    <m/>
    <n v="36019.440000000002"/>
    <n v="0"/>
    <n v="-36019.440000000002"/>
    <n v="-10342063.250000004"/>
    <n v="1488"/>
    <n v="24.206612903225807"/>
    <n v="0"/>
    <s v="ARS"/>
    <s v="CC"/>
    <s v="PAMPA"/>
    <x v="1"/>
    <x v="1"/>
    <x v="1"/>
    <s v="IVA REDUCCION"/>
    <m/>
    <m/>
    <x v="1"/>
    <m/>
    <s v="24/25"/>
    <s v="EGRESOS"/>
    <s v="EFECTIVO Y OTROS ACT LÍQ EQ."/>
  </r>
  <r>
    <x v="8"/>
    <d v="2025-09-30T00:00:00"/>
    <s v="IVA"/>
    <m/>
    <n v="10500"/>
    <n v="0"/>
    <n v="-10500"/>
    <n v="-10352563.250000004"/>
    <n v="1488"/>
    <n v="7.056451612903226"/>
    <n v="0"/>
    <s v="ARS"/>
    <s v="CC"/>
    <s v="PAMPA"/>
    <x v="1"/>
    <x v="1"/>
    <x v="1"/>
    <s v="IVA"/>
    <m/>
    <m/>
    <x v="1"/>
    <m/>
    <s v="24/25"/>
    <s v="EGRESOS"/>
    <s v="EFECTIVO Y OTROS ACT LÍQ EQ."/>
  </r>
  <r>
    <x v="8"/>
    <d v="2025-09-30T00:00:00"/>
    <s v="IMPUESTO DE SELLOS"/>
    <m/>
    <n v="4900.8100000000004"/>
    <n v="0"/>
    <n v="-4900.8100000000004"/>
    <n v="-10357464.060000004"/>
    <n v="1488"/>
    <n v="3.2935551075268821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8"/>
    <d v="2025-09-30T00:00:00"/>
    <s v="COM. MANTENIMIENTO DE CUENTA"/>
    <m/>
    <n v="50000"/>
    <n v="0"/>
    <n v="-50000"/>
    <n v="-10407464.060000004"/>
    <n v="1488"/>
    <n v="33.602150537634408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8"/>
    <d v="2025-09-30T00:00:00"/>
    <s v="IVA PERCEPCION"/>
    <m/>
    <n v="1500"/>
    <n v="0"/>
    <n v="-1500"/>
    <n v="-10408964.060000004"/>
    <n v="1488"/>
    <n v="1.008064516129032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13T00:00:00"/>
    <s v="DATANET EXENTO - 07089208823-G &amp; E SA"/>
    <m/>
    <n v="0"/>
    <n v="500000"/>
    <n v="500000"/>
    <n v="-9908964.0600000042"/>
    <n v="1488"/>
    <n v="0"/>
    <n v="336.02150537634407"/>
    <s v="ARS"/>
    <s v="CC"/>
    <s v="PAMPA"/>
    <x v="0"/>
    <x v="0"/>
    <x v="0"/>
    <s v="HACIA CC GALICIA"/>
    <m/>
    <m/>
    <x v="0"/>
    <m/>
    <s v="24/25"/>
    <m/>
    <m/>
  </r>
  <r>
    <x v="9"/>
    <d v="2025-10-17T00:00:00"/>
    <s v="DATANET EXENTO - 07089208823-G &amp; E SA"/>
    <m/>
    <n v="0"/>
    <n v="9000000"/>
    <n v="9000000"/>
    <n v="-908964.06000000425"/>
    <n v="1488"/>
    <n v="0"/>
    <n v="6048.3870967741932"/>
    <s v="ARS"/>
    <s v="CC"/>
    <s v="PAMPA"/>
    <x v="0"/>
    <x v="0"/>
    <x v="0"/>
    <s v="HACIA CC MACRO"/>
    <m/>
    <m/>
    <x v="0"/>
    <m/>
    <s v="24/25"/>
    <m/>
    <m/>
  </r>
  <r>
    <x v="9"/>
    <d v="2025-10-20T00:00:00"/>
    <s v="IVA PERCEPCION ALICUOTA REDUCIDA"/>
    <m/>
    <n v="715.5"/>
    <n v="0"/>
    <n v="-715.5"/>
    <n v="-909679.56000000425"/>
    <n v="1488"/>
    <n v="0.48084677419354838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20T00:00:00"/>
    <s v="IMP. DEBITOS Y CRED. POR DEBITO"/>
    <m/>
    <n v="320.54000000000002"/>
    <n v="0"/>
    <n v="-320.54000000000002"/>
    <n v="-910000.10000000428"/>
    <n v="1488"/>
    <n v="0.21541666666666667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20T00:00:00"/>
    <s v="IVA 10,5%"/>
    <m/>
    <n v="5008.5"/>
    <n v="0"/>
    <n v="-5008.5"/>
    <n v="-915008.60000000428"/>
    <n v="1488"/>
    <n v="3.3659274193548385"/>
    <n v="0"/>
    <s v="ARS"/>
    <s v="CC"/>
    <s v="PAMPA"/>
    <x v="1"/>
    <x v="1"/>
    <x v="1"/>
    <s v="IVA REDUCCION"/>
    <m/>
    <m/>
    <x v="1"/>
    <m/>
    <s v="24/25"/>
    <s v="EGRESOS"/>
    <s v="EFECTIVO Y OTROS ACT LÍQ EQ."/>
  </r>
  <r>
    <x v="9"/>
    <d v="2025-10-20T00:00:00"/>
    <s v="IMPUESTO DE SELLOS"/>
    <m/>
    <n v="5369.43"/>
    <n v="0"/>
    <n v="-5369.43"/>
    <n v="-920378.03000000434"/>
    <n v="1488"/>
    <n v="3.6084879032258068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9"/>
    <d v="2025-10-20T00:00:00"/>
    <s v="COM. ALTA DE ACUERDO"/>
    <m/>
    <n v="47700"/>
    <n v="0"/>
    <n v="-47700"/>
    <n v="-968078.03000000434"/>
    <n v="1488"/>
    <n v="32.056451612903224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9"/>
    <d v="2025-10-23T00:00:00"/>
    <s v="DATANET EXENTO - 07089208823-G &amp; E SA"/>
    <m/>
    <n v="0"/>
    <n v="1400000"/>
    <n v="1400000"/>
    <n v="431921.96999999566"/>
    <n v="1488"/>
    <n v="0"/>
    <n v="940.86021505376345"/>
    <s v="ARS"/>
    <s v="CC"/>
    <s v="PAMPA"/>
    <x v="0"/>
    <x v="0"/>
    <x v="0"/>
    <s v="DESDE CC MACRO"/>
    <m/>
    <m/>
    <x v="0"/>
    <m/>
    <s v="24/25"/>
    <m/>
    <m/>
  </r>
  <r>
    <x v="9"/>
    <d v="2025-10-24T00:00:00"/>
    <s v="TRANSF. PROPIA ENVIADA PD - 30708920882-G &amp; E S.A."/>
    <m/>
    <n v="14000000"/>
    <n v="0"/>
    <n v="-14000000"/>
    <n v="-13568078.030000005"/>
    <n v="1488"/>
    <n v="9408.6021505376339"/>
    <n v="0"/>
    <s v="ARS"/>
    <s v="CC"/>
    <s v="PAMPA"/>
    <x v="0"/>
    <x v="0"/>
    <x v="0"/>
    <s v="HACIA CC MACRO"/>
    <m/>
    <m/>
    <x v="0"/>
    <m/>
    <s v="24/25"/>
    <m/>
    <m/>
  </r>
  <r>
    <x v="9"/>
    <d v="2025-10-24T00:00:00"/>
    <s v="IMP. DEBITOS Y CRED. POR DEBITO"/>
    <m/>
    <n v="49.11"/>
    <n v="0"/>
    <n v="-49.11"/>
    <n v="-13568127.140000004"/>
    <n v="1488"/>
    <n v="3.3004032258064517E-2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24T00:00:00"/>
    <s v="COM. TRANSF. PAMPA DIGITAL"/>
    <m/>
    <n v="6600"/>
    <n v="0"/>
    <n v="-6600"/>
    <n v="-13574727.140000004"/>
    <n v="1488"/>
    <n v="4.435483870967742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9"/>
    <d v="2025-10-24T00:00:00"/>
    <s v="IVA"/>
    <m/>
    <n v="1386"/>
    <n v="0"/>
    <n v="-1386"/>
    <n v="-13576113.140000004"/>
    <n v="1488"/>
    <n v="0.9314516129032257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24T00:00:00"/>
    <s v="IVA PERCEPCION"/>
    <m/>
    <n v="198"/>
    <n v="0"/>
    <n v="-198"/>
    <n v="-13576311.140000004"/>
    <n v="1488"/>
    <n v="0.1330645161290322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28T00:00:00"/>
    <s v="TRANSF. PROPIA ENVIADA PD - 30708920882-G &amp; E S.A."/>
    <m/>
    <n v="6000000"/>
    <n v="0"/>
    <n v="-6000000"/>
    <n v="-19576311.140000004"/>
    <n v="1488"/>
    <n v="4032.2580645161293"/>
    <n v="0"/>
    <s v="ARS"/>
    <s v="CC"/>
    <s v="PAMPA"/>
    <x v="0"/>
    <x v="0"/>
    <x v="0"/>
    <s v="HACIA CC NACION"/>
    <m/>
    <m/>
    <x v="0"/>
    <m/>
    <s v="24/25"/>
    <m/>
    <m/>
  </r>
  <r>
    <x v="9"/>
    <d v="2025-10-31T00:00:00"/>
    <s v="IVA PERCEPCION ALICUOTA REDUCIDA"/>
    <m/>
    <n v="4569.28"/>
    <n v="0"/>
    <n v="-4569.28"/>
    <n v="-19580880.420000006"/>
    <n v="1488"/>
    <n v="3.0707526881720431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IVA PERCEPCION ALICUOTA REDUCIDA"/>
    <m/>
    <n v="161.09"/>
    <n v="0"/>
    <n v="-161.09"/>
    <n v="-19581041.510000005"/>
    <n v="1488"/>
    <n v="0.10825940860215054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IVA PERCEPCION ALICUOTA REDUCIDA"/>
    <m/>
    <n v="80.540000000000006"/>
    <n v="0"/>
    <n v="-80.540000000000006"/>
    <n v="-19581122.050000004"/>
    <n v="1488"/>
    <n v="5.4126344086021509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INTERESES ACUERDO SALDO DEUDOR"/>
    <m/>
    <n v="304618.90999999997"/>
    <n v="0"/>
    <n v="-304618.90999999997"/>
    <n v="-19885740.960000005"/>
    <n v="1488"/>
    <n v="204.71700940860214"/>
    <n v="0"/>
    <s v="ARS"/>
    <s v="CC"/>
    <s v="PAMPA"/>
    <x v="1"/>
    <x v="6"/>
    <x v="8"/>
    <m/>
    <m/>
    <m/>
    <x v="1"/>
    <m/>
    <s v="24/25"/>
    <s v="EGRESOS"/>
    <s v="EFECTIVO Y OTROS ACT LÍQ EQ."/>
  </r>
  <r>
    <x v="9"/>
    <d v="2025-10-31T00:00:00"/>
    <s v="IMP. DEBITOS Y CRED. POR DEBITO"/>
    <m/>
    <n v="2555.69"/>
    <n v="0"/>
    <n v="-2555.69"/>
    <n v="-19888296.650000006"/>
    <n v="1488"/>
    <n v="1.717533602150537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VA 10,5%"/>
    <m/>
    <n v="31984.99"/>
    <n v="0"/>
    <n v="-31984.99"/>
    <n v="-19920281.640000004"/>
    <n v="1488"/>
    <n v="21.495288978494624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VA 10,5%"/>
    <m/>
    <n v="1127.6199999999999"/>
    <n v="0"/>
    <n v="-1127.6199999999999"/>
    <n v="-19921409.260000005"/>
    <n v="1488"/>
    <n v="0.75780913978494613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VA 10,5%"/>
    <m/>
    <n v="563.80999999999995"/>
    <n v="0"/>
    <n v="-563.80999999999995"/>
    <n v="-19921973.070000004"/>
    <n v="1488"/>
    <n v="0.3789045698924730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NTERESES EXCESO DESCUBIERTO"/>
    <m/>
    <n v="5369.64"/>
    <n v="0"/>
    <n v="-5369.64"/>
    <n v="-19927342.710000005"/>
    <n v="1488"/>
    <n v="3.6086290322580648"/>
    <n v="0"/>
    <s v="ARS"/>
    <s v="CC"/>
    <s v="PAMPA"/>
    <x v="1"/>
    <x v="6"/>
    <x v="8"/>
    <m/>
    <m/>
    <m/>
    <x v="1"/>
    <m/>
    <s v="24/25"/>
    <s v="EGRESOS"/>
    <s v="EFECTIVO Y OTROS ACT LÍQ EQ."/>
  </r>
  <r>
    <x v="9"/>
    <d v="2025-10-31T00:00:00"/>
    <s v="IVA"/>
    <m/>
    <n v="10500"/>
    <n v="0"/>
    <n v="-10500"/>
    <n v="-19937842.710000005"/>
    <n v="1488"/>
    <n v="7.05645161290322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NTERESES DESCUBIERTO"/>
    <m/>
    <n v="10739.28"/>
    <n v="0"/>
    <n v="-10739.28"/>
    <n v="-19948581.990000006"/>
    <n v="1488"/>
    <n v="7.2172580645161295"/>
    <n v="0"/>
    <s v="ARS"/>
    <s v="CC"/>
    <s v="PAMPA"/>
    <x v="1"/>
    <x v="6"/>
    <x v="8"/>
    <m/>
    <m/>
    <m/>
    <x v="1"/>
    <m/>
    <s v="24/25"/>
    <s v="EGRESOS"/>
    <s v="EFECTIVO Y OTROS ACT LÍQ EQ."/>
  </r>
  <r>
    <x v="9"/>
    <d v="2025-10-31T00:00:00"/>
    <s v="IMPUESTO DE SELLOS"/>
    <m/>
    <n v="4569.29"/>
    <n v="0"/>
    <n v="-4569.29"/>
    <n v="-19953151.280000005"/>
    <n v="1488"/>
    <n v="3.0707594086021506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9"/>
    <d v="2025-10-31T00:00:00"/>
    <s v="IMPUESTO DE SELLOS"/>
    <m/>
    <n v="161.09"/>
    <n v="0"/>
    <n v="-161.09"/>
    <n v="-19953312.370000005"/>
    <n v="1488"/>
    <n v="0.10825940860215054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9"/>
    <d v="2025-10-31T00:00:00"/>
    <s v="COM. MANTENIMIENTO DE CUENTA"/>
    <m/>
    <n v="50000"/>
    <n v="0"/>
    <n v="-50000"/>
    <n v="-20003312.370000005"/>
    <n v="1488"/>
    <n v="33.602150537634408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9"/>
    <d v="2025-10-31T00:00:00"/>
    <s v="IVA PERCEPCION"/>
    <m/>
    <n v="1500"/>
    <n v="0"/>
    <n v="-1500"/>
    <n v="-20004812.370000005"/>
    <n v="1488"/>
    <n v="1.008064516129032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11T00:00:00"/>
    <s v="DATANET EXENTO - 07089208823-G &amp; E SA"/>
    <m/>
    <n v="0"/>
    <n v="20450000"/>
    <n v="20450000"/>
    <n v="445187.62999999523"/>
    <n v="1488"/>
    <n v="0"/>
    <n v="13743.279569892473"/>
    <s v="ARS"/>
    <s v="CC"/>
    <s v="PAMPA"/>
    <x v="0"/>
    <x v="0"/>
    <x v="0"/>
    <s v="DESDE CC MACRO"/>
    <m/>
    <m/>
    <x v="0"/>
    <m/>
    <s v="24/25"/>
    <m/>
    <m/>
  </r>
  <r>
    <x v="10"/>
    <d v="2025-11-13T00:00:00"/>
    <s v="EMBARGO JUDICIAL"/>
    <m/>
    <n v="42479.96"/>
    <n v="0"/>
    <n v="-42479.96"/>
    <n v="402707.66999999521"/>
    <n v="1488"/>
    <n v="28.548360215053762"/>
    <n v="0"/>
    <s v="ARS"/>
    <s v="CC"/>
    <s v="PAMPA"/>
    <x v="1"/>
    <x v="7"/>
    <x v="22"/>
    <s v="EMBARGO"/>
    <m/>
    <m/>
    <x v="1"/>
    <m/>
    <s v="24/25"/>
    <s v="EGRESOS"/>
    <s v="EFECTIVO Y OTROS ACT LÍQ EQ."/>
  </r>
  <r>
    <x v="10"/>
    <d v="2025-11-26T00:00:00"/>
    <s v="IMP. DEBITOS Y CRED. POR DEBITO"/>
    <m/>
    <n v="84000"/>
    <n v="0"/>
    <n v="-84000"/>
    <n v="318707.66999999521"/>
    <n v="1488"/>
    <n v="56.45161290322580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26T00:00:00"/>
    <s v="IMP. DEBITOS Y CRED. POR DEBITO"/>
    <m/>
    <n v="31.99"/>
    <n v="0"/>
    <n v="-31.99"/>
    <n v="318675.67999999522"/>
    <n v="1488"/>
    <n v="2.1498655913978492E-2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26T00:00:00"/>
    <s v="COM. CHEQUE PAGADO POR CAJA"/>
    <m/>
    <n v="4300"/>
    <n v="0"/>
    <n v="-4300"/>
    <n v="314375.67999999522"/>
    <n v="1488"/>
    <n v="2.889784946236559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10"/>
    <d v="2025-11-26T00:00:00"/>
    <s v="IVA"/>
    <m/>
    <n v="903"/>
    <n v="0"/>
    <n v="-903"/>
    <n v="313472.67999999522"/>
    <n v="1488"/>
    <n v="0.6068548387096773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26T00:00:00"/>
    <s v="IVA PERCEPCION"/>
    <m/>
    <n v="129"/>
    <n v="0"/>
    <n v="-129"/>
    <n v="313343.67999999522"/>
    <n v="1488"/>
    <n v="8.669354838709678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26T00:00:00"/>
    <s v="CHEQUE PAGADO POR CAJA"/>
    <m/>
    <n v="14000000"/>
    <n v="0"/>
    <n v="-14000000"/>
    <n v="-13686656.320000004"/>
    <n v="1488"/>
    <n v="9408.6021505376339"/>
    <n v="0"/>
    <s v="ARS"/>
    <s v="CC"/>
    <s v="PAMPA"/>
    <x v="2"/>
    <x v="4"/>
    <x v="5"/>
    <s v="SOJA P EXPELLER"/>
    <s v="VILLAFAÑE LUCAS"/>
    <m/>
    <x v="5"/>
    <m/>
    <s v="24/25"/>
    <s v="BIENES Y SERVICIOS"/>
    <s v="EFECTIVO Y OTROS ACT LÍQ EQ."/>
  </r>
  <r>
    <x v="10"/>
    <d v="2025-11-30T00:00:00"/>
    <s v="IVA PERCEPCION ALICUOTA REDUCIDA"/>
    <m/>
    <n v="8404.6299999999992"/>
    <n v="0"/>
    <n v="-8404.6299999999992"/>
    <n v="-13695060.950000005"/>
    <n v="1488"/>
    <n v="5.6482728494623649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30T00:00:00"/>
    <s v="IVA PERCEPCION ALICUOTA REDUCIDA"/>
    <m/>
    <n v="129.96"/>
    <n v="0"/>
    <n v="-129.96"/>
    <n v="-13695190.910000006"/>
    <n v="1488"/>
    <n v="8.7338709677419357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30T00:00:00"/>
    <s v="IVA PERCEPCION ALICUOTA REDUCIDA"/>
    <m/>
    <n v="64.98"/>
    <n v="0"/>
    <n v="-64.98"/>
    <n v="-13695255.890000006"/>
    <n v="1488"/>
    <n v="4.3669354838709679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30T00:00:00"/>
    <s v="INTERESES ACUERDO SALDO DEUDOR"/>
    <m/>
    <n v="560308.80000000005"/>
    <n v="0"/>
    <n v="-560308.80000000005"/>
    <n v="-14255564.690000007"/>
    <n v="1488"/>
    <n v="376.55161290322582"/>
    <n v="0"/>
    <s v="ARS"/>
    <s v="CC"/>
    <s v="PAMPA"/>
    <x v="1"/>
    <x v="6"/>
    <x v="8"/>
    <m/>
    <m/>
    <m/>
    <x v="1"/>
    <m/>
    <s v="24/25"/>
    <s v="EGRESOS"/>
    <s v="EFECTIVO Y OTROS ACT LÍQ EQ."/>
  </r>
  <r>
    <x v="10"/>
    <d v="2025-11-30T00:00:00"/>
    <s v="IMP. DEBITOS Y CRED. POR DEBITO"/>
    <m/>
    <n v="4278.75"/>
    <n v="0"/>
    <n v="-4278.75"/>
    <n v="-14259843.440000007"/>
    <n v="1488"/>
    <n v="2.8755040322580645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VA 10,5%"/>
    <m/>
    <n v="58832.42"/>
    <n v="0"/>
    <n v="-58832.42"/>
    <n v="-14318675.860000007"/>
    <n v="1488"/>
    <n v="39.53791666666666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VA 10,5%"/>
    <m/>
    <n v="909.71"/>
    <n v="0"/>
    <n v="-909.71"/>
    <n v="-14319585.570000008"/>
    <n v="1488"/>
    <n v="0.61136424731182804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VA 10,5%"/>
    <m/>
    <n v="454.86"/>
    <n v="0"/>
    <n v="-454.86"/>
    <n v="-14320040.430000007"/>
    <n v="1488"/>
    <n v="0.3056854838709677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NTERESES EXCESO DESCUBIERTO"/>
    <m/>
    <n v="4331.97"/>
    <n v="0"/>
    <n v="-4331.97"/>
    <n v="-14324372.400000008"/>
    <n v="1488"/>
    <n v="2.9112701612903229"/>
    <n v="0"/>
    <s v="ARS"/>
    <s v="CC"/>
    <s v="PAMPA"/>
    <x v="1"/>
    <x v="6"/>
    <x v="8"/>
    <m/>
    <m/>
    <m/>
    <x v="1"/>
    <m/>
    <s v="24/25"/>
    <s v="EGRESOS"/>
    <s v="EFECTIVO Y OTROS ACT LÍQ EQ."/>
  </r>
  <r>
    <x v="10"/>
    <d v="2025-11-30T00:00:00"/>
    <s v="IVA"/>
    <m/>
    <n v="10500"/>
    <n v="0"/>
    <n v="-10500"/>
    <n v="-14334872.400000008"/>
    <n v="1488"/>
    <n v="7.05645161290322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NTERESES DESCUBIERTO"/>
    <m/>
    <n v="8663.94"/>
    <n v="0"/>
    <n v="-8663.94"/>
    <n v="-14343536.340000007"/>
    <n v="1488"/>
    <n v="5.8225403225806458"/>
    <n v="0"/>
    <s v="ARS"/>
    <s v="CC"/>
    <s v="PAMPA"/>
    <x v="1"/>
    <x v="6"/>
    <x v="8"/>
    <m/>
    <m/>
    <m/>
    <x v="1"/>
    <m/>
    <s v="24/25"/>
    <s v="EGRESOS"/>
    <s v="EFECTIVO Y OTROS ACT LÍQ EQ."/>
  </r>
  <r>
    <x v="10"/>
    <d v="2025-11-30T00:00:00"/>
    <s v="IMPUESTO DE SELLOS"/>
    <m/>
    <n v="8891.4"/>
    <n v="0"/>
    <n v="-8891.4"/>
    <n v="-14352427.740000008"/>
    <n v="1488"/>
    <n v="5.9754032258064518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10"/>
    <d v="2025-11-30T00:00:00"/>
    <s v="IMPUESTO DE SELLOS"/>
    <m/>
    <n v="133.97999999999999"/>
    <n v="0"/>
    <n v="-133.97999999999999"/>
    <n v="-14352561.720000008"/>
    <n v="1488"/>
    <n v="9.0040322580645149E-2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10"/>
    <d v="2025-11-30T00:00:00"/>
    <s v="COM. MANTENIMIENTO DE CUENTA"/>
    <m/>
    <n v="50000"/>
    <n v="0"/>
    <n v="-50000"/>
    <n v="-14402561.720000008"/>
    <n v="1488"/>
    <n v="33.602150537634408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10"/>
    <d v="2025-11-30T00:00:00"/>
    <s v="IVA PERCEPCION"/>
    <m/>
    <n v="1500"/>
    <n v="0"/>
    <n v="-1500"/>
    <n v="-14404061.720000008"/>
    <n v="1488"/>
    <n v="1.008064516129032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1"/>
    <d v="2025-12-02T00:00:00"/>
    <s v="IMP. DEBITOS Y CRED. POR DEBITO"/>
    <m/>
    <n v="186"/>
    <n v="0"/>
    <n v="-186"/>
    <n v="-14404247.720000008"/>
    <n v="1488"/>
    <n v="0.125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02T00:00:00"/>
    <s v="TRANSF. PROPIA ENVIADA PD - 30708920882-G &amp; E S.A."/>
    <m/>
    <n v="2300000"/>
    <n v="0"/>
    <n v="-2300000"/>
    <n v="-16704247.720000008"/>
    <n v="1488"/>
    <n v="1545.6989247311828"/>
    <n v="0"/>
    <s v="ARS"/>
    <s v="CC"/>
    <s v="PAMPA"/>
    <x v="0"/>
    <x v="0"/>
    <x v="0"/>
    <s v="DESDE CC NACION"/>
    <m/>
    <m/>
    <x v="0"/>
    <m/>
    <s v="24/25"/>
    <m/>
    <m/>
  </r>
  <r>
    <x v="11"/>
    <d v="2025-12-02T00:00:00"/>
    <s v="IVA"/>
    <m/>
    <n v="5250"/>
    <n v="0"/>
    <n v="-5250"/>
    <n v="-16709497.720000008"/>
    <n v="1488"/>
    <n v="3.528225806451613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02T00:00:00"/>
    <s v="CHEQUERA"/>
    <m/>
    <n v="25000"/>
    <n v="0"/>
    <n v="-25000"/>
    <n v="-16734497.720000008"/>
    <n v="1488"/>
    <n v="16.801075268817204"/>
    <n v="0"/>
    <s v="ARS"/>
    <s v="CC"/>
    <s v="PAMPA"/>
    <x v="1"/>
    <x v="7"/>
    <x v="9"/>
    <s v="CHEQUERAS"/>
    <m/>
    <m/>
    <x v="1"/>
    <m/>
    <s v="24/25"/>
    <s v="EGRESOS"/>
    <s v="EFECTIVO Y OTROS ACT LÍQ EQ."/>
  </r>
  <r>
    <x v="11"/>
    <d v="2025-12-02T00:00:00"/>
    <s v="IVA PERCEPCION"/>
    <m/>
    <n v="750"/>
    <n v="0"/>
    <n v="-750"/>
    <n v="-16735247.720000008"/>
    <n v="1488"/>
    <n v="0.5040322580645161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1"/>
    <d v="2025-12-03T00:00:00"/>
    <s v="TRANSF. PROPIA ENVIADA PD - 30708920882-G &amp; E S.A."/>
    <m/>
    <n v="1000000"/>
    <n v="0"/>
    <n v="-1000000"/>
    <n v="-17735247.720000006"/>
    <n v="1488"/>
    <n v="672.04301075268813"/>
    <n v="0"/>
    <s v="ARS"/>
    <s v="CC"/>
    <s v="PAMPA"/>
    <x v="0"/>
    <x v="0"/>
    <x v="0"/>
    <s v="HACIA CC MACRO"/>
    <m/>
    <m/>
    <x v="0"/>
    <m/>
    <s v="24/25"/>
    <m/>
    <m/>
  </r>
  <r>
    <x v="11"/>
    <d v="2025-12-05T00:00:00"/>
    <s v="IMP. DEBITOS Y CRED. POR DEBITO"/>
    <m/>
    <n v="6678"/>
    <n v="0"/>
    <n v="-6678"/>
    <n v="-17741925.720000006"/>
    <n v="1488"/>
    <n v="4.487903225806452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05T00:00:00"/>
    <s v="TRANSF. ENVIADA PAMPA DIGITAL - 20164045693-ERRECALDE RAUL ALBERTO transf"/>
    <m/>
    <n v="750000"/>
    <n v="0"/>
    <n v="-750000"/>
    <n v="-18491925.720000006"/>
    <n v="1488"/>
    <n v="504.03225806451616"/>
    <n v="0"/>
    <s v="ARS"/>
    <s v="CC"/>
    <s v="PAMPA"/>
    <x v="1"/>
    <x v="2"/>
    <x v="2"/>
    <m/>
    <s v="RAUL"/>
    <m/>
    <x v="2"/>
    <s v="RAUL"/>
    <s v="24/25"/>
    <s v="FUTURAS UT. ADL RAUL"/>
    <s v="EFECTIVO Y OTROS ACT LÍQ EQ."/>
  </r>
  <r>
    <x v="11"/>
    <d v="2025-12-05T00:00:00"/>
    <s v="TRANSF. ENVIADA PAMPA DIGITAL - 20299218660-BIROLO MARCOS DAVID fa309"/>
    <m/>
    <n v="363000"/>
    <n v="0"/>
    <n v="-363000"/>
    <n v="-18854925.720000006"/>
    <n v="1488"/>
    <n v="243.95161290322579"/>
    <n v="0"/>
    <s v="ARS"/>
    <s v="CC"/>
    <s v="PAMPA"/>
    <x v="5"/>
    <x v="13"/>
    <x v="23"/>
    <s v="SOJA P EXPELLER"/>
    <s v="BIROLO MARCOS"/>
    <s v="FA 309"/>
    <x v="6"/>
    <m/>
    <s v="24/25"/>
    <s v="BIENES Y SERVICIOS"/>
    <s v="EFECTIVO Y OTROS ACT LÍQ EQ."/>
  </r>
  <r>
    <x v="11"/>
    <d v="2025-12-09T00:00:00"/>
    <s v="TRANSF. PROPIA ENVIADA PD - 30708920882-G &amp; E S.A."/>
    <m/>
    <n v="730000"/>
    <n v="0"/>
    <n v="-730000"/>
    <n v="-19987633.390000001"/>
    <n v="1488"/>
    <n v="490.59139784946234"/>
    <n v="0"/>
    <s v="ARS"/>
    <s v="CC"/>
    <s v="PAMPA"/>
    <x v="0"/>
    <x v="0"/>
    <x v="0"/>
    <s v="HACIA CC MACRO"/>
    <m/>
    <m/>
    <x v="0"/>
    <m/>
    <s v="24/25"/>
    <m/>
    <m/>
  </r>
  <r>
    <x v="11"/>
    <d v="2025-12-31T00:00:00"/>
    <s v="IVA PERCEPCION ALICUOTA REDUCIDA"/>
    <m/>
    <n v="16323.7"/>
    <n v="0"/>
    <n v="-16323.7"/>
    <n v="-20003957.09"/>
    <n v="1488"/>
    <n v="10.970228494623656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1"/>
    <d v="2025-12-31T00:00:00"/>
    <s v="INTERESES ACUERDO SALDO DEUDOR"/>
    <m/>
    <n v="1088246.5900000001"/>
    <n v="0"/>
    <n v="-1088246.5900000001"/>
    <n v="-21092203.68"/>
    <n v="1488"/>
    <n v="731.34851478494625"/>
    <n v="0"/>
    <s v="ARS"/>
    <s v="CC"/>
    <s v="PAMPA"/>
    <x v="1"/>
    <x v="6"/>
    <x v="8"/>
    <m/>
    <m/>
    <m/>
    <x v="1"/>
    <m/>
    <s v="24/25"/>
    <s v="EGRESOS"/>
    <s v="EFECTIVO Y OTROS ACT LÍQ EQ."/>
  </r>
  <r>
    <x v="11"/>
    <d v="2025-12-31T00:00:00"/>
    <s v="IMP. DEBITOS Y CRED. POR DEBITO"/>
    <m/>
    <n v="7804.36"/>
    <n v="0"/>
    <n v="-7804.36"/>
    <n v="-19987632.390000001"/>
    <n v="1488"/>
    <n v="5.244865591397848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31T00:00:00"/>
    <s v="IVA 10,5%"/>
    <m/>
    <n v="114265.89"/>
    <n v="0"/>
    <n v="-114265.89"/>
    <n v="-20101898.280000001"/>
    <n v="1488"/>
    <n v="76.791592741935489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31T00:00:00"/>
    <s v="IVA"/>
    <m/>
    <n v="10500"/>
    <n v="0"/>
    <n v="-10500"/>
    <n v="-20112398.280000001"/>
    <n v="1488"/>
    <n v="7.05645161290322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31T00:00:00"/>
    <s v="IMPUESTO DE SELLOS"/>
    <m/>
    <n v="19889.32"/>
    <n v="0"/>
    <n v="-19889.32"/>
    <n v="-19987631.390000001"/>
    <n v="1488"/>
    <n v="13.366478494623657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11"/>
    <d v="2025-12-31T00:00:00"/>
    <s v="COM. MANTENIMIENTO DE CUENTA"/>
    <m/>
    <n v="50000"/>
    <n v="0"/>
    <n v="-50000"/>
    <n v="-20037631.390000001"/>
    <n v="1488"/>
    <n v="33.602150537634408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11"/>
    <d v="2025-12-31T00:00:00"/>
    <s v="IVA PERCEPCION"/>
    <m/>
    <n v="1500"/>
    <n v="0"/>
    <n v="-1500"/>
    <n v="-20039131.390000001"/>
    <n v="1488"/>
    <n v="1.0080645161290323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0"/>
    <d v="2025-01-02T00:00:00"/>
    <s v="PAGO PRESTAMO"/>
    <m/>
    <n v="1830361.64"/>
    <n v="0"/>
    <n v="-1830361.64"/>
    <m/>
    <n v="1140"/>
    <n v="1605.5803859649122"/>
    <n v="0"/>
    <s v="ARS"/>
    <s v="CC"/>
    <s v="NACION"/>
    <x v="0"/>
    <x v="12"/>
    <x v="24"/>
    <s v="ULTIMA CUOTA DE PRESTAMO PASADO"/>
    <s v="BANCO NACION"/>
    <m/>
    <x v="12"/>
    <m/>
    <s v="23/24"/>
    <s v="AMORT. CREDITOS"/>
    <s v="EFECTIVO Y OTROS ACT LÍQ EQ."/>
  </r>
  <r>
    <x v="0"/>
    <d v="2025-01-02T00:00:00"/>
    <s v="COMISION PAQUETES"/>
    <m/>
    <n v="23400"/>
    <n v="0"/>
    <n v="-23400"/>
    <m/>
    <n v="1140"/>
    <n v="20.526315789473685"/>
    <n v="0"/>
    <s v="ARS"/>
    <s v="CC"/>
    <s v="NACION"/>
    <x v="1"/>
    <x v="7"/>
    <x v="9"/>
    <s v="MANTENIMIENTO"/>
    <m/>
    <m/>
    <x v="1"/>
    <m/>
    <s v="23/24"/>
    <s v="EGRESOS"/>
    <s v="EFECTIVO Y OTROS ACT LÍQ EQ."/>
  </r>
  <r>
    <x v="0"/>
    <d v="2025-01-02T00:00:00"/>
    <s v="I.V.A. BASE"/>
    <m/>
    <n v="4914"/>
    <n v="0"/>
    <n v="-4914"/>
    <m/>
    <n v="1140"/>
    <n v="4.310526315789474"/>
    <n v="0"/>
    <s v="ARS"/>
    <s v="CC"/>
    <s v="NACION"/>
    <x v="1"/>
    <x v="1"/>
    <x v="1"/>
    <s v="DEBITO IVA FISCAL"/>
    <s v="ARCA"/>
    <m/>
    <x v="1"/>
    <m/>
    <s v="23/24"/>
    <s v="EGRESOS"/>
    <s v="EFECTIVO Y OTROS ACT LÍQ EQ."/>
  </r>
  <r>
    <x v="0"/>
    <d v="2025-01-02T00:00:00"/>
    <s v="RETEN. I.V.A. RG.2408"/>
    <m/>
    <n v="702"/>
    <n v="0"/>
    <n v="-702"/>
    <m/>
    <n v="1140"/>
    <n v="0.61578947368421055"/>
    <n v="0"/>
    <s v="ARS"/>
    <s v="CC"/>
    <s v="NACION"/>
    <x v="1"/>
    <x v="1"/>
    <x v="1"/>
    <s v="RETENCIONES"/>
    <s v="ARCA"/>
    <m/>
    <x v="1"/>
    <m/>
    <s v="23/24"/>
    <s v="EGRESOS"/>
    <s v="EFECTIVO Y OTROS ACT LÍQ EQ."/>
  </r>
  <r>
    <x v="0"/>
    <d v="2025-01-02T00:00:00"/>
    <s v="GRAVAMEN LEY 25413 S/DEB"/>
    <m/>
    <n v="10982.17"/>
    <n v="0"/>
    <n v="-10982.17"/>
    <m/>
    <n v="1140"/>
    <n v="9.6334824561403511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02T00:00:00"/>
    <s v="GRAVAMEN LEY 25413 S/DEB"/>
    <m/>
    <n v="140.4"/>
    <n v="0"/>
    <n v="-140.4"/>
    <m/>
    <n v="1140"/>
    <n v="0.12315789473684211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02T00:00:00"/>
    <s v="GRAVAMEN LEY 25413 S/DEB"/>
    <m/>
    <n v="29.48"/>
    <n v="0"/>
    <n v="-29.48"/>
    <m/>
    <n v="1140"/>
    <n v="2.5859649122807016E-2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02T00:00:00"/>
    <s v="GRAVAMEN LEY 25413 S/DEB"/>
    <m/>
    <n v="4.21"/>
    <n v="0"/>
    <n v="-4.21"/>
    <m/>
    <n v="1140"/>
    <n v="3.6929824561403508E-3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21T00:00:00"/>
    <s v="48HS. BANCOS"/>
    <m/>
    <n v="534221"/>
    <n v="0"/>
    <n v="-534221"/>
    <m/>
    <n v="1140"/>
    <n v="468.61491228070173"/>
    <n v="0"/>
    <s v="ARS"/>
    <s v="CC"/>
    <s v="NACION"/>
    <x v="5"/>
    <x v="13"/>
    <x v="25"/>
    <s v="HACIENDA"/>
    <s v="TARQUINO "/>
    <s v="FA81,13,29,99,32,57"/>
    <x v="4"/>
    <m/>
    <s v="23/24"/>
    <s v="BIENES Y SERVICIOS"/>
    <s v="EFECTIVO Y OTROS ACT LÍQ EQ."/>
  </r>
  <r>
    <x v="0"/>
    <d v="2025-01-21T00:00:00"/>
    <s v="GRAVAMEN LEY 25413 S/DEB"/>
    <m/>
    <n v="3205.33"/>
    <n v="0"/>
    <n v="-3205.33"/>
    <n v="-2977642.19"/>
    <n v="1140"/>
    <n v="2.8116929824561403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23T00:00:00"/>
    <s v="TRANSF. MACRONLINE E-SET M/T"/>
    <m/>
    <n v="0"/>
    <n v="3000000"/>
    <n v="3000000"/>
    <n v="19152.400000000001"/>
    <n v="1140"/>
    <n v="0"/>
    <n v="2631.5789473684213"/>
    <s v="ARS"/>
    <s v="CC"/>
    <s v="NACION"/>
    <x v="0"/>
    <x v="0"/>
    <x v="0"/>
    <s v="DESDE CC MACRO"/>
    <m/>
    <m/>
    <x v="0"/>
    <m/>
    <s v="24/25"/>
    <m/>
    <m/>
  </r>
  <r>
    <x v="0"/>
    <d v="2025-01-24T00:00:00"/>
    <s v="RETIRO POR CAJA PARA PAGOS"/>
    <m/>
    <n v="1000000"/>
    <n v="0"/>
    <n v="-1000000"/>
    <m/>
    <n v="1140"/>
    <n v="877.19298245614038"/>
    <n v="0"/>
    <s v="ARS"/>
    <s v="CC"/>
    <s v="NACION"/>
    <x v="3"/>
    <x v="14"/>
    <x v="26"/>
    <m/>
    <s v="RUSO MALDONADO"/>
    <m/>
    <x v="5"/>
    <m/>
    <s v="24/25"/>
    <s v="BIENES DE USO"/>
    <s v="EFECTIVO Y OTROS ACT LÍQ EQ."/>
  </r>
  <r>
    <x v="0"/>
    <d v="2025-01-24T00:00:00"/>
    <s v="RETIRO POR CAJA PARA PAGOS"/>
    <m/>
    <n v="700000"/>
    <n v="0"/>
    <n v="-700000"/>
    <m/>
    <n v="1140"/>
    <n v="614.03508771929819"/>
    <n v="0"/>
    <s v="ARS"/>
    <s v="CC"/>
    <s v="NACION"/>
    <x v="2"/>
    <x v="4"/>
    <x v="5"/>
    <s v="DESYUYADOR"/>
    <s v="ALDO DIAZ"/>
    <m/>
    <x v="5"/>
    <m/>
    <s v="24/25"/>
    <s v="BIENES Y SERVICIOS"/>
    <s v="EFECTIVO Y OTROS ACT LÍQ EQ."/>
  </r>
  <r>
    <x v="0"/>
    <d v="2025-01-24T00:00:00"/>
    <s v="RETIRO POR CAJA PARA PAGOS"/>
    <m/>
    <n v="23371.439999999999"/>
    <n v="0"/>
    <n v="-23371.439999999999"/>
    <m/>
    <n v="1140"/>
    <n v="20.501263157894737"/>
    <n v="0"/>
    <s v="ARS"/>
    <s v="CC"/>
    <s v="NACION"/>
    <x v="1"/>
    <x v="3"/>
    <x v="3"/>
    <s v="UATRE"/>
    <s v="ANDRES TOLEDO"/>
    <m/>
    <x v="3"/>
    <m/>
    <s v="24/25"/>
    <s v="EGRESOS"/>
    <s v="EFECTIVO Y OTROS ACT LÍQ EQ."/>
  </r>
  <r>
    <x v="0"/>
    <d v="2025-01-24T00:00:00"/>
    <s v="RETIRO POR CAJA PARA PAGOS"/>
    <m/>
    <n v="26628.560000000001"/>
    <n v="0"/>
    <n v="-26628.560000000001"/>
    <n v="-1741347.52"/>
    <n v="1140"/>
    <n v="23.358385964912284"/>
    <n v="0"/>
    <s v="ARS"/>
    <s v="CC"/>
    <s v="NACION"/>
    <x v="1"/>
    <x v="2"/>
    <x v="2"/>
    <s v="RESTO DEL1,7 M QUE SE RETIRO DEL BANCO"/>
    <s v="RAUL"/>
    <m/>
    <x v="2"/>
    <s v="RAUL"/>
    <s v="24/25"/>
    <s v="FUTURAS UT. ADL RAUL"/>
    <s v="EFECTIVO Y OTROS ACT LÍQ EQ."/>
  </r>
  <r>
    <x v="0"/>
    <d v="2025-01-24T00:00:00"/>
    <s v="GRAVAMEN LEY 25413 S/DEB"/>
    <m/>
    <n v="10500"/>
    <n v="0"/>
    <n v="-10500"/>
    <n v="-1822212.88"/>
    <n v="1140"/>
    <n v="9.210526315789474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0"/>
    <d v="2025-01-28T00:00:00"/>
    <s v="INTERESES"/>
    <m/>
    <n v="80865.36"/>
    <n v="0"/>
    <n v="-80865.36"/>
    <m/>
    <n v="1140"/>
    <n v="70.93452631578946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0"/>
    <d v="2025-01-28T00:00:00"/>
    <s v="GRAVAMEN LEY 25413 S/DEB"/>
    <m/>
    <n v="485.19"/>
    <n v="0"/>
    <n v="-485.19"/>
    <n v="-1822212.88"/>
    <n v="1140"/>
    <n v="0.4256052631578947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03T00:00:00"/>
    <s v="COMISION PAQUETES"/>
    <m/>
    <n v="23400"/>
    <n v="0"/>
    <n v="-23400"/>
    <m/>
    <n v="1140"/>
    <n v="20.526315789473685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1"/>
    <d v="2025-02-03T00:00:00"/>
    <s v="I.V.A. BASE"/>
    <m/>
    <n v="4914"/>
    <n v="0"/>
    <n v="-4914"/>
    <m/>
    <n v="1140"/>
    <n v="4.310526315789474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RETEN. I.V.A. RG.2408"/>
    <m/>
    <n v="702"/>
    <n v="0"/>
    <n v="-702"/>
    <m/>
    <n v="1140"/>
    <n v="0.61578947368421055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1"/>
    <d v="2025-02-03T00:00:00"/>
    <s v="GRAVAMEN LEY 25413 S/DEB"/>
    <m/>
    <n v="140.4"/>
    <n v="0"/>
    <n v="-140.4"/>
    <m/>
    <n v="1140"/>
    <n v="0.1231578947368421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03T00:00:00"/>
    <s v="GRAVAMEN LEY 25413 S/DEB"/>
    <m/>
    <n v="29.48"/>
    <n v="0"/>
    <n v="-29.48"/>
    <m/>
    <n v="1140"/>
    <n v="2.5859649122807016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03T00:00:00"/>
    <s v="GRAVAMEN LEY 25413 S/DEB"/>
    <m/>
    <n v="4.21"/>
    <n v="0"/>
    <n v="-4.21"/>
    <n v="-1851888.16"/>
    <n v="1140"/>
    <n v="3.6929824561403508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0T00:00:00"/>
    <s v="DEB.TRAN.INTERBMISMO TIT"/>
    <m/>
    <n v="1000000"/>
    <n v="0"/>
    <n v="-1000000"/>
    <m/>
    <n v="1140"/>
    <n v="877.19298245614038"/>
    <n v="0"/>
    <s v="ARS"/>
    <s v="CC"/>
    <s v="NACION"/>
    <x v="1"/>
    <x v="2"/>
    <x v="27"/>
    <s v="UTILIDADES FUTURAS"/>
    <s v="MONICA ERRECALDE"/>
    <m/>
    <x v="13"/>
    <s v="MONICA"/>
    <s v="24/25"/>
    <s v="FUTURAS UT. ADL MONICA"/>
    <s v="EFECTIVO Y OTROS ACT LÍQ EQ."/>
  </r>
  <r>
    <x v="1"/>
    <d v="2025-02-10T00:00:00"/>
    <s v="GRAVAMEN LEY 25413 S/DEB"/>
    <m/>
    <n v="6000"/>
    <n v="0"/>
    <n v="-6000"/>
    <n v="142111.84"/>
    <n v="1140"/>
    <n v="5.2631578947368425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1"/>
    <d v="2025-02-12T00:00:00"/>
    <s v="CAM.FED.DIST.PZA. O/BCOS."/>
    <m/>
    <n v="0"/>
    <n v="607040"/>
    <n v="607040"/>
    <m/>
    <n v="1140"/>
    <n v="0"/>
    <n v="532.49122807017545"/>
    <s v="ARS"/>
    <s v="CC"/>
    <s v="NACION"/>
    <x v="2"/>
    <x v="4"/>
    <x v="5"/>
    <s v="BPAS"/>
    <s v="MINISTERIO DE AGROINDUSTRIA CORDOBA"/>
    <m/>
    <x v="14"/>
    <m/>
    <s v="24/25"/>
    <s v="EFECTIVO Y OTROS ACT LÍQ EQ."/>
    <s v="INGRESOS"/>
  </r>
  <r>
    <x v="1"/>
    <d v="2025-02-12T00:00:00"/>
    <s v="COMIS. CANJE O/BANCOS"/>
    <m/>
    <n v="3035.2"/>
    <n v="0"/>
    <n v="-3035.2"/>
    <m/>
    <n v="1140"/>
    <n v="2.6624561403508769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1"/>
    <d v="2025-02-12T00:00:00"/>
    <s v="I.V.A. BASE"/>
    <m/>
    <n v="637.39"/>
    <n v="0"/>
    <n v="-637.39"/>
    <m/>
    <n v="1140"/>
    <n v="0.55911403508771929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1"/>
    <d v="2025-02-12T00:00:00"/>
    <s v="RETEN. I.V.A. RG.2408"/>
    <m/>
    <n v="91.06"/>
    <n v="0"/>
    <n v="-91.06"/>
    <m/>
    <n v="1140"/>
    <n v="7.9877192982456144E-2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1"/>
    <d v="2025-02-12T00:00:00"/>
    <s v="GRAVAMEN LEY 25413 S/CRED"/>
    <m/>
    <n v="3642.24"/>
    <n v="0"/>
    <n v="-3642.24"/>
    <m/>
    <n v="1140"/>
    <n v="3.194947368421052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2T00:00:00"/>
    <s v="GRAVAMEN LEY 25413 S/DEB"/>
    <m/>
    <n v="18.21"/>
    <n v="0"/>
    <n v="-18.21"/>
    <m/>
    <n v="1140"/>
    <n v="1.5973684210526317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2T00:00:00"/>
    <s v="GRAVAMEN LEY 25413 S/DEB"/>
    <m/>
    <n v="3.82"/>
    <n v="0"/>
    <n v="-3.82"/>
    <m/>
    <n v="1140"/>
    <n v="3.3508771929824559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2T00:00:00"/>
    <s v="GRAVAMEN LEY 25413 S/DEB"/>
    <m/>
    <n v="0.55000000000000004"/>
    <n v="0"/>
    <n v="-0.55000000000000004"/>
    <m/>
    <n v="1140"/>
    <n v="4.8245614035087722E-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7T00:00:00"/>
    <s v="GRAVAMEN LEY 25413 S/DEB"/>
    <m/>
    <n v="2172"/>
    <n v="0"/>
    <n v="-2172"/>
    <m/>
    <n v="1140"/>
    <n v="1.9052631578947368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20T00:00:00"/>
    <s v="DEB.TRAN.INTERBMISMO TIT"/>
    <m/>
    <n v="60000"/>
    <n v="0"/>
    <n v="-60000"/>
    <m/>
    <n v="1140"/>
    <n v="52.631578947368418"/>
    <n v="0"/>
    <s v="ARS"/>
    <s v="CC"/>
    <s v="NACION"/>
    <x v="1"/>
    <x v="3"/>
    <x v="13"/>
    <s v="JORNAL"/>
    <s v="JORGE SUAREZ"/>
    <m/>
    <x v="3"/>
    <m/>
    <s v="24/25"/>
    <s v="BIENES Y SERVICIOS"/>
    <s v="EFECTIVO Y OTROS ACT LÍQ EQ."/>
  </r>
  <r>
    <x v="1"/>
    <d v="2025-02-20T00:00:00"/>
    <s v="DEB.TRAN.INTERBMISMO TIT"/>
    <m/>
    <n v="4582.87"/>
    <n v="0"/>
    <n v="-4582.87"/>
    <m/>
    <n v="1140"/>
    <n v="4.0200614035087714"/>
    <n v="0"/>
    <s v="ARS"/>
    <s v="CC"/>
    <s v="NACION"/>
    <x v="1"/>
    <x v="3"/>
    <x v="3"/>
    <s v="SEGURO"/>
    <s v="JORGE SUAREZ"/>
    <m/>
    <x v="3"/>
    <m/>
    <s v="24/25"/>
    <s v="BIENES Y SERVICIOS"/>
    <s v="EFECTIVO Y OTROS ACT LÍQ EQ."/>
  </r>
  <r>
    <x v="1"/>
    <d v="2025-02-20T00:00:00"/>
    <s v="DEB.TRAN.INTERBMISMO TIT"/>
    <m/>
    <n v="4071.96"/>
    <n v="0"/>
    <n v="-4071.96"/>
    <m/>
    <n v="1140"/>
    <n v="3.5718947368421055"/>
    <n v="0"/>
    <s v="ARS"/>
    <s v="CC"/>
    <s v="NACION"/>
    <x v="1"/>
    <x v="3"/>
    <x v="3"/>
    <s v="JORNAL"/>
    <s v="IGNACIO MALDONADO"/>
    <m/>
    <x v="3"/>
    <m/>
    <s v="24/25"/>
    <s v="BIENES Y SERVICIOS"/>
    <s v="EFECTIVO Y OTROS ACT LÍQ EQ."/>
  </r>
  <r>
    <x v="1"/>
    <d v="2025-02-20T00:00:00"/>
    <s v="DEB.TRAN.INTERBMISMO TIT"/>
    <m/>
    <n v="23000"/>
    <n v="0"/>
    <n v="-23000"/>
    <m/>
    <n v="1140"/>
    <n v="20.17543859649123"/>
    <n v="0"/>
    <s v="ARS"/>
    <s v="CC"/>
    <s v="NACION"/>
    <x v="1"/>
    <x v="3"/>
    <x v="3"/>
    <s v="UATRE"/>
    <s v="ANDRES TOLEDO"/>
    <m/>
    <x v="3"/>
    <m/>
    <s v="24/25"/>
    <s v="EGRESOS"/>
    <s v="EFECTIVO Y OTROS ACT LÍQ EQ."/>
  </r>
  <r>
    <x v="1"/>
    <d v="2025-02-20T00:00:00"/>
    <s v="DEB.TRAN.INTERBMISMO TIT"/>
    <m/>
    <n v="92712"/>
    <n v="0"/>
    <n v="-92712"/>
    <m/>
    <n v="1140"/>
    <n v="81.326315789473682"/>
    <n v="0"/>
    <s v="ARS"/>
    <s v="CC"/>
    <s v="NACION"/>
    <x v="3"/>
    <x v="5"/>
    <x v="28"/>
    <m/>
    <s v="DIRECTV"/>
    <m/>
    <x v="6"/>
    <m/>
    <s v="24/25"/>
    <s v="BIENES Y SERVICIOS"/>
    <s v="EFECTIVO Y OTROS ACT LÍQ EQ."/>
  </r>
  <r>
    <x v="1"/>
    <d v="2025-02-20T00:00:00"/>
    <s v="GRAVAMEN LEY 25413 S/DEB"/>
    <m/>
    <n v="1106.4000000000001"/>
    <n v="0"/>
    <n v="-1106.4000000000001"/>
    <n v="-2809118.73"/>
    <n v="1140"/>
    <n v="0.97052631578947379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27T00:00:00"/>
    <s v="INTERESES"/>
    <m/>
    <n v="93475.39"/>
    <n v="0"/>
    <n v="-93475.39"/>
    <m/>
    <n v="1140"/>
    <n v="81.99595614035087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27T00:00:00"/>
    <s v="GRAVAMEN LEY 25413 S/DEB"/>
    <m/>
    <n v="560.85"/>
    <n v="0"/>
    <n v="-560.85"/>
    <m/>
    <n v="1140"/>
    <n v="0.49197368421052634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2"/>
    <d v="2025-03-05T00:00:00"/>
    <s v="DEB.TRAN.INTERBMISMO TIT"/>
    <m/>
    <n v="90000"/>
    <n v="0"/>
    <n v="-90000"/>
    <m/>
    <n v="1140"/>
    <n v="78.94736842105263"/>
    <n v="0"/>
    <s v="ARS"/>
    <s v="CC"/>
    <s v="NACION"/>
    <x v="0"/>
    <x v="0"/>
    <x v="0"/>
    <s v="HACIA EL MACRO"/>
    <m/>
    <m/>
    <x v="0"/>
    <m/>
    <s v="24/25"/>
    <m/>
    <m/>
  </r>
  <r>
    <x v="2"/>
    <d v="2025-03-05T00:00:00"/>
    <s v="DEP.EFECTIVO"/>
    <m/>
    <n v="0"/>
    <n v="350000"/>
    <n v="350000"/>
    <m/>
    <n v="1140"/>
    <n v="0"/>
    <n v="307.01754385964909"/>
    <s v="ARS"/>
    <s v="CC"/>
    <s v="NACION"/>
    <x v="1"/>
    <x v="11"/>
    <x v="14"/>
    <s v="BECERRA ADRIAN"/>
    <s v="BECERRA ADRIAN"/>
    <m/>
    <x v="10"/>
    <m/>
    <s v="24/25"/>
    <s v="EFECTIVO Y OTROS ACT LÍQ EQ."/>
    <s v="DEUDAS FINANCIERAS CP"/>
  </r>
  <r>
    <x v="2"/>
    <d v="2025-03-05T00:00:00"/>
    <s v="DEB.TRAN.INTERBMISMO TIT"/>
    <m/>
    <n v="350000"/>
    <n v="0"/>
    <n v="-350000"/>
    <m/>
    <n v="1140"/>
    <n v="307.01754385964909"/>
    <n v="0"/>
    <s v="ARS"/>
    <s v="CC"/>
    <s v="NACION"/>
    <x v="0"/>
    <x v="0"/>
    <x v="0"/>
    <s v="HACIA EL MACRO"/>
    <m/>
    <m/>
    <x v="0"/>
    <m/>
    <s v="24/25"/>
    <m/>
    <m/>
  </r>
  <r>
    <x v="2"/>
    <d v="2025-03-05T00:00:00"/>
    <s v="COMISION PAQUETES"/>
    <m/>
    <n v="27000"/>
    <n v="0"/>
    <n v="-27000"/>
    <m/>
    <n v="1140"/>
    <n v="23.684210526315791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2"/>
    <d v="2025-03-05T00:00:00"/>
    <s v="I.V.A. BASE"/>
    <m/>
    <n v="5670"/>
    <n v="0"/>
    <n v="-5670"/>
    <m/>
    <n v="1140"/>
    <n v="4.9736842105263159"/>
    <n v="0"/>
    <s v="ARS"/>
    <s v="CC"/>
    <s v="NACION"/>
    <x v="1"/>
    <x v="1"/>
    <x v="1"/>
    <s v="IVA"/>
    <s v="ARCA"/>
    <m/>
    <x v="1"/>
    <m/>
    <s v="24/25"/>
    <s v="EGRESOS"/>
    <s v="EFECTIVO Y OTROS ACT LÍQ EQ."/>
  </r>
  <r>
    <x v="2"/>
    <d v="2025-03-05T00:00:00"/>
    <s v="RETEN. I.V.A. RG.2408"/>
    <m/>
    <n v="810"/>
    <n v="0"/>
    <n v="-810"/>
    <m/>
    <n v="1140"/>
    <n v="0.71052631578947367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2"/>
    <d v="2025-03-05T00:00:00"/>
    <s v="GRAVAMEN LEY 25413 S/CRED"/>
    <m/>
    <n v="2100"/>
    <n v="0"/>
    <n v="-2100"/>
    <m/>
    <n v="1140"/>
    <n v="1.8421052631578947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5T00:00:00"/>
    <s v="GRAVAMEN LEY 25413 S/DEB"/>
    <m/>
    <n v="162"/>
    <n v="0"/>
    <n v="-162"/>
    <m/>
    <n v="1140"/>
    <n v="0.1421052631578947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5T00:00:00"/>
    <s v="GRAVAMEN LEY 25413 S/DEB"/>
    <m/>
    <n v="34.020000000000003"/>
    <n v="0"/>
    <n v="-34.020000000000003"/>
    <m/>
    <n v="1140"/>
    <n v="2.9842105263157899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5T00:00:00"/>
    <s v="GRAVAMEN LEY 25413 S/DEB"/>
    <m/>
    <n v="4.8600000000000003"/>
    <n v="0"/>
    <n v="-4.8600000000000003"/>
    <m/>
    <n v="1140"/>
    <n v="4.263157894736842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6T00:00:00"/>
    <s v="DEP.EFECTIVO"/>
    <m/>
    <n v="0"/>
    <n v="2700000"/>
    <n v="2700000"/>
    <m/>
    <n v="1140"/>
    <n v="0"/>
    <n v="2368.4210526315787"/>
    <s v="ARS"/>
    <s v="CC"/>
    <s v="NACION"/>
    <x v="1"/>
    <x v="2"/>
    <x v="14"/>
    <m/>
    <s v="RAUL"/>
    <m/>
    <x v="8"/>
    <s v="RAUL"/>
    <s v="24/25"/>
    <s v="EFECTIVO Y OTROS ACT LÍQ EQ."/>
    <s v="APORTES DE CAPITAL"/>
  </r>
  <r>
    <x v="2"/>
    <d v="2025-03-06T00:00:00"/>
    <s v="DEB.TRAN.INTERBMISMO TIT"/>
    <m/>
    <n v="2670000"/>
    <n v="0"/>
    <n v="-2670000"/>
    <m/>
    <n v="1140"/>
    <n v="2342.1052631578946"/>
    <n v="0"/>
    <s v="ARS"/>
    <s v="CC"/>
    <s v="NACION"/>
    <x v="0"/>
    <x v="0"/>
    <x v="0"/>
    <s v="HACIA EL MACRO"/>
    <m/>
    <m/>
    <x v="0"/>
    <m/>
    <s v="24/25"/>
    <m/>
    <m/>
  </r>
  <r>
    <x v="2"/>
    <d v="2025-03-06T00:00:00"/>
    <s v="COMIS.TRANSF.NE24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2"/>
    <d v="2025-03-06T00:00:00"/>
    <s v="I.V.A. BASE"/>
    <m/>
    <n v="200.76"/>
    <n v="0"/>
    <n v="-200.76"/>
    <m/>
    <n v="1140"/>
    <n v="0.17610526315789474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2"/>
    <d v="2025-03-06T00:00:00"/>
    <s v="GRAVAMEN LEY 25413 S/CRED"/>
    <m/>
    <n v="16200"/>
    <n v="0"/>
    <n v="-16200"/>
    <m/>
    <n v="1140"/>
    <n v="14.21052631578947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6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6T00:00:00"/>
    <s v="GRAVAMEN LEY 25413 S/DEB"/>
    <m/>
    <n v="1.2"/>
    <n v="0"/>
    <n v="-1.2"/>
    <m/>
    <n v="1140"/>
    <n v="1.0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7T00:00:00"/>
    <s v="DEP.EFECTIVO"/>
    <m/>
    <n v="0"/>
    <n v="1200000"/>
    <n v="1200000"/>
    <m/>
    <n v="1140"/>
    <n v="0"/>
    <n v="1052.6315789473683"/>
    <s v="ARS"/>
    <s v="CC"/>
    <s v="NACION"/>
    <x v="1"/>
    <x v="2"/>
    <x v="14"/>
    <s v="DEPOSITO EF EN CC"/>
    <s v="RAUL"/>
    <m/>
    <x v="8"/>
    <s v="RAUL"/>
    <s v="24/25"/>
    <s v="EFECTIVO Y OTROS ACT LÍQ EQ."/>
    <s v="APORTES DE CAPITAL"/>
  </r>
  <r>
    <x v="2"/>
    <d v="2025-03-07T00:00:00"/>
    <s v="DEB.TRAN.INTERBMISMO TIT"/>
    <m/>
    <n v="600000"/>
    <n v="0"/>
    <n v="-600000"/>
    <m/>
    <n v="1140"/>
    <n v="526.31578947368416"/>
    <n v="0"/>
    <s v="ARS"/>
    <s v="CC"/>
    <s v="NACION"/>
    <x v="0"/>
    <x v="0"/>
    <x v="0"/>
    <s v="HACIA EL GALICIA"/>
    <m/>
    <m/>
    <x v="0"/>
    <m/>
    <s v="24/25"/>
    <m/>
    <m/>
  </r>
  <r>
    <x v="2"/>
    <d v="2025-03-07T00:00:00"/>
    <s v="DEB.TRAN.INTERBMISMO TIT"/>
    <m/>
    <n v="583000"/>
    <n v="0"/>
    <n v="-583000"/>
    <m/>
    <n v="1140"/>
    <n v="511.40350877192981"/>
    <n v="0"/>
    <s v="ARS"/>
    <s v="CC"/>
    <s v="NACION"/>
    <x v="0"/>
    <x v="0"/>
    <x v="0"/>
    <s v="HACIA EL MACRO"/>
    <m/>
    <m/>
    <x v="0"/>
    <m/>
    <s v="24/25"/>
    <m/>
    <m/>
  </r>
  <r>
    <x v="2"/>
    <d v="2025-03-07T00:00:00"/>
    <s v="COMIS.TRANSF.NE24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2"/>
    <d v="2025-03-07T00:00:00"/>
    <s v="I.V.A. BASE"/>
    <m/>
    <n v="200.76"/>
    <n v="0"/>
    <n v="-200.76"/>
    <m/>
    <n v="1140"/>
    <n v="0.17610526315789474"/>
    <n v="0"/>
    <s v="ARS"/>
    <s v="CC"/>
    <s v="NACION"/>
    <x v="1"/>
    <x v="1"/>
    <x v="1"/>
    <s v="IVA"/>
    <s v="ARCA"/>
    <m/>
    <x v="1"/>
    <m/>
    <s v="24/25"/>
    <s v="EGRESOS"/>
    <s v="EFECTIVO Y OTROS ACT LÍQ EQ."/>
  </r>
  <r>
    <x v="2"/>
    <d v="2025-03-07T00:00:00"/>
    <s v="GRAVAMEN LEY 25413 S/CRED"/>
    <m/>
    <n v="7200"/>
    <n v="0"/>
    <n v="-7200"/>
    <m/>
    <n v="1140"/>
    <n v="6.3157894736842106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7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7T00:00:00"/>
    <s v="GRAVAMEN LEY 25413 S/DEB"/>
    <m/>
    <n v="1.2"/>
    <n v="0"/>
    <n v="-1.2"/>
    <m/>
    <n v="1140"/>
    <n v="1.0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11T00:00:00"/>
    <s v="48HS. BANCOS"/>
    <m/>
    <n v="500000"/>
    <n v="0"/>
    <n v="-500000"/>
    <m/>
    <n v="1140"/>
    <n v="438.59649122807019"/>
    <n v="0"/>
    <s v="ARS"/>
    <s v="CC"/>
    <s v="NACION"/>
    <x v="3"/>
    <x v="5"/>
    <x v="6"/>
    <m/>
    <s v="TARQUINO "/>
    <s v="FA81,13,29,99,32,57"/>
    <x v="6"/>
    <m/>
    <s v="24/25"/>
    <s v="BIENES Y SERVICIOS"/>
    <s v="EFECTIVO Y OTROS ACT LÍQ EQ."/>
  </r>
  <r>
    <x v="2"/>
    <d v="2025-03-11T00:00:00"/>
    <s v="TRANSF.INT.DIST.TITULAR - CUIT/CUIL: 20164045693"/>
    <m/>
    <n v="0"/>
    <n v="510000"/>
    <n v="510000"/>
    <m/>
    <n v="1140"/>
    <n v="0"/>
    <n v="447.36842105263156"/>
    <s v="ARS"/>
    <s v="CC"/>
    <s v="NACION"/>
    <x v="1"/>
    <x v="2"/>
    <x v="14"/>
    <m/>
    <s v="RAUL"/>
    <m/>
    <x v="8"/>
    <s v="RAUL"/>
    <s v="24/25"/>
    <s v="EFECTIVO Y OTROS ACT LÍQ EQ."/>
    <s v="APORTES DE CAPITAL"/>
  </r>
  <r>
    <x v="2"/>
    <d v="2025-03-11T00:00:00"/>
    <s v="GRAVAMEN LEY 25413 S/DEB"/>
    <m/>
    <n v="3000"/>
    <n v="0"/>
    <n v="-3000"/>
    <m/>
    <n v="1140"/>
    <n v="2.631578947368421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11T00:00:00"/>
    <s v="GRAVAMEN LEY 25413 S/CRED"/>
    <m/>
    <n v="3060"/>
    <n v="0"/>
    <n v="-3060"/>
    <m/>
    <n v="1140"/>
    <n v="2.684210526315789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12T00:00:00"/>
    <s v="BCA.E.TR.O/BCO - CUIT/CUIL: 30708920882"/>
    <m/>
    <n v="0"/>
    <n v="6100"/>
    <n v="6100"/>
    <m/>
    <n v="1140"/>
    <n v="0"/>
    <n v="5.3508771929824563"/>
    <s v="ARS"/>
    <s v="CC"/>
    <s v="NACION"/>
    <x v="0"/>
    <x v="0"/>
    <x v="0"/>
    <s v="DESDE CC GALICIA"/>
    <m/>
    <m/>
    <x v="0"/>
    <m/>
    <s v="24/25"/>
    <m/>
    <m/>
  </r>
  <r>
    <x v="1"/>
    <d v="2025-02-17T00:00:00"/>
    <s v="DEB.TRAN.INTERBMISMO TIT"/>
    <m/>
    <n v="362000"/>
    <n v="0"/>
    <n v="-362000"/>
    <m/>
    <n v="1140"/>
    <n v="317.54385964912279"/>
    <n v="0"/>
    <s v="ARS"/>
    <s v="CC"/>
    <s v="NACION"/>
    <x v="1"/>
    <x v="2"/>
    <x v="2"/>
    <s v="FUT UTILIDADES FEBRERO"/>
    <s v="CLAUDIA ERRECALDE"/>
    <m/>
    <x v="15"/>
    <s v="CLAUDIA"/>
    <s v="24/25"/>
    <s v="FUTURAS UT. ADL CLAUDIA"/>
    <s v="EFECTIVO Y OTROS ACT LÍQ EQ."/>
  </r>
  <r>
    <x v="2"/>
    <d v="2025-03-12T00:00:00"/>
    <s v="GRAVAMEN LEY 25413 S/CRED"/>
    <m/>
    <n v="60"/>
    <n v="0"/>
    <n v="-60"/>
    <m/>
    <n v="1140"/>
    <n v="5.2631578947368418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12T00:00:00"/>
    <s v="TRANSF.INT.DIST.TITULAR - CUIT/CUIL: 27200806536"/>
    <m/>
    <n v="0"/>
    <n v="10000"/>
    <n v="10000"/>
    <m/>
    <n v="1140"/>
    <n v="0"/>
    <n v="8.7719298245614041"/>
    <s v="ARS"/>
    <s v="CC"/>
    <s v="NACION"/>
    <x v="1"/>
    <x v="2"/>
    <x v="14"/>
    <m/>
    <s v="CLAUDIA ERRECALDE"/>
    <m/>
    <x v="16"/>
    <s v="CLAUDIA"/>
    <s v="24/25"/>
    <s v="EFECTIVO Y OTROS ACT LÍQ EQ."/>
    <s v="APORTES DE CAPITAL"/>
  </r>
  <r>
    <x v="2"/>
    <d v="2025-03-18T00:00:00"/>
    <s v="BCA.E.TR.O/BCO - CUIT/CUIL: 30708920882"/>
    <m/>
    <n v="0"/>
    <n v="500000"/>
    <n v="500000"/>
    <m/>
    <n v="1140"/>
    <n v="0"/>
    <n v="438.59649122807019"/>
    <s v="ARS"/>
    <s v="CC"/>
    <s v="NACION"/>
    <x v="0"/>
    <x v="0"/>
    <x v="0"/>
    <s v="DESDE CC MACRO"/>
    <m/>
    <m/>
    <x v="0"/>
    <m/>
    <m/>
    <m/>
    <m/>
  </r>
  <r>
    <x v="2"/>
    <d v="2025-03-19T00:00:00"/>
    <s v="DEB.TRAN.INTERBMISMO TIT"/>
    <m/>
    <n v="500000"/>
    <n v="0"/>
    <n v="-500000"/>
    <m/>
    <n v="1140"/>
    <n v="438.59649122807019"/>
    <n v="0"/>
    <s v="ARS"/>
    <s v="CC"/>
    <s v="NACION"/>
    <x v="2"/>
    <x v="15"/>
    <x v="29"/>
    <s v="ROLLOS"/>
    <s v="DAVI ARMANDO"/>
    <m/>
    <x v="7"/>
    <m/>
    <s v="23/24"/>
    <s v="EGRESOS"/>
    <s v="EFECTIVO Y OTROS ACT LÍQ EQ."/>
  </r>
  <r>
    <x v="2"/>
    <d v="2025-03-19T00:00:00"/>
    <s v="GRAVAMEN LEY 25413 S/DEB"/>
    <m/>
    <n v="3000"/>
    <n v="0"/>
    <n v="-3000"/>
    <m/>
    <n v="1140"/>
    <n v="2.631578947368421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21T00:00:00"/>
    <s v="BCA.E.TR.O/BCO - CUIT/CUIL: 30708920882"/>
    <m/>
    <n v="0"/>
    <n v="550000"/>
    <n v="550000"/>
    <m/>
    <n v="1140"/>
    <n v="0"/>
    <n v="482.45614035087721"/>
    <s v="ARS"/>
    <s v="CC"/>
    <s v="NACION"/>
    <x v="0"/>
    <x v="0"/>
    <x v="0"/>
    <s v="DESDE CC MACRO"/>
    <m/>
    <m/>
    <x v="0"/>
    <m/>
    <s v="24/25"/>
    <m/>
    <m/>
  </r>
  <r>
    <x v="2"/>
    <d v="2025-03-21T00:00:00"/>
    <s v="GRAVAMEN LEY 25413 S/DEB"/>
    <m/>
    <n v="3000"/>
    <n v="0"/>
    <n v="-3000"/>
    <m/>
    <n v="1140"/>
    <n v="2.6315789473684212"/>
    <n v="0"/>
    <s v="ARS"/>
    <s v="CC"/>
    <s v="NACION"/>
    <x v="1"/>
    <x v="1"/>
    <x v="1"/>
    <s v="DEBITO IVA FISCAL"/>
    <s v="ARCA"/>
    <m/>
    <x v="1"/>
    <m/>
    <s v="23/24"/>
    <s v="EGRESOS"/>
    <s v="EFECTIVO Y OTROS ACT LÍQ EQ."/>
  </r>
  <r>
    <x v="2"/>
    <d v="2025-03-27T00:00:00"/>
    <s v="INTERESES"/>
    <m/>
    <n v="108737"/>
    <n v="0"/>
    <n v="-108737"/>
    <m/>
    <n v="1140"/>
    <n v="95.38333333333334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2"/>
    <d v="2025-03-27T00:00:00"/>
    <s v="INTERESES"/>
    <m/>
    <n v="2885.64"/>
    <n v="0"/>
    <n v="-2885.64"/>
    <m/>
    <n v="1140"/>
    <n v="2.5312631578947369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2"/>
    <d v="2025-03-27T00:00:00"/>
    <s v="BCA.E.TR.O/BCO - CUIT/CUIL: 30708920882"/>
    <m/>
    <n v="0"/>
    <n v="70000"/>
    <n v="70000"/>
    <m/>
    <n v="1140"/>
    <n v="0"/>
    <n v="61.403508771929822"/>
    <s v="ARS"/>
    <s v="CC"/>
    <s v="NACION"/>
    <x v="0"/>
    <x v="0"/>
    <x v="0"/>
    <s v="DESDE CC MACRO"/>
    <m/>
    <m/>
    <x v="0"/>
    <m/>
    <m/>
    <m/>
    <m/>
  </r>
  <r>
    <x v="2"/>
    <d v="2025-03-27T00:00:00"/>
    <s v="GRAVAMEN LEY 25413 S/DEB"/>
    <m/>
    <n v="652.41999999999996"/>
    <n v="0"/>
    <n v="-652.41999999999996"/>
    <m/>
    <n v="1140"/>
    <n v="0.57229824561403508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2"/>
    <d v="2025-03-27T00:00:00"/>
    <s v="GRAVAMEN LEY 25413 S/DEB"/>
    <m/>
    <n v="17.309999999999999"/>
    <n v="0"/>
    <n v="-17.309999999999999"/>
    <m/>
    <n v="1140"/>
    <n v="1.5184210526315788E-2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2"/>
    <d v="2025-04-01T00:00:00"/>
    <s v="COMISION PAQUETES"/>
    <m/>
    <n v="27000"/>
    <n v="0"/>
    <n v="-27000"/>
    <m/>
    <n v="1140"/>
    <n v="23.684210526315791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2"/>
    <d v="2025-04-01T00:00:00"/>
    <s v="I.V.A. BASE"/>
    <m/>
    <n v="5670"/>
    <n v="0"/>
    <n v="-5670"/>
    <m/>
    <n v="1140"/>
    <n v="4.9736842105263159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2"/>
    <d v="2025-04-01T00:00:00"/>
    <s v="RETEN. I.V.A. RG.2408"/>
    <m/>
    <n v="810"/>
    <n v="0"/>
    <n v="-810"/>
    <m/>
    <n v="1140"/>
    <n v="0.71052631578947367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2"/>
    <d v="2025-04-01T00:00:00"/>
    <s v="GRAVAMEN LEY 25413 S/DEB"/>
    <m/>
    <n v="162"/>
    <n v="0"/>
    <n v="-162"/>
    <m/>
    <n v="1140"/>
    <n v="0.1421052631578947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4-01T00:00:00"/>
    <s v="GRAVAMEN LEY 25413 S/DEB"/>
    <m/>
    <n v="34.020000000000003"/>
    <n v="0"/>
    <n v="-34.020000000000003"/>
    <m/>
    <n v="1140"/>
    <n v="2.9842105263157899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4-01T00:00:00"/>
    <s v="GRAVAMEN LEY 25413 S/DEB"/>
    <m/>
    <n v="4.8600000000000003"/>
    <n v="0"/>
    <n v="-4.8600000000000003"/>
    <m/>
    <n v="1140"/>
    <n v="4.263157894736842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01T00:00:00"/>
    <s v="COMISION PAQUETES"/>
    <m/>
    <n v="27000"/>
    <n v="0"/>
    <n v="-27000"/>
    <m/>
    <n v="1140"/>
    <n v="23.684210526315791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01T00:00:00"/>
    <s v="I.V.A. BASE"/>
    <m/>
    <n v="5670"/>
    <n v="0"/>
    <n v="-5670"/>
    <m/>
    <n v="1140"/>
    <n v="4.9736842105263159"/>
    <n v="0"/>
    <s v="ARS"/>
    <s v="CC"/>
    <s v="NACION"/>
    <x v="1"/>
    <x v="1"/>
    <x v="1"/>
    <s v="IVA"/>
    <s v="ARCA"/>
    <m/>
    <x v="1"/>
    <m/>
    <s v="24/25"/>
    <s v="EGRESOS"/>
    <s v="EFECTIVO Y OTROS ACT LÍQ EQ."/>
  </r>
  <r>
    <x v="3"/>
    <d v="2025-04-01T00:00:00"/>
    <s v="RETEN. I.V.A. RG.2408"/>
    <m/>
    <n v="810"/>
    <n v="0"/>
    <n v="-810"/>
    <m/>
    <n v="1140"/>
    <n v="0.71052631578947367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3"/>
    <d v="2025-04-01T00:00:00"/>
    <s v="GRAVAMEN LEY 25413 S/DEB"/>
    <m/>
    <n v="162"/>
    <n v="0"/>
    <n v="-162"/>
    <m/>
    <n v="1140"/>
    <n v="0.14210526315789473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GRAVAMEN LEY 25413 S/DEB"/>
    <m/>
    <n v="34.020000000000003"/>
    <n v="0"/>
    <n v="-34.020000000000003"/>
    <m/>
    <n v="1140"/>
    <n v="2.9842105263157899E-2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GRAVAMEN LEY 25413 S/DEB"/>
    <m/>
    <n v="4.8600000000000003"/>
    <n v="0"/>
    <n v="-4.8600000000000003"/>
    <m/>
    <n v="1140"/>
    <n v="4.263157894736842E-3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04T00:00:00"/>
    <s v="DEP.EFECTIVO"/>
    <m/>
    <n v="0"/>
    <n v="550000"/>
    <n v="550000"/>
    <m/>
    <n v="1140"/>
    <n v="0"/>
    <n v="482.45614035087721"/>
    <s v="ARS"/>
    <s v="CC"/>
    <s v="NACION"/>
    <x v="1"/>
    <x v="11"/>
    <x v="14"/>
    <s v="EN EFECTIVO EN NACIOON"/>
    <s v="BECERRA ADRIAN"/>
    <m/>
    <x v="10"/>
    <m/>
    <s v="24/25"/>
    <s v="EFECTIVO Y OTROS ACT LÍQ EQ."/>
    <s v="DEUDAS FINANCIERAS CP"/>
  </r>
  <r>
    <x v="3"/>
    <d v="2025-04-04T00:00:00"/>
    <s v="DEB.TRAN.INTERBMISMO TIT"/>
    <m/>
    <n v="520000"/>
    <n v="0"/>
    <n v="-520000"/>
    <m/>
    <n v="1140"/>
    <n v="456.14035087719299"/>
    <n v="0"/>
    <s v="ARS"/>
    <s v="CC"/>
    <s v="NACION"/>
    <x v="0"/>
    <x v="0"/>
    <x v="0"/>
    <s v="HACIA CC MACRO"/>
    <m/>
    <m/>
    <x v="0"/>
    <m/>
    <s v="24/25"/>
    <m/>
    <m/>
  </r>
  <r>
    <x v="3"/>
    <d v="2025-04-04T00:00:00"/>
    <s v="GRAVAMEN LEY 25413 S/CRED"/>
    <m/>
    <n v="3300"/>
    <n v="0"/>
    <n v="-3300"/>
    <m/>
    <n v="1140"/>
    <n v="2.894736842105263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07T00:00:00"/>
    <s v="COM TRANSFE ELECTRONICA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07T00:00:00"/>
    <s v="I.V.A. BASE"/>
    <m/>
    <n v="200.76"/>
    <n v="0"/>
    <n v="-200.76"/>
    <m/>
    <n v="1140"/>
    <n v="0.17610526315789474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07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07T00:00:00"/>
    <s v="GRAVAMEN LEY 25413 S/DEB"/>
    <m/>
    <n v="1.2"/>
    <n v="0"/>
    <n v="-1.2"/>
    <m/>
    <n v="1140"/>
    <n v="1.0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08T00:00:00"/>
    <s v="BCA.E.TR.O/BCO - CUIT/CUIL: 30708920882"/>
    <m/>
    <n v="0"/>
    <n v="10000"/>
    <n v="10000"/>
    <m/>
    <n v="1140"/>
    <n v="0"/>
    <n v="8.7719298245614041"/>
    <s v="ARS"/>
    <s v="CC"/>
    <s v="NACION"/>
    <x v="0"/>
    <x v="0"/>
    <x v="0"/>
    <s v="DESDE CC GALICIA"/>
    <m/>
    <m/>
    <x v="0"/>
    <m/>
    <s v="24/25"/>
    <m/>
    <m/>
  </r>
  <r>
    <x v="3"/>
    <d v="2025-04-10T00:00:00"/>
    <s v="BCA.E.TR.O/BCO - CUIT/CUIL: 30708920882"/>
    <m/>
    <n v="0"/>
    <n v="3000000"/>
    <n v="3000000"/>
    <n v="0"/>
    <n v="1140"/>
    <n v="0"/>
    <n v="2631.5789473684213"/>
    <s v="ARS"/>
    <s v="CC"/>
    <s v="NACION"/>
    <x v="0"/>
    <x v="0"/>
    <x v="0"/>
    <s v="DESDE CC GALICIA"/>
    <s v="CUBRE EL DESCUBIERTO"/>
    <m/>
    <x v="0"/>
    <m/>
    <s v="24/25"/>
    <m/>
    <m/>
  </r>
  <r>
    <x v="3"/>
    <d v="2025-04-11T00:00:00"/>
    <s v="COMIS.DE COMPROMISO"/>
    <m/>
    <n v="22500"/>
    <n v="0"/>
    <n v="-22500"/>
    <m/>
    <n v="1140"/>
    <n v="19.736842105263158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11T00:00:00"/>
    <s v="PM/TOT. RES. AGRONACION"/>
    <m/>
    <n v="9333.94"/>
    <n v="0"/>
    <n v="-9333.94"/>
    <m/>
    <n v="1140"/>
    <n v="8.1876666666666669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11T00:00:00"/>
    <s v="I.V.A. BASE"/>
    <m/>
    <n v="4725"/>
    <n v="0"/>
    <n v="-4725"/>
    <m/>
    <n v="1140"/>
    <n v="4.1447368421052628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11T00:00:00"/>
    <s v="RETEN. I.V.A. RG.2408"/>
    <m/>
    <n v="675"/>
    <n v="0"/>
    <n v="-675"/>
    <m/>
    <n v="1140"/>
    <n v="0.59210526315789469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3"/>
    <d v="2025-04-11T00:00:00"/>
    <s v="GRAVAMEN LEY 25413 S/DEB"/>
    <m/>
    <n v="56"/>
    <n v="0"/>
    <n v="-56"/>
    <m/>
    <n v="1140"/>
    <n v="4.912280701754386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11T00:00:00"/>
    <s v="GRAVAMEN LEY 25413 S/DEB"/>
    <m/>
    <n v="28.35"/>
    <n v="0"/>
    <n v="-28.35"/>
    <m/>
    <n v="1140"/>
    <n v="2.4868421052631581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11T00:00:00"/>
    <s v="GRAVAMEN LEY 25413 S/DEB"/>
    <m/>
    <n v="4.05"/>
    <n v="0"/>
    <n v="-4.05"/>
    <m/>
    <n v="1140"/>
    <n v="3.5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16T00:00:00"/>
    <s v="DEB.TRAN.INTERBMISMO TIT"/>
    <m/>
    <n v="1200000"/>
    <n v="0"/>
    <n v="-1200000"/>
    <m/>
    <n v="1140"/>
    <n v="1052.6315789473683"/>
    <n v="0"/>
    <s v="ARS"/>
    <s v="CC"/>
    <s v="NACION"/>
    <x v="0"/>
    <x v="0"/>
    <x v="0"/>
    <s v="HACIA CC MACRO"/>
    <m/>
    <m/>
    <x v="0"/>
    <m/>
    <s v="24/25"/>
    <m/>
    <m/>
  </r>
  <r>
    <x v="3"/>
    <d v="2025-04-16T00:00:00"/>
    <s v="DEB.TRAN.INTERBMISMO TIT"/>
    <m/>
    <n v="1000000"/>
    <n v="0"/>
    <n v="-1000000"/>
    <m/>
    <n v="1140"/>
    <n v="877.19298245614038"/>
    <n v="0"/>
    <s v="ARS"/>
    <s v="CC"/>
    <s v="NACION"/>
    <x v="0"/>
    <x v="0"/>
    <x v="0"/>
    <s v="HACIA CC MACRO"/>
    <m/>
    <m/>
    <x v="0"/>
    <m/>
    <s v="24/25"/>
    <m/>
    <m/>
  </r>
  <r>
    <x v="3"/>
    <d v="2025-04-16T00:00:00"/>
    <s v="DEB.TRAN.INTERBMISMO TIT"/>
    <m/>
    <n v="90000"/>
    <n v="0"/>
    <n v="-90000"/>
    <m/>
    <n v="1140"/>
    <n v="78.94736842105263"/>
    <n v="0"/>
    <s v="ARS"/>
    <s v="CC"/>
    <s v="NACION"/>
    <x v="0"/>
    <x v="0"/>
    <x v="0"/>
    <s v="HACIA CC MACRO"/>
    <m/>
    <m/>
    <x v="0"/>
    <m/>
    <s v="24/25"/>
    <m/>
    <m/>
  </r>
  <r>
    <x v="3"/>
    <d v="2025-04-21T00:00:00"/>
    <s v="DEB.TRAN.INTERBMISMO TIT"/>
    <m/>
    <n v="650000"/>
    <n v="0"/>
    <n v="-650000"/>
    <m/>
    <n v="1140"/>
    <n v="570.17543859649118"/>
    <n v="0"/>
    <s v="ARS"/>
    <s v="CC"/>
    <s v="NACION"/>
    <x v="0"/>
    <x v="0"/>
    <x v="0"/>
    <s v="HACIA CC MACRO"/>
    <m/>
    <m/>
    <x v="0"/>
    <m/>
    <s v="24/25"/>
    <m/>
    <m/>
  </r>
  <r>
    <x v="3"/>
    <d v="2025-04-21T00:00:00"/>
    <s v="DEB.TRAN.INTERBMISMO TIT"/>
    <m/>
    <n v="30000"/>
    <n v="0"/>
    <n v="-30000"/>
    <m/>
    <n v="1140"/>
    <n v="26.315789473684209"/>
    <n v="0"/>
    <s v="ARS"/>
    <s v="CC"/>
    <s v="NACION"/>
    <x v="1"/>
    <x v="3"/>
    <x v="13"/>
    <m/>
    <s v="MARTIN TOLEDO"/>
    <m/>
    <x v="3"/>
    <m/>
    <s v="24/25"/>
    <s v="EGRESOS"/>
    <s v="EFECTIVO Y OTROS ACT LÍQ EQ."/>
  </r>
  <r>
    <x v="3"/>
    <d v="2025-04-21T00:00:00"/>
    <s v="COM TRANSFE ELECTRONICA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21T00:00:00"/>
    <s v="COM TRANSFE ELECTRONICA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21T00:00:00"/>
    <s v="I.V.A. BASE"/>
    <m/>
    <n v="401.52"/>
    <n v="0"/>
    <n v="-401.52"/>
    <m/>
    <n v="1140"/>
    <n v="0.35221052631578947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1T00:00:00"/>
    <s v="GRAVAMEN LEY 25413 S/DEB"/>
    <m/>
    <n v="180"/>
    <n v="0"/>
    <n v="-180"/>
    <m/>
    <n v="1140"/>
    <n v="0.15789473684210525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1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1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1T00:00:00"/>
    <s v="GRAVAMEN LEY 25413 S/DEB"/>
    <m/>
    <n v="2.41"/>
    <n v="0"/>
    <n v="-2.41"/>
    <m/>
    <n v="1140"/>
    <n v="2.1140350877192982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2T00:00:00"/>
    <s v="TRANSF.INT.DIST.TITULAR - CUIT/CUIL: 20164045693"/>
    <m/>
    <n v="0"/>
    <n v="5000"/>
    <n v="5000"/>
    <m/>
    <n v="1140"/>
    <n v="0"/>
    <n v="4.3859649122807021"/>
    <s v="ARS"/>
    <s v="CC"/>
    <s v="NACION"/>
    <x v="1"/>
    <x v="2"/>
    <x v="14"/>
    <s v="P/CUBRIR EL NACION DE GASTOS"/>
    <s v="RAUL"/>
    <m/>
    <x v="8"/>
    <s v="RAUL"/>
    <s v="24/25"/>
    <s v="EFECTIVO Y OTROS ACT LÍQ EQ."/>
    <s v="APORTES DE CAPITAL"/>
  </r>
  <r>
    <x v="3"/>
    <d v="2025-04-22T00:00:00"/>
    <s v="COM TRANSFE ELECTRONICA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22T00:00:00"/>
    <s v="I.V.A. BASE"/>
    <m/>
    <n v="200.76"/>
    <n v="0"/>
    <n v="-200.76"/>
    <m/>
    <n v="1140"/>
    <n v="0.17610526315789474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22T00:00:00"/>
    <s v="GRAVAMEN LEY 25413 S/CRED"/>
    <m/>
    <n v="30"/>
    <n v="0"/>
    <n v="-30"/>
    <m/>
    <n v="1140"/>
    <n v="2.6315789473684209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2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2T00:00:00"/>
    <s v="GRAVAMEN LEY 25413 S/DEB"/>
    <m/>
    <n v="1.2"/>
    <n v="0"/>
    <n v="-1.2"/>
    <n v="-3109922.08"/>
    <n v="1140"/>
    <n v="1.0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INTERESES"/>
    <m/>
    <n v="53747.18"/>
    <n v="0"/>
    <n v="-53747.18"/>
    <m/>
    <n v="1140"/>
    <n v="47.14664912280702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41710.47"/>
    <n v="0"/>
    <n v="-41710.47"/>
    <m/>
    <n v="1140"/>
    <n v="36.588131578947369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127.45"/>
    <n v="0"/>
    <n v="-127.45"/>
    <m/>
    <n v="1140"/>
    <n v="0.11179824561403509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192.54"/>
    <n v="0"/>
    <n v="-192.54"/>
    <m/>
    <n v="1140"/>
    <n v="0.16889473684210526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13222.9"/>
    <n v="0"/>
    <n v="-13222.9"/>
    <m/>
    <n v="1140"/>
    <n v="11.599035087719297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2364.1799999999998"/>
    <n v="0"/>
    <n v="-2364.1799999999998"/>
    <m/>
    <n v="1140"/>
    <n v="2.0738421052631577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TRANSF.INT.DIST.TITULAR - CUIT/CUIL: 20164045693"/>
    <m/>
    <n v="0"/>
    <n v="120000"/>
    <n v="120000"/>
    <m/>
    <n v="1140"/>
    <n v="0"/>
    <n v="105.26315789473684"/>
    <s v="ARS"/>
    <s v="CC"/>
    <s v="NACION"/>
    <x v="1"/>
    <x v="2"/>
    <x v="14"/>
    <s v="P/CUBRIR EL NACION DE GASTOS"/>
    <s v="RAUL"/>
    <m/>
    <x v="8"/>
    <s v="RAUL"/>
    <s v="24/25"/>
    <s v="EFECTIVO Y OTROS ACT LÍQ EQ."/>
    <s v="APORTES DE CAPITAL"/>
  </r>
  <r>
    <x v="3"/>
    <d v="2025-04-29T00:00:00"/>
    <s v="PM/TOT. RES. AGRONACION"/>
    <m/>
    <n v="3599.06"/>
    <n v="0"/>
    <n v="-3599.06"/>
    <m/>
    <n v="1140"/>
    <n v="3.1570701754385966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GRAVAMEN LEY 25413 S/DEB"/>
    <m/>
    <n v="322.48"/>
    <n v="0"/>
    <n v="-322.48"/>
    <m/>
    <n v="1140"/>
    <n v="0.28287719298245617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250.26"/>
    <n v="0"/>
    <n v="-250.26"/>
    <m/>
    <n v="1140"/>
    <n v="0.21952631578947368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0.76"/>
    <n v="0"/>
    <n v="-0.76"/>
    <m/>
    <n v="1140"/>
    <n v="6.6666666666666664E-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1.1599999999999999"/>
    <n v="0"/>
    <n v="-1.1599999999999999"/>
    <m/>
    <n v="1140"/>
    <n v="1.0175438596491228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79.34"/>
    <n v="0"/>
    <n v="-79.34"/>
    <m/>
    <n v="1140"/>
    <n v="6.9596491228070184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14.19"/>
    <n v="0"/>
    <n v="-14.19"/>
    <m/>
    <n v="1140"/>
    <n v="1.2447368421052631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CRED"/>
    <m/>
    <n v="720"/>
    <n v="0"/>
    <n v="-720"/>
    <m/>
    <n v="1140"/>
    <n v="0.6315789473684210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21.59"/>
    <n v="0"/>
    <n v="-21.59"/>
    <n v="-2994930.92"/>
    <n v="1140"/>
    <n v="1.8938596491228071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DEP.EFECTIVO"/>
    <m/>
    <n v="0"/>
    <n v="1280000"/>
    <n v="1280000"/>
    <m/>
    <n v="1141"/>
    <n v="0"/>
    <n v="1121.8229623137599"/>
    <s v="ARS"/>
    <s v="CC"/>
    <s v="NACION"/>
    <x v="1"/>
    <x v="11"/>
    <x v="14"/>
    <s v="PARA TRANSF A RAUL"/>
    <s v="BECERRA ADRIAN"/>
    <m/>
    <x v="10"/>
    <m/>
    <s v="24/25"/>
    <s v="EFECTIVO Y OTROS ACT LÍQ EQ."/>
    <s v="DEUDAS FINANCIERAS CP"/>
  </r>
  <r>
    <x v="4"/>
    <d v="2025-05-05T00:00:00"/>
    <s v="DEB.TRAN.INTERBMISMO TIT"/>
    <m/>
    <n v="1000000"/>
    <n v="0"/>
    <n v="-1000000"/>
    <m/>
    <n v="1142"/>
    <n v="875.65674255691772"/>
    <n v="0"/>
    <s v="ARS"/>
    <s v="CC"/>
    <s v="NACION"/>
    <x v="1"/>
    <x v="11"/>
    <x v="30"/>
    <s v="EFEC DE ADRIAN"/>
    <s v="SANTIAGO ERRECALDE"/>
    <m/>
    <x v="10"/>
    <m/>
    <s v="24/25"/>
    <s v="ACREEDORES CORTO PLAZO"/>
    <s v="EFECTIVO Y OTROS ACT LÍQ EQ."/>
  </r>
  <r>
    <x v="4"/>
    <d v="2025-05-05T00:00:00"/>
    <s v="COMISION PAQUETES"/>
    <m/>
    <n v="27000"/>
    <n v="0"/>
    <n v="-27000"/>
    <m/>
    <n v="1143"/>
    <n v="23.622047244094489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4"/>
    <d v="2025-05-05T00:00:00"/>
    <s v="I.V.A. BASE"/>
    <m/>
    <n v="5670"/>
    <n v="0"/>
    <n v="-5670"/>
    <m/>
    <n v="1144"/>
    <n v="4.9562937062937067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RETEN. I.V.A. RG.2408"/>
    <m/>
    <n v="810"/>
    <n v="0"/>
    <n v="-810"/>
    <m/>
    <n v="1145"/>
    <n v="0.70742358078602618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4"/>
    <d v="2025-05-05T00:00:00"/>
    <s v="GRAVAMEN LEY 25413 S/CRED"/>
    <m/>
    <n v="6000"/>
    <n v="0"/>
    <n v="-6000"/>
    <m/>
    <n v="1146"/>
    <n v="5.235602094240837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GRAVAMEN LEY 25413 S/DEB"/>
    <m/>
    <n v="6000"/>
    <n v="0"/>
    <n v="-6000"/>
    <m/>
    <n v="1147"/>
    <n v="5.2310374891020048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GRAVAMEN LEY 25413 S/DEB"/>
    <m/>
    <n v="162"/>
    <n v="0"/>
    <n v="-162"/>
    <m/>
    <n v="1148"/>
    <n v="0.1411149825783972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GRAVAMEN LEY 25413 S/DEB"/>
    <m/>
    <n v="34.020000000000003"/>
    <n v="0"/>
    <n v="-34.020000000000003"/>
    <m/>
    <n v="1149"/>
    <n v="2.9608355091383813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GRAVAMEN LEY 25413 S/DEB"/>
    <m/>
    <n v="4.8600000000000003"/>
    <n v="0"/>
    <n v="-4.8600000000000003"/>
    <m/>
    <n v="1150"/>
    <n v="4.226086956521739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6T00:00:00"/>
    <s v="COM TRANSFE ELECTRONICA"/>
    <m/>
    <n v="956"/>
    <n v="0"/>
    <n v="-956"/>
    <m/>
    <n v="1151"/>
    <n v="0.830582102519548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4"/>
    <d v="2025-05-06T00:00:00"/>
    <s v="I.V.A. BASE"/>
    <m/>
    <n v="200.76"/>
    <n v="0"/>
    <n v="-200.76"/>
    <m/>
    <n v="1152"/>
    <n v="0.17427083333333332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4"/>
    <d v="2025-05-06T00:00:00"/>
    <s v="GRAVAMEN LEY 25413 S/DEB"/>
    <m/>
    <n v="5.74"/>
    <n v="0"/>
    <n v="-5.74"/>
    <m/>
    <n v="1153"/>
    <n v="4.9783174327840416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6T00:00:00"/>
    <s v="GRAVAMEN LEY 25413 S/DEB"/>
    <m/>
    <n v="1.2"/>
    <n v="0"/>
    <n v="-1.2"/>
    <m/>
    <n v="1154"/>
    <n v="1.039861351819757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7T00:00:00"/>
    <s v="BCA.E.TR.O/BCO - CUIT/CUIL: 30708920882"/>
    <m/>
    <n v="0"/>
    <n v="50000"/>
    <n v="50000"/>
    <n v="-2991775.5"/>
    <n v="1155"/>
    <n v="0"/>
    <n v="43.290043290043293"/>
    <s v="ARS"/>
    <s v="CC"/>
    <s v="NACION"/>
    <x v="0"/>
    <x v="0"/>
    <x v="0"/>
    <s v="DESDE CC MACRO"/>
    <m/>
    <m/>
    <x v="0"/>
    <m/>
    <m/>
    <m/>
    <m/>
  </r>
  <r>
    <x v="4"/>
    <d v="2025-05-20T00:00:00"/>
    <s v="BCA.E.TR.O/BCO - CUIT/CUIL: 30708920882"/>
    <m/>
    <n v="0"/>
    <n v="10500000"/>
    <n v="10500000"/>
    <m/>
    <n v="1156"/>
    <n v="0"/>
    <n v="9083.0449826989625"/>
    <s v="ARS"/>
    <s v="CC"/>
    <s v="NACION"/>
    <x v="0"/>
    <x v="0"/>
    <x v="0"/>
    <s v="DESDE CC MACRO"/>
    <m/>
    <m/>
    <x v="0"/>
    <m/>
    <m/>
    <m/>
    <m/>
  </r>
  <r>
    <x v="4"/>
    <d v="2025-05-20T00:00:00"/>
    <s v="COBRADO POR CAJA"/>
    <m/>
    <n v="10000000"/>
    <n v="0"/>
    <n v="-10000000"/>
    <n v="-2551775.5"/>
    <n v="1157"/>
    <n v="8643.042350907519"/>
    <n v="0"/>
    <s v="ARS"/>
    <s v="CC"/>
    <s v="NACION"/>
    <x v="2"/>
    <x v="4"/>
    <x v="5"/>
    <s v="COSECHA"/>
    <s v="ALTINA JOSE"/>
    <m/>
    <x v="5"/>
    <m/>
    <s v="24/25"/>
    <s v="BIENES Y SERVICIOS"/>
    <s v="EFECTIVO Y OTROS ACT LÍQ EQ."/>
  </r>
  <r>
    <x v="4"/>
    <d v="2025-05-20T00:00:00"/>
    <s v="GRAVAMEN LEY 25413 S/DEB"/>
    <m/>
    <n v="60000"/>
    <n v="0"/>
    <n v="-60000"/>
    <n v="-2691247.12"/>
    <n v="1158"/>
    <n v="51.81347150259067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02T00:00:00"/>
    <s v="COMISION PAQUETES"/>
    <m/>
    <n v="27000"/>
    <n v="0"/>
    <n v="-27000"/>
    <m/>
    <n v="1159"/>
    <n v="23.295944779982744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5"/>
    <d v="2025-06-02T00:00:00"/>
    <s v="I.V.A. BASE"/>
    <m/>
    <n v="5670"/>
    <n v="0"/>
    <n v="-5670"/>
    <m/>
    <n v="1160"/>
    <n v="4.8879310344827589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RETEN. I.V.A. RG.2408"/>
    <m/>
    <n v="810"/>
    <n v="0"/>
    <n v="-810"/>
    <m/>
    <n v="1161"/>
    <n v="0.69767441860465118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02T00:00:00"/>
    <s v="GRAVAMEN LEY 25413 S/DEB"/>
    <m/>
    <n v="162"/>
    <n v="0"/>
    <n v="-162"/>
    <m/>
    <n v="1162"/>
    <n v="0.13941480206540446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02T00:00:00"/>
    <s v="GRAVAMEN LEY 25413 S/DEB"/>
    <m/>
    <n v="34.020000000000003"/>
    <n v="0"/>
    <n v="-34.020000000000003"/>
    <m/>
    <n v="1163"/>
    <n v="2.9251934651762686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02T00:00:00"/>
    <s v="GRAVAMEN LEY 25413 S/DEB"/>
    <m/>
    <n v="4.8600000000000003"/>
    <n v="0"/>
    <n v="-4.8600000000000003"/>
    <m/>
    <n v="1164"/>
    <n v="4.1752577319587635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12T00:00:00"/>
    <s v="BCA.E.TR.O/BCO - CUIT/CUIL: 30708920882"/>
    <m/>
    <n v="0"/>
    <n v="3000000"/>
    <n v="3000000"/>
    <n v="270769.62"/>
    <n v="1165"/>
    <n v="0"/>
    <n v="2575.1072961373388"/>
    <s v="ARS"/>
    <s v="CC"/>
    <s v="NACION"/>
    <x v="0"/>
    <x v="0"/>
    <x v="0"/>
    <s v="DESDE CC MACRO"/>
    <m/>
    <m/>
    <x v="0"/>
    <m/>
    <m/>
    <m/>
    <m/>
  </r>
  <r>
    <x v="5"/>
    <d v="2025-06-24T00:00:00"/>
    <s v="DEB.TRAN.INTERBMISMO TIT"/>
    <m/>
    <n v="950000"/>
    <n v="0"/>
    <n v="-950000"/>
    <n v="-679230.38"/>
    <n v="1166"/>
    <n v="814.75128644939969"/>
    <n v="0"/>
    <s v="ARS"/>
    <s v="CC"/>
    <s v="NACION"/>
    <x v="0"/>
    <x v="0"/>
    <x v="0"/>
    <s v="HACIA CC GALICIA"/>
    <m/>
    <m/>
    <x v="0"/>
    <m/>
    <m/>
    <m/>
    <m/>
  </r>
  <r>
    <x v="5"/>
    <d v="2025-06-25T00:00:00"/>
    <s v="COM TRANSFE ELECTRONICA"/>
    <m/>
    <n v="956"/>
    <n v="0"/>
    <n v="-956"/>
    <m/>
    <n v="1167"/>
    <n v="0.81919451585261349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5"/>
    <d v="2025-06-25T00:00:00"/>
    <s v="I.V.A. BASE"/>
    <m/>
    <n v="200.76"/>
    <n v="0"/>
    <n v="-200.76"/>
    <m/>
    <n v="1168"/>
    <n v="0.17188356164383561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5"/>
    <d v="2025-06-25T00:00:00"/>
    <s v="GRAVAMEN LEY 25413 S/DEB"/>
    <m/>
    <n v="5.74"/>
    <n v="0"/>
    <n v="-5.74"/>
    <m/>
    <n v="1169"/>
    <n v="4.910179640718563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25T00:00:00"/>
    <s v="GRAVAMEN LEY 25413 S/DEB"/>
    <m/>
    <n v="1.2"/>
    <n v="0"/>
    <n v="-1.2"/>
    <n v="-756087.91"/>
    <n v="1170"/>
    <n v="1.0256410256410256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27T00:00:00"/>
    <s v="INTERESES"/>
    <m/>
    <n v="75693.83"/>
    <n v="0"/>
    <n v="-75693.83"/>
    <m/>
    <n v="1171"/>
    <n v="64.64033304867633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5"/>
    <d v="2025-06-27T00:00:00"/>
    <s v="GRAVAMEN LEY 25413 S/DEB"/>
    <m/>
    <n v="454.16"/>
    <n v="0"/>
    <n v="-454.16"/>
    <n v="-756542.07"/>
    <n v="1172"/>
    <n v="0.3875085324232082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01T00:00:00"/>
    <s v="BCA.E.TR.O/BCO - CUIT/CUIL: 30708920882"/>
    <m/>
    <n v="0"/>
    <n v="770000"/>
    <n v="770000"/>
    <m/>
    <n v="1173"/>
    <n v="0"/>
    <n v="656.43648763853366"/>
    <s v="ARS"/>
    <s v="CC"/>
    <s v="NACION"/>
    <x v="0"/>
    <x v="0"/>
    <x v="0"/>
    <s v="DESDE CC MACRO"/>
    <m/>
    <m/>
    <x v="0"/>
    <m/>
    <m/>
    <m/>
    <m/>
  </r>
  <r>
    <x v="6"/>
    <d v="2025-07-01T00:00:00"/>
    <s v="COMISION PAQUETES"/>
    <m/>
    <n v="27000"/>
    <n v="0"/>
    <n v="-27000"/>
    <m/>
    <n v="1174"/>
    <n v="22.998296422487222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6"/>
    <d v="2025-07-01T00:00:00"/>
    <s v="I.V.A. BASE"/>
    <m/>
    <n v="5670"/>
    <n v="0"/>
    <n v="-5670"/>
    <m/>
    <n v="1175"/>
    <n v="4.8255319148936167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6"/>
    <d v="2025-07-01T00:00:00"/>
    <s v="RETEN. I.V.A. RG.2408"/>
    <m/>
    <n v="810"/>
    <n v="0"/>
    <n v="-810"/>
    <m/>
    <n v="1176"/>
    <n v="0.68877551020408168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6"/>
    <d v="2025-07-01T00:00:00"/>
    <s v="GRAVAMEN LEY 25413 S/DEB"/>
    <m/>
    <n v="162"/>
    <n v="0"/>
    <n v="-162"/>
    <m/>
    <n v="1177"/>
    <n v="0.1376380628717077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01T00:00:00"/>
    <s v="GRAVAMEN LEY 25413 S/DEB"/>
    <m/>
    <n v="34.020000000000003"/>
    <n v="0"/>
    <n v="-34.020000000000003"/>
    <m/>
    <n v="1178"/>
    <n v="2.8879456706281836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01T00:00:00"/>
    <s v="GRAVAMEN LEY 25413 S/DEB"/>
    <m/>
    <n v="4.8600000000000003"/>
    <n v="0"/>
    <n v="-4.8600000000000003"/>
    <n v="29775"/>
    <n v="1179"/>
    <n v="4.1221374045801529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02T00:00:00"/>
    <s v="BCA.E.TR.O/BCO - CUIT/CUIL: 30708920882"/>
    <m/>
    <n v="0"/>
    <n v="50000"/>
    <n v="50000"/>
    <n v="29777.05"/>
    <n v="1180"/>
    <n v="0"/>
    <n v="42.372881355932201"/>
    <s v="ARS"/>
    <s v="CC"/>
    <s v="NACION"/>
    <x v="0"/>
    <x v="0"/>
    <x v="0"/>
    <s v="DESDE CC MACRO"/>
    <m/>
    <m/>
    <x v="0"/>
    <m/>
    <m/>
    <m/>
    <m/>
  </r>
  <r>
    <x v="6"/>
    <d v="2025-07-25T00:00:00"/>
    <s v="VARIOS"/>
    <m/>
    <n v="6050"/>
    <n v="0"/>
    <n v="-6050"/>
    <m/>
    <n v="1181"/>
    <n v="5.122777307366638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25T00:00:00"/>
    <s v="GRAVAMEN LEY 25413 S/DEB"/>
    <m/>
    <n v="36.299999999999997"/>
    <n v="0"/>
    <n v="-36.299999999999997"/>
    <n v="17164.439999999999"/>
    <n v="1182"/>
    <n v="3.0710659898477155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29T00:00:00"/>
    <s v="INTERESES"/>
    <m/>
    <n v="4616.59"/>
    <n v="0"/>
    <n v="-4616.59"/>
    <m/>
    <n v="1290"/>
    <n v="3.5787519379844963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6"/>
    <d v="2025-07-29T00:00:00"/>
    <s v="INTERESES"/>
    <m/>
    <n v="1909.72"/>
    <n v="0"/>
    <n v="-1909.72"/>
    <m/>
    <n v="1290"/>
    <n v="1.480403100775193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6"/>
    <d v="2025-07-29T00:00:00"/>
    <s v="GRAVAMEN LEY 25413 S/DEB"/>
    <m/>
    <n v="27.7"/>
    <n v="0"/>
    <n v="-27.7"/>
    <m/>
    <n v="1290"/>
    <n v="2.1472868217054263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29T00:00:00"/>
    <s v="GRAVAMEN LEY 25413 S/DEB"/>
    <m/>
    <n v="11.46"/>
    <n v="0"/>
    <n v="-11.46"/>
    <m/>
    <n v="1290"/>
    <n v="8.8837209302325588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1T00:00:00"/>
    <s v="COMISION PAQUETES"/>
    <m/>
    <n v="43000"/>
    <n v="0"/>
    <n v="-43000"/>
    <m/>
    <n v="1290"/>
    <n v="33.333333333333336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7"/>
    <d v="2025-08-01T00:00:00"/>
    <s v="I.V.A. BASE"/>
    <m/>
    <n v="9030"/>
    <n v="0"/>
    <n v="-9030"/>
    <m/>
    <n v="1290"/>
    <n v="7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RETEN. I.V.A. RG.2408"/>
    <m/>
    <n v="1290"/>
    <n v="0"/>
    <n v="-1290"/>
    <m/>
    <n v="1290"/>
    <n v="1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7"/>
    <d v="2025-08-01T00:00:00"/>
    <s v="GRAVAMEN LEY 25413 S/DEB"/>
    <m/>
    <n v="258"/>
    <n v="0"/>
    <n v="-258"/>
    <m/>
    <n v="1290"/>
    <n v="0.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1T00:00:00"/>
    <s v="GRAVAMEN LEY 25413 S/DEB"/>
    <m/>
    <n v="54.18"/>
    <n v="0"/>
    <n v="-54.18"/>
    <m/>
    <n v="1290"/>
    <n v="4.2000000000000003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1T00:00:00"/>
    <s v="GRAVAMEN LEY 25413 S/DEB"/>
    <m/>
    <n v="7.74"/>
    <n v="0"/>
    <n v="-7.74"/>
    <n v="-36514.639999999999"/>
    <n v="1290"/>
    <n v="6.0000000000000001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6T00:00:00"/>
    <s v="CRED BE O BCO-MIS TIT IBK - CUIT/CUIL: 30708920882"/>
    <m/>
    <n v="0"/>
    <n v="50000"/>
    <n v="50000"/>
    <m/>
    <n v="1290"/>
    <n v="0"/>
    <n v="38.759689922480618"/>
    <s v="ARS"/>
    <s v="CC"/>
    <s v="NACION"/>
    <x v="0"/>
    <x v="0"/>
    <x v="0"/>
    <s v="DESDE CC MACRO"/>
    <m/>
    <m/>
    <x v="0"/>
    <m/>
    <m/>
    <m/>
    <m/>
  </r>
  <r>
    <x v="7"/>
    <d v="2025-08-08T00:00:00"/>
    <s v="COMIS.DE COMPROMISO"/>
    <m/>
    <n v="45000"/>
    <n v="0"/>
    <n v="-45000"/>
    <m/>
    <n v="1291"/>
    <n v="34.85670023237800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7"/>
    <d v="2025-08-08T00:00:00"/>
    <s v="I.V.A. BASE"/>
    <m/>
    <n v="9450"/>
    <n v="0"/>
    <n v="-9450"/>
    <m/>
    <n v="1292"/>
    <n v="7.3142414860681111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7"/>
    <d v="2025-08-08T00:00:00"/>
    <s v="RETEN. I.V.A. RG.2408"/>
    <m/>
    <n v="1350"/>
    <n v="0"/>
    <n v="-1350"/>
    <m/>
    <n v="1293"/>
    <n v="1.0440835266821347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7"/>
    <d v="2025-08-08T00:00:00"/>
    <s v="GRAVAMEN LEY 25413 S/DEB"/>
    <m/>
    <n v="56.7"/>
    <n v="0"/>
    <n v="-56.7"/>
    <m/>
    <n v="1294"/>
    <n v="4.3817619783616694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8T00:00:00"/>
    <s v="GRAVAMEN LEY 25413 S/DEB"/>
    <m/>
    <n v="8.1"/>
    <n v="0"/>
    <n v="-8.1"/>
    <n v="-42379.44"/>
    <n v="1295"/>
    <n v="6.2548262548262545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13T00:00:00"/>
    <s v="COM.EXT.NO GRA"/>
    <m/>
    <n v="0"/>
    <n v="91700000"/>
    <n v="91700000"/>
    <n v="91657620.560000002"/>
    <n v="1360"/>
    <n v="0"/>
    <n v="67426.470588235301"/>
    <s v="ARS"/>
    <s v="CC"/>
    <s v="NACION"/>
    <x v="0"/>
    <x v="10"/>
    <x v="31"/>
    <s v="CREDITO SGR 2025"/>
    <s v="NACION"/>
    <m/>
    <x v="9"/>
    <m/>
    <s v="25/26"/>
    <s v="EFECTIVO Y OTROS ACT LÍQ EQ."/>
    <s v="CREDITOS SGR"/>
  </r>
  <r>
    <x v="7"/>
    <d v="2025-08-14T00:00:00"/>
    <s v="DEB.TRAN.INTERB"/>
    <m/>
    <n v="3139219"/>
    <n v="0"/>
    <n v="-3139219"/>
    <m/>
    <n v="1360"/>
    <n v="2308.2492647058825"/>
    <n v="0"/>
    <s v="ARS"/>
    <s v="CC"/>
    <s v="NACION"/>
    <x v="2"/>
    <x v="4"/>
    <x v="5"/>
    <s v="SIEMBRA"/>
    <s v="ARIEL RODRIGUEZ"/>
    <m/>
    <x v="5"/>
    <m/>
    <s v="24/25"/>
    <s v="BIENES Y SERVICIOS"/>
    <s v="EFECTIVO Y OTROS ACT LÍQ EQ."/>
  </r>
  <r>
    <x v="7"/>
    <d v="2025-08-14T00:00:00"/>
    <s v="GRAVAMEN LEY 25413 S/DEB"/>
    <m/>
    <n v="18835.310000000001"/>
    <n v="0"/>
    <n v="-18835.310000000001"/>
    <m/>
    <n v="1360"/>
    <n v="13.84949264705882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0T00:00:00"/>
    <s v="DEB.TRAN.INTERBMISMO TIT"/>
    <m/>
    <n v="6000000"/>
    <n v="0"/>
    <n v="-6000000"/>
    <m/>
    <n v="1360"/>
    <n v="4411.7647058823532"/>
    <n v="0"/>
    <s v="ARS"/>
    <s v="CC"/>
    <s v="NACION"/>
    <x v="0"/>
    <x v="0"/>
    <x v="0"/>
    <s v="HACIA CC MACRO"/>
    <m/>
    <m/>
    <x v="0"/>
    <m/>
    <m/>
    <m/>
    <m/>
  </r>
  <r>
    <x v="7"/>
    <d v="2025-08-20T00:00:00"/>
    <s v="DEB.TRAN.INTERB"/>
    <m/>
    <n v="1500000"/>
    <n v="0"/>
    <n v="-1500000"/>
    <m/>
    <n v="1360"/>
    <n v="1102.9411764705883"/>
    <n v="0"/>
    <s v="ARS"/>
    <s v="CC"/>
    <s v="NACION"/>
    <x v="1"/>
    <x v="2"/>
    <x v="2"/>
    <s v="OCTUBRE"/>
    <s v="CLAUDIA ERRECALDE"/>
    <m/>
    <x v="15"/>
    <s v="CLAUDIA"/>
    <s v="24/25"/>
    <s v="FUTURAS UT. ADL CLAUDIA"/>
    <s v="EFECTIVO Y OTROS ACT LÍQ EQ."/>
  </r>
  <r>
    <x v="7"/>
    <d v="2025-08-20T00:00:00"/>
    <s v="GRAVAMEN LEY 25413 S/DEB"/>
    <m/>
    <n v="9000"/>
    <n v="0"/>
    <n v="-9000"/>
    <n v="80990566.25"/>
    <n v="1360"/>
    <n v="6.617647058823529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1T00:00:00"/>
    <s v="DEB.TRAN.INTERBMISMO TIT"/>
    <m/>
    <n v="78000000"/>
    <n v="0"/>
    <n v="-78000000"/>
    <m/>
    <n v="1360"/>
    <n v="57352.941176470587"/>
    <n v="0"/>
    <s v="ARS"/>
    <s v="CC"/>
    <s v="NACION"/>
    <x v="0"/>
    <x v="0"/>
    <x v="0"/>
    <s v="HACIA CC MACRO"/>
    <m/>
    <m/>
    <x v="0"/>
    <m/>
    <s v="24/25"/>
    <m/>
    <m/>
  </r>
  <r>
    <x v="7"/>
    <d v="2025-08-21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7"/>
    <d v="2025-08-21T00:00:00"/>
    <s v="I.V.A. BASE"/>
    <m/>
    <n v="200.76"/>
    <n v="0"/>
    <n v="-200.76"/>
    <m/>
    <n v="1360"/>
    <n v="0.14761764705882352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7"/>
    <d v="2025-08-21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1T00:00:00"/>
    <s v="GRAVAMEN LEY 25413 S/DEB"/>
    <m/>
    <n v="1.2"/>
    <n v="0"/>
    <n v="-1.2"/>
    <n v="2989402.55"/>
    <n v="1360"/>
    <n v="8.8235294117647051E-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INTERESES"/>
    <m/>
    <n v="388.11"/>
    <n v="0"/>
    <n v="-388.11"/>
    <m/>
    <n v="1360"/>
    <n v="0.2853749999999999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7"/>
    <d v="2025-08-27T00:00:00"/>
    <s v="INTERESES"/>
    <m/>
    <n v="87.33"/>
    <n v="0"/>
    <n v="-87.33"/>
    <m/>
    <n v="1360"/>
    <n v="6.421323529411764E-2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7"/>
    <d v="2025-08-27T00:00:00"/>
    <s v="INTERESES"/>
    <m/>
    <n v="379.98"/>
    <n v="0"/>
    <n v="-379.98"/>
    <m/>
    <n v="1360"/>
    <n v="0.27939705882352944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7"/>
    <d v="2025-08-27T00:00:00"/>
    <s v="VARIOS"/>
    <m/>
    <n v="6050"/>
    <n v="0"/>
    <n v="-6050"/>
    <m/>
    <n v="1360"/>
    <n v="4.4485294117647056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GRAVAMEN LEY 25413 S/DEB"/>
    <m/>
    <n v="2.33"/>
    <n v="0"/>
    <n v="-2.33"/>
    <m/>
    <n v="1360"/>
    <n v="1.7132352941176471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GRAVAMEN LEY 25413 S/DEB"/>
    <m/>
    <n v="0.52"/>
    <n v="0"/>
    <n v="-0.52"/>
    <m/>
    <n v="1360"/>
    <n v="3.8235294117647061E-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GRAVAMEN LEY 25413 S/DEB"/>
    <m/>
    <n v="2.2799999999999998"/>
    <n v="0"/>
    <n v="-2.2799999999999998"/>
    <m/>
    <n v="1360"/>
    <n v="1.67647058823529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GRAVAMEN LEY 25413 S/DEB"/>
    <m/>
    <n v="36.299999999999997"/>
    <n v="0"/>
    <n v="-36.299999999999997"/>
    <m/>
    <n v="1360"/>
    <n v="2.6691176470588232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8T00:00:00"/>
    <s v="GRAVAMEN LEY 25413 S/DEB"/>
    <m/>
    <n v="2400"/>
    <n v="0"/>
    <n v="-2400"/>
    <m/>
    <n v="1360"/>
    <n v="1.764705882352941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8T00:00:00"/>
    <s v="DEB.TRAN.INTERB"/>
    <m/>
    <n v="400000"/>
    <n v="0"/>
    <n v="-400000"/>
    <m/>
    <n v="1360"/>
    <n v="294.11764705882354"/>
    <n v="0"/>
    <s v="ARS"/>
    <s v="CC"/>
    <s v="NACION"/>
    <x v="1"/>
    <x v="2"/>
    <x v="2"/>
    <s v="PARTE SEPTIEMBRE"/>
    <s v="CLAUDIA ERRECALDE"/>
    <m/>
    <x v="15"/>
    <s v="CLAUDIA"/>
    <s v="24/25"/>
    <s v="FUTURAS UT. ADL CLAUDIA"/>
    <s v="EFECTIVO Y OTROS ACT LÍQ EQ."/>
  </r>
  <r>
    <x v="7"/>
    <d v="2025-08-28T00:00:00"/>
    <s v="GRAVAMEN LEY 25413 S/DEB"/>
    <m/>
    <n v="2400"/>
    <n v="0"/>
    <n v="-2400"/>
    <m/>
    <n v="1360"/>
    <n v="1.764705882352941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9T00:00:00"/>
    <s v="CRED BE O BCO-MIS TIT IBK - CUIT/CUIL: 30708920882"/>
    <m/>
    <n v="0"/>
    <n v="60700000"/>
    <n v="60700000"/>
    <m/>
    <n v="1360"/>
    <n v="0"/>
    <n v="44632.352941176468"/>
    <s v="ARS"/>
    <s v="CC"/>
    <s v="NACION"/>
    <x v="0"/>
    <x v="0"/>
    <x v="0"/>
    <s v="DESDE CC MACRO"/>
    <m/>
    <m/>
    <x v="0"/>
    <m/>
    <s v="24/25"/>
    <m/>
    <m/>
  </r>
  <r>
    <x v="7"/>
    <d v="2025-08-29T00:00:00"/>
    <s v="TRANSF.INTER.MMO.TITULAR - CUIT/CUIL: 30708920882"/>
    <m/>
    <n v="0"/>
    <n v="6000000"/>
    <n v="6000000"/>
    <m/>
    <n v="1360"/>
    <n v="0"/>
    <n v="4411.7647058823532"/>
    <s v="ARS"/>
    <s v="CC"/>
    <s v="NACION"/>
    <x v="0"/>
    <x v="0"/>
    <x v="0"/>
    <s v="DESDE CC PAMPA"/>
    <m/>
    <m/>
    <x v="0"/>
    <m/>
    <s v="24/25"/>
    <m/>
    <m/>
  </r>
  <r>
    <x v="7"/>
    <d v="2025-08-29T00:00:00"/>
    <s v="DEB.TRAN.INTERBMISMO TIT"/>
    <m/>
    <n v="2000000"/>
    <n v="0"/>
    <n v="-2000000"/>
    <m/>
    <n v="1360"/>
    <n v="1470.5882352941176"/>
    <n v="0"/>
    <s v="ARS"/>
    <s v="CC"/>
    <s v="NACION"/>
    <x v="0"/>
    <x v="0"/>
    <x v="0"/>
    <s v="HACIA CC PAMPA"/>
    <m/>
    <m/>
    <x v="0"/>
    <m/>
    <s v="24/25"/>
    <m/>
    <m/>
  </r>
  <r>
    <x v="8"/>
    <d v="2025-09-01T00:00:00"/>
    <s v="PAGO PRESTAMO"/>
    <m/>
    <n v="66683061.909999996"/>
    <n v="0"/>
    <n v="-66683061.909999996"/>
    <m/>
    <n v="1360"/>
    <n v="49031.663169117644"/>
    <n v="0"/>
    <s v="ARS"/>
    <s v="CC"/>
    <s v="NACION"/>
    <x v="0"/>
    <x v="12"/>
    <x v="32"/>
    <s v="CREDITO NACION"/>
    <s v="BANCO NACION"/>
    <m/>
    <x v="17"/>
    <m/>
    <s v="25/26"/>
    <s v="AMORT. CREDITO NACION"/>
    <s v="EFECTIVO Y OTROS ACT LÍQ EQ."/>
  </r>
  <r>
    <x v="8"/>
    <d v="2025-09-01T00:00:00"/>
    <s v="DEB.TRAN.INTERBMISMO TIT"/>
    <m/>
    <n v="1200000"/>
    <n v="0"/>
    <n v="-1200000"/>
    <m/>
    <n v="1360"/>
    <n v="882.35294117647061"/>
    <n v="0"/>
    <s v="ARS"/>
    <s v="CC"/>
    <s v="NACION"/>
    <x v="0"/>
    <x v="0"/>
    <x v="0"/>
    <s v="HACIA CC GALICIA"/>
    <m/>
    <m/>
    <x v="0"/>
    <m/>
    <s v="25/26"/>
    <m/>
    <m/>
  </r>
  <r>
    <x v="8"/>
    <d v="2025-09-01T00:00:00"/>
    <s v="DEB.TRAN.INTERBMISMO TIT"/>
    <m/>
    <n v="500000"/>
    <n v="0"/>
    <n v="-500000"/>
    <m/>
    <n v="1360"/>
    <n v="367.64705882352939"/>
    <n v="0"/>
    <s v="ARS"/>
    <s v="CC"/>
    <s v="NACION"/>
    <x v="0"/>
    <x v="0"/>
    <x v="0"/>
    <s v="HACIA CC MACRO"/>
    <m/>
    <m/>
    <x v="0"/>
    <m/>
    <s v="25/26"/>
    <m/>
    <m/>
  </r>
  <r>
    <x v="8"/>
    <d v="2025-09-01T00:00:00"/>
    <s v="COMISION PAQUETES"/>
    <m/>
    <n v="43000"/>
    <n v="0"/>
    <n v="-43000"/>
    <m/>
    <n v="1360"/>
    <n v="31.617647058823529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01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01T00:00:00"/>
    <s v="I.V.A. BASE"/>
    <m/>
    <n v="9230.76"/>
    <n v="0"/>
    <n v="-9230.76"/>
    <m/>
    <n v="1360"/>
    <n v="6.7873235294117649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01T00:00:00"/>
    <s v="RETEN. I.V.A. RG.2408"/>
    <m/>
    <n v="1318.68"/>
    <n v="0"/>
    <n v="-1318.68"/>
    <m/>
    <n v="1360"/>
    <n v="0.96961764705882358"/>
    <n v="0"/>
    <s v="ARS"/>
    <s v="CC"/>
    <s v="NACION"/>
    <x v="1"/>
    <x v="1"/>
    <x v="1"/>
    <s v="RETENCIONES"/>
    <m/>
    <m/>
    <x v="1"/>
    <m/>
    <s v="25/26"/>
    <s v="EGRESOS"/>
    <s v="EFECTIVO Y OTROS ACT LÍQ EQ."/>
  </r>
  <r>
    <x v="8"/>
    <d v="2025-09-01T00:00:00"/>
    <s v="GRAVAMEN LEY 25413 S/DEB"/>
    <m/>
    <n v="400098.37"/>
    <n v="0"/>
    <n v="-400098.37"/>
    <m/>
    <n v="1360"/>
    <n v="294.18997794117649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1T00:00:00"/>
    <s v="GRAVAMEN LEY 25413 S/DEB"/>
    <m/>
    <n v="258"/>
    <n v="0"/>
    <n v="-258"/>
    <m/>
    <n v="1360"/>
    <n v="0.18970588235294117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1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1T00:00:00"/>
    <s v="GRAVAMEN LEY 25413 S/DEB"/>
    <m/>
    <n v="55.38"/>
    <n v="0"/>
    <n v="-55.38"/>
    <m/>
    <n v="1360"/>
    <n v="4.072058823529412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1T00:00:00"/>
    <s v="GRAVAMEN LEY 25413 S/DEB"/>
    <m/>
    <n v="7.91"/>
    <n v="0"/>
    <n v="-7.91"/>
    <m/>
    <n v="1360"/>
    <n v="5.8161764705882352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2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02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02T00:00:00"/>
    <s v="I.V.A. BASE"/>
    <m/>
    <n v="401.52"/>
    <n v="0"/>
    <n v="-401.52"/>
    <m/>
    <n v="1360"/>
    <n v="0.29523529411764704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02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2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2T00:00:00"/>
    <s v="GRAVAMEN LEY 25413 S/DEB"/>
    <m/>
    <n v="2.41"/>
    <n v="0"/>
    <n v="-2.41"/>
    <n v="-1561428.16"/>
    <n v="1360"/>
    <n v="1.7720588235294119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9T00:00:00"/>
    <s v="ACREDITACION PRESTAMO"/>
    <m/>
    <n v="0"/>
    <n v="50000000"/>
    <n v="50000000"/>
    <m/>
    <n v="1360"/>
    <n v="0"/>
    <n v="36764.705882352944"/>
    <s v="ARS"/>
    <s v="CC"/>
    <s v="NACION"/>
    <x v="0"/>
    <x v="10"/>
    <x v="32"/>
    <m/>
    <s v="NACION"/>
    <m/>
    <x v="9"/>
    <m/>
    <s v="25/26"/>
    <s v="EFECTIVO Y OTROS ACT LÍQ EQ."/>
    <s v="CREDITO NACION"/>
  </r>
  <r>
    <x v="8"/>
    <d v="2025-09-09T00:00:00"/>
    <s v="COM DIS FOND CDT"/>
    <m/>
    <n v="500000"/>
    <n v="0"/>
    <n v="-500000"/>
    <m/>
    <n v="1360"/>
    <n v="367.64705882352939"/>
    <n v="0"/>
    <s v="ARS"/>
    <s v="CC"/>
    <s v="NACION"/>
    <x v="1"/>
    <x v="1"/>
    <x v="9"/>
    <m/>
    <m/>
    <m/>
    <x v="1"/>
    <m/>
    <s v="25/26"/>
    <s v="EGRESOS"/>
    <s v="EFECTIVO Y OTROS ACT LÍQ EQ."/>
  </r>
  <r>
    <x v="8"/>
    <d v="2025-09-09T00:00:00"/>
    <s v="I.V.A. BASE"/>
    <m/>
    <n v="105000"/>
    <n v="0"/>
    <n v="-105000"/>
    <m/>
    <n v="1360"/>
    <n v="77.205882352941174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09T00:00:00"/>
    <s v="RETEN. I.V.A. RG.2408"/>
    <m/>
    <n v="15000"/>
    <n v="0"/>
    <n v="-15000"/>
    <m/>
    <n v="1360"/>
    <n v="11.029411764705882"/>
    <n v="0"/>
    <s v="ARS"/>
    <s v="CC"/>
    <s v="NACION"/>
    <x v="1"/>
    <x v="1"/>
    <x v="1"/>
    <s v="RETENCIONES"/>
    <m/>
    <m/>
    <x v="1"/>
    <m/>
    <s v="25/26"/>
    <s v="EGRESOS"/>
    <s v="EFECTIVO Y OTROS ACT LÍQ EQ."/>
  </r>
  <r>
    <x v="8"/>
    <d v="2025-09-09T00:00:00"/>
    <s v="GRAVAMEN LEY 25413 S/DEB"/>
    <m/>
    <n v="3000"/>
    <n v="0"/>
    <n v="-3000"/>
    <m/>
    <n v="1360"/>
    <n v="2.2058823529411766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9T00:00:00"/>
    <s v="GRAVAMEN LEY 25413 S/DEB"/>
    <m/>
    <n v="630"/>
    <n v="0"/>
    <n v="-630"/>
    <m/>
    <n v="1360"/>
    <n v="0.46323529411764708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9T00:00:00"/>
    <s v="GRAVAMEN LEY 25413 S/DEB"/>
    <m/>
    <n v="90"/>
    <n v="0"/>
    <n v="-90"/>
    <m/>
    <n v="1360"/>
    <n v="6.6176470588235295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10T00:00:00"/>
    <s v="DEB.TRAN.INTERBMISMO TIT"/>
    <m/>
    <n v="47800000"/>
    <n v="0"/>
    <n v="-47800000"/>
    <m/>
    <n v="1360"/>
    <n v="35147.058823529413"/>
    <n v="0"/>
    <s v="ARS"/>
    <s v="CC"/>
    <s v="NACION"/>
    <x v="0"/>
    <x v="0"/>
    <x v="0"/>
    <s v="HACIA CC MACRO"/>
    <m/>
    <m/>
    <x v="0"/>
    <m/>
    <s v="25/26"/>
    <m/>
    <m/>
  </r>
  <r>
    <x v="8"/>
    <d v="2025-09-11T00:00:00"/>
    <s v="GRAVAMEN LEY 25413 S/DEB"/>
    <m/>
    <n v="1.2"/>
    <n v="0"/>
    <n v="-1.2"/>
    <m/>
    <n v="1360"/>
    <n v="8.8235294117647051E-4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11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11T00:00:00"/>
    <s v="I.V.A. BASE"/>
    <m/>
    <n v="200.76"/>
    <n v="0"/>
    <n v="-200.76"/>
    <m/>
    <n v="1360"/>
    <n v="0.14761764705882352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11T00:00:00"/>
    <s v="COM TRANSFE ELECTRONICA"/>
    <m/>
    <n v="956"/>
    <n v="0"/>
    <n v="-956"/>
    <n v="13688.14"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25T00:00:00"/>
    <s v="VARIOS"/>
    <m/>
    <n v="6050"/>
    <n v="0"/>
    <n v="-6050"/>
    <m/>
    <n v="1360"/>
    <n v="4.4485294117647056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25T00:00:00"/>
    <s v="DEB.TRAN.INTERBMISMO TIT"/>
    <m/>
    <n v="3000000"/>
    <n v="0"/>
    <n v="-3000000"/>
    <m/>
    <n v="1360"/>
    <n v="2205.8823529411766"/>
    <n v="0"/>
    <s v="ARS"/>
    <s v="CC"/>
    <s v="NACION"/>
    <x v="0"/>
    <x v="0"/>
    <x v="0"/>
    <s v="HACIA CC PAMPA"/>
    <m/>
    <m/>
    <x v="0"/>
    <m/>
    <s v="24/25"/>
    <m/>
    <m/>
  </r>
  <r>
    <x v="8"/>
    <d v="2025-09-25T00:00:00"/>
    <s v="GRAVAMEN LEY 25413 S/DEB"/>
    <m/>
    <n v="36.299999999999997"/>
    <n v="0"/>
    <n v="-36.299999999999997"/>
    <n v="-2992398.16"/>
    <n v="1360"/>
    <n v="2.6691176470588232E-2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26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26T00:00:00"/>
    <s v="I.V.A. BASE"/>
    <m/>
    <n v="200.76"/>
    <n v="0"/>
    <n v="-200.76"/>
    <m/>
    <n v="1360"/>
    <n v="0.14761764705882352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26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26T00:00:00"/>
    <s v="GRAVAMEN LEY 25413 S/DEB"/>
    <m/>
    <n v="1.2"/>
    <n v="0"/>
    <n v="-1.2"/>
    <n v="-3036106.91"/>
    <n v="1360"/>
    <n v="8.8235294117647051E-4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01T00:00:00"/>
    <s v="COMISION PAQUETES"/>
    <m/>
    <n v="43000"/>
    <n v="0"/>
    <n v="-43000"/>
    <m/>
    <n v="1360"/>
    <n v="31.617647058823529"/>
    <n v="0"/>
    <s v="ARS"/>
    <s v="CC"/>
    <s v="NACION"/>
    <x v="1"/>
    <x v="7"/>
    <x v="9"/>
    <m/>
    <m/>
    <m/>
    <x v="1"/>
    <m/>
    <s v="25/26"/>
    <s v="EGRESOS"/>
    <s v="EFECTIVO Y OTROS ACT LÍQ EQ."/>
  </r>
  <r>
    <x v="9"/>
    <d v="2025-10-01T00:00:00"/>
    <s v="I.V.A. BASE"/>
    <m/>
    <n v="9030"/>
    <n v="0"/>
    <n v="-9030"/>
    <m/>
    <n v="1360"/>
    <n v="6.6397058823529411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9"/>
    <d v="2025-10-01T00:00:00"/>
    <s v="RETEN. I.V.A. RG.2408"/>
    <m/>
    <n v="1290"/>
    <n v="0"/>
    <n v="-1290"/>
    <m/>
    <n v="1360"/>
    <n v="0.94852941176470584"/>
    <n v="0"/>
    <s v="ARS"/>
    <s v="CC"/>
    <s v="NACION"/>
    <x v="1"/>
    <x v="1"/>
    <x v="1"/>
    <s v="RETENCIONES"/>
    <m/>
    <m/>
    <x v="1"/>
    <m/>
    <s v="25/26"/>
    <s v="EGRESOS"/>
    <s v="EFECTIVO Y OTROS ACT LÍQ EQ."/>
  </r>
  <r>
    <x v="9"/>
    <d v="2025-10-01T00:00:00"/>
    <s v="GRAVAMEN LEY 25413 S/DEB"/>
    <m/>
    <n v="258"/>
    <n v="0"/>
    <n v="-258"/>
    <m/>
    <n v="1360"/>
    <n v="0.18970588235294117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01T00:00:00"/>
    <s v="GRAVAMEN LEY 25413 S/DEB"/>
    <m/>
    <n v="54.18"/>
    <n v="0"/>
    <n v="-54.18"/>
    <m/>
    <n v="1360"/>
    <n v="3.9838235294117647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01T00:00:00"/>
    <s v="GRAVAMEN LEY 25413 S/DEB"/>
    <m/>
    <n v="7.74"/>
    <n v="0"/>
    <n v="-7.74"/>
    <n v="-3090002.1"/>
    <n v="1360"/>
    <n v="5.6911764705882351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08T00:00:00"/>
    <s v="CRED BE O BCO-MIS TIT IBK - CUIT/CUIL: 30708920882"/>
    <m/>
    <n v="0"/>
    <n v="3200000"/>
    <n v="3200000"/>
    <n v="109997.9"/>
    <n v="1360"/>
    <n v="0"/>
    <n v="2352.9411764705883"/>
    <s v="ARS"/>
    <s v="CC"/>
    <s v="NACION"/>
    <x v="0"/>
    <x v="0"/>
    <x v="0"/>
    <s v="DESDE CC MACRO"/>
    <m/>
    <m/>
    <x v="0"/>
    <m/>
    <s v="25/26"/>
    <m/>
    <m/>
  </r>
  <r>
    <x v="9"/>
    <d v="2025-10-13T00:00:00"/>
    <s v="DEB.TRAN.INTERB"/>
    <m/>
    <n v="2600000"/>
    <n v="0"/>
    <n v="-2600000"/>
    <m/>
    <n v="1360"/>
    <n v="1911.7647058823529"/>
    <n v="0"/>
    <s v="ARS"/>
    <s v="CC"/>
    <s v="NACION"/>
    <x v="1"/>
    <x v="2"/>
    <x v="2"/>
    <m/>
    <s v="RAUL"/>
    <m/>
    <x v="2"/>
    <s v="RAUL"/>
    <s v="24/25"/>
    <s v="FUTURAS UT. ADL RAUL"/>
    <s v="EFECTIVO Y OTROS ACT LÍQ EQ."/>
  </r>
  <r>
    <x v="9"/>
    <d v="2025-10-13T00:00:00"/>
    <s v="GRAVAMEN LEY 25413 S/DEB"/>
    <m/>
    <n v="15600"/>
    <n v="0"/>
    <n v="-15600"/>
    <m/>
    <n v="1360"/>
    <n v="11.470588235294118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14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9"/>
    <d v="2025-10-14T00:00:00"/>
    <s v="I.V.A. BASE"/>
    <m/>
    <n v="200.76"/>
    <n v="0"/>
    <n v="-200.76"/>
    <m/>
    <n v="1360"/>
    <n v="0.14761764705882352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9"/>
    <d v="2025-10-14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14T00:00:00"/>
    <s v="GRAVAMEN LEY 25413 S/DEB"/>
    <m/>
    <n v="1.2"/>
    <n v="0"/>
    <n v="-1.2"/>
    <n v="-2506765.7999999998"/>
    <n v="1360"/>
    <n v="8.8235294117647051E-4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17T00:00:00"/>
    <s v="CRED BE O BCO-MIS TIT IBK - CUIT/CUIL: 30708920882"/>
    <m/>
    <n v="0"/>
    <n v="2600000"/>
    <n v="2600000"/>
    <n v="-27921.38"/>
    <n v="1360"/>
    <n v="0"/>
    <n v="1911.7647058823529"/>
    <s v="ARS"/>
    <s v="CC"/>
    <s v="NACION"/>
    <x v="0"/>
    <x v="0"/>
    <x v="0"/>
    <s v="DESDE CC MACRO"/>
    <m/>
    <m/>
    <x v="0"/>
    <m/>
    <s v="25/26"/>
    <m/>
    <m/>
  </r>
  <r>
    <x v="9"/>
    <d v="2025-10-28T00:00:00"/>
    <s v="INTERESES"/>
    <m/>
    <n v="41371.32"/>
    <n v="0"/>
    <n v="-41371.32"/>
    <n v="0"/>
    <n v="1410"/>
    <n v="29.34136170212766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9"/>
    <d v="2025-10-28T00:00:00"/>
    <s v="INTERESES"/>
    <m/>
    <n v="76162.210000000006"/>
    <n v="0"/>
    <n v="-76162.210000000006"/>
    <n v="0"/>
    <n v="1410"/>
    <n v="54.015751773049651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9"/>
    <d v="2025-10-28T00:00:00"/>
    <s v="INTERESES"/>
    <m/>
    <n v="255.39"/>
    <n v="0"/>
    <n v="-255.39"/>
    <n v="0"/>
    <n v="1410"/>
    <n v="0.18112765957446808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9"/>
    <d v="2025-10-28T00:00:00"/>
    <s v="INTERESES"/>
    <m/>
    <n v="3366.66"/>
    <n v="0"/>
    <n v="-3366.66"/>
    <n v="0"/>
    <n v="1410"/>
    <n v="2.3877021276595745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9"/>
    <d v="2025-10-28T00:00:00"/>
    <s v="TRANSF.INTER.MMO.TITULAR - CUIT/CUIL: 30708920882"/>
    <m/>
    <n v="0"/>
    <n v="6000000"/>
    <n v="6000000"/>
    <n v="0"/>
    <n v="1410"/>
    <n v="0"/>
    <n v="4255.3191489361698"/>
    <s v="ARS"/>
    <s v="CC"/>
    <s v="NACION"/>
    <x v="0"/>
    <x v="0"/>
    <x v="0"/>
    <s v="DESDE CC PAMPA"/>
    <m/>
    <m/>
    <x v="0"/>
    <m/>
    <s v="25/26"/>
    <m/>
    <m/>
  </r>
  <r>
    <x v="9"/>
    <d v="2025-10-28T00:00:00"/>
    <s v="CRED BE O BCO-MIS TIT IBK - CUIT/CUIL: 30708920882"/>
    <m/>
    <n v="0"/>
    <n v="4600000"/>
    <n v="4600000"/>
    <n v="0"/>
    <n v="1410"/>
    <n v="0"/>
    <n v="3262.4113475177305"/>
    <s v="ARS"/>
    <s v="CC"/>
    <s v="NACION"/>
    <x v="0"/>
    <x v="0"/>
    <x v="0"/>
    <s v="DESDE CC GALICIA"/>
    <m/>
    <m/>
    <x v="0"/>
    <m/>
    <s v="25/26"/>
    <m/>
    <m/>
  </r>
  <r>
    <x v="9"/>
    <d v="2025-10-28T00:00:00"/>
    <s v="TRANSF.INT.DIST.TITULAR - CUIT/CUIL: 20164045693"/>
    <m/>
    <n v="0"/>
    <n v="120000"/>
    <n v="120000"/>
    <n v="0"/>
    <n v="1410"/>
    <n v="0"/>
    <n v="85.106382978723403"/>
    <s v="ARS"/>
    <s v="CC"/>
    <s v="NACION"/>
    <x v="1"/>
    <x v="2"/>
    <x v="14"/>
    <m/>
    <s v="RAUL"/>
    <m/>
    <x v="8"/>
    <s v="RAUL"/>
    <s v="24/25"/>
    <s v="EFECTIVO Y OTROS ACT LÍQ EQ."/>
    <s v="APORTES DE CAPITAL"/>
  </r>
  <r>
    <x v="9"/>
    <d v="2025-10-28T00:00:00"/>
    <s v="PM/TOT. RES. AGRONACION"/>
    <m/>
    <n v="13588061.93"/>
    <n v="0"/>
    <n v="-13588061.93"/>
    <n v="0"/>
    <n v="1410"/>
    <n v="9636.9233546099294"/>
    <n v="0"/>
    <s v="ARS"/>
    <s v="CC"/>
    <s v="NACION"/>
    <x v="0"/>
    <x v="12"/>
    <x v="33"/>
    <s v="PAGO MINIMO"/>
    <m/>
    <m/>
    <x v="17"/>
    <m/>
    <s v="25/26"/>
    <s v="AMORT. CREDITO NACION"/>
    <s v="EFECTIVO Y OTROS ACT LÍQ EQ."/>
  </r>
  <r>
    <x v="9"/>
    <d v="2025-10-28T00:00:00"/>
    <s v="DB PM/TOT RESUMEN TCORP"/>
    <m/>
    <n v="72460.850000000006"/>
    <n v="0"/>
    <n v="-72460.850000000006"/>
    <n v="0"/>
    <n v="1410"/>
    <n v="51.390673758865255"/>
    <n v="0"/>
    <s v="ARS"/>
    <s v="CC"/>
    <s v="NACION"/>
    <x v="0"/>
    <x v="12"/>
    <x v="34"/>
    <s v="PAGO ANUAL"/>
    <m/>
    <m/>
    <x v="17"/>
    <m/>
    <s v="25/26"/>
    <s v="AMORT. CREDITO NACION"/>
    <s v="EFECTIVO Y OTROS ACT LÍQ EQ."/>
  </r>
  <r>
    <x v="9"/>
    <d v="2025-10-28T00:00:00"/>
    <s v="GRAVAMEN LEY 25413 S/DEB"/>
    <m/>
    <n v="248.23"/>
    <n v="0"/>
    <n v="-248.23"/>
    <n v="0"/>
    <n v="1410"/>
    <n v="0.1760496453900709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DEB"/>
    <m/>
    <n v="456.97"/>
    <n v="0"/>
    <n v="-456.97"/>
    <n v="0"/>
    <n v="1410"/>
    <n v="0.324092198581560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DEB"/>
    <m/>
    <n v="1.53"/>
    <n v="0"/>
    <n v="-1.53"/>
    <n v="0"/>
    <n v="1410"/>
    <n v="1.0851063829787233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DEB"/>
    <m/>
    <n v="20.2"/>
    <n v="0"/>
    <n v="-20.2"/>
    <n v="0"/>
    <n v="1410"/>
    <n v="1.4326241134751772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CRED"/>
    <m/>
    <n v="720"/>
    <n v="0"/>
    <n v="-720"/>
    <n v="0"/>
    <n v="1410"/>
    <n v="0.51063829787234039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DEB"/>
    <m/>
    <n v="81528.37"/>
    <n v="0"/>
    <n v="-81528.37"/>
    <n v="-3051419.46"/>
    <n v="1410"/>
    <n v="57.821539007092198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TRANSF.INTER.MMO.TITULAR - CUIT/CUIL: 30708920882"/>
    <m/>
    <n v="0"/>
    <n v="60000"/>
    <n v="60000"/>
    <n v="-2991419.46"/>
    <n v="1410"/>
    <n v="0"/>
    <n v="42.553191489361701"/>
    <s v="ARS"/>
    <s v="CC"/>
    <s v="NACION"/>
    <x v="0"/>
    <x v="0"/>
    <x v="0"/>
    <s v="DESDE CC GALICIA"/>
    <m/>
    <m/>
    <x v="0"/>
    <m/>
    <s v="25/26"/>
    <m/>
    <m/>
  </r>
  <r>
    <x v="10"/>
    <d v="2025-11-03T00:00:00"/>
    <s v="COMISION PAQUETES"/>
    <m/>
    <n v="50000"/>
    <n v="0"/>
    <n v="-50000"/>
    <n v="0"/>
    <n v="1465"/>
    <n v="34.129692832764505"/>
    <n v="0"/>
    <s v="ARS"/>
    <s v="CC"/>
    <s v="NACION"/>
    <x v="1"/>
    <x v="7"/>
    <x v="9"/>
    <m/>
    <m/>
    <m/>
    <x v="1"/>
    <m/>
    <s v="25/26"/>
    <s v="EGRESOS"/>
    <s v="EFECTIVO Y OTROS ACT LÍQ EQ."/>
  </r>
  <r>
    <x v="10"/>
    <d v="2025-11-03T00:00:00"/>
    <s v="I.V.A. BASE"/>
    <m/>
    <n v="10500"/>
    <n v="0"/>
    <n v="-10500"/>
    <n v="0"/>
    <n v="1465"/>
    <n v="7.1672354948805461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10"/>
    <d v="2025-11-03T00:00:00"/>
    <s v="RETEN. I.V.A. RG.2408"/>
    <m/>
    <n v="1500"/>
    <n v="0"/>
    <n v="-1500"/>
    <n v="0"/>
    <n v="1465"/>
    <n v="1.0238907849829351"/>
    <n v="0"/>
    <s v="ARS"/>
    <s v="CC"/>
    <s v="NACION"/>
    <x v="1"/>
    <x v="1"/>
    <x v="1"/>
    <s v="RETENCIONES"/>
    <m/>
    <m/>
    <x v="1"/>
    <m/>
    <s v="25/26"/>
    <s v="EGRESOS"/>
    <s v="EFECTIVO Y OTROS ACT LÍQ EQ."/>
  </r>
  <r>
    <x v="10"/>
    <d v="2025-11-03T00:00:00"/>
    <s v="GRAVAMEN LEY 25413 S/DEB"/>
    <m/>
    <n v="300"/>
    <n v="0"/>
    <n v="-300"/>
    <n v="0"/>
    <n v="1465"/>
    <n v="0.2047781569965870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10"/>
    <d v="2025-11-03T00:00:00"/>
    <s v="GRAVAMEN LEY 25413 S/DEB"/>
    <m/>
    <n v="63"/>
    <n v="0"/>
    <n v="-63"/>
    <n v="0"/>
    <n v="1465"/>
    <n v="4.3003412969283276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10"/>
    <d v="2025-11-03T00:00:00"/>
    <s v="GRAVAMEN LEY 25413 S/DEB"/>
    <m/>
    <n v="9"/>
    <n v="0"/>
    <n v="-9"/>
    <n v="0"/>
    <n v="1465"/>
    <n v="6.143344709897610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10"/>
    <d v="2025-11-05T00:00:00"/>
    <s v="TRANSF.INT.DIST.TITULAR - CUIT/CUIL: 20416806102"/>
    <m/>
    <n v="0"/>
    <n v="70000"/>
    <n v="70000"/>
    <n v="0"/>
    <n v="1465"/>
    <n v="0"/>
    <n v="47.781569965870304"/>
    <s v="ARS"/>
    <s v="CC"/>
    <s v="NACION"/>
    <x v="1"/>
    <x v="2"/>
    <x v="14"/>
    <m/>
    <s v="RAUL"/>
    <m/>
    <x v="8"/>
    <s v="RAUL"/>
    <s v="24/25"/>
    <s v="EFECTIVO Y OTROS ACT LÍQ EQ."/>
    <s v="APORTES DE CAPITAL"/>
  </r>
  <r>
    <x v="10"/>
    <d v="2025-11-05T00:00:00"/>
    <s v="GRAVAMEN LEY 25413 S/CRED"/>
    <m/>
    <n v="420"/>
    <n v="0"/>
    <n v="-420"/>
    <n v="-2990297.76"/>
    <n v="1465"/>
    <n v="0.2866894197952218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10"/>
    <d v="2025-11-27T00:00:00"/>
    <s v="INTERESES"/>
    <m/>
    <n v="23473.98"/>
    <n v="0"/>
    <n v="-23473.98"/>
    <n v="0"/>
    <n v="1465"/>
    <n v="16.023194539249147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37263.599999999999"/>
    <n v="0"/>
    <n v="-37263.599999999999"/>
    <n v="0"/>
    <n v="1465"/>
    <n v="25.435904436860067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47530.18"/>
    <n v="0"/>
    <n v="-47530.18"/>
    <n v="0"/>
    <n v="1465"/>
    <n v="32.443808873720137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77075.95"/>
    <n v="0"/>
    <n v="-77075.95"/>
    <n v="0"/>
    <n v="1465"/>
    <n v="52.611569965870302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485.43"/>
    <n v="0"/>
    <n v="-485.43"/>
    <n v="0"/>
    <n v="1465"/>
    <n v="0.3313515358361774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3210.58"/>
    <n v="0"/>
    <n v="-3210.58"/>
    <n v="0"/>
    <n v="1465"/>
    <n v="2.1915221843003412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CRED BE O BCO-MIS TIT IBK - CUIT/CUIL: 30708920882"/>
    <m/>
    <n v="0"/>
    <n v="200000"/>
    <n v="200000"/>
    <n v="0"/>
    <n v="1465"/>
    <n v="0"/>
    <n v="136.51877133105802"/>
    <s v="ARS"/>
    <s v="CC"/>
    <s v="NACION"/>
    <x v="0"/>
    <x v="0"/>
    <x v="0"/>
    <s v="DESDE CC MACRO"/>
    <m/>
    <m/>
    <x v="0"/>
    <m/>
    <s v="24/25"/>
    <m/>
    <m/>
  </r>
  <r>
    <x v="10"/>
    <d v="2025-11-27T00:00:00"/>
    <s v="GRAVAMEN LEY 25413 S/DEB"/>
    <m/>
    <n v="140.84"/>
    <n v="0"/>
    <n v="-140.84"/>
    <n v="0"/>
    <n v="1465"/>
    <n v="9.6136518771331059E-2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223.58"/>
    <n v="0"/>
    <n v="-223.58"/>
    <n v="0"/>
    <n v="1465"/>
    <n v="0.15261433447098977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285.18"/>
    <n v="0"/>
    <n v="-285.18"/>
    <n v="0"/>
    <n v="1465"/>
    <n v="0.19466211604095562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462.46"/>
    <n v="0"/>
    <n v="-462.46"/>
    <n v="0"/>
    <n v="1465"/>
    <n v="0.31567235494880547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2.91"/>
    <n v="0"/>
    <n v="-2.91"/>
    <n v="0"/>
    <n v="1465"/>
    <n v="1.9863481228668944E-3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19.260000000000002"/>
    <n v="0"/>
    <n v="-19.260000000000002"/>
    <n v="-2980471.71"/>
    <n v="1465"/>
    <n v="1.3146757679180889E-2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1"/>
    <d v="2025-12-02T00:00:00"/>
    <s v="TRANSF.INTER.MMO.TITULAR - CUIT/CUIL: 30708920882"/>
    <m/>
    <n v="0"/>
    <n v="2300000"/>
    <n v="2300000"/>
    <m/>
    <n v="1465"/>
    <n v="0"/>
    <n v="1569.9658703071673"/>
    <s v="ARS"/>
    <s v="CC"/>
    <s v="NACION"/>
    <x v="0"/>
    <x v="0"/>
    <x v="0"/>
    <s v="DESDE CC PAMPA"/>
    <m/>
    <m/>
    <x v="0"/>
    <m/>
    <s v="24/25"/>
    <m/>
    <m/>
  </r>
  <r>
    <x v="11"/>
    <d v="2025-12-02T00:00:00"/>
    <s v="PM/TOT. RES. AGRONACION"/>
    <m/>
    <n v="2046445.71"/>
    <n v="0"/>
    <n v="-2046445.71"/>
    <m/>
    <n v="1465"/>
    <n v="1396.8912696245734"/>
    <n v="0"/>
    <s v="ARS"/>
    <s v="CC"/>
    <s v="NACION"/>
    <x v="0"/>
    <x v="12"/>
    <x v="33"/>
    <s v="PAGO MINIMO"/>
    <m/>
    <m/>
    <x v="17"/>
    <m/>
    <s v="25/26"/>
    <s v="AMORT. CREDITO NACION"/>
    <s v="EFECTIVO Y OTROS ACT LÍQ EQ."/>
  </r>
  <r>
    <x v="11"/>
    <d v="2025-12-02T00:00:00"/>
    <s v="GRAVAMEN LEY 25413 S/DEB"/>
    <m/>
    <n v="12278.67"/>
    <n v="0"/>
    <n v="-12278.67"/>
    <n v="-2801568.09"/>
    <n v="1465"/>
    <n v="8.3813447098976113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1"/>
    <d v="2025-12-15T00:00:00"/>
    <s v="CRED BE O BCO-MIS TIT IBK - CUIT/CUIL: 30708920882"/>
    <m/>
    <n v="0"/>
    <n v="14000000"/>
    <n v="14000000"/>
    <m/>
    <n v="1465"/>
    <n v="0"/>
    <n v="9556.3139931740607"/>
    <s v="ARS"/>
    <s v="CC"/>
    <s v="NACION"/>
    <x v="0"/>
    <x v="0"/>
    <x v="0"/>
    <s v="DESDE CC MACRO"/>
    <m/>
    <m/>
    <x v="0"/>
    <m/>
    <s v="24/25"/>
    <m/>
    <m/>
  </r>
  <r>
    <x v="11"/>
    <d v="2025-12-16T00:00:00"/>
    <s v="VARIOS"/>
    <m/>
    <n v="12960000"/>
    <n v="0"/>
    <n v="-12960000"/>
    <m/>
    <n v="1465"/>
    <n v="8846.4163822525588"/>
    <n v="0"/>
    <s v="ARS"/>
    <s v="CC"/>
    <s v="NACION"/>
    <x v="0"/>
    <x v="12"/>
    <x v="33"/>
    <s v="PAGO TOTAL"/>
    <m/>
    <m/>
    <x v="17"/>
    <m/>
    <s v="25/26"/>
    <s v="AMORT. CREDITO NACION"/>
    <s v="EFECTIVO Y OTROS ACT LÍQ EQ."/>
  </r>
  <r>
    <x v="11"/>
    <d v="2025-12-16T00:00:00"/>
    <s v="GRAVAMEN LEY 25413 S/DEB"/>
    <m/>
    <n v="77760"/>
    <n v="0"/>
    <n v="-77760"/>
    <n v="1839328.09"/>
    <n v="1465"/>
    <n v="53.078498293515359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0"/>
    <d v="2025-01-02T00:00:00"/>
    <s v="PERCEP. IVA"/>
    <m/>
    <n v="1260"/>
    <n v="0"/>
    <n v="-1260"/>
    <n v="25700.49"/>
    <n v="1140"/>
    <n v="1.1052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0"/>
    <d v="2025-01-02T00:00:00"/>
    <s v="IVA"/>
    <m/>
    <n v="8820"/>
    <n v="0"/>
    <n v="-8820"/>
    <n v="16880.490000000002"/>
    <n v="1140"/>
    <n v="7.736842105263157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0"/>
    <d v="2025-01-02T00:00:00"/>
    <s v="COMISION SERVICIO DE CUENTA"/>
    <m/>
    <n v="42000"/>
    <n v="0"/>
    <n v="-42000"/>
    <n v="-25119.51"/>
    <n v="1140"/>
    <n v="36.8421052631578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0"/>
    <d v="2025-01-02T00:00:00"/>
    <s v="IMP. DEB. LEY 25413 GRAL."/>
    <m/>
    <n v="312.48"/>
    <n v="0"/>
    <n v="-312.48"/>
    <n v="-25431.99"/>
    <n v="1140"/>
    <n v="0.2741052631578947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0"/>
    <d v="2025-01-02T00:00:00"/>
    <s v="INTERESES SOBRE SALDOS DEUDORES"/>
    <m/>
    <n v="58456.03"/>
    <n v="0"/>
    <n v="-58456.03"/>
    <n v="-83888.02"/>
    <n v="1140"/>
    <n v="51.277219298245612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0"/>
    <d v="2025-01-02T00:00:00"/>
    <s v="IMPUESTO DE SELLOS"/>
    <m/>
    <n v="1352.37"/>
    <n v="0"/>
    <n v="-1352.37"/>
    <n v="-85240.39"/>
    <n v="1140"/>
    <n v="1.1862894736842104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0"/>
    <d v="2025-01-02T00:00:00"/>
    <s v="IVA"/>
    <m/>
    <n v="6137.88"/>
    <n v="0"/>
    <n v="-6137.88"/>
    <n v="-91378.27"/>
    <n v="1140"/>
    <n v="5.384105263157894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0"/>
    <d v="2025-01-02T00:00:00"/>
    <s v="PERCEP. IVA"/>
    <m/>
    <n v="876.84"/>
    <n v="0"/>
    <n v="-876.84"/>
    <n v="-92255.11"/>
    <n v="1140"/>
    <n v="0.7691578947368421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0"/>
    <d v="2025-01-02T00:00:00"/>
    <s v="IMP. DEB. LEY 25413 GRAL."/>
    <m/>
    <n v="400.94"/>
    <n v="0"/>
    <n v="-400.94"/>
    <n v="-92656.05"/>
    <n v="1140"/>
    <n v="0.3517017543859649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0"/>
    <d v="2025-01-09T00:00:00"/>
    <s v="TRF INMED PROVEED"/>
    <m/>
    <n v="326700"/>
    <n v="0"/>
    <n v="-326700"/>
    <n v="-419356.05"/>
    <n v="1140"/>
    <n v="286.57894736842104"/>
    <n v="0"/>
    <s v="ARS"/>
    <s v="CC"/>
    <s v="GALICIA"/>
    <x v="2"/>
    <x v="4"/>
    <x v="35"/>
    <s v="FLETES FERTILIZANTE"/>
    <s v="TRANSP. MDB"/>
    <s v="FA 6973"/>
    <x v="4"/>
    <m/>
    <s v="23/24"/>
    <s v="BIENES Y SERVICIOS 2024"/>
    <s v="EFECTIVO Y OTROS ACT LÍQ EQ."/>
  </r>
  <r>
    <x v="0"/>
    <d v="2025-01-09T00:00:00"/>
    <s v="IMP. DEB. LEY 25413 GRAL."/>
    <m/>
    <n v="1960.2"/>
    <n v="0"/>
    <n v="-1960.2"/>
    <n v="-421316.25"/>
    <n v="1140"/>
    <n v="1.719473684210526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0"/>
    <d v="2025-01-13T00:00:00"/>
    <s v="TRF INMED PROVEED"/>
    <m/>
    <n v="32500"/>
    <n v="0"/>
    <n v="-32500"/>
    <n v="-453816.25"/>
    <n v="1140"/>
    <n v="28.508771929824562"/>
    <n v="0"/>
    <s v="ARS"/>
    <s v="CC"/>
    <s v="GALICIA"/>
    <x v="3"/>
    <x v="5"/>
    <x v="36"/>
    <s v="MES DICIEMBRE"/>
    <s v="CHICHIN PICCO"/>
    <m/>
    <x v="7"/>
    <m/>
    <s v="23/24"/>
    <s v="BIENES Y SERVICIOS"/>
    <s v="EFECTIVO Y OTROS ACT LÍQ EQ."/>
  </r>
  <r>
    <x v="0"/>
    <d v="2025-01-13T00:00:00"/>
    <s v="IMP. DEB. LEY 25413 GRAL."/>
    <m/>
    <n v="195"/>
    <n v="0"/>
    <n v="-195"/>
    <n v="-454011.25"/>
    <n v="1140"/>
    <n v="0.1710526315789473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0"/>
    <d v="2025-01-14T00:00:00"/>
    <s v="TRANSF INMED CP"/>
    <m/>
    <n v="1800000"/>
    <n v="0"/>
    <n v="-1800000"/>
    <n v="-2254011.25"/>
    <n v="1140"/>
    <n v="1578.9473684210527"/>
    <n v="0"/>
    <s v="ARS"/>
    <s v="CC"/>
    <s v="GALICIA"/>
    <x v="0"/>
    <x v="0"/>
    <x v="0"/>
    <s v="HACIA EL MACRO"/>
    <m/>
    <m/>
    <x v="0"/>
    <m/>
    <s v="24/25"/>
    <m/>
    <m/>
  </r>
  <r>
    <x v="0"/>
    <d v="2025-01-16T00:00:00"/>
    <s v="IMP. DEB. LEY 25413 GRAL."/>
    <m/>
    <n v="61.43"/>
    <n v="0"/>
    <n v="-61.43"/>
    <n v="-2264311.83"/>
    <n v="1140"/>
    <n v="5.3885964912280704E-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0"/>
    <d v="2025-01-16T00:00:00"/>
    <s v="TRF INMED PROVEED"/>
    <m/>
    <n v="10239.15"/>
    <n v="0"/>
    <n v="-10239.15"/>
    <n v="-2264250.4"/>
    <n v="1140"/>
    <n v="8.9817105263157888"/>
    <n v="0"/>
    <s v="ARS"/>
    <s v="CC"/>
    <s v="GALICIA"/>
    <x v="3"/>
    <x v="5"/>
    <x v="37"/>
    <s v="INSUMOS PARA PILETA"/>
    <s v="SUR SANITARIOS"/>
    <s v="FA 6248"/>
    <x v="6"/>
    <m/>
    <s v="24/25"/>
    <s v="INFRAESTRUCTURA"/>
    <s v="EFECTIVO Y OTROS ACT LÍQ EQ."/>
  </r>
  <r>
    <x v="1"/>
    <d v="2025-02-03T00:00:00"/>
    <s v="COMISION SERVICIO DE CUENTA"/>
    <m/>
    <n v="42000"/>
    <n v="0"/>
    <n v="-42000"/>
    <n v="-2306311.83"/>
    <n v="1140"/>
    <n v="36.8421052631578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1"/>
    <d v="2025-02-03T00:00:00"/>
    <s v="IVA"/>
    <m/>
    <n v="8820"/>
    <n v="0"/>
    <n v="-8820"/>
    <n v="-2315131.83"/>
    <n v="1140"/>
    <n v="7.736842105263157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PERCEP. IVA"/>
    <m/>
    <n v="1260"/>
    <n v="0"/>
    <n v="-1260"/>
    <n v="-2316391.83"/>
    <n v="1140"/>
    <n v="1.1052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"/>
    <d v="2025-02-03T00:00:00"/>
    <s v="IMP. DEB. LEY 25413 GRAL."/>
    <m/>
    <n v="312.48"/>
    <n v="0"/>
    <n v="-312.48"/>
    <n v="-2316704.31"/>
    <n v="1140"/>
    <n v="0.27410526315789474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INTERESES SOBRE SALDOS DEUDORES"/>
    <m/>
    <n v="59623.12"/>
    <n v="0"/>
    <n v="-59623.12"/>
    <n v="-2376327.4300000002"/>
    <n v="1140"/>
    <n v="52.300982456140353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1"/>
    <d v="2025-02-03T00:00:00"/>
    <s v="IMPUESTO DE SELLOS"/>
    <m/>
    <n v="1430.95"/>
    <n v="0"/>
    <n v="-1430.95"/>
    <n v="-2377758.38"/>
    <n v="1140"/>
    <n v="1.2552192982456141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1"/>
    <d v="2025-02-03T00:00:00"/>
    <s v="IVA"/>
    <m/>
    <n v="6260.43"/>
    <n v="0"/>
    <n v="-6260.43"/>
    <n v="-2384018.81"/>
    <n v="1140"/>
    <n v="5.4916052631578953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PERCEP. IVA"/>
    <m/>
    <n v="894.35"/>
    <n v="0"/>
    <n v="-894.35"/>
    <n v="-2384913.16"/>
    <n v="1140"/>
    <n v="0.78451754385964911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"/>
    <d v="2025-02-03T00:00:00"/>
    <s v="IMP. DEB. LEY 25413 GRAL."/>
    <m/>
    <n v="409.25"/>
    <n v="0"/>
    <n v="-409.25"/>
    <n v="-2385322.41"/>
    <n v="1140"/>
    <n v="0.3589912280701754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1"/>
    <d v="2025-02-25T00:00:00"/>
    <s v="CHEQUE 48 HS. "/>
    <s v="N68698131"/>
    <n v="1550000"/>
    <n v="0"/>
    <n v="-1550000"/>
    <n v="-3935322.41"/>
    <n v="1140"/>
    <n v="1359.6491228070176"/>
    <n v="0"/>
    <s v="ARS"/>
    <s v="CC"/>
    <s v="GALICIA"/>
    <x v="3"/>
    <x v="14"/>
    <x v="26"/>
    <m/>
    <s v="RUSO MALDONADO"/>
    <m/>
    <x v="5"/>
    <m/>
    <s v="24/25"/>
    <s v="BIENES DE USO"/>
    <s v="EFECTIVO Y OTROS ACT LÍQ EQ."/>
  </r>
  <r>
    <x v="1"/>
    <d v="2025-02-25T00:00:00"/>
    <s v="IMP. DEB. LEY 25413 GRAL."/>
    <m/>
    <n v="9300"/>
    <n v="0"/>
    <n v="-9300"/>
    <n v="-3944622.41"/>
    <n v="1140"/>
    <n v="8.157894736842104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1"/>
    <d v="2025-02-26T00:00:00"/>
    <s v="TRANSF INMED CP"/>
    <m/>
    <n v="1500000"/>
    <n v="0"/>
    <n v="-1500000"/>
    <n v="-5444622.4100000001"/>
    <n v="1140"/>
    <n v="1315.7894736842106"/>
    <n v="0"/>
    <s v="ARS"/>
    <s v="CC"/>
    <s v="GALICIA"/>
    <x v="0"/>
    <x v="0"/>
    <x v="0"/>
    <s v="HACIA EL PAMPA"/>
    <m/>
    <m/>
    <x v="0"/>
    <m/>
    <s v="24/25"/>
    <m/>
    <m/>
  </r>
  <r>
    <x v="2"/>
    <d v="2025-03-05T00:00:00"/>
    <s v="TRANSF INMED CP"/>
    <m/>
    <n v="300000"/>
    <n v="0"/>
    <n v="-300000"/>
    <n v="-5744622.4100000001"/>
    <n v="1140"/>
    <n v="263.15789473684208"/>
    <n v="0"/>
    <s v="ARS"/>
    <s v="CC"/>
    <s v="GALICIA"/>
    <x v="0"/>
    <x v="0"/>
    <x v="0"/>
    <s v="HACIA EL MACRO"/>
    <m/>
    <m/>
    <x v="0"/>
    <m/>
    <s v="24/25"/>
    <m/>
    <m/>
  </r>
  <r>
    <x v="2"/>
    <d v="2025-03-05T00:00:00"/>
    <s v="TRANSF INMED CP"/>
    <m/>
    <n v="1400000"/>
    <n v="0"/>
    <n v="-1400000"/>
    <n v="-7144622.4100000001"/>
    <n v="1140"/>
    <n v="1228.0701754385964"/>
    <n v="0"/>
    <s v="ARS"/>
    <s v="CC"/>
    <s v="GALICIA"/>
    <x v="0"/>
    <x v="0"/>
    <x v="0"/>
    <s v="HACIA EL MACRO"/>
    <m/>
    <m/>
    <x v="0"/>
    <m/>
    <s v="24/25"/>
    <m/>
    <m/>
  </r>
  <r>
    <x v="2"/>
    <d v="2025-03-05T00:00:00"/>
    <s v="COMISION SERVICIO DE CUENTA"/>
    <m/>
    <n v="42000"/>
    <n v="0"/>
    <n v="-42000"/>
    <n v="-7186622.4100000001"/>
    <n v="1140"/>
    <n v="36.8421052631578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2"/>
    <d v="2025-03-05T00:00:00"/>
    <s v="IVA"/>
    <m/>
    <n v="8820"/>
    <n v="0"/>
    <n v="-8820"/>
    <n v="-7195442.4100000001"/>
    <n v="1140"/>
    <n v="7.7368421052631575"/>
    <n v="0"/>
    <s v="ARS"/>
    <s v="CC"/>
    <s v="GALICIA"/>
    <x v="1"/>
    <x v="1"/>
    <x v="1"/>
    <s v="IVA"/>
    <s v="ARCA"/>
    <m/>
    <x v="1"/>
    <m/>
    <s v="24/25"/>
    <s v="EGRESOS"/>
    <s v="EFECTIVO Y OTROS ACT LÍQ EQ."/>
  </r>
  <r>
    <x v="2"/>
    <d v="2025-03-05T00:00:00"/>
    <s v="PERCEP. IVA"/>
    <m/>
    <n v="1260"/>
    <n v="0"/>
    <n v="-1260"/>
    <n v="-7196702.4100000001"/>
    <n v="1140"/>
    <n v="1.1052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COMISION CHEQUE PAGADO POR CLEARING"/>
    <m/>
    <n v="1100"/>
    <n v="0"/>
    <n v="-1100"/>
    <n v="-7197802.4100000001"/>
    <n v="1140"/>
    <n v="0.96491228070175439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2"/>
    <d v="2025-03-05T00:00:00"/>
    <s v="IVA"/>
    <m/>
    <n v="231"/>
    <n v="0"/>
    <n v="-231"/>
    <n v="-7198033.4100000001"/>
    <n v="1140"/>
    <n v="0.20263157894736841"/>
    <n v="0"/>
    <s v="ARS"/>
    <s v="CC"/>
    <s v="GALICIA"/>
    <x v="1"/>
    <x v="1"/>
    <x v="1"/>
    <s v="IVA"/>
    <s v="ARCA"/>
    <m/>
    <x v="1"/>
    <m/>
    <s v="24/25"/>
    <s v="EGRESOS"/>
    <s v="EFECTIVO Y OTROS ACT LÍQ EQ."/>
  </r>
  <r>
    <x v="2"/>
    <d v="2025-03-05T00:00:00"/>
    <s v="IMP. DEB. LEY 25413 GRAL."/>
    <m/>
    <n v="320.47000000000003"/>
    <n v="0"/>
    <n v="-320.47000000000003"/>
    <n v="-7198353.8799999999"/>
    <n v="1140"/>
    <n v="0.2811140350877193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05T00:00:00"/>
    <s v="INTERESES SOBRE SALDOS DEUDORES"/>
    <m/>
    <n v="105868.78"/>
    <n v="0"/>
    <n v="-105868.78"/>
    <n v="-7304222.6600000001"/>
    <n v="1140"/>
    <n v="92.867350877192976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2"/>
    <d v="2025-03-05T00:00:00"/>
    <s v="IMPUESTO DE SELLOS"/>
    <m/>
    <n v="2540.85"/>
    <n v="0"/>
    <n v="-2540.85"/>
    <n v="-7306763.5099999998"/>
    <n v="1140"/>
    <n v="2.2288157894736842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2"/>
    <d v="2025-03-05T00:00:00"/>
    <s v="IVA"/>
    <m/>
    <n v="11116.22"/>
    <n v="0"/>
    <n v="-11116.22"/>
    <n v="-7317879.7300000004"/>
    <n v="1140"/>
    <n v="9.7510701754385956"/>
    <n v="0"/>
    <s v="ARS"/>
    <s v="CC"/>
    <s v="GALICIA"/>
    <x v="1"/>
    <x v="1"/>
    <x v="1"/>
    <s v="IVA"/>
    <s v="ARCA"/>
    <m/>
    <x v="1"/>
    <m/>
    <s v="24/25"/>
    <s v="EGRESOS"/>
    <s v="EFECTIVO Y OTROS ACT LÍQ EQ."/>
  </r>
  <r>
    <x v="2"/>
    <d v="2025-03-05T00:00:00"/>
    <s v="PERCEP. IVA"/>
    <m/>
    <n v="1588.03"/>
    <n v="0"/>
    <n v="-1588.03"/>
    <n v="-7319467.7599999998"/>
    <n v="1140"/>
    <n v="1.393008771929824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IMP. DEB. LEY 25413 GRAL."/>
    <m/>
    <n v="726.68"/>
    <n v="0"/>
    <n v="-726.68"/>
    <n v="-7320194.4400000004"/>
    <n v="1140"/>
    <n v="0.6374385964912280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07T00:00:00"/>
    <s v="CHEQUE 48 HS. "/>
    <s v="N68698139"/>
    <n v="453725"/>
    <n v="0"/>
    <n v="-453725"/>
    <n v="-7773919.4400000004"/>
    <n v="1140"/>
    <n v="398.00438596491227"/>
    <n v="0"/>
    <s v="ARS"/>
    <s v="CC"/>
    <s v="GALICIA"/>
    <x v="3"/>
    <x v="5"/>
    <x v="28"/>
    <s v="ELECT CASA"/>
    <s v="COOPERATIVA ELC"/>
    <m/>
    <x v="6"/>
    <m/>
    <s v="24/25"/>
    <s v="EGRESOS"/>
    <s v="EFECTIVO Y OTROS ACT LÍQ EQ."/>
  </r>
  <r>
    <x v="2"/>
    <d v="2025-03-07T00:00:00"/>
    <s v="TRANSFERENCIA DE CUENTA PROPIA"/>
    <m/>
    <n v="0"/>
    <n v="600000"/>
    <n v="600000"/>
    <n v="-7173919.4400000004"/>
    <n v="1140"/>
    <n v="0"/>
    <n v="526.31578947368416"/>
    <s v="ARS"/>
    <s v="CC"/>
    <s v="GALICIA"/>
    <x v="0"/>
    <x v="0"/>
    <x v="0"/>
    <s v="DESDE CC NACION"/>
    <m/>
    <m/>
    <x v="0"/>
    <m/>
    <s v="24/25"/>
    <m/>
    <m/>
  </r>
  <r>
    <x v="2"/>
    <d v="2025-03-07T00:00:00"/>
    <s v="IMP. DEB. LEY 25413 GRAL."/>
    <m/>
    <n v="2722.35"/>
    <n v="0"/>
    <n v="-2722.35"/>
    <n v="-7176641.79"/>
    <n v="1140"/>
    <n v="2.3880263157894737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2"/>
    <d v="2025-03-10T00:00:00"/>
    <s v="TRANSF INMED CP"/>
    <m/>
    <n v="20000"/>
    <n v="0"/>
    <n v="-20000"/>
    <n v="-7196641.79"/>
    <n v="1140"/>
    <n v="17.543859649122808"/>
    <n v="0"/>
    <s v="ARS"/>
    <s v="CC"/>
    <s v="GALICIA"/>
    <x v="0"/>
    <x v="0"/>
    <x v="0"/>
    <s v="HACIA EL MACRO"/>
    <m/>
    <m/>
    <x v="0"/>
    <m/>
    <s v="24/25"/>
    <m/>
    <m/>
  </r>
  <r>
    <x v="2"/>
    <d v="2025-03-11T00:00:00"/>
    <s v="CHEQUE 48 HS. "/>
    <s v="N68698136"/>
    <n v="87437.25"/>
    <n v="0"/>
    <n v="-87437.25"/>
    <n v="-7284079.04"/>
    <n v="1140"/>
    <n v="76.699342105263156"/>
    <n v="0"/>
    <s v="ARS"/>
    <s v="CC"/>
    <s v="GALICIA"/>
    <x v="3"/>
    <x v="5"/>
    <x v="38"/>
    <m/>
    <s v="CANSECO"/>
    <s v="FA209 FA 152"/>
    <x v="6"/>
    <m/>
    <s v="24/25"/>
    <s v="BIENES Y SERVICIOS"/>
    <s v="EFECTIVO Y OTROS ACT LÍQ EQ."/>
  </r>
  <r>
    <x v="2"/>
    <d v="2025-03-11T00:00:00"/>
    <s v="CHEQUE 48 HS. "/>
    <s v="N68698134"/>
    <n v="448263.38"/>
    <n v="0"/>
    <n v="-448263.38"/>
    <n v="-7644905.1699999999"/>
    <n v="1140"/>
    <n v="393.21349122807015"/>
    <n v="0"/>
    <s v="ARS"/>
    <s v="CC"/>
    <s v="GALICIA"/>
    <x v="3"/>
    <x v="8"/>
    <x v="39"/>
    <s v="REPUESTOS"/>
    <s v="ZANOTTO "/>
    <s v="FA 2833"/>
    <x v="6"/>
    <m/>
    <s v="24/25"/>
    <s v="BIENES Y SERVICIOS"/>
    <s v="EFECTIVO Y OTROS ACT LÍQ EQ."/>
  </r>
  <r>
    <x v="2"/>
    <d v="2025-03-11T00:00:00"/>
    <s v="TRANSFERENCIA DE TERCEROS"/>
    <m/>
    <n v="0"/>
    <n v="550000"/>
    <n v="550000"/>
    <n v="-7182342"/>
    <n v="1140"/>
    <n v="0"/>
    <n v="482.45614035087721"/>
    <s v="ARS"/>
    <s v="CC"/>
    <s v="GALICIA"/>
    <x v="1"/>
    <x v="2"/>
    <x v="14"/>
    <m/>
    <s v="RAUL"/>
    <m/>
    <x v="8"/>
    <s v="RAUL"/>
    <s v="24/25"/>
    <s v="EFECTIVO Y OTROS ACT LÍQ EQ."/>
    <s v="APORTES DE CAPITAL"/>
  </r>
  <r>
    <x v="2"/>
    <d v="2025-03-11T00:00:00"/>
    <s v="IMP. DEB. LEY 25413 GRAL."/>
    <m/>
    <n v="3214.2"/>
    <n v="0"/>
    <n v="-3214.2"/>
    <n v="-7185556.6200000001"/>
    <n v="1140"/>
    <n v="2.819473684210526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11T00:00:00"/>
    <s v="IMP. CRE. LEY 25413"/>
    <m/>
    <n v="3300"/>
    <n v="0"/>
    <n v="-3300"/>
    <n v="-7188856.6200000001"/>
    <n v="1140"/>
    <n v="2.894736842105263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12T00:00:00"/>
    <s v="TRANSF INMED CP"/>
    <m/>
    <n v="6100"/>
    <n v="0"/>
    <n v="-6100"/>
    <n v="-7199956.6200000001"/>
    <n v="1140"/>
    <n v="5.3508771929824563"/>
    <n v="0"/>
    <s v="ARS"/>
    <s v="CC"/>
    <s v="GALICIA"/>
    <x v="0"/>
    <x v="0"/>
    <x v="0"/>
    <s v="HACIA EL NACION"/>
    <m/>
    <m/>
    <x v="0"/>
    <m/>
    <s v="24/25"/>
    <m/>
    <m/>
  </r>
  <r>
    <x v="2"/>
    <d v="2025-03-12T00:00:00"/>
    <s v="TRANSF INMED CP"/>
    <m/>
    <n v="5000"/>
    <n v="0"/>
    <n v="-5000"/>
    <n v="-7193856.6200000001"/>
    <n v="1140"/>
    <n v="4.3859649122807021"/>
    <n v="0"/>
    <s v="ARS"/>
    <s v="CC"/>
    <s v="GALICIA"/>
    <x v="0"/>
    <x v="0"/>
    <x v="0"/>
    <s v="HACIA EL MACRO"/>
    <m/>
    <m/>
    <x v="0"/>
    <m/>
    <s v="24/25"/>
    <m/>
    <m/>
  </r>
  <r>
    <x v="2"/>
    <d v="2025-03-18T00:00:00"/>
    <s v="CHEQUE 48 HS. "/>
    <s v="N68698138"/>
    <n v="757427.09"/>
    <n v="0"/>
    <n v="-757427.09"/>
    <n v="-7957383.71"/>
    <n v="1140"/>
    <n v="664.40972807017545"/>
    <n v="0"/>
    <s v="ARS"/>
    <s v="CC"/>
    <s v="GALICIA"/>
    <x v="3"/>
    <x v="5"/>
    <x v="40"/>
    <s v="MES ENERO"/>
    <s v="MERLO"/>
    <m/>
    <x v="6"/>
    <m/>
    <s v="24/25"/>
    <s v="BIENES Y SERVICIOS"/>
    <s v="EFECTIVO Y OTROS ACT LÍQ EQ."/>
  </r>
  <r>
    <x v="2"/>
    <d v="2025-03-18T00:00:00"/>
    <s v="TRANSFER. CASH MISMA TITULARIDAD"/>
    <m/>
    <n v="0"/>
    <n v="760000"/>
    <n v="760000"/>
    <n v="-7197383.71"/>
    <n v="1140"/>
    <n v="0"/>
    <n v="666.66666666666663"/>
    <s v="ARS"/>
    <s v="CC"/>
    <s v="GALICIA"/>
    <x v="0"/>
    <x v="0"/>
    <x v="0"/>
    <s v="DESDE CC MACRO"/>
    <m/>
    <m/>
    <x v="0"/>
    <m/>
    <s v="24/25"/>
    <m/>
    <m/>
  </r>
  <r>
    <x v="2"/>
    <d v="2025-03-18T00:00:00"/>
    <s v="IMP. DEB. LEY 25413 GRAL."/>
    <m/>
    <n v="4544.5600000000004"/>
    <n v="0"/>
    <n v="-4544.5600000000004"/>
    <n v="-7201928.2699999996"/>
    <n v="1140"/>
    <n v="3.986456140350877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19T00:00:00"/>
    <s v="TRANSFER. CASH MISMA TITULARIDAD"/>
    <m/>
    <n v="0"/>
    <n v="20000"/>
    <n v="20000"/>
    <n v="7181928.2699999996"/>
    <n v="1140"/>
    <n v="0"/>
    <n v="17.543859649122808"/>
    <s v="ARS"/>
    <s v="CC"/>
    <s v="GALICIA"/>
    <x v="0"/>
    <x v="0"/>
    <x v="0"/>
    <s v="DESDE CC MACRO"/>
    <m/>
    <m/>
    <x v="0"/>
    <m/>
    <s v="24/25"/>
    <m/>
    <m/>
  </r>
  <r>
    <x v="2"/>
    <d v="2025-03-26T00:00:00"/>
    <s v="CHEQUE 48 HS. "/>
    <s v="N68698137"/>
    <n v="133425.44"/>
    <n v="0"/>
    <n v="-133425.44"/>
    <n v="-7315353.71"/>
    <n v="1140"/>
    <n v="117.0398596491228"/>
    <n v="0"/>
    <s v="ARS"/>
    <s v="CC"/>
    <s v="GALICIA"/>
    <x v="5"/>
    <x v="13"/>
    <x v="25"/>
    <s v="INSUMOS"/>
    <s v="EL CALDEN"/>
    <s v="FA75 FA 37"/>
    <x v="6"/>
    <m/>
    <s v="24/25"/>
    <s v="BIENES Y SERVICIOS"/>
    <s v="EFECTIVO Y OTROS ACT LÍQ EQ."/>
  </r>
  <r>
    <x v="2"/>
    <d v="2025-03-26T00:00:00"/>
    <s v="CHEQUE 48 HS. "/>
    <s v="N68698133"/>
    <n v="1550000"/>
    <n v="0"/>
    <n v="-1550000"/>
    <n v="-8731928.2699999996"/>
    <n v="1140"/>
    <n v="1359.6491228070176"/>
    <n v="0"/>
    <s v="ARS"/>
    <s v="CC"/>
    <s v="GALICIA"/>
    <x v="3"/>
    <x v="14"/>
    <x v="26"/>
    <m/>
    <s v="RUSO MALDONADO"/>
    <m/>
    <x v="5"/>
    <m/>
    <s v="24/25"/>
    <s v="BIENES DE USO"/>
    <s v="EFECTIVO Y OTROS ACT LÍQ EQ."/>
  </r>
  <r>
    <x v="2"/>
    <d v="2025-03-26T00:00:00"/>
    <s v="TRANSFER. CASH MISMA TITULARIDAD"/>
    <m/>
    <n v="0"/>
    <n v="1700000"/>
    <n v="1700000"/>
    <n v="-7165353.71"/>
    <n v="1140"/>
    <n v="0"/>
    <n v="1491.2280701754387"/>
    <s v="ARS"/>
    <s v="CC"/>
    <s v="GALICIA"/>
    <x v="0"/>
    <x v="0"/>
    <x v="0"/>
    <s v="DESDE CC MACRO"/>
    <m/>
    <m/>
    <x v="0"/>
    <m/>
    <s v="24/25"/>
    <m/>
    <m/>
  </r>
  <r>
    <x v="2"/>
    <d v="2025-03-26T00:00:00"/>
    <s v="IMP. DEB. LEY 25413 GRAL."/>
    <m/>
    <n v="10100.549999999999"/>
    <n v="0"/>
    <n v="-10100.549999999999"/>
    <n v="-7175454.2599999998"/>
    <n v="1140"/>
    <n v="8.860131578947367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28T00:00:00"/>
    <s v="TRF INMED PROVEED"/>
    <m/>
    <n v="8800"/>
    <n v="0"/>
    <n v="-8800"/>
    <n v="-7184254.2599999998"/>
    <n v="1140"/>
    <n v="7.7192982456140351"/>
    <n v="0"/>
    <s v="ARS"/>
    <s v="CC"/>
    <s v="GALICIA"/>
    <x v="4"/>
    <x v="16"/>
    <x v="41"/>
    <m/>
    <s v="VETERINARIA"/>
    <m/>
    <x v="1"/>
    <m/>
    <s v="24/25"/>
    <s v="EGRESOS"/>
    <s v="EFECTIVO Y OTROS ACT LÍQ EQ."/>
  </r>
  <r>
    <x v="2"/>
    <d v="2025-03-28T00:00:00"/>
    <s v="IMP. DEB. LEY 25413 GRAL."/>
    <m/>
    <n v="52.8"/>
    <n v="0"/>
    <n v="-52.8"/>
    <n v="-7184307.0599999996"/>
    <n v="1140"/>
    <n v="4.6315789473684206E-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1T00:00:00"/>
    <s v="TRANSFERENCIA DE CUENTA PROPIA"/>
    <m/>
    <n v="0"/>
    <n v="19600000"/>
    <n v="19600000"/>
    <n v="12415692.939999999"/>
    <n v="1140"/>
    <n v="0"/>
    <n v="17192.982456140351"/>
    <s v="ARS"/>
    <s v="CC"/>
    <s v="GALICIA"/>
    <x v="0"/>
    <x v="0"/>
    <x v="0"/>
    <s v="DESDE CC PAMPA"/>
    <m/>
    <m/>
    <x v="0"/>
    <m/>
    <s v="24/25"/>
    <m/>
    <m/>
  </r>
  <r>
    <x v="3"/>
    <d v="2025-04-01T00:00:00"/>
    <s v="PERCEP. IVA"/>
    <m/>
    <n v="1260"/>
    <n v="0"/>
    <n v="-1260"/>
    <n v="12414432.939999999"/>
    <n v="1140"/>
    <n v="1.1052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VA"/>
    <m/>
    <n v="8820"/>
    <n v="0"/>
    <n v="-8820"/>
    <n v="12405612.939999999"/>
    <n v="1140"/>
    <n v="7.736842105263157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COMISION SERVICIO DE CUENTA"/>
    <m/>
    <n v="42000"/>
    <n v="0"/>
    <n v="-42000"/>
    <n v="12363612.939999999"/>
    <n v="1140"/>
    <n v="36.8421052631578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01T00:00:00"/>
    <s v="COMISION CHEQUE PAGADO POR CLEARING"/>
    <m/>
    <n v="6600"/>
    <n v="0"/>
    <n v="-6600"/>
    <n v="12357012.939999999"/>
    <n v="1140"/>
    <n v="5.7894736842105265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01T00:00:00"/>
    <s v="IVA"/>
    <m/>
    <n v="1386"/>
    <n v="0"/>
    <n v="-1386"/>
    <n v="12355626.939999999"/>
    <n v="1140"/>
    <n v="1.215789473684210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PERCEP. IVA"/>
    <m/>
    <n v="198"/>
    <n v="0"/>
    <n v="-198"/>
    <n v="12355428.939999999"/>
    <n v="1140"/>
    <n v="0.173684210526315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MP. DEB. LEY 25413 GRAL."/>
    <m/>
    <n v="361.58"/>
    <n v="0"/>
    <n v="-361.58"/>
    <n v="12355067.359999999"/>
    <n v="1140"/>
    <n v="0.3171754385964912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1T00:00:00"/>
    <s v="IMP. DEB. LEY 25413 GRAL."/>
    <m/>
    <n v="2032.49"/>
    <n v="0"/>
    <n v="-2032.49"/>
    <n v="12014286.6"/>
    <n v="1140"/>
    <n v="1.782885964912280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1T00:00:00"/>
    <s v="PERCEP. IVA"/>
    <m/>
    <n v="4441.66"/>
    <n v="0"/>
    <n v="-4441.66"/>
    <n v="12016319.09"/>
    <n v="1140"/>
    <n v="3.8961929824561401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VA"/>
    <m/>
    <n v="31091.599999999999"/>
    <n v="0"/>
    <n v="-31091.599999999999"/>
    <n v="12020760.75"/>
    <n v="1140"/>
    <n v="27.273333333333333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IMPUESTO DE SELLOS"/>
    <m/>
    <n v="7104.58"/>
    <n v="0"/>
    <n v="-7104.58"/>
    <n v="12051852.35"/>
    <n v="1140"/>
    <n v="6.2320877192982458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3"/>
    <d v="2025-04-01T00:00:00"/>
    <s v="INTERESES SOBRE SALDOS DEUDORES"/>
    <m/>
    <n v="296110.43"/>
    <n v="0"/>
    <n v="-296110.43"/>
    <n v="12058956.93"/>
    <n v="1140"/>
    <n v="259.74599122807018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3"/>
    <d v="2025-04-03T00:00:00"/>
    <s v="TRANSFERENCIA DE TERCEROS"/>
    <m/>
    <n v="0"/>
    <n v="1500000"/>
    <n v="1500000"/>
    <n v="13514286.6"/>
    <n v="1140"/>
    <n v="0"/>
    <n v="1315.7894736842106"/>
    <s v="ARS"/>
    <s v="CC"/>
    <s v="GALICIA"/>
    <x v="1"/>
    <x v="11"/>
    <x v="14"/>
    <m/>
    <s v="SANTIAGO ERRECALDE"/>
    <m/>
    <x v="10"/>
    <m/>
    <s v="24/25"/>
    <s v="EFECTIVO Y OTROS ACT LÍQ EQ."/>
    <s v="ACREEDORES CORTO PLAZO"/>
  </r>
  <r>
    <x v="3"/>
    <d v="2025-04-03T00:00:00"/>
    <s v="TRANSFERENCIA DE TERCEROS"/>
    <m/>
    <n v="0"/>
    <n v="800000"/>
    <n v="800000"/>
    <n v="14314286.6"/>
    <n v="1140"/>
    <n v="0"/>
    <n v="701.75438596491233"/>
    <s v="ARS"/>
    <s v="CC"/>
    <s v="GALICIA"/>
    <x v="1"/>
    <x v="11"/>
    <x v="14"/>
    <m/>
    <s v="SANTIAGO ERRECALDE"/>
    <m/>
    <x v="10"/>
    <m/>
    <s v="24/25"/>
    <s v="EFECTIVO Y OTROS ACT LÍQ EQ."/>
    <s v="ACREEDORES CORTO PLAZO"/>
  </r>
  <r>
    <x v="3"/>
    <d v="2025-04-03T00:00:00"/>
    <s v="DEP.EFVO.AUTOSERVICIO TICKET: 2096"/>
    <m/>
    <n v="0"/>
    <n v="2087000"/>
    <n v="2087000"/>
    <n v="16401286.6"/>
    <n v="1140"/>
    <n v="0"/>
    <n v="1830.7017543859649"/>
    <s v="ARS"/>
    <s v="CC"/>
    <s v="GALICIA"/>
    <x v="1"/>
    <x v="11"/>
    <x v="14"/>
    <m/>
    <s v="SANTIAGO ERRECALDE"/>
    <m/>
    <x v="10"/>
    <m/>
    <s v="24/25"/>
    <s v="EFECTIVO Y OTROS ACT LÍQ EQ."/>
    <s v="ACREEDORES CORTO PLAZO"/>
  </r>
  <r>
    <x v="3"/>
    <d v="2025-04-03T00:00:00"/>
    <s v="TRANSFERENCIA DE TERCEROS"/>
    <m/>
    <n v="0"/>
    <n v="113000"/>
    <n v="113000"/>
    <n v="16514286.6"/>
    <n v="1140"/>
    <n v="0"/>
    <n v="99.122807017543863"/>
    <s v="ARS"/>
    <s v="CC"/>
    <s v="GALICIA"/>
    <x v="1"/>
    <x v="11"/>
    <x v="14"/>
    <m/>
    <s v="SANTIAGO ERRECALDE"/>
    <m/>
    <x v="10"/>
    <m/>
    <s v="24/25"/>
    <s v="EFECTIVO Y OTROS ACT LÍQ EQ."/>
    <s v="ACREEDORES CORTO PLAZO"/>
  </r>
  <r>
    <x v="3"/>
    <d v="2025-04-03T00:00:00"/>
    <s v="CUOTA DE PRESTAMO"/>
    <m/>
    <n v="17500000"/>
    <n v="0"/>
    <n v="-17500000"/>
    <n v="-6367927.0899999999"/>
    <n v="1140"/>
    <n v="15350.877192982456"/>
    <n v="0"/>
    <s v="ARS"/>
    <s v="CC"/>
    <s v="GALICIA"/>
    <x v="0"/>
    <x v="12"/>
    <x v="42"/>
    <s v="PRESTAMO GALICIA"/>
    <s v="BANCO GALICIA"/>
    <m/>
    <x v="18"/>
    <m/>
    <s v="24/25"/>
    <s v="AMORT. CREDITOS GAL"/>
    <s v="EFECTIVO Y OTROS ACT LÍQ EQ."/>
  </r>
  <r>
    <x v="3"/>
    <d v="2025-04-03T00:00:00"/>
    <s v="CUOTA DE PRESTAMO"/>
    <m/>
    <n v="5382213.6900000013"/>
    <n v="0"/>
    <n v="-5382213.6900000013"/>
    <n v="-6367927.0899999999"/>
    <n v="1140"/>
    <n v="4721.2400789473695"/>
    <n v="0"/>
    <s v="ARS"/>
    <s v="CC"/>
    <s v="GALICIA"/>
    <x v="0"/>
    <x v="12"/>
    <x v="42"/>
    <s v="PRESTAMO GALICIA"/>
    <s v="BANCO GALICIA"/>
    <m/>
    <x v="18"/>
    <m/>
    <s v="24/25"/>
    <s v="INTERESES  CRED (-)"/>
    <s v="EFECTIVO Y OTROS ACT LÍQ EQ."/>
  </r>
  <r>
    <x v="3"/>
    <d v="2025-04-03T00:00:00"/>
    <s v="DEBITO IIBB - NÚMERO DE CUOTA:1"/>
    <m/>
    <n v="282723.28999999998"/>
    <n v="0"/>
    <n v="-282723.28999999998"/>
    <n v="-6650650.3799999999"/>
    <n v="1140"/>
    <n v="248.00288596491225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3"/>
    <d v="2025-04-03T00:00:00"/>
    <s v="IMP. DEB. LEY 25413 GRAL."/>
    <m/>
    <n v="138989.62"/>
    <n v="0"/>
    <n v="-138989.62"/>
    <n v="-6789640"/>
    <n v="1140"/>
    <n v="121.9207192982456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3T00:00:00"/>
    <s v="IMP. CRE. LEY 25413"/>
    <m/>
    <n v="27000"/>
    <n v="0"/>
    <n v="-27000"/>
    <n v="-6816640"/>
    <n v="1140"/>
    <n v="23.68421052631579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8T00:00:00"/>
    <s v="TRANSF INMED CP"/>
    <m/>
    <n v="10000"/>
    <n v="0"/>
    <n v="-10000"/>
    <n v="-6826640"/>
    <n v="1140"/>
    <n v="8.7719298245614041"/>
    <n v="0"/>
    <s v="ARS"/>
    <s v="CC"/>
    <s v="GALICIA"/>
    <x v="0"/>
    <x v="0"/>
    <x v="0"/>
    <s v="HACIA CC NACION"/>
    <m/>
    <m/>
    <x v="0"/>
    <m/>
    <s v="24/25"/>
    <m/>
    <m/>
  </r>
  <r>
    <x v="3"/>
    <d v="2025-04-08T00:00:00"/>
    <s v="CREDITO PRESTAMO"/>
    <m/>
    <n v="0"/>
    <n v="10000000"/>
    <n v="10000000"/>
    <n v="3173360"/>
    <n v="1140"/>
    <n v="0"/>
    <n v="8771.9298245614027"/>
    <s v="ARS"/>
    <s v="CC"/>
    <s v="GALICIA"/>
    <x v="0"/>
    <x v="10"/>
    <x v="43"/>
    <s v="GALICIA A SOLA FIRMA 6MESES"/>
    <s v="GALICIA"/>
    <m/>
    <x v="9"/>
    <m/>
    <s v="24/25"/>
    <s v="EFECTIVO Y OTROS ACT LÍQ EQ."/>
    <s v="GALICIA A SOLA FIRMA 6M"/>
  </r>
  <r>
    <x v="3"/>
    <d v="2025-04-09T00:00:00"/>
    <s v="TRANSF INMED CP"/>
    <m/>
    <n v="300000"/>
    <n v="0"/>
    <n v="-300000"/>
    <n v="2873360"/>
    <n v="1140"/>
    <n v="263.15789473684208"/>
    <n v="0"/>
    <s v="ARS"/>
    <s v="CC"/>
    <s v="GALICIA"/>
    <x v="0"/>
    <x v="0"/>
    <x v="0"/>
    <s v="HACIA CC MACRO"/>
    <m/>
    <m/>
    <x v="0"/>
    <m/>
    <s v="24/25"/>
    <m/>
    <m/>
  </r>
  <r>
    <x v="3"/>
    <d v="2025-04-09T00:00:00"/>
    <s v="TRF INMED PROVEED"/>
    <m/>
    <n v="416620"/>
    <n v="0"/>
    <n v="-416620"/>
    <n v="2456740"/>
    <n v="1140"/>
    <n v="365.45614035087721"/>
    <n v="0"/>
    <s v="ARS"/>
    <s v="CC"/>
    <s v="GALICIA"/>
    <x v="2"/>
    <x v="4"/>
    <x v="4"/>
    <s v="HONORARIOS"/>
    <s v="CESAR DIAZ"/>
    <s v="FA 41"/>
    <x v="6"/>
    <m/>
    <s v="24/25"/>
    <s v="BIENES Y SERVICIOS"/>
    <s v="EFECTIVO Y OTROS ACT LÍQ EQ."/>
  </r>
  <r>
    <x v="3"/>
    <d v="2025-04-09T00:00:00"/>
    <s v="TRF INMED PROVEED"/>
    <m/>
    <n v="444371.68"/>
    <n v="0"/>
    <n v="-444371.68"/>
    <n v="2012368.32"/>
    <n v="1140"/>
    <n v="389.79971929824563"/>
    <n v="0"/>
    <s v="ARS"/>
    <s v="CC"/>
    <s v="GALICIA"/>
    <x v="1"/>
    <x v="3"/>
    <x v="3"/>
    <s v="PERIODO MARZO 25"/>
    <s v="KEVIN TOLEDO"/>
    <m/>
    <x v="3"/>
    <m/>
    <s v="24/25"/>
    <s v="EGRESOS"/>
    <s v="EFECTIVO Y OTROS ACT LÍQ EQ."/>
  </r>
  <r>
    <x v="3"/>
    <d v="2025-04-09T00:00:00"/>
    <s v="TRANSF INMED CP"/>
    <m/>
    <n v="350000"/>
    <n v="0"/>
    <n v="-350000"/>
    <n v="1662368.32"/>
    <n v="1140"/>
    <n v="307.01754385964909"/>
    <n v="0"/>
    <s v="ARS"/>
    <s v="CC"/>
    <s v="GALICIA"/>
    <x v="0"/>
    <x v="0"/>
    <x v="0"/>
    <s v="HACIA CC PAMPA"/>
    <m/>
    <m/>
    <x v="0"/>
    <m/>
    <s v="24/25"/>
    <m/>
    <m/>
  </r>
  <r>
    <x v="3"/>
    <d v="2025-04-09T00:00:00"/>
    <s v="TRF INMED PROVEED"/>
    <m/>
    <n v="2000000"/>
    <n v="0"/>
    <n v="-2000000"/>
    <n v="-337631.68"/>
    <n v="1140"/>
    <n v="1754.3859649122808"/>
    <n v="0"/>
    <s v="ARS"/>
    <s v="CC"/>
    <s v="GALICIA"/>
    <x v="1"/>
    <x v="2"/>
    <x v="2"/>
    <m/>
    <s v="RAUL"/>
    <m/>
    <x v="2"/>
    <s v="RAUL"/>
    <s v="24/25"/>
    <s v="FUTURAS UT. ADL RAUL"/>
    <s v="EFECTIVO Y OTROS ACT LÍQ EQ."/>
  </r>
  <r>
    <x v="3"/>
    <d v="2025-04-09T00:00:00"/>
    <s v="TRF INMED PROVEED"/>
    <m/>
    <n v="1050000"/>
    <n v="0"/>
    <n v="-1050000"/>
    <n v="-1387631.68"/>
    <n v="1140"/>
    <n v="921.0526315789474"/>
    <n v="0"/>
    <s v="ARS"/>
    <s v="CC"/>
    <s v="GALICIA"/>
    <x v="1"/>
    <x v="3"/>
    <x v="3"/>
    <s v="SUELDO MARZO 25"/>
    <s v="ANDRES TOLEDO"/>
    <m/>
    <x v="3"/>
    <m/>
    <s v="24/25"/>
    <s v="EGRESOS"/>
    <s v="EFECTIVO Y OTROS ACT LÍQ EQ."/>
  </r>
  <r>
    <x v="3"/>
    <d v="2025-04-09T00:00:00"/>
    <s v="TRANSF INMED CP"/>
    <m/>
    <n v="4300000"/>
    <n v="0"/>
    <n v="-4300000"/>
    <n v="-5687631.6799999997"/>
    <n v="1140"/>
    <n v="3771.9298245614036"/>
    <n v="0"/>
    <s v="ARS"/>
    <s v="CC"/>
    <s v="GALICIA"/>
    <x v="0"/>
    <x v="0"/>
    <x v="0"/>
    <s v="HACIA CC MACRO"/>
    <m/>
    <m/>
    <x v="0"/>
    <m/>
    <s v="24/25"/>
    <m/>
    <m/>
  </r>
  <r>
    <x v="3"/>
    <d v="2025-04-09T00:00:00"/>
    <s v="TRF INMED PROVEED"/>
    <m/>
    <n v="50000"/>
    <n v="0"/>
    <n v="-50000"/>
    <n v="-5737631.6799999997"/>
    <n v="1140"/>
    <n v="43.859649122807021"/>
    <n v="0"/>
    <s v="ARS"/>
    <s v="CC"/>
    <s v="GALICIA"/>
    <x v="2"/>
    <x v="4"/>
    <x v="44"/>
    <s v="ANALISIS SUELO"/>
    <s v="ALANIZ MELANIA"/>
    <s v="FA 176"/>
    <x v="6"/>
    <m/>
    <s v="24/25"/>
    <s v="BIENES Y SERVICIOS"/>
    <s v="EFECTIVO Y OTROS ACT LÍQ EQ."/>
  </r>
  <r>
    <x v="3"/>
    <d v="2025-04-09T00:00:00"/>
    <s v="IMP. DEB. LEY 25413 GRAL."/>
    <m/>
    <n v="23765.95"/>
    <n v="0"/>
    <n v="-23765.95"/>
    <n v="-5761397.6299999999"/>
    <n v="1140"/>
    <n v="20.847324561403511"/>
    <n v="0"/>
    <s v="ARS"/>
    <s v="CC"/>
    <s v="GALICIA"/>
    <x v="1"/>
    <x v="1"/>
    <x v="1"/>
    <s v="TASA GRAL"/>
    <s v="ARCA"/>
    <m/>
    <x v="1"/>
    <m/>
    <s v="24/25"/>
    <s v="BIENES Y SERVICIOS"/>
    <s v="EFECTIVO Y OTROS ACT LÍQ EQ."/>
  </r>
  <r>
    <x v="3"/>
    <d v="2025-04-10T00:00:00"/>
    <s v="CREDITO PRESTAMO"/>
    <m/>
    <n v="0"/>
    <n v="7500000"/>
    <n v="7500000"/>
    <n v="7500000"/>
    <n v="1140"/>
    <n v="0"/>
    <n v="6578.9473684210525"/>
    <s v="ARS"/>
    <s v="CC"/>
    <s v="GALICIA"/>
    <x v="0"/>
    <x v="10"/>
    <x v="43"/>
    <s v="GALICIA A SOLA FIRMA 6MESES"/>
    <s v="GALICIA"/>
    <m/>
    <x v="9"/>
    <m/>
    <s v="24/25"/>
    <s v="EFECTIVO Y OTROS ACT LÍQ EQ."/>
    <s v="GALICIA A SOLA FIRMA 6M"/>
  </r>
  <r>
    <x v="3"/>
    <d v="2025-04-10T00:00:00"/>
    <s v="TRANSF INMED CP"/>
    <m/>
    <n v="3000000"/>
    <n v="0"/>
    <n v="-3000000"/>
    <n v="-3000000"/>
    <n v="1140"/>
    <n v="2631.5789473684213"/>
    <n v="0"/>
    <s v="ARS"/>
    <s v="CC"/>
    <s v="GALICIA"/>
    <x v="0"/>
    <x v="0"/>
    <x v="0"/>
    <s v="HACIA NACION"/>
    <s v="PARA CUBRIR EL NACION"/>
    <m/>
    <x v="0"/>
    <m/>
    <s v="24/25"/>
    <m/>
    <m/>
  </r>
  <r>
    <x v="3"/>
    <d v="2025-04-10T00:00:00"/>
    <s v="IMP. DEB. LEY 25413 GRAL."/>
    <m/>
    <n v="300"/>
    <n v="0"/>
    <n v="-300"/>
    <n v="-300"/>
    <n v="1140"/>
    <n v="0.26315789473684209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14T00:00:00"/>
    <s v="TRF INMED PROVEED"/>
    <m/>
    <n v="550000"/>
    <n v="0"/>
    <n v="-550000"/>
    <n v="-2346520.63"/>
    <n v="1140"/>
    <n v="482.45614035087721"/>
    <n v="0"/>
    <s v="ARS"/>
    <s v="CC"/>
    <s v="GALICIA"/>
    <x v="1"/>
    <x v="11"/>
    <x v="30"/>
    <m/>
    <s v="BECERRA ADRIAN"/>
    <m/>
    <x v="10"/>
    <m/>
    <s v="24/25"/>
    <s v="DEUDAS FINANCIERAS CP"/>
    <s v="EFECTIVO Y OTROS ACT LÍQ EQ."/>
  </r>
  <r>
    <x v="3"/>
    <d v="2025-04-14T00:00:00"/>
    <s v="TRF INMED PROVEED"/>
    <m/>
    <n v="52644.52"/>
    <n v="0"/>
    <n v="-52644.52"/>
    <n v="-2346520.63"/>
    <n v="1140"/>
    <n v="46.179403508771927"/>
    <n v="0"/>
    <s v="ARS"/>
    <s v="CC"/>
    <s v="GALICIA"/>
    <x v="1"/>
    <x v="3"/>
    <x v="3"/>
    <s v="TELEFONO"/>
    <s v="ANDRES TOLEDO"/>
    <m/>
    <x v="3"/>
    <m/>
    <s v="24/25"/>
    <s v="EGRESOS"/>
    <s v="EFECTIVO Y OTROS ACT LÍQ EQ."/>
  </r>
  <r>
    <x v="3"/>
    <d v="2025-04-14T00:00:00"/>
    <s v="TRF INMED PROVEED"/>
    <m/>
    <n v="150000"/>
    <n v="0"/>
    <n v="-150000"/>
    <n v="-2346520.63"/>
    <n v="1140"/>
    <n v="131.57894736842104"/>
    <n v="0"/>
    <s v="ARS"/>
    <s v="CC"/>
    <s v="GALICIA"/>
    <x v="1"/>
    <x v="3"/>
    <x v="13"/>
    <m/>
    <s v="MARTIN TOLEDO"/>
    <m/>
    <x v="3"/>
    <m/>
    <s v="24/25"/>
    <s v="EGRESOS"/>
    <s v="EFECTIVO Y OTROS ACT LÍQ EQ."/>
  </r>
  <r>
    <x v="3"/>
    <d v="2025-04-14T00:00:00"/>
    <s v="TRF INMED PROVEED"/>
    <m/>
    <n v="33079"/>
    <n v="0"/>
    <n v="-33079"/>
    <n v="-2346520.63"/>
    <n v="1140"/>
    <n v="29.016666666666666"/>
    <n v="0"/>
    <s v="ARS"/>
    <s v="CC"/>
    <s v="GALICIA"/>
    <x v="1"/>
    <x v="2"/>
    <x v="2"/>
    <s v="CEL RAULI"/>
    <s v="RAUL"/>
    <m/>
    <x v="2"/>
    <s v="RAUL"/>
    <s v="24/25"/>
    <s v="FUTURAS UT. ADL RAUL"/>
    <s v="EFECTIVO Y OTROS ACT LÍQ EQ."/>
  </r>
  <r>
    <x v="3"/>
    <d v="2025-04-14T00:00:00"/>
    <s v="TRF INMED PROVEED"/>
    <m/>
    <n v="150000"/>
    <n v="0"/>
    <n v="-150000"/>
    <n v="-2346520.63"/>
    <n v="1140"/>
    <n v="131.57894736842104"/>
    <n v="0"/>
    <s v="ARS"/>
    <s v="CC"/>
    <s v="GALICIA"/>
    <x v="1"/>
    <x v="3"/>
    <x v="13"/>
    <m/>
    <s v="MARTIN TOLEDO"/>
    <m/>
    <x v="3"/>
    <m/>
    <s v="24/25"/>
    <s v="EGRESOS"/>
    <s v="EFECTIVO Y OTROS ACT LÍQ EQ."/>
  </r>
  <r>
    <x v="3"/>
    <d v="2025-04-14T00:00:00"/>
    <s v="TRF INMED PROVEED"/>
    <m/>
    <n v="99100"/>
    <n v="0"/>
    <n v="-99100"/>
    <n v="-2346520.63"/>
    <n v="1140"/>
    <n v="86.929824561403507"/>
    <n v="0"/>
    <s v="ARS"/>
    <s v="CC"/>
    <s v="GALICIA"/>
    <x v="1"/>
    <x v="2"/>
    <x v="2"/>
    <s v="PAGO A BERGIA"/>
    <s v="RAUL"/>
    <m/>
    <x v="2"/>
    <s v="RAUL"/>
    <s v="24/25"/>
    <s v="FUTURAS UT. ADL RAUL"/>
    <s v="EFECTIVO Y OTROS ACT LÍQ EQ."/>
  </r>
  <r>
    <x v="3"/>
    <d v="2025-04-14T00:00:00"/>
    <s v="COM. GESTION TRANSF.FDOS ENTRE BCOS"/>
    <m/>
    <n v="700"/>
    <n v="0"/>
    <n v="-700"/>
    <n v="-2347220.63"/>
    <n v="1140"/>
    <n v="0.6140350877192982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14T00:00:00"/>
    <s v="IVA"/>
    <m/>
    <n v="147"/>
    <n v="0"/>
    <n v="-147"/>
    <n v="-2347367.63"/>
    <n v="1140"/>
    <n v="0.12894736842105264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14T00:00:00"/>
    <s v="TRANSF INMED CP"/>
    <m/>
    <n v="1200000"/>
    <n v="0"/>
    <n v="-1200000"/>
    <n v="-3547367.63"/>
    <n v="1140"/>
    <n v="1052.6315789473683"/>
    <n v="0"/>
    <s v="ARS"/>
    <s v="CC"/>
    <s v="GALICIA"/>
    <x v="0"/>
    <x v="0"/>
    <x v="0"/>
    <s v="HACIA CC MACRO"/>
    <m/>
    <m/>
    <x v="0"/>
    <m/>
    <s v="24/25"/>
    <m/>
    <m/>
  </r>
  <r>
    <x v="3"/>
    <d v="2025-04-14T00:00:00"/>
    <s v="TRF INMED PROVEED"/>
    <m/>
    <n v="500000"/>
    <n v="0"/>
    <n v="-500000"/>
    <n v="-4047367.63"/>
    <n v="1140"/>
    <n v="438.59649122807019"/>
    <n v="0"/>
    <s v="ARS"/>
    <s v="CC"/>
    <s v="GALICIA"/>
    <x v="1"/>
    <x v="2"/>
    <x v="2"/>
    <s v="PIDIO PARA MUTUAL"/>
    <s v="CLAUDIA ERRECALDE"/>
    <m/>
    <x v="15"/>
    <s v="CLAUDIA"/>
    <s v="24/25"/>
    <s v="FUTURAS UT. ADL CLAUDIA"/>
    <s v="EFECTIVO Y OTROS ACT LÍQ EQ."/>
  </r>
  <r>
    <x v="3"/>
    <d v="2025-04-10T00:00:00"/>
    <s v="TRF INMED PROVEED"/>
    <m/>
    <n v="50000"/>
    <n v="0"/>
    <n v="-50000"/>
    <n v="-50000"/>
    <n v="1140"/>
    <n v="43.859649122807021"/>
    <n v="0"/>
    <s v="ARS"/>
    <s v="CC"/>
    <s v="GALICIA"/>
    <x v="1"/>
    <x v="2"/>
    <x v="2"/>
    <s v="PARTE MARZO"/>
    <s v="CLAUDIA ERRECALDE"/>
    <m/>
    <x v="15"/>
    <s v="CLAUDIA"/>
    <s v="24/25"/>
    <s v="FUTURAS UT. ADL CLAUDIA"/>
    <s v="EFECTIVO Y OTROS ACT LÍQ EQ."/>
  </r>
  <r>
    <x v="3"/>
    <d v="2025-04-14T00:00:00"/>
    <s v="COM. GESTION TRANSF.FDOS ENTRE BCOS"/>
    <m/>
    <n v="700"/>
    <n v="0"/>
    <n v="-700"/>
    <n v="-4048067.63"/>
    <n v="1140"/>
    <n v="0.6140350877192982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14T00:00:00"/>
    <s v="IVA"/>
    <m/>
    <n v="147"/>
    <n v="0"/>
    <n v="-147"/>
    <n v="-4048214.63"/>
    <n v="1140"/>
    <n v="0.12894736842105264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14T00:00:00"/>
    <s v="IMP. DEB. LEY 25413 GRAL."/>
    <m/>
    <n v="9219.1"/>
    <n v="0"/>
    <n v="-9219.1"/>
    <n v="-4057433.73"/>
    <n v="1140"/>
    <n v="8.086929824561403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15T00:00:00"/>
    <s v="TRF INMED PROVEED"/>
    <m/>
    <n v="1000000"/>
    <n v="0"/>
    <n v="-1000000"/>
    <n v="-5057433.7300000004"/>
    <n v="1140"/>
    <n v="877.19298245614038"/>
    <n v="0"/>
    <s v="ARS"/>
    <s v="CC"/>
    <s v="GALICIA"/>
    <x v="1"/>
    <x v="2"/>
    <x v="2"/>
    <m/>
    <s v="RAUL"/>
    <m/>
    <x v="2"/>
    <s v="RAUL"/>
    <s v="24/25"/>
    <s v="FUTURAS UT. ADL RAUL"/>
    <s v="EFECTIVO Y OTROS ACT LÍQ EQ."/>
  </r>
  <r>
    <x v="3"/>
    <d v="2025-04-15T00:00:00"/>
    <s v="COM. GESTION TRANSF.FDOS ENTRE BCOS"/>
    <m/>
    <n v="700"/>
    <n v="0"/>
    <n v="-700"/>
    <n v="-5058133.7300000004"/>
    <n v="1140"/>
    <n v="0.6140350877192982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15T00:00:00"/>
    <s v="IVA"/>
    <m/>
    <n v="147"/>
    <n v="0"/>
    <n v="-147"/>
    <n v="-5058280.7300000004"/>
    <n v="1140"/>
    <n v="0.12894736842105264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15T00:00:00"/>
    <s v="IMP. DEB. LEY 25413 GRAL."/>
    <m/>
    <n v="6005.08"/>
    <n v="0"/>
    <n v="-6005.08"/>
    <n v="-5064285.8099999996"/>
    <n v="1140"/>
    <n v="5.267614035087719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16T00:00:00"/>
    <s v="TRANSF INMED CP"/>
    <m/>
    <n v="2100000"/>
    <n v="0"/>
    <n v="-2100000"/>
    <n v="-7164285.8099999996"/>
    <n v="1140"/>
    <n v="1842.1052631578948"/>
    <n v="0"/>
    <s v="ARS"/>
    <s v="CC"/>
    <s v="GALICIA"/>
    <x v="0"/>
    <x v="0"/>
    <x v="0"/>
    <s v="HACIA CC MACRO"/>
    <m/>
    <m/>
    <x v="0"/>
    <m/>
    <s v="24/25"/>
    <m/>
    <m/>
  </r>
  <r>
    <x v="3"/>
    <d v="2025-04-21T00:00:00"/>
    <s v="TRF INMED PROVEED"/>
    <m/>
    <n v="35000"/>
    <n v="0"/>
    <n v="-35000"/>
    <n v="-7164285.8099999996"/>
    <n v="1140"/>
    <n v="30.701754385964911"/>
    <n v="0"/>
    <s v="ARS"/>
    <s v="CC"/>
    <s v="GALICIA"/>
    <x v="1"/>
    <x v="3"/>
    <x v="13"/>
    <m/>
    <s v="MARTIN TOLEDO"/>
    <m/>
    <x v="3"/>
    <m/>
    <s v="24/25"/>
    <s v="EGRESOS"/>
    <s v="EFECTIVO Y OTROS ACT LÍQ EQ."/>
  </r>
  <r>
    <x v="3"/>
    <d v="2025-04-21T00:00:00"/>
    <s v="IMP. DEB. LEY 25413 GRAL."/>
    <m/>
    <n v="210"/>
    <n v="0"/>
    <n v="-210"/>
    <n v="-7164285.8099999996"/>
    <n v="1140"/>
    <n v="0.1842105263157894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25T00:00:00"/>
    <s v="DEPOSITO EN EFECTIVO"/>
    <m/>
    <n v="0"/>
    <n v="2340000"/>
    <n v="2340000"/>
    <n v="-4859495.8099999996"/>
    <n v="1140"/>
    <n v="0"/>
    <n v="2052.6315789473683"/>
    <s v="ARS"/>
    <s v="CC"/>
    <s v="GALICIA"/>
    <x v="1"/>
    <x v="11"/>
    <x v="14"/>
    <s v="DEPOSITO EF PARA EL PAMPA"/>
    <s v="SANTIAGO ERRECALDE"/>
    <m/>
    <x v="10"/>
    <m/>
    <s v="24/25"/>
    <s v="EFECTIVO Y OTROS ACT LÍQ EQ."/>
    <s v="ACREEDORES CORTO PLAZO"/>
  </r>
  <r>
    <x v="3"/>
    <d v="2025-04-25T00:00:00"/>
    <s v="TRANSF INMED CP"/>
    <m/>
    <n v="2340000"/>
    <n v="0"/>
    <n v="-2340000"/>
    <n v="-7199495.8099999996"/>
    <n v="1140"/>
    <n v="2052.6315789473683"/>
    <n v="0"/>
    <s v="ARS"/>
    <s v="CC"/>
    <s v="GALICIA"/>
    <x v="0"/>
    <x v="0"/>
    <x v="0"/>
    <s v="HACIA EL PAMPA"/>
    <m/>
    <m/>
    <x v="0"/>
    <m/>
    <s v="24/25"/>
    <m/>
    <m/>
  </r>
  <r>
    <x v="3"/>
    <d v="2025-04-25T00:00:00"/>
    <s v="IMP. CRE. LEY 25413"/>
    <m/>
    <n v="14040"/>
    <n v="0"/>
    <n v="-14040"/>
    <n v="-7213535.8099999996"/>
    <n v="1140"/>
    <n v="12.31578947368421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29T00:00:00"/>
    <s v="TRANSFERENCIA DE TERCEROS"/>
    <m/>
    <n v="0"/>
    <n v="20000"/>
    <n v="20000"/>
    <n v="-7193535.8099999996"/>
    <n v="1140"/>
    <n v="0"/>
    <n v="17.543859649122808"/>
    <s v="ARS"/>
    <s v="CC"/>
    <s v="GALICIA"/>
    <x v="1"/>
    <x v="2"/>
    <x v="14"/>
    <m/>
    <s v="RAUL"/>
    <m/>
    <x v="8"/>
    <s v="RAUL"/>
    <s v="24/25"/>
    <s v="EFECTIVO Y OTROS ACT LÍQ EQ."/>
    <s v="APORTES DE CAPITAL"/>
  </r>
  <r>
    <x v="3"/>
    <d v="2025-04-29T00:00:00"/>
    <s v="IMP. CRE. LEY 25413"/>
    <m/>
    <n v="120"/>
    <n v="0"/>
    <n v="-120"/>
    <n v="-7193655.8099999996"/>
    <n v="1140"/>
    <n v="0.1052631578947368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05T00:00:00"/>
    <s v="COMISION SERVICIO DE CUENTA"/>
    <m/>
    <n v="48000"/>
    <n v="0"/>
    <n v="-48000"/>
    <n v="-7241655.8099999996"/>
    <n v="1140"/>
    <n v="42.10526315789474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4"/>
    <d v="2025-05-05T00:00:00"/>
    <s v="IVA"/>
    <m/>
    <n v="10080"/>
    <n v="0"/>
    <n v="-10080"/>
    <n v="-7251735.8099999996"/>
    <n v="1140"/>
    <n v="8.8421052631578956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PERCEP. IVA"/>
    <m/>
    <n v="1440"/>
    <n v="0"/>
    <n v="-1440"/>
    <n v="-7253175.8099999996"/>
    <n v="1140"/>
    <n v="1.26315789473684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MP. DEB. LEY 25413 GRAL."/>
    <m/>
    <n v="357.12"/>
    <n v="0"/>
    <n v="-357.12"/>
    <n v="-7253532.9299999997"/>
    <n v="1140"/>
    <n v="0.3132631578947368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05T00:00:00"/>
    <s v="INTERESES SOBRE SALDOS DEUDORES"/>
    <m/>
    <n v="250402.13"/>
    <n v="0"/>
    <n v="-250402.13"/>
    <n v="-7503935.0599999996"/>
    <n v="1140"/>
    <n v="219.65099122807018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4"/>
    <d v="2025-05-05T00:00:00"/>
    <s v="IMPUESTO DE SELLOS"/>
    <m/>
    <n v="5328.46"/>
    <n v="0"/>
    <n v="-5328.46"/>
    <n v="-7509263.5199999996"/>
    <n v="1140"/>
    <n v="4.674087719298246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4"/>
    <d v="2025-05-05T00:00:00"/>
    <s v="IVA"/>
    <m/>
    <n v="26292.22"/>
    <n v="0"/>
    <n v="-26292.22"/>
    <n v="-7535555.7400000002"/>
    <n v="1140"/>
    <n v="23.06335087719298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PERCEP. IVA"/>
    <m/>
    <n v="3756.03"/>
    <n v="0"/>
    <n v="-3756.03"/>
    <n v="-7539311.7699999996"/>
    <n v="1140"/>
    <n v="3.2947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MP. DEB. LEY 25413 GRAL."/>
    <m/>
    <n v="1714.67"/>
    <n v="0"/>
    <n v="-1714.67"/>
    <n v="-7541026.4400000004"/>
    <n v="1140"/>
    <n v="1.504096491228070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07T00:00:00"/>
    <s v="TRANSFER. CASH MISMA TITULARIDAD"/>
    <m/>
    <n v="0"/>
    <n v="350000"/>
    <n v="350000"/>
    <n v="-7191026.4400000004"/>
    <n v="1140"/>
    <n v="0"/>
    <n v="307.01754385964909"/>
    <s v="ARS"/>
    <s v="CC"/>
    <s v="GALICIA"/>
    <x v="0"/>
    <x v="0"/>
    <x v="0"/>
    <m/>
    <m/>
    <m/>
    <x v="0"/>
    <m/>
    <s v="24/25"/>
    <m/>
    <m/>
  </r>
  <r>
    <x v="4"/>
    <d v="2025-05-15T00:00:00"/>
    <s v="CHEQUE 48 HS. "/>
    <s v="N68698140"/>
    <n v="278300"/>
    <n v="0"/>
    <n v="-278300"/>
    <n v="-7469326.4400000004"/>
    <n v="1140"/>
    <n v="244.12280701754386"/>
    <n v="0"/>
    <s v="ARS"/>
    <s v="CC"/>
    <s v="GALICIA"/>
    <x v="3"/>
    <x v="14"/>
    <x v="45"/>
    <m/>
    <s v="AGROTRAC"/>
    <s v="FA 1891"/>
    <x v="6"/>
    <m/>
    <s v="24/25"/>
    <s v="BIENES DE USO"/>
    <s v="EFECTIVO Y OTROS ACT LÍQ EQ."/>
  </r>
  <r>
    <x v="4"/>
    <d v="2025-05-15T00:00:00"/>
    <s v="IMP. DEB. LEY 25413 GRAL."/>
    <m/>
    <n v="1669.8"/>
    <n v="0"/>
    <n v="-1669.8"/>
    <n v="-7470996.2400000002"/>
    <n v="1140"/>
    <n v="1.464736842105263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16T00:00:00"/>
    <s v="CHEQUE 48 HS."/>
    <s v="N68698142"/>
    <n v="1253833.94"/>
    <n v="0"/>
    <n v="-1253833.94"/>
    <n v="-8724830.1799999997"/>
    <n v="1140"/>
    <n v="1099.8543333333332"/>
    <n v="0"/>
    <s v="ARS"/>
    <s v="CC"/>
    <s v="GALICIA"/>
    <x v="2"/>
    <x v="15"/>
    <x v="29"/>
    <s v="SEMILLAS"/>
    <s v="PALO VERDE"/>
    <s v="FA 1932"/>
    <x v="6"/>
    <m/>
    <s v="24/25"/>
    <s v="INSUMOS 2025"/>
    <s v="EFECTIVO Y OTROS ACT LÍQ EQ."/>
  </r>
  <r>
    <x v="4"/>
    <d v="2025-05-16T00:00:00"/>
    <s v="TRANSFER. CASH MISMA TITULARIDAD"/>
    <m/>
    <n v="0"/>
    <n v="1600000"/>
    <n v="1600000"/>
    <n v="-7124830.1799999997"/>
    <n v="1140"/>
    <n v="0"/>
    <n v="1403.5087719298247"/>
    <s v="ARS"/>
    <s v="CC"/>
    <s v="GALICIA"/>
    <x v="0"/>
    <x v="0"/>
    <x v="0"/>
    <s v="DESDE CC MACRO"/>
    <m/>
    <m/>
    <x v="0"/>
    <m/>
    <s v="24/25"/>
    <m/>
    <m/>
  </r>
  <r>
    <x v="4"/>
    <d v="2025-05-16T00:00:00"/>
    <s v="IMP. DEB. LEY 25413 GRAL."/>
    <m/>
    <n v="7523"/>
    <n v="0"/>
    <n v="-7523"/>
    <n v="-7132353.1799999997"/>
    <n v="1140"/>
    <n v="6.599122807017543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28T00:00:00"/>
    <s v="CHEQUE 48 HS."/>
    <s v=" N68698145"/>
    <n v="1473622.75"/>
    <n v="0"/>
    <n v="-1473622.75"/>
    <n v="-8605975.9299999997"/>
    <n v="1140"/>
    <n v="1292.6515350877194"/>
    <n v="0"/>
    <s v="ARS"/>
    <s v="CC"/>
    <s v="GALICIA"/>
    <x v="2"/>
    <x v="4"/>
    <x v="5"/>
    <s v="APLICACIONES"/>
    <s v="CLERICI JUAN PABLO"/>
    <s v="FA147 "/>
    <x v="6"/>
    <m/>
    <s v="24/25"/>
    <s v="BIENES Y SERVICIOS"/>
    <s v="EFECTIVO Y OTROS ACT LÍQ EQ."/>
  </r>
  <r>
    <x v="4"/>
    <d v="2025-05-28T00:00:00"/>
    <s v="CHEQUE 48 HS. "/>
    <s v="N68698148"/>
    <n v="1215000"/>
    <n v="0"/>
    <n v="-1215000"/>
    <n v="-9820975.9299999997"/>
    <n v="1140"/>
    <n v="1065.7894736842106"/>
    <n v="0"/>
    <s v="ARS"/>
    <s v="CC"/>
    <s v="GALICIA"/>
    <x v="5"/>
    <x v="13"/>
    <x v="46"/>
    <s v="HACIENDA"/>
    <s v="TODO CAMPO COMB"/>
    <s v="FA8373 FA8374"/>
    <x v="6"/>
    <m/>
    <s v="24/25"/>
    <s v="BIENES DE USO"/>
    <s v="EFECTIVO Y OTROS ACT LÍQ EQ."/>
  </r>
  <r>
    <x v="4"/>
    <d v="2025-05-28T00:00:00"/>
    <s v="TRANSFER. CASH MISMA TITULARIDAD"/>
    <m/>
    <n v="0"/>
    <n v="2750000"/>
    <n v="2750000"/>
    <n v="-7070975.9299999997"/>
    <n v="1140"/>
    <n v="0"/>
    <n v="2412.280701754386"/>
    <s v="ARS"/>
    <s v="CC"/>
    <s v="GALICIA"/>
    <x v="0"/>
    <x v="0"/>
    <x v="0"/>
    <s v="DESDE CC MACRO"/>
    <m/>
    <m/>
    <x v="0"/>
    <m/>
    <s v="24/25"/>
    <m/>
    <m/>
  </r>
  <r>
    <x v="4"/>
    <d v="2025-05-28T00:00:00"/>
    <s v="IMP. DEB. LEY 25413 GRAL."/>
    <m/>
    <n v="16131.74"/>
    <n v="0"/>
    <n v="-16131.74"/>
    <n v="-7087107.6699999999"/>
    <n v="1140"/>
    <n v="14.15064912280701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30T00:00:00"/>
    <s v="CHEQUE 48 HS."/>
    <s v=" N68698150"/>
    <n v="249382.72"/>
    <n v="0"/>
    <n v="-249382.72"/>
    <n v="-7336490.3899999997"/>
    <n v="1140"/>
    <n v="218.75677192982457"/>
    <n v="0"/>
    <s v="ARS"/>
    <s v="CC"/>
    <s v="GALICIA"/>
    <x v="3"/>
    <x v="8"/>
    <x v="45"/>
    <m/>
    <s v="TRIVERO"/>
    <s v="FA 0487"/>
    <x v="6"/>
    <m/>
    <s v="24/25"/>
    <s v="BIENES DE USO"/>
    <s v="EFECTIVO Y OTROS ACT LÍQ EQ."/>
  </r>
  <r>
    <x v="4"/>
    <d v="2025-05-30T00:00:00"/>
    <s v="CHEQUE 48 HS. "/>
    <s v="N68698147"/>
    <n v="300000"/>
    <n v="0"/>
    <n v="-300000"/>
    <n v="-7636490.3899999997"/>
    <n v="1140"/>
    <n v="263.15789473684208"/>
    <n v="0"/>
    <s v="ARS"/>
    <s v="CC"/>
    <s v="GALICIA"/>
    <x v="3"/>
    <x v="5"/>
    <x v="47"/>
    <s v="MOLINO"/>
    <s v="CORTI"/>
    <s v="FA 288"/>
    <x v="6"/>
    <m/>
    <s v="24/25"/>
    <s v="BIENES DE USO"/>
    <s v="EFECTIVO Y OTROS ACT LÍQ EQ."/>
  </r>
  <r>
    <x v="4"/>
    <d v="2025-05-30T00:00:00"/>
    <s v="TRANSFER. CASH MISMA TITULARIDAD"/>
    <m/>
    <n v="0"/>
    <n v="500000"/>
    <n v="500000"/>
    <n v="-7936490.3899999997"/>
    <n v="1140"/>
    <n v="0"/>
    <n v="438.59649122807019"/>
    <s v="ARS"/>
    <s v="CC"/>
    <s v="GALICIA"/>
    <x v="0"/>
    <x v="0"/>
    <x v="0"/>
    <s v="DESDE CC MACRO"/>
    <m/>
    <m/>
    <x v="0"/>
    <m/>
    <s v="24/25"/>
    <m/>
    <m/>
  </r>
  <r>
    <x v="4"/>
    <d v="2025-05-30T00:00:00"/>
    <s v="IMP. DEB. LEY 25413 GRAL."/>
    <m/>
    <n v="3296.3"/>
    <n v="0"/>
    <n v="-3296.3"/>
    <n v="-8236490.3899999997"/>
    <n v="1140"/>
    <n v="2.891491228070175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02T00:00:00"/>
    <s v="COMISION SERVICIO DE CUENTA"/>
    <m/>
    <n v="48000"/>
    <n v="0"/>
    <n v="-48000"/>
    <n v="-7187786.6900000004"/>
    <n v="1140"/>
    <n v="42.10526315789474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5"/>
    <d v="2025-06-02T00:00:00"/>
    <s v=" IVA"/>
    <m/>
    <n v="10080"/>
    <n v="0"/>
    <n v="-10080"/>
    <n v="-7197866.6900000004"/>
    <n v="1140"/>
    <n v="8.8421052631578956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 PERCEP. IVA"/>
    <m/>
    <n v="1440"/>
    <n v="0"/>
    <n v="-1440"/>
    <n v="-7199306.6900000004"/>
    <n v="1140"/>
    <n v="1.26315789473684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 COMISION CHEQUE PAGADO POR CLEARING"/>
    <m/>
    <n v="7200"/>
    <n v="0"/>
    <n v="-7200"/>
    <n v="-7206506.6900000004"/>
    <n v="1140"/>
    <n v="6.3157894736842106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5"/>
    <d v="2025-06-02T00:00:00"/>
    <s v=" IVA"/>
    <m/>
    <n v="1512"/>
    <n v="0"/>
    <n v="-1512"/>
    <n v="-7208018.6900000004"/>
    <n v="1140"/>
    <n v="1.3263157894736841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 PERCEP. IVA"/>
    <m/>
    <n v="216"/>
    <n v="0"/>
    <n v="-216"/>
    <n v="-7208234.6900000004"/>
    <n v="1140"/>
    <n v="0.1894736842105263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 IMP. DEB. LEY 25413"/>
    <m/>
    <n v="410.69"/>
    <n v="0"/>
    <n v="-410.69"/>
    <n v="-7208645.3799999999"/>
    <n v="1140"/>
    <n v="0.3602543859649122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02T00:00:00"/>
    <s v=" INTERESES SOBRE SALDOS DEUDORES"/>
    <m/>
    <n v="323999.42"/>
    <n v="0"/>
    <n v="-323999.42"/>
    <n v="-7532644.7999999998"/>
    <n v="1140"/>
    <n v="284.21001754385964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5"/>
    <d v="2025-06-02T00:00:00"/>
    <s v=" IMPUESTO DE SELLOS"/>
    <m/>
    <n v="7328.15"/>
    <n v="0"/>
    <n v="-7328.15"/>
    <n v="-7539972.9500000002"/>
    <n v="1140"/>
    <n v="6.4282017543859649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5"/>
    <d v="2025-06-02T00:00:00"/>
    <s v=" IVA"/>
    <m/>
    <n v="34019.94"/>
    <n v="0"/>
    <n v="-34019.94"/>
    <n v="-7573992.8899999997"/>
    <n v="1140"/>
    <n v="29.842052631578948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 PERCEP. IVA"/>
    <m/>
    <n v="4859.99"/>
    <n v="0"/>
    <n v="-4859.99"/>
    <n v="-7578852.8799999999"/>
    <n v="1140"/>
    <n v="4.263149122807017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5"/>
    <d v="2025-06-03T00:00:00"/>
    <s v="CHEQUE 48 HS. "/>
    <s v="N68698153"/>
    <n v="122290"/>
    <n v="0"/>
    <n v="-122290"/>
    <n v="-7581074.1299999999"/>
    <n v="1140"/>
    <n v="107.2719298245614"/>
    <n v="0"/>
    <s v="ARS"/>
    <s v="CC"/>
    <s v="GALICIA"/>
    <x v="5"/>
    <x v="13"/>
    <x v="25"/>
    <m/>
    <s v="LA YUNTA VET"/>
    <s v="FA35 FA46"/>
    <x v="6"/>
    <m/>
    <s v="24/25"/>
    <s v="BIENES Y SERVICIOS"/>
    <s v="EFECTIVO Y OTROS ACT LÍQ EQ."/>
  </r>
  <r>
    <x v="5"/>
    <d v="2025-06-03T00:00:00"/>
    <s v="CHEQUE 48 HS. "/>
    <s v="N68698152"/>
    <n v="440000"/>
    <n v="0"/>
    <n v="-440000"/>
    <n v="-8021074.1299999999"/>
    <n v="1140"/>
    <n v="385.96491228070175"/>
    <n v="0"/>
    <s v="ARS"/>
    <s v="CC"/>
    <s v="GALICIA"/>
    <x v="5"/>
    <x v="13"/>
    <x v="4"/>
    <s v="HONORARIOS"/>
    <s v="FEDE PICCIOCHI"/>
    <s v="FA341"/>
    <x v="6"/>
    <m/>
    <s v="24/25"/>
    <s v="BIENES Y SERVICIOS"/>
    <s v="EFECTIVO Y OTROS ACT LÍQ EQ."/>
  </r>
  <r>
    <x v="5"/>
    <d v="2025-06-03T00:00:00"/>
    <s v="TRANSFER. CASH MISMA TITULARIDAD"/>
    <m/>
    <n v="0"/>
    <n v="850000"/>
    <n v="850000"/>
    <n v="-7293364.1299999999"/>
    <n v="1140"/>
    <n v="0"/>
    <n v="745.61403508771934"/>
    <s v="ARS"/>
    <s v="CC"/>
    <s v="GALICIA"/>
    <x v="0"/>
    <x v="0"/>
    <x v="0"/>
    <s v="DESDE CC MACRO"/>
    <m/>
    <m/>
    <x v="0"/>
    <m/>
    <s v="24/25"/>
    <m/>
    <m/>
  </r>
  <r>
    <x v="5"/>
    <d v="2025-06-03T00:00:00"/>
    <s v="IMP. DEB. LEY 25413 GRAL."/>
    <m/>
    <n v="3373.74"/>
    <n v="0"/>
    <n v="-3373.74"/>
    <n v="-7296737.8700000001"/>
    <n v="1140"/>
    <n v="2.959421052631579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04T00:00:00"/>
    <s v="TRANSFER. CASH MISMA TITULARIDAD"/>
    <m/>
    <n v="0"/>
    <n v="150000"/>
    <n v="150000"/>
    <n v="-7146737.8700000001"/>
    <n v="1140"/>
    <n v="0"/>
    <n v="131.57894736842104"/>
    <s v="ARS"/>
    <s v="CC"/>
    <s v="GALICIA"/>
    <x v="0"/>
    <x v="0"/>
    <x v="0"/>
    <s v="DESDE CC MACRO"/>
    <m/>
    <m/>
    <x v="0"/>
    <m/>
    <s v="24/25"/>
    <m/>
    <m/>
  </r>
  <r>
    <x v="5"/>
    <d v="2025-06-05T00:00:00"/>
    <s v="CHEQUE 48 HS. "/>
    <s v="N68698149"/>
    <n v="1215000"/>
    <n v="0"/>
    <n v="-1215000"/>
    <n v="-8361737.8700000001"/>
    <n v="1140"/>
    <n v="1065.7894736842106"/>
    <n v="0"/>
    <s v="ARS"/>
    <s v="CC"/>
    <s v="GALICIA"/>
    <x v="5"/>
    <x v="13"/>
    <x v="46"/>
    <s v="HACIENDA"/>
    <s v="TODO CAMPO COMB"/>
    <s v="FA8373 FA8374"/>
    <x v="6"/>
    <m/>
    <s v="24/25"/>
    <s v="BIENES DE USO"/>
    <s v="EFECTIVO Y OTROS ACT LÍQ EQ."/>
  </r>
  <r>
    <x v="5"/>
    <d v="2025-06-05T00:00:00"/>
    <s v="TRANSFERENCIA DE TERCEROS"/>
    <m/>
    <n v="0"/>
    <n v="1300000"/>
    <n v="1300000"/>
    <n v="-7061737.8700000001"/>
    <n v="1140"/>
    <n v="0"/>
    <n v="1140.3508771929824"/>
    <s v="ARS"/>
    <s v="CC"/>
    <s v="GALICIA"/>
    <x v="1"/>
    <x v="11"/>
    <x v="14"/>
    <s v="SE DEPOSITO EN EFEC PARA CUBRIR CHEQUE"/>
    <s v="BECERRA ADRIAN"/>
    <m/>
    <x v="10"/>
    <m/>
    <s v="24/25"/>
    <s v="EFECTIVO Y OTROS ACT LÍQ EQ."/>
    <s v="DEUDAS FINANCIERAS CP"/>
  </r>
  <r>
    <x v="5"/>
    <d v="2025-06-05T00:00:00"/>
    <s v="IMP. DEB. LEY 25413 GRAL."/>
    <m/>
    <n v="7290"/>
    <n v="0"/>
    <n v="-7290"/>
    <n v="-7069027.8700000001"/>
    <n v="1140"/>
    <n v="6.394736842105262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05T00:00:00"/>
    <s v="IMP. CRE. LEY 25413"/>
    <m/>
    <n v="7800"/>
    <n v="0"/>
    <n v="-7800"/>
    <n v="-7076827.8700000001"/>
    <n v="1140"/>
    <n v="6.842105263157894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10T00:00:00"/>
    <s v="CHEQUE 48 HS. "/>
    <s v="N68698154"/>
    <n v="168370"/>
    <n v="0"/>
    <n v="-168370"/>
    <n v="-7245197.8700000001"/>
    <n v="1140"/>
    <n v="147.69298245614036"/>
    <n v="0"/>
    <s v="ARS"/>
    <s v="CC"/>
    <s v="GALICIA"/>
    <x v="3"/>
    <x v="5"/>
    <x v="36"/>
    <s v="MARZO ABRIL"/>
    <s v="CHICHIN PICCO"/>
    <m/>
    <x v="5"/>
    <m/>
    <s v="24/25"/>
    <s v="BIENES Y SERVICIOS"/>
    <s v="EFECTIVO Y OTROS ACT LÍQ EQ."/>
  </r>
  <r>
    <x v="5"/>
    <d v="2025-06-10T00:00:00"/>
    <s v="CHEQUE 48 HS. "/>
    <s v="N68698143"/>
    <n v="1253833.94"/>
    <n v="0"/>
    <n v="-1253833.94"/>
    <n v="-8330661.8099999996"/>
    <n v="1140"/>
    <n v="1099.8543333333332"/>
    <n v="0"/>
    <s v="ARS"/>
    <s v="CC"/>
    <s v="GALICIA"/>
    <x v="2"/>
    <x v="15"/>
    <x v="29"/>
    <s v="SEMILLAS"/>
    <s v="PALO VERDE"/>
    <s v="FA 9152"/>
    <x v="6"/>
    <m/>
    <s v="24/25"/>
    <s v="INSUMOS 2025"/>
    <s v="EFECTIVO Y OTROS ACT LÍQ EQ."/>
  </r>
  <r>
    <x v="5"/>
    <d v="2025-06-10T00:00:00"/>
    <s v="TRANSFER. CASH MISMA TITULARIDAD"/>
    <m/>
    <n v="0"/>
    <n v="1500000"/>
    <n v="1500000"/>
    <n v="-6999031.8099999996"/>
    <n v="1140"/>
    <n v="0"/>
    <n v="1315.7894736842106"/>
    <s v="ARS"/>
    <s v="CC"/>
    <s v="GALICIA"/>
    <x v="0"/>
    <x v="0"/>
    <x v="0"/>
    <s v="DESDE CC MACRO"/>
    <m/>
    <m/>
    <x v="0"/>
    <m/>
    <s v="24/25"/>
    <m/>
    <m/>
  </r>
  <r>
    <x v="5"/>
    <d v="2025-06-10T00:00:00"/>
    <s v="IMP. DEB. LEY 25413 GRAL."/>
    <m/>
    <n v="8533.2199999999993"/>
    <n v="0"/>
    <n v="-8533.2199999999993"/>
    <n v="-7007565.0300000003"/>
    <n v="1140"/>
    <n v="7.485280701754385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12T00:00:00"/>
    <s v="TRANSFER. CASH MISMA TITULARIDAD"/>
    <m/>
    <n v="0"/>
    <n v="7020000"/>
    <n v="7020000"/>
    <n v="12434.97"/>
    <n v="1140"/>
    <n v="0"/>
    <n v="6157.894736842105"/>
    <s v="ARS"/>
    <s v="CC"/>
    <s v="GALICIA"/>
    <x v="0"/>
    <x v="0"/>
    <x v="0"/>
    <s v="DESDE CC MACRO"/>
    <m/>
    <m/>
    <x v="0"/>
    <m/>
    <s v="24/25"/>
    <m/>
    <m/>
  </r>
  <r>
    <x v="5"/>
    <d v="2025-06-13T00:00:00"/>
    <s v="CHEQUE 48 HS. "/>
    <s v="N68698155"/>
    <n v="1800000"/>
    <n v="0"/>
    <n v="-1800000"/>
    <n v="-1787565.03"/>
    <n v="1140"/>
    <n v="1578.9473684210527"/>
    <n v="0"/>
    <s v="ARS"/>
    <s v="CC"/>
    <s v="GALICIA"/>
    <x v="5"/>
    <x v="13"/>
    <x v="46"/>
    <s v="HACIENDA"/>
    <s v="HA COMBUSTIBLES"/>
    <s v="FA 2957"/>
    <x v="6"/>
    <m/>
    <s v="24/25"/>
    <s v="BIENES Y SERVICIOS"/>
    <s v="EFECTIVO Y OTROS ACT LÍQ EQ."/>
  </r>
  <r>
    <x v="5"/>
    <d v="2025-06-13T00:00:00"/>
    <s v="TRANSFER. CASH MISMA TITULARIDAD"/>
    <m/>
    <n v="0"/>
    <n v="2000000"/>
    <n v="2000000"/>
    <n v="212434.97"/>
    <n v="1140"/>
    <n v="0"/>
    <n v="1754.3859649122808"/>
    <s v="ARS"/>
    <s v="CC"/>
    <s v="GALICIA"/>
    <x v="0"/>
    <x v="0"/>
    <x v="0"/>
    <s v="DESDE CC MACRO"/>
    <m/>
    <m/>
    <x v="0"/>
    <m/>
    <s v="24/25"/>
    <m/>
    <m/>
  </r>
  <r>
    <x v="5"/>
    <d v="2025-06-13T00:00:00"/>
    <s v="IMP. DEB. LEY 25413 GRAL."/>
    <m/>
    <n v="10800"/>
    <n v="0"/>
    <n v="-10800"/>
    <n v="201634.97"/>
    <n v="1140"/>
    <n v="9.47368421052631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18T00:00:00"/>
    <s v="CHEQUE 48 HS."/>
    <s v="N68698151"/>
    <n v="166000"/>
    <n v="0"/>
    <n v="-166000"/>
    <n v="35634.97"/>
    <n v="1140"/>
    <n v="145.61403508771929"/>
    <n v="0"/>
    <s v="ARS"/>
    <s v="CC"/>
    <s v="GALICIA"/>
    <x v="3"/>
    <x v="8"/>
    <x v="11"/>
    <m/>
    <s v="ALINEACIONES ROBLEDO"/>
    <s v="FA 0065"/>
    <x v="6"/>
    <m/>
    <s v="24/25"/>
    <s v="BIENES Y SERVICIOS"/>
    <s v="EFECTIVO Y OTROS ACT LÍQ EQ."/>
  </r>
  <r>
    <x v="5"/>
    <d v="2025-06-17T00:00:00"/>
    <s v="CHEQUE GALICIA "/>
    <s v="N68698156"/>
    <n v="1947415.84"/>
    <n v="0"/>
    <n v="-1947415.84"/>
    <n v="-1911780.87"/>
    <n v="1140"/>
    <n v="1708.2595087719299"/>
    <n v="0"/>
    <s v="ARS"/>
    <s v="CC"/>
    <s v="GALICIA"/>
    <x v="5"/>
    <x v="13"/>
    <x v="46"/>
    <s v="HACIENDA"/>
    <s v="HA COMBUSTIBLES"/>
    <s v="FA 2957"/>
    <x v="6"/>
    <m/>
    <s v="24/25"/>
    <s v="BIENES Y SERVICIOS"/>
    <s v="EFECTIVO Y OTROS ACT LÍQ EQ."/>
  </r>
  <r>
    <x v="5"/>
    <d v="2025-06-18T00:00:00"/>
    <s v="TRANSF INMED CP"/>
    <m/>
    <n v="1000000"/>
    <n v="0"/>
    <n v="-1000000"/>
    <n v="-2923465.37"/>
    <n v="1140"/>
    <n v="877.19298245614038"/>
    <n v="0"/>
    <s v="ARS"/>
    <s v="CC"/>
    <s v="GALICIA"/>
    <x v="0"/>
    <x v="0"/>
    <x v="0"/>
    <s v="HACIA CC MACRO"/>
    <m/>
    <m/>
    <x v="0"/>
    <m/>
    <s v="24/25"/>
    <m/>
    <m/>
  </r>
  <r>
    <x v="5"/>
    <d v="2025-06-18T00:00:00"/>
    <s v="TRF INMED PROVEED"/>
    <m/>
    <n v="200000"/>
    <n v="0"/>
    <n v="-200000"/>
    <n v="-3481835.37"/>
    <n v="1140"/>
    <n v="175.43859649122808"/>
    <n v="0"/>
    <s v="ARS"/>
    <s v="CC"/>
    <s v="GALICIA"/>
    <x v="1"/>
    <x v="3"/>
    <x v="13"/>
    <m/>
    <s v="MARTIN TOLEDO"/>
    <m/>
    <x v="3"/>
    <m/>
    <s v="24/25"/>
    <s v="EGRESOS"/>
    <s v="EFECTIVO Y OTROS ACT LÍQ EQ."/>
  </r>
  <r>
    <x v="5"/>
    <d v="2025-06-18T00:00:00"/>
    <s v="TRF INMED PROVEED"/>
    <m/>
    <n v="8370"/>
    <n v="0"/>
    <n v="-8370"/>
    <n v="-3690205.37"/>
    <n v="1140"/>
    <n v="7.3421052631578947"/>
    <n v="0"/>
    <s v="ARS"/>
    <s v="CC"/>
    <s v="GALICIA"/>
    <x v="1"/>
    <x v="3"/>
    <x v="3"/>
    <s v="OSECAC Y FAECYS"/>
    <s v="KEVIN TOLEDO"/>
    <m/>
    <x v="3"/>
    <m/>
    <s v="24/25"/>
    <s v="EGRESOS"/>
    <s v="EFECTIVO Y OTROS ACT LÍQ EQ."/>
  </r>
  <r>
    <x v="5"/>
    <d v="2025-06-18T00:00:00"/>
    <s v="IMP. DEB. LEY 25413 GRAL."/>
    <m/>
    <n v="4346.22"/>
    <n v="0"/>
    <n v="-4346.22"/>
    <n v="-3486181.59"/>
    <n v="1140"/>
    <n v="3.812473684210526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18T00:00:00"/>
    <s v="TRF INMED PROVEED"/>
    <m/>
    <n v="350000"/>
    <n v="0"/>
    <n v="-350000"/>
    <n v="-3273465.37"/>
    <n v="1140"/>
    <n v="307.01754385964909"/>
    <n v="0"/>
    <s v="ARS"/>
    <s v="CC"/>
    <s v="GALICIA"/>
    <x v="1"/>
    <x v="2"/>
    <x v="2"/>
    <s v="PARTE JULIO"/>
    <s v="CLAUDIA ERRECALDE"/>
    <m/>
    <x v="15"/>
    <s v="CLAUDIA"/>
    <s v="24/25"/>
    <s v="FUTURAS UT. ADL CLAUDIA"/>
    <s v="EFECTIVO Y OTROS ACT LÍQ EQ."/>
  </r>
  <r>
    <x v="5"/>
    <d v="2025-06-19T00:00:00"/>
    <s v="TRF INMED PROVEED"/>
    <m/>
    <n v="34706.230000000003"/>
    <n v="0"/>
    <n v="-34706.230000000003"/>
    <n v="-3520887.82"/>
    <n v="1140"/>
    <n v="30.444061403508776"/>
    <n v="0"/>
    <s v="ARS"/>
    <s v="CC"/>
    <s v="GALICIA"/>
    <x v="2"/>
    <x v="4"/>
    <x v="5"/>
    <s v="RESTO DEL SEGURO"/>
    <s v="LA SEGUNDA SEGUROS"/>
    <m/>
    <x v="6"/>
    <m/>
    <s v="24/25"/>
    <s v="EGRESOS"/>
    <s v="EFECTIVO Y OTROS ACT LÍQ EQ."/>
  </r>
  <r>
    <x v="5"/>
    <d v="2025-06-19T00:00:00"/>
    <s v="IMP. DEB. LEY 25413 GRAL."/>
    <m/>
    <n v="208.24"/>
    <n v="0"/>
    <n v="-208.24"/>
    <n v="-3521096.06"/>
    <n v="1140"/>
    <n v="0.1826666666666666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23T00:00:00"/>
    <s v="TRF INMED PROVEED"/>
    <m/>
    <n v="377406"/>
    <n v="0"/>
    <n v="-377406"/>
    <n v="-3898502.06"/>
    <n v="1140"/>
    <n v="331.05789473684212"/>
    <n v="0"/>
    <s v="ARS"/>
    <s v="CC"/>
    <s v="GALICIA"/>
    <x v="5"/>
    <x v="13"/>
    <x v="23"/>
    <s v="HACIENDA"/>
    <s v="FACUNDO DE DIOS "/>
    <m/>
    <x v="6"/>
    <m/>
    <s v="24/25"/>
    <s v="BIENES Y SERVICIOS"/>
    <s v="EFECTIVO Y OTROS ACT LÍQ EQ."/>
  </r>
  <r>
    <x v="5"/>
    <d v="2025-06-23T00:00:00"/>
    <s v="TRF INMED PROVEED"/>
    <m/>
    <n v="593826"/>
    <n v="0"/>
    <n v="-593826"/>
    <n v="-4492328.0599999996"/>
    <n v="1140"/>
    <n v="520.9"/>
    <n v="0"/>
    <s v="ARS"/>
    <s v="CC"/>
    <s v="GALICIA"/>
    <x v="1"/>
    <x v="11"/>
    <x v="30"/>
    <s v="POR PAGO A MARTIN, GUIA,  DE DIOS FACUNDO"/>
    <s v="BECERRA ADRIAN"/>
    <m/>
    <x v="10"/>
    <m/>
    <s v="24/25"/>
    <s v="DEUDAS FINANCIERAS CP"/>
    <s v="EFECTIVO Y OTROS ACT LÍQ EQ."/>
  </r>
  <r>
    <x v="5"/>
    <d v="2025-06-23T00:00:00"/>
    <s v="TRF INMED PROVEED"/>
    <m/>
    <n v="200000"/>
    <n v="0"/>
    <n v="-200000"/>
    <n v="-4692328.0599999996"/>
    <n v="1140"/>
    <n v="175.43859649122808"/>
    <n v="0"/>
    <s v="ARS"/>
    <s v="CC"/>
    <s v="GALICIA"/>
    <x v="1"/>
    <x v="2"/>
    <x v="2"/>
    <s v="PARTE JULIO"/>
    <s v="CLAUDIA ERRECALDE"/>
    <m/>
    <x v="15"/>
    <s v="CLAUDIA"/>
    <s v="24/25"/>
    <s v="FUTURAS UT. ADL CLAUDIA"/>
    <s v="EFECTIVO Y OTROS ACT LÍQ EQ."/>
  </r>
  <r>
    <x v="5"/>
    <d v="2025-06-23T00:00:00"/>
    <s v="IMP. DEB. LEY 25413 GRAL."/>
    <m/>
    <n v="7027.39"/>
    <n v="0"/>
    <n v="-7027.39"/>
    <n v="-4699355.45"/>
    <n v="1140"/>
    <n v="6.164377192982456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24T00:00:00"/>
    <s v="ECHEQ 48 HS. "/>
    <s v="N119"/>
    <n v="8184079.3300000001"/>
    <n v="0"/>
    <n v="-8184079.3300000001"/>
    <n v="-12883434.779999999"/>
    <n v="1140"/>
    <n v="7179.0169561403509"/>
    <n v="0"/>
    <s v="ARS"/>
    <s v="CC"/>
    <s v="GALICIA"/>
    <x v="2"/>
    <x v="4"/>
    <x v="35"/>
    <s v="PICADO"/>
    <s v="MARGARIA"/>
    <s v="FA 931"/>
    <x v="6"/>
    <m/>
    <s v="24/25"/>
    <s v="BIENES Y SERVICIOS"/>
    <s v="EFECTIVO Y OTROS ACT LÍQ EQ."/>
  </r>
  <r>
    <x v="5"/>
    <d v="2025-06-24T00:00:00"/>
    <s v="TRANSFERENCIA DE CUENTA PROPIA"/>
    <m/>
    <n v="0"/>
    <n v="5000000"/>
    <n v="5000000"/>
    <n v="-7883434.7800000003"/>
    <n v="1140"/>
    <n v="0"/>
    <n v="4385.9649122807014"/>
    <s v="ARS"/>
    <s v="CC"/>
    <s v="GALICIA"/>
    <x v="0"/>
    <x v="0"/>
    <x v="0"/>
    <s v="DESDE CC PAMPA"/>
    <m/>
    <m/>
    <x v="0"/>
    <m/>
    <s v="24/25"/>
    <m/>
    <m/>
  </r>
  <r>
    <x v="5"/>
    <d v="2025-06-24T00:00:00"/>
    <s v="TRANSFERENCIA DE CUENTA PROPIA"/>
    <m/>
    <n v="0"/>
    <n v="950000"/>
    <n v="950000"/>
    <n v="-6933434.7800000003"/>
    <n v="1140"/>
    <n v="0"/>
    <n v="833.33333333333337"/>
    <s v="ARS"/>
    <s v="CC"/>
    <s v="GALICIA"/>
    <x v="0"/>
    <x v="0"/>
    <x v="0"/>
    <s v="DESDE CC NACION"/>
    <m/>
    <m/>
    <x v="0"/>
    <m/>
    <s v="24/25"/>
    <m/>
    <m/>
  </r>
  <r>
    <x v="5"/>
    <d v="2025-06-24T00:00:00"/>
    <s v="TRF INMED PROVEED"/>
    <m/>
    <n v="55200"/>
    <n v="0"/>
    <n v="-55200"/>
    <n v="-7140634.7800000003"/>
    <n v="1140"/>
    <n v="48.421052631578945"/>
    <n v="0"/>
    <s v="ARS"/>
    <s v="CC"/>
    <s v="GALICIA"/>
    <x v="5"/>
    <x v="13"/>
    <x v="48"/>
    <s v="HACIENDA"/>
    <s v="SENASA"/>
    <m/>
    <x v="6"/>
    <m/>
    <s v="24/25"/>
    <s v="BIENES Y SERVICIOS"/>
    <s v="EFECTIVO Y OTROS ACT LÍQ EQ."/>
  </r>
  <r>
    <x v="5"/>
    <d v="2025-06-24T00:00:00"/>
    <s v="TRF INMED PROVEED"/>
    <m/>
    <n v="152000"/>
    <n v="0"/>
    <n v="-152000"/>
    <n v="-7140634.7800000003"/>
    <n v="1140"/>
    <n v="133.33333333333334"/>
    <n v="0"/>
    <s v="ARS"/>
    <s v="CC"/>
    <s v="GALICIA"/>
    <x v="1"/>
    <x v="17"/>
    <x v="28"/>
    <s v="CEL RAULI"/>
    <s v="MOVISTAR"/>
    <m/>
    <x v="6"/>
    <m/>
    <s v="24/25"/>
    <s v="BIENES Y SERVICIOS"/>
    <s v="EFECTIVO Y OTROS ACT LÍQ EQ."/>
  </r>
  <r>
    <x v="5"/>
    <d v="2025-06-24T00:00:00"/>
    <s v="IMP. DEB. LEY 25413 GRAL."/>
    <m/>
    <n v="50347.68"/>
    <n v="0"/>
    <n v="-50347.68"/>
    <n v="-7190982.46"/>
    <n v="1140"/>
    <n v="44.16463157894737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25T00:00:00"/>
    <s v="TRANSFER. CASH MISMA TITULARIDAD"/>
    <m/>
    <n v="0"/>
    <n v="7200000"/>
    <n v="7200000"/>
    <n v="9017.5400000000009"/>
    <n v="1140"/>
    <n v="0"/>
    <n v="6315.7894736842109"/>
    <s v="ARS"/>
    <s v="CC"/>
    <s v="GALICIA"/>
    <x v="0"/>
    <x v="0"/>
    <x v="0"/>
    <s v="DESDE CC MACRO"/>
    <m/>
    <m/>
    <x v="0"/>
    <m/>
    <s v="24/25"/>
    <m/>
    <m/>
  </r>
  <r>
    <x v="5"/>
    <d v="2025-06-25T00:00:00"/>
    <s v="TRF INMED PROVEED"/>
    <m/>
    <n v="232500"/>
    <n v="0"/>
    <n v="-232500"/>
    <n v="-223482.46"/>
    <n v="1140"/>
    <n v="203.94736842105263"/>
    <n v="0"/>
    <s v="ARS"/>
    <s v="CC"/>
    <s v="GALICIA"/>
    <x v="3"/>
    <x v="14"/>
    <x v="49"/>
    <m/>
    <s v="DIRATCHETTE AGUSTIN"/>
    <s v="FA 607"/>
    <x v="6"/>
    <m/>
    <s v="24/25"/>
    <s v="BIENES Y SERVICIOS"/>
    <s v="EFECTIVO Y OTROS ACT LÍQ EQ."/>
  </r>
  <r>
    <x v="5"/>
    <d v="2025-06-25T00:00:00"/>
    <s v="IMP. DEB. LEY 25413 GRAL."/>
    <m/>
    <n v="1395"/>
    <n v="0"/>
    <n v="-1395"/>
    <n v="-224877.46"/>
    <n v="1140"/>
    <n v="1.223684210526315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01T00:00:00"/>
    <s v="COMISION SERVICIO DE CUENTA"/>
    <m/>
    <n v="48000"/>
    <n v="0"/>
    <n v="-48000"/>
    <n v="-272877.46000000002"/>
    <n v="1140"/>
    <n v="42.10526315789474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6"/>
    <d v="2025-07-01T00:00:00"/>
    <s v="IVA"/>
    <m/>
    <n v="10080"/>
    <n v="0"/>
    <n v="-10080"/>
    <n v="-282957.46000000002"/>
    <n v="1140"/>
    <n v="8.8421052631578956"/>
    <n v="0"/>
    <s v="ARS"/>
    <s v="CC"/>
    <s v="GALICIA"/>
    <x v="1"/>
    <x v="1"/>
    <x v="1"/>
    <m/>
    <m/>
    <m/>
    <x v="1"/>
    <m/>
    <s v="24/25"/>
    <s v="EGRESOS"/>
    <s v="EFECTIVO Y OTROS ACT LÍQ EQ."/>
  </r>
  <r>
    <x v="6"/>
    <d v="2025-07-01T00:00:00"/>
    <s v="PERCEP. IVA"/>
    <m/>
    <n v="1440"/>
    <n v="0"/>
    <n v="-1440"/>
    <n v="-284397.46000000002"/>
    <n v="1140"/>
    <n v="1.26315789473684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COMISION CHEQUE PAGADO POR CLEARING"/>
    <m/>
    <n v="9600"/>
    <n v="0"/>
    <n v="-9600"/>
    <n v="-293997.46000000002"/>
    <n v="1140"/>
    <n v="8.4210526315789469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6"/>
    <d v="2025-07-01T00:00:00"/>
    <s v="IVA"/>
    <m/>
    <n v="2016"/>
    <n v="0"/>
    <n v="-2016"/>
    <n v="-296013.46000000002"/>
    <n v="1140"/>
    <n v="1.7684210526315789"/>
    <n v="0"/>
    <s v="ARS"/>
    <s v="CC"/>
    <s v="GALICIA"/>
    <x v="1"/>
    <x v="1"/>
    <x v="1"/>
    <m/>
    <m/>
    <m/>
    <x v="1"/>
    <m/>
    <s v="24/25"/>
    <s v="EGRESOS"/>
    <s v="EFECTIVO Y OTROS ACT LÍQ EQ."/>
  </r>
  <r>
    <x v="6"/>
    <d v="2025-07-01T00:00:00"/>
    <s v="PERCEP. IVA"/>
    <m/>
    <n v="288"/>
    <n v="0"/>
    <n v="-288"/>
    <n v="-296301.46000000002"/>
    <n v="1140"/>
    <n v="0.2526315789473684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DEBITO AUTOMATICO GALICIA RURAL"/>
    <m/>
    <n v="4693.43"/>
    <n v="0"/>
    <n v="-4693.43"/>
    <n v="-300994.89"/>
    <n v="1140"/>
    <n v="4.1170438596491232"/>
    <n v="0"/>
    <s v="ARS"/>
    <s v="CC"/>
    <s v="GALICIA"/>
    <x v="1"/>
    <x v="1"/>
    <x v="1"/>
    <m/>
    <m/>
    <m/>
    <x v="1"/>
    <m/>
    <s v="24/25"/>
    <s v="EGRESOS"/>
    <s v="EFECTIVO Y OTROS ACT LÍQ EQ."/>
  </r>
  <r>
    <x v="6"/>
    <d v="2025-07-01T00:00:00"/>
    <s v="IMP. DEB. LEY 25413 GRAL."/>
    <m/>
    <n v="456.7"/>
    <n v="0"/>
    <n v="-456.7"/>
    <n v="-301451.59000000003"/>
    <n v="1140"/>
    <n v="0.4006140350877193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01T00:00:00"/>
    <s v="INTERESES SOBRE SALDOS DEUDORES"/>
    <m/>
    <n v="161538.82999999999"/>
    <n v="0"/>
    <n v="-161538.82999999999"/>
    <n v="-462990.42"/>
    <n v="1140"/>
    <n v="141.70072807017542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6"/>
    <d v="2025-07-01T00:00:00"/>
    <s v="IMPUESTO DE SELLOS"/>
    <m/>
    <n v="3653.63"/>
    <n v="0"/>
    <n v="-3653.63"/>
    <n v="-466644.05"/>
    <n v="1140"/>
    <n v="3.2049385964912283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6"/>
    <d v="2025-07-01T00:00:00"/>
    <s v="IVA"/>
    <m/>
    <n v="16961.580000000002"/>
    <n v="0"/>
    <n v="-16961.580000000002"/>
    <n v="-483605.63"/>
    <n v="1140"/>
    <n v="14.878578947368423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6"/>
    <d v="2025-07-01T00:00:00"/>
    <s v="PERCEP. IVA"/>
    <m/>
    <n v="2423.08"/>
    <n v="0"/>
    <n v="-2423.08"/>
    <n v="-486028.71"/>
    <n v="1140"/>
    <n v="2.125508771929824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IMP. DEB. LEY 25413 GRAL."/>
    <m/>
    <n v="1107.46"/>
    <n v="0"/>
    <n v="-1107.46"/>
    <n v="-487136.17"/>
    <n v="1140"/>
    <n v="0.9714561403508772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02T00:00:00"/>
    <s v="CHEQUE 48 HS. "/>
    <s v="N68698146"/>
    <n v="1473622.75"/>
    <n v="0"/>
    <n v="-1473622.75"/>
    <n v="-1960758.92"/>
    <n v="1140"/>
    <n v="1292.6515350877194"/>
    <n v="0"/>
    <s v="ARS"/>
    <s v="CC"/>
    <s v="GALICIA"/>
    <x v="2"/>
    <x v="4"/>
    <x v="5"/>
    <s v="APLICACIONES"/>
    <s v="CLERICI JUAN PABLO"/>
    <s v="FA 147"/>
    <x v="6"/>
    <m/>
    <s v="24/25"/>
    <s v="BIENES Y SERVICIOS"/>
    <s v="EFECTIVO Y OTROS ACT LÍQ EQ."/>
  </r>
  <r>
    <x v="6"/>
    <d v="2025-07-02T00:00:00"/>
    <s v="TRANSFER. CASH MISMA TITULARIDAD"/>
    <m/>
    <n v="0"/>
    <n v="2000000"/>
    <n v="2000000"/>
    <n v="39241.08"/>
    <n v="1140"/>
    <n v="0"/>
    <n v="1754.3859649122808"/>
    <s v="ARS"/>
    <s v="CC"/>
    <s v="GALICIA"/>
    <x v="0"/>
    <x v="0"/>
    <x v="0"/>
    <s v="DESDE CC MACRO"/>
    <m/>
    <m/>
    <x v="0"/>
    <m/>
    <s v="24/25"/>
    <m/>
    <m/>
  </r>
  <r>
    <x v="6"/>
    <d v="2025-07-02T00:00:00"/>
    <s v="IMP. DEB. LEY 25413 GRAL."/>
    <m/>
    <n v="8841.74"/>
    <n v="0"/>
    <n v="-8841.74"/>
    <n v="30399.34"/>
    <n v="1140"/>
    <n v="7.755912280701753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07T00:00:00"/>
    <s v="TRANSFER. CASH MISMA TITULARIDAD"/>
    <m/>
    <n v="0"/>
    <n v="60000000"/>
    <n v="60000000"/>
    <n v="60030399.340000004"/>
    <n v="1140"/>
    <n v="0"/>
    <n v="52631.57894736842"/>
    <s v="ARS"/>
    <s v="CC"/>
    <s v="GALICIA"/>
    <x v="0"/>
    <x v="0"/>
    <x v="0"/>
    <s v="DESDE CC MACRO"/>
    <m/>
    <m/>
    <x v="0"/>
    <m/>
    <s v="24/25"/>
    <m/>
    <m/>
  </r>
  <r>
    <x v="6"/>
    <d v="2025-07-07T00:00:00"/>
    <s v="TRF INMED PROVEED"/>
    <m/>
    <n v="60000000"/>
    <n v="0"/>
    <n v="-60000000"/>
    <n v="30399.34"/>
    <n v="1140"/>
    <n v="52631.57894736842"/>
    <n v="0"/>
    <s v="ARS"/>
    <s v="CC"/>
    <s v="GALICIA"/>
    <x v="5"/>
    <x v="18"/>
    <x v="50"/>
    <m/>
    <s v="COLOMBO&amp;COLOMBO"/>
    <m/>
    <x v="19"/>
    <m/>
    <s v="24/25"/>
    <s v="EGRESOS"/>
    <s v="EFECTIVO Y OTROS ACT LÍQ EQ."/>
  </r>
  <r>
    <x v="6"/>
    <d v="2025-07-07T00:00:00"/>
    <s v="IMP. DEB. LEY 25413 GRAL."/>
    <m/>
    <n v="360000"/>
    <n v="0"/>
    <n v="-360000"/>
    <n v="-329600.65999999997"/>
    <n v="1140"/>
    <n v="315.7894736842105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11T00:00:00"/>
    <s v="CHEQUE 48 HS. "/>
    <s v="N68698144"/>
    <n v="1253833.94"/>
    <n v="0"/>
    <n v="-1253833.94"/>
    <n v="-1583434.6"/>
    <n v="1140"/>
    <n v="1099.8543333333332"/>
    <n v="0"/>
    <s v="ARS"/>
    <s v="CC"/>
    <s v="GALICIA"/>
    <x v="2"/>
    <x v="15"/>
    <x v="29"/>
    <s v="SEMILLAS"/>
    <s v="PALO VERDE"/>
    <s v="FA 9152"/>
    <x v="6"/>
    <m/>
    <s v="24/25"/>
    <s v="INSUMOS 2025"/>
    <s v="EFECTIVO Y OTROS ACT LÍQ EQ."/>
  </r>
  <r>
    <x v="6"/>
    <d v="2025-07-11T00:00:00"/>
    <s v="IMP. DEB. LEY 25413 GRAL."/>
    <m/>
    <n v="7523"/>
    <n v="0"/>
    <n v="-7523"/>
    <n v="-1590957.6"/>
    <n v="1140"/>
    <n v="6.599122807017543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15T00:00:00"/>
    <s v="TRANSFER. CASH MISMA TITULARIDAD"/>
    <m/>
    <n v="0"/>
    <n v="25000000"/>
    <n v="25000000"/>
    <n v="23409042.399999999"/>
    <n v="1140"/>
    <n v="0"/>
    <n v="21929.824561403508"/>
    <s v="ARS"/>
    <s v="CC"/>
    <s v="GALICIA"/>
    <x v="0"/>
    <x v="0"/>
    <x v="0"/>
    <s v="DESDE CC MACRO"/>
    <m/>
    <m/>
    <x v="0"/>
    <m/>
    <s v="24/25"/>
    <m/>
    <m/>
  </r>
  <r>
    <x v="6"/>
    <d v="2025-07-15T00:00:00"/>
    <s v="TRF INMED PROVEED"/>
    <m/>
    <n v="23285264.399999999"/>
    <n v="0"/>
    <n v="-23285264.399999999"/>
    <n v="123778"/>
    <n v="1140"/>
    <n v="20425.670526315789"/>
    <n v="0"/>
    <s v="ARS"/>
    <s v="CC"/>
    <s v="GALICIA"/>
    <x v="5"/>
    <x v="18"/>
    <x v="50"/>
    <m/>
    <s v="COLOMBO&amp;COLOMBO"/>
    <m/>
    <x v="19"/>
    <m/>
    <s v="24/25"/>
    <s v="EGRESOS"/>
    <s v="EFECTIVO Y OTROS ACT LÍQ EQ."/>
  </r>
  <r>
    <x v="6"/>
    <d v="2025-07-15T00:00:00"/>
    <s v="IMP. DEB. LEY 25413 GRAL."/>
    <m/>
    <n v="139711.59"/>
    <n v="0"/>
    <n v="-139711.59"/>
    <n v="-15933.59"/>
    <n v="1140"/>
    <n v="122.5540263157894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23T00:00:00"/>
    <s v="ECHEQ 48 HS. "/>
    <s v="N120"/>
    <n v="4000000"/>
    <n v="0"/>
    <n v="-4000000"/>
    <n v="-4015933.59"/>
    <n v="1140"/>
    <n v="3508.7719298245615"/>
    <n v="0"/>
    <s v="ARS"/>
    <s v="CC"/>
    <s v="GALICIA"/>
    <x v="2"/>
    <x v="4"/>
    <x v="35"/>
    <s v="PICADO"/>
    <s v="MARGARIA"/>
    <s v="FA 931"/>
    <x v="6"/>
    <m/>
    <s v="24/25"/>
    <s v="BIENES Y SERVICIOS"/>
    <s v="EFECTIVO Y OTROS ACT LÍQ EQ."/>
  </r>
  <r>
    <x v="6"/>
    <d v="2025-07-23T00:00:00"/>
    <s v="TRANSFER. CASH MISMA TITULARIDAD"/>
    <m/>
    <n v="0"/>
    <n v="4100000"/>
    <n v="4100000"/>
    <n v="84066.41"/>
    <n v="1140"/>
    <n v="0"/>
    <n v="3596.4912280701756"/>
    <s v="ARS"/>
    <s v="CC"/>
    <s v="GALICIA"/>
    <x v="0"/>
    <x v="0"/>
    <x v="0"/>
    <s v="DESDE CC MACRO"/>
    <m/>
    <m/>
    <x v="0"/>
    <m/>
    <s v="24/25"/>
    <m/>
    <m/>
  </r>
  <r>
    <x v="6"/>
    <d v="2025-07-23T00:00:00"/>
    <s v="IMP. DEB. LEY 25413 GRAL."/>
    <m/>
    <n v="24000"/>
    <n v="0"/>
    <n v="-24000"/>
    <n v="60066.41"/>
    <n v="1140"/>
    <n v="21.0526315789473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25T00:00:00"/>
    <s v="ECHEQ 48 HS. "/>
    <s v="N121"/>
    <n v="4184079.33"/>
    <n v="0"/>
    <n v="-4184079.33"/>
    <n v="-4124012.92"/>
    <n v="1290"/>
    <n v="3243.4723488372092"/>
    <n v="0"/>
    <s v="ARS"/>
    <s v="CC"/>
    <s v="GALICIA"/>
    <x v="2"/>
    <x v="4"/>
    <x v="35"/>
    <s v="PICADO"/>
    <s v="MARGARIA"/>
    <s v="FA 931"/>
    <x v="6"/>
    <m/>
    <s v="24/25"/>
    <s v="BIENES Y SERVICIOS"/>
    <s v="EFECTIVO Y OTROS ACT LÍQ EQ."/>
  </r>
  <r>
    <x v="6"/>
    <d v="2025-07-25T00:00:00"/>
    <s v="TRANSFER. CASH MISMA TITULARIDAD"/>
    <m/>
    <n v="0"/>
    <n v="4200000"/>
    <n v="4200000"/>
    <n v="75987.08"/>
    <n v="1290"/>
    <n v="0"/>
    <n v="3255.8139534883721"/>
    <s v="ARS"/>
    <s v="CC"/>
    <s v="GALICIA"/>
    <x v="0"/>
    <x v="0"/>
    <x v="0"/>
    <s v="DESDE CC MACRO"/>
    <m/>
    <m/>
    <x v="0"/>
    <m/>
    <s v="24/25"/>
    <m/>
    <m/>
  </r>
  <r>
    <x v="6"/>
    <d v="2025-07-25T00:00:00"/>
    <s v="IMP. DEB. LEY 25413 GRAL."/>
    <m/>
    <n v="25104.48"/>
    <n v="0"/>
    <n v="-25104.48"/>
    <n v="50882.6"/>
    <n v="1290"/>
    <n v="19.46083720930232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29T00:00:00"/>
    <s v="TRANSFER. CASH MISMA TITULARIDAD"/>
    <m/>
    <n v="4000000"/>
    <n v="0"/>
    <n v="-4000000"/>
    <n v="-3949117.4"/>
    <n v="1290"/>
    <n v="3100.7751937984494"/>
    <n v="0"/>
    <s v="ARS"/>
    <s v="CC"/>
    <s v="GALICIA"/>
    <x v="0"/>
    <x v="0"/>
    <x v="0"/>
    <s v="HACIA CC MACRO"/>
    <m/>
    <m/>
    <x v="0"/>
    <m/>
    <s v="24/25"/>
    <m/>
    <m/>
  </r>
  <r>
    <x v="6"/>
    <d v="2025-07-30T00:00:00"/>
    <s v="TRANSF INMED CP"/>
    <m/>
    <n v="1500000"/>
    <n v="0"/>
    <n v="-1500000"/>
    <n v="-5449117.4000000004"/>
    <n v="1290"/>
    <n v="1162.7906976744187"/>
    <n v="0"/>
    <s v="ARS"/>
    <s v="CC"/>
    <s v="GALICIA"/>
    <x v="0"/>
    <x v="0"/>
    <x v="0"/>
    <s v="HACIA CC MACRO"/>
    <m/>
    <m/>
    <x v="0"/>
    <m/>
    <s v="24/25"/>
    <m/>
    <m/>
  </r>
  <r>
    <x v="7"/>
    <d v="2025-08-01T00:00:00"/>
    <s v="TRANSFER. CASH MISMA TITULARIDAD"/>
    <m/>
    <n v="0"/>
    <n v="5500000"/>
    <n v="5500000"/>
    <n v="50882.6"/>
    <n v="1290"/>
    <n v="0"/>
    <n v="4263.5658914728683"/>
    <s v="ARS"/>
    <s v="CC"/>
    <s v="GALICIA"/>
    <x v="0"/>
    <x v="0"/>
    <x v="0"/>
    <s v="DESDE CC MACRO"/>
    <m/>
    <m/>
    <x v="0"/>
    <m/>
    <s v="24/25"/>
    <m/>
    <m/>
  </r>
  <r>
    <x v="7"/>
    <d v="2025-08-01T00:00:00"/>
    <s v="COMISION SERVICIO DE CUENTA"/>
    <m/>
    <n v="48000"/>
    <n v="0"/>
    <n v="-48000"/>
    <n v="2882.6"/>
    <n v="1290"/>
    <n v="37.2093023255813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7"/>
    <d v="2025-08-01T00:00:00"/>
    <s v="IVA"/>
    <m/>
    <n v="10080"/>
    <n v="0"/>
    <n v="-10080"/>
    <n v="-7197.4"/>
    <n v="1290"/>
    <n v="7.8139534883720927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PERCEP. IVA"/>
    <m/>
    <n v="1440"/>
    <n v="0"/>
    <n v="-1440"/>
    <n v="-8637.4"/>
    <n v="1290"/>
    <n v="1.116279069767441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7"/>
    <d v="2025-08-01T00:00:00"/>
    <s v="IMP. ING. BRUTOS"/>
    <m/>
    <n v="2880"/>
    <n v="0"/>
    <n v="-2880"/>
    <n v="-11517.4"/>
    <n v="1290"/>
    <n v="2.2325581395348837"/>
    <n v="0"/>
    <s v="ARS"/>
    <s v="CC"/>
    <s v="GALICIA"/>
    <x v="1"/>
    <x v="1"/>
    <x v="1"/>
    <s v="IIBB"/>
    <s v="RENTAS"/>
    <m/>
    <x v="1"/>
    <m/>
    <s v="24/25"/>
    <s v="EGRESOS"/>
    <s v="EFECTIVO Y OTROS ACT LÍQ EQ."/>
  </r>
  <r>
    <x v="7"/>
    <d v="2025-08-01T00:00:00"/>
    <s v="COMISION CHEQUE PAGADO POR CLEARING"/>
    <m/>
    <n v="2400"/>
    <n v="0"/>
    <n v="-2400"/>
    <n v="-13917.4"/>
    <n v="1290"/>
    <n v="1.86046511627906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7"/>
    <d v="2025-08-01T00:00:00"/>
    <s v="IVA"/>
    <m/>
    <n v="504"/>
    <n v="0"/>
    <n v="-504"/>
    <n v="-14421.4"/>
    <n v="1290"/>
    <n v="0.3906976744186046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PERCEP. IVA"/>
    <m/>
    <n v="72"/>
    <n v="0"/>
    <n v="-72"/>
    <n v="-14493.4"/>
    <n v="1290"/>
    <n v="5.5813953488372092E-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7"/>
    <d v="2025-08-01T00:00:00"/>
    <s v="IMP. DEB. LEY 25413 GRAL."/>
    <m/>
    <n v="392.26"/>
    <n v="0"/>
    <n v="-392.26"/>
    <n v="-14885.66"/>
    <n v="1290"/>
    <n v="0.3040775193798449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01T00:00:00"/>
    <s v="INTERESES SOBRE SALDOS DEUDORES"/>
    <m/>
    <n v="39489.46"/>
    <n v="0"/>
    <n v="-39489.46"/>
    <n v="-54375.12"/>
    <n v="1290"/>
    <n v="30.61198449612403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7"/>
    <d v="2025-08-01T00:00:00"/>
    <s v="IMPUESTO DE SELLOS"/>
    <m/>
    <n v="760.9"/>
    <n v="0"/>
    <n v="-760.9"/>
    <n v="-55136.02"/>
    <n v="1290"/>
    <n v="0.58984496124031005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7"/>
    <d v="2025-08-01T00:00:00"/>
    <s v="IVA"/>
    <m/>
    <n v="4146.3900000000003"/>
    <n v="0"/>
    <n v="-4146.3900000000003"/>
    <n v="-59282.41"/>
    <n v="1290"/>
    <n v="3.2142558139534887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PERCEP. IVA"/>
    <m/>
    <n v="592.34"/>
    <n v="0"/>
    <n v="-592.34"/>
    <n v="-59874.75"/>
    <n v="1290"/>
    <n v="0.4591782945736434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7"/>
    <d v="2025-08-01T00:00:00"/>
    <s v="IMP. ING. BRUTOS"/>
    <m/>
    <n v="2369.37"/>
    <n v="0"/>
    <n v="-2369.37"/>
    <n v="-62244.12"/>
    <n v="1290"/>
    <n v="1.836720930232558"/>
    <n v="0"/>
    <s v="ARS"/>
    <s v="CC"/>
    <s v="GALICIA"/>
    <x v="1"/>
    <x v="1"/>
    <x v="1"/>
    <s v="IIBB"/>
    <s v="RENTAS"/>
    <m/>
    <x v="1"/>
    <m/>
    <s v="24/25"/>
    <s v="EGRESOS"/>
    <s v="EFECTIVO Y OTROS ACT LÍQ EQ."/>
  </r>
  <r>
    <x v="7"/>
    <d v="2025-08-01T00:00:00"/>
    <s v="IMP. DEB. LEY 25413 GRAL."/>
    <m/>
    <n v="284.14999999999998"/>
    <n v="0"/>
    <n v="-284.14999999999998"/>
    <n v="-62528.27"/>
    <n v="1290"/>
    <n v="0.2202713178294573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06T00:00:00"/>
    <s v="TRANSFER. CASH MISMA TITULARIDAD"/>
    <m/>
    <n v="0"/>
    <n v="100000"/>
    <n v="100000"/>
    <n v="37471.730000000003"/>
    <n v="1290"/>
    <n v="0"/>
    <n v="77.519379844961236"/>
    <s v="ARS"/>
    <s v="CC"/>
    <s v="GALICIA"/>
    <x v="0"/>
    <x v="0"/>
    <x v="0"/>
    <s v="DESDE CC MACRO"/>
    <m/>
    <m/>
    <x v="0"/>
    <m/>
    <s v="24/25"/>
    <m/>
    <m/>
  </r>
  <r>
    <x v="7"/>
    <d v="2025-08-14T00:00:00"/>
    <s v="COMISION ENTREGA DE CHEQUERAS"/>
    <m/>
    <n v="35000"/>
    <n v="0"/>
    <n v="-35000"/>
    <n v="2471.73"/>
    <n v="1290"/>
    <n v="27.131782945736433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7"/>
    <d v="2025-08-14T00:00:00"/>
    <s v="IVA"/>
    <m/>
    <n v="7350"/>
    <n v="0"/>
    <n v="-7350"/>
    <n v="-4878.2700000000004"/>
    <n v="1290"/>
    <n v="5.697674418604651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7"/>
    <d v="2025-08-14T00:00:00"/>
    <s v="PERCEP. IVA"/>
    <m/>
    <n v="1050"/>
    <n v="0"/>
    <n v="-1050"/>
    <n v="-5928.27"/>
    <n v="1290"/>
    <n v="0.8139534883720930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7"/>
    <d v="2025-08-14T00:00:00"/>
    <s v="IMP. ING. BRUTOS"/>
    <m/>
    <n v="2100"/>
    <n v="0"/>
    <n v="-2100"/>
    <n v="-8028.27"/>
    <n v="1290"/>
    <n v="1.6279069767441861"/>
    <n v="0"/>
    <s v="ARS"/>
    <s v="CC"/>
    <s v="GALICIA"/>
    <x v="1"/>
    <x v="1"/>
    <x v="1"/>
    <s v="IIBB"/>
    <s v="RENTAS"/>
    <m/>
    <x v="1"/>
    <m/>
    <s v="24/25"/>
    <s v="EGRESOS"/>
    <s v="EFECTIVO Y OTROS ACT LÍQ EQ."/>
  </r>
  <r>
    <x v="7"/>
    <d v="2025-08-18T00:00:00"/>
    <s v="ECHEQ 48 HS. "/>
    <s v="N123"/>
    <n v="600000"/>
    <n v="0"/>
    <n v="-600000"/>
    <n v="-608301.27"/>
    <n v="1290"/>
    <n v="465.11627906976742"/>
    <n v="0"/>
    <s v="ARS"/>
    <s v="CC"/>
    <s v="GALICIA"/>
    <x v="5"/>
    <x v="13"/>
    <x v="46"/>
    <s v="HACIENDA"/>
    <s v="TODO CAMPO COMB"/>
    <s v="FA 8780"/>
    <x v="6"/>
    <m/>
    <s v="24/25"/>
    <s v="BIENES Y SERVICIOS"/>
    <s v="EFECTIVO Y OTROS ACT LÍQ EQ."/>
  </r>
  <r>
    <x v="7"/>
    <d v="2025-08-18T00:00:00"/>
    <s v="IMP. DEB. LEY 25413 GRAL."/>
    <m/>
    <n v="3600"/>
    <n v="0"/>
    <n v="-3600"/>
    <n v="-611901.27"/>
    <n v="1350"/>
    <n v="2.666666666666666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19T00:00:00"/>
    <s v="CHEQUE 48 HS. "/>
    <s v="N68698159"/>
    <n v="563624"/>
    <n v="0"/>
    <n v="-563624"/>
    <n v="-1175525.27"/>
    <n v="1350"/>
    <n v="417.49925925925925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19T00:00:00"/>
    <s v="CHEQUE 48 HS."/>
    <s v="N68698163"/>
    <n v="1000000"/>
    <n v="0"/>
    <n v="-1000000"/>
    <n v="-2175525.27"/>
    <n v="1350"/>
    <n v="740.74074074074076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19T00:00:00"/>
    <s v="TRANSFER. CASH MISMA TITULARIDAD"/>
    <m/>
    <n v="0"/>
    <n v="2200000"/>
    <n v="2200000"/>
    <n v="24474.73"/>
    <n v="1350"/>
    <n v="0"/>
    <n v="1629.6296296296296"/>
    <s v="ARS"/>
    <s v="CC"/>
    <s v="GALICIA"/>
    <x v="0"/>
    <x v="0"/>
    <x v="0"/>
    <s v="DESDE CC MACRO"/>
    <m/>
    <m/>
    <x v="0"/>
    <m/>
    <s v="24/25"/>
    <m/>
    <m/>
  </r>
  <r>
    <x v="7"/>
    <d v="2025-08-19T00:00:00"/>
    <s v="IMP. DEB. LEY 25413 GRAL."/>
    <m/>
    <n v="9381.74"/>
    <n v="0"/>
    <n v="-9381.74"/>
    <n v="15092.99"/>
    <n v="1350"/>
    <n v="6.949437037037037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0T00:00:00"/>
    <s v="CHEQUE 48 HS."/>
    <s v=" N68698160"/>
    <n v="905236"/>
    <n v="0"/>
    <n v="-905236"/>
    <n v="-890143.01"/>
    <n v="1350"/>
    <n v="670.54518518518523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20T00:00:00"/>
    <s v="TRANSFER. CASH MISMA TITULARIDAD"/>
    <m/>
    <n v="0"/>
    <n v="1000000"/>
    <n v="1000000"/>
    <n v="109856.99"/>
    <n v="1350"/>
    <n v="0"/>
    <n v="740.74074074074076"/>
    <s v="ARS"/>
    <s v="CC"/>
    <s v="GALICIA"/>
    <x v="0"/>
    <x v="0"/>
    <x v="0"/>
    <s v="DESDE CC MACRO"/>
    <m/>
    <m/>
    <x v="0"/>
    <m/>
    <s v="24/25"/>
    <m/>
    <m/>
  </r>
  <r>
    <x v="7"/>
    <d v="2025-08-20T00:00:00"/>
    <s v="IMP. DEB. LEY 25413 GRAL."/>
    <m/>
    <n v="5431.42"/>
    <n v="0"/>
    <n v="-5431.42"/>
    <n v="104425.57"/>
    <n v="1350"/>
    <n v="4.023274074074073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2T00:00:00"/>
    <s v="CHEQUE 48 HS. "/>
    <s v="N68698158"/>
    <n v="408315"/>
    <n v="0"/>
    <n v="-408315"/>
    <n v="-303889.43"/>
    <n v="1350"/>
    <n v="302.45555555555558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22T00:00:00"/>
    <s v="TRANSFER. CASH MISMA TITULARIDAD"/>
    <m/>
    <n v="0"/>
    <n v="400000"/>
    <n v="400000"/>
    <n v="96110.57"/>
    <n v="1350"/>
    <n v="0"/>
    <n v="296.2962962962963"/>
    <s v="ARS"/>
    <s v="CC"/>
    <s v="GALICIA"/>
    <x v="0"/>
    <x v="0"/>
    <x v="0"/>
    <s v="DESDE CC MACRO"/>
    <m/>
    <m/>
    <x v="0"/>
    <m/>
    <s v="24/25"/>
    <m/>
    <m/>
  </r>
  <r>
    <x v="7"/>
    <d v="2025-08-22T00:00:00"/>
    <s v="IMP. DEB. LEY 25413 GRAL."/>
    <m/>
    <n v="2449.89"/>
    <n v="0"/>
    <n v="-2449.89"/>
    <n v="93660.68"/>
    <n v="1350"/>
    <n v="1.814733333333333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5T00:00:00"/>
    <s v="ECHEQ 48 HS. "/>
    <s v="N122"/>
    <n v="8184079.3300000001"/>
    <n v="0"/>
    <n v="-8184079.3300000001"/>
    <n v="-8090418.6500000004"/>
    <n v="1350"/>
    <n v="6062.2809851851853"/>
    <n v="0"/>
    <s v="ARS"/>
    <s v="CC"/>
    <s v="GALICIA"/>
    <x v="2"/>
    <x v="4"/>
    <x v="35"/>
    <s v="PICADO"/>
    <s v="MARGARIA"/>
    <s v="FA 931"/>
    <x v="6"/>
    <m/>
    <s v="24/25"/>
    <s v="BIENES Y SERVICIOS"/>
    <s v="EFECTIVO Y OTROS ACT LÍQ EQ."/>
  </r>
  <r>
    <x v="7"/>
    <d v="2025-08-25T00:00:00"/>
    <s v="TRANSFER. CASH MISMA TITULARIDAD"/>
    <m/>
    <n v="0"/>
    <n v="8200000"/>
    <n v="8200000"/>
    <n v="109581.35"/>
    <n v="1350"/>
    <n v="0"/>
    <n v="6074.0740740740739"/>
    <s v="ARS"/>
    <s v="CC"/>
    <s v="GALICIA"/>
    <x v="0"/>
    <x v="0"/>
    <x v="0"/>
    <s v="DESDE CC MACRO"/>
    <m/>
    <m/>
    <x v="0"/>
    <m/>
    <s v="24/25"/>
    <m/>
    <m/>
  </r>
  <r>
    <x v="7"/>
    <d v="2025-08-25T00:00:00"/>
    <s v="IMP. DEB. LEY 25413 GRAL."/>
    <m/>
    <n v="49104.480000000003"/>
    <n v="0"/>
    <n v="-49104.480000000003"/>
    <n v="60476.87"/>
    <n v="1350"/>
    <n v="36.37368888888889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6T00:00:00"/>
    <s v="CHEQUE 48 HS."/>
    <s v=" N68698162"/>
    <n v="1000000"/>
    <n v="0"/>
    <n v="-1000000"/>
    <n v="-939523.13"/>
    <n v="1350"/>
    <n v="740.74074074074076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26T00:00:00"/>
    <s v="TRANSFER. CASH MISMA TITULARIDAD"/>
    <m/>
    <n v="0"/>
    <n v="1000000"/>
    <n v="1000000"/>
    <n v="60476.87"/>
    <n v="1350"/>
    <n v="0"/>
    <n v="740.74074074074076"/>
    <s v="ARS"/>
    <s v="CC"/>
    <s v="GALICIA"/>
    <x v="0"/>
    <x v="0"/>
    <x v="0"/>
    <s v="DESDE CC MACRO"/>
    <m/>
    <m/>
    <x v="0"/>
    <m/>
    <s v="24/25"/>
    <m/>
    <m/>
  </r>
  <r>
    <x v="7"/>
    <d v="2025-08-26T00:00:00"/>
    <s v="IMP. DEB. LEY 25413 GRAL."/>
    <m/>
    <n v="6000"/>
    <n v="0"/>
    <n v="-6000"/>
    <n v="54476.87"/>
    <n v="1350"/>
    <n v="4.444444444444444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8T00:00:00"/>
    <s v="TRANSFERENCIA DE TERCEROS"/>
    <m/>
    <n v="0"/>
    <n v="534991.80000000005"/>
    <n v="534991.80000000005"/>
    <n v="589468.67000000004"/>
    <n v="1350"/>
    <n v="0"/>
    <n v="396.29022222222227"/>
    <s v="ARS"/>
    <s v="CC"/>
    <s v="GALICIA"/>
    <x v="2"/>
    <x v="4"/>
    <x v="5"/>
    <s v="IVA RG 2300/2007"/>
    <s v="LEIVA HNOS"/>
    <m/>
    <x v="14"/>
    <m/>
    <s v="24/25"/>
    <s v="EFECTIVO Y OTROS ACT LÍQ EQ."/>
    <s v="INGRESOS"/>
  </r>
  <r>
    <x v="7"/>
    <d v="2025-08-28T00:00:00"/>
    <s v="IMP. CRE. LEY 25413"/>
    <m/>
    <n v="3209.95"/>
    <n v="0"/>
    <n v="-3209.95"/>
    <n v="586258.72"/>
    <n v="1350"/>
    <n v="2.377740740740740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9T00:00:00"/>
    <s v="CHEQUE 48 HS. "/>
    <s v="N68698164"/>
    <n v="500000"/>
    <n v="0"/>
    <n v="-500000"/>
    <n v="86258.72"/>
    <n v="1350"/>
    <n v="370.37037037037038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29T00:00:00"/>
    <s v="IMP. DEB. LEY 25413 GRAL."/>
    <m/>
    <n v="3000"/>
    <n v="0"/>
    <n v="-3000"/>
    <n v="83258.720000000001"/>
    <n v="1350"/>
    <n v="2.222222222222222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8"/>
    <d v="2025-09-01T00:00:00"/>
    <s v="CHEQUE 48 HS. "/>
    <s v="N68698157"/>
    <n v="1276183"/>
    <n v="0"/>
    <n v="-1276183"/>
    <n v="-1192924.28"/>
    <n v="1350"/>
    <n v="945.32074074074069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01T00:00:00"/>
    <s v="TRANSFERENCIA DE CUENTA PROPIA"/>
    <m/>
    <n v="0"/>
    <n v="1200000"/>
    <n v="1200000"/>
    <n v="7075.72"/>
    <n v="1350"/>
    <n v="0"/>
    <n v="888.88888888888891"/>
    <s v="ARS"/>
    <s v="CC"/>
    <s v="GALICIA"/>
    <x v="0"/>
    <x v="0"/>
    <x v="0"/>
    <s v="DESDE CC NACION"/>
    <m/>
    <m/>
    <x v="0"/>
    <m/>
    <s v="24/25"/>
    <m/>
    <m/>
  </r>
  <r>
    <x v="8"/>
    <d v="2025-09-01T00:00:00"/>
    <s v="TRANSFERENCIA DE TERCEROS"/>
    <m/>
    <n v="0"/>
    <n v="1391772.83"/>
    <n v="1391772.83"/>
    <n v="1398848.55"/>
    <n v="1350"/>
    <n v="0"/>
    <n v="1030.9428370370372"/>
    <s v="ARS"/>
    <s v="CC"/>
    <s v="GALICIA"/>
    <x v="2"/>
    <x v="4"/>
    <x v="5"/>
    <s v="IVA RG 2300/2007"/>
    <s v="LEIVA HNOS"/>
    <m/>
    <x v="14"/>
    <m/>
    <s v="24/25"/>
    <s v="EFECTIVO Y OTROS ACT LÍQ EQ."/>
    <s v="INGRESOS"/>
  </r>
  <r>
    <x v="8"/>
    <d v="2025-09-01T00:00:00"/>
    <s v="IMP. DEB. LEY 25413 GRAL."/>
    <m/>
    <n v="7657.1"/>
    <n v="0"/>
    <n v="-7657.1"/>
    <n v="1391191.45"/>
    <n v="1350"/>
    <n v="5.671925925925926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1T00:00:00"/>
    <s v="IMP. CRE. LEY 25413"/>
    <m/>
    <n v="8350.64"/>
    <n v="0"/>
    <n v="-8350.64"/>
    <n v="1382840.81"/>
    <n v="1350"/>
    <n v="6.1856592592592587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1T00:00:00"/>
    <s v="IMP. ING. BRUTOS"/>
    <m/>
    <n v="3300"/>
    <n v="0"/>
    <n v="-3300"/>
    <n v="1379540.81"/>
    <n v="1350"/>
    <n v="2.4444444444444446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8"/>
    <d v="2025-09-01T00:00:00"/>
    <s v="PERCEP. IVA"/>
    <m/>
    <n v="1650"/>
    <n v="0"/>
    <n v="-1650"/>
    <n v="1377890.81"/>
    <n v="1350"/>
    <n v="1.222222222222222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8"/>
    <d v="2025-09-01T00:00:00"/>
    <s v="IVA"/>
    <m/>
    <n v="11550"/>
    <n v="0"/>
    <n v="-11550"/>
    <n v="1366340.81"/>
    <n v="1350"/>
    <n v="8.5555555555555554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8"/>
    <d v="2025-09-01T00:00:00"/>
    <s v="COMISION SERVICIO DE CUENTA"/>
    <m/>
    <n v="55000"/>
    <n v="0"/>
    <n v="-55000"/>
    <n v="1311340.81"/>
    <n v="1350"/>
    <n v="40.74074074074074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01T00:00:00"/>
    <s v="COMISION CHEQUE PAGADO POR CLEARING"/>
    <m/>
    <n v="8400"/>
    <n v="0"/>
    <n v="-8400"/>
    <n v="1302940.81"/>
    <n v="1350"/>
    <n v="6.2222222222222223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01T00:00:00"/>
    <s v="IVA"/>
    <m/>
    <n v="1764"/>
    <n v="0"/>
    <n v="-1764"/>
    <n v="1301176.81"/>
    <n v="1350"/>
    <n v="1.3066666666666666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8"/>
    <d v="2025-09-01T00:00:00"/>
    <s v="PERCEP. IVA"/>
    <m/>
    <n v="252"/>
    <n v="0"/>
    <n v="-252"/>
    <n v="1300924.81"/>
    <n v="1350"/>
    <n v="0.1866666666666666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8"/>
    <d v="2025-09-01T00:00:00"/>
    <s v="IMP. ING. BRUTOS"/>
    <m/>
    <n v="504"/>
    <n v="0"/>
    <n v="-504"/>
    <n v="1300420.81"/>
    <n v="1350"/>
    <n v="0.37333333333333335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8"/>
    <d v="2025-09-01T00:00:00"/>
    <s v="IMP. DEB. LEY 25413 GRAL."/>
    <m/>
    <n v="494.52"/>
    <n v="0"/>
    <n v="-494.52"/>
    <n v="1299926.29"/>
    <n v="1350"/>
    <n v="0.36631111111111109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1T00:00:00"/>
    <s v="INTERESES SOBRE SALDOS DEUDORES"/>
    <m/>
    <n v="2200.4499999999998"/>
    <n v="0"/>
    <n v="-2200.4499999999998"/>
    <n v="1297725.8400000001"/>
    <n v="1350"/>
    <n v="1.6299629629629628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8"/>
    <d v="2025-09-01T00:00:00"/>
    <s v="IMPUESTO DE SELLOS"/>
    <m/>
    <n v="31.49"/>
    <n v="0"/>
    <n v="-31.49"/>
    <n v="1297694.3500000001"/>
    <n v="1350"/>
    <n v="2.3325925925925924E-2"/>
    <n v="0"/>
    <s v="ARS"/>
    <s v="CC"/>
    <s v="GALICIA"/>
    <x v="1"/>
    <x v="1"/>
    <x v="1"/>
    <s v="SELLOS"/>
    <m/>
    <m/>
    <x v="1"/>
    <m/>
    <s v="24/25"/>
    <s v="EGRESOS"/>
    <s v="EFECTIVO Y OTROS ACT LÍQ EQ."/>
  </r>
  <r>
    <x v="8"/>
    <d v="2025-09-01T00:00:00"/>
    <s v="IVA"/>
    <m/>
    <n v="231.05"/>
    <n v="0"/>
    <n v="-231.05"/>
    <n v="1297463.3"/>
    <n v="1350"/>
    <n v="0.17114814814814816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8"/>
    <d v="2025-09-01T00:00:00"/>
    <s v="IMP. DEB. LEY 25413 GRAL."/>
    <m/>
    <n v="14.78"/>
    <n v="0"/>
    <n v="-14.78"/>
    <n v="1297448.52"/>
    <n v="1350"/>
    <n v="1.0948148148148148E-2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2T00:00:00"/>
    <s v="CHEQUE 48 HS. "/>
    <s v="N68698161"/>
    <n v="1315879"/>
    <n v="0"/>
    <n v="-1315879"/>
    <n v="-18430.48"/>
    <n v="1350"/>
    <n v="974.72518518518518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02T00:00:00"/>
    <s v="TRANSFERENCIAS CASH PROVEEDORES"/>
    <m/>
    <n v="0"/>
    <n v="1116154.1599999999"/>
    <n v="1116154.1599999999"/>
    <n v="1097723.68"/>
    <n v="1350"/>
    <n v="0"/>
    <n v="826.78085925925916"/>
    <s v="ARS"/>
    <s v="CC"/>
    <s v="GALICIA"/>
    <x v="2"/>
    <x v="4"/>
    <x v="5"/>
    <s v="IVA RG 2300/2007"/>
    <s v="LEIVA HNOS"/>
    <m/>
    <x v="14"/>
    <m/>
    <s v="24/25"/>
    <s v="EFECTIVO Y OTROS ACT LÍQ EQ."/>
    <s v="INGRESOS"/>
  </r>
  <r>
    <x v="8"/>
    <d v="2025-09-02T00:00:00"/>
    <s v="IMP. DEB. LEY 25413 GRAL."/>
    <m/>
    <n v="7895.27"/>
    <n v="0"/>
    <n v="-7895.27"/>
    <n v="1089828.4099999999"/>
    <n v="1350"/>
    <n v="5.848348148148148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2T00:00:00"/>
    <s v="IMP. CRE. LEY 25413"/>
    <m/>
    <n v="6696.93"/>
    <n v="0"/>
    <n v="-6696.93"/>
    <n v="1083131.48"/>
    <n v="1350"/>
    <n v="4.9606888888888889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3T00:00:00"/>
    <s v="TRANSF INMED CP"/>
    <m/>
    <n v="1000000"/>
    <n v="0"/>
    <n v="-1000000"/>
    <n v="83131.48"/>
    <n v="1350"/>
    <n v="740.74074074074076"/>
    <n v="0"/>
    <s v="ARS"/>
    <s v="CC"/>
    <s v="GALICIA"/>
    <x v="0"/>
    <x v="0"/>
    <x v="0"/>
    <s v="HACIA CC MACRO"/>
    <m/>
    <m/>
    <x v="0"/>
    <m/>
    <s v="24/25"/>
    <m/>
    <m/>
  </r>
  <r>
    <x v="8"/>
    <d v="2025-09-08T00:00:00"/>
    <s v="CHEQUE GALICIA "/>
    <s v="N68698170"/>
    <n v="2020893.6"/>
    <n v="0"/>
    <n v="-2020893.6"/>
    <n v="-1937762.12"/>
    <n v="1350"/>
    <n v="1496.9582222222223"/>
    <n v="0"/>
    <s v="ARS"/>
    <s v="CC"/>
    <s v="GALICIA"/>
    <x v="5"/>
    <x v="13"/>
    <x v="23"/>
    <s v="HACIENDA"/>
    <s v="AMIN MIGUEL"/>
    <s v="FA 873"/>
    <x v="6"/>
    <m/>
    <s v="24/25"/>
    <s v="BIENES Y SERVICIOS"/>
    <s v="EFECTIVO Y OTROS ACT LÍQ EQ."/>
  </r>
  <r>
    <x v="8"/>
    <d v="2025-09-08T00:00:00"/>
    <s v="IMP. DEB. LEY 25413 GRAL."/>
    <m/>
    <n v="12125.36"/>
    <n v="0"/>
    <n v="-12125.36"/>
    <n v="-1949887.48"/>
    <n v="1350"/>
    <n v="8.981748148148149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10T00:00:00"/>
    <s v="CHEQUE 48 HS. "/>
    <s v="N68698172"/>
    <n v="2000000"/>
    <n v="0"/>
    <n v="-2000000"/>
    <n v="-3949887.48"/>
    <n v="1410"/>
    <n v="1418.4397163120568"/>
    <n v="0"/>
    <s v="ARS"/>
    <s v="CC"/>
    <s v="GALICIA"/>
    <x v="2"/>
    <x v="4"/>
    <x v="4"/>
    <s v="HONORARIOS"/>
    <s v="CESAR DIAZ"/>
    <m/>
    <x v="6"/>
    <m/>
    <s v="24/25"/>
    <s v="BIENES Y SERVICIOS"/>
    <s v="EFECTIVO Y OTROS ACT LÍQ EQ."/>
  </r>
  <r>
    <x v="8"/>
    <d v="2025-09-10T00:00:00"/>
    <s v="CREDITO PRESTAMO"/>
    <m/>
    <n v="0"/>
    <n v="30000000"/>
    <n v="30000000"/>
    <n v="26050112.52"/>
    <n v="1410"/>
    <n v="0"/>
    <n v="21276.59574468085"/>
    <s v="ARS"/>
    <s v="CC"/>
    <s v="GALICIA"/>
    <x v="0"/>
    <x v="10"/>
    <x v="51"/>
    <s v="GALICIA A SOLA FIRMA 6MESES"/>
    <s v="GALICIA"/>
    <m/>
    <x v="9"/>
    <m/>
    <s v="24/25"/>
    <s v="EFECTIVO Y OTROS ACT LÍQ EQ."/>
    <s v="GALICIA A SOLA FIRMA 1A"/>
  </r>
  <r>
    <x v="8"/>
    <d v="2025-09-10T00:00:00"/>
    <s v="TRANSF INMED CP"/>
    <m/>
    <n v="15000000"/>
    <n v="0"/>
    <n v="-15000000"/>
    <n v="11050112.52"/>
    <n v="1410"/>
    <n v="10638.297872340425"/>
    <n v="0"/>
    <s v="ARS"/>
    <s v="CC"/>
    <s v="GALICIA"/>
    <x v="0"/>
    <x v="0"/>
    <x v="0"/>
    <s v="HACIA CC MACRO"/>
    <m/>
    <m/>
    <x v="0"/>
    <m/>
    <s v="24/25"/>
    <m/>
    <m/>
  </r>
  <r>
    <x v="8"/>
    <d v="2025-09-10T00:00:00"/>
    <s v="TRANSF INMED CP"/>
    <m/>
    <n v="7000000"/>
    <n v="0"/>
    <n v="-7000000"/>
    <n v="4050112.52"/>
    <n v="1410"/>
    <n v="4964.5390070921985"/>
    <n v="0"/>
    <s v="ARS"/>
    <s v="CC"/>
    <s v="GALICIA"/>
    <x v="0"/>
    <x v="0"/>
    <x v="0"/>
    <s v="HACIA CC PAMPA"/>
    <m/>
    <m/>
    <x v="0"/>
    <m/>
    <s v="24/25"/>
    <m/>
    <m/>
  </r>
  <r>
    <x v="8"/>
    <d v="2025-09-10T00:00:00"/>
    <s v="TRANSF. A TERCEROS"/>
    <m/>
    <n v="710029.67"/>
    <n v="0"/>
    <n v="-710029.67"/>
    <n v="3340082.85"/>
    <n v="1410"/>
    <n v="503.56714184397168"/>
    <n v="0"/>
    <s v="ARS"/>
    <s v="CC"/>
    <s v="GALICIA"/>
    <x v="1"/>
    <x v="3"/>
    <x v="3"/>
    <s v="MES AGOSTO"/>
    <s v="KEVIN TOLEDO"/>
    <m/>
    <x v="3"/>
    <m/>
    <s v="24/25"/>
    <s v="EGRESOS"/>
    <s v="EFECTIVO Y OTROS ACT LÍQ EQ."/>
  </r>
  <r>
    <x v="8"/>
    <d v="2025-09-10T00:00:00"/>
    <s v="COM. GESTION TRANSF.FDOS ENTRE BCOS"/>
    <m/>
    <n v="1000"/>
    <n v="0"/>
    <n v="-1000"/>
    <n v="3339082.85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0T00:00:00"/>
    <s v="IVA"/>
    <m/>
    <n v="210"/>
    <n v="0"/>
    <n v="-210"/>
    <n v="3338872.85"/>
    <n v="1410"/>
    <n v="0.1489361702127659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8"/>
    <d v="2025-09-10T00:00:00"/>
    <s v="TRANSF. A TERCEROS"/>
    <m/>
    <n v="529588"/>
    <n v="0"/>
    <n v="-529588"/>
    <n v="2809284.85"/>
    <n v="1410"/>
    <n v="375.59432624113475"/>
    <n v="0"/>
    <s v="ARS"/>
    <s v="CC"/>
    <s v="GALICIA"/>
    <x v="1"/>
    <x v="11"/>
    <x v="30"/>
    <s v="DEVOLUCION APORTADO"/>
    <s v="BECERRA ADRIAN"/>
    <m/>
    <x v="10"/>
    <m/>
    <s v="24/25"/>
    <s v="DEUDAS FINANCIERAS CP"/>
    <s v="EFECTIVO Y OTROS ACT LÍQ EQ."/>
  </r>
  <r>
    <x v="8"/>
    <d v="2025-09-10T00:00:00"/>
    <s v="COM. GESTION TRANSF.FDOS ENTRE BCOS"/>
    <m/>
    <n v="1000"/>
    <n v="0"/>
    <n v="-1000"/>
    <n v="2808284.85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0T00:00:00"/>
    <s v="IVA"/>
    <m/>
    <n v="210"/>
    <n v="0"/>
    <n v="-210"/>
    <n v="2808074.85"/>
    <n v="1410"/>
    <n v="0.14893617021276595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0T00:00:00"/>
    <s v="IMP. DEB. LEY 25413 GRAL."/>
    <m/>
    <n v="19452.23"/>
    <n v="0"/>
    <n v="-19452.23"/>
    <n v="2788622.62"/>
    <n v="1410"/>
    <n v="13.795907801418439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1T00:00:00"/>
    <s v="TRANSF. A TERCEROS"/>
    <m/>
    <n v="185824"/>
    <n v="0"/>
    <n v="-185824"/>
    <n v="2602798.62"/>
    <n v="1410"/>
    <n v="131.7900709219858"/>
    <n v="0"/>
    <s v="ARS"/>
    <s v="CC"/>
    <s v="GALICIA"/>
    <x v="1"/>
    <x v="11"/>
    <x v="30"/>
    <s v="DEVOLUCION APORTADO"/>
    <s v="BECERRA ADRIAN"/>
    <m/>
    <x v="10"/>
    <m/>
    <s v="24/25"/>
    <s v="DEUDAS FINANCIERAS CP"/>
    <s v="EFECTIVO Y OTROS ACT LÍQ EQ."/>
  </r>
  <r>
    <x v="8"/>
    <d v="2025-09-11T00:00:00"/>
    <s v="IMP. DEB. LEY 25413 GRAL."/>
    <m/>
    <n v="1114.94"/>
    <n v="0"/>
    <n v="-1114.94"/>
    <n v="2601683.6800000002"/>
    <n v="1410"/>
    <n v="0.79073758865248234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6T00:00:00"/>
    <s v="CHEQUE 48 HS."/>
    <s v="N68698165"/>
    <n v="500000"/>
    <n v="0"/>
    <n v="-500000"/>
    <n v="1994041.68"/>
    <n v="1410"/>
    <n v="354.6099290780142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16T00:00:00"/>
    <s v="CHEQUE 48 HS. "/>
    <s v="N68698167"/>
    <n v="1512164.32"/>
    <n v="0"/>
    <n v="-1512164.32"/>
    <n v="481877.36"/>
    <n v="1410"/>
    <n v="1072.4569645390072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16T00:00:00"/>
    <s v="TRF INMED PROVEED"/>
    <m/>
    <n v="2000000"/>
    <n v="0"/>
    <n v="-2000000"/>
    <n v="-1518122.64"/>
    <n v="1410"/>
    <n v="1418.4397163120568"/>
    <n v="0"/>
    <s v="ARS"/>
    <s v="CC"/>
    <s v="GALICIA"/>
    <x v="2"/>
    <x v="4"/>
    <x v="35"/>
    <s v="COSECHA MAIZ"/>
    <s v="LUCARELLI AGUSTIN"/>
    <m/>
    <x v="6"/>
    <m/>
    <s v="24/25"/>
    <s v="BIENES Y SERVICIOS"/>
    <s v="EFECTIVO Y OTROS ACT LÍQ EQ."/>
  </r>
  <r>
    <x v="8"/>
    <d v="2025-09-16T00:00:00"/>
    <s v="COM. GESTION TRANSF.FDOS ENTRE BCOS"/>
    <m/>
    <n v="1000"/>
    <n v="0"/>
    <n v="-1000"/>
    <n v="-1519122.64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6T00:00:00"/>
    <s v="IVA"/>
    <m/>
    <n v="210"/>
    <n v="0"/>
    <n v="-210"/>
    <n v="-1519332.64"/>
    <n v="1410"/>
    <n v="0.14893617021276595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6T00:00:00"/>
    <s v="IMP. DEB. LEY 25413 GRAL."/>
    <m/>
    <n v="24080.25"/>
    <n v="0"/>
    <n v="-24080.25"/>
    <n v="-1543412.89"/>
    <n v="1410"/>
    <n v="17.078191489361704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9T00:00:00"/>
    <s v="CREDITO PRESTAMO"/>
    <m/>
    <n v="0"/>
    <n v="23000000"/>
    <n v="23000000"/>
    <n v="21456587.109999999"/>
    <n v="1410"/>
    <n v="0"/>
    <n v="16312.056737588653"/>
    <s v="ARS"/>
    <s v="CC"/>
    <s v="GALICIA"/>
    <x v="0"/>
    <x v="10"/>
    <x v="43"/>
    <s v="GALICIA A SOLA FIRMA 6MESES"/>
    <s v="GALICIA"/>
    <m/>
    <x v="9"/>
    <m/>
    <s v="24/25"/>
    <s v="EFECTIVO Y OTROS ACT LÍQ EQ."/>
    <s v="GALICIA A SOLA FIRMA 6M"/>
  </r>
  <r>
    <x v="8"/>
    <d v="2025-09-19T00:00:00"/>
    <s v="TRF INMED PROVEED"/>
    <m/>
    <n v="15372355.52"/>
    <n v="0"/>
    <n v="-15372355.52"/>
    <n v="6084231.5899999999"/>
    <n v="1410"/>
    <n v="10902.379801418439"/>
    <n v="0"/>
    <s v="ARS"/>
    <s v="CC"/>
    <s v="GALICIA"/>
    <x v="2"/>
    <x v="4"/>
    <x v="5"/>
    <s v="INSUMOS 2024"/>
    <s v="MONSANTO"/>
    <m/>
    <x v="4"/>
    <m/>
    <s v="23/24"/>
    <s v="INSUMOS 2024"/>
    <s v="EFECTIVO Y OTROS ACT LÍQ EQ."/>
  </r>
  <r>
    <x v="8"/>
    <d v="2025-09-19T00:00:00"/>
    <s v="COM. GESTION TRANSF.FDOS ENTRE BCOS"/>
    <m/>
    <n v="1000"/>
    <n v="0"/>
    <n v="-1000"/>
    <n v="6083231.5899999999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9T00:00:00"/>
    <s v="IVA"/>
    <m/>
    <n v="210"/>
    <n v="0"/>
    <n v="-210"/>
    <n v="6083021.5899999999"/>
    <n v="1410"/>
    <n v="0.1489361702127659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19T00:00:00"/>
    <s v="TRF INMED PROVEED"/>
    <m/>
    <n v="8698340.9000000004"/>
    <n v="0"/>
    <n v="-8698340.9000000004"/>
    <n v="-2615319.31"/>
    <n v="1410"/>
    <n v="6169.0360992907808"/>
    <n v="0"/>
    <s v="ARS"/>
    <s v="CC"/>
    <s v="GALICIA"/>
    <x v="2"/>
    <x v="4"/>
    <x v="5"/>
    <s v="INSUMOS 2024"/>
    <s v="BAYER"/>
    <m/>
    <x v="4"/>
    <m/>
    <s v="23/24"/>
    <s v="INSUMOS 2024"/>
    <s v="EFECTIVO Y OTROS ACT LÍQ EQ."/>
  </r>
  <r>
    <x v="8"/>
    <d v="2025-09-19T00:00:00"/>
    <s v="COM. GESTION TRANSF.FDOS ENTRE BCOS"/>
    <m/>
    <n v="1000"/>
    <n v="0"/>
    <n v="-1000"/>
    <n v="-2616319.31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9T00:00:00"/>
    <s v="IVA"/>
    <m/>
    <n v="210"/>
    <n v="0"/>
    <n v="-210"/>
    <n v="-2616529.31"/>
    <n v="1410"/>
    <n v="0.14893617021276595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9T00:00:00"/>
    <s v="IMP. DEB. LEY 25413 GRAL."/>
    <m/>
    <n v="144438.70000000001"/>
    <n v="0"/>
    <n v="-144438.70000000001"/>
    <n v="-2760968.01"/>
    <n v="1410"/>
    <n v="102.43879432624114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22T00:00:00"/>
    <s v="CHEQUE GALICIA"/>
    <s v="N68698166"/>
    <n v="1000000"/>
    <n v="0"/>
    <n v="-1000000"/>
    <n v="-3760968.01"/>
    <n v="1410"/>
    <n v="709.21985815602841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23T00:00:00"/>
    <s v="CHEQUE 48 HS. "/>
    <s v="N68698171"/>
    <n v="2020893.6"/>
    <n v="0"/>
    <n v="-2020893.6"/>
    <n v="-5781861.6100000003"/>
    <n v="1410"/>
    <n v="1433.2578723404256"/>
    <n v="0"/>
    <s v="ARS"/>
    <s v="CC"/>
    <s v="GALICIA"/>
    <x v="5"/>
    <x v="13"/>
    <x v="23"/>
    <s v="HACIENDA"/>
    <s v="AMIN MIGUEL"/>
    <s v="FA 873"/>
    <x v="6"/>
    <m/>
    <s v="24/25"/>
    <s v="BIENES Y SERVICIOS"/>
    <s v="EFECTIVO Y OTROS ACT LÍQ EQ."/>
  </r>
  <r>
    <x v="8"/>
    <d v="2025-09-23T00:00:00"/>
    <s v="TRANSF. A TERCEROS"/>
    <m/>
    <n v="114000"/>
    <n v="0"/>
    <n v="-114000"/>
    <n v="-5901861.6100000003"/>
    <n v="1410"/>
    <n v="80.851063829787236"/>
    <n v="0"/>
    <s v="ARS"/>
    <s v="CC"/>
    <s v="GALICIA"/>
    <x v="3"/>
    <x v="5"/>
    <x v="28"/>
    <m/>
    <s v="KETO GAS"/>
    <m/>
    <x v="5"/>
    <m/>
    <s v="24/25"/>
    <s v="BIENES Y SERVICIOS"/>
    <s v="EFECTIVO Y OTROS ACT LÍQ EQ."/>
  </r>
  <r>
    <x v="8"/>
    <d v="2025-09-23T00:00:00"/>
    <s v="IMP. DEB. LEY 25413 GRAL."/>
    <m/>
    <n v="12809.36"/>
    <n v="0"/>
    <n v="-12809.36"/>
    <n v="-5914670.9699999997"/>
    <n v="1410"/>
    <n v="9.084652482269504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25T00:00:00"/>
    <s v="CHEQUE 48 HS. "/>
    <s v="N68698173"/>
    <n v="2737657"/>
    <n v="0"/>
    <n v="-2737657"/>
    <n v="-8652327.9700000007"/>
    <n v="1410"/>
    <n v="1941.6007092198581"/>
    <n v="0"/>
    <s v="ARS"/>
    <s v="CC"/>
    <s v="GALICIA"/>
    <x v="2"/>
    <x v="4"/>
    <x v="4"/>
    <s v="HONORARIOS"/>
    <s v="CESAR DIAZ"/>
    <s v="FA 34"/>
    <x v="6"/>
    <m/>
    <s v="24/25"/>
    <s v="BIENES Y SERVICIOS"/>
    <s v="EFECTIVO Y OTROS ACT LÍQ EQ."/>
  </r>
  <r>
    <x v="8"/>
    <d v="2025-09-25T00:00:00"/>
    <s v="TRANSF INMED CP"/>
    <m/>
    <n v="100000"/>
    <n v="0"/>
    <n v="-100000"/>
    <n v="-8752327.9700000007"/>
    <n v="1410"/>
    <n v="70.921985815602838"/>
    <n v="0"/>
    <s v="ARS"/>
    <s v="CC"/>
    <s v="GALICIA"/>
    <x v="0"/>
    <x v="0"/>
    <x v="0"/>
    <s v="HACIA CC PAMPA"/>
    <m/>
    <m/>
    <x v="0"/>
    <m/>
    <s v="24/25"/>
    <m/>
    <m/>
  </r>
  <r>
    <x v="8"/>
    <d v="2025-09-25T00:00:00"/>
    <s v="IMP. DEB. LEY 25413 GRAL."/>
    <m/>
    <n v="16425.939999999999"/>
    <n v="0"/>
    <n v="-16425.939999999999"/>
    <n v="-8768753.9100000001"/>
    <n v="1410"/>
    <n v="11.64960283687943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26T00:00:00"/>
    <s v="CHEQUE 48 HS. "/>
    <s v="N32841146"/>
    <n v="1533312"/>
    <n v="0"/>
    <n v="-1533312"/>
    <n v="-10302065.91"/>
    <n v="1410"/>
    <n v="1087.4553191489363"/>
    <n v="0"/>
    <s v="ARS"/>
    <s v="CC"/>
    <s v="GALICIA"/>
    <x v="2"/>
    <x v="4"/>
    <x v="5"/>
    <s v="FLETES"/>
    <s v="LA FORTALEZA"/>
    <m/>
    <x v="6"/>
    <m/>
    <s v="24/25"/>
    <s v="BIENES Y SERVICIOS"/>
    <s v="EFECTIVO Y OTROS ACT LÍQ EQ."/>
  </r>
  <r>
    <x v="8"/>
    <d v="2025-09-26T00:00:00"/>
    <s v="TRANSFERENCIA DE TERCEROS"/>
    <m/>
    <n v="0"/>
    <n v="1600000"/>
    <n v="1600000"/>
    <n v="-8702065.9100000001"/>
    <n v="1410"/>
    <n v="0"/>
    <n v="0"/>
    <s v="ARS"/>
    <s v="CC"/>
    <s v="GALICIA"/>
    <x v="1"/>
    <x v="2"/>
    <x v="14"/>
    <m/>
    <s v="RAUL"/>
    <m/>
    <x v="8"/>
    <s v="RAUL"/>
    <s v="24/25"/>
    <s v="EFECTIVO Y OTROS ACT LÍQ EQ."/>
    <s v="APORTES DE CAPITAL"/>
  </r>
  <r>
    <x v="8"/>
    <d v="2025-09-26T00:00:00"/>
    <s v="IMP. DEB. LEY 25413 GRAL."/>
    <m/>
    <n v="9199.8700000000008"/>
    <n v="0"/>
    <n v="-9199.8700000000008"/>
    <n v="-8711265.7799999993"/>
    <n v="1410"/>
    <n v="6.52473049645390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26T00:00:00"/>
    <s v="IMP. CRE. LEY 25413"/>
    <m/>
    <n v="9600"/>
    <n v="0"/>
    <n v="-9600"/>
    <n v="-8720865.7799999993"/>
    <n v="1410"/>
    <n v="6.808510638297872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01T00:00:00"/>
    <s v="COMISION SERVICIO DE CUENTA"/>
    <m/>
    <n v="55000"/>
    <n v="0"/>
    <n v="-55000"/>
    <n v="-8775865.7799999993"/>
    <n v="1410"/>
    <n v="39.00709219858156"/>
    <n v="0"/>
    <s v="ARS"/>
    <s v="CC"/>
    <s v="GALICIA"/>
    <x v="1"/>
    <x v="7"/>
    <x v="9"/>
    <m/>
    <m/>
    <m/>
    <x v="1"/>
    <m/>
    <s v="24/25"/>
    <s v="EGRESOS"/>
    <s v="EFECTIVO Y OTROS ACT LÍQ EQ."/>
  </r>
  <r>
    <x v="9"/>
    <d v="2025-10-01T00:00:00"/>
    <s v="IVA"/>
    <m/>
    <n v="11550"/>
    <n v="0"/>
    <n v="-11550"/>
    <n v="-8787415.7799999993"/>
    <n v="1410"/>
    <n v="8.191489361702128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9"/>
    <d v="2025-10-01T00:00:00"/>
    <s v="PERCEP. IVA"/>
    <m/>
    <n v="1650"/>
    <n v="0"/>
    <n v="-1650"/>
    <n v="-8789065.7799999993"/>
    <n v="1410"/>
    <n v="1.170212765957446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IMP. ING. BRUTOS"/>
    <m/>
    <n v="3300"/>
    <n v="0"/>
    <n v="-3300"/>
    <n v="-8792365.7799999993"/>
    <n v="1410"/>
    <n v="2.340425531914893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01T00:00:00"/>
    <s v="COMISION CHEQUE PAGADO POR CLEARING"/>
    <m/>
    <n v="14000"/>
    <n v="0"/>
    <n v="-14000"/>
    <n v="-8806365.7799999993"/>
    <n v="1410"/>
    <n v="9.9290780141843964"/>
    <n v="0"/>
    <s v="ARS"/>
    <s v="CC"/>
    <s v="GALICIA"/>
    <x v="1"/>
    <x v="7"/>
    <x v="9"/>
    <m/>
    <m/>
    <m/>
    <x v="1"/>
    <m/>
    <s v="24/25"/>
    <s v="EGRESOS"/>
    <s v="EFECTIVO Y OTROS ACT LÍQ EQ."/>
  </r>
  <r>
    <x v="9"/>
    <d v="2025-10-01T00:00:00"/>
    <s v="IVA"/>
    <m/>
    <n v="2940"/>
    <n v="0"/>
    <n v="-2940"/>
    <n v="-8809305.7799999993"/>
    <n v="1410"/>
    <n v="2.085106382978723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9"/>
    <d v="2025-10-01T00:00:00"/>
    <s v="PERCEP. IVA"/>
    <m/>
    <n v="420"/>
    <n v="0"/>
    <n v="-420"/>
    <n v="-8809725.7799999993"/>
    <n v="1410"/>
    <n v="0.297872340425531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IMP. ING. BRUTOS"/>
    <m/>
    <n v="840"/>
    <n v="0"/>
    <n v="-840"/>
    <n v="-8810565.7799999993"/>
    <n v="1410"/>
    <n v="0.5957446808510638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01T00:00:00"/>
    <s v="IMP. DEB. LEY 25413 GRAL."/>
    <m/>
    <n v="538.20000000000005"/>
    <n v="0"/>
    <n v="-538.20000000000005"/>
    <n v="-8811103.9800000004"/>
    <n v="1410"/>
    <n v="0.3817021276595745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01T00:00:00"/>
    <s v="IMP. ING. BRUTOS"/>
    <m/>
    <n v="9835.5"/>
    <n v="0"/>
    <n v="-9835.5"/>
    <n v="-8820939.4800000004"/>
    <n v="1410"/>
    <n v="6.97553191489361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01T00:00:00"/>
    <s v="PERCEP. IVA"/>
    <m/>
    <n v="2458.88"/>
    <n v="0"/>
    <n v="-2458.88"/>
    <n v="-8823398.3599999994"/>
    <n v="1410"/>
    <n v="1.7438865248226951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IVA"/>
    <m/>
    <n v="17212.13"/>
    <n v="0"/>
    <n v="-17212.13"/>
    <n v="-8840610.4900000002"/>
    <n v="1410"/>
    <n v="12.207184397163122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9"/>
    <d v="2025-10-01T00:00:00"/>
    <s v="IMPUESTO DE SELLOS"/>
    <m/>
    <n v="2787.36"/>
    <n v="0"/>
    <n v="-2787.36"/>
    <n v="-8843397.8499999996"/>
    <n v="1410"/>
    <n v="1.9768510638297874"/>
    <n v="0"/>
    <s v="ARS"/>
    <s v="CC"/>
    <s v="GALICIA"/>
    <x v="1"/>
    <x v="1"/>
    <x v="1"/>
    <s v="SELLOS"/>
    <m/>
    <m/>
    <x v="1"/>
    <m/>
    <s v="24/25"/>
    <s v="EGRESOS"/>
    <s v="EFECTIVO Y OTROS ACT LÍQ EQ."/>
  </r>
  <r>
    <x v="9"/>
    <d v="2025-10-01T00:00:00"/>
    <s v="INTERESES SOBRE SALDOS DEUDORES"/>
    <m/>
    <n v="163925.04"/>
    <n v="0"/>
    <n v="-163925.04"/>
    <n v="-9007322.8900000006"/>
    <n v="1410"/>
    <n v="116.25889361702129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9"/>
    <d v="2025-10-01T00:00:00"/>
    <s v="IMP. DEB. LEY 25413 GRAL."/>
    <m/>
    <n v="1177.31"/>
    <n v="0"/>
    <n v="-1177.31"/>
    <n v="-9008500.1999999993"/>
    <n v="1410"/>
    <n v="0.8349716312056737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08T00:00:00"/>
    <s v="TRANSFER. CASH MISMA TITULARIDAD"/>
    <m/>
    <n v="0"/>
    <n v="22700000"/>
    <n v="22700000"/>
    <n v="13691499.800000001"/>
    <n v="1410"/>
    <n v="0"/>
    <n v="0"/>
    <s v="ARS"/>
    <s v="CC"/>
    <s v="GALICIA"/>
    <x v="0"/>
    <x v="0"/>
    <x v="0"/>
    <s v="DESDE CC MACRO"/>
    <m/>
    <m/>
    <x v="0"/>
    <m/>
    <s v="24/25"/>
    <m/>
    <m/>
  </r>
  <r>
    <x v="9"/>
    <d v="2025-10-08T00:00:00"/>
    <s v="CUOTA DE PRESTAMO"/>
    <m/>
    <n v="12699375.35"/>
    <n v="0"/>
    <n v="-12699375.35"/>
    <n v="992124.45"/>
    <n v="1410"/>
    <n v="9006.6491843971635"/>
    <n v="0"/>
    <s v="ARS"/>
    <s v="CC"/>
    <s v="GALICIA"/>
    <x v="0"/>
    <x v="12"/>
    <x v="52"/>
    <s v="PRESTAMO GALICIA"/>
    <s v="BANCO GALICIA"/>
    <m/>
    <x v="18"/>
    <m/>
    <s v="24/25"/>
    <s v="AMORT. CREDITOS GAL"/>
    <s v="EFECTIVO Y OTROS ACT LÍQ EQ."/>
  </r>
  <r>
    <x v="9"/>
    <d v="2025-10-08T00:00:00"/>
    <s v="DEBITO IIBB - NÚMERO DE CUOTA:1"/>
    <m/>
    <n v="141386.29999999999"/>
    <n v="0"/>
    <n v="-141386.29999999999"/>
    <n v="850738.15"/>
    <n v="1410"/>
    <n v="100.2739716312056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09T00:00:00"/>
    <s v="TRANSFER. CASH MISMA TITULARIDAD"/>
    <m/>
    <n v="0"/>
    <n v="717043.72"/>
    <n v="717043.72"/>
    <n v="1567781.87"/>
    <n v="1410"/>
    <n v="0"/>
    <n v="0"/>
    <s v="ARS"/>
    <s v="CC"/>
    <s v="GALICIA"/>
    <x v="0"/>
    <x v="0"/>
    <x v="0"/>
    <s v="DESDE CC MACRO"/>
    <m/>
    <m/>
    <x v="0"/>
    <m/>
    <s v="24/25"/>
    <m/>
    <m/>
  </r>
  <r>
    <x v="9"/>
    <d v="2025-10-09T00:00:00"/>
    <s v="TRANSF. A TERCEROS"/>
    <m/>
    <n v="717043.72"/>
    <n v="0"/>
    <n v="-717043.72"/>
    <n v="850738.15"/>
    <n v="1410"/>
    <n v="508.54164539007093"/>
    <n v="0"/>
    <s v="ARS"/>
    <s v="CC"/>
    <s v="GALICIA"/>
    <x v="1"/>
    <x v="11"/>
    <x v="3"/>
    <s v="MES SEPTIEMBRE"/>
    <s v="KEVIN TOLEDO"/>
    <m/>
    <x v="3"/>
    <m/>
    <s v="24/25"/>
    <s v="EGRESOS"/>
    <s v="EFECTIVO Y OTROS ACT LÍQ EQ."/>
  </r>
  <r>
    <x v="9"/>
    <d v="2025-10-09T00:00:00"/>
    <s v="IMP. DEB. LEY 25413 GRAL."/>
    <m/>
    <n v="4302.26"/>
    <n v="0"/>
    <n v="-4302.26"/>
    <n v="846435.89"/>
    <n v="1410"/>
    <n v="3.0512482269503547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13T00:00:00"/>
    <s v="TRANSFER. CASH MISMA TITULARIDAD"/>
    <m/>
    <n v="0"/>
    <n v="8700000"/>
    <n v="8700000"/>
    <n v="9546435.8900000006"/>
    <n v="1410"/>
    <n v="0"/>
    <n v="0"/>
    <s v="ARS"/>
    <s v="CC"/>
    <s v="GALICIA"/>
    <x v="0"/>
    <x v="0"/>
    <x v="0"/>
    <s v="DESDE CC MACRO"/>
    <m/>
    <m/>
    <x v="0"/>
    <m/>
    <s v="24/25"/>
    <m/>
    <m/>
  </r>
  <r>
    <x v="9"/>
    <d v="2025-10-13T00:00:00"/>
    <s v="TRANSFERENCIA A TERCEROS"/>
    <m/>
    <n v="2000000"/>
    <n v="0"/>
    <n v="-2000000"/>
    <n v="7546435.8899999997"/>
    <n v="1410"/>
    <n v="1418.4397163120568"/>
    <n v="0"/>
    <s v="ARS"/>
    <s v="CC"/>
    <s v="GALICIA"/>
    <x v="1"/>
    <x v="2"/>
    <x v="2"/>
    <m/>
    <s v="RAUL"/>
    <m/>
    <x v="2"/>
    <s v="RAUL"/>
    <s v="24/25"/>
    <s v="FUTURAS UT. ADL RAUL"/>
    <s v="EFECTIVO Y OTROS ACT LÍQ EQ."/>
  </r>
  <r>
    <x v="9"/>
    <d v="2025-10-13T00:00:00"/>
    <s v="IMP. DEB. LEY 25413 GRAL."/>
    <m/>
    <n v="12000"/>
    <n v="0"/>
    <n v="-12000"/>
    <n v="7534435.8899999997"/>
    <n v="1410"/>
    <n v="8.5106382978723403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13T00:00:00"/>
    <s v="CUOTA DE PRESTAMO"/>
    <m/>
    <n v="9524531.5099999998"/>
    <n v="0"/>
    <n v="-9524531.5099999998"/>
    <n v="-1990095.62"/>
    <n v="1410"/>
    <n v="6754.9868865248227"/>
    <n v="0"/>
    <s v="ARS"/>
    <s v="CC"/>
    <s v="GALICIA"/>
    <x v="0"/>
    <x v="12"/>
    <x v="52"/>
    <s v="PRESTAMO GALICIA"/>
    <s v="BANCO GALICIA"/>
    <m/>
    <x v="18"/>
    <m/>
    <s v="24/25"/>
    <s v="AMORT. CREDITOS GAL"/>
    <s v="EFECTIVO Y OTROS ACT LÍQ EQ."/>
  </r>
  <r>
    <x v="9"/>
    <d v="2025-10-13T00:00:00"/>
    <s v="COBRO IIBB CUOTA N°1"/>
    <m/>
    <n v="106039.73"/>
    <n v="0"/>
    <n v="-106039.73"/>
    <n v="-2096135.35"/>
    <n v="1410"/>
    <n v="75.205482269503548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13T00:00:00"/>
    <s v="IMP. DEB. LEY 25413 GRAL."/>
    <m/>
    <n v="57783.43"/>
    <n v="0"/>
    <n v="-57783.43"/>
    <n v="-2153918.7799999998"/>
    <n v="1410"/>
    <n v="40.98115602836879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14T00:00:00"/>
    <s v="TRANSF. A TERCEROS"/>
    <m/>
    <n v="900000"/>
    <n v="0"/>
    <n v="-900000"/>
    <n v="-3053918.78"/>
    <n v="1410"/>
    <n v="638.29787234042556"/>
    <n v="0"/>
    <s v="ARS"/>
    <s v="CC"/>
    <s v="GALICIA"/>
    <x v="1"/>
    <x v="2"/>
    <x v="2"/>
    <s v="PARTE OCTUBRE"/>
    <s v="CLAUDIA ERRECALDE"/>
    <m/>
    <x v="15"/>
    <s v="CLAUDIA"/>
    <s v="24/25"/>
    <s v="FUTURAS UT. ADL CLAUDIA"/>
    <s v="EFECTIVO Y OTROS ACT LÍQ EQ."/>
  </r>
  <r>
    <x v="9"/>
    <d v="2025-10-14T00:00:00"/>
    <s v="TRF INMED PROVEED"/>
    <m/>
    <n v="320000"/>
    <n v="0"/>
    <n v="-320000"/>
    <n v="-3373918.78"/>
    <n v="1410"/>
    <n v="226.95035460992906"/>
    <n v="0"/>
    <s v="ARS"/>
    <s v="CC"/>
    <s v="GALICIA"/>
    <x v="1"/>
    <x v="11"/>
    <x v="30"/>
    <s v="DEVOLUCION APORTADO"/>
    <s v="BECERRA ADRIAN"/>
    <m/>
    <x v="10"/>
    <m/>
    <s v="24/25"/>
    <s v="DEUDAS FINANCIERAS CP"/>
    <s v="EFECTIVO Y OTROS ACT LÍQ EQ."/>
  </r>
  <r>
    <x v="9"/>
    <d v="2025-10-14T00:00:00"/>
    <s v="IMP. DEB. LEY 25413 GRAL."/>
    <m/>
    <n v="7320"/>
    <n v="0"/>
    <n v="-7320"/>
    <n v="-3381238.78"/>
    <n v="1410"/>
    <n v="5.1914893617021276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17T00:00:00"/>
    <s v="TRF INMED PROVEED"/>
    <m/>
    <n v="186000"/>
    <n v="0"/>
    <n v="-186000"/>
    <n v="-3567238.78"/>
    <n v="1410"/>
    <n v="131.91489361702128"/>
    <n v="0"/>
    <s v="ARS"/>
    <s v="CC"/>
    <s v="GALICIA"/>
    <x v="4"/>
    <x v="19"/>
    <x v="53"/>
    <s v="ESQUILADO"/>
    <s v="PEREYRA"/>
    <m/>
    <x v="1"/>
    <m/>
    <s v="24/25"/>
    <s v="EGRESOS"/>
    <s v="EFECTIVO Y OTROS ACT LÍQ EQ."/>
  </r>
  <r>
    <x v="9"/>
    <d v="2025-10-17T00:00:00"/>
    <s v="TRANSFER. CASH MISMA TITULARIDAD"/>
    <m/>
    <n v="0"/>
    <n v="4000000"/>
    <n v="4000000"/>
    <n v="432761.22"/>
    <n v="1410"/>
    <n v="0"/>
    <n v="0"/>
    <s v="ARS"/>
    <s v="CC"/>
    <s v="GALICIA"/>
    <x v="0"/>
    <x v="0"/>
    <x v="0"/>
    <s v="DESDE CC GALICIA"/>
    <m/>
    <m/>
    <x v="0"/>
    <m/>
    <s v="24/25"/>
    <m/>
    <m/>
  </r>
  <r>
    <x v="9"/>
    <d v="2025-10-17T00:00:00"/>
    <s v="IMP. DEB. LEY 25413 GRAL."/>
    <m/>
    <n v="1116"/>
    <n v="0"/>
    <n v="-1116"/>
    <n v="431645.22"/>
    <n v="1410"/>
    <n v="0.79148936170212769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20T00:00:00"/>
    <s v="TRANSF. A TERCEROS"/>
    <m/>
    <n v="220000"/>
    <n v="0"/>
    <n v="-220000"/>
    <n v="11645.22"/>
    <n v="1410"/>
    <n v="156.02836879432624"/>
    <n v="0"/>
    <s v="ARS"/>
    <s v="CC"/>
    <s v="GALICIA"/>
    <x v="1"/>
    <x v="3"/>
    <x v="13"/>
    <m/>
    <s v="JULIO TOLEDO"/>
    <m/>
    <x v="3"/>
    <m/>
    <s v="24/25"/>
    <s v="EGRESOS"/>
    <s v="EFECTIVO Y OTROS ACT LÍQ EQ."/>
  </r>
  <r>
    <x v="9"/>
    <d v="2025-10-20T00:00:00"/>
    <s v="TRANSF. A TERCEROS"/>
    <m/>
    <n v="200000"/>
    <n v="0"/>
    <n v="-200000"/>
    <n v="11645.22"/>
    <n v="1410"/>
    <n v="141.84397163120568"/>
    <n v="0"/>
    <s v="ARS"/>
    <s v="CC"/>
    <s v="GALICIA"/>
    <x v="1"/>
    <x v="3"/>
    <x v="13"/>
    <m/>
    <s v="CRISTIAN OLMEDO"/>
    <m/>
    <x v="3"/>
    <m/>
    <s v="24/25"/>
    <s v="EGRESOS"/>
    <s v="EFECTIVO Y OTROS ACT LÍQ EQ."/>
  </r>
  <r>
    <x v="9"/>
    <d v="2025-10-20T00:00:00"/>
    <s v="IMP. DEB. LEY 25413 GRAL."/>
    <m/>
    <n v="2520"/>
    <n v="0"/>
    <n v="-2520"/>
    <n v="9125.2199999999993"/>
    <n v="1410"/>
    <n v="1.787234042553191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24T00:00:00"/>
    <s v="TRANSF. A TERCEROS"/>
    <m/>
    <n v="267216.42"/>
    <n v="0"/>
    <n v="-267216.42"/>
    <n v="-258091.2"/>
    <n v="1410"/>
    <n v="189.51519148936168"/>
    <n v="0"/>
    <s v="ARS"/>
    <s v="CC"/>
    <s v="GALICIA"/>
    <x v="4"/>
    <x v="20"/>
    <x v="45"/>
    <s v="DESPOSTADO DE NOVILLO"/>
    <s v="CENTENO"/>
    <m/>
    <x v="1"/>
    <m/>
    <s v="24/25"/>
    <s v="EGRESOS"/>
    <s v="EFECTIVO Y OTROS ACT LÍQ EQ."/>
  </r>
  <r>
    <x v="9"/>
    <d v="2025-10-24T00:00:00"/>
    <s v="TRF INMED PROVEED"/>
    <m/>
    <n v="1914576.35"/>
    <n v="0"/>
    <n v="-1914576.35"/>
    <n v="-2172667.5499999998"/>
    <n v="1410"/>
    <n v="1357.8555673758865"/>
    <n v="0"/>
    <s v="ARS"/>
    <s v="CC"/>
    <s v="GALICIA"/>
    <x v="5"/>
    <x v="13"/>
    <x v="54"/>
    <s v="SUPLEMENTOS"/>
    <s v="TEKNAL"/>
    <m/>
    <x v="6"/>
    <m/>
    <s v="24/25"/>
    <s v="BIENES Y SERVICIOS"/>
    <s v="EFECTIVO Y OTROS ACT LÍQ EQ."/>
  </r>
  <r>
    <x v="9"/>
    <d v="2025-10-24T00:00:00"/>
    <s v="TRANSFERENCIA A TERCEROS"/>
    <m/>
    <n v="800000"/>
    <n v="0"/>
    <n v="-800000"/>
    <n v="-2972667.55"/>
    <n v="1410"/>
    <n v="567.3758865248227"/>
    <n v="0"/>
    <s v="ARS"/>
    <s v="CC"/>
    <s v="GALICIA"/>
    <x v="1"/>
    <x v="2"/>
    <x v="2"/>
    <m/>
    <s v="RAUL"/>
    <m/>
    <x v="2"/>
    <s v="RAUL"/>
    <s v="24/25"/>
    <s v="FUTURAS UT. ADL RAUL"/>
    <s v="EFECTIVO Y OTROS ACT LÍQ EQ."/>
  </r>
  <r>
    <x v="9"/>
    <d v="2025-10-24T00:00:00"/>
    <s v="IMP. DEB. LEY 25413 GRAL."/>
    <m/>
    <n v="17890.759999999998"/>
    <n v="0"/>
    <n v="-17890.759999999998"/>
    <n v="-2990558.31"/>
    <n v="1410"/>
    <n v="12.68848226950354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28T00:00:00"/>
    <s v="TRANSF INMED CP"/>
    <m/>
    <n v="1190000"/>
    <n v="0"/>
    <n v="-1190000"/>
    <n v="-4180558.31"/>
    <n v="1410"/>
    <n v="843.9716312056737"/>
    <n v="0"/>
    <s v="ARS"/>
    <s v="CC"/>
    <s v="GALICIA"/>
    <x v="0"/>
    <x v="0"/>
    <x v="0"/>
    <s v="HACIA CC MACRO"/>
    <m/>
    <m/>
    <x v="0"/>
    <m/>
    <s v="24/25"/>
    <m/>
    <m/>
  </r>
  <r>
    <x v="9"/>
    <d v="2025-10-28T00:00:00"/>
    <s v="TRANSF INMED CP"/>
    <m/>
    <n v="4600000"/>
    <n v="0"/>
    <n v="-4600000"/>
    <n v="-8780558.3100000005"/>
    <n v="1410"/>
    <n v="3262.4113475177305"/>
    <n v="0"/>
    <s v="ARS"/>
    <s v="CC"/>
    <s v="GALICIA"/>
    <x v="0"/>
    <x v="0"/>
    <x v="0"/>
    <s v="HACIA CC NACION"/>
    <m/>
    <m/>
    <x v="0"/>
    <m/>
    <s v="24/25"/>
    <m/>
    <m/>
  </r>
  <r>
    <x v="9"/>
    <d v="2025-10-31T00:00:00"/>
    <s v="TRANSF INMED CP"/>
    <m/>
    <n v="60000"/>
    <n v="0"/>
    <n v="-60000"/>
    <n v="-8840558.3100000005"/>
    <n v="1410"/>
    <n v="42.553191489361701"/>
    <n v="0"/>
    <s v="ARS"/>
    <s v="CC"/>
    <s v="GALICIA"/>
    <x v="0"/>
    <x v="0"/>
    <x v="0"/>
    <s v="HACIA CC NACION"/>
    <m/>
    <m/>
    <x v="0"/>
    <m/>
    <s v="24/25"/>
    <m/>
    <m/>
  </r>
  <r>
    <x v="10"/>
    <d v="2025-11-03T00:00:00"/>
    <s v="IMP. ING. BRUTOS"/>
    <m/>
    <n v="3300"/>
    <n v="0"/>
    <n v="-3300"/>
    <n v="-8843858.3100000005"/>
    <n v="1410"/>
    <n v="2.340425531914893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10"/>
    <d v="2025-11-03T00:00:00"/>
    <s v="PERCEP. IVA"/>
    <m/>
    <n v="1650"/>
    <n v="0"/>
    <n v="-1650"/>
    <n v="-8845508.3100000005"/>
    <n v="1410"/>
    <n v="1.170212765957446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VA"/>
    <m/>
    <n v="11550"/>
    <n v="0"/>
    <n v="-11550"/>
    <n v="-8857058.3100000005"/>
    <n v="1410"/>
    <n v="8.191489361702128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10"/>
    <d v="2025-11-03T00:00:00"/>
    <s v="COMISION SERVICIO DE CUENTA"/>
    <m/>
    <n v="55000"/>
    <n v="0"/>
    <n v="-55000"/>
    <n v="-8912058.3100000005"/>
    <n v="1410"/>
    <n v="39.00709219858156"/>
    <n v="0"/>
    <s v="ARS"/>
    <s v="CC"/>
    <s v="GALICIA"/>
    <x v="1"/>
    <x v="7"/>
    <x v="9"/>
    <m/>
    <m/>
    <m/>
    <x v="1"/>
    <m/>
    <s v="24/25"/>
    <s v="EGRESOS"/>
    <s v="EFECTIVO Y OTROS ACT LÍQ EQ."/>
  </r>
  <r>
    <x v="10"/>
    <d v="2025-11-03T00:00:00"/>
    <s v="IMP. DEB. LEY 25413 GRAL."/>
    <m/>
    <n v="429"/>
    <n v="0"/>
    <n v="-429"/>
    <n v="-8912487.3100000005"/>
    <n v="1410"/>
    <n v="0.30425531914893617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03T00:00:00"/>
    <s v="IMP. ING. BRUTOS"/>
    <m/>
    <n v="17754.509999999998"/>
    <n v="0"/>
    <n v="-17754.509999999998"/>
    <n v="-8930241.8200000003"/>
    <n v="1410"/>
    <n v="12.591851063829786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10"/>
    <d v="2025-11-03T00:00:00"/>
    <s v="PERCEP. IVA"/>
    <m/>
    <n v="4438.63"/>
    <n v="0"/>
    <n v="-4438.63"/>
    <n v="-8934680.4499999993"/>
    <n v="1410"/>
    <n v="3.147964539007092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VA"/>
    <m/>
    <n v="31070.39"/>
    <n v="0"/>
    <n v="-31070.39"/>
    <n v="-8965750.8399999999"/>
    <n v="1410"/>
    <n v="22.035737588652481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10"/>
    <d v="2025-11-03T00:00:00"/>
    <s v="IMPUESTO DE SELLOS"/>
    <m/>
    <n v="4027.45"/>
    <n v="0"/>
    <n v="-4027.45"/>
    <n v="-8969778.2899999991"/>
    <n v="1410"/>
    <n v="2.8563475177304962"/>
    <n v="0"/>
    <s v="ARS"/>
    <s v="CC"/>
    <s v="GALICIA"/>
    <x v="1"/>
    <x v="1"/>
    <x v="1"/>
    <s v="SELLOS"/>
    <m/>
    <m/>
    <x v="1"/>
    <m/>
    <s v="24/25"/>
    <s v="EGRESOS"/>
    <s v="EFECTIVO Y OTROS ACT LÍQ EQ."/>
  </r>
  <r>
    <x v="10"/>
    <d v="2025-11-03T00:00:00"/>
    <s v="INTERESES SOBRE SALDOS DEUDORES"/>
    <m/>
    <n v="295908.49"/>
    <n v="0"/>
    <n v="-295908.49"/>
    <n v="-9265686.7799999993"/>
    <n v="1410"/>
    <n v="209.86417730496453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10"/>
    <d v="2025-11-03T00:00:00"/>
    <s v="IMP. DEB. LEY 25413 GRAL."/>
    <m/>
    <n v="2119.1999999999998"/>
    <n v="0"/>
    <n v="-2119.1999999999998"/>
    <n v="-9267805.9800000004"/>
    <n v="1410"/>
    <n v="1.502978723404255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11T00:00:00"/>
    <s v="TRANSFER. CASH MISMA TITULARIDAD"/>
    <m/>
    <n v="0"/>
    <n v="9400000"/>
    <n v="9400000"/>
    <n v="132194.01999999999"/>
    <n v="1410"/>
    <n v="0"/>
    <n v="0"/>
    <s v="ARS"/>
    <s v="CC"/>
    <s v="GALICIA"/>
    <x v="0"/>
    <x v="0"/>
    <x v="0"/>
    <s v="HACIA CC MACRO"/>
    <m/>
    <m/>
    <x v="0"/>
    <m/>
    <s v="24/25"/>
    <m/>
    <m/>
  </r>
  <r>
    <x v="10"/>
    <d v="2025-11-11T00:00:00"/>
    <s v="TRF INMED PROVEED"/>
    <m/>
    <n v="2000000"/>
    <n v="0"/>
    <n v="-2000000"/>
    <n v="-1867805.98"/>
    <n v="1410"/>
    <n v="1418.4397163120568"/>
    <n v="0"/>
    <s v="ARS"/>
    <s v="CC"/>
    <s v="GALICIA"/>
    <x v="1"/>
    <x v="2"/>
    <x v="2"/>
    <m/>
    <s v="CLAUDIA ERRECALDE"/>
    <m/>
    <x v="15"/>
    <s v="CLAUDIA"/>
    <s v="24/25"/>
    <s v="FUTURAS UT. ADL CLAUDIA"/>
    <s v="EFECTIVO Y OTROS ACT LÍQ EQ."/>
  </r>
  <r>
    <x v="10"/>
    <d v="2025-11-11T00:00:00"/>
    <s v="TRF INMED PROVEED"/>
    <m/>
    <n v="2000000"/>
    <n v="0"/>
    <n v="-2000000"/>
    <n v="-3867805.98"/>
    <n v="1410"/>
    <n v="1418.4397163120568"/>
    <n v="0"/>
    <s v="ARS"/>
    <s v="CC"/>
    <s v="GALICIA"/>
    <x v="1"/>
    <x v="2"/>
    <x v="27"/>
    <s v="UTILIDADES FUTURAS"/>
    <s v="MONICA ERRECALDE"/>
    <m/>
    <x v="13"/>
    <s v="MONICA"/>
    <s v="24/25"/>
    <s v="FUTURAS UT. ADL MONICA"/>
    <s v="EFECTIVO Y OTROS ACT LÍQ EQ."/>
  </r>
  <r>
    <x v="10"/>
    <d v="2025-11-11T00:00:00"/>
    <s v="IMP. DEB. LEY 25413 GRAL."/>
    <m/>
    <n v="24000"/>
    <n v="0"/>
    <n v="-24000"/>
    <n v="-3891805.98"/>
    <n v="1410"/>
    <n v="17.02127659574468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20T00:00:00"/>
    <s v="TRF INMED PROVEED"/>
    <m/>
    <n v="510250"/>
    <n v="0"/>
    <n v="-510250"/>
    <n v="-4602055.9800000004"/>
    <n v="1410"/>
    <n v="361.87943262411346"/>
    <n v="0"/>
    <s v="ARS"/>
    <s v="CC"/>
    <s v="GALICIA"/>
    <x v="1"/>
    <x v="7"/>
    <x v="22"/>
    <s v="EMBARGO CTAS"/>
    <m/>
    <m/>
    <x v="1"/>
    <m/>
    <s v="24/25"/>
    <s v="EGRESOS"/>
    <s v="EFECTIVO Y OTROS ACT LÍQ EQ."/>
  </r>
  <r>
    <x v="10"/>
    <d v="2025-11-20T00:00:00"/>
    <s v="TRF INMED PROVEED"/>
    <m/>
    <n v="200000"/>
    <n v="0"/>
    <n v="-200000"/>
    <n v="-4091805.98"/>
    <n v="1410"/>
    <n v="141.84397163120568"/>
    <n v="0"/>
    <s v="ARS"/>
    <s v="CC"/>
    <s v="GALICIA"/>
    <x v="1"/>
    <x v="7"/>
    <x v="22"/>
    <s v="EMBARGO CTAS"/>
    <m/>
    <m/>
    <x v="1"/>
    <m/>
    <s v="24/25"/>
    <s v="EGRESOS"/>
    <s v="EFECTIVO Y OTROS ACT LÍQ EQ."/>
  </r>
  <r>
    <x v="10"/>
    <d v="2025-11-20T00:00:00"/>
    <s v="IMP. DEB. LEY 25413 GRAL."/>
    <m/>
    <n v="4261.5"/>
    <n v="0"/>
    <n v="-4261.5"/>
    <n v="-4606317.4800000004"/>
    <n v="1410"/>
    <n v="3.0223404255319148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25T00:00:00"/>
    <s v="TRF INMED PROVEED"/>
    <m/>
    <n v="65502.5"/>
    <n v="0"/>
    <n v="-65502.5"/>
    <n v="-4671819.9800000004"/>
    <n v="1410"/>
    <n v="46.455673758865245"/>
    <n v="0"/>
    <s v="ARS"/>
    <s v="CC"/>
    <s v="GALICIA"/>
    <x v="5"/>
    <x v="13"/>
    <x v="46"/>
    <s v="HACIENDA"/>
    <s v="TODO CAMPO COMB"/>
    <m/>
    <x v="6"/>
    <m/>
    <s v="24/25"/>
    <s v="BIENES Y SERVICIOS"/>
    <s v="EFECTIVO Y OTROS ACT LÍQ EQ."/>
  </r>
  <r>
    <x v="10"/>
    <d v="2025-11-25T00:00:00"/>
    <s v="TRF INMED PROVEED"/>
    <m/>
    <n v="246300"/>
    <n v="0"/>
    <n v="-246300"/>
    <n v="-4958819.9800000004"/>
    <n v="1410"/>
    <n v="174.68085106382978"/>
    <n v="0"/>
    <s v="ARS"/>
    <s v="CC"/>
    <s v="GALICIA"/>
    <x v="1"/>
    <x v="2"/>
    <x v="30"/>
    <s v="EXPENSAS CORDOBA"/>
    <s v="RAUL"/>
    <m/>
    <x v="2"/>
    <s v="RAUL"/>
    <s v="24/25"/>
    <s v="FUTURAS UT. ADL RAUL"/>
    <s v="EFECTIVO Y OTROS ACT LÍQ EQ."/>
  </r>
  <r>
    <x v="10"/>
    <d v="2025-11-25T00:00:00"/>
    <s v="TRF INMED PROVEED"/>
    <m/>
    <n v="40700"/>
    <n v="0"/>
    <n v="-40700"/>
    <n v="-4958819.9800000004"/>
    <n v="1410"/>
    <n v="28.865248226950353"/>
    <n v="0"/>
    <s v="ARS"/>
    <s v="CC"/>
    <s v="GALICIA"/>
    <x v="1"/>
    <x v="2"/>
    <x v="30"/>
    <s v="SEGUROS ECOGAS"/>
    <s v="RAUL"/>
    <m/>
    <x v="2"/>
    <s v="RAUL"/>
    <s v="24/25"/>
    <s v="FUTURAS UT. ADL RAUL"/>
    <s v="EFECTIVO Y OTROS ACT LÍQ EQ."/>
  </r>
  <r>
    <x v="10"/>
    <d v="2025-11-25T00:00:00"/>
    <s v="TRF INMED PROVEED"/>
    <m/>
    <n v="4807"/>
    <n v="0"/>
    <n v="-4807"/>
    <n v="-5343819.9800000004"/>
    <n v="1410"/>
    <n v="3.4092198581560282"/>
    <n v="0"/>
    <s v="ARS"/>
    <s v="CC"/>
    <s v="GALICIA"/>
    <x v="1"/>
    <x v="3"/>
    <x v="13"/>
    <m/>
    <s v="JULIO TOLEDO"/>
    <m/>
    <x v="3"/>
    <m/>
    <s v="25/26"/>
    <s v="EGRESOS"/>
    <s v="EFECTIVO Y OTROS ACT LÍQ EQ."/>
  </r>
  <r>
    <x v="10"/>
    <d v="2025-11-25T00:00:00"/>
    <s v="TRF INMED PROVEED"/>
    <m/>
    <n v="104133"/>
    <n v="0"/>
    <n v="-104133"/>
    <n v="-5472153.3133333297"/>
    <n v="1410"/>
    <n v="73.853191489361706"/>
    <n v="0"/>
    <s v="ARS"/>
    <s v="CC"/>
    <s v="GALICIA"/>
    <x v="1"/>
    <x v="2"/>
    <x v="30"/>
    <s v="SEGURO CAMIONETA"/>
    <s v="RAUL"/>
    <m/>
    <x v="2"/>
    <s v="RAUL"/>
    <s v="24/25"/>
    <s v="FUTURAS UT. ADL RAUL"/>
    <s v="EFECTIVO Y OTROS ACT LÍQ EQ."/>
  </r>
  <r>
    <x v="10"/>
    <d v="2025-11-25T00:00:00"/>
    <s v="TRF INMED PROVEED"/>
    <m/>
    <n v="220000"/>
    <n v="0"/>
    <n v="-220000"/>
    <n v="-5664653.3133333297"/>
    <n v="1410"/>
    <n v="156.02836879432624"/>
    <n v="0"/>
    <s v="ARS"/>
    <s v="CC"/>
    <s v="GALICIA"/>
    <x v="1"/>
    <x v="3"/>
    <x v="13"/>
    <m/>
    <s v="JULIO TOLEDO"/>
    <m/>
    <x v="3"/>
    <m/>
    <s v="25/26"/>
    <s v="EGRESOS"/>
    <s v="EFECTIVO Y OTROS ACT LÍQ EQ."/>
  </r>
  <r>
    <x v="10"/>
    <d v="2025-11-25T00:00:00"/>
    <s v="TRF INMED PROVEED"/>
    <m/>
    <n v="25000"/>
    <n v="0"/>
    <n v="-25000"/>
    <n v="-5857153.3133333297"/>
    <n v="1410"/>
    <n v="17.730496453900709"/>
    <n v="0"/>
    <s v="ARS"/>
    <s v="CC"/>
    <s v="GALICIA"/>
    <x v="3"/>
    <x v="8"/>
    <x v="11"/>
    <s v="LAVADERO"/>
    <m/>
    <m/>
    <x v="5"/>
    <m/>
    <s v="24/25"/>
    <s v="BIENES Y SERVICIOS"/>
    <s v="EFECTIVO Y OTROS ACT LÍQ EQ."/>
  </r>
  <r>
    <x v="10"/>
    <d v="2025-11-25T00:00:00"/>
    <s v="TRF INMED PROVEED"/>
    <m/>
    <n v="19000"/>
    <n v="0"/>
    <n v="-19000"/>
    <n v="-6049653.3133333297"/>
    <n v="1410"/>
    <n v="13.475177304964539"/>
    <n v="0"/>
    <s v="ARS"/>
    <s v="CC"/>
    <s v="GALICIA"/>
    <x v="1"/>
    <x v="3"/>
    <x v="3"/>
    <s v="UATRE"/>
    <s v="ANDRES TOLEDO"/>
    <m/>
    <x v="3"/>
    <m/>
    <s v="24/25"/>
    <s v="EGRESOS"/>
    <s v="EFECTIVO Y OTROS ACT LÍQ EQ."/>
  </r>
  <r>
    <x v="10"/>
    <d v="2025-11-25T00:00:00"/>
    <s v="TRF INMED PROVEED"/>
    <m/>
    <n v="12000"/>
    <n v="0"/>
    <n v="-12000"/>
    <n v="-6242153.3133333297"/>
    <n v="1410"/>
    <n v="8.5106382978723403"/>
    <n v="0"/>
    <s v="ARS"/>
    <s v="CC"/>
    <s v="GALICIA"/>
    <x v="1"/>
    <x v="3"/>
    <x v="3"/>
    <s v="OSECAC"/>
    <s v="KEVIN TOLEDO"/>
    <m/>
    <x v="3"/>
    <m/>
    <s v="24/25"/>
    <s v="EGRESOS"/>
    <s v="EFECTIVO Y OTROS ACT LÍQ EQ."/>
  </r>
  <r>
    <x v="10"/>
    <d v="2025-11-25T00:00:00"/>
    <s v="TRF INMED PROVEED"/>
    <m/>
    <n v="812000"/>
    <n v="0"/>
    <n v="-812000"/>
    <n v="-6155819.9800000004"/>
    <n v="1410"/>
    <n v="575.88652482269504"/>
    <n v="0"/>
    <s v="ARS"/>
    <s v="CC"/>
    <s v="GALICIA"/>
    <x v="2"/>
    <x v="4"/>
    <x v="5"/>
    <s v="APLICACIONES"/>
    <s v="CLERICI JUAN PABLO"/>
    <s v="FA 224"/>
    <x v="6"/>
    <m/>
    <s v="24/25"/>
    <s v="BIENES Y SERVICIOS"/>
    <s v="EFECTIVO Y OTROS ACT LÍQ EQ."/>
  </r>
  <r>
    <x v="10"/>
    <d v="2025-11-25T00:00:00"/>
    <s v="IMP. DEB. LEY 25413 GRAL."/>
    <m/>
    <n v="9297.02"/>
    <n v="0"/>
    <n v="-9297.02"/>
    <n v="-6165117"/>
    <n v="1410"/>
    <n v="6.5936312056737592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26T00:00:00"/>
    <s v="TRANSF. A TERCEROS"/>
    <m/>
    <n v="360000"/>
    <n v="0"/>
    <n v="-360000"/>
    <n v="-6525117"/>
    <n v="1410"/>
    <n v="255.31914893617022"/>
    <n v="0"/>
    <s v="ARS"/>
    <s v="CC"/>
    <s v="GALICIA"/>
    <x v="1"/>
    <x v="3"/>
    <x v="13"/>
    <m/>
    <s v="JULIO TOLEDO"/>
    <m/>
    <x v="3"/>
    <m/>
    <s v="25/26"/>
    <s v="EGRESOS"/>
    <s v="EFECTIVO Y OTROS ACT LÍQ EQ."/>
  </r>
  <r>
    <x v="10"/>
    <d v="2025-11-26T00:00:00"/>
    <s v="IMP. DEB. LEY 25413 GRAL."/>
    <m/>
    <n v="2160"/>
    <n v="0"/>
    <n v="-2160"/>
    <n v="-6527277"/>
    <n v="1410"/>
    <n v="1.5319148936170213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27T00:00:00"/>
    <s v="TRF INMED PROVEED"/>
    <m/>
    <n v="1400000"/>
    <n v="0"/>
    <n v="-1400000"/>
    <n v="-7927277"/>
    <n v="1410"/>
    <n v="992.9078014184397"/>
    <n v="0"/>
    <s v="ARS"/>
    <s v="CC"/>
    <s v="GALICIA"/>
    <x v="3"/>
    <x v="8"/>
    <x v="39"/>
    <s v="REPUESTOS"/>
    <s v="LAUTARO AGUSTIN MASIN"/>
    <m/>
    <x v="5"/>
    <m/>
    <s v="24/25"/>
    <s v="BIENES Y SERVICIOS"/>
    <s v="EFECTIVO Y OTROS ACT LÍQ EQ."/>
  </r>
  <r>
    <x v="10"/>
    <d v="2025-11-27T00:00:00"/>
    <s v="IMP. DEB. LEY 25413 GRAL."/>
    <m/>
    <n v="8400"/>
    <n v="0"/>
    <n v="-8400"/>
    <n v="-7935677"/>
    <n v="1410"/>
    <n v="5.957446808510638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01T00:00:00"/>
    <s v="COMISION SERVICIO DE CUENTA"/>
    <m/>
    <n v="55000"/>
    <n v="0"/>
    <n v="-55000"/>
    <n v="-7990677"/>
    <n v="1410"/>
    <n v="39.00709219858156"/>
    <n v="0"/>
    <s v="ARS"/>
    <s v="CC"/>
    <s v="GALICIA"/>
    <x v="1"/>
    <x v="7"/>
    <x v="9"/>
    <m/>
    <m/>
    <m/>
    <x v="1"/>
    <m/>
    <s v="24/25"/>
    <s v="EGRESOS"/>
    <s v="EFECTIVO Y OTROS ACT LÍQ EQ."/>
  </r>
  <r>
    <x v="11"/>
    <d v="2025-12-01T00:00:00"/>
    <s v="IVA"/>
    <m/>
    <n v="11550"/>
    <n v="0"/>
    <n v="-11550"/>
    <n v="-8002227"/>
    <n v="1410"/>
    <n v="8.191489361702128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11"/>
    <d v="2025-12-01T00:00:00"/>
    <s v="PERCEP. IVA"/>
    <m/>
    <n v="1650"/>
    <n v="0"/>
    <n v="-1650"/>
    <n v="-8003877"/>
    <n v="1410"/>
    <n v="1.170212765957446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MP. ING. BRUTOS"/>
    <m/>
    <n v="3300"/>
    <n v="0"/>
    <n v="-3300"/>
    <n v="-8007177"/>
    <n v="1410"/>
    <n v="2.340425531914893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11"/>
    <d v="2025-12-01T00:00:00"/>
    <s v="IMP. DEB. LEY 25413 GRAL."/>
    <m/>
    <n v="429"/>
    <n v="0"/>
    <n v="-429"/>
    <n v="-8007606"/>
    <n v="1410"/>
    <n v="0.30425531914893617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01T00:00:00"/>
    <s v="INTERESES SOBRE SALDOS DEUDORES"/>
    <m/>
    <n v="317959.13"/>
    <n v="0"/>
    <n v="-317959.13"/>
    <n v="-8325565.1299999999"/>
    <n v="1410"/>
    <n v="225.50292907801418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11"/>
    <d v="2025-12-01T00:00:00"/>
    <s v="IMPUESTO DE SELLOS"/>
    <m/>
    <n v="6388.49"/>
    <n v="0"/>
    <n v="-6388.49"/>
    <n v="-8331953.6200000001"/>
    <n v="1410"/>
    <n v="4.5308439716312057"/>
    <n v="0"/>
    <s v="ARS"/>
    <s v="CC"/>
    <s v="GALICIA"/>
    <x v="1"/>
    <x v="1"/>
    <x v="1"/>
    <s v="SELLOS"/>
    <m/>
    <m/>
    <x v="1"/>
    <m/>
    <s v="24/25"/>
    <s v="EGRESOS"/>
    <s v="EFECTIVO Y OTROS ACT LÍQ EQ."/>
  </r>
  <r>
    <x v="11"/>
    <d v="2025-12-01T00:00:00"/>
    <s v="IVA"/>
    <m/>
    <n v="33385.71"/>
    <n v="0"/>
    <n v="-33385.71"/>
    <n v="-8365339.3300000001"/>
    <n v="1410"/>
    <n v="23.677808510638297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11"/>
    <d v="2025-12-01T00:00:00"/>
    <s v="PERCEP. IVA"/>
    <m/>
    <n v="4769.3900000000003"/>
    <n v="0"/>
    <n v="-4769.3900000000003"/>
    <n v="-8370108.7199999997"/>
    <n v="1410"/>
    <n v="3.382546099290780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MP. ING. BRUTOS"/>
    <m/>
    <n v="19077.55"/>
    <n v="0"/>
    <n v="-19077.55"/>
    <n v="-8389186.2699999996"/>
    <n v="1410"/>
    <n v="13.530177304964539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11"/>
    <d v="2025-12-01T00:00:00"/>
    <s v="IMP. DEB. LEY 25413 GRAL."/>
    <m/>
    <n v="2289.48"/>
    <n v="0"/>
    <n v="-2289.48"/>
    <n v="-8391475.75"/>
    <n v="1410"/>
    <n v="1.6237446808510638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02T00:00:00"/>
    <s v="TRANSF INMED CP"/>
    <m/>
    <n v="200000"/>
    <n v="0"/>
    <n v="-200000"/>
    <n v="-8591475.75"/>
    <n v="1410"/>
    <n v="141.84397163120568"/>
    <n v="0"/>
    <s v="ARS"/>
    <s v="CC"/>
    <s v="GALICIA"/>
    <x v="0"/>
    <x v="0"/>
    <x v="0"/>
    <s v="HACIA CC MACRO"/>
    <m/>
    <m/>
    <x v="0"/>
    <m/>
    <s v="24/25"/>
    <m/>
    <m/>
  </r>
  <r>
    <x v="11"/>
    <d v="2025-12-09T00:00:00"/>
    <s v="TRANSF INMED CP"/>
    <m/>
    <n v="200000"/>
    <n v="0"/>
    <n v="-200000"/>
    <n v="-8791475.75"/>
    <n v="1410"/>
    <n v="141.84397163120568"/>
    <n v="0"/>
    <s v="ARS"/>
    <s v="CC"/>
    <s v="GALICIA"/>
    <x v="0"/>
    <x v="0"/>
    <x v="0"/>
    <s v="HACIA CC MACRO"/>
    <m/>
    <m/>
    <x v="0"/>
    <m/>
    <s v="24/25"/>
    <m/>
    <m/>
  </r>
  <r>
    <x v="11"/>
    <d v="2025-12-10T00:00:00"/>
    <s v="CREDITO PRESTAMO"/>
    <m/>
    <n v="0"/>
    <n v="5000000"/>
    <n v="5000000"/>
    <n v="-3791475.75"/>
    <n v="1410"/>
    <n v="0"/>
    <n v="3546.0992907801419"/>
    <s v="ARS"/>
    <s v="CC"/>
    <s v="GALICIA"/>
    <x v="0"/>
    <x v="10"/>
    <x v="55"/>
    <m/>
    <s v="GALICIA"/>
    <m/>
    <x v="9"/>
    <m/>
    <s v="24/25"/>
    <s v="EFECTIVO Y OTROS ACT LÍQ EQ."/>
    <s v="GALICIA A SOLA FIRMA 1A"/>
  </r>
  <r>
    <x v="11"/>
    <d v="2025-12-10T00:00:00"/>
    <s v="TRANSF INMED CP"/>
    <m/>
    <n v="1200000"/>
    <n v="0"/>
    <n v="-1200000"/>
    <n v="-4991475.75"/>
    <n v="1410"/>
    <n v="851.063829787234"/>
    <n v="0"/>
    <s v="ARS"/>
    <s v="CC"/>
    <s v="GALICIA"/>
    <x v="0"/>
    <x v="0"/>
    <x v="0"/>
    <s v="HACIA CC MACRO"/>
    <m/>
    <m/>
    <x v="0"/>
    <m/>
    <s v="24/25"/>
    <m/>
    <m/>
  </r>
  <r>
    <x v="11"/>
    <d v="2025-12-10T00:00:00"/>
    <s v="TRANSF. A TERCEROS"/>
    <m/>
    <n v="800000"/>
    <n v="0"/>
    <n v="-800000"/>
    <n v="-5791475.75"/>
    <n v="1410"/>
    <n v="567.3758865248227"/>
    <n v="0"/>
    <s v="ARS"/>
    <s v="CC"/>
    <s v="GALICIA"/>
    <x v="1"/>
    <x v="3"/>
    <x v="3"/>
    <s v="MES NOVIEMBRE"/>
    <s v="KEVIN TOLEDO"/>
    <m/>
    <x v="3"/>
    <m/>
    <s v="24/25"/>
    <s v="EGRESOS"/>
    <s v="EFECTIVO Y OTROS ACT LÍQ EQ."/>
  </r>
  <r>
    <x v="11"/>
    <d v="2025-12-10T00:00:00"/>
    <s v="TRANSF. A TERCEROS"/>
    <m/>
    <n v="1250000"/>
    <n v="0"/>
    <n v="-1250000"/>
    <n v="-7041475.75"/>
    <n v="1410"/>
    <n v="886.52482269503548"/>
    <n v="0"/>
    <s v="ARS"/>
    <s v="CC"/>
    <s v="GALICIA"/>
    <x v="1"/>
    <x v="3"/>
    <x v="3"/>
    <s v="SUELDO NOV 25"/>
    <s v="ANDRES TOLEDO"/>
    <m/>
    <x v="3"/>
    <m/>
    <s v="24/25"/>
    <s v="EGRESOS"/>
    <s v="EFECTIVO Y OTROS ACT LÍQ EQ."/>
  </r>
  <r>
    <x v="11"/>
    <d v="2025-12-10T00:00:00"/>
    <s v="IMP. DEB. LEY 25413 GRAL."/>
    <m/>
    <n v="12300"/>
    <n v="0"/>
    <n v="-12300"/>
    <n v="-7053775.75"/>
    <n v="1410"/>
    <n v="8.7234042553191493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11T00:00:00"/>
    <s v="TRF INMED PROVEED"/>
    <m/>
    <n v="32089.200000000001"/>
    <n v="0"/>
    <n v="-32089.200000000001"/>
    <n v="-7085864.9500000002"/>
    <n v="1410"/>
    <n v="22.758297872340425"/>
    <n v="0"/>
    <s v="ARS"/>
    <s v="CC"/>
    <s v="GALICIA"/>
    <x v="3"/>
    <x v="5"/>
    <x v="6"/>
    <m/>
    <s v="AR PINTURAS"/>
    <m/>
    <x v="6"/>
    <m/>
    <s v="25/26"/>
    <s v="BIENES Y SERVICIOS"/>
    <s v="EFECTIVO Y OTROS ACT LÍQ EQ."/>
  </r>
  <r>
    <x v="11"/>
    <d v="2025-12-11T00:00:00"/>
    <s v="TRF INMED PROVEED"/>
    <m/>
    <n v="90750"/>
    <n v="0"/>
    <n v="-90750"/>
    <n v="-7176614.9500000002"/>
    <n v="1410"/>
    <n v="64.361702127659569"/>
    <n v="0"/>
    <s v="ARS"/>
    <s v="CC"/>
    <s v="GALICIA"/>
    <x v="1"/>
    <x v="7"/>
    <x v="56"/>
    <m/>
    <s v="CERUTTI MARIA ELINA"/>
    <m/>
    <x v="1"/>
    <m/>
    <s v="24/25"/>
    <s v="EGRESOS"/>
    <s v="EFECTIVO Y OTROS ACT LÍQ EQ."/>
  </r>
  <r>
    <x v="11"/>
    <d v="2025-12-11T00:00:00"/>
    <s v="TRF INMED PROVEED"/>
    <m/>
    <n v="450000"/>
    <n v="0"/>
    <n v="-450000"/>
    <n v="-7626614.9500000002"/>
    <n v="1410"/>
    <n v="319.14893617021278"/>
    <n v="0"/>
    <s v="ARS"/>
    <s v="CC"/>
    <s v="GALICIA"/>
    <x v="3"/>
    <x v="8"/>
    <x v="39"/>
    <s v="SERVICIO HILUX"/>
    <s v="VERO MICOLINI"/>
    <m/>
    <x v="6"/>
    <m/>
    <s v="25/26"/>
    <s v="BIENES Y SERVICIOS"/>
    <s v="EFECTIVO Y OTROS ACT LÍQ EQ."/>
  </r>
  <r>
    <x v="11"/>
    <d v="2025-12-11T00:00:00"/>
    <s v="IMP. DEB. LEY 25413 GRAL."/>
    <m/>
    <n v="3437.04"/>
    <n v="0"/>
    <n v="-3437.04"/>
    <n v="-7630051.9900000002"/>
    <n v="1410"/>
    <n v="2.437617021276595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19T00:00:00"/>
    <s v="TRANSF. A TERCEROS"/>
    <m/>
    <n v="1000000"/>
    <n v="0"/>
    <n v="-1000000"/>
    <n v="-8630051.9900000002"/>
    <n v="1450"/>
    <n v="689.65517241379314"/>
    <n v="0"/>
    <s v="ARS"/>
    <s v="CC"/>
    <s v="GALICIA"/>
    <x v="1"/>
    <x v="2"/>
    <x v="27"/>
    <s v="UTILIDADES FUTURAS"/>
    <s v="MONICA ERRECALDE"/>
    <m/>
    <x v="13"/>
    <s v="MONICA"/>
    <s v="24/25"/>
    <s v="FUTURAS UT. ADL MONICA"/>
    <s v="EFECTIVO Y OTROS ACT LÍQ EQ."/>
  </r>
  <r>
    <x v="11"/>
    <d v="2025-12-19T00:00:00"/>
    <s v="IMP. DEB. LEY 25413 GRAL."/>
    <m/>
    <n v="6000"/>
    <n v="0"/>
    <n v="-6000"/>
    <n v="-8636051.9900000002"/>
    <n v="1450"/>
    <n v="4.1379310344827589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19T00:00:00"/>
    <s v="IMP. DEB. LEY 25413 GRAL."/>
    <m/>
    <n v="6000"/>
    <n v="0"/>
    <n v="-6000"/>
    <n v="-8636051.9900000002"/>
    <n v="1476.6666666666699"/>
    <n v="4.063205417607214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26T00:00:00"/>
    <s v="TRF INMED PROVEED"/>
    <m/>
    <n v="52270.2"/>
    <n v="0"/>
    <n v="-52270.2"/>
    <n v="-8688322.1899999995"/>
    <n v="1496.6666666666699"/>
    <n v="34.924409799554489"/>
    <n v="0"/>
    <s v="ARS"/>
    <s v="CC"/>
    <s v="GALICIA"/>
    <x v="2"/>
    <x v="4"/>
    <x v="35"/>
    <s v="INSUMOS 2025"/>
    <s v="TOSQUITAS CEREALES"/>
    <s v="FA 6613"/>
    <x v="6"/>
    <m/>
    <s v="25/26"/>
    <s v="INSUMOS 2026"/>
    <s v="EFECTIVO Y OTROS ACT LÍQ EQ."/>
  </r>
  <r>
    <x v="11"/>
    <d v="2025-12-26T00:00:00"/>
    <s v="IMP. DEB. LEY 25413 GRAL."/>
    <m/>
    <n v="313.62"/>
    <n v="0"/>
    <n v="-313.62"/>
    <n v="-8688635.8100000005"/>
    <n v="1516.6666666666699"/>
    <n v="0.2067824175824171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0"/>
    <d v="2025-01-03T00:00:00"/>
    <s v="TEF DATANET PAGOS AFIP"/>
    <m/>
    <n v="655747.89"/>
    <n v="0"/>
    <n v="-655747.89"/>
    <n v="-655747.89"/>
    <n v="1140"/>
    <n v="575.21744736842106"/>
    <n v="0"/>
    <s v="ARS"/>
    <s v="CA"/>
    <s v="MACRO"/>
    <x v="1"/>
    <x v="3"/>
    <x v="3"/>
    <s v="F931 DIC 24"/>
    <s v="ANDRES TOLEDO"/>
    <m/>
    <x v="3"/>
    <m/>
    <s v="24/25"/>
    <s v="EGRESOS"/>
    <s v="EFECTIVO Y OTROS ACT LÍQ EQ."/>
  </r>
  <r>
    <x v="0"/>
    <d v="2025-01-03T00:00:00"/>
    <s v="DBCR 25413 S/CR TASA GRAL"/>
    <m/>
    <n v="3934.49"/>
    <n v="0"/>
    <n v="-3934.49"/>
    <n v="-659682.38"/>
    <n v="1140"/>
    <n v="3.4513070175438596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0"/>
    <d v="2025-01-03T00:00:00"/>
    <s v="CR TRANSF AUT SDO MISMO TIT"/>
    <m/>
    <n v="0"/>
    <n v="659682.38"/>
    <n v="659682.38"/>
    <n v="0"/>
    <n v="1140"/>
    <n v="0"/>
    <n v="578.66875438596492"/>
    <s v="ARS"/>
    <s v="CA"/>
    <s v="MACRO"/>
    <x v="0"/>
    <x v="0"/>
    <x v="0"/>
    <s v="DESDE CC MACRO"/>
    <m/>
    <m/>
    <x v="0"/>
    <m/>
    <s v="24/25"/>
    <m/>
    <m/>
  </r>
  <r>
    <x v="0"/>
    <d v="2025-01-08T00:00:00"/>
    <s v="DEBITO FISCAL IVA BASICO"/>
    <m/>
    <n v="840"/>
    <n v="0"/>
    <n v="-840"/>
    <n v="-840"/>
    <n v="1140"/>
    <n v="0.73684210526315785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8T00:00:00"/>
    <s v="DEBITO FISCAL IVA PERCEPCION"/>
    <m/>
    <n v="120"/>
    <n v="0"/>
    <n v="-120"/>
    <n v="-960"/>
    <n v="1140"/>
    <n v="0.10526315789473684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0"/>
    <d v="2025-01-08T00:00:00"/>
    <s v="COM RETIRO EFECTIVO POR CAJA"/>
    <m/>
    <n v="4000"/>
    <n v="0"/>
    <n v="-4000"/>
    <n v="-4960"/>
    <n v="1140"/>
    <n v="3.5087719298245612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0"/>
    <d v="2025-01-08T00:00:00"/>
    <s v="DBCR 25413 S/CR TASA GRAL"/>
    <m/>
    <n v="29.76"/>
    <n v="0"/>
    <n v="-29.76"/>
    <n v="-4989.76"/>
    <n v="1140"/>
    <n v="2.6105263157894739E-2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0"/>
    <d v="2025-01-08T00:00:00"/>
    <s v="CR TRANSF AUT SDO MISMO TIT"/>
    <m/>
    <n v="0"/>
    <n v="4989.76"/>
    <n v="4989.76"/>
    <n v="0"/>
    <n v="1140"/>
    <n v="0"/>
    <n v="4.3769824561403512"/>
    <s v="ARS"/>
    <s v="CA"/>
    <s v="MACRO"/>
    <x v="0"/>
    <x v="0"/>
    <x v="0"/>
    <s v="DESDE CC MACRO"/>
    <m/>
    <m/>
    <x v="0"/>
    <m/>
    <s v="24/25"/>
    <m/>
    <m/>
  </r>
  <r>
    <x v="0"/>
    <d v="2025-01-30T00:00:00"/>
    <s v="DEBITO FISCAL IVA BASICO"/>
    <m/>
    <n v="7602"/>
    <n v="0"/>
    <n v="-7602"/>
    <n v="-7602"/>
    <n v="1140"/>
    <n v="6.6684210526315786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0"/>
    <d v="2025-01-30T00:00:00"/>
    <s v="DEBITO FISCAL IVA PERCEPCION"/>
    <m/>
    <n v="1086"/>
    <n v="0"/>
    <n v="-1086"/>
    <n v="-8688"/>
    <n v="1140"/>
    <n v="0.95263157894736838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0"/>
    <d v="2025-01-30T00:00:00"/>
    <s v="MANTENIMIENTO MENSUAL PAQUETE"/>
    <m/>
    <n v="36200"/>
    <n v="0"/>
    <n v="-36200"/>
    <n v="-44888"/>
    <n v="1140"/>
    <n v="31.754385964912281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0"/>
    <d v="2025-01-30T00:00:00"/>
    <s v="DBCR 25413 S/CR TASA GRAL"/>
    <m/>
    <n v="269.33"/>
    <n v="0"/>
    <n v="-269.33"/>
    <n v="-45157.33"/>
    <n v="1140"/>
    <n v="0.2362543859649122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0"/>
    <d v="2025-01-30T00:00:00"/>
    <s v="CR TRANSF AUT SDO MISMO TIT"/>
    <m/>
    <n v="0"/>
    <n v="45157.33"/>
    <n v="45157.33"/>
    <n v="0"/>
    <n v="1140"/>
    <n v="0"/>
    <n v="39.611692982456141"/>
    <s v="ARS"/>
    <s v="CA"/>
    <s v="MACRO"/>
    <x v="0"/>
    <x v="0"/>
    <x v="0"/>
    <s v="DESDE CC MACRO"/>
    <m/>
    <m/>
    <x v="0"/>
    <m/>
    <s v="24/25"/>
    <m/>
    <m/>
  </r>
  <r>
    <x v="1"/>
    <d v="2025-02-07T00:00:00"/>
    <s v="TEF DATANET PAGOS AFIP"/>
    <m/>
    <n v="968062.66"/>
    <n v="0"/>
    <n v="-968062.66"/>
    <n v="-968062.66"/>
    <n v="1140"/>
    <n v="849.17777192982464"/>
    <n v="0"/>
    <s v="ARS"/>
    <s v="CA"/>
    <s v="MACRO"/>
    <x v="1"/>
    <x v="3"/>
    <x v="3"/>
    <s v="F931 ENE 25"/>
    <s v="ANDRES TOLEDO"/>
    <m/>
    <x v="3"/>
    <m/>
    <s v="24/25"/>
    <s v="EGRESOS"/>
    <s v="EFECTIVO Y OTROS ACT LÍQ EQ."/>
  </r>
  <r>
    <x v="1"/>
    <d v="2025-02-07T00:00:00"/>
    <s v="DBCR 25413 S/CR TASA GRAL"/>
    <m/>
    <n v="5808.38"/>
    <n v="0"/>
    <n v="-5808.38"/>
    <n v="-973871.04"/>
    <n v="1140"/>
    <n v="5.095070175438596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"/>
    <d v="2025-02-07T00:00:00"/>
    <s v="CR TRANSF AUT SDO MISMO TIT"/>
    <m/>
    <n v="0"/>
    <n v="973871.04"/>
    <n v="973871.04"/>
    <n v="0"/>
    <n v="1140"/>
    <n v="0"/>
    <n v="854.27284210526318"/>
    <s v="ARS"/>
    <s v="CA"/>
    <s v="MACRO"/>
    <x v="0"/>
    <x v="0"/>
    <x v="0"/>
    <s v="HACIA LA CC"/>
    <m/>
    <m/>
    <x v="0"/>
    <m/>
    <s v="24/25"/>
    <m/>
    <m/>
  </r>
  <r>
    <x v="1"/>
    <d v="2025-02-27T00:00:00"/>
    <s v="DEBITO FISCAL IVA BASICO"/>
    <m/>
    <n v="8757"/>
    <n v="0"/>
    <n v="-8757"/>
    <n v="-8757"/>
    <n v="1140"/>
    <n v="7.6815789473684211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1"/>
    <d v="2025-02-27T00:00:00"/>
    <s v="DEBITO FISCAL IVA PERCEPCION"/>
    <m/>
    <n v="1251"/>
    <n v="0"/>
    <n v="-1251"/>
    <n v="-10008"/>
    <n v="1140"/>
    <n v="1.0973684210526315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1"/>
    <d v="2025-02-27T00:00:00"/>
    <s v="MANTENIMIENTO MENSUAL PAQUETE"/>
    <m/>
    <n v="41700"/>
    <n v="0"/>
    <n v="-41700"/>
    <n v="-51708"/>
    <n v="1140"/>
    <n v="36.578947368421055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1"/>
    <d v="2025-02-27T00:00:00"/>
    <s v="DBCR 25413 S/CR TASA GRAL"/>
    <m/>
    <n v="310.25"/>
    <n v="0"/>
    <n v="-310.25"/>
    <n v="-52018.25"/>
    <n v="1140"/>
    <n v="0.2721491228070175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"/>
    <d v="2025-02-27T00:00:00"/>
    <s v="CR TRANSF AUT SDO MISMO TIT"/>
    <m/>
    <n v="0"/>
    <n v="52018.25"/>
    <n v="52018.25"/>
    <n v="0"/>
    <n v="1140"/>
    <n v="0"/>
    <n v="45.63004385964912"/>
    <s v="ARS"/>
    <s v="CA"/>
    <s v="MACRO"/>
    <x v="0"/>
    <x v="0"/>
    <x v="0"/>
    <s v="DESDE CC MACRO"/>
    <m/>
    <m/>
    <x v="0"/>
    <m/>
    <s v="24/25"/>
    <m/>
    <m/>
  </r>
  <r>
    <x v="2"/>
    <d v="2025-03-21T00:00:00"/>
    <s v="TEF DATANET PAGOS AFIP"/>
    <m/>
    <n v="803254.45"/>
    <n v="0"/>
    <n v="-803254.45"/>
    <n v="-803254.45"/>
    <n v="1140"/>
    <n v="704.60916666666662"/>
    <n v="0"/>
    <s v="ARS"/>
    <s v="CA"/>
    <s v="MACRO"/>
    <x v="1"/>
    <x v="3"/>
    <x v="3"/>
    <s v="F931 OCTUBRE 24"/>
    <s v="ANDRES TOLEDO"/>
    <m/>
    <x v="3"/>
    <m/>
    <s v="24/25"/>
    <s v="EGRESOS"/>
    <s v="EFECTIVO Y OTROS ACT LÍQ EQ."/>
  </r>
  <r>
    <x v="2"/>
    <d v="2025-03-21T00:00:00"/>
    <s v="TEF DATANET PAGOS AFIP"/>
    <m/>
    <n v="828399.51"/>
    <n v="0"/>
    <n v="-828399.51"/>
    <n v="-1631653.96"/>
    <n v="1140"/>
    <n v="726.66623684210526"/>
    <n v="0"/>
    <s v="ARS"/>
    <s v="CA"/>
    <s v="MACRO"/>
    <x v="1"/>
    <x v="3"/>
    <x v="3"/>
    <s v="F931 AGOSTO 24"/>
    <s v="ANDRES TOLEDO"/>
    <m/>
    <x v="3"/>
    <m/>
    <s v="24/25"/>
    <s v="EGRESOS"/>
    <s v="EFECTIVO Y OTROS ACT LÍQ EQ."/>
  </r>
  <r>
    <x v="2"/>
    <d v="2025-03-21T00:00:00"/>
    <s v="DBCR 25413 S/CR TASA GRAL"/>
    <m/>
    <n v="4819.53"/>
    <n v="0"/>
    <n v="-4819.53"/>
    <n v="-1636473.49"/>
    <n v="1140"/>
    <n v="4.227657894736841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DBCR 25413 S/CR TASA GRAL"/>
    <m/>
    <n v="4970.3999999999996"/>
    <n v="0"/>
    <n v="-4970.3999999999996"/>
    <n v="-1641443.89"/>
    <n v="1140"/>
    <n v="4.3599999999999994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CR TRANSF AUT SDO MISMO TIT"/>
    <m/>
    <n v="0"/>
    <n v="1641443.89"/>
    <n v="1641443.89"/>
    <n v="0"/>
    <n v="1140"/>
    <n v="0"/>
    <n v="1439.8630614035087"/>
    <s v="ARS"/>
    <s v="CA"/>
    <s v="MACRO"/>
    <x v="0"/>
    <x v="0"/>
    <x v="0"/>
    <s v="DESDE CC MACRO"/>
    <m/>
    <m/>
    <x v="0"/>
    <m/>
    <s v="24/25"/>
    <m/>
    <m/>
  </r>
  <r>
    <x v="2"/>
    <d v="2025-03-28T00:00:00"/>
    <s v="DEBITO FISCAL IVA BASICO"/>
    <m/>
    <n v="8757"/>
    <n v="0"/>
    <n v="-8757"/>
    <n v="-8757"/>
    <n v="1140"/>
    <n v="7.6815789473684211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2"/>
    <d v="2025-03-28T00:00:00"/>
    <s v="DEBITO FISCAL IVA PERCEPCION"/>
    <m/>
    <n v="1251"/>
    <n v="0"/>
    <n v="-1251"/>
    <n v="-10008"/>
    <n v="1140"/>
    <n v="1.0973684210526315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2"/>
    <d v="2025-03-28T00:00:00"/>
    <s v="MANTENIMIENTO MENSUAL PAQUETE"/>
    <m/>
    <n v="41700"/>
    <n v="0"/>
    <n v="-41700"/>
    <n v="-51708"/>
    <n v="1140"/>
    <n v="36.578947368421055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2"/>
    <d v="2025-03-28T00:00:00"/>
    <s v="CR TRANSF AUT SDO MISMO TIT"/>
    <m/>
    <n v="0"/>
    <n v="52018.25"/>
    <n v="52018.25"/>
    <n v="0"/>
    <n v="1140"/>
    <n v="0"/>
    <n v="45.63004385964912"/>
    <s v="ARS"/>
    <s v="CA"/>
    <s v="MACRO"/>
    <x v="0"/>
    <x v="0"/>
    <x v="0"/>
    <s v="HACIA CC MACRO"/>
    <m/>
    <m/>
    <x v="0"/>
    <m/>
    <s v="24/25"/>
    <m/>
    <m/>
  </r>
  <r>
    <x v="2"/>
    <d v="2025-03-28T00:00:00"/>
    <s v="DBCR 25413 S/CR TASA GRAL"/>
    <m/>
    <n v="310.25"/>
    <n v="0"/>
    <n v="-310.25"/>
    <n v="0"/>
    <n v="1140"/>
    <n v="0.2721491228070175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3"/>
    <d v="2025-04-29T00:00:00"/>
    <s v="CR TRANSF AUT SDO MISMO TIT"/>
    <m/>
    <n v="0"/>
    <n v="57040"/>
    <n v="57040"/>
    <n v="57040"/>
    <n v="1140"/>
    <n v="0"/>
    <n v="50.035087719298247"/>
    <s v="ARS"/>
    <s v="CA"/>
    <s v="MACRO"/>
    <x v="0"/>
    <x v="0"/>
    <x v="0"/>
    <s v="DESDE CC MACRO"/>
    <m/>
    <m/>
    <x v="0"/>
    <m/>
    <s v="24/25"/>
    <m/>
    <m/>
  </r>
  <r>
    <x v="3"/>
    <d v="2025-04-30T00:00:00"/>
    <s v="DEBITO FISCAL IVA BASICO"/>
    <m/>
    <n v="9660"/>
    <n v="0"/>
    <n v="-9660"/>
    <n v="47380"/>
    <n v="1140"/>
    <n v="8.473684210526315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3"/>
    <d v="2025-04-30T00:00:00"/>
    <s v="DEBITO FISCAL IVA PERCEPCION"/>
    <m/>
    <n v="1380"/>
    <n v="0"/>
    <n v="-1380"/>
    <n v="46000"/>
    <n v="1140"/>
    <n v="1.2105263157894737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3"/>
    <d v="2025-04-30T00:00:00"/>
    <s v="MANTENIMIENTO MENSUAL PAQUETE"/>
    <m/>
    <n v="46000"/>
    <n v="0"/>
    <n v="-46000"/>
    <n v="0"/>
    <n v="1140"/>
    <n v="40.350877192982459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3"/>
    <d v="2025-04-30T00:00:00"/>
    <s v="CR TRANSF AUT SDO MISMO TIT"/>
    <m/>
    <n v="0"/>
    <n v="342.24"/>
    <n v="342.24"/>
    <n v="342.24"/>
    <n v="1140"/>
    <n v="0"/>
    <n v="0.30021052631578948"/>
    <s v="ARS"/>
    <s v="CA"/>
    <s v="MACRO"/>
    <x v="0"/>
    <x v="0"/>
    <x v="0"/>
    <s v="HACIA CC MACRO"/>
    <m/>
    <m/>
    <x v="0"/>
    <m/>
    <s v="24/25"/>
    <m/>
    <m/>
  </r>
  <r>
    <x v="4"/>
    <d v="2025-05-05T00:00:00"/>
    <s v="DBCR 25413 S/CR TASA GRAL"/>
    <m/>
    <n v="342.24"/>
    <n v="0"/>
    <n v="-342.24"/>
    <n v="0"/>
    <n v="1140"/>
    <n v="0.30021052631578948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TEF DATANET PAGOS AFIP"/>
    <m/>
    <n v="949046.55"/>
    <n v="0"/>
    <n v="-949046.55"/>
    <n v="-949046.55"/>
    <n v="1140"/>
    <n v="832.49697368421062"/>
    <n v="0"/>
    <s v="ARS"/>
    <s v="CA"/>
    <s v="MACRO"/>
    <x v="1"/>
    <x v="3"/>
    <x v="3"/>
    <s v="F931 FEB 2025"/>
    <s v="ANDRES TOLEDO"/>
    <m/>
    <x v="3"/>
    <m/>
    <s v="24/25"/>
    <s v="EGRESOS"/>
    <s v="EFECTIVO Y OTROS ACT LÍQ EQ."/>
  </r>
  <r>
    <x v="4"/>
    <d v="2025-05-16T00:00:00"/>
    <s v="TEF DATANET PAGOS AFIP"/>
    <m/>
    <n v="687395.42"/>
    <n v="0"/>
    <n v="-687395.42"/>
    <n v="-1636441.97"/>
    <n v="1140"/>
    <n v="602.97843859649129"/>
    <n v="0"/>
    <s v="ARS"/>
    <s v="CA"/>
    <s v="MACRO"/>
    <x v="1"/>
    <x v="3"/>
    <x v="3"/>
    <s v="F931 MAR 2025"/>
    <s v="ANDRES TOLEDO"/>
    <m/>
    <x v="3"/>
    <m/>
    <s v="24/25"/>
    <s v="EGRESOS"/>
    <s v="EFECTIVO Y OTROS ACT LÍQ EQ."/>
  </r>
  <r>
    <x v="4"/>
    <d v="2025-05-16T00:00:00"/>
    <s v="DBCR 25413 S/CR TASA GRAL"/>
    <m/>
    <n v="5694.28"/>
    <n v="0"/>
    <n v="-5694.28"/>
    <n v="-1642136.25"/>
    <n v="1140"/>
    <n v="4.9949824561403506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DBCR 25413 S/CR TASA GRAL"/>
    <m/>
    <n v="4124.37"/>
    <n v="0"/>
    <n v="-4124.37"/>
    <n v="-1646260.62"/>
    <n v="1140"/>
    <n v="3.6178684210526315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CR TRANSF AUT SDO MISMO TIT"/>
    <m/>
    <n v="0"/>
    <n v="1646260.62"/>
    <n v="1646260.62"/>
    <n v="0"/>
    <n v="1140"/>
    <n v="0"/>
    <n v="1444.0882631578947"/>
    <s v="ARS"/>
    <s v="CA"/>
    <s v="MACRO"/>
    <x v="0"/>
    <x v="0"/>
    <x v="0"/>
    <s v="DESDE CC MACRO"/>
    <m/>
    <m/>
    <x v="0"/>
    <m/>
    <s v="24/25"/>
    <m/>
    <m/>
  </r>
  <r>
    <x v="4"/>
    <d v="2025-05-29T00:00:00"/>
    <s v="DEBITO FISCAL IVA BASICO"/>
    <m/>
    <n v="9660"/>
    <n v="0"/>
    <n v="-9660"/>
    <n v="-9660"/>
    <n v="1141"/>
    <n v="8.4662576687116573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4"/>
    <d v="2025-05-29T00:00:00"/>
    <s v="DEBITO FISCAL IVA PERCEPCION"/>
    <m/>
    <n v="1380"/>
    <n v="0"/>
    <n v="-1380"/>
    <n v="-11040"/>
    <n v="1142"/>
    <n v="1.2084063047285465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4"/>
    <d v="2025-05-29T00:00:00"/>
    <s v="MANTENIMIENTO MENSUAL PAQUETE"/>
    <m/>
    <n v="46000"/>
    <n v="0"/>
    <n v="-46000"/>
    <n v="-57040"/>
    <n v="1143"/>
    <n v="40.244969378827648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4"/>
    <d v="2025-05-29T00:00:00"/>
    <s v="DBCR 25413 S/CR TASA GRAL"/>
    <m/>
    <n v="342.24"/>
    <n v="0"/>
    <n v="-342.24"/>
    <n v="-57382.239999999998"/>
    <n v="1144"/>
    <n v="0.29916083916083919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4"/>
    <d v="2025-05-29T00:00:00"/>
    <s v="CR TRANSF AUT SDO MISMO TIT"/>
    <m/>
    <n v="0"/>
    <n v="57382.239999999998"/>
    <n v="57382.239999999998"/>
    <n v="0"/>
    <n v="1145"/>
    <n v="0"/>
    <n v="50.11549344978166"/>
    <s v="ARS"/>
    <s v="CA"/>
    <s v="MACRO"/>
    <x v="0"/>
    <x v="0"/>
    <x v="0"/>
    <s v="DESDE CC MACRO"/>
    <m/>
    <m/>
    <x v="0"/>
    <m/>
    <s v="24/25"/>
    <m/>
    <m/>
  </r>
  <r>
    <x v="5"/>
    <d v="2025-06-27T00:00:00"/>
    <s v="DEBITO FISCAL IVA BASICO"/>
    <m/>
    <n v="9660"/>
    <n v="0"/>
    <n v="-9660"/>
    <n v="-9660"/>
    <n v="1145"/>
    <n v="8.4366812227074242"/>
    <n v="0"/>
    <s v="ARS"/>
    <s v="CA"/>
    <s v="MACRO"/>
    <x v="1"/>
    <x v="1"/>
    <x v="1"/>
    <m/>
    <m/>
    <m/>
    <x v="1"/>
    <m/>
    <s v="24/25"/>
    <s v="EGRESOS"/>
    <s v="EFECTIVO Y OTROS ACT LÍQ EQ."/>
  </r>
  <r>
    <x v="5"/>
    <d v="2025-06-27T00:00:00"/>
    <s v="DEBITO FISCAL IVA PERCEPCION"/>
    <m/>
    <n v="1380"/>
    <n v="0"/>
    <n v="-1380"/>
    <n v="-11040"/>
    <n v="1145"/>
    <n v="1.205240174672489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5"/>
    <d v="2025-06-27T00:00:00"/>
    <s v="MANTENIMIENTO MENSUAL PAQUETE"/>
    <m/>
    <n v="46000"/>
    <n v="0"/>
    <n v="-46000"/>
    <n v="-57040"/>
    <n v="1145"/>
    <n v="40.174672489082973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5"/>
    <d v="2025-06-27T00:00:00"/>
    <s v="DBCR 25413 S/CR TASA GRAL"/>
    <m/>
    <n v="342.24"/>
    <n v="0"/>
    <n v="-342.24"/>
    <n v="-57382.239999999998"/>
    <n v="1145"/>
    <n v="0.29889956331877732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5"/>
    <d v="2025-06-27T00:00:00"/>
    <s v="CR TRANSF AUT SDO MISMO TIT"/>
    <m/>
    <n v="0"/>
    <n v="57382.239999999998"/>
    <n v="57382.239999999998"/>
    <n v="0"/>
    <n v="1145"/>
    <n v="0"/>
    <n v="50.11549344978166"/>
    <s v="ARS"/>
    <s v="CA"/>
    <s v="MACRO"/>
    <x v="0"/>
    <x v="0"/>
    <x v="0"/>
    <s v="DESDE CC MACRO"/>
    <m/>
    <m/>
    <x v="0"/>
    <m/>
    <s v="24/25"/>
    <m/>
    <m/>
  </r>
  <r>
    <x v="6"/>
    <d v="2025-07-01T00:00:00"/>
    <s v="TEF DATANET PAGOS AFIP"/>
    <m/>
    <n v="800143.79"/>
    <n v="0"/>
    <n v="-800143.79"/>
    <n v="-800143.79"/>
    <n v="1145"/>
    <n v="698.815537117904"/>
    <n v="0"/>
    <s v="ARS"/>
    <s v="CA"/>
    <s v="MACRO"/>
    <x v="1"/>
    <x v="3"/>
    <x v="3"/>
    <s v="F931"/>
    <s v="ANDRES TOLEDO"/>
    <m/>
    <x v="3"/>
    <m/>
    <s v="24/25"/>
    <s v="EGRESOS"/>
    <s v="EFECTIVO Y OTROS ACT LÍQ EQ."/>
  </r>
  <r>
    <x v="6"/>
    <d v="2025-07-01T00:00:00"/>
    <s v="DBCR 25413 S/DB TASA GRAL"/>
    <m/>
    <n v="4800.8599999999997"/>
    <n v="0"/>
    <n v="-4800.8599999999997"/>
    <n v="-804944.65"/>
    <n v="1145"/>
    <n v="4.192890829694323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6"/>
    <d v="2025-07-01T00:00:00"/>
    <s v="CR TRANSF AUT SDO MISMO TIT"/>
    <m/>
    <n v="0"/>
    <n v="804944.65"/>
    <n v="804944.65"/>
    <n v="0"/>
    <n v="1145"/>
    <n v="0"/>
    <n v="703.00842794759831"/>
    <s v="ARS"/>
    <s v="CA"/>
    <s v="MACRO"/>
    <x v="0"/>
    <x v="0"/>
    <x v="0"/>
    <s v="DESDE CC MACRO"/>
    <m/>
    <m/>
    <x v="0"/>
    <m/>
    <s v="24/25"/>
    <m/>
    <m/>
  </r>
  <r>
    <x v="6"/>
    <d v="2025-07-18T00:00:00"/>
    <s v="TEF DATANET PAGOS AFIP"/>
    <m/>
    <n v="1288840.02"/>
    <n v="0"/>
    <n v="-1288840.02"/>
    <n v="-1288840.02"/>
    <n v="1145"/>
    <n v="1125.6244716157205"/>
    <n v="0"/>
    <s v="ARS"/>
    <s v="CA"/>
    <s v="MACRO"/>
    <x v="1"/>
    <x v="3"/>
    <x v="3"/>
    <s v="F931"/>
    <s v="ANDRES TOLEDO"/>
    <m/>
    <x v="3"/>
    <m/>
    <s v="24/25"/>
    <s v="EGRESOS"/>
    <s v="EFECTIVO Y OTROS ACT LÍQ EQ."/>
  </r>
  <r>
    <x v="6"/>
    <d v="2025-07-18T00:00:00"/>
    <s v="DBCR 25413 S/DB TASA GRAL"/>
    <m/>
    <n v="7733.04"/>
    <n v="0"/>
    <n v="-7733.04"/>
    <n v="-1296573.06"/>
    <n v="1145"/>
    <n v="6.7537467248908296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6"/>
    <d v="2025-07-18T00:00:00"/>
    <s v="CR TRANSF AUT SDO MISMO TIT"/>
    <m/>
    <n v="0"/>
    <n v="1296573.06"/>
    <n v="1296573.06"/>
    <n v="0"/>
    <n v="1145"/>
    <n v="0"/>
    <n v="1132.3782183406115"/>
    <s v="ARS"/>
    <s v="CA"/>
    <s v="MACRO"/>
    <x v="0"/>
    <x v="0"/>
    <x v="0"/>
    <s v="DESDE CC MACRO"/>
    <m/>
    <m/>
    <x v="0"/>
    <m/>
    <s v="24/25"/>
    <m/>
    <m/>
  </r>
  <r>
    <x v="6"/>
    <d v="2025-07-30T00:00:00"/>
    <s v="CR TRANSF AUT SDO MISMO TIT"/>
    <m/>
    <n v="0"/>
    <n v="61628"/>
    <n v="61628"/>
    <n v="61628"/>
    <n v="1290"/>
    <n v="0"/>
    <n v="47.773643410852713"/>
    <s v="ARS"/>
    <s v="CA"/>
    <s v="MACRO"/>
    <x v="0"/>
    <x v="0"/>
    <x v="0"/>
    <s v="DESDE CC MACRO"/>
    <m/>
    <m/>
    <x v="0"/>
    <m/>
    <s v="24/25"/>
    <m/>
    <m/>
  </r>
  <r>
    <x v="6"/>
    <d v="2025-07-31T00:00:00"/>
    <s v="DEBITO FISCAL IVA BASICO"/>
    <m/>
    <n v="10437"/>
    <n v="0"/>
    <n v="-10437"/>
    <n v="51191"/>
    <n v="1290"/>
    <n v="8.090697674418605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6"/>
    <d v="2025-07-31T00:00:00"/>
    <s v="DEBITO FISCAL IVA PERCEPCION"/>
    <m/>
    <n v="1491"/>
    <n v="0"/>
    <n v="-1491"/>
    <n v="49700"/>
    <n v="1290"/>
    <n v="1.155813953488372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6"/>
    <d v="2025-07-31T00:00:00"/>
    <s v="MANTENIMIENTO MENSUAL PAQUETE"/>
    <m/>
    <n v="49700"/>
    <n v="0"/>
    <n v="-49700"/>
    <n v="0"/>
    <n v="1290"/>
    <n v="38.527131782945737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6"/>
    <d v="2025-07-31T00:00:00"/>
    <s v="DBCR 25413 S/DB TASA GRAL"/>
    <m/>
    <n v="369.77"/>
    <n v="0"/>
    <n v="-369.77"/>
    <n v="-369.77"/>
    <n v="1290"/>
    <n v="0.2866434108527131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6"/>
    <d v="2025-07-31T00:00:00"/>
    <s v="CR TRANSF AUT SDO MISMO TIT"/>
    <m/>
    <n v="0"/>
    <n v="369.77"/>
    <n v="369.77"/>
    <n v="0"/>
    <n v="1290"/>
    <n v="0"/>
    <n v="0.28664341085271317"/>
    <s v="ARS"/>
    <s v="CA"/>
    <s v="MACRO"/>
    <x v="0"/>
    <x v="0"/>
    <x v="0"/>
    <s v="DESDE CC MACRO"/>
    <m/>
    <m/>
    <x v="0"/>
    <m/>
    <s v="24/25"/>
    <m/>
    <m/>
  </r>
  <r>
    <x v="7"/>
    <d v="2025-08-18T00:00:00"/>
    <s v="TEF DATANET PAGOS AFIP"/>
    <m/>
    <n v="836733.12"/>
    <n v="0"/>
    <n v="-836733.12"/>
    <n v="-836733.12"/>
    <n v="1350"/>
    <n v="619.80231111111107"/>
    <n v="0"/>
    <s v="ARS"/>
    <s v="CA"/>
    <s v="MACRO"/>
    <x v="1"/>
    <x v="3"/>
    <x v="3"/>
    <s v="F931"/>
    <s v="ANDRES TOLEDO"/>
    <m/>
    <x v="3"/>
    <m/>
    <s v="24/25"/>
    <s v="EGRESOS"/>
    <s v="EFECTIVO Y OTROS ACT LÍQ EQ."/>
  </r>
  <r>
    <x v="7"/>
    <d v="2025-08-18T00:00:00"/>
    <s v="DBCR 25413 S/DB TASA GRAL"/>
    <m/>
    <n v="5020.3999999999996"/>
    <n v="0"/>
    <n v="-5020.3999999999996"/>
    <n v="-841753.52"/>
    <n v="1350"/>
    <n v="3.7188148148148144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7"/>
    <d v="2025-08-18T00:00:00"/>
    <s v="CR TRANSF AUT SDO MISMO TIT"/>
    <m/>
    <n v="0"/>
    <n v="841753.52"/>
    <n v="841753.52"/>
    <n v="0"/>
    <n v="1350"/>
    <n v="0"/>
    <n v="623.52112592592596"/>
    <s v="ARS"/>
    <s v="CA"/>
    <s v="MACRO"/>
    <x v="0"/>
    <x v="0"/>
    <x v="0"/>
    <s v="DESDE CC MACRO"/>
    <m/>
    <m/>
    <x v="0"/>
    <m/>
    <m/>
    <m/>
    <m/>
  </r>
  <r>
    <x v="7"/>
    <d v="2025-08-28T00:00:00"/>
    <s v="DEBITO FISCAL IVA BASICO"/>
    <m/>
    <n v="10437"/>
    <n v="0"/>
    <n v="-10437"/>
    <n v="-10437"/>
    <n v="1350"/>
    <n v="7.7311111111111108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7"/>
    <d v="2025-08-28T00:00:00"/>
    <s v="DEBITO FISCAL IVA PERCEPCION"/>
    <m/>
    <n v="1491"/>
    <n v="0"/>
    <n v="-1491"/>
    <n v="-11928"/>
    <n v="1350"/>
    <n v="1.1044444444444443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7"/>
    <d v="2025-08-28T00:00:00"/>
    <s v="MANTENIMIENTO MENSUAL PAQUETE"/>
    <m/>
    <n v="49700"/>
    <n v="0"/>
    <n v="-49700"/>
    <n v="-61628"/>
    <n v="1350"/>
    <n v="36.814814814814817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7"/>
    <d v="2025-08-28T00:00:00"/>
    <s v="DBCR 25413 S/DB TASA GRAL"/>
    <m/>
    <n v="369.77"/>
    <n v="0"/>
    <n v="-369.77"/>
    <n v="-61997.77"/>
    <n v="1350"/>
    <n v="0.273903703703703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7"/>
    <d v="2025-08-28T00:00:00"/>
    <s v="CR TRANSF AUT SDO MISMO TIT"/>
    <m/>
    <n v="0"/>
    <n v="61997.77"/>
    <n v="61997.77"/>
    <n v="0"/>
    <n v="1350"/>
    <n v="0"/>
    <n v="45.92427407407407"/>
    <s v="ARS"/>
    <s v="CA"/>
    <s v="MACRO"/>
    <x v="0"/>
    <x v="0"/>
    <x v="0"/>
    <s v="DESDE CC MACRO"/>
    <m/>
    <m/>
    <x v="0"/>
    <m/>
    <s v="24/25"/>
    <m/>
    <m/>
  </r>
  <r>
    <x v="8"/>
    <d v="2025-09-29T00:00:00"/>
    <s v="CR TRANSF AUT SDO MISMO TIT"/>
    <m/>
    <n v="0"/>
    <n v="61628"/>
    <n v="61628"/>
    <n v="61628"/>
    <n v="1400"/>
    <n v="0"/>
    <n v="44.02"/>
    <s v="ARS"/>
    <s v="CA"/>
    <s v="MACRO"/>
    <x v="0"/>
    <x v="0"/>
    <x v="0"/>
    <s v="DESDE CC MACRO"/>
    <m/>
    <m/>
    <x v="0"/>
    <m/>
    <s v="24/25"/>
    <m/>
    <m/>
  </r>
  <r>
    <x v="8"/>
    <d v="2025-09-30T00:00:00"/>
    <s v="DEBITO FISCAL IVA BASICO"/>
    <m/>
    <n v="10437"/>
    <n v="0"/>
    <n v="-10437"/>
    <n v="51191"/>
    <n v="1400"/>
    <n v="7.4550000000000001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8"/>
    <d v="2025-09-30T00:00:00"/>
    <s v="DEBITO FISCAL IVA PERCEPCION"/>
    <m/>
    <n v="1491"/>
    <n v="0"/>
    <n v="-1491"/>
    <n v="49700"/>
    <n v="1400"/>
    <n v="1.0649999999999999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8"/>
    <d v="2025-09-30T00:00:00"/>
    <s v="MANTENIMIENTO MENSUAL PAQUETE"/>
    <m/>
    <n v="49700"/>
    <n v="0"/>
    <n v="-49700"/>
    <n v="0"/>
    <n v="1400"/>
    <n v="35.5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9"/>
    <d v="2025-10-30T00:00:00"/>
    <s v="CR TRANSF AUT SDO MISMO TIT"/>
    <m/>
    <n v="0"/>
    <n v="66588"/>
    <n v="66588"/>
    <n v="66588"/>
    <n v="1400"/>
    <n v="0"/>
    <n v="47.562857142857141"/>
    <s v="ARS"/>
    <s v="CA"/>
    <s v="MACRO"/>
    <x v="0"/>
    <x v="0"/>
    <x v="0"/>
    <s v="DESDE CC MACRO"/>
    <m/>
    <m/>
    <x v="0"/>
    <m/>
    <s v="24/25"/>
    <m/>
    <m/>
  </r>
  <r>
    <x v="9"/>
    <d v="2025-10-31T00:00:00"/>
    <s v="DEBITO FISCAL IVA BASICO"/>
    <m/>
    <n v="11277"/>
    <n v="0"/>
    <n v="-11277"/>
    <n v="55311"/>
    <n v="1400"/>
    <n v="8.0549999999999997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9"/>
    <d v="2025-10-31T00:00:00"/>
    <s v="DEBITO FISCAL IVA PERCEPCION"/>
    <m/>
    <n v="1611"/>
    <n v="0"/>
    <n v="-1611"/>
    <n v="53700"/>
    <n v="1400"/>
    <n v="1.1507142857142858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MANTENIMIENTO MENSUAL PAQUETE"/>
    <m/>
    <n v="53700"/>
    <n v="0"/>
    <n v="-53700"/>
    <n v="0"/>
    <n v="1400"/>
    <n v="38.357142857142854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9"/>
    <d v="2025-10-31T00:00:00"/>
    <s v="CR TRANSF AUT SDO MISMO TIT"/>
    <m/>
    <n v="0"/>
    <n v="399.53"/>
    <n v="399.53"/>
    <n v="-18974"/>
    <n v="1400"/>
    <n v="0"/>
    <n v="0.28537857142857143"/>
    <s v="ARS"/>
    <s v="CA"/>
    <s v="MACRO"/>
    <x v="0"/>
    <x v="0"/>
    <x v="0"/>
    <s v="DESDE CC MACRO"/>
    <m/>
    <m/>
    <x v="0"/>
    <m/>
    <s v="24/25"/>
    <m/>
    <m/>
  </r>
  <r>
    <x v="10"/>
    <d v="2025-11-27T00:00:00"/>
    <s v="DEBITO FISCAL IVA BASICO"/>
    <m/>
    <n v="11277"/>
    <n v="0"/>
    <n v="-11277"/>
    <n v="-11277"/>
    <n v="1400"/>
    <n v="8.0549999999999997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10"/>
    <d v="2025-11-27T00:00:00"/>
    <s v="DEBITO FISCAL IVA PERCEPCION"/>
    <m/>
    <n v="1611"/>
    <n v="0"/>
    <n v="-1611"/>
    <n v="-12888"/>
    <n v="1400"/>
    <n v="1.1507142857142858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10"/>
    <d v="2025-11-27T00:00:00"/>
    <s v="MANTENIMIENTO MENSUAL PAQUETE"/>
    <m/>
    <n v="53700"/>
    <n v="0"/>
    <n v="-53700"/>
    <n v="-66588"/>
    <n v="1400"/>
    <n v="38.357142857142854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10"/>
    <d v="2025-11-27T00:00:00"/>
    <s v="TEF DATANET PAGOS AFIP"/>
    <m/>
    <n v="324238.13"/>
    <n v="0"/>
    <n v="-324238.13"/>
    <n v="-390826.13"/>
    <n v="1400"/>
    <n v="231.59866428571428"/>
    <n v="0"/>
    <s v="ARS"/>
    <s v="CA"/>
    <s v="MACRO"/>
    <x v="1"/>
    <x v="3"/>
    <x v="3"/>
    <s v="F931 MARZ"/>
    <s v="ANDRES TOLEDO"/>
    <m/>
    <x v="3"/>
    <m/>
    <s v="24/25"/>
    <s v="EGRESOS"/>
    <s v="EFECTIVO Y OTROS ACT LÍQ EQ."/>
  </r>
  <r>
    <x v="10"/>
    <d v="2025-11-27T00:00:00"/>
    <s v="TEF DATANET PAGOS AFIP"/>
    <m/>
    <n v="308109.61"/>
    <n v="0"/>
    <n v="-308109.61"/>
    <n v="-698935.74"/>
    <n v="1400"/>
    <n v="220.07829285714286"/>
    <n v="0"/>
    <s v="ARS"/>
    <s v="CA"/>
    <s v="MACRO"/>
    <x v="1"/>
    <x v="3"/>
    <x v="3"/>
    <s v="F931 ABRIL"/>
    <s v="ANDRES TOLEDO"/>
    <m/>
    <x v="3"/>
    <m/>
    <s v="24/25"/>
    <s v="EGRESOS"/>
    <s v="EFECTIVO Y OTROS ACT LÍQ EQ."/>
  </r>
  <r>
    <x v="10"/>
    <d v="2025-11-27T00:00:00"/>
    <s v="TEF DATANET PAGOS AFIP"/>
    <m/>
    <n v="886152.88"/>
    <n v="0"/>
    <n v="-886152.88"/>
    <n v="-1585088.62"/>
    <n v="1400"/>
    <n v="632.96634285714288"/>
    <n v="0"/>
    <s v="ARS"/>
    <s v="CA"/>
    <s v="MACRO"/>
    <x v="1"/>
    <x v="3"/>
    <x v="3"/>
    <s v="F931 AGOSTO"/>
    <s v="ANDRES TOLEDO"/>
    <m/>
    <x v="3"/>
    <m/>
    <s v="24/25"/>
    <s v="EGRESOS"/>
    <s v="EFECTIVO Y OTROS ACT LÍQ EQ."/>
  </r>
  <r>
    <x v="10"/>
    <d v="2025-11-27T00:00:00"/>
    <s v="TEF DATANET PAGOS AFIP"/>
    <m/>
    <n v="843428.05"/>
    <n v="0"/>
    <n v="-843428.05"/>
    <n v="-2428516.67"/>
    <n v="1400"/>
    <n v="602.44860714285721"/>
    <n v="0"/>
    <s v="ARS"/>
    <s v="CA"/>
    <s v="MACRO"/>
    <x v="1"/>
    <x v="3"/>
    <x v="3"/>
    <s v="F931 SEPTIEMBRE"/>
    <s v="ANDRES TOLEDO"/>
    <m/>
    <x v="3"/>
    <m/>
    <s v="24/25"/>
    <s v="EGRESOS"/>
    <s v="EFECTIVO Y OTROS ACT LÍQ EQ."/>
  </r>
  <r>
    <x v="10"/>
    <d v="2025-11-03T00:00:00"/>
    <s v="DBCR 25413 S/DB TASA GRAL"/>
    <m/>
    <n v="399.53"/>
    <n v="0"/>
    <n v="-399.53"/>
    <n v="-46629.5"/>
    <n v="1400"/>
    <n v="0.2853785714285714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DBCR 25413 S/DB TASA GRAL"/>
    <m/>
    <n v="1945.43"/>
    <n v="0"/>
    <n v="-1945.43"/>
    <n v="-2430861.63"/>
    <n v="1400"/>
    <n v="1.389592857142857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DBCR 25413 S/DB TASA GRAL"/>
    <m/>
    <n v="1848.66"/>
    <n v="0"/>
    <n v="-1848.66"/>
    <n v="-2432710.29"/>
    <n v="1400"/>
    <n v="1.320471428571428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DBCR 25413 S/DB TASA GRAL"/>
    <m/>
    <n v="5316.92"/>
    <n v="0"/>
    <n v="-5316.92"/>
    <n v="-2438027.21"/>
    <n v="1400"/>
    <n v="3.7978000000000001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DBCR 25413 S/DB TASA GRAL"/>
    <m/>
    <n v="5060.57"/>
    <n v="0"/>
    <n v="-5060.57"/>
    <n v="-2443087.7799999998"/>
    <n v="1400"/>
    <n v="3.6146928571428569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CR TRANSF AUT SDO MISMO TIT"/>
    <m/>
    <n v="0"/>
    <n v="2443087.7799999998"/>
    <n v="2443087.7799999998"/>
    <n v="0"/>
    <n v="1400"/>
    <n v="0"/>
    <n v="1745.0626999999999"/>
    <s v="ARS"/>
    <s v="CA"/>
    <s v="MACRO"/>
    <x v="0"/>
    <x v="0"/>
    <x v="0"/>
    <s v="HACIA CC MACRO"/>
    <m/>
    <m/>
    <x v="0"/>
    <m/>
    <s v="24/25"/>
    <m/>
    <m/>
  </r>
  <r>
    <x v="11"/>
    <d v="2025-12-17T00:00:00"/>
    <s v="CR TRANSF AUT SDO MISMO TIT"/>
    <m/>
    <n v="0"/>
    <n v="932912.3"/>
    <n v="932912.3"/>
    <n v="0"/>
    <n v="1400"/>
    <n v="0"/>
    <n v="666.36592857142864"/>
    <s v="ARS"/>
    <s v="CA"/>
    <s v="MACRO"/>
    <x v="0"/>
    <x v="0"/>
    <x v="0"/>
    <s v="HACIA CC MACRO"/>
    <m/>
    <m/>
    <x v="0"/>
    <m/>
    <s v="24/25"/>
    <m/>
    <m/>
  </r>
  <r>
    <x v="11"/>
    <d v="2025-12-17T00:00:00"/>
    <s v="DBCR 25413 S/DB TASA GRAL"/>
    <m/>
    <n v="5564.09"/>
    <n v="0"/>
    <n v="-5564.09"/>
    <n v="-932912.3"/>
    <n v="1400"/>
    <n v="3.974350000000000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1"/>
    <d v="2025-12-17T00:00:00"/>
    <s v="TEF DATANET PAGOS AFIP"/>
    <m/>
    <n v="927348.21"/>
    <n v="0"/>
    <n v="-927348.21"/>
    <n v="-927348.21"/>
    <n v="1400"/>
    <n v="662.39157857142857"/>
    <n v="0"/>
    <s v="ARS"/>
    <s v="CA"/>
    <s v="MACRO"/>
    <x v="1"/>
    <x v="3"/>
    <x v="3"/>
    <s v="F931 NOVIEMBRE"/>
    <s v="ANDRES TOLEDO"/>
    <m/>
    <x v="3"/>
    <m/>
    <s v="24/25"/>
    <s v="EGRESOS"/>
    <s v="EFECTIVO Y OTROS ACT LÍQ EQ."/>
  </r>
  <r>
    <x v="11"/>
    <d v="2025-12-17T00:00:00"/>
    <s v="DBCR 25413 S/DB TASA GRAL"/>
    <m/>
    <n v="5564.09"/>
    <n v="0"/>
    <n v="-5564.09"/>
    <n v="-932912.3"/>
    <n v="1400"/>
    <n v="3.974350000000000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1"/>
    <d v="2025-12-23T00:00:00"/>
    <s v="TEF DATANET PAGOS AFIP"/>
    <m/>
    <n v="906180.4"/>
    <n v="0"/>
    <n v="-906180.4"/>
    <n v="-906180.4"/>
    <n v="1400"/>
    <n v="647.27171428571432"/>
    <n v="0"/>
    <s v="ARS"/>
    <s v="CA"/>
    <s v="MACRO"/>
    <x v="1"/>
    <x v="3"/>
    <x v="3"/>
    <s v="F931 OCTUBRE"/>
    <s v="ANDRES TOLEDO"/>
    <m/>
    <x v="3"/>
    <m/>
    <s v="24/25"/>
    <s v="EGRESOS"/>
    <s v="EFECTIVO Y OTROS ACT LÍQ EQ."/>
  </r>
  <r>
    <x v="11"/>
    <d v="2025-12-23T00:00:00"/>
    <s v="DBCR 25413 S/DB TASA GRAL"/>
    <m/>
    <n v="5437.08"/>
    <n v="0"/>
    <n v="-5437.08"/>
    <n v="-911617.48"/>
    <n v="1400"/>
    <n v="3.8836285714285714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1"/>
    <d v="2025-12-23T00:00:00"/>
    <s v="CR TRANSF AUT SDO MISMO TIT"/>
    <m/>
    <n v="0"/>
    <n v="911617.48"/>
    <n v="911617.48"/>
    <n v="0"/>
    <n v="1400"/>
    <n v="0"/>
    <n v="651.15534285714284"/>
    <s v="ARS"/>
    <s v="CA"/>
    <s v="MACRO"/>
    <x v="0"/>
    <x v="0"/>
    <x v="0"/>
    <s v="DESDE CC MACRO"/>
    <m/>
    <m/>
    <x v="0"/>
    <m/>
    <s v="24/25"/>
    <m/>
    <m/>
  </r>
  <r>
    <x v="11"/>
    <d v="2025-12-29T00:00:00"/>
    <s v="DEBITO FISCAL IVA BASICO"/>
    <m/>
    <n v="11277"/>
    <n v="0"/>
    <n v="-11277"/>
    <n v="-11277"/>
    <n v="1400"/>
    <n v="8.0549999999999997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11"/>
    <d v="2025-12-29T00:00:00"/>
    <s v="DEBITO FISCAL IVA PERCEPCION"/>
    <m/>
    <n v="1611"/>
    <n v="0"/>
    <n v="-1611"/>
    <n v="-12888"/>
    <n v="1400"/>
    <n v="1.1507142857142858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11"/>
    <d v="2025-12-29T00:00:00"/>
    <s v="MANTENIMIENTO MENSUAL PAQUETE"/>
    <m/>
    <n v="53700"/>
    <n v="0"/>
    <n v="-53700"/>
    <n v="-66588"/>
    <n v="1400"/>
    <n v="38.357142857142854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11"/>
    <d v="2025-12-29T00:00:00"/>
    <s v="DBCR 25413 S/DB TASA GRAL"/>
    <m/>
    <n v="399.53"/>
    <n v="0"/>
    <n v="-399.53"/>
    <n v="-66987.53"/>
    <n v="1400"/>
    <n v="0.2853785714285714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1"/>
    <d v="2025-12-29T00:00:00"/>
    <s v="CR TRANSF AUT SDO MISMO TIT"/>
    <m/>
    <n v="0"/>
    <n v="66987.53"/>
    <n v="66987.53"/>
    <n v="0"/>
    <n v="1400"/>
    <n v="0"/>
    <n v="47.848235714285714"/>
    <s v="ARS"/>
    <s v="CA"/>
    <s v="MACRO"/>
    <x v="0"/>
    <x v="0"/>
    <x v="0"/>
    <s v="DESDE CC MACRO"/>
    <m/>
    <m/>
    <x v="0"/>
    <m/>
    <s v="24/25"/>
    <m/>
    <m/>
  </r>
  <r>
    <x v="0"/>
    <d v="2025-01-02T00:00:00"/>
    <s v="DEBITO FISCAL IVA BASICO"/>
    <m/>
    <n v="14008.54"/>
    <n v="0"/>
    <n v="-14008.54"/>
    <n v="-4858677.7"/>
    <n v="1140"/>
    <n v="12.28819298245614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2T00:00:00"/>
    <s v="DEBITO FISCAL IVA PERCEPCION"/>
    <m/>
    <n v="2001.22"/>
    <n v="0"/>
    <n v="-2001.22"/>
    <n v="-4860678.92"/>
    <n v="1140"/>
    <n v="1.755456140350877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2T00:00:00"/>
    <s v="INTER.ADEL.CC C/ACUERD"/>
    <m/>
    <n v="133414.62"/>
    <n v="0"/>
    <n v="-133414.62"/>
    <n v="-4994093.54"/>
    <n v="1140"/>
    <n v="117.03036842105263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0"/>
    <d v="2025-01-02T00:00:00"/>
    <s v="DEBITO FISCAL IVA BASICO"/>
    <m/>
    <n v="3218.36"/>
    <n v="0"/>
    <n v="-3218.36"/>
    <n v="-4997311.9000000004"/>
    <n v="1140"/>
    <n v="2.82312280701754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2T00:00:00"/>
    <s v="DEBITO FISCAL IVA PERCEPCION"/>
    <m/>
    <n v="459.77"/>
    <n v="0"/>
    <n v="-459.77"/>
    <n v="-4997771.67"/>
    <n v="1140"/>
    <n v="0.4033070175438596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2T00:00:00"/>
    <s v="INTER.ADEL.CC S/ACUERD"/>
    <m/>
    <n v="30651.05"/>
    <n v="0"/>
    <n v="-30651.05"/>
    <n v="-5028422.72"/>
    <n v="1140"/>
    <n v="26.886885964912281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0"/>
    <d v="2025-01-02T00:00:00"/>
    <s v="CHEQUE P/CAMARA"/>
    <s v="N54053745"/>
    <n v="290976.96999999997"/>
    <n v="0"/>
    <n v="-290976.96999999997"/>
    <n v="-5319399.6900000004"/>
    <n v="1140"/>
    <n v="255.24295614035086"/>
    <n v="0"/>
    <s v="ARS"/>
    <s v="CC"/>
    <s v="MACRO"/>
    <x v="3"/>
    <x v="14"/>
    <x v="26"/>
    <m/>
    <s v="TRIVERO"/>
    <s v="FA15, 39"/>
    <x v="4"/>
    <m/>
    <s v="23/24"/>
    <s v="BIENES Y SERVICIOS"/>
    <s v="EFECTIVO Y OTROS ACT LÍQ EQ."/>
  </r>
  <r>
    <x v="0"/>
    <d v="2025-01-03T00:00:00"/>
    <s v="CHEQUE P/CAMARA"/>
    <s v="N51936031"/>
    <n v="1317608"/>
    <n v="0"/>
    <n v="-1317608"/>
    <n v="-6721792.3700000001"/>
    <n v="1140"/>
    <n v="1155.7964912280702"/>
    <n v="0"/>
    <s v="ARS"/>
    <s v="CC"/>
    <s v="MACRO"/>
    <x v="2"/>
    <x v="4"/>
    <x v="5"/>
    <s v="APLICACIONES"/>
    <s v="CLERICI JUAN PABLO"/>
    <s v="FA 118"/>
    <x v="4"/>
    <m/>
    <s v="23/24"/>
    <s v="BIENES Y SERVICIOS 2024"/>
    <s v="EFECTIVO Y OTROS ACT LÍQ EQ."/>
  </r>
  <r>
    <x v="0"/>
    <d v="2025-01-03T00:00:00"/>
    <s v="CHEQUE P/CAMARA"/>
    <s v="N51936034"/>
    <n v="328116"/>
    <n v="0"/>
    <n v="-328116"/>
    <n v="-7049908.3700000001"/>
    <n v="1140"/>
    <n v="287.82105263157894"/>
    <n v="0"/>
    <s v="ARS"/>
    <s v="CC"/>
    <s v="MACRO"/>
    <x v="5"/>
    <x v="13"/>
    <x v="25"/>
    <s v="HACIENDA"/>
    <s v="LA YUNTA VET"/>
    <s v="FA 137"/>
    <x v="4"/>
    <m/>
    <s v="23/24"/>
    <s v="BIENES Y SERVICIOS"/>
    <s v="EFECTIVO Y OTROS ACT LÍQ EQ."/>
  </r>
  <r>
    <x v="0"/>
    <d v="2025-01-03T00:00:00"/>
    <s v="CHEQUE P/CAMARA"/>
    <s v="N54056923"/>
    <n v="1151184.3999999999"/>
    <n v="0"/>
    <n v="-1151184.3999999999"/>
    <n v="-8201092.7699999996"/>
    <n v="1140"/>
    <n v="1009.8108771929824"/>
    <n v="0"/>
    <s v="ARS"/>
    <s v="CC"/>
    <s v="MACRO"/>
    <x v="3"/>
    <x v="14"/>
    <x v="26"/>
    <m/>
    <s v="HUINCAGRO"/>
    <s v="FA 53"/>
    <x v="4"/>
    <m/>
    <s v="23/24"/>
    <s v="BIENES Y SERVICIOS"/>
    <s v="EFECTIVO Y OTROS ACT LÍQ EQ."/>
  </r>
  <r>
    <x v="0"/>
    <d v="2025-01-03T00:00:00"/>
    <s v="CHEQUE P/CAMARA"/>
    <s v="N54213833"/>
    <n v="839778"/>
    <n v="0"/>
    <n v="-839778"/>
    <n v="-9040870.7699999996"/>
    <n v="1140"/>
    <n v="736.64736842105265"/>
    <n v="0"/>
    <s v="ARS"/>
    <s v="CC"/>
    <s v="MACRO"/>
    <x v="2"/>
    <x v="4"/>
    <x v="5"/>
    <s v="APLICACIONES"/>
    <s v="CLERICI JUAN PABLO"/>
    <s v="FA 0123"/>
    <x v="4"/>
    <m/>
    <s v="23/24"/>
    <s v="BIENES Y SERVICIOS 2024"/>
    <s v="EFECTIVO Y OTROS ACT LÍQ EQ."/>
  </r>
  <r>
    <x v="0"/>
    <d v="2025-01-03T00:00:00"/>
    <s v="TRANSF G Y E SA 30708920882 VAR VARIOS 161104"/>
    <m/>
    <n v="0"/>
    <n v="3100000"/>
    <n v="3100000"/>
    <n v="-5940870.7699999996"/>
    <n v="1140"/>
    <n v="0"/>
    <n v="2719.2982456140353"/>
    <s v="ARS"/>
    <s v="CC"/>
    <s v="MACRO"/>
    <x v="0"/>
    <x v="0"/>
    <x v="0"/>
    <s v="DESDE CC PAMPA"/>
    <m/>
    <m/>
    <x v="0"/>
    <m/>
    <s v="24/25"/>
    <m/>
    <m/>
  </r>
  <r>
    <x v="0"/>
    <d v="2025-01-03T00:00:00"/>
    <s v="TRANSF G Y E SA 30708920882 VAR VARIOS 161104"/>
    <m/>
    <n v="0"/>
    <n v="1000000"/>
    <n v="1000000"/>
    <n v="-4940870.7699999996"/>
    <n v="1140"/>
    <n v="0"/>
    <n v="877.19298245614038"/>
    <s v="ARS"/>
    <s v="CC"/>
    <s v="MACRO"/>
    <x v="0"/>
    <x v="0"/>
    <x v="0"/>
    <s v="DESDE CC PAMPA"/>
    <m/>
    <m/>
    <x v="0"/>
    <m/>
    <s v="24/25"/>
    <m/>
    <m/>
  </r>
  <r>
    <x v="0"/>
    <d v="2025-01-03T00:00:00"/>
    <s v="DEBITO FISCAL IVA BASICO"/>
    <m/>
    <n v="2383.5"/>
    <n v="0"/>
    <n v="-2383.5"/>
    <n v="-4943254.2699999996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3T00:00:00"/>
    <s v="DEBITO FISCAL IVA PERCEPCION"/>
    <m/>
    <n v="340.5"/>
    <n v="0"/>
    <n v="-340.5"/>
    <n v="-4943594.7699999996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3T00:00:00"/>
    <s v="COMISION CHEQUE CONSULTA"/>
    <m/>
    <n v="11350"/>
    <n v="0"/>
    <n v="-11350"/>
    <n v="-4954944.7699999996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03T00:00:00"/>
    <s v="DBCR 25413 S/CR TASA GRAL"/>
    <m/>
    <n v="21904.57"/>
    <n v="0"/>
    <n v="-21904.57"/>
    <n v="-4976849.34"/>
    <n v="1140"/>
    <n v="19.21453508771929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03T00:00:00"/>
    <s v="DB TR..AUT.SDO.MISMO TIT."/>
    <m/>
    <n v="659682.38"/>
    <n v="0"/>
    <n v="-659682.38"/>
    <n v="-5636531.7199999997"/>
    <n v="1140"/>
    <n v="578.66875438596492"/>
    <n v="0"/>
    <s v="ARS"/>
    <s v="CC"/>
    <s v="MACRO"/>
    <x v="0"/>
    <x v="0"/>
    <x v="0"/>
    <s v="HACIA LA CA"/>
    <m/>
    <m/>
    <x v="0"/>
    <m/>
    <s v="24/25"/>
    <m/>
    <m/>
  </r>
  <r>
    <x v="0"/>
    <d v="2025-01-06T00:00:00"/>
    <s v="CHEQUE P/CAMARA"/>
    <s v="N54382191"/>
    <n v="102000"/>
    <n v="0"/>
    <n v="-102000"/>
    <n v="-5738531.7199999997"/>
    <n v="1140"/>
    <n v="89.473684210526315"/>
    <n v="0"/>
    <s v="ARS"/>
    <s v="CC"/>
    <s v="MACRO"/>
    <x v="3"/>
    <x v="8"/>
    <x v="11"/>
    <s v="ARREGLO CUB AUX"/>
    <s v="GOMERIA GONZALEZ"/>
    <m/>
    <x v="6"/>
    <m/>
    <s v="24/25"/>
    <s v="BIENES DE USO"/>
    <s v="EFECTIVO Y OTROS ACT LÍQ EQ."/>
  </r>
  <r>
    <x v="0"/>
    <d v="2025-01-06T00:00:00"/>
    <s v="TRANSF. MACRONLINE E-SET D/T"/>
    <m/>
    <n v="40000"/>
    <n v="0"/>
    <n v="-40000"/>
    <n v="-5778531.7199999997"/>
    <n v="1140"/>
    <n v="35.087719298245617"/>
    <n v="0"/>
    <s v="ARS"/>
    <s v="CC"/>
    <s v="MACRO"/>
    <x v="5"/>
    <x v="13"/>
    <x v="44"/>
    <s v="ANALISIS COPROLOGICO"/>
    <s v="ALANIZ MELANIA"/>
    <s v="FA 164"/>
    <x v="4"/>
    <m/>
    <s v="23/24"/>
    <s v="BIENES Y SERVICIOS"/>
    <s v="EFECTIVO Y OTROS ACT LÍQ EQ."/>
  </r>
  <r>
    <x v="0"/>
    <d v="2025-01-06T00:00:00"/>
    <s v="DBCR 25413 S/CR TASA GRAL"/>
    <m/>
    <n v="852"/>
    <n v="0"/>
    <n v="-852"/>
    <n v="-5779383.7199999997"/>
    <n v="1140"/>
    <n v="0.7473684210526315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08T00:00:00"/>
    <s v="DEBITO FISCAL IVA BASICO"/>
    <m/>
    <n v="14616"/>
    <n v="0"/>
    <n v="-14616"/>
    <n v="-5793999.7199999997"/>
    <n v="1140"/>
    <n v="12.82105263157894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8T00:00:00"/>
    <s v="DEBITO FISCAL IVA PERCEPCION"/>
    <m/>
    <n v="2088"/>
    <n v="0"/>
    <n v="-2088"/>
    <n v="-5796087.7199999997"/>
    <n v="1140"/>
    <n v="1.83157894736842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8T00:00:00"/>
    <s v="COM. SERV DESC NO AUTORIZ."/>
    <m/>
    <n v="69600"/>
    <n v="0"/>
    <n v="-69600"/>
    <n v="-5865687.7199999997"/>
    <n v="1140"/>
    <n v="61.05263157894737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08T00:00:00"/>
    <s v="DBCR 25413 S/CR TASA GRAL"/>
    <m/>
    <n v="517.82000000000005"/>
    <n v="0"/>
    <n v="-517.82000000000005"/>
    <n v="-5866205.54"/>
    <n v="1140"/>
    <n v="0.4542280701754386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08T00:00:00"/>
    <s v="DB TR..AUT.SDO.MISMO TIT."/>
    <m/>
    <n v="4989.76"/>
    <n v="0"/>
    <n v="-4989.76"/>
    <n v="-5871195.2999999998"/>
    <n v="1140"/>
    <n v="4.3769824561403512"/>
    <n v="0"/>
    <s v="ARS"/>
    <s v="CC"/>
    <s v="MACRO"/>
    <x v="0"/>
    <x v="0"/>
    <x v="0"/>
    <s v="HACIA CA MACRO"/>
    <m/>
    <m/>
    <x v="0"/>
    <m/>
    <s v="24/25"/>
    <m/>
    <m/>
  </r>
  <r>
    <x v="0"/>
    <d v="2025-01-09T00:00:00"/>
    <s v="CHEQUE P/CAMARA"/>
    <s v="N51936044"/>
    <n v="392000"/>
    <n v="0"/>
    <n v="-392000"/>
    <n v="-6263195.2999999998"/>
    <n v="1140"/>
    <n v="343.85964912280701"/>
    <n v="0"/>
    <s v="ARS"/>
    <s v="CC"/>
    <s v="MACRO"/>
    <x v="5"/>
    <x v="13"/>
    <x v="4"/>
    <s v="HONORARIOS"/>
    <s v="FEDE PICCIOCHI"/>
    <s v="FA306"/>
    <x v="4"/>
    <m/>
    <s v="23/24"/>
    <s v="BIENES Y SERVICIOS"/>
    <s v="EFECTIVO Y OTROS ACT LÍQ EQ."/>
  </r>
  <r>
    <x v="0"/>
    <d v="2025-01-09T00:00:00"/>
    <s v="TRANSF G Y E SA 30708920882 VAR VARIOS 161104"/>
    <m/>
    <n v="0"/>
    <n v="500000"/>
    <n v="500000"/>
    <n v="-5763195.2999999998"/>
    <n v="1140"/>
    <n v="0"/>
    <n v="438.59649122807019"/>
    <s v="ARS"/>
    <s v="CC"/>
    <s v="MACRO"/>
    <x v="0"/>
    <x v="0"/>
    <x v="0"/>
    <s v="DESDE CC PAMPA"/>
    <m/>
    <m/>
    <x v="0"/>
    <m/>
    <s v="24/25"/>
    <m/>
    <m/>
  </r>
  <r>
    <x v="0"/>
    <d v="2025-01-09T00:00:00"/>
    <s v="DEBITO FISCAL IVA BASICO"/>
    <m/>
    <n v="2383.5"/>
    <n v="0"/>
    <n v="-2383.5"/>
    <n v="-5765578.7999999998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9T00:00:00"/>
    <s v="DEBITO FISCAL IVA PERCEPCION"/>
    <m/>
    <n v="340.5"/>
    <n v="0"/>
    <n v="-340.5"/>
    <n v="-5765919.2999999998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9T00:00:00"/>
    <s v="COMISION CHEQUE CONSULTA"/>
    <m/>
    <n v="11350"/>
    <n v="0"/>
    <n v="-11350"/>
    <n v="-5777269.2999999998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09T00:00:00"/>
    <s v="DBCR 25413 S/CR TASA GRAL"/>
    <m/>
    <n v="2436.44"/>
    <n v="0"/>
    <n v="-2436.44"/>
    <n v="-5779705.7400000002"/>
    <n v="1140"/>
    <n v="2.13722807017543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10T00:00:00"/>
    <s v="TRANSF. MACRONLINE E-SET D/T"/>
    <m/>
    <n v="200000"/>
    <n v="0"/>
    <n v="-200000"/>
    <n v="-5979705.7400000002"/>
    <n v="1140"/>
    <n v="175.43859649122808"/>
    <n v="0"/>
    <s v="ARS"/>
    <s v="CC"/>
    <s v="MACRO"/>
    <x v="1"/>
    <x v="2"/>
    <x v="2"/>
    <s v="RETIRO RAUL"/>
    <s v="RAUL"/>
    <m/>
    <x v="2"/>
    <s v="RAUL"/>
    <s v="24/25"/>
    <s v="FUTURAS UT. ADL RAUL"/>
    <s v="EFECTIVO Y OTROS ACT LÍQ EQ."/>
  </r>
  <r>
    <x v="0"/>
    <d v="2025-01-10T00:00:00"/>
    <s v="DBCR 25413 S/CR TASA GRAL"/>
    <m/>
    <n v="1200"/>
    <n v="0"/>
    <n v="-1200"/>
    <n v="-5980905.7400000002"/>
    <n v="1140"/>
    <n v="1.052631578947368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14T00:00:00"/>
    <s v="CHEQUE P/CAMARA"/>
    <s v="N54580542"/>
    <n v="1692640.86"/>
    <n v="0"/>
    <n v="-1692640.86"/>
    <n v="-7673546.5999999996"/>
    <n v="1140"/>
    <n v="1484.7726842105264"/>
    <n v="0"/>
    <s v="ARS"/>
    <s v="CC"/>
    <s v="MACRO"/>
    <x v="3"/>
    <x v="14"/>
    <x v="57"/>
    <m/>
    <s v="DIESEL LANGE"/>
    <s v="FA86,03,16"/>
    <x v="4"/>
    <m/>
    <s v="23/24"/>
    <s v="BIENES DE USO"/>
    <s v="EFECTIVO Y OTROS ACT LÍQ EQ."/>
  </r>
  <r>
    <x v="0"/>
    <d v="2025-01-14T00:00:00"/>
    <s v="TEF DATANET MT G E S A 30708920882"/>
    <m/>
    <n v="0"/>
    <n v="1800000"/>
    <n v="1800000"/>
    <n v="-5873546.5999999996"/>
    <n v="1140"/>
    <n v="0"/>
    <n v="1578.9473684210527"/>
    <s v="ARS"/>
    <s v="CC"/>
    <s v="MACRO"/>
    <x v="0"/>
    <x v="0"/>
    <x v="0"/>
    <s v="DESDE CC GALICIA"/>
    <m/>
    <m/>
    <x v="0"/>
    <m/>
    <s v="24/25"/>
    <m/>
    <m/>
  </r>
  <r>
    <x v="0"/>
    <d v="2025-01-14T00:00:00"/>
    <s v="DEBITO FISCAL IVA BASICO"/>
    <m/>
    <n v="2383.5"/>
    <n v="0"/>
    <n v="-2383.5"/>
    <n v="-5875930.0999999996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14T00:00:00"/>
    <s v="DEBITO FISCAL IVA PERCEPCION"/>
    <m/>
    <n v="340.5"/>
    <n v="0"/>
    <n v="-340.5"/>
    <n v="-5876270.5999999996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14T00:00:00"/>
    <s v="COMISION CHEQUE CONSULTA"/>
    <m/>
    <n v="11350"/>
    <n v="0"/>
    <n v="-11350"/>
    <n v="-5887620.5999999996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14T00:00:00"/>
    <s v="DBCR 25413 S/CR TASA GRAL"/>
    <m/>
    <n v="10240.290000000001"/>
    <n v="0"/>
    <n v="-10240.290000000001"/>
    <n v="-5897860.8899999997"/>
    <n v="1140"/>
    <n v="8.9827105263157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16T00:00:00"/>
    <s v="CHEQUE P/CAMARA"/>
    <s v="N54323560"/>
    <n v="281666.44"/>
    <n v="0"/>
    <n v="-281666.44"/>
    <n v="-6179527.3300000001"/>
    <n v="1140"/>
    <n v="247.07582456140352"/>
    <n v="0"/>
    <s v="ARS"/>
    <s v="CC"/>
    <s v="MACRO"/>
    <x v="3"/>
    <x v="5"/>
    <x v="7"/>
    <m/>
    <s v="CORRALON RIVADAVIA"/>
    <s v="FA1802"/>
    <x v="4"/>
    <m/>
    <s v="23/24"/>
    <s v="INFRAESTRUCTURA"/>
    <s v="EFECTIVO Y OTROS ACT LÍQ EQ."/>
  </r>
  <r>
    <x v="0"/>
    <d v="2025-01-16T00:00:00"/>
    <s v="TRANSF G Y E SA 30708920882 VAR VARIOS 161104"/>
    <m/>
    <n v="0"/>
    <n v="500000"/>
    <n v="500000"/>
    <n v="-5679527.3300000001"/>
    <n v="1140"/>
    <n v="0"/>
    <n v="438.59649122807019"/>
    <s v="ARS"/>
    <s v="CC"/>
    <s v="MACRO"/>
    <x v="0"/>
    <x v="0"/>
    <x v="0"/>
    <s v="DESDE CC PAMPA"/>
    <m/>
    <m/>
    <x v="0"/>
    <m/>
    <s v="24/25"/>
    <m/>
    <m/>
  </r>
  <r>
    <x v="0"/>
    <d v="2025-01-16T00:00:00"/>
    <s v="TRANSF. MACRONLINE E-SET D/T"/>
    <m/>
    <n v="200000"/>
    <n v="0"/>
    <n v="-200000"/>
    <n v="-5879527.3300000001"/>
    <n v="1140"/>
    <n v="175.43859649122808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0"/>
    <d v="2025-01-16T00:00:00"/>
    <s v="DEBITO FISCAL IVA BASICO"/>
    <m/>
    <n v="2383.5"/>
    <n v="0"/>
    <n v="-2383.5"/>
    <n v="-5881910.8300000001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16T00:00:00"/>
    <s v="DEBITO FISCAL IVA PERCEPCION"/>
    <m/>
    <n v="340.5"/>
    <n v="0"/>
    <n v="-340.5"/>
    <n v="-5882251.3300000001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16T00:00:00"/>
    <s v="COMISION CHEQUE CONSULTA"/>
    <m/>
    <n v="11350"/>
    <n v="0"/>
    <n v="-11350"/>
    <n v="-5893601.3300000001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16T00:00:00"/>
    <s v="DBCR 25413 S/CR TASA GRAL"/>
    <m/>
    <n v="2974.44"/>
    <n v="0"/>
    <n v="-2974.44"/>
    <n v="-5896575.7699999996"/>
    <n v="1140"/>
    <n v="2.609157894736842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17T00:00:00"/>
    <s v="CHEQUE P/CAMARA"/>
    <s v="N51936047"/>
    <n v="142573.5"/>
    <n v="0"/>
    <n v="-142573.5"/>
    <n v="-6039149.2699999996"/>
    <n v="1140"/>
    <n v="125.06447368421053"/>
    <n v="0"/>
    <s v="ARS"/>
    <s v="CC"/>
    <s v="MACRO"/>
    <x v="3"/>
    <x v="5"/>
    <x v="6"/>
    <m/>
    <s v="AGRICOLA CENTENO"/>
    <s v="FA7488"/>
    <x v="4"/>
    <m/>
    <s v="23/24"/>
    <s v="BIENES Y SERVICIOS"/>
    <s v="EFECTIVO Y OTROS ACT LÍQ EQ."/>
  </r>
  <r>
    <x v="0"/>
    <d v="2025-01-17T00:00:00"/>
    <s v="CHEQUE CANJE INTERNO"/>
    <s v="N51936037"/>
    <n v="500000"/>
    <n v="0"/>
    <n v="-500000"/>
    <n v="-6539149.2699999996"/>
    <n v="1140"/>
    <n v="438.59649122807019"/>
    <n v="0"/>
    <s v="ARS"/>
    <s v="CC"/>
    <s v="MACRO"/>
    <x v="3"/>
    <x v="14"/>
    <x v="45"/>
    <m/>
    <s v="FERNANDO MAGALLANES"/>
    <m/>
    <x v="7"/>
    <m/>
    <s v="23/24"/>
    <s v="BIENES Y SERVICIOS"/>
    <s v="EFECTIVO Y OTROS ACT LÍQ EQ."/>
  </r>
  <r>
    <x v="0"/>
    <d v="2025-01-17T00:00:00"/>
    <s v="TRANSF G Y E SA 30708920882 VAR VARIOS 161104"/>
    <m/>
    <n v="0"/>
    <n v="600000"/>
    <n v="600000"/>
    <n v="-5939149.2699999996"/>
    <n v="1140"/>
    <n v="0"/>
    <n v="526.31578947368416"/>
    <s v="ARS"/>
    <s v="CC"/>
    <s v="MACRO"/>
    <x v="0"/>
    <x v="0"/>
    <x v="0"/>
    <s v="DESDE CC PAMPA"/>
    <m/>
    <m/>
    <x v="0"/>
    <m/>
    <s v="24/25"/>
    <m/>
    <m/>
  </r>
  <r>
    <x v="0"/>
    <d v="2025-01-17T00:00:00"/>
    <s v="DEBITO FISCAL IVA BASICO"/>
    <m/>
    <n v="2383.5"/>
    <n v="0"/>
    <n v="-2383.5"/>
    <n v="-5941532.7699999996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17T00:00:00"/>
    <s v="DEBITO FISCAL IVA PERCEPCION"/>
    <m/>
    <n v="340.5"/>
    <n v="0"/>
    <n v="-340.5"/>
    <n v="-5941873.2699999996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17T00:00:00"/>
    <s v="COMISION CHEQUE CONSULTA"/>
    <m/>
    <n v="11350"/>
    <n v="0"/>
    <n v="-11350"/>
    <n v="-5953223.2699999996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17T00:00:00"/>
    <s v="DBCR 25413 S/CR TASA GRAL"/>
    <m/>
    <n v="3939.88"/>
    <n v="0"/>
    <n v="-3939.88"/>
    <n v="-5957163.1500000004"/>
    <n v="1140"/>
    <n v="3.456035087719298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0T00:00:00"/>
    <s v="CHEQUE P/CAMARA"/>
    <s v="N51936045"/>
    <n v="142300"/>
    <n v="0"/>
    <n v="-142300"/>
    <n v="-6099463.1500000004"/>
    <n v="1140"/>
    <n v="124.82456140350877"/>
    <n v="0"/>
    <s v="ARS"/>
    <s v="CC"/>
    <s v="MACRO"/>
    <x v="5"/>
    <x v="13"/>
    <x v="25"/>
    <s v="HACIENDA"/>
    <s v="LA YUNTA VET"/>
    <s v="FA 604"/>
    <x v="4"/>
    <m/>
    <s v="23/24"/>
    <s v="BIENES Y SERVICIOS"/>
    <s v="EFECTIVO Y OTROS ACT LÍQ EQ."/>
  </r>
  <r>
    <x v="0"/>
    <d v="2025-01-20T00:00:00"/>
    <s v="TRANSF G Y E SA 30708920882 VAR VARIOS 161104"/>
    <m/>
    <n v="0"/>
    <n v="200000"/>
    <n v="200000"/>
    <n v="-5899463.1500000004"/>
    <n v="1140"/>
    <n v="0"/>
    <n v="175.43859649122808"/>
    <s v="ARS"/>
    <s v="CC"/>
    <s v="MACRO"/>
    <x v="0"/>
    <x v="0"/>
    <x v="0"/>
    <s v="DESDE CC PAMPA"/>
    <m/>
    <m/>
    <x v="0"/>
    <m/>
    <s v="24/25"/>
    <m/>
    <m/>
  </r>
  <r>
    <x v="0"/>
    <d v="2025-01-20T00:00:00"/>
    <s v="TRANSF G Y E SA 30708920882 VAR VARIOS 161104"/>
    <m/>
    <n v="0"/>
    <n v="1100000"/>
    <n v="1100000"/>
    <n v="-4799463.1500000004"/>
    <n v="1140"/>
    <n v="0"/>
    <n v="964.91228070175441"/>
    <s v="ARS"/>
    <s v="CC"/>
    <s v="MACRO"/>
    <x v="0"/>
    <x v="0"/>
    <x v="0"/>
    <s v="DESDE CC PAMPA"/>
    <m/>
    <m/>
    <x v="0"/>
    <m/>
    <s v="24/25"/>
    <m/>
    <m/>
  </r>
  <r>
    <x v="0"/>
    <d v="2025-01-20T00:00:00"/>
    <s v="SANCORSEG - SANCOR SEGUROS"/>
    <m/>
    <n v="4345"/>
    <n v="0"/>
    <n v="-4345"/>
    <n v="-4803808.1500000004"/>
    <n v="1140"/>
    <n v="3.8114035087719298"/>
    <n v="0"/>
    <s v="ARS"/>
    <s v="CC"/>
    <s v="MACRO"/>
    <x v="1"/>
    <x v="7"/>
    <x v="58"/>
    <s v="MANTENIMIENTO"/>
    <m/>
    <m/>
    <x v="1"/>
    <m/>
    <s v="24/25"/>
    <s v="EGRESOS"/>
    <s v="EFECTIVO Y OTROS ACT LÍQ EQ."/>
  </r>
  <r>
    <x v="0"/>
    <d v="2025-01-20T00:00:00"/>
    <s v="DEBITO FISCAL IVA BASICO"/>
    <m/>
    <n v="2383.5"/>
    <n v="0"/>
    <n v="-2383.5"/>
    <n v="-4806191.6500000004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20T00:00:00"/>
    <s v="DEBITO FISCAL IVA PERCEPCION"/>
    <m/>
    <n v="340.5"/>
    <n v="0"/>
    <n v="-340.5"/>
    <n v="-4806532.1500000004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20T00:00:00"/>
    <s v="COMISION CHEQUE CONSULTA"/>
    <m/>
    <n v="11350"/>
    <n v="0"/>
    <n v="-11350"/>
    <n v="-4817882.1500000004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0T00:00:00"/>
    <s v="DBCR 25413 S/CR TASA GRAL"/>
    <m/>
    <n v="964.31"/>
    <n v="0"/>
    <n v="-964.31"/>
    <n v="-4818846.46"/>
    <n v="1140"/>
    <n v="0.8458859649122806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1T00:00:00"/>
    <s v="DGR FINANZAS CBA"/>
    <m/>
    <n v="1173709"/>
    <n v="0"/>
    <n v="-1173709"/>
    <n v="-5992555.46"/>
    <n v="1140"/>
    <n v="1029.5692982456139"/>
    <n v="0"/>
    <s v="ARS"/>
    <s v="CC"/>
    <s v="MACRO"/>
    <x v="1"/>
    <x v="1"/>
    <x v="1"/>
    <s v="CUOTA 2/6"/>
    <s v="RENTAS"/>
    <m/>
    <x v="20"/>
    <m/>
    <s v="24/25"/>
    <s v="EGRESOS"/>
    <s v="EFECTIVO Y OTROS ACT LÍQ EQ."/>
  </r>
  <r>
    <x v="0"/>
    <d v="2025-01-21T00:00:00"/>
    <s v="DBCR 25413 S/CR TASA GRAL"/>
    <m/>
    <n v="7042.25"/>
    <n v="0"/>
    <n v="-7042.25"/>
    <n v="-5999597.71"/>
    <n v="1140"/>
    <n v="6.177412280701754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2T00:00:00"/>
    <s v="DB/CR - COMEX- Suc.:811"/>
    <m/>
    <n v="0"/>
    <n v="25762930"/>
    <n v="25762930"/>
    <n v="19763332.289999999"/>
    <n v="1140"/>
    <n v="0"/>
    <n v="22599.061403508771"/>
    <s v="ARS"/>
    <s v="CC"/>
    <s v="MACRO"/>
    <x v="0"/>
    <x v="10"/>
    <x v="59"/>
    <s v="MACRO A SOLA FIRMA"/>
    <s v="MACRO"/>
    <m/>
    <x v="9"/>
    <m/>
    <s v="24/25"/>
    <s v="EFECTIVO Y OTROS ACT LÍQ EQ."/>
    <s v="CREDITOS MACRO"/>
  </r>
  <r>
    <x v="0"/>
    <d v="2025-01-23T00:00:00"/>
    <s v="TRANSF. MACRONLINE E-SET M/T"/>
    <m/>
    <n v="10000000"/>
    <n v="0"/>
    <n v="-10000000"/>
    <n v="9763332.2899999991"/>
    <n v="1140"/>
    <n v="8771.9298245614027"/>
    <n v="0"/>
    <s v="ARS"/>
    <s v="CC"/>
    <s v="MACRO"/>
    <x v="0"/>
    <x v="0"/>
    <x v="0"/>
    <s v="HACIA EL PAMPA"/>
    <m/>
    <m/>
    <x v="0"/>
    <m/>
    <s v="24/25"/>
    <m/>
    <m/>
  </r>
  <r>
    <x v="0"/>
    <d v="2025-01-23T00:00:00"/>
    <s v="COMISION TRF. MACROL E-SET"/>
    <m/>
    <n v="121"/>
    <n v="0"/>
    <n v="-121"/>
    <n v="9763211.2899999991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3T00:00:00"/>
    <s v="TRANSF. MACRONLINE E-SET D/T"/>
    <m/>
    <n v="527450"/>
    <n v="0"/>
    <n v="-527450"/>
    <n v="9235761.2899999991"/>
    <n v="1140"/>
    <n v="462.67543859649123"/>
    <n v="0"/>
    <s v="ARS"/>
    <s v="CC"/>
    <s v="MACRO"/>
    <x v="1"/>
    <x v="3"/>
    <x v="3"/>
    <s v="VACACIONES"/>
    <s v="ANDRES TOLEDO"/>
    <m/>
    <x v="3"/>
    <m/>
    <s v="24/25"/>
    <s v="EGRESOS"/>
    <s v="EFECTIVO Y OTROS ACT LÍQ EQ."/>
  </r>
  <r>
    <x v="0"/>
    <d v="2025-01-23T00:00:00"/>
    <s v="COMISION TRF. MACROL E-SET"/>
    <m/>
    <n v="121"/>
    <n v="0"/>
    <n v="-121"/>
    <n v="9235640.2899999991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3T00:00:00"/>
    <s v="TRANSF. MACRONLINE E-SET M/T"/>
    <m/>
    <n v="3000000"/>
    <n v="0"/>
    <n v="-3000000"/>
    <n v="6235640.29"/>
    <n v="1140"/>
    <n v="2631.5789473684213"/>
    <n v="0"/>
    <s v="ARS"/>
    <s v="CC"/>
    <s v="MACRO"/>
    <x v="0"/>
    <x v="0"/>
    <x v="0"/>
    <s v="HACIA EL NACION"/>
    <m/>
    <m/>
    <x v="0"/>
    <m/>
    <s v="24/25"/>
    <m/>
    <m/>
  </r>
  <r>
    <x v="0"/>
    <d v="2025-01-23T00:00:00"/>
    <s v="COMISION TRF. MACROL E-SET"/>
    <m/>
    <n v="121"/>
    <n v="0"/>
    <n v="-121"/>
    <n v="6235519.29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3T00:00:00"/>
    <s v="TRANSF. MACRONLINE E-SET D/T"/>
    <m/>
    <n v="6000000"/>
    <n v="0"/>
    <n v="-6000000"/>
    <n v="235519.29"/>
    <n v="1140"/>
    <n v="5263.1578947368425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0"/>
    <d v="2025-01-23T00:00:00"/>
    <s v="COMISION TRF. MACROL E-SET"/>
    <m/>
    <n v="121"/>
    <n v="0"/>
    <n v="-121"/>
    <n v="235398.29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3T00:00:00"/>
    <s v="DBCR 25413 S/CR TASA GRAL"/>
    <m/>
    <n v="39167.620000000003"/>
    <n v="0"/>
    <n v="-39167.620000000003"/>
    <n v="196230.67"/>
    <n v="1140"/>
    <n v="34.35756140350877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4T00:00:00"/>
    <s v="TRANSF. MACRONLINE E-SET D/T"/>
    <m/>
    <n v="43551.81"/>
    <n v="0"/>
    <n v="-43551.81"/>
    <n v="152678.85999999999"/>
    <n v="1140"/>
    <n v="38.203342105263154"/>
    <n v="0"/>
    <s v="ARS"/>
    <s v="CC"/>
    <s v="MACRO"/>
    <x v="3"/>
    <x v="5"/>
    <x v="7"/>
    <s v="INSUMOS PARA PILETA"/>
    <s v="SUR SANITARIOS"/>
    <s v="FA 6278, 79"/>
    <x v="6"/>
    <m/>
    <s v="24/25"/>
    <s v="BIENES Y SERVICIOS"/>
    <s v="EFECTIVO Y OTROS ACT LÍQ EQ."/>
  </r>
  <r>
    <x v="0"/>
    <d v="2025-01-24T00:00:00"/>
    <s v="TRANSF. MACRONLINE E-SET D/T"/>
    <m/>
    <n v="123000"/>
    <n v="0"/>
    <n v="-123000"/>
    <n v="29678.86"/>
    <n v="1140"/>
    <n v="107.89473684210526"/>
    <n v="0"/>
    <s v="ARS"/>
    <s v="CC"/>
    <s v="MACRO"/>
    <x v="3"/>
    <x v="8"/>
    <x v="45"/>
    <s v="TRASLADO A REALICO"/>
    <s v="MEDERO"/>
    <s v="FA 152"/>
    <x v="6"/>
    <m/>
    <s v="24/25"/>
    <s v="BIENES Y SERVICIOS"/>
    <s v="EFECTIVO Y OTROS ACT LÍQ EQ."/>
  </r>
  <r>
    <x v="0"/>
    <d v="2025-01-24T00:00:00"/>
    <s v="DBCR 25413 S/CR TASA GRAL"/>
    <m/>
    <n v="999.31"/>
    <n v="0"/>
    <n v="-999.31"/>
    <n v="28679.55"/>
    <n v="1140"/>
    <n v="0.8765877192982455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7T00:00:00"/>
    <s v="TRANSF. MACRONLINE E-SET D/T"/>
    <m/>
    <n v="10113"/>
    <n v="0"/>
    <n v="-10113"/>
    <n v="-581433.44999999995"/>
    <n v="1140"/>
    <n v="8.871052631578948"/>
    <n v="0"/>
    <s v="ARS"/>
    <s v="CC"/>
    <s v="MACRO"/>
    <x v="1"/>
    <x v="3"/>
    <x v="13"/>
    <s v="ENCOMIENDA MACRO Y SEGURO EMPLEADO"/>
    <m/>
    <m/>
    <x v="3"/>
    <m/>
    <s v="24/25"/>
    <s v="BIENES Y SERVICIOS"/>
    <s v="EFECTIVO Y OTROS ACT LÍQ EQ."/>
  </r>
  <r>
    <x v="0"/>
    <d v="2025-01-27T00:00:00"/>
    <s v="TRANSF. MACRONLINE E-SET D/T"/>
    <m/>
    <n v="100000"/>
    <n v="0"/>
    <n v="-100000"/>
    <n v="-1191546.45"/>
    <n v="1140"/>
    <n v="87.719298245614041"/>
    <n v="0"/>
    <s v="ARS"/>
    <s v="CC"/>
    <s v="MACRO"/>
    <x v="1"/>
    <x v="3"/>
    <x v="13"/>
    <s v="ENTREGA A EMPL CAMPO"/>
    <s v="MATIAS LUCERO"/>
    <m/>
    <x v="3"/>
    <m/>
    <s v="24/25"/>
    <s v="EGRESOS"/>
    <s v="EFECTIVO Y OTROS ACT LÍQ EQ."/>
  </r>
  <r>
    <x v="0"/>
    <d v="2025-01-27T00:00:00"/>
    <s v="TRANSF. MACRONLINE E-SET D/T"/>
    <m/>
    <n v="500000"/>
    <n v="0"/>
    <n v="-500000"/>
    <n v="-581433.44999999995"/>
    <n v="1140"/>
    <n v="438.59649122807019"/>
    <n v="0"/>
    <s v="ARS"/>
    <s v="CC"/>
    <s v="MACRO"/>
    <x v="2"/>
    <x v="4"/>
    <x v="5"/>
    <s v="SOJA PRESTADA ANTERIOR"/>
    <s v="DAVI ARMANDO"/>
    <m/>
    <x v="7"/>
    <m/>
    <s v="23/24"/>
    <s v="EGRESOS"/>
    <s v="EFECTIVO Y OTROS ACT LÍQ EQ."/>
  </r>
  <r>
    <x v="0"/>
    <d v="2025-01-27T00:00:00"/>
    <s v="COMISION TRF. MACROL E-SET"/>
    <m/>
    <n v="121"/>
    <n v="0"/>
    <n v="-121"/>
    <n v="-581554.44999999995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7T00:00:00"/>
    <s v="DEBITO FISCAL IVA BASICO"/>
    <m/>
    <n v="1650.6"/>
    <n v="0"/>
    <n v="-1650.6"/>
    <n v="-583205.05000000005"/>
    <n v="1140"/>
    <n v="1.447894736842105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27T00:00:00"/>
    <s v="DEBITO FISCAL IVA PERCEPCION"/>
    <m/>
    <n v="235.8"/>
    <n v="0"/>
    <n v="-235.8"/>
    <n v="-583440.85"/>
    <n v="1140"/>
    <n v="0.2068421052631579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27T00:00:00"/>
    <s v="COMISION CHQ PAG CLEARING"/>
    <m/>
    <n v="7860"/>
    <n v="0"/>
    <n v="-7860"/>
    <n v="-591300.85"/>
    <n v="1140"/>
    <n v="6.894736842105262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7T00:00:00"/>
    <s v="DBCR 25413 S/CR TASA GRAL"/>
    <m/>
    <n v="3719.89"/>
    <n v="0"/>
    <n v="-3719.89"/>
    <n v="-595020.74"/>
    <n v="1140"/>
    <n v="3.263061403508771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8T00:00:00"/>
    <s v="TRANSF. MACRONLINE E-SET D/T"/>
    <m/>
    <n v="15604.38"/>
    <n v="0"/>
    <n v="-15604.38"/>
    <n v="-610625.12"/>
    <n v="1140"/>
    <n v="13.688052631578946"/>
    <n v="0"/>
    <s v="ARS"/>
    <s v="CC"/>
    <s v="MACRO"/>
    <x v="3"/>
    <x v="5"/>
    <x v="7"/>
    <s v="INSUMOS PARA PILETA"/>
    <s v="SUR SANITARIOS"/>
    <s v="FA 6295"/>
    <x v="6"/>
    <m/>
    <s v="24/25"/>
    <s v="BIENES Y SERVICIOS"/>
    <s v="EFECTIVO Y OTROS ACT LÍQ EQ."/>
  </r>
  <r>
    <x v="0"/>
    <d v="2025-01-28T00:00:00"/>
    <s v="TRANSF:2501280000839698783283-20445501205"/>
    <m/>
    <n v="143000"/>
    <n v="0"/>
    <n v="-143000"/>
    <n v="-753625.12"/>
    <n v="1140"/>
    <n v="125.43859649122807"/>
    <n v="0"/>
    <s v="ARS"/>
    <s v="CC"/>
    <s v="MACRO"/>
    <x v="4"/>
    <x v="19"/>
    <x v="53"/>
    <s v="ESQUILADO"/>
    <s v="COLO BUSTOS"/>
    <m/>
    <x v="1"/>
    <m/>
    <s v="24/25"/>
    <s v="EGRESOS"/>
    <s v="EFECTIVO Y OTROS ACT LÍQ EQ."/>
  </r>
  <r>
    <x v="0"/>
    <d v="2025-01-28T00:00:00"/>
    <s v="DBCR 25413 S/CR TASA GRAL"/>
    <m/>
    <n v="951.63"/>
    <n v="0"/>
    <n v="-951.63"/>
    <n v="-754576.75"/>
    <n v="1140"/>
    <n v="0.834763157894736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9T00:00:00"/>
    <s v="CHEQUE P/CAMARA"/>
    <s v="N54213938"/>
    <n v="839778"/>
    <n v="0"/>
    <n v="-839778"/>
    <n v="-1594354.75"/>
    <n v="1140"/>
    <n v="736.64736842105265"/>
    <n v="0"/>
    <s v="ARS"/>
    <s v="CC"/>
    <s v="MACRO"/>
    <x v="2"/>
    <x v="4"/>
    <x v="5"/>
    <s v="APLICACIONES"/>
    <s v="CLERICI JUAN PABLO"/>
    <s v="FA 0123"/>
    <x v="4"/>
    <m/>
    <s v="23/24"/>
    <s v="BIENES Y SERVICIOS 2024"/>
    <s v="EFECTIVO Y OTROS ACT LÍQ EQ."/>
  </r>
  <r>
    <x v="0"/>
    <d v="2025-01-29T00:00:00"/>
    <s v="DBCR 25413 S/CR TASA GRAL"/>
    <m/>
    <n v="5038.67"/>
    <n v="0"/>
    <n v="-5038.67"/>
    <n v="-1599393.42"/>
    <n v="1140"/>
    <n v="4.419885964912280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30T00:00:00"/>
    <s v="DB TR..AUT.SDO.MISMO TIT."/>
    <m/>
    <n v="45157.33"/>
    <n v="0"/>
    <n v="-45157.33"/>
    <n v="-1644550.75"/>
    <n v="1140"/>
    <n v="39.611692982456141"/>
    <n v="0"/>
    <s v="ARS"/>
    <s v="CC"/>
    <s v="MACRO"/>
    <x v="0"/>
    <x v="0"/>
    <x v="0"/>
    <s v="HACIA LA CA"/>
    <m/>
    <m/>
    <x v="0"/>
    <m/>
    <s v="24/25"/>
    <m/>
    <m/>
  </r>
  <r>
    <x v="1"/>
    <d v="2025-02-03T00:00:00"/>
    <s v="DEBITO FISCAL IVA BASICO"/>
    <m/>
    <n v="16628.12"/>
    <n v="0"/>
    <n v="-16628.12"/>
    <n v="-1661178.87"/>
    <n v="1140"/>
    <n v="14.586070175438596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DEBITO FISCAL IVA PERCEPCION"/>
    <m/>
    <n v="2375.4499999999998"/>
    <n v="0"/>
    <n v="-2375.4499999999998"/>
    <n v="-1663554.32"/>
    <n v="1140"/>
    <n v="2.083728070175438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"/>
    <d v="2025-02-03T00:00:00"/>
    <s v="INTER.ADEL.CC C/ACUERD"/>
    <m/>
    <n v="158363.03"/>
    <n v="0"/>
    <n v="-158363.03"/>
    <n v="-1821917.35"/>
    <n v="1140"/>
    <n v="138.91493859649123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1"/>
    <d v="2025-02-03T00:00:00"/>
    <s v="CHEQUE P/CAMARA"/>
    <s v="N53810327"/>
    <n v="572221"/>
    <n v="0"/>
    <n v="-572221"/>
    <n v="-2394138.35"/>
    <n v="1140"/>
    <n v="501.9482456140351"/>
    <n v="0"/>
    <s v="ARS"/>
    <s v="CC"/>
    <s v="MACRO"/>
    <x v="3"/>
    <x v="14"/>
    <x v="60"/>
    <m/>
    <s v="TRIVERO"/>
    <s v="FA 144"/>
    <x v="6"/>
    <m/>
    <s v="24/25"/>
    <s v="BIENES Y SERVICIOS"/>
    <s v="EFECTIVO Y OTROS ACT LÍQ EQ."/>
  </r>
  <r>
    <x v="1"/>
    <d v="2025-02-03T00:00:00"/>
    <s v="CHEQUE CANJE INTERNO"/>
    <s v="N54623173"/>
    <n v="1352462"/>
    <n v="0"/>
    <n v="-1352462"/>
    <n v="-3746600.35"/>
    <n v="1140"/>
    <n v="1186.3701754385966"/>
    <n v="0"/>
    <s v="ARS"/>
    <s v="CC"/>
    <s v="MACRO"/>
    <x v="5"/>
    <x v="13"/>
    <x v="46"/>
    <s v="HACIENDA"/>
    <s v="TODO CAMPO COMB"/>
    <s v="FA 7084"/>
    <x v="6"/>
    <m/>
    <s v="24/25"/>
    <s v="BIENES Y SERVICIOS"/>
    <s v="EFECTIVO Y OTROS ACT LÍQ EQ."/>
  </r>
  <r>
    <x v="1"/>
    <d v="2025-02-03T00:00:00"/>
    <s v="DGR SELLOS CORDOBA"/>
    <m/>
    <n v="4230.3999999999996"/>
    <n v="0"/>
    <n v="-4230.3999999999996"/>
    <n v="-3750830.75"/>
    <n v="1140"/>
    <n v="3.7108771929824558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"/>
    <d v="2025-02-03T00:00:00"/>
    <s v="DBCR 25413 S/CR TASA GRAL"/>
    <m/>
    <n v="12637.68"/>
    <n v="0"/>
    <n v="-12637.68"/>
    <n v="-3763468.43"/>
    <n v="1140"/>
    <n v="11.08568421052631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04T00:00:00"/>
    <s v="CHEQUE P/CAMARA"/>
    <s v="N54382306"/>
    <n v="102000"/>
    <n v="0"/>
    <n v="-102000"/>
    <n v="-3865468.43"/>
    <n v="1140"/>
    <n v="89.473684210526315"/>
    <n v="0"/>
    <s v="ARS"/>
    <s v="CC"/>
    <s v="MACRO"/>
    <x v="3"/>
    <x v="8"/>
    <x v="7"/>
    <s v="ARREGLO CUB AUX"/>
    <s v="GOMERIA GONZALEZ"/>
    <m/>
    <x v="7"/>
    <m/>
    <s v="23/24"/>
    <s v="BIENES DE USO"/>
    <s v="EFECTIVO Y OTROS ACT LÍQ EQ."/>
  </r>
  <r>
    <x v="1"/>
    <d v="2025-02-04T00:00:00"/>
    <s v="DBCR 25413 S/CR TASA GRAL"/>
    <m/>
    <n v="612"/>
    <n v="0"/>
    <n v="-612"/>
    <n v="-3866080.43"/>
    <n v="1140"/>
    <n v="0.536842105263157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05T00:00:00"/>
    <s v="CHEQUE CANJE INTERNO"/>
    <s v="N53810330"/>
    <n v="124953.45"/>
    <n v="0"/>
    <n v="-124953.45"/>
    <n v="-3991033.88"/>
    <n v="1140"/>
    <n v="109.60828947368421"/>
    <n v="0"/>
    <s v="ARS"/>
    <s v="CC"/>
    <s v="MACRO"/>
    <x v="3"/>
    <x v="5"/>
    <x v="7"/>
    <m/>
    <s v="FERRRETERIA BULTOR"/>
    <s v="FA 216"/>
    <x v="6"/>
    <m/>
    <s v="24/25"/>
    <s v="BIENES Y SERVICIOS"/>
    <s v="EFECTIVO Y OTROS ACT LÍQ EQ."/>
  </r>
  <r>
    <x v="1"/>
    <d v="2025-02-05T00:00:00"/>
    <s v="TRANSF. MACRONLINE E-SET D/T"/>
    <m/>
    <n v="26729"/>
    <n v="0"/>
    <n v="-26729"/>
    <n v="-4017762.88"/>
    <n v="1140"/>
    <n v="23.446491228070176"/>
    <n v="0"/>
    <s v="ARS"/>
    <s v="CC"/>
    <s v="MACRO"/>
    <x v="3"/>
    <x v="5"/>
    <x v="28"/>
    <s v="ELECT CASA"/>
    <s v="COOPERATIVA ELC"/>
    <m/>
    <x v="6"/>
    <m/>
    <s v="24/25"/>
    <s v="EGRESOS"/>
    <s v="EFECTIVO Y OTROS ACT LÍQ EQ."/>
  </r>
  <r>
    <x v="1"/>
    <d v="2025-02-05T00:00:00"/>
    <s v="DBCR 25413 S/CR TASA GRAL"/>
    <m/>
    <n v="910.09"/>
    <n v="0"/>
    <n v="-910.09"/>
    <n v="-4018672.97"/>
    <n v="1140"/>
    <n v="0.7983245614035088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07T00:00:00"/>
    <s v="DB TR..AUT.SDO.MISMO TIT."/>
    <m/>
    <n v="973871.04"/>
    <n v="0"/>
    <n v="-973871.04"/>
    <n v="-4992544.01"/>
    <n v="1140"/>
    <n v="854.27284210526318"/>
    <n v="0"/>
    <s v="ARS"/>
    <s v="CC"/>
    <s v="MACRO"/>
    <x v="0"/>
    <x v="0"/>
    <x v="0"/>
    <s v="HACIA LA CA"/>
    <m/>
    <m/>
    <x v="0"/>
    <m/>
    <s v="24/25"/>
    <m/>
    <m/>
  </r>
  <r>
    <x v="1"/>
    <d v="2025-02-10T00:00:00"/>
    <s v="TRANSF G Y E SA 30708920882 VAR VARIOS 161104"/>
    <m/>
    <n v="0"/>
    <n v="3000000"/>
    <n v="3000000"/>
    <n v="-1992544.01"/>
    <n v="1140"/>
    <n v="0"/>
    <n v="2631.5789473684213"/>
    <s v="ARS"/>
    <s v="CC"/>
    <s v="MACRO"/>
    <x v="0"/>
    <x v="0"/>
    <x v="0"/>
    <s v="DESDE CC PAMPA"/>
    <m/>
    <m/>
    <x v="0"/>
    <m/>
    <s v="24/25"/>
    <m/>
    <m/>
  </r>
  <r>
    <x v="1"/>
    <d v="2025-02-10T00:00:00"/>
    <s v="TRANSF. MACRONLINE E-SET D/T"/>
    <m/>
    <n v="1000000"/>
    <n v="0"/>
    <n v="-1000000"/>
    <n v="-2992544.01"/>
    <n v="1140"/>
    <n v="877.19298245614038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1"/>
    <d v="2025-02-10T00:00:00"/>
    <s v="COMISION TRF. MACROL E-SET"/>
    <m/>
    <n v="121"/>
    <n v="0"/>
    <n v="-121"/>
    <n v="-2992665.01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10T00:00:00"/>
    <s v="DGR FINANZAS CBA"/>
    <m/>
    <n v="1173708.99"/>
    <n v="0"/>
    <n v="-1173708.99"/>
    <n v="-4166374"/>
    <n v="1140"/>
    <n v="1029.5692894736842"/>
    <n v="0"/>
    <s v="ARS"/>
    <s v="CC"/>
    <s v="MACRO"/>
    <x v="1"/>
    <x v="1"/>
    <x v="1"/>
    <s v="CUOTA 3/6"/>
    <s v="RENTAS"/>
    <m/>
    <x v="20"/>
    <m/>
    <s v="24/25"/>
    <s v="EGRESOS"/>
    <s v="EFECTIVO Y OTROS ACT LÍQ EQ."/>
  </r>
  <r>
    <x v="1"/>
    <d v="2025-02-10T00:00:00"/>
    <s v="DBCR 25413 S/CR TASA GRAL"/>
    <m/>
    <n v="13042.98"/>
    <n v="0"/>
    <n v="-13042.98"/>
    <n v="-4179416.98"/>
    <n v="1140"/>
    <n v="11.44121052631578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1T00:00:00"/>
    <s v="CHEQUE CANJE INTERNO"/>
    <s v="N53810333"/>
    <n v="642010"/>
    <n v="0"/>
    <n v="-642010"/>
    <n v="-4821426.9800000004"/>
    <n v="1140"/>
    <n v="563.16666666666663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1"/>
    <d v="2025-02-11T00:00:00"/>
    <s v="DBCR 25413 S/CR TASA GRAL"/>
    <m/>
    <n v="3852.06"/>
    <n v="0"/>
    <n v="-3852.06"/>
    <n v="-4825279.04"/>
    <n v="1140"/>
    <n v="3.37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3T00:00:00"/>
    <s v="CHEQUE P/CAMARA"/>
    <n v="51936050"/>
    <n v="713000"/>
    <n v="0"/>
    <n v="-713000"/>
    <n v="-5538279.04"/>
    <n v="1140"/>
    <n v="625.43859649122805"/>
    <n v="0"/>
    <s v="ARS"/>
    <s v="CC"/>
    <s v="MACRO"/>
    <x v="2"/>
    <x v="4"/>
    <x v="5"/>
    <s v="EXTRACCION"/>
    <s v="DANI PEREYRA"/>
    <m/>
    <x v="5"/>
    <m/>
    <s v="24/25"/>
    <s v="BIENES Y SERVICIOS"/>
    <s v="EFECTIVO Y OTROS ACT LÍQ EQ."/>
  </r>
  <r>
    <x v="1"/>
    <d v="2025-02-13T00:00:00"/>
    <s v="TRANSF. MACRONLINE E-SET D/T"/>
    <m/>
    <n v="381312"/>
    <n v="0"/>
    <n v="-381312"/>
    <n v="-5919591.04"/>
    <n v="1140"/>
    <n v="334.48421052631579"/>
    <n v="0"/>
    <s v="ARS"/>
    <s v="CC"/>
    <s v="MACRO"/>
    <x v="1"/>
    <x v="7"/>
    <x v="61"/>
    <s v="ABOGADA"/>
    <s v="QUARANTA CARLOS"/>
    <m/>
    <x v="6"/>
    <m/>
    <s v="24/25"/>
    <s v="BIENES Y SERVICIOS"/>
    <s v="EFECTIVO Y OTROS ACT LÍQ EQ."/>
  </r>
  <r>
    <x v="1"/>
    <d v="2025-02-13T00:00:00"/>
    <s v="COMISION TRF. MACROL E-SET"/>
    <m/>
    <n v="121"/>
    <n v="0"/>
    <n v="-121"/>
    <n v="-5919712.04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13T00:00:00"/>
    <s v="DBCR 25413 S/CR TASA GRAL"/>
    <m/>
    <n v="6566.6"/>
    <n v="0"/>
    <n v="-6566.6"/>
    <n v="-5926278.6399999997"/>
    <n v="1140"/>
    <n v="5.760175438596491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4T00:00:00"/>
    <s v="TRANSF 30708920882 VAR 190181700002"/>
    <m/>
    <n v="0"/>
    <n v="2000000"/>
    <n v="2000000"/>
    <n v="-3926278.64"/>
    <n v="1140"/>
    <n v="0"/>
    <n v="1754.3859649122808"/>
    <s v="ARS"/>
    <s v="CC"/>
    <s v="MACRO"/>
    <x v="0"/>
    <x v="0"/>
    <x v="0"/>
    <s v="DESDE CC PAMPA"/>
    <m/>
    <m/>
    <x v="0"/>
    <m/>
    <s v="24/25"/>
    <m/>
    <m/>
  </r>
  <r>
    <x v="1"/>
    <d v="2025-02-14T00:00:00"/>
    <s v="TRANSF. MACRONLINE E-SET D/T"/>
    <m/>
    <n v="238670"/>
    <n v="0"/>
    <n v="-238670"/>
    <n v="-4164948.64"/>
    <n v="1140"/>
    <n v="209.35964912280701"/>
    <n v="0"/>
    <s v="ARS"/>
    <s v="CC"/>
    <s v="MACRO"/>
    <x v="3"/>
    <x v="8"/>
    <x v="39"/>
    <s v="INYECTORES"/>
    <s v="VCA REPUESTOS"/>
    <m/>
    <x v="6"/>
    <m/>
    <s v="24/25"/>
    <s v="BIENES DE USO"/>
    <s v="EFECTIVO Y OTROS ACT LÍQ EQ."/>
  </r>
  <r>
    <x v="1"/>
    <d v="2025-02-14T00:00:00"/>
    <s v="DBCR 25413 S/CR TASA GRAL"/>
    <m/>
    <n v="1432.02"/>
    <n v="0"/>
    <n v="-1432.02"/>
    <n v="-4166380.66"/>
    <n v="1140"/>
    <n v="1.256157894736842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8T00:00:00"/>
    <s v="CHEQUE P/CAMARA"/>
    <s v="N53810345"/>
    <n v="189690.23999999999"/>
    <n v="0"/>
    <n v="-189690.23999999999"/>
    <n v="-4356070.9000000004"/>
    <n v="1140"/>
    <n v="166.39494736842104"/>
    <n v="0"/>
    <s v="ARS"/>
    <s v="CC"/>
    <s v="MACRO"/>
    <x v="5"/>
    <x v="13"/>
    <x v="25"/>
    <m/>
    <s v="LA YUNTA VET"/>
    <s v="FA 667"/>
    <x v="6"/>
    <m/>
    <s v="24/25"/>
    <s v="BIENES DE USO"/>
    <s v="EFECTIVO Y OTROS ACT LÍQ EQ."/>
  </r>
  <r>
    <x v="1"/>
    <d v="2025-02-18T00:00:00"/>
    <s v="DBCR 25413 S/CR TASA GRAL"/>
    <m/>
    <n v="1138.1400000000001"/>
    <n v="0"/>
    <n v="-1138.1400000000001"/>
    <n v="-4357209.04"/>
    <n v="1140"/>
    <n v="0.998368421052631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9T00:00:00"/>
    <s v="CHEQUE CANJE INTERNO"/>
    <s v="N53810332"/>
    <n v="421560"/>
    <n v="0"/>
    <n v="-421560"/>
    <n v="-4778769.04"/>
    <n v="1140"/>
    <n v="369.78947368421052"/>
    <n v="0"/>
    <s v="ARS"/>
    <s v="CC"/>
    <s v="MACRO"/>
    <x v="5"/>
    <x v="13"/>
    <x v="25"/>
    <m/>
    <s v="LA YUNTA VET"/>
    <s v="FA 630"/>
    <x v="6"/>
    <m/>
    <s v="24/25"/>
    <s v="BIENES DE USO"/>
    <s v="EFECTIVO Y OTROS ACT LÍQ EQ."/>
  </r>
  <r>
    <x v="1"/>
    <d v="2025-02-19T00:00:00"/>
    <s v="SANCORSEG - SANCOR SEGUROS"/>
    <m/>
    <n v="4345"/>
    <n v="0"/>
    <n v="-4345"/>
    <n v="-4783114.04"/>
    <n v="1140"/>
    <n v="3.8114035087719298"/>
    <n v="0"/>
    <s v="ARS"/>
    <s v="CC"/>
    <s v="MACRO"/>
    <x v="1"/>
    <x v="7"/>
    <x v="58"/>
    <m/>
    <m/>
    <m/>
    <x v="1"/>
    <m/>
    <s v="24/25"/>
    <s v="EGRESOS"/>
    <s v="EFECTIVO Y OTROS ACT LÍQ EQ."/>
  </r>
  <r>
    <x v="1"/>
    <d v="2025-02-19T00:00:00"/>
    <s v="DBCR 25413 S/CR TASA GRAL"/>
    <m/>
    <n v="2555.4299999999998"/>
    <n v="0"/>
    <n v="-2555.4299999999998"/>
    <n v="-4785669.47"/>
    <n v="1140"/>
    <n v="2.241605263157894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1T00:00:00"/>
    <s v="CHEQUE P/CAMARA"/>
    <s v="N53810331"/>
    <n v="392000"/>
    <n v="0"/>
    <n v="-392000"/>
    <n v="-5177669.47"/>
    <n v="1140"/>
    <n v="343.85964912280701"/>
    <n v="0"/>
    <s v="ARS"/>
    <s v="CC"/>
    <s v="MACRO"/>
    <x v="5"/>
    <x v="13"/>
    <x v="4"/>
    <s v="HONORARIOS"/>
    <s v="FEDE PICCIOCHI"/>
    <s v="FA315"/>
    <x v="6"/>
    <m/>
    <s v="24/25"/>
    <s v="BIENES DE USO"/>
    <s v="EFECTIVO Y OTROS ACT LÍQ EQ."/>
  </r>
  <r>
    <x v="1"/>
    <d v="2025-02-21T00:00:00"/>
    <s v="DBCR 25413 S/CR TASA GRAL"/>
    <m/>
    <n v="2352"/>
    <n v="0"/>
    <n v="-2352"/>
    <n v="-5180021.47"/>
    <n v="1140"/>
    <n v="2.063157894736842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4T00:00:00"/>
    <s v="CHEQUE P/CAMARA"/>
    <s v="N51936048"/>
    <n v="340000"/>
    <n v="0"/>
    <n v="-340000"/>
    <n v="-5520021.4699999997"/>
    <n v="1140"/>
    <n v="298.24561403508773"/>
    <n v="0"/>
    <s v="ARS"/>
    <s v="CC"/>
    <s v="MACRO"/>
    <x v="3"/>
    <x v="8"/>
    <x v="39"/>
    <m/>
    <s v="LEO FERNANDEZ"/>
    <s v="FA 286 282"/>
    <x v="6"/>
    <m/>
    <s v="24/25"/>
    <s v="BIENES DE USO"/>
    <s v="EFECTIVO Y OTROS ACT LÍQ EQ."/>
  </r>
  <r>
    <x v="1"/>
    <d v="2025-02-24T00:00:00"/>
    <s v="CHEQUE P/CAMARA"/>
    <s v="N53810328"/>
    <n v="367727.47"/>
    <n v="0"/>
    <n v="-367727.47"/>
    <n v="-5887748.9400000004"/>
    <n v="1140"/>
    <n v="322.56795614035087"/>
    <n v="0"/>
    <s v="ARS"/>
    <s v="CC"/>
    <s v="MACRO"/>
    <x v="3"/>
    <x v="14"/>
    <x v="26"/>
    <s v="REPUESTOS"/>
    <s v="ZANOTTO "/>
    <s v="FA 804"/>
    <x v="6"/>
    <m/>
    <s v="24/25"/>
    <s v="BIENES DE USO"/>
    <s v="EFECTIVO Y OTROS ACT LÍQ EQ."/>
  </r>
  <r>
    <x v="1"/>
    <d v="2025-02-24T00:00:00"/>
    <s v="CHEQUE P/CAMARA"/>
    <s v="N53810342"/>
    <n v="341890.4"/>
    <n v="0"/>
    <n v="-341890.4"/>
    <n v="-6229639.3399999999"/>
    <n v="1140"/>
    <n v="299.90385964912281"/>
    <n v="0"/>
    <s v="ARS"/>
    <s v="CC"/>
    <s v="MACRO"/>
    <x v="5"/>
    <x v="13"/>
    <x v="46"/>
    <s v="HACIENDA"/>
    <s v="TODO CAMPO COMB"/>
    <s v="FA 7381"/>
    <x v="6"/>
    <m/>
    <s v="24/25"/>
    <s v="BIENES DE USO"/>
    <s v="EFECTIVO Y OTROS ACT LÍQ EQ."/>
  </r>
  <r>
    <x v="1"/>
    <d v="2025-02-24T00:00:00"/>
    <s v="TRANSF G Y E SA 30708920882 VAR VARIOS 161104"/>
    <m/>
    <n v="0"/>
    <n v="500000"/>
    <n v="500000"/>
    <n v="-5729639.3399999999"/>
    <n v="1140"/>
    <n v="0"/>
    <n v="438.59649122807019"/>
    <s v="ARS"/>
    <s v="CC"/>
    <s v="MACRO"/>
    <x v="0"/>
    <x v="0"/>
    <x v="0"/>
    <s v="DESDE CC PAMPA"/>
    <m/>
    <m/>
    <x v="0"/>
    <m/>
    <s v="24/25"/>
    <m/>
    <m/>
  </r>
  <r>
    <x v="1"/>
    <d v="2025-02-24T00:00:00"/>
    <s v="DEBITO FISCAL IVA BASICO"/>
    <m/>
    <n v="2741.13"/>
    <n v="0"/>
    <n v="-2741.13"/>
    <n v="-5732380.4699999997"/>
    <n v="1140"/>
    <n v="2.404500000000000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1"/>
    <d v="2025-02-24T00:00:00"/>
    <s v="DEBITO FISCAL IVA PERCEPCION"/>
    <m/>
    <n v="391.59"/>
    <n v="0"/>
    <n v="-391.59"/>
    <n v="-5732772.0599999996"/>
    <n v="1140"/>
    <n v="0.343499999999999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"/>
    <d v="2025-02-24T00:00:00"/>
    <s v="COMISION CHEQUE CONSULTA"/>
    <m/>
    <n v="13053"/>
    <n v="0"/>
    <n v="-13053"/>
    <n v="-5745825.0599999996"/>
    <n v="1140"/>
    <n v="11.4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24T00:00:00"/>
    <s v="DBCR 25413 S/CR TASA GRAL"/>
    <m/>
    <n v="6394.81"/>
    <n v="0"/>
    <n v="-6394.81"/>
    <n v="-5752219.8700000001"/>
    <n v="1140"/>
    <n v="5.609482456140351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6T00:00:00"/>
    <s v="CHEQUE P/CAMARA"/>
    <s v="N53810326"/>
    <n v="292300"/>
    <n v="0"/>
    <n v="-292300"/>
    <n v="-6044519.8700000001"/>
    <n v="1140"/>
    <n v="256.40350877192981"/>
    <n v="0"/>
    <s v="ARS"/>
    <s v="CC"/>
    <s v="MACRO"/>
    <x v="0"/>
    <x v="21"/>
    <x v="62"/>
    <m/>
    <s v="GARELLO"/>
    <s v="FA 092"/>
    <x v="5"/>
    <m/>
    <s v="24/25"/>
    <s v="BIENES Y SERVICIOS"/>
    <s v="EFECTIVO Y OTROS ACT LÍQ EQ."/>
  </r>
  <r>
    <x v="1"/>
    <d v="2025-02-26T00:00:00"/>
    <s v="CHEQUE P/CAMARA"/>
    <s v="N53810338"/>
    <n v="1356153.27"/>
    <n v="0"/>
    <n v="-1356153.27"/>
    <n v="-7400673.1399999997"/>
    <n v="1140"/>
    <n v="1189.6081315789475"/>
    <n v="0"/>
    <s v="ARS"/>
    <s v="CC"/>
    <s v="MACRO"/>
    <x v="2"/>
    <x v="4"/>
    <x v="5"/>
    <s v="APLICACIONES"/>
    <s v="CLERICI JUAN PABLO"/>
    <s v="FA 31,32,33"/>
    <x v="6"/>
    <m/>
    <s v="24/25"/>
    <s v="BIENES Y SERVICIOS"/>
    <s v="EFECTIVO Y OTROS ACT LÍQ EQ."/>
  </r>
  <r>
    <x v="1"/>
    <d v="2025-02-26T00:00:00"/>
    <s v="TEF DATANET MT G E S A 30708920882"/>
    <m/>
    <n v="0"/>
    <n v="1500000"/>
    <n v="1500000"/>
    <n v="-5900673.1399999997"/>
    <n v="1140"/>
    <n v="0"/>
    <n v="1315.7894736842106"/>
    <s v="ARS"/>
    <s v="CC"/>
    <s v="MACRO"/>
    <x v="0"/>
    <x v="0"/>
    <x v="0"/>
    <s v="DESDE CC GALICIA"/>
    <m/>
    <m/>
    <x v="0"/>
    <m/>
    <s v="24/25"/>
    <m/>
    <m/>
  </r>
  <r>
    <x v="1"/>
    <d v="2025-02-26T00:00:00"/>
    <s v="DEBITO FISCAL IVA BASICO"/>
    <m/>
    <n v="2741.13"/>
    <n v="0"/>
    <n v="-2741.13"/>
    <n v="-5903414.2699999996"/>
    <n v="1140"/>
    <n v="2.404500000000000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1"/>
    <d v="2025-02-26T00:00:00"/>
    <s v="DEBITO FISCAL IVA PERCEPCION"/>
    <m/>
    <n v="391.59"/>
    <n v="0"/>
    <n v="-391.59"/>
    <n v="-5903805.8600000003"/>
    <n v="1140"/>
    <n v="0.343499999999999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"/>
    <d v="2025-02-26T00:00:00"/>
    <s v="COMISION CHEQUE CONSULTA"/>
    <m/>
    <n v="13053"/>
    <n v="0"/>
    <n v="-13053"/>
    <n v="-5916858.8600000003"/>
    <n v="1140"/>
    <n v="11.4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26T00:00:00"/>
    <s v="DBCR 25413 S/CR TASA GRAL"/>
    <m/>
    <n v="9987.83"/>
    <n v="0"/>
    <n v="-9987.83"/>
    <n v="-5926846.6900000004"/>
    <n v="1140"/>
    <n v="8.761254385964912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7T00:00:00"/>
    <s v="DEBITO FISCAL IVA BASICO"/>
    <m/>
    <n v="1739.43"/>
    <n v="0"/>
    <n v="-1739.43"/>
    <n v="-5928586.1200000001"/>
    <n v="1140"/>
    <n v="1.525815789473684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1"/>
    <d v="2025-02-27T00:00:00"/>
    <s v="DEBITO FISCAL IVA PERCEPCION"/>
    <m/>
    <n v="248.49"/>
    <n v="0"/>
    <n v="-248.49"/>
    <n v="-5928834.6100000003"/>
    <n v="1140"/>
    <n v="0.2179736842105263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"/>
    <d v="2025-02-27T00:00:00"/>
    <s v="COMISION CHQ PAG CLEARING"/>
    <m/>
    <n v="8283"/>
    <n v="0"/>
    <n v="-8283"/>
    <n v="-5937117.6100000003"/>
    <n v="1140"/>
    <n v="7.26578947368421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27T00:00:00"/>
    <s v="DBCR 25413 S/CR TASA GRAL"/>
    <m/>
    <n v="61.63"/>
    <n v="0"/>
    <n v="-61.63"/>
    <n v="-5937179.2400000002"/>
    <n v="1140"/>
    <n v="5.406140350877193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7T00:00:00"/>
    <s v="DB TR..AUT.SDO.MISMO TIT."/>
    <m/>
    <n v="52018.25"/>
    <n v="0"/>
    <n v="-52018.25"/>
    <n v="-5989197.4900000002"/>
    <n v="1140"/>
    <n v="45.63004385964912"/>
    <n v="0"/>
    <s v="ARS"/>
    <s v="CC"/>
    <s v="MACRO"/>
    <x v="0"/>
    <x v="0"/>
    <x v="0"/>
    <s v="HACIA CA MACRO"/>
    <m/>
    <m/>
    <x v="0"/>
    <m/>
    <s v="24/25"/>
    <m/>
    <m/>
  </r>
  <r>
    <x v="2"/>
    <d v="2025-03-05T00:00:00"/>
    <s v="DEBITO FISCAL IVA BASICO"/>
    <m/>
    <n v="16445.400000000001"/>
    <n v="0"/>
    <n v="-16445.400000000001"/>
    <n v="-6005642.8899999997"/>
    <n v="1140"/>
    <n v="14.42578947368421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2"/>
    <d v="2025-03-05T00:00:00"/>
    <s v="DEBITO FISCAL IVA PERCEPCION"/>
    <m/>
    <n v="2349.34"/>
    <n v="0"/>
    <n v="-2349.34"/>
    <n v="-6007992.2300000004"/>
    <n v="1140"/>
    <n v="2.0608245614035088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INTER.ADEL.CC C/ACUERD"/>
    <m/>
    <n v="156622.82999999999"/>
    <n v="0"/>
    <n v="-156622.82999999999"/>
    <n v="-6164615.0599999996"/>
    <n v="1140"/>
    <n v="137.38844736842105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2"/>
    <d v="2025-03-05T00:00:00"/>
    <s v="CHEQUE P/CAMARA"/>
    <s v="N53810346"/>
    <n v="392000"/>
    <n v="0"/>
    <n v="-392000"/>
    <n v="-6556615.0599999996"/>
    <n v="1140"/>
    <n v="343.85964912280701"/>
    <n v="0"/>
    <s v="ARS"/>
    <s v="CC"/>
    <s v="MACRO"/>
    <x v="5"/>
    <x v="13"/>
    <x v="4"/>
    <s v="HONORARIOS"/>
    <s v="FEDE PICCIOCHI"/>
    <s v="FA319"/>
    <x v="6"/>
    <m/>
    <s v="24/25"/>
    <s v="BIENES Y SERVICIOS"/>
    <s v="EFECTIVO Y OTROS ACT LÍQ EQ."/>
  </r>
  <r>
    <x v="2"/>
    <d v="2025-03-05T00:00:00"/>
    <s v="CHEQUE P/CAMARA"/>
    <s v="N53810352"/>
    <n v="1000000"/>
    <n v="0"/>
    <n v="-1000000"/>
    <n v="-7556615.0599999996"/>
    <n v="1140"/>
    <n v="877.19298245614038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2"/>
    <d v="2025-03-05T00:00:00"/>
    <s v="CHEQUE P/CAMARA"/>
    <s v="N54213999"/>
    <n v="839778.78"/>
    <n v="0"/>
    <n v="-839778.78"/>
    <n v="-8396393.8399999999"/>
    <n v="1140"/>
    <n v="736.64805263157893"/>
    <n v="0"/>
    <s v="ARS"/>
    <s v="CC"/>
    <s v="MACRO"/>
    <x v="2"/>
    <x v="4"/>
    <x v="5"/>
    <s v="APLICACIONES"/>
    <s v="CLERICI JUAN PABLO"/>
    <s v="FA123"/>
    <x v="6"/>
    <m/>
    <s v="24/25"/>
    <s v="BIENES Y SERVICIOS"/>
    <s v="EFECTIVO Y OTROS ACT LÍQ EQ."/>
  </r>
  <r>
    <x v="2"/>
    <d v="2025-03-05T00:00:00"/>
    <s v="TEF DATANET MT G E S A 30708920882"/>
    <m/>
    <n v="0"/>
    <n v="300000"/>
    <n v="300000"/>
    <m/>
    <n v="1140"/>
    <n v="0"/>
    <n v="263.15789473684208"/>
    <s v="ARS"/>
    <s v="CC"/>
    <s v="MACRO"/>
    <x v="0"/>
    <x v="0"/>
    <x v="0"/>
    <s v="DESDE CC GALICIA"/>
    <m/>
    <m/>
    <x v="0"/>
    <m/>
    <s v="24/25"/>
    <m/>
    <m/>
  </r>
  <r>
    <x v="2"/>
    <d v="2025-03-05T00:00:00"/>
    <s v="TEF DATANET MT G E S A 30708920882"/>
    <m/>
    <n v="0"/>
    <n v="1400000"/>
    <n v="1400000"/>
    <n v="-6696393.8399999999"/>
    <n v="1140"/>
    <n v="0"/>
    <n v="1228.0701754385964"/>
    <s v="ARS"/>
    <s v="CC"/>
    <s v="MACRO"/>
    <x v="0"/>
    <x v="0"/>
    <x v="0"/>
    <s v="DESDE CC GALICIA"/>
    <m/>
    <m/>
    <x v="0"/>
    <m/>
    <s v="24/25"/>
    <m/>
    <m/>
  </r>
  <r>
    <x v="2"/>
    <d v="2025-03-05T00:00:00"/>
    <s v="TRANSF G Y E SA 30708920882 VAR VARIOS 161104"/>
    <m/>
    <n v="0"/>
    <n v="90000"/>
    <n v="90000"/>
    <n v="-6606393.8399999999"/>
    <n v="1140"/>
    <n v="0"/>
    <n v="78.94736842105263"/>
    <s v="ARS"/>
    <s v="CC"/>
    <s v="MACRO"/>
    <x v="0"/>
    <x v="0"/>
    <x v="0"/>
    <s v="DESDE CC NACION"/>
    <m/>
    <m/>
    <x v="0"/>
    <m/>
    <s v="24/25"/>
    <m/>
    <m/>
  </r>
  <r>
    <x v="2"/>
    <d v="2025-03-05T00:00:00"/>
    <s v="TRANSF G Y E SA 30708920882 VAR VARIOS 161104"/>
    <m/>
    <n v="0"/>
    <n v="290000"/>
    <n v="290000"/>
    <n v="-6316393.8399999999"/>
    <n v="1140"/>
    <n v="0"/>
    <n v="254.38596491228071"/>
    <s v="ARS"/>
    <s v="CC"/>
    <s v="MACRO"/>
    <x v="0"/>
    <x v="0"/>
    <x v="0"/>
    <s v="DESDE CC PAMPA"/>
    <m/>
    <m/>
    <x v="0"/>
    <m/>
    <s v="24/25"/>
    <m/>
    <m/>
  </r>
  <r>
    <x v="2"/>
    <d v="2025-03-05T00:00:00"/>
    <s v="TRANSF G Y E SA 30708920882 VAR VARIOS 161104"/>
    <m/>
    <n v="0"/>
    <n v="350000"/>
    <n v="350000"/>
    <n v="-5966393.8399999999"/>
    <n v="1140"/>
    <n v="0"/>
    <n v="307.01754385964909"/>
    <s v="ARS"/>
    <s v="CC"/>
    <s v="MACRO"/>
    <x v="0"/>
    <x v="0"/>
    <x v="0"/>
    <s v="DESDE CC NACION"/>
    <m/>
    <m/>
    <x v="0"/>
    <m/>
    <s v="24/25"/>
    <m/>
    <m/>
  </r>
  <r>
    <x v="2"/>
    <d v="2025-03-05T00:00:00"/>
    <s v="DEBITO FISCAL IVA BASICO"/>
    <m/>
    <n v="2741.13"/>
    <n v="0"/>
    <n v="-2741.13"/>
    <n v="-5969134.9699999997"/>
    <n v="1140"/>
    <n v="2.404500000000000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2"/>
    <d v="2025-03-05T00:00:00"/>
    <s v="DEBITO FISCAL IVA PERCEPCION"/>
    <m/>
    <n v="391.59"/>
    <n v="0"/>
    <n v="-391.59"/>
    <n v="-5969526.5599999996"/>
    <n v="1140"/>
    <n v="0.343499999999999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COMISION CHEQUE CONSULTA"/>
    <m/>
    <n v="13053"/>
    <n v="0"/>
    <n v="-13053"/>
    <n v="-5982579.5599999996"/>
    <n v="1140"/>
    <n v="11.4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05T00:00:00"/>
    <s v="DGR SELLOS CORDOBA"/>
    <m/>
    <n v="4307.79"/>
    <n v="0"/>
    <n v="-4307.79"/>
    <n v="-5986887.3499999996"/>
    <n v="1140"/>
    <n v="3.7787631578947369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2"/>
    <d v="2025-03-05T00:00:00"/>
    <s v="DBCR 25413 S/CR TASA GRAL"/>
    <m/>
    <n v="14566.14"/>
    <n v="0"/>
    <n v="-14566.14"/>
    <n v="-6001453.4900000002"/>
    <n v="1140"/>
    <n v="12.77731578947368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06T00:00:00"/>
    <s v="CHEQUE P/CAMARA"/>
    <s v="N53810347"/>
    <n v="1331000"/>
    <n v="0"/>
    <n v="-1331000"/>
    <n v="-7332453.4900000002"/>
    <n v="1140"/>
    <n v="1167.5438596491229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2"/>
    <d v="2025-03-06T00:00:00"/>
    <s v="CHEQUE P/CAMARA"/>
    <s v="N53810350"/>
    <n v="1229406"/>
    <n v="0"/>
    <n v="-1229406"/>
    <n v="-8561859.4900000002"/>
    <n v="1140"/>
    <n v="1078.4263157894736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2"/>
    <d v="2025-03-06T00:00:00"/>
    <s v="CHEQUE P/CAMARA"/>
    <s v="N54382421"/>
    <n v="102000"/>
    <n v="0"/>
    <n v="-102000"/>
    <n v="-8663859.4900000002"/>
    <n v="1140"/>
    <n v="89.473684210526315"/>
    <n v="0"/>
    <s v="ARS"/>
    <s v="CC"/>
    <s v="MACRO"/>
    <x v="3"/>
    <x v="8"/>
    <x v="11"/>
    <m/>
    <s v="GOMERIA GONZALEZ"/>
    <m/>
    <x v="6"/>
    <m/>
    <s v="24/25"/>
    <s v="BIENES Y SERVICIOS"/>
    <s v="EFECTIVO Y OTROS ACT LÍQ EQ."/>
  </r>
  <r>
    <x v="2"/>
    <d v="2025-03-06T00:00:00"/>
    <s v="TRANSF G Y E SA 30708920882 VAR VARIOS 161104"/>
    <m/>
    <n v="0"/>
    <n v="2670000"/>
    <n v="2670000"/>
    <n v="-5993859.4900000002"/>
    <n v="1140"/>
    <n v="0"/>
    <n v="2342.1052631578946"/>
    <s v="ARS"/>
    <s v="CC"/>
    <s v="MACRO"/>
    <x v="0"/>
    <x v="0"/>
    <x v="0"/>
    <s v="DESDE CC NACION"/>
    <m/>
    <m/>
    <x v="0"/>
    <m/>
    <s v="24/25"/>
    <m/>
    <m/>
  </r>
  <r>
    <x v="2"/>
    <d v="2025-03-06T00:00:00"/>
    <s v="DEBITO FISCAL IVA BASICO"/>
    <m/>
    <n v="2741.13"/>
    <n v="0"/>
    <n v="-2741.13"/>
    <n v="-5996600.6200000001"/>
    <n v="1140"/>
    <n v="2.404500000000000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2"/>
    <d v="2025-03-06T00:00:00"/>
    <s v="DEBITO FISCAL IVA PERCEPCION"/>
    <m/>
    <n v="391.59"/>
    <n v="0"/>
    <n v="-391.59"/>
    <n v="-5996992.21"/>
    <n v="1140"/>
    <n v="0.343499999999999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06T00:00:00"/>
    <s v="COMISION CHEQUE CONSULTA"/>
    <m/>
    <n v="13053"/>
    <n v="0"/>
    <n v="-13053"/>
    <n v="-6010045.21"/>
    <n v="1140"/>
    <n v="11.4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06T00:00:00"/>
    <s v="DBCR 25413 S/CR TASA GRAL"/>
    <m/>
    <n v="16071.55"/>
    <n v="0"/>
    <n v="-16071.55"/>
    <n v="-6026116.7599999998"/>
    <n v="1140"/>
    <n v="14.09785087719298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07T00:00:00"/>
    <s v="CHEQUE P/CAMARA"/>
    <s v="N53810343"/>
    <n v="555035.56999999995"/>
    <n v="0"/>
    <n v="-555035.56999999995"/>
    <n v="-6581152.3300000001"/>
    <n v="1140"/>
    <n v="486.87330701754382"/>
    <n v="0"/>
    <s v="ARS"/>
    <s v="CC"/>
    <s v="MACRO"/>
    <x v="1"/>
    <x v="17"/>
    <x v="6"/>
    <s v="PINTURAS PARA CASA"/>
    <s v="AR PINTURAS"/>
    <s v="FA246"/>
    <x v="6"/>
    <s v="RAUL"/>
    <s v="24/25"/>
    <s v="BIENES Y SERVICIOS"/>
    <s v="EFECTIVO Y OTROS ACT LÍQ EQ."/>
  </r>
  <r>
    <x v="2"/>
    <d v="2025-03-07T00:00:00"/>
    <s v="TRANSF G Y E SA 30708920882 VAR VARIOS 161104"/>
    <m/>
    <n v="0"/>
    <n v="583000"/>
    <n v="583000"/>
    <n v="-5998152.3300000001"/>
    <n v="1140"/>
    <n v="0"/>
    <n v="511.40350877192981"/>
    <s v="ARS"/>
    <s v="CC"/>
    <s v="MACRO"/>
    <x v="0"/>
    <x v="0"/>
    <x v="0"/>
    <s v="DESDE CC NACION"/>
    <m/>
    <m/>
    <x v="0"/>
    <m/>
    <s v="24/25"/>
    <m/>
    <m/>
  </r>
  <r>
    <x v="2"/>
    <d v="2025-03-07T00:00:00"/>
    <s v="DEBITO FISCAL IVA BASICO"/>
    <m/>
    <n v="583000"/>
    <n v="0"/>
    <n v="-583000"/>
    <n v="-6000893.46"/>
    <n v="1140"/>
    <n v="511.4035087719298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2"/>
    <d v="2025-03-07T00:00:00"/>
    <s v="DEBITO FISCAL IVA PERCEPCION"/>
    <m/>
    <n v="2741.13"/>
    <n v="0"/>
    <n v="-2741.13"/>
    <n v="-6001285.0499999998"/>
    <n v="1140"/>
    <n v="2.404500000000000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07T00:00:00"/>
    <s v="COMISION CHEQUE CONSULTA"/>
    <m/>
    <n v="391.59"/>
    <n v="0"/>
    <n v="-391.59"/>
    <n v="-6014338.0499999998"/>
    <n v="1140"/>
    <n v="0.34349999999999997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07T00:00:00"/>
    <s v="DBCR 25413 S/CR TASA GRAL"/>
    <m/>
    <n v="13053"/>
    <n v="0"/>
    <n v="-13053"/>
    <n v="-6017765.3700000001"/>
    <n v="1140"/>
    <n v="11.4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07T00:00:00"/>
    <s v="DBCR 25413 S/CR TASA GRAL"/>
    <m/>
    <n v="3427.32"/>
    <n v="0"/>
    <n v="-3427.32"/>
    <n v="-6017765.3700000001"/>
    <n v="1140"/>
    <n v="3.006421052631579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0T00:00:00"/>
    <s v="TEF DATANET MT G E S A 30708920882"/>
    <m/>
    <n v="0"/>
    <n v="20000"/>
    <n v="20000"/>
    <n v="-5997765.3700000001"/>
    <n v="1140"/>
    <n v="0"/>
    <n v="17.543859649122808"/>
    <s v="ARS"/>
    <s v="CC"/>
    <s v="MACRO"/>
    <x v="0"/>
    <x v="0"/>
    <x v="0"/>
    <s v="DESDE CC GALICIA"/>
    <m/>
    <m/>
    <x v="0"/>
    <m/>
    <s v="24/25"/>
    <m/>
    <m/>
  </r>
  <r>
    <x v="2"/>
    <d v="2025-03-11T00:00:00"/>
    <s v="CHEQUE CANJE INTERNO"/>
    <s v="N53810334"/>
    <n v="500000"/>
    <n v="0"/>
    <n v="-500000"/>
    <n v="-6497765.3700000001"/>
    <n v="1140"/>
    <n v="438.59649122807019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2"/>
    <d v="2025-03-11T00:00:00"/>
    <s v="TRANSF ERRECALDE 20164045693 VAR VARIOS"/>
    <m/>
    <n v="0"/>
    <n v="500000"/>
    <n v="500000"/>
    <n v="-5997765.3700000001"/>
    <n v="1140"/>
    <n v="0"/>
    <n v="438.59649122807019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2"/>
    <d v="2025-03-11T00:00:00"/>
    <s v="DBCR 25413 S/CR TASA GRAL"/>
    <m/>
    <n v="3000"/>
    <n v="0"/>
    <n v="-3000"/>
    <n v="-6000765.3700000001"/>
    <n v="1140"/>
    <n v="2.631578947368421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1T00:00:00"/>
    <s v="DBCR 25413 S/CR TASA GRAL"/>
    <m/>
    <n v="3000"/>
    <n v="0"/>
    <n v="-3000"/>
    <n v="-6003765.3700000001"/>
    <n v="1140"/>
    <n v="2.631578947368421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2T00:00:00"/>
    <s v="TEF DATANET MT G E S A 30708920882"/>
    <m/>
    <n v="0"/>
    <n v="5000"/>
    <n v="5000"/>
    <n v="-5998765.3700000001"/>
    <n v="1140"/>
    <n v="0"/>
    <n v="4.3859649122807021"/>
    <s v="ARS"/>
    <s v="CC"/>
    <s v="MACRO"/>
    <x v="0"/>
    <x v="0"/>
    <x v="0"/>
    <s v="DESDE CC GALICIA"/>
    <m/>
    <m/>
    <x v="0"/>
    <m/>
    <s v="24/25"/>
    <m/>
    <m/>
  </r>
  <r>
    <x v="2"/>
    <d v="2025-03-17T00:00:00"/>
    <s v="COMISION TRF. MACROL E-SET"/>
    <m/>
    <n v="121"/>
    <n v="0"/>
    <n v="-121"/>
    <n v="-6650017.6900000004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7T00:00:00"/>
    <s v="DBCR 25413 S/CR TASA GRAL"/>
    <m/>
    <n v="3828.73"/>
    <n v="0"/>
    <n v="-3828.73"/>
    <n v="-6653846.4199999999"/>
    <n v="1140"/>
    <n v="3.358535087719298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7T00:00:00"/>
    <s v="TRANSF. MACRONLINE E-SET D/T"/>
    <m/>
    <n v="638000"/>
    <n v="0"/>
    <n v="-638000"/>
    <n v="-6649896.6900000004"/>
    <n v="1140"/>
    <n v="559.64912280701753"/>
    <n v="0"/>
    <s v="ARS"/>
    <s v="CC"/>
    <s v="MACRO"/>
    <x v="1"/>
    <x v="2"/>
    <x v="27"/>
    <m/>
    <s v="CLAUDIA ERRECALDE"/>
    <m/>
    <x v="15"/>
    <s v="CLAUDIA"/>
    <s v="24/25"/>
    <s v="FUTURAS UT. ADL CLAUDIA"/>
    <s v="EFECTIVO Y OTROS ACT LÍQ EQ."/>
  </r>
  <r>
    <x v="2"/>
    <d v="2025-03-18T00:00:00"/>
    <s v="CHEQUE P/CAMARA"/>
    <s v="N53810339"/>
    <n v="1356000"/>
    <n v="0"/>
    <n v="-1356000"/>
    <n v="-8009846.4199999999"/>
    <n v="1140"/>
    <n v="1189.4736842105262"/>
    <n v="0"/>
    <s v="ARS"/>
    <s v="CC"/>
    <s v="MACRO"/>
    <x v="2"/>
    <x v="4"/>
    <x v="5"/>
    <s v="APLICACIONES"/>
    <s v="CLERICI JUAN PABLO"/>
    <s v="FA31, 32, 33"/>
    <x v="6"/>
    <m/>
    <s v="24/25"/>
    <s v="BIENES Y SERVICIOS"/>
    <s v="EFECTIVO Y OTROS ACT LÍQ EQ."/>
  </r>
  <r>
    <x v="2"/>
    <d v="2025-03-18T00:00:00"/>
    <s v="CHEQUE P/CAMARA"/>
    <s v="N56186509"/>
    <n v="814644.6"/>
    <n v="0"/>
    <n v="-814644.6"/>
    <n v="-8824491.0199999996"/>
    <n v="1140"/>
    <n v="714.60052631578947"/>
    <n v="0"/>
    <s v="ARS"/>
    <s v="CC"/>
    <s v="MACRO"/>
    <x v="3"/>
    <x v="8"/>
    <x v="39"/>
    <m/>
    <s v="DIESEL REALICO"/>
    <s v="FA 3740"/>
    <x v="6"/>
    <m/>
    <s v="24/25"/>
    <s v="BIENES Y SERVICIOS"/>
    <s v="EFECTIVO Y OTROS ACT LÍQ EQ."/>
  </r>
  <r>
    <x v="2"/>
    <d v="2025-03-18T00:00:00"/>
    <s v="TRANSF. MACRONLINE E-SET D/T"/>
    <m/>
    <n v="500000"/>
    <n v="0"/>
    <n v="-500000"/>
    <n v="-9324491.0199999996"/>
    <n v="1140"/>
    <n v="438.59649122807019"/>
    <n v="0"/>
    <s v="ARS"/>
    <s v="CC"/>
    <s v="MACRO"/>
    <x v="1"/>
    <x v="2"/>
    <x v="2"/>
    <s v="DEVOLUCION PARTE APORTADO"/>
    <s v="RAUL"/>
    <m/>
    <x v="2"/>
    <s v="RAUL"/>
    <s v="24/25"/>
    <s v="FUTURAS UT. ADL RAUL"/>
    <s v="EFECTIVO Y OTROS ACT LÍQ EQ."/>
  </r>
  <r>
    <x v="2"/>
    <d v="2025-03-18T00:00:00"/>
    <s v="COMISION TRF. MACROL E-SET"/>
    <m/>
    <n v="121"/>
    <n v="0"/>
    <n v="-121"/>
    <n v="-9324612.0199999996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8T00:00:00"/>
    <s v="TRANSF. MACRONLINE E-SET M/T"/>
    <m/>
    <n v="760000"/>
    <n v="0"/>
    <n v="-760000"/>
    <n v="-10084612.02"/>
    <n v="1140"/>
    <n v="666.66666666666663"/>
    <n v="0"/>
    <s v="ARS"/>
    <s v="CC"/>
    <s v="MACRO"/>
    <x v="0"/>
    <x v="0"/>
    <x v="0"/>
    <s v="HACIA EL GALICIA"/>
    <m/>
    <m/>
    <x v="0"/>
    <m/>
    <s v="24/25"/>
    <m/>
    <m/>
  </r>
  <r>
    <x v="2"/>
    <d v="2025-03-18T00:00:00"/>
    <s v="COMISION TRF. MACROL E-SET"/>
    <m/>
    <n v="121"/>
    <n v="0"/>
    <n v="-121"/>
    <n v="-10084733.02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8T00:00:00"/>
    <s v="TRANSF. MACRONLINE E-SET D/T"/>
    <m/>
    <n v="1000000"/>
    <n v="0"/>
    <n v="-1000000"/>
    <n v="-11084733.02"/>
    <n v="1140"/>
    <n v="877.19298245614038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2"/>
    <d v="2025-03-18T00:00:00"/>
    <s v="COMISION TRF. MACROL E-SET"/>
    <m/>
    <n v="121"/>
    <n v="0"/>
    <n v="-121"/>
    <n v="-11084854.02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8T00:00:00"/>
    <s v="TRANSF. MACRONLINE E-SET D/T"/>
    <m/>
    <n v="500000"/>
    <n v="0"/>
    <n v="-500000"/>
    <n v="-11084853.02"/>
    <n v="1141"/>
    <n v="438.21209465381247"/>
    <n v="0"/>
    <s v="ARS"/>
    <s v="CC"/>
    <s v="MACRO"/>
    <x v="0"/>
    <x v="0"/>
    <x v="0"/>
    <s v="HACIA EL NACION"/>
    <m/>
    <m/>
    <x v="0"/>
    <m/>
    <s v="24/25"/>
    <m/>
    <m/>
  </r>
  <r>
    <x v="2"/>
    <d v="2025-03-18T00:00:00"/>
    <s v="TRANSF. MACRONLINE E-SET D/T"/>
    <m/>
    <n v="5400"/>
    <n v="0"/>
    <n v="-5400"/>
    <n v="-11584975.02"/>
    <n v="1140"/>
    <n v="4.7368421052631575"/>
    <n v="0"/>
    <s v="ARS"/>
    <s v="CC"/>
    <s v="MACRO"/>
    <x v="3"/>
    <x v="8"/>
    <x v="45"/>
    <m/>
    <m/>
    <m/>
    <x v="5"/>
    <m/>
    <s v="24/25"/>
    <s v="BIENES Y SERVICIOS"/>
    <s v="EFECTIVO Y OTROS ACT LÍQ EQ."/>
  </r>
  <r>
    <x v="2"/>
    <d v="2025-03-18T00:00:00"/>
    <s v="TRANSF. MACRONLINE E-SET D/T"/>
    <m/>
    <n v="150000"/>
    <n v="0"/>
    <n v="-150000"/>
    <n v="-11584975.02"/>
    <n v="1140"/>
    <n v="131.57894736842104"/>
    <n v="0"/>
    <s v="ARS"/>
    <s v="CC"/>
    <s v="MACRO"/>
    <x v="1"/>
    <x v="3"/>
    <x v="13"/>
    <m/>
    <s v="COLO BUSTOS"/>
    <m/>
    <x v="3"/>
    <m/>
    <s v="24/25"/>
    <s v="BIENES Y SERVICIOS"/>
    <s v="EFECTIVO Y OTROS ACT LÍQ EQ."/>
  </r>
  <r>
    <x v="2"/>
    <d v="2025-03-18T00:00:00"/>
    <s v="TRANSF. MACRONLINE E-SET D/T"/>
    <m/>
    <n v="150000"/>
    <n v="0"/>
    <n v="-150000"/>
    <n v="-11584975.02"/>
    <n v="1140"/>
    <n v="131.57894736842104"/>
    <n v="0"/>
    <s v="ARS"/>
    <s v="CC"/>
    <s v="MACRO"/>
    <x v="1"/>
    <x v="3"/>
    <x v="13"/>
    <m/>
    <s v="IGNACIO MALDONADO"/>
    <m/>
    <x v="3"/>
    <m/>
    <s v="24/25"/>
    <s v="BIENES Y SERVICIOS"/>
    <s v="EFECTIVO Y OTROS ACT LÍQ EQ."/>
  </r>
  <r>
    <x v="2"/>
    <d v="2025-03-18T00:00:00"/>
    <s v="TRANSF. MACRONLINE E-SET D/T"/>
    <m/>
    <n v="350000"/>
    <n v="0"/>
    <n v="-350000"/>
    <n v="-11584975.02"/>
    <n v="1140"/>
    <n v="307.01754385964909"/>
    <n v="0"/>
    <s v="ARS"/>
    <s v="CC"/>
    <s v="MACRO"/>
    <x v="1"/>
    <x v="11"/>
    <x v="30"/>
    <s v="DEVOLUCION APORTADO"/>
    <s v="BECERRA ADRIAN"/>
    <m/>
    <x v="10"/>
    <m/>
    <s v="24/25"/>
    <s v="DEUDAS FINANCIERAS CP"/>
    <s v="EFECTIVO Y OTROS ACT LÍQ EQ."/>
  </r>
  <r>
    <x v="2"/>
    <d v="2025-03-18T00:00:00"/>
    <s v="TRANSF. MACRONLINE E-SET D/T"/>
    <m/>
    <n v="447000"/>
    <n v="0"/>
    <n v="-447000"/>
    <n v="-11584975.02"/>
    <n v="1140"/>
    <n v="392.10526315789474"/>
    <n v="0"/>
    <s v="ARS"/>
    <s v="CC"/>
    <s v="MACRO"/>
    <x v="1"/>
    <x v="3"/>
    <x v="3"/>
    <s v="PERIODO FEBRERO 25"/>
    <s v="KEVIN TOLEDO"/>
    <m/>
    <x v="3"/>
    <m/>
    <s v="24/25"/>
    <s v="EGRESOS"/>
    <s v="EFECTIVO Y OTROS ACT LÍQ EQ."/>
  </r>
  <r>
    <x v="2"/>
    <d v="2025-03-18T00:00:00"/>
    <s v="TRANSF. MACRONLINE E-SET D/T"/>
    <m/>
    <n v="45000"/>
    <n v="0"/>
    <n v="-45000"/>
    <n v="-11584975.02"/>
    <n v="1140"/>
    <n v="39.473684210526315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2"/>
    <d v="2025-03-18T00:00:00"/>
    <s v="TRANSF. MACRONLINE E-SET D/T"/>
    <m/>
    <n v="552000"/>
    <n v="0"/>
    <n v="-552000"/>
    <n v="-11584975.02"/>
    <n v="1140"/>
    <n v="484.21052631578948"/>
    <n v="0"/>
    <s v="ARS"/>
    <s v="CC"/>
    <s v="MACRO"/>
    <x v="1"/>
    <x v="3"/>
    <x v="3"/>
    <s v="PERIODO FEBRERO 25"/>
    <s v="ANDRES TOLEDO"/>
    <m/>
    <x v="3"/>
    <m/>
    <s v="24/25"/>
    <s v="EGRESOS"/>
    <s v="EFECTIVO Y OTROS ACT LÍQ EQ."/>
  </r>
  <r>
    <x v="2"/>
    <d v="2025-03-18T00:00:00"/>
    <s v="TRANSF. MACRONLINE E-SET D/T"/>
    <m/>
    <n v="20000"/>
    <n v="0"/>
    <n v="-20000"/>
    <n v="-11584975.02"/>
    <n v="1140"/>
    <n v="17.543859649122808"/>
    <n v="0"/>
    <s v="ARS"/>
    <s v="CC"/>
    <s v="MACRO"/>
    <x v="1"/>
    <x v="3"/>
    <x v="13"/>
    <s v="TRASLADO AL CAMPO"/>
    <m/>
    <m/>
    <x v="1"/>
    <m/>
    <s v="24/25"/>
    <s v="EGRESOS"/>
    <s v="EFECTIVO Y OTROS ACT LÍQ EQ."/>
  </r>
  <r>
    <x v="2"/>
    <d v="2025-03-18T00:00:00"/>
    <s v="TRANSF. MACRONLINE E-SET D/T"/>
    <m/>
    <n v="10000"/>
    <n v="0"/>
    <n v="-10000"/>
    <n v="-11584975.02"/>
    <n v="1140"/>
    <n v="8.77192982456140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8T00:00:00"/>
    <s v="TRANSF. MACRONLINE E-SET D/T"/>
    <m/>
    <n v="150000"/>
    <n v="0"/>
    <n v="-150000"/>
    <n v="-11584975.02"/>
    <n v="1140"/>
    <n v="131.57894736842104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2"/>
    <d v="2025-03-18T00:00:00"/>
    <s v="COMISION TRF. MACROL E-SET"/>
    <m/>
    <n v="121"/>
    <n v="0"/>
    <n v="-121"/>
    <n v="-13464496.02"/>
    <n v="1140"/>
    <n v="0.10614035087719298"/>
    <n v="0"/>
    <s v="ARS"/>
    <s v="CC"/>
    <s v="MACRO"/>
    <x v="1"/>
    <x v="7"/>
    <x v="9"/>
    <s v="MANTENIMIENTO"/>
    <m/>
    <m/>
    <x v="1"/>
    <m/>
    <s v="24/25"/>
    <s v="BIENES Y SERVICIOS"/>
    <s v="EFECTIVO Y OTROS ACT LÍQ EQ."/>
  </r>
  <r>
    <x v="2"/>
    <d v="2025-03-18T00:00:00"/>
    <s v="DBCR 25413 S/CR TASA GRAL"/>
    <m/>
    <n v="33303.919999999998"/>
    <n v="0"/>
    <n v="-33303.919999999998"/>
    <n v="-13497799.939999999"/>
    <n v="1140"/>
    <n v="29.21396491228070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9T00:00:00"/>
    <s v="DBCR 25413 S/CR TASA GRAL"/>
    <m/>
    <n v="26.07"/>
    <n v="0"/>
    <n v="-26.07"/>
    <n v="-13522171.01"/>
    <n v="1140"/>
    <n v="2.286842105263158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9T00:00:00"/>
    <s v="SANCORSEG - SANCOR SEGUROS"/>
    <m/>
    <n v="4345"/>
    <n v="0"/>
    <n v="-4345"/>
    <n v="-13522144.939999999"/>
    <n v="1140"/>
    <n v="3.8114035087719298"/>
    <n v="0"/>
    <s v="ARS"/>
    <s v="CC"/>
    <s v="MACRO"/>
    <x v="1"/>
    <x v="7"/>
    <x v="58"/>
    <s v="MANTENIMIENTO"/>
    <m/>
    <m/>
    <x v="1"/>
    <m/>
    <s v="24/25"/>
    <s v="EGRESOS"/>
    <s v="EFECTIVO Y OTROS ACT LÍQ EQ."/>
  </r>
  <r>
    <x v="2"/>
    <d v="2025-03-19T00:00:00"/>
    <s v="TRANSF. MACRONLINE E-SET M/T"/>
    <m/>
    <n v="20000"/>
    <n v="0"/>
    <n v="-20000"/>
    <n v="-13517799.939999999"/>
    <n v="1140"/>
    <n v="17.543859649122808"/>
    <n v="0"/>
    <s v="ARS"/>
    <s v="CC"/>
    <s v="MACRO"/>
    <x v="0"/>
    <x v="0"/>
    <x v="0"/>
    <s v="HACIA EL GALICIA"/>
    <m/>
    <m/>
    <x v="0"/>
    <m/>
    <m/>
    <m/>
    <m/>
  </r>
  <r>
    <x v="2"/>
    <d v="2025-03-19T00:00:00"/>
    <s v="DBCR 25413 S/CR TASA GRAL"/>
    <m/>
    <n v="26.07"/>
    <n v="0"/>
    <n v="-26.07"/>
    <n v="-13522171.01"/>
    <n v="1140"/>
    <n v="2.286842105263158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0T00:00:00"/>
    <s v="DGR FINANZAS CBA"/>
    <m/>
    <n v="1173709"/>
    <n v="0"/>
    <n v="-1173709"/>
    <n v="-14695880.01"/>
    <n v="1140"/>
    <n v="1029.5692982456139"/>
    <n v="0"/>
    <s v="ARS"/>
    <s v="CC"/>
    <s v="MACRO"/>
    <x v="1"/>
    <x v="1"/>
    <x v="1"/>
    <s v="CUOTA 4/6"/>
    <s v="RENTAS"/>
    <m/>
    <x v="20"/>
    <m/>
    <s v="24/25"/>
    <s v="EGRESOS"/>
    <s v="EFECTIVO Y OTROS ACT LÍQ EQ."/>
  </r>
  <r>
    <x v="2"/>
    <d v="2025-03-20T00:00:00"/>
    <s v="DBCR 25413 S/CR TASA GRAL"/>
    <m/>
    <n v="7042.25"/>
    <n v="0"/>
    <n v="-7042.25"/>
    <n v="-14702922.26"/>
    <n v="1140"/>
    <n v="6.177412280701754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TRANSF. MACRONLINE E-SET M/T"/>
    <m/>
    <n v="550000"/>
    <n v="0"/>
    <n v="-550000"/>
    <n v="-15252922.26"/>
    <n v="1140"/>
    <n v="482.45614035087721"/>
    <n v="0"/>
    <s v="ARS"/>
    <s v="CC"/>
    <s v="MACRO"/>
    <x v="0"/>
    <x v="0"/>
    <x v="0"/>
    <s v="HACIA EL NACION"/>
    <m/>
    <m/>
    <x v="0"/>
    <m/>
    <s v="24/25"/>
    <m/>
    <m/>
  </r>
  <r>
    <x v="2"/>
    <d v="2025-03-21T00:00:00"/>
    <s v="COMISION TRF. MACROL E-SET"/>
    <m/>
    <n v="121"/>
    <n v="0"/>
    <n v="-121"/>
    <n v="-15253043.26"/>
    <n v="1140"/>
    <n v="0.1061403508771929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TRANSF. MACRONLINE E-SET D/T"/>
    <m/>
    <n v="850000"/>
    <n v="0"/>
    <n v="-850000"/>
    <n v="-16103043.26"/>
    <n v="1140"/>
    <n v="745.61403508771934"/>
    <n v="0"/>
    <s v="ARS"/>
    <s v="CC"/>
    <s v="MACRO"/>
    <x v="1"/>
    <x v="7"/>
    <x v="61"/>
    <s v="CONTADORA"/>
    <s v="FABIANA VICENTIN"/>
    <m/>
    <x v="1"/>
    <m/>
    <s v="24/25"/>
    <s v="EGRESOS"/>
    <s v="EFECTIVO Y OTROS ACT LÍQ EQ."/>
  </r>
  <r>
    <x v="2"/>
    <d v="2025-03-21T00:00:00"/>
    <s v="COMISION TRF. MACROL E-SET"/>
    <m/>
    <n v="121"/>
    <n v="0"/>
    <n v="-121"/>
    <n v="-16103164.26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21T00:00:00"/>
    <s v="DBCR 25413 S/CR TASA GRAL"/>
    <m/>
    <n v="5101.46"/>
    <n v="0"/>
    <n v="-5101.46"/>
    <n v="-16108265.720000001"/>
    <n v="1140"/>
    <n v="4.474964912280701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DB TR..AUT.SDO.MISMO TIT."/>
    <m/>
    <n v="1641443.89"/>
    <n v="0"/>
    <n v="-1641443.89"/>
    <n v="-17749709.609999999"/>
    <n v="1140"/>
    <n v="1439.8630614035087"/>
    <n v="0"/>
    <s v="ARS"/>
    <s v="CC"/>
    <s v="MACRO"/>
    <x v="0"/>
    <x v="0"/>
    <x v="0"/>
    <s v="HACIA CA MACRO"/>
    <m/>
    <m/>
    <x v="0"/>
    <m/>
    <s v="24/25"/>
    <m/>
    <m/>
  </r>
  <r>
    <x v="2"/>
    <d v="2025-03-25T00:00:00"/>
    <s v="TRANSF. MACRONLINE E-SET D/T"/>
    <m/>
    <n v="73940"/>
    <n v="0"/>
    <n v="-73940"/>
    <n v="-17823649.609999999"/>
    <n v="1140"/>
    <n v="64.859649122807014"/>
    <n v="0"/>
    <s v="ARS"/>
    <s v="CC"/>
    <s v="MACRO"/>
    <x v="3"/>
    <x v="5"/>
    <x v="7"/>
    <s v="LLAVES DE PASO"/>
    <s v="CIANCIO"/>
    <s v="FA 951"/>
    <x v="6"/>
    <m/>
    <s v="24/25"/>
    <s v="BIENES Y SERVICIOS"/>
    <s v="EFECTIVO Y OTROS ACT LÍQ EQ."/>
  </r>
  <r>
    <x v="2"/>
    <d v="2025-03-25T00:00:00"/>
    <s v="DBCR 25413 S/CR TASA GRAL"/>
    <m/>
    <n v="443.64"/>
    <n v="0"/>
    <n v="-443.64"/>
    <n v="-17824093.25"/>
    <n v="1140"/>
    <n v="0.3891578947368420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6T00:00:00"/>
    <s v="TRANSF. MACRONLINE E-SET M/T"/>
    <m/>
    <n v="1700000"/>
    <n v="0"/>
    <n v="-1700000"/>
    <n v="-19524093.25"/>
    <n v="1140"/>
    <n v="1491.2280701754387"/>
    <n v="0"/>
    <s v="ARS"/>
    <s v="CC"/>
    <s v="MACRO"/>
    <x v="0"/>
    <x v="0"/>
    <x v="0"/>
    <s v="HACIA EL GALICIA"/>
    <m/>
    <m/>
    <x v="0"/>
    <m/>
    <m/>
    <m/>
    <m/>
  </r>
  <r>
    <x v="2"/>
    <d v="2025-03-26T00:00:00"/>
    <s v="COMISION TRF. MACROL E-SET"/>
    <m/>
    <n v="121"/>
    <n v="0"/>
    <n v="-121"/>
    <n v="-19524214.25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26T00:00:00"/>
    <s v="TRANSF. MACRONLINE E-SET D/T"/>
    <m/>
    <n v="30000"/>
    <n v="0"/>
    <n v="-30000"/>
    <n v="-19718214.25"/>
    <n v="1140"/>
    <n v="26.315789473684209"/>
    <n v="0"/>
    <s v="ARS"/>
    <s v="CC"/>
    <s v="MACRO"/>
    <x v="4"/>
    <x v="9"/>
    <x v="12"/>
    <m/>
    <s v="NORMA TOLEDO"/>
    <m/>
    <x v="1"/>
    <m/>
    <s v="24/25"/>
    <s v="EGRESOS"/>
    <s v="EFECTIVO Y OTROS ACT LÍQ EQ."/>
  </r>
  <r>
    <x v="2"/>
    <d v="2025-03-26T00:00:00"/>
    <s v="TRANSF. MACRONLINE E-SET D/T"/>
    <m/>
    <n v="14000"/>
    <n v="0"/>
    <n v="-14000"/>
    <n v="-19718214.25"/>
    <n v="1140"/>
    <n v="12.280701754385966"/>
    <n v="0"/>
    <s v="ARS"/>
    <s v="CC"/>
    <s v="MACRO"/>
    <x v="3"/>
    <x v="8"/>
    <x v="11"/>
    <s v="LAVADERO"/>
    <m/>
    <m/>
    <x v="5"/>
    <m/>
    <s v="24/25"/>
    <s v="BIENES Y SERVICIOS"/>
    <s v="EFECTIVO Y OTROS ACT LÍQ EQ."/>
  </r>
  <r>
    <x v="2"/>
    <d v="2025-03-26T00:00:00"/>
    <s v="TRANSF. MACRONLINE E-SET D/T"/>
    <m/>
    <n v="150000"/>
    <n v="0"/>
    <n v="-150000"/>
    <n v="-19718214.25"/>
    <n v="1140"/>
    <n v="131.57894736842104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2"/>
    <d v="2025-03-26T00:00:00"/>
    <s v="TRANSF. MACRONLINE E-SET D/T"/>
    <m/>
    <n v="245000"/>
    <n v="0"/>
    <n v="-245000"/>
    <n v="-19963214.25"/>
    <n v="1140"/>
    <n v="214.91228070175438"/>
    <n v="0"/>
    <s v="ARS"/>
    <s v="CC"/>
    <s v="MACRO"/>
    <x v="1"/>
    <x v="2"/>
    <x v="2"/>
    <s v="PAGO TELEFONO "/>
    <s v="RAUL"/>
    <m/>
    <x v="2"/>
    <s v="RAUL"/>
    <s v="24/25"/>
    <s v="FUTURAS UT. ADL RAUL"/>
    <s v="EFECTIVO Y OTROS ACT LÍQ EQ."/>
  </r>
  <r>
    <x v="2"/>
    <d v="2025-03-26T00:00:00"/>
    <s v="DBCR 25413 S/CR TASA GRAL"/>
    <m/>
    <n v="2634.73"/>
    <n v="0"/>
    <n v="-2634.73"/>
    <n v="-19965848.98"/>
    <n v="1140"/>
    <n v="2.31116666666666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6T00:00:00"/>
    <s v="DBCR 25413 S/CR TASA GRAL"/>
    <m/>
    <n v="2634.73"/>
    <n v="0"/>
    <n v="-2634.73"/>
    <n v="-19965848.98"/>
    <n v="1140"/>
    <n v="2.31116666666666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7T00:00:00"/>
    <s v="TRANSF. MACRONLINE E-SET M/T"/>
    <m/>
    <n v="70000"/>
    <n v="0"/>
    <n v="-70000"/>
    <n v="-20035848.98"/>
    <n v="1140"/>
    <n v="61.403508771929822"/>
    <n v="0"/>
    <s v="ARS"/>
    <s v="CC"/>
    <s v="MACRO"/>
    <x v="0"/>
    <x v="0"/>
    <x v="0"/>
    <s v="HACIA NACION"/>
    <m/>
    <m/>
    <x v="0"/>
    <m/>
    <m/>
    <m/>
    <m/>
  </r>
  <r>
    <x v="2"/>
    <d v="2025-03-27T00:00:00"/>
    <s v="DEBITO FISCAL IVA BASICO"/>
    <m/>
    <n v="1423.17"/>
    <n v="0"/>
    <n v="-1423.17"/>
    <n v="-20037272.149999999"/>
    <n v="1140"/>
    <n v="1.2483947368421053"/>
    <n v="0"/>
    <s v="ARS"/>
    <s v="CC"/>
    <s v="MACRO"/>
    <x v="1"/>
    <x v="1"/>
    <x v="1"/>
    <s v="IVA BASICO"/>
    <s v="ARCA"/>
    <m/>
    <x v="1"/>
    <m/>
    <s v="24/25"/>
    <s v="EGRESOS"/>
    <s v="EFECTIVO Y OTROS ACT LÍQ EQ."/>
  </r>
  <r>
    <x v="2"/>
    <d v="2025-03-27T00:00:00"/>
    <s v="DEBITO FISCAL IVA PERCEPCION"/>
    <m/>
    <n v="203.31"/>
    <n v="0"/>
    <n v="-203.31"/>
    <n v="-20037475.460000001"/>
    <n v="1140"/>
    <n v="0.17834210526315789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27T00:00:00"/>
    <s v="COMISION CHQ PAG CLEARING"/>
    <m/>
    <n v="6777"/>
    <n v="0"/>
    <n v="-6777"/>
    <n v="-20044252.460000001"/>
    <n v="1140"/>
    <n v="5.94473684210526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27T00:00:00"/>
    <s v="DBCR 25413 S/CR TASA GRAL"/>
    <m/>
    <n v="50.42"/>
    <n v="0"/>
    <n v="-50.42"/>
    <n v="-20044302.879999999"/>
    <n v="1140"/>
    <n v="4.422807017543859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8T00:00:00"/>
    <s v="DB TR..AUT.SDO.MISMO TIT."/>
    <m/>
    <n v="52018.25"/>
    <n v="0"/>
    <n v="-52018.25"/>
    <n v="-20096321.129999999"/>
    <n v="1140"/>
    <n v="45.63004385964912"/>
    <n v="0"/>
    <s v="ARS"/>
    <s v="CC"/>
    <s v="MACRO"/>
    <x v="0"/>
    <x v="0"/>
    <x v="0"/>
    <s v="HACIA CA MACRO"/>
    <m/>
    <m/>
    <x v="0"/>
    <m/>
    <m/>
    <m/>
    <m/>
  </r>
  <r>
    <x v="2"/>
    <d v="2025-03-31T00:00:00"/>
    <s v="CHEQUE P/CAMARA"/>
    <s v="N53810351"/>
    <n v="342700"/>
    <n v="0"/>
    <n v="-342700"/>
    <n v="-20439021.129999999"/>
    <n v="1140"/>
    <n v="300.61403508771929"/>
    <n v="0"/>
    <s v="ARS"/>
    <s v="CC"/>
    <s v="MACRO"/>
    <x v="3"/>
    <x v="14"/>
    <x v="45"/>
    <m/>
    <s v="CALAFAT CESAR"/>
    <m/>
    <x v="5"/>
    <m/>
    <s v="24/25"/>
    <s v="BIENES Y SERVICIOS"/>
    <s v="EFECTIVO Y OTROS ACT LÍQ EQ."/>
  </r>
  <r>
    <x v="3"/>
    <d v="2025-04-01T00:00:00"/>
    <s v="DEBITO FISCAL IVA BASICO"/>
    <m/>
    <n v="21999.200000000001"/>
    <n v="0"/>
    <n v="-21999.200000000001"/>
    <n v="-20463076.530000001"/>
    <n v="1140"/>
    <n v="19.29754385964912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DEBITO FISCAL IVA PERCEPCION"/>
    <m/>
    <n v="3142.74"/>
    <n v="0"/>
    <n v="-3142.74"/>
    <n v="-20466219.27"/>
    <n v="1140"/>
    <n v="2.756789473684210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NTER.ADEL.CC C/ACUERD"/>
    <m/>
    <n v="209516.16"/>
    <n v="0"/>
    <n v="-209516.16"/>
    <n v="-20675735.43"/>
    <n v="1140"/>
    <n v="183.78610526315791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3"/>
    <d v="2025-04-01T00:00:00"/>
    <s v="DEBITO FISCAL IVA BASICO"/>
    <m/>
    <n v="20863.14"/>
    <n v="0"/>
    <n v="-20863.14"/>
    <n v="-20696598.57"/>
    <n v="1140"/>
    <n v="18.30099999999999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DEBITO FISCAL IVA PERCEPCION"/>
    <m/>
    <n v="2980.45"/>
    <n v="0"/>
    <n v="-2980.45"/>
    <n v="-20699579.02"/>
    <n v="1140"/>
    <n v="2.614429824561403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NTER.ADEL.CC C/ACUERD"/>
    <m/>
    <n v="198696.54"/>
    <n v="0"/>
    <n v="-198696.54"/>
    <n v="-20898275.559999999"/>
    <n v="1140"/>
    <n v="174.2952105263158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3"/>
    <d v="2025-04-01T00:00:00"/>
    <s v="DEBITO FISCAL IVA BASICO"/>
    <m/>
    <n v="19.579999999999998"/>
    <n v="0"/>
    <n v="-19.579999999999998"/>
    <n v="-20898295.140000001"/>
    <n v="1140"/>
    <n v="1.7175438596491226E-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INTER.ADEL.CC S/ACUERD"/>
    <m/>
    <n v="186.49"/>
    <n v="0"/>
    <n v="-186.49"/>
    <n v="-20898481.629999999"/>
    <n v="1140"/>
    <n v="0.16358771929824562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3"/>
    <d v="2025-04-01T00:00:00"/>
    <s v="CHEQUE P/CAMARA"/>
    <s v="N53810353"/>
    <n v="1108898.33"/>
    <n v="0"/>
    <n v="-1108898.33"/>
    <n v="-22007379.960000001"/>
    <n v="1140"/>
    <n v="972.71783333333337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3"/>
    <d v="2025-04-01T00:00:00"/>
    <s v="CHEQUE CANJE INTERNO"/>
    <s v="N53810354"/>
    <n v="440000"/>
    <n v="0"/>
    <n v="-440000"/>
    <n v="-22447379.960000001"/>
    <n v="1140"/>
    <n v="385.96491228070175"/>
    <n v="0"/>
    <s v="ARS"/>
    <s v="CC"/>
    <s v="MACRO"/>
    <x v="5"/>
    <x v="13"/>
    <x v="4"/>
    <s v="HONORARIOS"/>
    <s v="FEDE PICCIOCHI"/>
    <s v="FA322"/>
    <x v="6"/>
    <m/>
    <s v="24/25"/>
    <s v="BIENES Y SERVICIOS"/>
    <s v="EFECTIVO Y OTROS ACT LÍQ EQ."/>
  </r>
  <r>
    <x v="3"/>
    <d v="2025-04-01T00:00:00"/>
    <s v="TRANSF ERRECALDE 20164045693 VAR VARIOS"/>
    <m/>
    <n v="0"/>
    <n v="1500000"/>
    <n v="1500000"/>
    <n v="-20947379.960000001"/>
    <n v="1140"/>
    <n v="0"/>
    <n v="1315.7894736842106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01T00:00:00"/>
    <s v="DEBITO FISCAL IVA BASICO"/>
    <m/>
    <n v="3024"/>
    <n v="0"/>
    <n v="-3024"/>
    <n v="-20950403.960000001"/>
    <n v="1140"/>
    <n v="2.652631578947368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DEBITO FISCAL IVA PERCEPCION"/>
    <m/>
    <n v="432"/>
    <n v="0"/>
    <n v="-432"/>
    <n v="-20950835.960000001"/>
    <n v="1140"/>
    <n v="0.378947368421052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COMISION CHEQUE CONSULTA"/>
    <m/>
    <n v="14400"/>
    <n v="0"/>
    <n v="-14400"/>
    <n v="-20965235.960000001"/>
    <n v="1140"/>
    <n v="12.63157894736842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01T00:00:00"/>
    <s v="DGR SELLOS CORDOBA"/>
    <m/>
    <n v="6198.49"/>
    <n v="0"/>
    <n v="-6198.49"/>
    <n v="-20971434.449999999"/>
    <n v="1140"/>
    <n v="5.4372719298245613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3"/>
    <d v="2025-04-01T00:00:00"/>
    <s v="DGR SELLOS CORDOBA"/>
    <m/>
    <n v="5599.19"/>
    <n v="0"/>
    <n v="-5599.19"/>
    <n v="-20977033.640000001"/>
    <n v="1140"/>
    <n v="4.9115701754385963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3"/>
    <d v="2025-04-01T00:00:00"/>
    <s v="DGR SELLOS CORDOBA"/>
    <m/>
    <n v="4.05"/>
    <n v="0"/>
    <n v="-4.05"/>
    <n v="-20977037.690000001"/>
    <n v="1140"/>
    <n v="3.5526315789473684E-3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3"/>
    <d v="2025-04-01T00:00:00"/>
    <s v="DBCR 25413 S/CR TASA GRAL"/>
    <m/>
    <n v="9000"/>
    <n v="0"/>
    <n v="-9000"/>
    <n v="-20986037.690000001"/>
    <n v="1140"/>
    <n v="7.894736842105262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1T00:00:00"/>
    <s v="DBCR 25413 S/CR TASA GRAL"/>
    <m/>
    <n v="12215.77"/>
    <n v="0"/>
    <n v="-12215.77"/>
    <n v="-20998253.460000001"/>
    <n v="1140"/>
    <n v="10.71558771929824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3T00:00:00"/>
    <s v="CHEQUE P/CAMARA"/>
    <s v="N53810335"/>
    <n v="4254250"/>
    <n v="0"/>
    <n v="-4254250"/>
    <n v="-25252503.460000001"/>
    <n v="1140"/>
    <n v="3731.7982456140353"/>
    <n v="0"/>
    <s v="ARS"/>
    <s v="CC"/>
    <s v="MACRO"/>
    <x v="2"/>
    <x v="4"/>
    <x v="35"/>
    <s v="SIEMBRA"/>
    <s v="TORTONE"/>
    <m/>
    <x v="5"/>
    <m/>
    <s v="24/25"/>
    <s v="BIENES Y SERVICIOS"/>
    <s v="EFECTIVO Y OTROS ACT LÍQ EQ."/>
  </r>
  <r>
    <x v="3"/>
    <d v="2025-04-03T00:00:00"/>
    <s v="DEBITO FISCAL IVA BASICO"/>
    <m/>
    <n v="3024"/>
    <n v="0"/>
    <n v="-3024"/>
    <n v="-25255527.460000001"/>
    <n v="1140"/>
    <n v="2.652631578947368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3T00:00:00"/>
    <s v="DEBITO FISCAL IVA PERCEPCION"/>
    <m/>
    <n v="432"/>
    <n v="0"/>
    <n v="-432"/>
    <n v="-25255959.460000001"/>
    <n v="1140"/>
    <n v="0.378947368421052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3T00:00:00"/>
    <s v="COMISION CHEQUE CONSULTA"/>
    <m/>
    <n v="14400"/>
    <n v="0"/>
    <n v="-14400"/>
    <n v="-25270359.460000001"/>
    <n v="1140"/>
    <n v="12.63157894736842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03T00:00:00"/>
    <s v="DBCR 25413 S/CR TASA GRAL"/>
    <m/>
    <n v="25632.639999999999"/>
    <n v="0"/>
    <n v="-25632.639999999999"/>
    <n v="-25295992.100000001"/>
    <n v="1140"/>
    <n v="22.48477192982456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4T00:00:00"/>
    <s v="CHEQUE P/CAMARA"/>
    <s v="N53810349"/>
    <n v="1229406"/>
    <n v="0"/>
    <n v="-1229406"/>
    <n v="-26525398.100000001"/>
    <n v="1140"/>
    <n v="1078.4263157894736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3"/>
    <d v="2025-04-04T00:00:00"/>
    <s v="TRANSF 20164045693 VAR"/>
    <m/>
    <n v="0"/>
    <n v="700000"/>
    <n v="700000"/>
    <n v="-25825398.100000001"/>
    <n v="1140"/>
    <n v="0"/>
    <n v="614.03508771929819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04T00:00:00"/>
    <s v="TRANSF 30708920882 VAR"/>
    <m/>
    <n v="0"/>
    <n v="520000"/>
    <n v="520000"/>
    <n v="-25305398.100000001"/>
    <n v="1140"/>
    <n v="0"/>
    <n v="456.14035087719299"/>
    <s v="ARS"/>
    <s v="CC"/>
    <s v="MACRO"/>
    <x v="0"/>
    <x v="0"/>
    <x v="0"/>
    <s v="DESDE CC NACION"/>
    <m/>
    <m/>
    <x v="0"/>
    <m/>
    <s v="24/25"/>
    <m/>
    <m/>
  </r>
  <r>
    <x v="3"/>
    <d v="2025-04-04T00:00:00"/>
    <s v="TRANSF ERRECALDE 20164045693 VAR VARIOS"/>
    <m/>
    <n v="0"/>
    <n v="30000"/>
    <n v="30000"/>
    <n v="-25275398.100000001"/>
    <n v="1140"/>
    <n v="0"/>
    <n v="26.315789473684209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04T00:00:00"/>
    <s v="DEBITO FISCAL IVA BASICO"/>
    <m/>
    <n v="3024"/>
    <n v="0"/>
    <n v="-3024"/>
    <n v="-25278422.100000001"/>
    <n v="1140"/>
    <n v="2.652631578947368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4T00:00:00"/>
    <s v="DEBITO FISCAL IVA PERCEPCION"/>
    <m/>
    <n v="432"/>
    <n v="0"/>
    <n v="-432"/>
    <n v="-25278854.100000001"/>
    <n v="1140"/>
    <n v="0.378947368421052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4T00:00:00"/>
    <s v="COMISION CHEQUE CONSULTA"/>
    <m/>
    <n v="14400"/>
    <n v="0"/>
    <n v="-14400"/>
    <n v="-25293254.100000001"/>
    <n v="1140"/>
    <n v="12.63157894736842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04T00:00:00"/>
    <s v="DBCR 25413 S/CR TASA GRAL"/>
    <m/>
    <n v="4380"/>
    <n v="0"/>
    <n v="-4380"/>
    <n v="-25297634.100000001"/>
    <n v="1140"/>
    <n v="3.842105263157894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4T00:00:00"/>
    <s v="DBCR 25413 S/CR TASA GRAL"/>
    <m/>
    <n v="7483.58"/>
    <n v="0"/>
    <n v="-7483.58"/>
    <n v="-25305117.68"/>
    <n v="1140"/>
    <n v="6.56454385964912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9T00:00:00"/>
    <s v="CHEQUE P/CAMARA"/>
    <s v="N53810357"/>
    <n v="250000"/>
    <n v="0"/>
    <n v="-250000"/>
    <n v="-25555117.68"/>
    <n v="1140"/>
    <n v="219.2982456140351"/>
    <n v="0"/>
    <s v="ARS"/>
    <s v="CC"/>
    <s v="MACRO"/>
    <x v="1"/>
    <x v="3"/>
    <x v="3"/>
    <s v="ADELANTO SUELDO"/>
    <s v="ANDRES TOLEDO"/>
    <m/>
    <x v="3"/>
    <m/>
    <s v="24/25"/>
    <s v="EGRESOS"/>
    <s v="EFECTIVO Y OTROS ACT LÍQ EQ."/>
  </r>
  <r>
    <x v="3"/>
    <d v="2025-04-09T00:00:00"/>
    <s v="TEF DATANET MT G E S A 30708920882"/>
    <m/>
    <n v="0"/>
    <n v="300000"/>
    <n v="300000"/>
    <n v="-25255117.68"/>
    <n v="1140"/>
    <n v="0"/>
    <n v="263.15789473684208"/>
    <s v="ARS"/>
    <s v="CC"/>
    <s v="MACRO"/>
    <x v="0"/>
    <x v="0"/>
    <x v="0"/>
    <s v="DESDE CC GALICIA"/>
    <m/>
    <m/>
    <x v="0"/>
    <m/>
    <m/>
    <m/>
    <m/>
  </r>
  <r>
    <x v="3"/>
    <d v="2025-04-09T00:00:00"/>
    <s v="TEF DATANET MT G E S A 30708920882"/>
    <m/>
    <n v="0"/>
    <n v="4300000"/>
    <n v="4300000"/>
    <n v="-20955117.68"/>
    <n v="1140"/>
    <n v="0"/>
    <n v="3771.9298245614036"/>
    <s v="ARS"/>
    <s v="CC"/>
    <s v="MACRO"/>
    <x v="0"/>
    <x v="0"/>
    <x v="0"/>
    <s v="DESDE CC GALICIA"/>
    <m/>
    <m/>
    <x v="0"/>
    <m/>
    <m/>
    <m/>
    <m/>
  </r>
  <r>
    <x v="3"/>
    <d v="2025-04-09T00:00:00"/>
    <s v="DEBITO FISCAL IVA BASICO"/>
    <m/>
    <n v="3024"/>
    <n v="0"/>
    <n v="-3024"/>
    <n v="-20958141.68"/>
    <n v="1140"/>
    <n v="2.652631578947368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9T00:00:00"/>
    <s v="DEBITO FISCAL IVA PERCEPCION"/>
    <m/>
    <n v="432"/>
    <n v="0"/>
    <n v="-432"/>
    <n v="-20958573.68"/>
    <n v="1140"/>
    <n v="0.378947368421052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9T00:00:00"/>
    <s v="COMISION CHEQUE CONSULTA"/>
    <m/>
    <n v="14400"/>
    <n v="0"/>
    <n v="-14400"/>
    <n v="-20972973.68"/>
    <n v="1140"/>
    <n v="12.63157894736842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09T00:00:00"/>
    <s v="DBCR 25413 S/CR TASA GRAL"/>
    <m/>
    <n v="1607.14"/>
    <n v="0"/>
    <n v="-1607.14"/>
    <n v="-20974580.82"/>
    <n v="1140"/>
    <n v="1.409771929824561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14T00:00:00"/>
    <s v="TEF DATANET MT G E S A 30708920882"/>
    <m/>
    <n v="0"/>
    <n v="1200000"/>
    <n v="1200000"/>
    <n v="-19774580.82"/>
    <n v="1170"/>
    <n v="0"/>
    <n v="1025.6410256410256"/>
    <s v="ARS"/>
    <s v="CC"/>
    <s v="MACRO"/>
    <x v="0"/>
    <x v="0"/>
    <x v="0"/>
    <s v="DESDE CC GALICIA"/>
    <m/>
    <m/>
    <x v="0"/>
    <m/>
    <m/>
    <m/>
    <m/>
  </r>
  <r>
    <x v="3"/>
    <d v="2025-04-16T00:00:00"/>
    <s v="CHEQUE P/CAMARA"/>
    <s v="N53810337"/>
    <n v="4254250"/>
    <n v="0"/>
    <n v="-4254250"/>
    <n v="-24028830.82"/>
    <n v="1170"/>
    <n v="3636.1111111111113"/>
    <n v="0"/>
    <s v="ARS"/>
    <s v="CC"/>
    <s v="MACRO"/>
    <x v="2"/>
    <x v="4"/>
    <x v="35"/>
    <s v="SIEMBRA"/>
    <s v="TORTONE"/>
    <m/>
    <x v="5"/>
    <m/>
    <s v="24/25"/>
    <s v="BIENES Y SERVICIOS"/>
    <s v="EFECTIVO Y OTROS ACT LÍQ EQ."/>
  </r>
  <r>
    <x v="3"/>
    <d v="2025-04-16T00:00:00"/>
    <s v="CHEQUE P/CAMARA"/>
    <s v="N53810340"/>
    <n v="1356000"/>
    <n v="0"/>
    <n v="-1356000"/>
    <n v="-25384830.82"/>
    <n v="1170"/>
    <n v="1158.9743589743589"/>
    <n v="0"/>
    <s v="ARS"/>
    <s v="CC"/>
    <s v="MACRO"/>
    <x v="2"/>
    <x v="4"/>
    <x v="5"/>
    <s v="APLICACIONES"/>
    <s v="CLERICI JUAN PABLO"/>
    <s v="FA31, 32, 33"/>
    <x v="6"/>
    <m/>
    <s v="24/25"/>
    <s v="BIENES Y SERVICIOS"/>
    <s v="EFECTIVO Y OTROS ACT LÍQ EQ."/>
  </r>
  <r>
    <x v="3"/>
    <d v="2025-04-16T00:00:00"/>
    <s v="TRANSF G Y E SA 30708920882 VAR VARIOS 161104"/>
    <m/>
    <n v="0"/>
    <n v="1200000"/>
    <n v="1200000"/>
    <n v="-24184830.82"/>
    <n v="1170"/>
    <n v="0"/>
    <n v="1025.6410256410256"/>
    <s v="ARS"/>
    <s v="CC"/>
    <s v="MACRO"/>
    <x v="0"/>
    <x v="0"/>
    <x v="0"/>
    <s v="DESDE CC NACION"/>
    <m/>
    <m/>
    <x v="0"/>
    <m/>
    <s v="24/25"/>
    <m/>
    <m/>
  </r>
  <r>
    <x v="3"/>
    <d v="2025-04-16T00:00:00"/>
    <s v="TRANSF G Y E SA 30708920882 VAR VARIOS 161104"/>
    <m/>
    <n v="0"/>
    <n v="1000000"/>
    <n v="1000000"/>
    <n v="-23184830.82"/>
    <n v="1170"/>
    <n v="0"/>
    <n v="854.70085470085473"/>
    <s v="ARS"/>
    <s v="CC"/>
    <s v="MACRO"/>
    <x v="0"/>
    <x v="0"/>
    <x v="0"/>
    <s v="DESDE CC NACION"/>
    <m/>
    <m/>
    <x v="0"/>
    <m/>
    <s v="24/25"/>
    <m/>
    <m/>
  </r>
  <r>
    <x v="3"/>
    <d v="2025-04-16T00:00:00"/>
    <s v="TEF DATANET MT G E S A 30708920882"/>
    <m/>
    <n v="0"/>
    <n v="2100000"/>
    <n v="2100000"/>
    <n v="-21084830.82"/>
    <n v="1170"/>
    <n v="0"/>
    <n v="1794.8717948717949"/>
    <s v="ARS"/>
    <s v="CC"/>
    <s v="MACRO"/>
    <x v="0"/>
    <x v="0"/>
    <x v="0"/>
    <s v="DESDE CC GALICIA"/>
    <m/>
    <m/>
    <x v="0"/>
    <m/>
    <s v="24/25"/>
    <m/>
    <m/>
  </r>
  <r>
    <x v="3"/>
    <d v="2025-04-16T00:00:00"/>
    <s v="TRANSF G Y E SA 30708920882 VAR VARIOS 161104"/>
    <m/>
    <n v="0"/>
    <n v="90000"/>
    <n v="90000"/>
    <n v="-20994830.82"/>
    <n v="1170"/>
    <n v="0"/>
    <n v="76.92307692307692"/>
    <s v="ARS"/>
    <s v="CC"/>
    <s v="MACRO"/>
    <x v="0"/>
    <x v="0"/>
    <x v="0"/>
    <s v="DESDE CC NACION"/>
    <m/>
    <m/>
    <x v="0"/>
    <m/>
    <s v="24/25"/>
    <m/>
    <m/>
  </r>
  <r>
    <x v="3"/>
    <d v="2025-04-16T00:00:00"/>
    <s v="DEBITO FISCAL IVA BASICO"/>
    <m/>
    <n v="3024"/>
    <n v="0"/>
    <n v="-3024"/>
    <n v="-20997854.82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16T00:00:00"/>
    <s v="DEBITO FISCAL IVA PERCEPCION"/>
    <m/>
    <n v="432"/>
    <n v="0"/>
    <n v="-432"/>
    <n v="-20998286.82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16T00:00:00"/>
    <s v="COMISION CHEQUE CONSULTA"/>
    <m/>
    <n v="14400"/>
    <n v="0"/>
    <n v="-14400"/>
    <n v="-21012686.82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16T00:00:00"/>
    <s v="DBCR 25413 S/CR TASA GRAL"/>
    <m/>
    <n v="33768.639999999999"/>
    <n v="0"/>
    <n v="-33768.639999999999"/>
    <n v="-21046455.460000001"/>
    <n v="1170"/>
    <n v="28.8620854700854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1T00:00:00"/>
    <s v="CHEQUE P/CAMARA"/>
    <s v="N53810355"/>
    <n v="591074.96"/>
    <n v="0"/>
    <n v="-591074.96"/>
    <n v="-21637530.420000002"/>
    <n v="1170"/>
    <n v="505.19227350427349"/>
    <n v="0"/>
    <s v="ARS"/>
    <s v="CC"/>
    <s v="MACRO"/>
    <x v="5"/>
    <x v="13"/>
    <x v="46"/>
    <s v="HACIENDA"/>
    <s v="TODO CAMPO COMB"/>
    <s v="FA7641"/>
    <x v="6"/>
    <m/>
    <s v="24/25"/>
    <s v="BIENES Y SERVICIOS"/>
    <s v="EFECTIVO Y OTROS ACT LÍQ EQ."/>
  </r>
  <r>
    <x v="3"/>
    <d v="2025-04-21T00:00:00"/>
    <s v="TRANSF G Y E SA 30708920882 VAR VARIOS 161104"/>
    <m/>
    <n v="0"/>
    <n v="650000"/>
    <n v="650000"/>
    <n v="-20987530.420000002"/>
    <n v="1170"/>
    <n v="0"/>
    <n v="555.55555555555554"/>
    <s v="ARS"/>
    <s v="CC"/>
    <s v="MACRO"/>
    <x v="0"/>
    <x v="0"/>
    <x v="0"/>
    <s v="DESDE CC NACION"/>
    <m/>
    <m/>
    <x v="0"/>
    <m/>
    <s v="24/25"/>
    <m/>
    <m/>
  </r>
  <r>
    <x v="3"/>
    <d v="2025-04-21T00:00:00"/>
    <s v="SANCORSEG - SANCOR SEGUROS"/>
    <m/>
    <n v="8067"/>
    <n v="0"/>
    <n v="-8067"/>
    <n v="-20995597.420000002"/>
    <n v="1170"/>
    <n v="6.8948717948717952"/>
    <n v="0"/>
    <s v="ARS"/>
    <s v="CC"/>
    <s v="MACRO"/>
    <x v="1"/>
    <x v="7"/>
    <x v="58"/>
    <s v="MANTENIMIENTO"/>
    <m/>
    <m/>
    <x v="1"/>
    <m/>
    <s v="24/25"/>
    <s v="EGRESOS"/>
    <s v="EFECTIVO Y OTROS ACT LÍQ EQ."/>
  </r>
  <r>
    <x v="3"/>
    <d v="2025-04-21T00:00:00"/>
    <s v="DEBITO FISCAL IVA BASICO"/>
    <m/>
    <n v="3024"/>
    <n v="0"/>
    <n v="-3024"/>
    <n v="-20998621.420000002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21T00:00:00"/>
    <s v="DEBITO FISCAL IVA PERCEPCION"/>
    <m/>
    <n v="432"/>
    <n v="0"/>
    <n v="-432"/>
    <n v="-20999053.420000002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21T00:00:00"/>
    <s v="COMISION CHEQUE CONSULTA"/>
    <m/>
    <n v="14400"/>
    <n v="0"/>
    <n v="-14400"/>
    <n v="-21013453.420000002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21T00:00:00"/>
    <s v="DBCR 25413 S/CR TASA GRAL"/>
    <m/>
    <n v="3701.99"/>
    <n v="0"/>
    <n v="-3701.99"/>
    <n v="-21017155.41"/>
    <n v="1170"/>
    <n v="3.16409401709401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8T00:00:00"/>
    <s v="CHEQUE P/CAMARA"/>
    <s v="N53810356"/>
    <n v="85050"/>
    <n v="0"/>
    <n v="-85050"/>
    <n v="-21102205.41"/>
    <n v="1170"/>
    <n v="72.692307692307693"/>
    <n v="0"/>
    <s v="ARS"/>
    <s v="CC"/>
    <s v="MACRO"/>
    <x v="3"/>
    <x v="5"/>
    <x v="36"/>
    <s v="MES ENERO, FEB"/>
    <s v="CHICHIN PICCO"/>
    <m/>
    <x v="7"/>
    <m/>
    <s v="23/24"/>
    <s v="BIENES Y SERVICIOS"/>
    <s v="EFECTIVO Y OTROS ACT LÍQ EQ."/>
  </r>
  <r>
    <x v="3"/>
    <d v="2025-04-28T00:00:00"/>
    <s v="TRANSF ERRECALDE 20164045693 VAR VARIOS"/>
    <m/>
    <n v="0"/>
    <n v="110000"/>
    <n v="110000"/>
    <n v="-20992205.41"/>
    <n v="1170"/>
    <n v="0"/>
    <n v="94.017094017094024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28T00:00:00"/>
    <s v="DEBITO FISCAL IVA BASICO"/>
    <m/>
    <n v="1394.4"/>
    <n v="0"/>
    <n v="-1394.4"/>
    <n v="-20993599.809999999"/>
    <n v="1170"/>
    <n v="1.1917948717948719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28T00:00:00"/>
    <s v="DEBITO FISCAL IVA PERCEPCION"/>
    <m/>
    <n v="199.2"/>
    <n v="0"/>
    <n v="-199.2"/>
    <n v="-20993799.010000002"/>
    <n v="1170"/>
    <n v="0.170256410256410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28T00:00:00"/>
    <s v="COMISION CHQ PAG CLEARING"/>
    <m/>
    <n v="6640"/>
    <n v="0"/>
    <n v="-6640"/>
    <n v="-21000439.010000002"/>
    <n v="1170"/>
    <n v="5.675213675213675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28T00:00:00"/>
    <s v="DEBITO FISCAL IVA BASICO"/>
    <m/>
    <n v="3024"/>
    <n v="0"/>
    <n v="-3024"/>
    <n v="-21003463.010000002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28T00:00:00"/>
    <s v="DEBITO FISCAL IVA PERCEPCION"/>
    <m/>
    <n v="432"/>
    <n v="0"/>
    <n v="-432"/>
    <n v="-21003895.010000002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28T00:00:00"/>
    <s v="COMISION CHEQUE CONSULTA"/>
    <m/>
    <n v="14400"/>
    <n v="0"/>
    <n v="-14400"/>
    <n v="-21018295.010000002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28T00:00:00"/>
    <s v="DBCR 25413 S/CR TASA GRAL"/>
    <m/>
    <n v="660"/>
    <n v="0"/>
    <n v="-660"/>
    <n v="-21018955.010000002"/>
    <n v="1170"/>
    <n v="0.56410256410256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8T00:00:00"/>
    <s v="DBCR 25413 S/CR TASA GRAL"/>
    <m/>
    <n v="666.84"/>
    <n v="0"/>
    <n v="-666.84"/>
    <n v="-21019621.850000001"/>
    <n v="1170"/>
    <n v="0.5699487179487179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9T00:00:00"/>
    <s v="CHEQUE P/CAMARA"/>
    <s v="N53810359"/>
    <n v="811420.13"/>
    <n v="0"/>
    <n v="-811420.13"/>
    <n v="-21831041.98"/>
    <n v="1170"/>
    <n v="693.52147863247865"/>
    <n v="0"/>
    <s v="ARS"/>
    <s v="CC"/>
    <s v="MACRO"/>
    <x v="5"/>
    <x v="13"/>
    <x v="46"/>
    <s v="HACIENDA"/>
    <s v="TODO CAMPO COMB"/>
    <s v="FA 7952"/>
    <x v="6"/>
    <m/>
    <s v="24/25"/>
    <s v="BIENES Y SERVICIOS"/>
    <s v="EFECTIVO Y OTROS ACT LÍQ EQ."/>
  </r>
  <r>
    <x v="3"/>
    <d v="2025-04-29T00:00:00"/>
    <s v="TRANSF ERRECALDE 20164045693 VAR VARIOS"/>
    <m/>
    <n v="0"/>
    <n v="850000"/>
    <n v="850000"/>
    <n v="-20981041.98"/>
    <n v="1170"/>
    <n v="0"/>
    <n v="726.49572649572644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29T00:00:00"/>
    <s v="AJUSTE SALDO DEUDA RECUPERO"/>
    <m/>
    <n v="0"/>
    <n v="17155.41"/>
    <n v="17155.41"/>
    <n v="-20963886.57"/>
    <n v="1170"/>
    <n v="0"/>
    <n v="14.66274358974359"/>
    <s v="ARS"/>
    <s v="CC"/>
    <s v="MACRO"/>
    <x v="0"/>
    <x v="21"/>
    <x v="63"/>
    <m/>
    <m/>
    <m/>
    <x v="21"/>
    <m/>
    <s v="24/25"/>
    <s v="EFECTIVO Y OTROS ACT LÍQ EQ."/>
    <s v="INGRESOS"/>
  </r>
  <r>
    <x v="3"/>
    <d v="2025-04-29T00:00:00"/>
    <s v="DEBITO FISCAL IVA BASICO"/>
    <m/>
    <n v="3024"/>
    <n v="0"/>
    <n v="-3024"/>
    <n v="-20966910.57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29T00:00:00"/>
    <s v="DEBITO FISCAL IVA PERCEPCION"/>
    <m/>
    <n v="432"/>
    <n v="0"/>
    <n v="-432"/>
    <n v="-20967342.57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29T00:00:00"/>
    <s v="COMISION CHEQUE CONSULTA"/>
    <m/>
    <n v="14400"/>
    <n v="0"/>
    <n v="-14400"/>
    <n v="-20981742.57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29T00:00:00"/>
    <s v="DBCR 25413 S/CR TASA GRAL"/>
    <m/>
    <n v="5202.93"/>
    <n v="0"/>
    <n v="-5202.93"/>
    <n v="-20986945.5"/>
    <n v="1170"/>
    <n v="4.446948717948718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9T00:00:00"/>
    <s v="DBCR 25413 S/CR TASA GRAL"/>
    <m/>
    <n v="4975.66"/>
    <n v="0"/>
    <n v="-4975.66"/>
    <n v="-20991921.16"/>
    <n v="1170"/>
    <n v="4.252700854700854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9T00:00:00"/>
    <s v="DB TR..AUT.SDO.MISMO TIT."/>
    <m/>
    <n v="57040"/>
    <n v="0"/>
    <n v="-57040"/>
    <n v="-21048961.16"/>
    <n v="1170"/>
    <n v="48.752136752136749"/>
    <n v="0"/>
    <s v="ARS"/>
    <s v="CC"/>
    <s v="MACRO"/>
    <x v="0"/>
    <x v="0"/>
    <x v="0"/>
    <s v="HACIA CA MACRO"/>
    <m/>
    <m/>
    <x v="0"/>
    <m/>
    <m/>
    <m/>
    <m/>
  </r>
  <r>
    <x v="3"/>
    <d v="2025-04-30T00:00:00"/>
    <s v="DB TR..AUT.SDO.MISMO TIT."/>
    <m/>
    <n v="342.24"/>
    <n v="0"/>
    <n v="-342.24"/>
    <n v="-21049303.399999999"/>
    <n v="1170"/>
    <n v="0.29251282051282051"/>
    <n v="0"/>
    <s v="ARS"/>
    <s v="CC"/>
    <s v="MACRO"/>
    <x v="0"/>
    <x v="0"/>
    <x v="0"/>
    <s v="HACIA CA MACRO"/>
    <m/>
    <m/>
    <x v="0"/>
    <m/>
    <m/>
    <m/>
    <m/>
  </r>
  <r>
    <x v="4"/>
    <d v="2025-05-05T00:00:00"/>
    <s v="DEBITO FISCAL IVA BASICO"/>
    <m/>
    <n v="21915.91"/>
    <n v="0"/>
    <n v="-21915.91"/>
    <n v="-21071219.309999999"/>
    <n v="1170"/>
    <n v="18.73154700854700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DEBITO FISCAL IVA PERCEPCION"/>
    <m/>
    <n v="3130.84"/>
    <n v="0"/>
    <n v="-3130.84"/>
    <n v="-21074350.149999999"/>
    <n v="1170"/>
    <n v="2.67593162393162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NTER.ADEL.CC C/ACUERD"/>
    <m/>
    <n v="208722.91"/>
    <n v="0"/>
    <n v="-208722.91"/>
    <n v="-21283073.059999999"/>
    <n v="1170"/>
    <n v="178.39564957264957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4"/>
    <d v="2025-05-05T00:00:00"/>
    <s v="DEBITO FISCAL IVA BASICO"/>
    <m/>
    <n v="59801.23"/>
    <n v="0"/>
    <n v="-59801.23"/>
    <n v="-21342874.289999999"/>
    <n v="1170"/>
    <n v="51.11216239316239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DEBITO FISCAL IVA PERCEPCION"/>
    <m/>
    <n v="8543.0300000000007"/>
    <n v="0"/>
    <n v="-8543.0300000000007"/>
    <n v="-21351417.32"/>
    <n v="1170"/>
    <n v="7.3017350427350429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NTER.ADEL.CC C/ACUERD"/>
    <m/>
    <n v="569535.56000000006"/>
    <n v="0"/>
    <n v="-569535.56000000006"/>
    <n v="-21920952.879999999"/>
    <n v="1170"/>
    <n v="486.78252991452996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4"/>
    <d v="2025-05-05T00:00:00"/>
    <s v="DEBITO FISCAL IVA BASICO"/>
    <m/>
    <n v="4513.58"/>
    <n v="0"/>
    <n v="-4513.58"/>
    <n v="-21925466.460000001"/>
    <n v="1170"/>
    <n v="3.857760683760683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DEBITO FISCAL IVA PERCEPCION"/>
    <m/>
    <n v="644.79999999999995"/>
    <n v="0"/>
    <n v="-644.79999999999995"/>
    <n v="-21926111.260000002"/>
    <n v="1170"/>
    <n v="0.5511111111111111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NTER.ADEL.CC S/ACUERD"/>
    <m/>
    <n v="42986.44"/>
    <n v="0"/>
    <n v="-42986.44"/>
    <n v="-21969097.699999999"/>
    <n v="1170"/>
    <n v="36.740547008547011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4"/>
    <d v="2025-05-05T00:00:00"/>
    <s v="CHEQUE P/CAMARA"/>
    <s v="N53810362"/>
    <n v="1500000"/>
    <n v="0"/>
    <n v="-1500000"/>
    <n v="-23469097.699999999"/>
    <n v="1170"/>
    <n v="1282.051282051282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4"/>
    <d v="2025-05-05T00:00:00"/>
    <s v="DEBITO FISCAL IVA BASICO"/>
    <m/>
    <n v="3024"/>
    <n v="0"/>
    <n v="-3024"/>
    <n v="-23472121.699999999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DEBITO FISCAL IVA PERCEPCION"/>
    <m/>
    <n v="432"/>
    <n v="0"/>
    <n v="-432"/>
    <n v="-23472553.699999999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COMISION CHEQUE CONSULTA"/>
    <m/>
    <n v="14400"/>
    <n v="0"/>
    <n v="-14400"/>
    <n v="-23486953.699999999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5T00:00:00"/>
    <s v="DGR SELLOS CORDOBA"/>
    <m/>
    <n v="5914.07"/>
    <n v="0"/>
    <n v="-5914.07"/>
    <n v="-23492867.77"/>
    <n v="1170"/>
    <n v="5.0547606837606835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4"/>
    <d v="2025-05-05T00:00:00"/>
    <s v="DGR SELLOS CORDOBA"/>
    <m/>
    <n v="876.39"/>
    <n v="0"/>
    <n v="-876.39"/>
    <n v="-23493744.16"/>
    <n v="1170"/>
    <n v="0.74905128205128202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4"/>
    <d v="2025-05-05T00:00:00"/>
    <s v="DGR SELLOS CORDOBA"/>
    <m/>
    <n v="14999.88"/>
    <n v="0"/>
    <n v="-14999.88"/>
    <n v="-23508744.039999999"/>
    <n v="1170"/>
    <n v="12.820410256410256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4"/>
    <d v="2025-05-05T00:00:00"/>
    <s v="DBCR 25413 S/CR TASA GRAL"/>
    <m/>
    <n v="14756.65"/>
    <n v="0"/>
    <n v="-14756.65"/>
    <n v="-23523500.690000001"/>
    <n v="1170"/>
    <n v="12.61252136752136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6T00:00:00"/>
    <s v="CHEQUE P/CAMARA"/>
    <s v="N53810368"/>
    <n v="497090"/>
    <n v="0"/>
    <n v="-497090"/>
    <n v="-24020590.690000001"/>
    <n v="1170"/>
    <n v="424.86324786324786"/>
    <n v="0"/>
    <s v="ARS"/>
    <s v="CC"/>
    <s v="MACRO"/>
    <x v="5"/>
    <x v="13"/>
    <x v="4"/>
    <s v="HONORARIOS"/>
    <s v="FEDE PICCIOCHI"/>
    <s v="FA333"/>
    <x v="6"/>
    <m/>
    <s v="24/25"/>
    <s v="BIENES Y SERVICIOS"/>
    <s v="EFECTIVO Y OTROS ACT LÍQ EQ."/>
  </r>
  <r>
    <x v="4"/>
    <d v="2025-05-06T00:00:00"/>
    <s v="TRANSF LEIVA HER 30710771576 VAR VARIOS"/>
    <m/>
    <n v="0"/>
    <n v="10000000"/>
    <n v="10000000"/>
    <n v="-14020590.689999999"/>
    <n v="1170"/>
    <n v="0"/>
    <n v="8547.0085470085469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4"/>
    <d v="2025-05-06T00:00:00"/>
    <s v="DEBITO FISCAL IVA BASICO"/>
    <m/>
    <n v="3024"/>
    <n v="0"/>
    <n v="-3024"/>
    <n v="-14023614.689999999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6T00:00:00"/>
    <s v="DEBITO FISCAL IVA PERCEPCION"/>
    <m/>
    <n v="432"/>
    <n v="0"/>
    <n v="-432"/>
    <n v="-14024046.689999999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6T00:00:00"/>
    <s v="COMISION CHEQUE CONSULTA"/>
    <m/>
    <n v="14400"/>
    <n v="0"/>
    <n v="-14400"/>
    <n v="-14038446.689999999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6T00:00:00"/>
    <s v="CHEQUE CANJE INTERNO"/>
    <s v="N53810341"/>
    <n v="1356000"/>
    <n v="0"/>
    <n v="-1356000"/>
    <n v="-15394446.689999999"/>
    <n v="1170"/>
    <n v="1158.9743589743589"/>
    <n v="0"/>
    <s v="ARS"/>
    <s v="CC"/>
    <s v="MACRO"/>
    <x v="2"/>
    <x v="4"/>
    <x v="5"/>
    <s v="APLICACIONES"/>
    <s v="CLERICI JUAN PABLO"/>
    <s v="FA31, 32, 33"/>
    <x v="6"/>
    <m/>
    <s v="24/25"/>
    <s v="BIENES Y SERVICIOS"/>
    <s v="EFECTIVO Y OTROS ACT LÍQ EQ."/>
  </r>
  <r>
    <x v="4"/>
    <d v="2025-05-06T00:00:00"/>
    <s v="DBCR 25413 S/CR TASA GRAL"/>
    <m/>
    <n v="60000"/>
    <n v="0"/>
    <n v="-60000"/>
    <n v="-15454446.689999999"/>
    <n v="1170"/>
    <n v="51.28205128205128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6T00:00:00"/>
    <s v="DBCR 25413 S/CR TASA GRAL"/>
    <m/>
    <n v="11225.68"/>
    <n v="0"/>
    <n v="-11225.68"/>
    <n v="-15465672.369999999"/>
    <n v="1170"/>
    <n v="9.594598290598291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7T00:00:00"/>
    <s v="CHEQUE P/CAMARA"/>
    <s v="N53810360"/>
    <n v="879500"/>
    <n v="0"/>
    <n v="-879500"/>
    <n v="-16345172.369999999"/>
    <n v="1170"/>
    <n v="751.70940170940173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4"/>
    <d v="2025-05-07T00:00:00"/>
    <s v="CHEQUE P/CAMARA"/>
    <s v="N53810364"/>
    <n v="1500000"/>
    <n v="0"/>
    <n v="-1500000"/>
    <n v="-17845172.370000001"/>
    <n v="1170"/>
    <n v="1282.051282051282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4"/>
    <d v="2025-05-07T00:00:00"/>
    <s v="TRANSF. MACRONLINE E-SET M/T"/>
    <m/>
    <n v="50000"/>
    <n v="0"/>
    <n v="-50000"/>
    <n v="-17895172.370000001"/>
    <n v="1170"/>
    <n v="42.735042735042732"/>
    <n v="0"/>
    <s v="ARS"/>
    <s v="CC"/>
    <s v="MACRO"/>
    <x v="0"/>
    <x v="0"/>
    <x v="0"/>
    <s v="HACIA CC NACION"/>
    <m/>
    <m/>
    <x v="0"/>
    <m/>
    <m/>
    <m/>
    <m/>
  </r>
  <r>
    <x v="4"/>
    <d v="2025-05-07T00:00:00"/>
    <s v="TRANSF. MACRONLINE E-SET M/T"/>
    <m/>
    <n v="350000"/>
    <n v="0"/>
    <n v="-350000"/>
    <n v="-18245172.370000001"/>
    <n v="1170"/>
    <n v="299.14529914529913"/>
    <n v="0"/>
    <s v="ARS"/>
    <s v="CC"/>
    <s v="MACRO"/>
    <x v="0"/>
    <x v="0"/>
    <x v="0"/>
    <s v="HACIA CC GALICIA"/>
    <m/>
    <m/>
    <x v="0"/>
    <m/>
    <m/>
    <m/>
    <m/>
  </r>
  <r>
    <x v="4"/>
    <d v="2025-05-07T00:00:00"/>
    <s v="COMISION TRF. MACROL E-SET"/>
    <m/>
    <n v="121"/>
    <n v="0"/>
    <n v="-121"/>
    <n v="-18245293.37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7T00:00:00"/>
    <s v="TRANSF. MACRONLINE E-SET D/T"/>
    <m/>
    <n v="2000000"/>
    <n v="0"/>
    <n v="-2000000"/>
    <n v="-20245293.370000001"/>
    <n v="1170"/>
    <n v="1709.4017094017095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07T00:00:00"/>
    <s v="COMISION TRF. MACROL E-SET"/>
    <m/>
    <n v="121"/>
    <n v="0"/>
    <n v="-121"/>
    <n v="-20245414.37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7T00:00:00"/>
    <s v="TRANSF. MACRONLINE E-SET D/T"/>
    <m/>
    <n v="500000"/>
    <n v="0"/>
    <n v="-500000"/>
    <n v="-20745414.370000001"/>
    <n v="1170"/>
    <n v="427.35042735042737"/>
    <n v="0"/>
    <s v="ARS"/>
    <s v="CC"/>
    <s v="MACRO"/>
    <x v="1"/>
    <x v="11"/>
    <x v="30"/>
    <s v="DEVOLUCION APORTADO PARA MARTIIN"/>
    <s v="BECERRA ADRIAN"/>
    <m/>
    <x v="10"/>
    <m/>
    <s v="24/25"/>
    <s v="DEUDAS FINANCIERAS CP"/>
    <s v="EFECTIVO Y OTROS ACT LÍQ EQ."/>
  </r>
  <r>
    <x v="4"/>
    <d v="2025-05-07T00:00:00"/>
    <s v="COMISION TRF. MACROL E-SET"/>
    <m/>
    <n v="121"/>
    <n v="0"/>
    <n v="-121"/>
    <n v="-20745535.37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7T00:00:00"/>
    <s v="DBCR 25413 S/CR TASA GRAL"/>
    <m/>
    <n v="29279.19"/>
    <n v="0"/>
    <n v="-29279.19"/>
    <n v="-20774814.559999999"/>
    <n v="1170"/>
    <n v="25.02494871794871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8T00:00:00"/>
    <s v="TEF DATANET PR ACEITERA GENERAL 30502874353"/>
    <m/>
    <n v="0"/>
    <n v="220885.34"/>
    <n v="220885.34"/>
    <n v="-20553929.219999999"/>
    <n v="1170"/>
    <n v="0"/>
    <n v="188.79088888888887"/>
    <s v="ARS"/>
    <s v="CC"/>
    <s v="MACRO"/>
    <x v="2"/>
    <x v="4"/>
    <x v="5"/>
    <s v="VENTA"/>
    <s v="AGD"/>
    <m/>
    <x v="14"/>
    <m/>
    <s v="24/25"/>
    <s v="EFECTIVO Y OTROS ACT LÍQ EQ."/>
    <s v="INGRESOS"/>
  </r>
  <r>
    <x v="4"/>
    <d v="2025-05-08T00:00:00"/>
    <s v="TRANSF. MACRONLINE E-SET D/T"/>
    <m/>
    <n v="400000"/>
    <n v="0"/>
    <n v="-400000"/>
    <n v="-20953929.219999999"/>
    <n v="1170"/>
    <n v="341.88034188034186"/>
    <n v="0"/>
    <s v="ARS"/>
    <s v="CC"/>
    <s v="MACRO"/>
    <x v="1"/>
    <x v="11"/>
    <x v="30"/>
    <s v="DEVOLUCION APORTADO PARA MARTIIN"/>
    <s v="BECERRA ADRIAN"/>
    <m/>
    <x v="10"/>
    <m/>
    <s v="24/25"/>
    <s v="DEUDAS FINANCIERAS CP"/>
    <s v="EFECTIVO Y OTROS ACT LÍQ EQ."/>
  </r>
  <r>
    <x v="4"/>
    <d v="2025-05-08T00:00:00"/>
    <s v="COMISION TRF. MACROL E-SET"/>
    <m/>
    <n v="121"/>
    <n v="0"/>
    <n v="-121"/>
    <n v="-20954050.21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8T00:00:00"/>
    <s v="DBCR 25413 S/CR TASA GRAL"/>
    <m/>
    <n v="1325.31"/>
    <n v="0"/>
    <n v="-1325.31"/>
    <n v="-20955375.530000001"/>
    <n v="1170"/>
    <n v="1.132743589743589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8T00:00:00"/>
    <s v="DBCR 25413 S/CR TASA GRAL"/>
    <m/>
    <n v="2400.73"/>
    <n v="0"/>
    <n v="-2400.73"/>
    <n v="-20957776.260000002"/>
    <n v="1170"/>
    <n v="2.051905982905982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9T00:00:00"/>
    <s v="TRANSF LEIVA HER 30710771576 VAR VARIOS"/>
    <m/>
    <n v="0"/>
    <n v="8957440.0999999996"/>
    <n v="8957440.0999999996"/>
    <n v="-12000336.16"/>
    <n v="1170"/>
    <n v="0"/>
    <n v="7655.9317094017088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4"/>
    <d v="2025-05-09T00:00:00"/>
    <s v="TRANSF. MACRONLINE E-SET D/T"/>
    <m/>
    <n v="2000000"/>
    <n v="0"/>
    <n v="-2000000"/>
    <n v="-14000336.16"/>
    <n v="1170"/>
    <n v="1709.4017094017095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09T00:00:00"/>
    <s v="COMISION TRF. MACROL E-SET"/>
    <m/>
    <n v="121"/>
    <n v="0"/>
    <n v="-121"/>
    <n v="-14000457.16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9T00:00:00"/>
    <s v="COMISION TRF. MACROL E-SET"/>
    <m/>
    <n v="121"/>
    <n v="0"/>
    <n v="-121"/>
    <n v="-14500578.16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9T00:00:00"/>
    <s v="DEBITO FISCAL IVA BASICO"/>
    <m/>
    <n v="13860"/>
    <n v="0"/>
    <n v="-13860"/>
    <n v="-14514438.16"/>
    <n v="1170"/>
    <n v="11.84615384615384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9T00:00:00"/>
    <s v="DEBITO FISCAL IVA PERCEPCION"/>
    <m/>
    <n v="1980"/>
    <n v="0"/>
    <n v="-1980"/>
    <n v="-14516418.16"/>
    <n v="1170"/>
    <n v="1.692307692307692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9T00:00:00"/>
    <s v="COM. SERV DESC NO AUTORIZ."/>
    <m/>
    <n v="66000"/>
    <n v="0"/>
    <n v="-66000"/>
    <n v="-14582418.16"/>
    <n v="1170"/>
    <n v="56.410256410256409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9T00:00:00"/>
    <s v="DBCR 25413 S/CR TASA GRAL"/>
    <m/>
    <n v="53744.639999999999"/>
    <n v="0"/>
    <n v="-53744.639999999999"/>
    <n v="-14636162.800000001"/>
    <n v="1170"/>
    <n v="45.93558974358974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9T00:00:00"/>
    <s v="DBCR 25413 S/CR TASA GRAL"/>
    <m/>
    <n v="15492.5"/>
    <n v="0"/>
    <n v="-15492.5"/>
    <n v="-14651655.300000001"/>
    <n v="1170"/>
    <n v="13.24145299145299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9T00:00:00"/>
    <s v="TRANSF. MACRONLINE E-SET D/T"/>
    <m/>
    <n v="500000"/>
    <n v="0"/>
    <n v="-500000"/>
    <n v="-14500457.16"/>
    <n v="1170"/>
    <n v="427.35042735042737"/>
    <n v="0"/>
    <s v="ARS"/>
    <s v="CC"/>
    <s v="MACRO"/>
    <x v="1"/>
    <x v="2"/>
    <x v="2"/>
    <s v="PARTE MARZO"/>
    <s v="CLAUDIA ERRECALDE"/>
    <m/>
    <x v="15"/>
    <s v="CLAUDIA"/>
    <s v="24/25"/>
    <s v="FUTURAS UT. ADL CLAUDIA"/>
    <s v="EFECTIVO Y OTROS ACT LÍQ EQ."/>
  </r>
  <r>
    <x v="4"/>
    <d v="2025-05-12T00:00:00"/>
    <s v="DEBITO FISCAL IVA BASICO"/>
    <m/>
    <n v="5355"/>
    <n v="0"/>
    <n v="-5355"/>
    <n v="-14657010.300000001"/>
    <n v="1170"/>
    <n v="4.5769230769230766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12T00:00:00"/>
    <s v="DEBITO FISCAL IVA PERCEPCION"/>
    <m/>
    <n v="765"/>
    <n v="0"/>
    <n v="-765"/>
    <n v="-14657775.300000001"/>
    <n v="1170"/>
    <n v="0.6538461538461538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12T00:00:00"/>
    <s v="COMISIÀN ADMINISTRACIÀN DE CHEQUERA"/>
    <m/>
    <n v="25500"/>
    <n v="0"/>
    <n v="-25500"/>
    <n v="-14683275.300000001"/>
    <n v="1170"/>
    <n v="21.794871794871796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2000000"/>
    <n v="0"/>
    <n v="-2000000"/>
    <n v="-16683275.300000001"/>
    <n v="1170"/>
    <n v="1709.4017094017095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12T00:00:00"/>
    <s v="COMISION TRF. MACROL E-SET"/>
    <m/>
    <n v="121"/>
    <n v="0"/>
    <n v="-121"/>
    <n v="-16683396.3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M/T"/>
    <m/>
    <n v="550000"/>
    <n v="0"/>
    <n v="-550000"/>
    <n v="-17233396.300000001"/>
    <n v="1170"/>
    <n v="470.08547008547009"/>
    <n v="0"/>
    <s v="ARS"/>
    <s v="CC"/>
    <s v="MACRO"/>
    <x v="0"/>
    <x v="0"/>
    <x v="0"/>
    <s v="HACIA EL PAMPA"/>
    <m/>
    <m/>
    <x v="0"/>
    <m/>
    <m/>
    <m/>
    <m/>
  </r>
  <r>
    <x v="4"/>
    <d v="2025-05-12T00:00:00"/>
    <s v="COMISION TRF. MACROL E-SET"/>
    <m/>
    <n v="121"/>
    <n v="0"/>
    <n v="-121"/>
    <n v="-17233517.3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471318"/>
    <n v="0"/>
    <n v="-471318"/>
    <n v="-17704835.300000001"/>
    <n v="1170"/>
    <n v="402.83589743589744"/>
    <n v="0"/>
    <s v="ARS"/>
    <s v="CC"/>
    <s v="MACRO"/>
    <x v="1"/>
    <x v="3"/>
    <x v="3"/>
    <s v="MES ABRIL"/>
    <s v="KEVIN TOLEDO"/>
    <m/>
    <x v="3"/>
    <m/>
    <s v="24/25"/>
    <s v="EGRESOS"/>
    <s v="EFECTIVO Y OTROS ACT LÍQ EQ."/>
  </r>
  <r>
    <x v="4"/>
    <d v="2025-05-12T00:00:00"/>
    <s v="COMISION TRF. MACROL E-SET"/>
    <m/>
    <n v="121"/>
    <n v="0"/>
    <n v="-121"/>
    <n v="-17704956.3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282000"/>
    <n v="0"/>
    <n v="-282000"/>
    <n v="-17986956.300000001"/>
    <n v="1170"/>
    <n v="241.02564102564102"/>
    <n v="0"/>
    <s v="ARS"/>
    <s v="CC"/>
    <s v="MACRO"/>
    <x v="1"/>
    <x v="11"/>
    <x v="30"/>
    <s v="DEVOLUCION APORTADO PARA MARTIIN"/>
    <s v="BECERRA ADRIAN"/>
    <m/>
    <x v="10"/>
    <m/>
    <s v="24/25"/>
    <s v="DEUDAS FINANCIERAS CP"/>
    <s v="EFECTIVO Y OTROS ACT LÍQ EQ."/>
  </r>
  <r>
    <x v="4"/>
    <d v="2025-05-12T00:00:00"/>
    <s v="COMISION TRF. MACROL E-SET"/>
    <m/>
    <n v="18.149999999999999"/>
    <n v="0"/>
    <n v="-18.149999999999999"/>
    <n v="-17986974.449999999"/>
    <n v="1170"/>
    <n v="1.5512820512820512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550000"/>
    <n v="0"/>
    <n v="-550000"/>
    <n v="-18536974.449999999"/>
    <n v="1170"/>
    <n v="470.08547008547009"/>
    <n v="0"/>
    <s v="ARS"/>
    <s v="CC"/>
    <s v="MACRO"/>
    <x v="1"/>
    <x v="3"/>
    <x v="3"/>
    <s v="PERIODO ABRIL"/>
    <s v="ANDRES TOLEDO"/>
    <m/>
    <x v="3"/>
    <m/>
    <s v="24/25"/>
    <s v="EGRESOS"/>
    <s v="EFECTIVO Y OTROS ACT LÍQ EQ."/>
  </r>
  <r>
    <x v="4"/>
    <d v="2025-05-12T00:00:00"/>
    <s v="COMISION TRF. MACROL E-SET"/>
    <m/>
    <n v="121"/>
    <n v="0"/>
    <n v="-121"/>
    <n v="-18537095.44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90000"/>
    <n v="0"/>
    <n v="-90000"/>
    <n v="-18627095.449999999"/>
    <n v="1170"/>
    <n v="76.92307692307692"/>
    <n v="0"/>
    <s v="ARS"/>
    <s v="CC"/>
    <s v="MACRO"/>
    <x v="1"/>
    <x v="2"/>
    <x v="27"/>
    <s v="INSCRIPCION DE FEDE"/>
    <s v="CLAUDIA ERRECALDE"/>
    <m/>
    <x v="15"/>
    <s v="CLAUDIA"/>
    <s v="24/25"/>
    <s v="FUTURAS UT. ADL CLAUDIA"/>
    <s v="EFECTIVO Y OTROS ACT LÍQ EQ."/>
  </r>
  <r>
    <x v="4"/>
    <d v="2025-05-12T00:00:00"/>
    <s v="DGR FINANZAS CBA"/>
    <m/>
    <n v="1173709"/>
    <n v="0"/>
    <n v="-1173709"/>
    <n v="-19800804.449999999"/>
    <n v="1170"/>
    <n v="1003.1700854700855"/>
    <n v="0"/>
    <s v="ARS"/>
    <s v="CC"/>
    <s v="MACRO"/>
    <x v="1"/>
    <x v="1"/>
    <x v="1"/>
    <s v="CUOTA 6/6"/>
    <s v="RENTAS"/>
    <m/>
    <x v="20"/>
    <m/>
    <s v="24/25"/>
    <s v="EGRESOS"/>
    <s v="EFECTIVO Y OTROS ACT LÍQ EQ."/>
  </r>
  <r>
    <x v="4"/>
    <d v="2025-05-12T00:00:00"/>
    <s v="DBCR 25413 S/CR TASA GRAL"/>
    <m/>
    <n v="27594.91"/>
    <n v="0"/>
    <n v="-27594.91"/>
    <n v="-19828399.359999999"/>
    <n v="1170"/>
    <n v="23.58539316239316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4"/>
    <d v="2025-05-14T00:00:00"/>
    <s v="CHEQUE P/CAMARA"/>
    <s v="N53810371"/>
    <n v="995000"/>
    <n v="0"/>
    <n v="-995000"/>
    <n v="-20823399.359999999"/>
    <n v="1170"/>
    <n v="850.42735042735046"/>
    <n v="0"/>
    <s v="ARS"/>
    <s v="CC"/>
    <s v="MACRO"/>
    <x v="2"/>
    <x v="4"/>
    <x v="35"/>
    <s v="PICADO "/>
    <s v="TODO CAMPO COMB"/>
    <s v="FA 8266"/>
    <x v="6"/>
    <m/>
    <s v="24/25"/>
    <s v="BIENES Y SERVICIOS"/>
    <s v="EFECTIVO Y OTROS ACT LÍQ EQ."/>
  </r>
  <r>
    <x v="4"/>
    <d v="2025-05-14T00:00:00"/>
    <s v="DEBITO FISCAL IVA BASICO"/>
    <m/>
    <n v="3024"/>
    <n v="0"/>
    <n v="-3024"/>
    <n v="-20826423.359999999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14T00:00:00"/>
    <s v="DEBITO FISCAL IVA PERCEPCION"/>
    <m/>
    <n v="432"/>
    <n v="0"/>
    <n v="-432"/>
    <n v="-20826855.359999999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14T00:00:00"/>
    <s v="COMISION CHEQUE CONSULTA"/>
    <m/>
    <n v="14400"/>
    <n v="0"/>
    <n v="-14400"/>
    <n v="-20841255.359999999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4T00:00:00"/>
    <s v="DBCR 25413 S/CR TASA GRAL"/>
    <m/>
    <n v="6077.14"/>
    <n v="0"/>
    <n v="-6077.14"/>
    <n v="-20847332.5"/>
    <n v="1170"/>
    <n v="5.194136752136752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15T00:00:00"/>
    <s v="CHEQUE P/CAMARA"/>
    <s v="N53810358"/>
    <n v="250000"/>
    <n v="0"/>
    <n v="-250000"/>
    <n v="-21097332.5"/>
    <n v="1170"/>
    <n v="213.67521367521368"/>
    <n v="0"/>
    <s v="ARS"/>
    <s v="CC"/>
    <s v="MACRO"/>
    <x v="1"/>
    <x v="3"/>
    <x v="3"/>
    <s v="ADELANTO SUELDO"/>
    <s v="ANDRES TOLEDO"/>
    <m/>
    <x v="3"/>
    <m/>
    <s v="24/25"/>
    <s v="EGRESOS"/>
    <s v="EFECTIVO Y OTROS ACT LÍQ EQ."/>
  </r>
  <r>
    <x v="4"/>
    <d v="2025-05-15T00:00:00"/>
    <s v="TEF DATANET PR SWIFT ARGENTINA SA 30560378056"/>
    <m/>
    <n v="0"/>
    <n v="58177991.899999999"/>
    <n v="58177991.899999999"/>
    <n v="37080659.399999999"/>
    <n v="1170"/>
    <n v="0"/>
    <n v="49724.779401709398"/>
    <s v="ARS"/>
    <s v="CC"/>
    <s v="MACRO"/>
    <x v="5"/>
    <x v="22"/>
    <x v="64"/>
    <s v="VENTA 24/4/2025"/>
    <s v="SWIFT"/>
    <s v="N° Liq: 1615"/>
    <x v="22"/>
    <m/>
    <s v="24/25"/>
    <s v="EFECTIVO Y OTROS ACT LÍQ EQ."/>
    <s v="INGRESOS"/>
  </r>
  <r>
    <x v="4"/>
    <d v="2025-05-15T00:00:00"/>
    <s v="DEBITO FISCAL IVA BASICO"/>
    <m/>
    <n v="3024"/>
    <n v="0"/>
    <n v="-3024"/>
    <n v="37077635.399999999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15T00:00:00"/>
    <s v="DEBITO FISCAL IVA PERCEPCION"/>
    <m/>
    <n v="432"/>
    <n v="0"/>
    <n v="-432"/>
    <n v="37077203.399999999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15T00:00:00"/>
    <s v="COMISION CHEQUE CONSULTA"/>
    <m/>
    <n v="14400"/>
    <n v="0"/>
    <n v="-14400"/>
    <n v="37062803.399999999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5T00:00:00"/>
    <s v="DBCR 25413 S/CR TASA GRAL"/>
    <m/>
    <n v="349067.95"/>
    <n v="0"/>
    <n v="-349067.95"/>
    <n v="36713735.450000003"/>
    <n v="1170"/>
    <n v="298.3486752136752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15T00:00:00"/>
    <s v="DBCR 25413 S/CR TASA GRAL"/>
    <m/>
    <n v="1607.14"/>
    <n v="0"/>
    <n v="-1607.14"/>
    <n v="36712128.310000002"/>
    <n v="1170"/>
    <n v="1.373623931623931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CHEQUE P/CAMARA"/>
    <s v="N53810363"/>
    <n v="1473485"/>
    <n v="0"/>
    <n v="-1473485"/>
    <n v="35238643.310000002"/>
    <n v="1170"/>
    <n v="1259.3888888888889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4"/>
    <d v="2025-05-16T00:00:00"/>
    <s v="TRANSF. MACRONLINE E-SET M/T"/>
    <m/>
    <n v="1600000"/>
    <n v="0"/>
    <n v="-1600000"/>
    <n v="33638643.310000002"/>
    <n v="1170"/>
    <n v="1367.5213675213674"/>
    <n v="0"/>
    <s v="ARS"/>
    <s v="CC"/>
    <s v="MACRO"/>
    <x v="0"/>
    <x v="0"/>
    <x v="0"/>
    <s v="HACIA CC GALICIA"/>
    <m/>
    <m/>
    <x v="0"/>
    <m/>
    <m/>
    <m/>
    <m/>
  </r>
  <r>
    <x v="4"/>
    <d v="2025-05-16T00:00:00"/>
    <s v="COMISION TRF. MACROL E-SET"/>
    <m/>
    <n v="121"/>
    <n v="0"/>
    <n v="-121"/>
    <n v="33638522.31000000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6T00:00:00"/>
    <s v="TRANSF. MACRONLINE E-SET D/T"/>
    <m/>
    <n v="501925.22"/>
    <n v="0"/>
    <n v="-501925.22"/>
    <n v="33136597.09"/>
    <n v="1170"/>
    <n v="428.9959145299145"/>
    <n v="0"/>
    <s v="ARS"/>
    <s v="CC"/>
    <s v="MACRO"/>
    <x v="3"/>
    <x v="5"/>
    <x v="7"/>
    <m/>
    <s v="FERRRETERIA BULTOR"/>
    <m/>
    <x v="6"/>
    <m/>
    <s v="24/25"/>
    <s v="BIENES Y SERVICIOS"/>
    <s v="EFECTIVO Y OTROS ACT LÍQ EQ."/>
  </r>
  <r>
    <x v="4"/>
    <d v="2025-05-16T00:00:00"/>
    <s v="COMISION TRF. MACROL E-SET"/>
    <m/>
    <n v="121"/>
    <n v="0"/>
    <n v="-121"/>
    <n v="33136476.0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6T00:00:00"/>
    <s v="TRANSF. MACRONLINE E-SET D/T"/>
    <m/>
    <n v="26257"/>
    <n v="0"/>
    <n v="-26257"/>
    <n v="33110219.09"/>
    <n v="1170"/>
    <n v="22.441880341880342"/>
    <n v="0"/>
    <s v="ARS"/>
    <s v="CC"/>
    <s v="MACRO"/>
    <x v="3"/>
    <x v="5"/>
    <x v="7"/>
    <m/>
    <s v="CORRALON RIVADAVIA"/>
    <s v="FA 837"/>
    <x v="6"/>
    <m/>
    <s v="24/25"/>
    <s v="BIENES Y SERVICIOS"/>
    <s v="EFECTIVO Y OTROS ACT LÍQ EQ."/>
  </r>
  <r>
    <x v="4"/>
    <d v="2025-05-16T00:00:00"/>
    <s v="TRANSF. MACRONLINE E-SET D/T"/>
    <m/>
    <n v="4700000"/>
    <n v="0"/>
    <n v="-4700000"/>
    <n v="28410219.09"/>
    <n v="1170"/>
    <n v="4017.0940170940171"/>
    <n v="0"/>
    <s v="ARS"/>
    <s v="CC"/>
    <s v="MACRO"/>
    <x v="1"/>
    <x v="11"/>
    <x v="30"/>
    <m/>
    <s v="SANTIAGO ERRECALDE"/>
    <m/>
    <x v="10"/>
    <m/>
    <s v="24/25"/>
    <s v="ACREEDORES CORTO PLAZO"/>
    <s v="EFECTIVO Y OTROS ACT LÍQ EQ."/>
  </r>
  <r>
    <x v="4"/>
    <d v="2025-05-16T00:00:00"/>
    <s v="COMISION TRF. MACROL E-SET"/>
    <m/>
    <n v="121"/>
    <n v="0"/>
    <n v="-121"/>
    <n v="28410098.0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6T00:00:00"/>
    <s v="TRANSF. MACRONLINE E-SET D/T"/>
    <m/>
    <n v="1000000"/>
    <n v="0"/>
    <n v="-1000000"/>
    <n v="27410098.09"/>
    <n v="1170"/>
    <n v="854.70085470085473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16T00:00:00"/>
    <s v="COMISION TRF. MACROL E-SET"/>
    <m/>
    <n v="121"/>
    <n v="0"/>
    <n v="-121"/>
    <n v="27409977.0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6T00:00:00"/>
    <s v="DBCR 25413 S/CR TASA GRAL"/>
    <m/>
    <n v="46212.92"/>
    <n v="0"/>
    <n v="-46212.92"/>
    <n v="27363764.170000002"/>
    <n v="1170"/>
    <n v="39.49822222222221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DB TR..AUT.SDO.MISMO TIT."/>
    <m/>
    <n v="1646260.62"/>
    <n v="0"/>
    <n v="-1646260.62"/>
    <n v="25717503.550000001"/>
    <n v="1170"/>
    <n v="1407.0603589743591"/>
    <n v="0"/>
    <s v="ARS"/>
    <s v="CC"/>
    <s v="MACRO"/>
    <x v="0"/>
    <x v="0"/>
    <x v="0"/>
    <s v="HACIA CA MACRO"/>
    <m/>
    <m/>
    <x v="0"/>
    <m/>
    <m/>
    <m/>
    <m/>
  </r>
  <r>
    <x v="4"/>
    <d v="2025-05-19T00:00:00"/>
    <s v="TRANSF. MACRONLINE E-SET D/T"/>
    <m/>
    <n v="860000"/>
    <n v="0"/>
    <n v="-860000"/>
    <n v="22551213.379999999"/>
    <n v="1170"/>
    <n v="735.04273504273499"/>
    <n v="0"/>
    <s v="ARS"/>
    <s v="CC"/>
    <s v="MACRO"/>
    <x v="1"/>
    <x v="2"/>
    <x v="2"/>
    <s v="ABRIL RESTO"/>
    <s v="CLAUDIA ERRECALDE"/>
    <m/>
    <x v="15"/>
    <s v="CLAUDIA"/>
    <s v="24/25"/>
    <s v="FUTURAS UT. ADL CLAUDIA"/>
    <s v="EFECTIVO Y OTROS ACT LÍQ EQ."/>
  </r>
  <r>
    <x v="4"/>
    <d v="2025-05-19T00:00:00"/>
    <s v="CHEQUE CANJE INTERNO"/>
    <s v="N53810367"/>
    <n v="345300"/>
    <n v="0"/>
    <n v="-345300"/>
    <n v="25372203.550000001"/>
    <n v="1170"/>
    <n v="295.12820512820514"/>
    <n v="0"/>
    <s v="ARS"/>
    <s v="CC"/>
    <s v="MACRO"/>
    <x v="5"/>
    <x v="13"/>
    <x v="25"/>
    <m/>
    <s v="LA YUNTA VET"/>
    <s v="FA 706"/>
    <x v="6"/>
    <m/>
    <s v="24/25"/>
    <s v="BIENES Y SERVICIOS"/>
    <s v="EFECTIVO Y OTROS ACT LÍQ EQ."/>
  </r>
  <r>
    <x v="4"/>
    <d v="2025-05-19T00:00:00"/>
    <s v="TRANSF. MACRONLINE E-SET D/T"/>
    <m/>
    <n v="925558"/>
    <n v="0"/>
    <n v="-925558"/>
    <n v="24446645.550000001"/>
    <n v="1170"/>
    <n v="791.07521367521372"/>
    <n v="0"/>
    <s v="ARS"/>
    <s v="CC"/>
    <s v="MACRO"/>
    <x v="2"/>
    <x v="4"/>
    <x v="4"/>
    <s v="HONORARIOS"/>
    <s v="CESAR DIAZ"/>
    <s v="FA48 FA50"/>
    <x v="6"/>
    <m/>
    <s v="24/25"/>
    <s v="BIENES Y SERVICIOS"/>
    <s v="EFECTIVO Y OTROS ACT LÍQ EQ."/>
  </r>
  <r>
    <x v="4"/>
    <d v="2025-05-19T00:00:00"/>
    <s v="COMISION TRF. MACROL E-SET"/>
    <m/>
    <n v="121"/>
    <n v="0"/>
    <n v="-121"/>
    <n v="24446524.55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9T00:00:00"/>
    <s v="TRANSF. MACRONLINE E-SET D/T"/>
    <m/>
    <n v="10000"/>
    <n v="0"/>
    <n v="-10000"/>
    <n v="22551213.379999999"/>
    <n v="1170"/>
    <n v="8.5470085470085468"/>
    <n v="0"/>
    <s v="ARS"/>
    <s v="CC"/>
    <s v="MACRO"/>
    <x v="1"/>
    <x v="2"/>
    <x v="30"/>
    <s v="PARA UATRE"/>
    <s v="CLAUDIA ERRECALDE"/>
    <m/>
    <x v="15"/>
    <s v="CLAUDIA"/>
    <s v="24/25"/>
    <s v="FUTURAS UT. ADL CLAUDIA"/>
    <s v="EFECTIVO Y OTROS ACT LÍQ EQ."/>
  </r>
  <r>
    <x v="4"/>
    <d v="2025-05-19T00:00:00"/>
    <s v="TRANSF. MACRONLINE E-SET D/T"/>
    <m/>
    <n v="1000000"/>
    <n v="0"/>
    <n v="-1000000"/>
    <n v="22551213.379999999"/>
    <n v="1170"/>
    <n v="854.70085470085473"/>
    <n v="0"/>
    <s v="ARS"/>
    <s v="CC"/>
    <s v="MACRO"/>
    <x v="1"/>
    <x v="2"/>
    <x v="2"/>
    <s v="MAYO"/>
    <s v="CLAUDIA ERRECALDE"/>
    <m/>
    <x v="15"/>
    <s v="CLAUDIA"/>
    <s v="24/25"/>
    <s v="FUTURAS UT. ADL CLAUDIA"/>
    <s v="EFECTIVO Y OTROS ACT LÍQ EQ."/>
  </r>
  <r>
    <x v="4"/>
    <d v="2025-05-19T00:00:00"/>
    <s v="TRANSF. MACRONLINE E-SET D/T"/>
    <m/>
    <n v="17000"/>
    <n v="0"/>
    <n v="-17000"/>
    <n v="22551213.379999999"/>
    <n v="1170"/>
    <n v="14.52991452991453"/>
    <n v="0"/>
    <s v="ARS"/>
    <s v="CC"/>
    <s v="MACRO"/>
    <x v="1"/>
    <x v="3"/>
    <x v="3"/>
    <s v="UATRE MAYO"/>
    <s v="ANDRES TOLEDO"/>
    <m/>
    <x v="3"/>
    <m/>
    <s v="24/25"/>
    <s v="EGRESOS"/>
    <s v="EFECTIVO Y OTROS ACT LÍQ EQ."/>
  </r>
  <r>
    <x v="4"/>
    <d v="2025-05-19T00:00:00"/>
    <s v="TRANSF. MACRONLINE E-SET D/T"/>
    <m/>
    <n v="5500"/>
    <n v="0"/>
    <n v="-5500"/>
    <n v="22551213.379999999"/>
    <n v="1170"/>
    <n v="4.700854700854701"/>
    <n v="0"/>
    <s v="ARS"/>
    <s v="CC"/>
    <s v="MACRO"/>
    <x v="1"/>
    <x v="3"/>
    <x v="3"/>
    <s v="OSECAC"/>
    <s v="KEVIN TOLEDO"/>
    <m/>
    <x v="3"/>
    <m/>
    <s v="24/25"/>
    <s v="EGRESOS"/>
    <s v="EFECTIVO Y OTROS ACT LÍQ EQ."/>
  </r>
  <r>
    <x v="4"/>
    <d v="2025-05-19T00:00:00"/>
    <s v="TRANSF. MACRONLINE E-SET D/T"/>
    <m/>
    <n v="2811.17"/>
    <n v="0"/>
    <n v="-2811.17"/>
    <n v="22551213.379999999"/>
    <n v="1170"/>
    <n v="2.4027094017094019"/>
    <n v="0"/>
    <s v="ARS"/>
    <s v="CC"/>
    <s v="MACRO"/>
    <x v="1"/>
    <x v="3"/>
    <x v="3"/>
    <s v="FAECYS"/>
    <s v="KEVIN TOLEDO"/>
    <m/>
    <x v="3"/>
    <m/>
    <s v="24/25"/>
    <s v="EGRESOS"/>
    <s v="EFECTIVO Y OTROS ACT LÍQ EQ."/>
  </r>
  <r>
    <x v="4"/>
    <d v="2025-05-19T00:00:00"/>
    <s v="COMISION TRF. MACROL E-SET"/>
    <m/>
    <n v="121"/>
    <n v="0"/>
    <n v="-121"/>
    <n v="22551092.37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9T00:00:00"/>
    <s v="TRANSF. MACRONLINE E-SET D/T"/>
    <m/>
    <n v="100000"/>
    <n v="0"/>
    <n v="-100000"/>
    <n v="22451092.379999999"/>
    <n v="1170"/>
    <n v="85.470085470085465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4"/>
    <d v="2025-05-19T00:00:00"/>
    <s v="TRANSF. MACRONLINE E-SET D/T"/>
    <m/>
    <n v="2000000"/>
    <n v="0"/>
    <n v="-2000000"/>
    <n v="20451092.379999999"/>
    <n v="1170"/>
    <n v="1709.4017094017095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19T00:00:00"/>
    <s v="COMISION TRF. MACROL E-SET"/>
    <m/>
    <n v="121"/>
    <n v="0"/>
    <n v="-121"/>
    <n v="20450971.37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9T00:00:00"/>
    <s v="SANCORSEG - SANCOR SEGUROS"/>
    <m/>
    <n v="8067"/>
    <n v="0"/>
    <n v="-8067"/>
    <n v="20442904.379999999"/>
    <n v="1170"/>
    <n v="6.8948717948717952"/>
    <n v="0"/>
    <s v="ARS"/>
    <s v="CC"/>
    <s v="MACRO"/>
    <x v="1"/>
    <x v="7"/>
    <x v="58"/>
    <m/>
    <m/>
    <m/>
    <x v="1"/>
    <m/>
    <s v="24/25"/>
    <s v="EGRESOS"/>
    <s v="EFECTIVO Y OTROS ACT LÍQ EQ."/>
  </r>
  <r>
    <x v="4"/>
    <d v="2025-05-19T00:00:00"/>
    <s v="DBCR 25413 S/CR TASA GRAL"/>
    <m/>
    <n v="31647.61"/>
    <n v="0"/>
    <n v="-31647.61"/>
    <n v="20411256.77"/>
    <n v="1170"/>
    <n v="27.04923931623931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0T00:00:00"/>
    <s v="TRANSF. MACRONLINE E-SET M/T"/>
    <m/>
    <n v="10500000"/>
    <n v="0"/>
    <n v="-10500000"/>
    <n v="9911256.7699999996"/>
    <n v="1170"/>
    <n v="8974.3589743589746"/>
    <n v="0"/>
    <s v="ARS"/>
    <s v="CC"/>
    <s v="MACRO"/>
    <x v="0"/>
    <x v="0"/>
    <x v="0"/>
    <m/>
    <m/>
    <m/>
    <x v="0"/>
    <m/>
    <m/>
    <m/>
    <m/>
  </r>
  <r>
    <x v="4"/>
    <d v="2025-05-20T00:00:00"/>
    <s v="COMISION TRF. MACROL E-SET"/>
    <m/>
    <n v="121"/>
    <n v="0"/>
    <n v="-121"/>
    <n v="9911135.7699999996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0T00:00:00"/>
    <s v="TRANSF. MACRONLINE E-SET D/T"/>
    <m/>
    <n v="27747.72"/>
    <n v="0"/>
    <n v="-27747.72"/>
    <n v="9883388.0500000007"/>
    <n v="1170"/>
    <n v="23.716000000000001"/>
    <n v="0"/>
    <s v="ARS"/>
    <s v="CC"/>
    <s v="MACRO"/>
    <x v="3"/>
    <x v="5"/>
    <x v="38"/>
    <s v="ALAMBRADO"/>
    <s v="CANSECO"/>
    <s v="FA 8330"/>
    <x v="6"/>
    <m/>
    <s v="24/25"/>
    <s v="BIENES Y SERVICIOS"/>
    <s v="EFECTIVO Y OTROS ACT LÍQ EQ."/>
  </r>
  <r>
    <x v="4"/>
    <d v="2025-05-20T00:00:00"/>
    <s v="TRANSF. MACRONLINE E-SET D/T"/>
    <m/>
    <n v="126401.47"/>
    <n v="0"/>
    <n v="-126401.47"/>
    <n v="9756986.5800000001"/>
    <n v="1170"/>
    <n v="108.03544444444445"/>
    <n v="0"/>
    <s v="ARS"/>
    <s v="CC"/>
    <s v="MACRO"/>
    <x v="3"/>
    <x v="5"/>
    <x v="47"/>
    <s v="MOLINO"/>
    <s v="NECRI"/>
    <s v="FA 6821"/>
    <x v="6"/>
    <m/>
    <s v="24/25"/>
    <s v="BIENES Y SERVICIOS"/>
    <s v="EFECTIVO Y OTROS ACT LÍQ EQ."/>
  </r>
  <r>
    <x v="4"/>
    <d v="2025-05-20T00:00:00"/>
    <s v="TRANSF. MACRONLINE E-SET D/T"/>
    <m/>
    <n v="53000"/>
    <n v="0"/>
    <n v="-53000"/>
    <n v="9703986.5800000001"/>
    <n v="1170"/>
    <n v="45.299145299145302"/>
    <n v="0"/>
    <s v="ARS"/>
    <s v="CC"/>
    <s v="MACRO"/>
    <x v="4"/>
    <x v="23"/>
    <x v="65"/>
    <m/>
    <s v="PAMPA SUR"/>
    <m/>
    <x v="1"/>
    <m/>
    <s v="24/25"/>
    <s v="EGRESOS"/>
    <s v="EFECTIVO Y OTROS ACT LÍQ EQ."/>
  </r>
  <r>
    <x v="4"/>
    <d v="2025-05-20T00:00:00"/>
    <s v="TRANSF. MACRONLINE E-SET D/T"/>
    <m/>
    <n v="2100000"/>
    <n v="0"/>
    <n v="-2100000"/>
    <n v="7603986.5800000001"/>
    <n v="1170"/>
    <n v="1794.8717948717949"/>
    <n v="0"/>
    <s v="ARS"/>
    <s v="CC"/>
    <s v="MACRO"/>
    <x v="1"/>
    <x v="11"/>
    <x v="30"/>
    <m/>
    <s v="SANTIAGO ERRECALDE"/>
    <m/>
    <x v="10"/>
    <m/>
    <s v="24/25"/>
    <s v="ACREEDORES CORTO PLAZO"/>
    <s v="EFECTIVO Y OTROS ACT LÍQ EQ."/>
  </r>
  <r>
    <x v="4"/>
    <d v="2025-05-20T00:00:00"/>
    <s v="COMISION TRF. MACROL E-SET"/>
    <m/>
    <n v="121"/>
    <n v="0"/>
    <n v="-121"/>
    <n v="7603865.58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0T00:00:00"/>
    <s v="DBCR 25413 S/CR TASA GRAL"/>
    <m/>
    <n v="13844.36"/>
    <n v="0"/>
    <n v="-13844.36"/>
    <n v="7590021.2199999997"/>
    <n v="1170"/>
    <n v="11.83278632478632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1T00:00:00"/>
    <s v="TRANSF. MACRONLINE E-SET M/T"/>
    <m/>
    <n v="350000"/>
    <n v="0"/>
    <n v="-350000"/>
    <n v="7240021.2199999997"/>
    <n v="1170"/>
    <n v="299.14529914529913"/>
    <n v="0"/>
    <s v="ARS"/>
    <s v="CC"/>
    <s v="MACRO"/>
    <x v="0"/>
    <x v="0"/>
    <x v="0"/>
    <s v="HACIA CC PAMPA"/>
    <m/>
    <m/>
    <x v="0"/>
    <m/>
    <m/>
    <m/>
    <m/>
  </r>
  <r>
    <x v="4"/>
    <d v="2025-05-21T00:00:00"/>
    <s v="COMISION TRF. MACROL E-SET"/>
    <m/>
    <n v="121"/>
    <n v="0"/>
    <n v="-121"/>
    <n v="7239900.219999999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1T00:00:00"/>
    <s v="TEF DATANET PR ACEITERA GENERAL 30502874353"/>
    <m/>
    <n v="0"/>
    <n v="18613.259999999998"/>
    <n v="18613.259999999998"/>
    <n v="7258513.4800000004"/>
    <n v="1170"/>
    <n v="0"/>
    <n v="15.908769230769229"/>
    <s v="ARS"/>
    <s v="CC"/>
    <s v="MACRO"/>
    <x v="2"/>
    <x v="4"/>
    <x v="5"/>
    <s v="VENTA"/>
    <s v="AGD"/>
    <m/>
    <x v="14"/>
    <m/>
    <s v="24/25"/>
    <s v="EFECTIVO Y OTROS ACT LÍQ EQ."/>
    <s v="INGRESOS"/>
  </r>
  <r>
    <x v="4"/>
    <d v="2025-05-21T00:00:00"/>
    <s v="DBCR 25413 S/CR TASA GRAL"/>
    <m/>
    <n v="111.68"/>
    <n v="0"/>
    <n v="-111.68"/>
    <n v="7258401.7999999998"/>
    <n v="1170"/>
    <n v="9.545299145299146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1T00:00:00"/>
    <s v="DBCR 25413 S/CR TASA GRAL"/>
    <m/>
    <n v="0.73"/>
    <n v="0"/>
    <n v="-0.73"/>
    <n v="7258401.0700000003"/>
    <n v="1170"/>
    <n v="6.2393162393162391E-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2T00:00:00"/>
    <s v="CHEQUE P/CAMARA"/>
    <s v="N53810365"/>
    <n v="1500000"/>
    <n v="0"/>
    <n v="-1500000"/>
    <n v="5758401.0700000003"/>
    <n v="1170"/>
    <n v="1282.051282051282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4"/>
    <d v="2025-05-22T00:00:00"/>
    <s v="CHEQUE P/CAMARA"/>
    <s v="N57572069"/>
    <n v="357951"/>
    <n v="0"/>
    <n v="-357951"/>
    <n v="5400450.0700000003"/>
    <n v="1170"/>
    <n v="305.94102564102565"/>
    <n v="0"/>
    <s v="ARS"/>
    <s v="CC"/>
    <s v="MACRO"/>
    <x v="3"/>
    <x v="5"/>
    <x v="7"/>
    <s v="GOMAS"/>
    <s v="GOMERIA ALTAMIRANO (AMETSEN)"/>
    <s v="FA 328"/>
    <x v="6"/>
    <m/>
    <s v="24/25"/>
    <s v="BIENES Y SERVICIOS"/>
    <s v="EFECTIVO Y OTROS ACT LÍQ EQ."/>
  </r>
  <r>
    <x v="4"/>
    <d v="2025-05-22T00:00:00"/>
    <s v="TRANSF. MACRONLINE E-SET D/T"/>
    <m/>
    <n v="15000"/>
    <n v="0"/>
    <n v="-15000"/>
    <n v="5126990.07"/>
    <n v="1170"/>
    <n v="12.820512820512821"/>
    <n v="0"/>
    <s v="ARS"/>
    <s v="CC"/>
    <s v="MACRO"/>
    <x v="3"/>
    <x v="8"/>
    <x v="11"/>
    <s v="LAVADERO"/>
    <m/>
    <m/>
    <x v="5"/>
    <m/>
    <s v="24/25"/>
    <s v="BIENES Y SERVICIOS"/>
    <s v="EFECTIVO Y OTROS ACT LÍQ EQ."/>
  </r>
  <r>
    <x v="4"/>
    <d v="2025-05-22T00:00:00"/>
    <s v="TRANSF. MACRONLINE E-SET D/T"/>
    <m/>
    <n v="108460"/>
    <n v="0"/>
    <n v="-108460"/>
    <n v="5126990.07"/>
    <n v="1170"/>
    <n v="92.700854700854705"/>
    <n v="0"/>
    <s v="ARS"/>
    <s v="CC"/>
    <s v="MACRO"/>
    <x v="3"/>
    <x v="5"/>
    <x v="28"/>
    <m/>
    <s v="DIRECTV"/>
    <m/>
    <x v="6"/>
    <m/>
    <s v="24/25"/>
    <s v="BIENES Y SERVICIOS"/>
    <s v="EFECTIVO Y OTROS ACT LÍQ EQ."/>
  </r>
  <r>
    <x v="4"/>
    <d v="2025-05-22T00:00:00"/>
    <s v="TRANSF. MACRONLINE E-SET D/T"/>
    <m/>
    <n v="150000"/>
    <n v="0"/>
    <n v="-150000"/>
    <n v="5126990.07"/>
    <n v="1170"/>
    <n v="128.2051282051282"/>
    <n v="0"/>
    <s v="ARS"/>
    <s v="CC"/>
    <s v="MACRO"/>
    <x v="1"/>
    <x v="2"/>
    <x v="30"/>
    <s v="TELEFONO"/>
    <s v="RAUL"/>
    <m/>
    <x v="1"/>
    <s v="RAUL"/>
    <s v="24/25"/>
    <s v="EGRESOS"/>
    <s v="EFECTIVO Y OTROS ACT LÍQ EQ."/>
  </r>
  <r>
    <x v="4"/>
    <d v="2025-05-22T00:00:00"/>
    <s v="COMISION TRF. MACROL E-SET"/>
    <m/>
    <n v="18.149999999999999"/>
    <n v="0"/>
    <n v="-18.149999999999999"/>
    <n v="5126971.92"/>
    <n v="1170"/>
    <n v="1.5512820512820512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2T00:00:00"/>
    <s v="DBCR 25413 S/CR TASA GRAL"/>
    <m/>
    <n v="12788.58"/>
    <n v="0"/>
    <n v="-12788.58"/>
    <n v="5114183.34"/>
    <n v="1170"/>
    <n v="10.93041025641025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3T00:00:00"/>
    <s v="CHEQUE P/CAMARA"/>
    <s v="N53810366"/>
    <n v="47567.519999999997"/>
    <n v="0"/>
    <n v="-47567.519999999997"/>
    <n v="5066615.82"/>
    <n v="1170"/>
    <n v="40.655999999999999"/>
    <n v="0"/>
    <s v="ARS"/>
    <s v="CC"/>
    <s v="MACRO"/>
    <x v="3"/>
    <x v="5"/>
    <x v="38"/>
    <m/>
    <s v="CANSECO"/>
    <s v="FA 8250"/>
    <x v="6"/>
    <m/>
    <s v="24/25"/>
    <s v="BIENES Y SERVICIOS"/>
    <s v="EFECTIVO Y OTROS ACT LÍQ EQ."/>
  </r>
  <r>
    <x v="4"/>
    <d v="2025-05-23T00:00:00"/>
    <s v="TRANSF. MACRONLINE E-SET D/T"/>
    <m/>
    <n v="30000"/>
    <n v="0"/>
    <n v="-30000"/>
    <n v="1036741.19"/>
    <n v="1170"/>
    <n v="25.641025641025642"/>
    <n v="0"/>
    <s v="ARS"/>
    <s v="CC"/>
    <s v="MACRO"/>
    <x v="1"/>
    <x v="2"/>
    <x v="2"/>
    <m/>
    <s v="CLAUDIA ERRECALDE"/>
    <m/>
    <x v="15"/>
    <s v="CLAUDIA"/>
    <s v="24/25"/>
    <s v="FUTURAS UT. ADL CLAUDIA"/>
    <s v="EFECTIVO Y OTROS ACT LÍQ EQ."/>
  </r>
  <r>
    <x v="4"/>
    <d v="2025-05-23T00:00:00"/>
    <s v="TEF DATANET PR ACEITERA GENERAL 30502874353"/>
    <m/>
    <n v="0"/>
    <n v="246.37"/>
    <n v="246.37"/>
    <n v="5066862.1900000004"/>
    <n v="1170"/>
    <n v="0"/>
    <n v="0.21057264957264957"/>
    <s v="ARS"/>
    <s v="CC"/>
    <s v="MACRO"/>
    <x v="2"/>
    <x v="4"/>
    <x v="5"/>
    <s v="VENTA"/>
    <s v="AGD"/>
    <m/>
    <x v="14"/>
    <m/>
    <s v="24/25"/>
    <s v="EFECTIVO Y OTROS ACT LÍQ EQ."/>
    <s v="INGRESOS"/>
  </r>
  <r>
    <x v="4"/>
    <d v="2025-05-23T00:00:00"/>
    <s v="TRANSF. MACRONLINE E-SET M/T"/>
    <m/>
    <n v="4000000"/>
    <n v="0"/>
    <n v="-4000000"/>
    <n v="1066862.19"/>
    <n v="1170"/>
    <n v="3418.8034188034189"/>
    <n v="0"/>
    <s v="ARS"/>
    <s v="CC"/>
    <s v="MACRO"/>
    <x v="0"/>
    <x v="0"/>
    <x v="0"/>
    <s v="HACIA EL PAMPA"/>
    <m/>
    <m/>
    <x v="0"/>
    <m/>
    <m/>
    <m/>
    <m/>
  </r>
  <r>
    <x v="4"/>
    <d v="2025-05-23T00:00:00"/>
    <s v="COMISION TRF. MACROL E-SET"/>
    <m/>
    <n v="121"/>
    <n v="0"/>
    <n v="-121"/>
    <n v="1066741.1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3T00:00:00"/>
    <s v="DBCR 25413 S/CR TASA GRAL"/>
    <m/>
    <n v="1.48"/>
    <n v="0"/>
    <n v="-1.48"/>
    <n v="1036739.71"/>
    <n v="1170"/>
    <n v="1.264957264957265E-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3T00:00:00"/>
    <s v="DBCR 25413 S/CR TASA GRAL"/>
    <m/>
    <n v="466.14"/>
    <n v="0"/>
    <n v="-466.14"/>
    <n v="1036273.57"/>
    <n v="1170"/>
    <n v="0.398410256410256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6T00:00:00"/>
    <s v="CHEQUE P/CAMARA"/>
    <s v="N53810369"/>
    <n v="667548.46"/>
    <n v="0"/>
    <n v="-667548.46"/>
    <n v="368725.11"/>
    <n v="1170"/>
    <n v="570.55423931623932"/>
    <n v="0"/>
    <s v="ARS"/>
    <s v="CC"/>
    <s v="MACRO"/>
    <x v="5"/>
    <x v="13"/>
    <x v="46"/>
    <s v="HACIENDA"/>
    <s v="TODO CAMPO COMB"/>
    <s v="FA 8133"/>
    <x v="6"/>
    <m/>
    <s v="24/25"/>
    <s v="BIENES Y SERVICIOS"/>
    <s v="EFECTIVO Y OTROS ACT LÍQ EQ."/>
  </r>
  <r>
    <x v="4"/>
    <d v="2025-05-26T00:00:00"/>
    <s v="CHEQUE P/CAMARA"/>
    <s v="N53810370"/>
    <n v="1000000"/>
    <n v="0"/>
    <n v="-1000000"/>
    <n v="-631274.89"/>
    <n v="1170"/>
    <n v="854.70085470085473"/>
    <n v="0"/>
    <s v="ARS"/>
    <s v="CC"/>
    <s v="MACRO"/>
    <x v="5"/>
    <x v="13"/>
    <x v="46"/>
    <s v="HACIENDA"/>
    <s v="TODO CAMPO COMB"/>
    <s v="FA 8266"/>
    <x v="6"/>
    <m/>
    <s v="24/25"/>
    <s v="BIENES Y SERVICIOS"/>
    <s v="EFECTIVO Y OTROS ACT LÍQ EQ."/>
  </r>
  <r>
    <x v="4"/>
    <d v="2025-05-26T00:00:00"/>
    <s v="TRANSF. MACRONLINE E-SET D/T"/>
    <m/>
    <n v="1500000"/>
    <n v="0"/>
    <n v="-1500000"/>
    <n v="-3231274.89"/>
    <n v="1170"/>
    <n v="1282.051282051282"/>
    <n v="0"/>
    <s v="ARS"/>
    <s v="CC"/>
    <s v="MACRO"/>
    <x v="1"/>
    <x v="11"/>
    <x v="66"/>
    <s v="PERIODO JUNIO"/>
    <s v="BECERRA ADRIAN"/>
    <m/>
    <x v="10"/>
    <m/>
    <s v="24/25"/>
    <s v="DEUDAS FINANCIERAS CP"/>
    <s v="EFECTIVO Y OTROS ACT LÍQ EQ."/>
  </r>
  <r>
    <x v="4"/>
    <d v="2025-05-26T00:00:00"/>
    <s v="TRANSF. MACRONLINE E-SET D/T"/>
    <m/>
    <n v="100000"/>
    <n v="0"/>
    <n v="-100000"/>
    <m/>
    <n v="1170"/>
    <n v="85.470085470085465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4"/>
    <d v="2025-05-26T00:00:00"/>
    <s v="TRANSF. MACRONLINE E-SET D/T"/>
    <m/>
    <n v="1000000"/>
    <n v="0"/>
    <n v="-1000000"/>
    <m/>
    <n v="1170"/>
    <n v="854.70085470085473"/>
    <n v="0"/>
    <s v="ARS"/>
    <s v="CC"/>
    <s v="MACRO"/>
    <x v="1"/>
    <x v="2"/>
    <x v="2"/>
    <s v="PARTE DE LOS 2,6M"/>
    <s v="RAUL"/>
    <m/>
    <x v="2"/>
    <s v="RAUL"/>
    <s v="24/25"/>
    <s v="FUTURAS UT. ADL RAUL"/>
    <s v="EFECTIVO Y OTROS ACT LÍQ EQ."/>
  </r>
  <r>
    <x v="4"/>
    <d v="2025-05-26T00:00:00"/>
    <s v="COMISION TRF. MACROL E-SET"/>
    <m/>
    <n v="121"/>
    <n v="0"/>
    <n v="-121"/>
    <n v="-3231395.8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6T00:00:00"/>
    <s v="DBCR 25413 S/CR TASA GRAL"/>
    <m/>
    <n v="25606.02"/>
    <n v="0"/>
    <n v="-25606.02"/>
    <n v="-3257001.91"/>
    <n v="1170"/>
    <n v="21.88548717948717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7T00:00:00"/>
    <s v="CHEQUE P/CAMARA"/>
    <s v="N57572267"/>
    <n v="100000"/>
    <n v="0"/>
    <n v="-100000"/>
    <n v="-3357001.91"/>
    <n v="1170"/>
    <n v="85.470085470085465"/>
    <n v="0"/>
    <s v="ARS"/>
    <s v="CC"/>
    <s v="MACRO"/>
    <x v="1"/>
    <x v="11"/>
    <x v="30"/>
    <s v="AMETSEN"/>
    <s v="SANTIAGO ERRECALDE"/>
    <m/>
    <x v="10"/>
    <m/>
    <s v="24/25"/>
    <s v="ACREEDORES CORTO PLAZO"/>
    <s v="EFECTIVO Y OTROS ACT LÍQ EQ."/>
  </r>
  <r>
    <x v="4"/>
    <d v="2025-05-27T00:00:00"/>
    <s v="TRANSF. MACRONLINE E-SET D/T"/>
    <m/>
    <n v="350000"/>
    <n v="0"/>
    <n v="-350000"/>
    <n v="-3707001.91"/>
    <n v="1170"/>
    <n v="299.14529914529913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27T00:00:00"/>
    <s v="COMISION TRF. MACROL E-SET"/>
    <m/>
    <n v="121"/>
    <n v="0"/>
    <n v="-121"/>
    <n v="-3707122.9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7T00:00:00"/>
    <s v="DEBITO FISCAL IVA BASICO"/>
    <m/>
    <n v="2440.1999999999998"/>
    <n v="0"/>
    <n v="-2440.1999999999998"/>
    <n v="-3709563.11"/>
    <n v="1170"/>
    <n v="2.0856410256410256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27T00:00:00"/>
    <s v="DEBITO FISCAL IVA PERCEPCION"/>
    <m/>
    <n v="348.6"/>
    <n v="0"/>
    <n v="-348.6"/>
    <n v="-3709911.71"/>
    <n v="1170"/>
    <n v="0.297948717948717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27T00:00:00"/>
    <s v="COMISION CHQ PAG CLEARING"/>
    <m/>
    <n v="11620"/>
    <n v="0"/>
    <n v="-11620"/>
    <n v="-3721531.71"/>
    <n v="1170"/>
    <n v="9.9316239316239319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7T00:00:00"/>
    <s v="DBCR 25413 S/CR TASA GRAL"/>
    <m/>
    <n v="2787.18"/>
    <n v="0"/>
    <n v="-2787.18"/>
    <n v="-3724318.89"/>
    <n v="1170"/>
    <n v="2.382205128205128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8T00:00:00"/>
    <s v="CHEQUE P/CAMARA"/>
    <s v="N57612038"/>
    <n v="179907.08"/>
    <n v="0"/>
    <n v="-179907.08"/>
    <n v="-3904225.97"/>
    <n v="1170"/>
    <n v="153.76673504273504"/>
    <n v="0"/>
    <s v="ARS"/>
    <s v="CC"/>
    <s v="MACRO"/>
    <x v="3"/>
    <x v="14"/>
    <x v="45"/>
    <m/>
    <s v="AGRICOLA CENTENO"/>
    <s v="FA 080"/>
    <x v="6"/>
    <m/>
    <s v="24/25"/>
    <s v="BIENES Y SERVICIOS"/>
    <s v="EFECTIVO Y OTROS ACT LÍQ EQ."/>
  </r>
  <r>
    <x v="4"/>
    <d v="2025-05-28T00:00:00"/>
    <s v="TRANSF. MACRONLINE E-SET M/T"/>
    <m/>
    <n v="2750000"/>
    <n v="0"/>
    <n v="-2750000"/>
    <n v="-6654225.9699999997"/>
    <n v="1170"/>
    <n v="2350.4273504273506"/>
    <n v="0"/>
    <s v="ARS"/>
    <s v="CC"/>
    <s v="MACRO"/>
    <x v="0"/>
    <x v="0"/>
    <x v="0"/>
    <s v="HACIA CC GALICIA"/>
    <m/>
    <m/>
    <x v="0"/>
    <m/>
    <m/>
    <m/>
    <m/>
  </r>
  <r>
    <x v="4"/>
    <d v="2025-05-28T00:00:00"/>
    <s v="COMISION TRF. MACROL E-SET"/>
    <m/>
    <n v="121"/>
    <n v="0"/>
    <n v="-121"/>
    <n v="-6654346.969999999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8T00:00:00"/>
    <s v="TRANSF. MACRONLINE E-SET D/T"/>
    <m/>
    <n v="858500"/>
    <n v="0"/>
    <n v="-858500"/>
    <n v="-7512846.9699999997"/>
    <n v="1170"/>
    <n v="733.76068376068372"/>
    <n v="0"/>
    <s v="ARS"/>
    <s v="CC"/>
    <s v="MACRO"/>
    <x v="1"/>
    <x v="11"/>
    <x v="30"/>
    <s v="A ALIBERTI"/>
    <s v="SANTIAGO ERRECALDE"/>
    <m/>
    <x v="10"/>
    <m/>
    <s v="24/25"/>
    <s v="ACREEDORES CORTO PLAZO"/>
    <s v="EFECTIVO Y OTROS ACT LÍQ EQ."/>
  </r>
  <r>
    <x v="4"/>
    <d v="2025-05-28T00:00:00"/>
    <s v="COMISION TRF. MACROL E-SET"/>
    <m/>
    <n v="121"/>
    <n v="0"/>
    <n v="-121"/>
    <n v="-7512967.969999999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8T00:00:00"/>
    <s v="DBCR 25413 S/CR TASA GRAL"/>
    <m/>
    <n v="6231.9"/>
    <n v="0"/>
    <n v="-6231.9"/>
    <n v="-7519199.8700000001"/>
    <n v="1170"/>
    <n v="5.326410256410255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9T00:00:00"/>
    <s v="CHEQUE P/CAMARA"/>
    <s v="N53810361"/>
    <n v="879500"/>
    <n v="0"/>
    <n v="-879500"/>
    <n v="-8398699.8699999992"/>
    <n v="1170"/>
    <n v="751.70940170940173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4"/>
    <d v="2025-05-29T00:00:00"/>
    <s v="TRANSF. MACRONLINE E-SET D/T"/>
    <m/>
    <n v="500000"/>
    <n v="0"/>
    <n v="-500000"/>
    <n v="-8898699.8699999992"/>
    <n v="1170"/>
    <n v="427.35042735042737"/>
    <n v="0"/>
    <s v="ARS"/>
    <s v="CC"/>
    <s v="MACRO"/>
    <x v="2"/>
    <x v="4"/>
    <x v="5"/>
    <s v="COSECHA 114 HAS"/>
    <s v="LUCARELLI AGUSTIN"/>
    <s v="FA192"/>
    <x v="6"/>
    <m/>
    <s v="24/25"/>
    <s v="BIENES Y SERVICIOS"/>
    <s v="EFECTIVO Y OTROS ACT LÍQ EQ."/>
  </r>
  <r>
    <x v="4"/>
    <d v="2025-05-29T00:00:00"/>
    <s v="COMISION TRF. MACROL E-SET"/>
    <m/>
    <n v="121"/>
    <n v="0"/>
    <n v="-121"/>
    <n v="-8898820.869999999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9T00:00:00"/>
    <s v="DBCR 25413 S/CR TASA GRAL"/>
    <m/>
    <n v="8277.73"/>
    <n v="0"/>
    <n v="-8277.73"/>
    <n v="-8907098.5999999996"/>
    <n v="1170"/>
    <n v="7.074982905982905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9T00:00:00"/>
    <s v="DB TR..AUT.SDO.MISMO TIT."/>
    <m/>
    <n v="57382.239999999998"/>
    <n v="0"/>
    <n v="-57382.239999999998"/>
    <n v="-8964480.8399999999"/>
    <n v="1170"/>
    <n v="49.044649572649568"/>
    <n v="0"/>
    <s v="ARS"/>
    <s v="CC"/>
    <s v="MACRO"/>
    <x v="0"/>
    <x v="0"/>
    <x v="0"/>
    <s v="HACIA CA MACRO"/>
    <m/>
    <m/>
    <x v="0"/>
    <m/>
    <s v="24/25"/>
    <m/>
    <m/>
  </r>
  <r>
    <x v="4"/>
    <d v="2025-05-30T00:00:00"/>
    <s v="TRANSF. MACRONLINE E-SET M/T"/>
    <m/>
    <n v="500000"/>
    <n v="0"/>
    <n v="-500000"/>
    <n v="-9464480.8399999999"/>
    <n v="1170"/>
    <n v="427.35042735042737"/>
    <n v="0"/>
    <s v="ARS"/>
    <s v="CC"/>
    <s v="MACRO"/>
    <x v="0"/>
    <x v="0"/>
    <x v="0"/>
    <s v="HACIA CC GALICIA"/>
    <m/>
    <m/>
    <x v="0"/>
    <m/>
    <m/>
    <m/>
    <m/>
  </r>
  <r>
    <x v="4"/>
    <d v="2025-05-30T00:00:00"/>
    <s v="COMISION TRF. MACROL E-SET"/>
    <m/>
    <n v="121"/>
    <n v="0"/>
    <n v="-121"/>
    <n v="-9464601.839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30T00:00:00"/>
    <s v="DBCR 25413 S/CR TASA GRAL"/>
    <m/>
    <n v="0.73"/>
    <n v="0"/>
    <n v="-0.73"/>
    <n v="-9464602.5700000003"/>
    <n v="1170"/>
    <n v="6.2393162393162391E-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2T00:00:00"/>
    <s v="DEBITO FISCAL IVA BASICO"/>
    <m/>
    <n v="11471.36"/>
    <n v="0"/>
    <n v="-11471.36"/>
    <n v="-9476073.9299999997"/>
    <n v="1170"/>
    <n v="9.804581196581196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DEBITO FISCAL IVA PERCEPCION"/>
    <m/>
    <n v="1638.77"/>
    <n v="0"/>
    <n v="-1638.77"/>
    <n v="-9477712.6999999993"/>
    <n v="1170"/>
    <n v="1.400658119658119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INTER.ADEL.CC C/ACUERD"/>
    <m/>
    <n v="109251.09"/>
    <n v="0"/>
    <n v="-109251.09"/>
    <n v="-9586963.7899999991"/>
    <n v="1170"/>
    <n v="93.376999999999995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5"/>
    <d v="2025-06-02T00:00:00"/>
    <s v="DEBITO FISCAL IVA BASICO"/>
    <m/>
    <n v="27553.06"/>
    <n v="0"/>
    <n v="-27553.06"/>
    <n v="-9614516.8499999996"/>
    <n v="1170"/>
    <n v="23.54962393162393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DEBITO FISCAL IVA PERCEPCION"/>
    <m/>
    <n v="3936.15"/>
    <n v="0"/>
    <n v="-3936.15"/>
    <n v="-9618453"/>
    <n v="1170"/>
    <n v="3.364230769230769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INTER.ADEL.CC C/ACUERD"/>
    <m/>
    <n v="262410.11"/>
    <n v="0"/>
    <n v="-262410.11"/>
    <n v="-9880863.1099999994"/>
    <n v="1170"/>
    <n v="224.2821452991453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5"/>
    <d v="2025-06-02T00:00:00"/>
    <s v="DEBITO FISCAL IVA BASICO"/>
    <m/>
    <n v="2796.91"/>
    <n v="0"/>
    <n v="-2796.91"/>
    <n v="-9883660.0199999996"/>
    <n v="1170"/>
    <n v="2.390521367521367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DEBITO FISCAL IVA PERCEPCION"/>
    <m/>
    <n v="399.56"/>
    <n v="0"/>
    <n v="-399.56"/>
    <n v="-9884059.5800000001"/>
    <n v="1170"/>
    <n v="0.34150427350427348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INTER.ADEL.CC S/ACUERD"/>
    <m/>
    <n v="26637.27"/>
    <n v="0"/>
    <n v="-26637.27"/>
    <n v="-9910696.8499999996"/>
    <n v="1170"/>
    <n v="22.766897435897437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5"/>
    <d v="2025-06-02T00:00:00"/>
    <s v="DGR SELLOS CORDOBA"/>
    <m/>
    <n v="3000.27"/>
    <n v="0"/>
    <n v="-3000.27"/>
    <n v="-9913697.1199999992"/>
    <n v="1170"/>
    <n v="2.564333333333333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5"/>
    <d v="2025-06-02T00:00:00"/>
    <s v="DGR SELLOS CORDOBA"/>
    <m/>
    <n v="6840.51"/>
    <n v="0"/>
    <n v="-6840.51"/>
    <n v="-9920537.6300000008"/>
    <n v="1170"/>
    <n v="5.846589743589743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5"/>
    <d v="2025-06-02T00:00:00"/>
    <s v="DGR SELLOS CORDOBA"/>
    <m/>
    <n v="551.64"/>
    <n v="0"/>
    <n v="-551.64"/>
    <n v="-9921089.2699999996"/>
    <n v="1170"/>
    <n v="0.4714871794871795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5"/>
    <d v="2025-06-02T00:00:00"/>
    <s v="DBCR 25413 S/CR TASA GRAL"/>
    <m/>
    <n v="2738.92"/>
    <n v="0"/>
    <n v="-2738.92"/>
    <n v="-9923828.1899999995"/>
    <n v="1170"/>
    <n v="2.34095726495726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3T00:00:00"/>
    <s v="TRANSF. MACRONLINE E-SET M/T"/>
    <m/>
    <n v="850000"/>
    <n v="0"/>
    <n v="-850000"/>
    <n v="-10773828.189999999"/>
    <n v="1170"/>
    <n v="726.49572649572644"/>
    <n v="0"/>
    <s v="ARS"/>
    <s v="CC"/>
    <s v="MACRO"/>
    <x v="0"/>
    <x v="0"/>
    <x v="0"/>
    <s v="HACIA CC GALICIA"/>
    <m/>
    <m/>
    <x v="0"/>
    <m/>
    <m/>
    <m/>
    <m/>
  </r>
  <r>
    <x v="5"/>
    <d v="2025-06-03T00:00:00"/>
    <s v="COMISION TRF. MACROL E-SET"/>
    <m/>
    <n v="121"/>
    <n v="0"/>
    <n v="-121"/>
    <n v="-10773949.18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3T00:00:00"/>
    <s v="DBCR 25413 S/CR TASA GRAL"/>
    <m/>
    <n v="0.73"/>
    <n v="0"/>
    <n v="-0.73"/>
    <n v="-10773949.92"/>
    <n v="1170"/>
    <n v="6.2393162393162391E-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4T00:00:00"/>
    <s v="TRANSF. MACRONLINE E-SET M/T"/>
    <m/>
    <n v="150000"/>
    <n v="0"/>
    <n v="-150000"/>
    <n v="-10923949.92"/>
    <n v="1170"/>
    <n v="128.2051282051282"/>
    <n v="0"/>
    <s v="ARS"/>
    <s v="CC"/>
    <s v="MACRO"/>
    <x v="0"/>
    <x v="0"/>
    <x v="0"/>
    <s v="HACIA CC GALICIA"/>
    <m/>
    <m/>
    <x v="0"/>
    <m/>
    <m/>
    <m/>
    <m/>
  </r>
  <r>
    <x v="5"/>
    <d v="2025-06-06T00:00:00"/>
    <s v="COMISION TRF. MACROL E-SET"/>
    <m/>
    <n v="121"/>
    <n v="0"/>
    <n v="-121"/>
    <n v="-12924191.9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6T00:00:00"/>
    <s v="TRANSF. MACRONLINE E-SET M/T"/>
    <m/>
    <n v="500000"/>
    <n v="0"/>
    <n v="-500000"/>
    <n v="-12924191.92"/>
    <n v="1170"/>
    <n v="427.35042735042737"/>
    <n v="0"/>
    <s v="ARS"/>
    <s v="CC"/>
    <s v="MACRO"/>
    <x v="1"/>
    <x v="2"/>
    <x v="2"/>
    <s v="PARTE JUNIO"/>
    <s v="CLAUDIA ERRECALDE"/>
    <m/>
    <x v="15"/>
    <s v="CLAUDIA"/>
    <s v="24/25"/>
    <s v="FUTURAS UT. ADL CLAUDIA"/>
    <s v="EFECTIVO Y OTROS ACT LÍQ EQ."/>
  </r>
  <r>
    <x v="5"/>
    <d v="2025-06-06T00:00:00"/>
    <s v="COMISION TRF. MACROL E-SET"/>
    <m/>
    <n v="121"/>
    <n v="0"/>
    <n v="-121"/>
    <n v="-12924191.9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6T00:00:00"/>
    <s v="TRANSF. MACRONLINE E-SET M/T"/>
    <m/>
    <n v="1500000"/>
    <n v="0"/>
    <n v="-1500000"/>
    <n v="-12924191.92"/>
    <n v="1170"/>
    <n v="1282.051282051282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5"/>
    <d v="2025-06-06T00:00:00"/>
    <s v="COMISION TRF. MACROL E-SET"/>
    <m/>
    <n v="121"/>
    <n v="0"/>
    <n v="-121"/>
    <n v="-12924191.9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6T00:00:00"/>
    <s v="CCERR MACRO AGRO 30645289826 CIRC.CERRADO"/>
    <m/>
    <n v="0"/>
    <n v="1084629.8999999999"/>
    <n v="1084629.8999999999"/>
    <n v="-11839562.02"/>
    <n v="1170"/>
    <n v="0"/>
    <n v="927.03410256410245"/>
    <s v="ARS"/>
    <s v="CC"/>
    <s v="MACRO"/>
    <x v="0"/>
    <x v="10"/>
    <x v="67"/>
    <s v="90 TN"/>
    <s v="MACRO"/>
    <m/>
    <x v="9"/>
    <m/>
    <s v="24/25"/>
    <s v="EFECTIVO Y OTROS ACT LÍQ EQ."/>
    <s v="CREDITO MACRO FW 90tn 3,5%"/>
  </r>
  <r>
    <x v="5"/>
    <d v="2025-06-06T00:00:00"/>
    <s v="CCERR MACRO AGRO 30645289826 CIRC.CERRADO"/>
    <m/>
    <n v="0"/>
    <n v="29529966.800000001"/>
    <n v="29529966.800000001"/>
    <n v="17690404.780000001"/>
    <n v="1170"/>
    <n v="0"/>
    <n v="25239.287863247864"/>
    <s v="ARS"/>
    <s v="CC"/>
    <s v="MACRO"/>
    <x v="0"/>
    <x v="10"/>
    <x v="67"/>
    <s v="90 TN"/>
    <s v="MACRO"/>
    <m/>
    <x v="9"/>
    <m/>
    <s v="24/25"/>
    <s v="EFECTIVO Y OTROS ACT LÍQ EQ."/>
    <s v="CREDITO MACRO FW 90tn 3,5%"/>
  </r>
  <r>
    <x v="5"/>
    <d v="2025-06-06T00:00:00"/>
    <s v="DEBITO FISCAL IVA BASICO"/>
    <m/>
    <n v="4620"/>
    <n v="0"/>
    <n v="-4620"/>
    <n v="17685784.780000001"/>
    <n v="1170"/>
    <n v="3.9487179487179489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06T00:00:00"/>
    <s v="DEBITO FISCAL IVA PERCEPCION"/>
    <m/>
    <n v="660"/>
    <n v="0"/>
    <n v="-660"/>
    <n v="17685124.780000001"/>
    <n v="1170"/>
    <n v="0.564102564102564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06T00:00:00"/>
    <s v="COM. SERV DESC NO AUTORIZ."/>
    <m/>
    <n v="22000"/>
    <n v="0"/>
    <n v="-22000"/>
    <n v="17663124.780000001"/>
    <n v="1170"/>
    <n v="18.803418803418804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6T00:00:00"/>
    <s v="DBCR 25413 S/CR TASA GRAL"/>
    <m/>
    <n v="183687.58"/>
    <n v="0"/>
    <n v="-183687.58"/>
    <n v="17479437.199999999"/>
    <n v="1170"/>
    <n v="156.9979316239316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6T00:00:00"/>
    <s v="DBCR 25413 S/CR TASA GRAL"/>
    <m/>
    <n v="12165.14"/>
    <n v="0"/>
    <n v="-12165.14"/>
    <n v="17467272.059999999"/>
    <n v="1170"/>
    <n v="10.39755555555555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9T00:00:00"/>
    <s v="TEF DATANET PR UNICER SAS 30715839888"/>
    <m/>
    <n v="0"/>
    <n v="696888.2"/>
    <n v="696888.2"/>
    <n v="18164160.260000002"/>
    <n v="1170"/>
    <n v="0"/>
    <n v="595.63094017094011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5"/>
    <d v="2025-06-09T00:00:00"/>
    <s v="TEF DATANET PR ACEITERA GENERAL 30502874353"/>
    <m/>
    <n v="0"/>
    <n v="1258168.71"/>
    <n v="1258168.71"/>
    <n v="19422328.969999999"/>
    <n v="1170"/>
    <n v="0"/>
    <n v="1075.3578717948717"/>
    <s v="ARS"/>
    <s v="CC"/>
    <s v="MACRO"/>
    <x v="2"/>
    <x v="4"/>
    <x v="5"/>
    <s v="IVA RG 2300/2007"/>
    <s v="AGD"/>
    <m/>
    <x v="14"/>
    <m/>
    <s v="24/25"/>
    <s v="EFECTIVO Y OTROS ACT LÍQ EQ."/>
    <s v="INGRESOS"/>
  </r>
  <r>
    <x v="5"/>
    <d v="2025-06-09T00:00:00"/>
    <s v="DBCR 25413 S/CR TASA GRAL"/>
    <m/>
    <n v="11730.34"/>
    <n v="0"/>
    <n v="-11730.34"/>
    <n v="19410598.629999999"/>
    <n v="1170"/>
    <n v="10.02593162393162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0T00:00:00"/>
    <s v="TRANSF. MACRONLINE E-SET M/T"/>
    <m/>
    <n v="1500000"/>
    <n v="0"/>
    <n v="-1500000"/>
    <n v="17910598.629999999"/>
    <n v="1170"/>
    <n v="1282.051282051282"/>
    <n v="0"/>
    <s v="ARS"/>
    <s v="CC"/>
    <s v="MACRO"/>
    <x v="0"/>
    <x v="0"/>
    <x v="0"/>
    <s v="HACIA CC GALICIA"/>
    <m/>
    <m/>
    <x v="0"/>
    <m/>
    <m/>
    <m/>
    <m/>
  </r>
  <r>
    <x v="5"/>
    <d v="2025-06-10T00:00:00"/>
    <s v="COMISION TRF. MACROL E-SET"/>
    <m/>
    <n v="121"/>
    <n v="0"/>
    <n v="-121"/>
    <n v="17910477.62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1000000"/>
    <n v="0"/>
    <n v="-1000000"/>
    <n v="16910477.629999999"/>
    <n v="1170"/>
    <n v="854.70085470085473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5"/>
    <d v="2025-06-10T00:00:00"/>
    <s v="COMISION TRF. MACROL E-SET"/>
    <m/>
    <n v="121"/>
    <n v="0"/>
    <n v="-121"/>
    <n v="16910356.62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480960"/>
    <n v="0"/>
    <n v="-480960"/>
    <n v="16429396.630000001"/>
    <n v="1170"/>
    <n v="411.07692307692309"/>
    <n v="0"/>
    <s v="ARS"/>
    <s v="CC"/>
    <s v="MACRO"/>
    <x v="1"/>
    <x v="3"/>
    <x v="3"/>
    <s v="PERIODO MAYO 25"/>
    <s v="KEVIN TOLEDO"/>
    <m/>
    <x v="3"/>
    <m/>
    <s v="24/25"/>
    <s v="EGRESOS"/>
    <s v="EFECTIVO Y OTROS ACT LÍQ EQ."/>
  </r>
  <r>
    <x v="5"/>
    <d v="2025-06-10T00:00:00"/>
    <s v="COMISION TRF. MACROL E-SET"/>
    <m/>
    <n v="121"/>
    <n v="0"/>
    <n v="-121"/>
    <n v="16429275.63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902358"/>
    <n v="0"/>
    <n v="-902358"/>
    <n v="15526917.630000001"/>
    <n v="1170"/>
    <n v="771.2461538461539"/>
    <n v="0"/>
    <s v="ARS"/>
    <s v="CC"/>
    <s v="MACRO"/>
    <x v="1"/>
    <x v="11"/>
    <x v="30"/>
    <s v="PERIODO JUNIO"/>
    <s v="BECERRA ADRIAN"/>
    <m/>
    <x v="10"/>
    <m/>
    <s v="24/25"/>
    <s v="DEUDAS FINANCIERAS CP"/>
    <s v="EFECTIVO Y OTROS ACT LÍQ EQ."/>
  </r>
  <r>
    <x v="5"/>
    <d v="2025-06-10T00:00:00"/>
    <s v="COMISION TRF. MACROL E-SET"/>
    <m/>
    <n v="121"/>
    <n v="0"/>
    <n v="-121"/>
    <n v="15526796.63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2000000"/>
    <n v="0"/>
    <n v="-2000000"/>
    <n v="13526796.630000001"/>
    <n v="1170"/>
    <n v="1709.4017094017095"/>
    <n v="0"/>
    <s v="ARS"/>
    <s v="CC"/>
    <s v="MACRO"/>
    <x v="1"/>
    <x v="2"/>
    <x v="27"/>
    <s v="UTILIDADES FUTURAS"/>
    <s v="MONICA ERRECALDE"/>
    <m/>
    <x v="13"/>
    <s v="MONICA"/>
    <s v="24/25"/>
    <s v="FUTURAS UT. ADL MONICA"/>
    <s v="EFECTIVO Y OTROS ACT LÍQ EQ."/>
  </r>
  <r>
    <x v="5"/>
    <d v="2025-06-10T00:00:00"/>
    <s v="COMISION TRF. MACROL E-SET"/>
    <m/>
    <n v="121"/>
    <n v="0"/>
    <n v="-121"/>
    <n v="13526675.63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500000"/>
    <n v="0"/>
    <n v="-500000"/>
    <n v="13026675.630000001"/>
    <n v="1170"/>
    <n v="427.35042735042737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5"/>
    <d v="2025-06-10T00:00:00"/>
    <s v="COMISION TRF. MACROL E-SET"/>
    <m/>
    <n v="121"/>
    <n v="0"/>
    <n v="-121"/>
    <n v="13026554.63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200000"/>
    <n v="0"/>
    <n v="-200000"/>
    <n v="12826554.630000001"/>
    <n v="1170"/>
    <n v="170.94017094017093"/>
    <n v="0"/>
    <s v="ARS"/>
    <s v="CC"/>
    <s v="MACRO"/>
    <x v="1"/>
    <x v="3"/>
    <x v="3"/>
    <s v="EXTRA SUELDO"/>
    <s v="KEVIN TOLEDO"/>
    <m/>
    <x v="3"/>
    <m/>
    <s v="24/25"/>
    <s v="EGRESOS"/>
    <s v="EFECTIVO Y OTROS ACT LÍQ EQ."/>
  </r>
  <r>
    <x v="5"/>
    <d v="2025-06-10T00:00:00"/>
    <s v="DBCR 25413 S/CR TASA GRAL"/>
    <m/>
    <n v="30504.29"/>
    <n v="0"/>
    <n v="-30504.29"/>
    <n v="12796050.34"/>
    <n v="1170"/>
    <n v="26.07204273504273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1T00:00:00"/>
    <s v="CHEQUE P/CAMARA"/>
    <s v="N53810372"/>
    <n v="991660.66"/>
    <n v="0"/>
    <n v="-991660.66"/>
    <n v="11804389.68"/>
    <n v="1170"/>
    <n v="847.57321367521365"/>
    <n v="0"/>
    <s v="ARS"/>
    <s v="CC"/>
    <s v="MACRO"/>
    <x v="5"/>
    <x v="13"/>
    <x v="46"/>
    <s v="HACIENDA"/>
    <s v="TODO CAMPO COMB"/>
    <s v="FA 8489"/>
    <x v="6"/>
    <m/>
    <s v="24/25"/>
    <s v="BIENES Y SERVICIOS"/>
    <s v="EFECTIVO Y OTROS ACT LÍQ EQ."/>
  </r>
  <r>
    <x v="5"/>
    <d v="2025-06-11T00:00:00"/>
    <s v="COMISION TRF. MACROL E-SET"/>
    <m/>
    <n v="121"/>
    <n v="0"/>
    <n v="-121"/>
    <n v="11304268.6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1T00:00:00"/>
    <s v="LIQ.SUSC 10 000000000324771"/>
    <m/>
    <n v="10000000"/>
    <n v="0"/>
    <n v="-10000000"/>
    <n v="1304268.68"/>
    <n v="1170"/>
    <n v="8547.0085470085469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5"/>
    <d v="2025-06-11T00:00:00"/>
    <s v="DBCR 25413 S/CR TASA GRAL"/>
    <m/>
    <n v="8950.69"/>
    <n v="0"/>
    <n v="-8950.69"/>
    <n v="1295317.99"/>
    <n v="1170"/>
    <n v="7.650162393162393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1T00:00:00"/>
    <s v="TRANSF. MACRONLINE E-SET D/T"/>
    <m/>
    <n v="500000"/>
    <n v="0"/>
    <n v="-500000"/>
    <n v="11304389.68"/>
    <n v="1170"/>
    <n v="427.35042735042737"/>
    <n v="0"/>
    <s v="ARS"/>
    <s v="CC"/>
    <s v="MACRO"/>
    <x v="1"/>
    <x v="2"/>
    <x v="2"/>
    <s v="PARTE JUNIO"/>
    <s v="CLAUDIA ERRECALDE"/>
    <m/>
    <x v="15"/>
    <s v="CLAUDIA"/>
    <s v="24/25"/>
    <s v="FUTURAS UT. ADL CLAUDIA"/>
    <s v="EFECTIVO Y OTROS ACT LÍQ EQ."/>
  </r>
  <r>
    <x v="5"/>
    <d v="2025-06-12T00:00:00"/>
    <s v="TEF DATANET PR ACEITERA GENERAL 30502874353"/>
    <m/>
    <n v="0"/>
    <n v="41315677.57"/>
    <n v="41315677.57"/>
    <n v="42610995.560000002"/>
    <n v="1170"/>
    <n v="0"/>
    <n v="35312.544931623932"/>
    <s v="ARS"/>
    <s v="CC"/>
    <s v="MACRO"/>
    <x v="2"/>
    <x v="4"/>
    <x v="5"/>
    <s v="VENTA"/>
    <s v="AGD"/>
    <m/>
    <x v="14"/>
    <m/>
    <s v="24/25"/>
    <s v="EFECTIVO Y OTROS ACT LÍQ EQ."/>
    <s v="INGRESOS"/>
  </r>
  <r>
    <x v="5"/>
    <d v="2025-06-12T00:00:00"/>
    <s v="TRANSF. MACRONLINE E-SET M/T"/>
    <m/>
    <n v="10000000"/>
    <n v="0"/>
    <n v="-10000000"/>
    <n v="32610995.559999999"/>
    <n v="1170"/>
    <n v="8547.0085470085469"/>
    <n v="0"/>
    <s v="ARS"/>
    <s v="CC"/>
    <s v="MACRO"/>
    <x v="0"/>
    <x v="0"/>
    <x v="0"/>
    <s v="SE CUBRE DESCUBIERTO"/>
    <s v="BANCO PAMPA"/>
    <m/>
    <x v="0"/>
    <m/>
    <s v="24/25"/>
    <m/>
    <m/>
  </r>
  <r>
    <x v="5"/>
    <d v="2025-06-12T00:00:00"/>
    <s v="COMISION TRF. MACROL E-SET"/>
    <m/>
    <n v="121"/>
    <n v="0"/>
    <n v="-121"/>
    <n v="32610874.55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2T00:00:00"/>
    <s v="TRANSF. MACRONLINE E-SET M/T"/>
    <m/>
    <n v="7020000"/>
    <n v="0"/>
    <n v="-7020000"/>
    <n v="25590874.559999999"/>
    <n v="1170"/>
    <n v="6000"/>
    <n v="0"/>
    <s v="ARS"/>
    <s v="CC"/>
    <s v="MACRO"/>
    <x v="0"/>
    <x v="0"/>
    <x v="0"/>
    <s v="SE CUBRE DESCUBIERTO"/>
    <s v="BANCO GALICIA"/>
    <m/>
    <x v="0"/>
    <m/>
    <s v="24/25"/>
    <m/>
    <m/>
  </r>
  <r>
    <x v="5"/>
    <d v="2025-06-12T00:00:00"/>
    <s v="COMISION TRF. MACROL E-SET"/>
    <m/>
    <n v="121"/>
    <n v="0"/>
    <n v="-121"/>
    <n v="25590753.55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2T00:00:00"/>
    <s v="TRANSF. MACRONLINE E-SET M/T"/>
    <m/>
    <n v="3000000"/>
    <n v="0"/>
    <n v="-3000000"/>
    <n v="22590753.559999999"/>
    <n v="1170"/>
    <n v="2564.102564102564"/>
    <n v="0"/>
    <s v="ARS"/>
    <s v="CC"/>
    <s v="MACRO"/>
    <x v="0"/>
    <x v="0"/>
    <x v="0"/>
    <s v="SE CUBRE DESCUBIERTO"/>
    <s v="BANCO NACION"/>
    <m/>
    <x v="0"/>
    <m/>
    <s v="24/25"/>
    <m/>
    <m/>
  </r>
  <r>
    <x v="5"/>
    <d v="2025-06-12T00:00:00"/>
    <s v="COMISION TRF. MACROL E-SET"/>
    <m/>
    <n v="121"/>
    <n v="0"/>
    <n v="-121"/>
    <n v="22590632.55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2T00:00:00"/>
    <s v="TRANSF. MACRONLINE E-SET D/T"/>
    <m/>
    <n v="53892"/>
    <n v="0"/>
    <n v="-53892"/>
    <n v="20467669.359999999"/>
    <n v="1170"/>
    <n v="46.061538461538461"/>
    <n v="0"/>
    <s v="ARS"/>
    <s v="CC"/>
    <s v="MACRO"/>
    <x v="5"/>
    <x v="13"/>
    <x v="48"/>
    <s v="HACIENDA"/>
    <s v="SENASA"/>
    <m/>
    <x v="6"/>
    <m/>
    <s v="24/25"/>
    <s v="BIENES Y SERVICIOS"/>
    <s v="EFECTIVO Y OTROS ACT LÍQ EQ."/>
  </r>
  <r>
    <x v="5"/>
    <d v="2025-06-12T00:00:00"/>
    <s v="TRANSF. MACRONLINE E-SET D/T"/>
    <m/>
    <n v="800000"/>
    <n v="0"/>
    <n v="-800000"/>
    <n v="18344706.16"/>
    <n v="1170"/>
    <n v="683.76068376068372"/>
    <n v="0"/>
    <s v="ARS"/>
    <s v="CC"/>
    <s v="MACRO"/>
    <x v="1"/>
    <x v="3"/>
    <x v="3"/>
    <s v="PERIODO MAYO 25"/>
    <s v="ANDRES TOLEDO"/>
    <m/>
    <x v="3"/>
    <m/>
    <s v="24/25"/>
    <s v="EGRESOS"/>
    <s v="EFECTIVO Y OTROS ACT LÍQ EQ."/>
  </r>
  <r>
    <x v="5"/>
    <d v="2025-06-12T00:00:00"/>
    <s v="TRANSF. MACRONLINE E-SET D/T"/>
    <m/>
    <n v="1269170"/>
    <n v="0"/>
    <n v="-1269170"/>
    <n v="16221742.960000001"/>
    <n v="1170"/>
    <n v="1084.7606837606838"/>
    <n v="0"/>
    <s v="ARS"/>
    <s v="CC"/>
    <s v="MACRO"/>
    <x v="1"/>
    <x v="1"/>
    <x v="1"/>
    <s v="CUOTA 5/6"/>
    <s v="RENTAS"/>
    <m/>
    <x v="20"/>
    <m/>
    <s v="24/25"/>
    <s v="EGRESOS"/>
    <s v="EFECTIVO Y OTROS ACT LÍQ EQ."/>
  </r>
  <r>
    <x v="5"/>
    <d v="2025-06-12T00:00:00"/>
    <s v="COMISION TRF. MACROL E-SET"/>
    <m/>
    <n v="121"/>
    <n v="0"/>
    <n v="-121"/>
    <n v="20467548.35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2T00:00:00"/>
    <s v="DB.CEXT YCBIOS.GRAV.L25413 SUC.:811"/>
    <m/>
    <n v="24634929.239999998"/>
    <n v="0"/>
    <n v="-24634929.239999998"/>
    <n v="-4167380.88"/>
    <n v="1170"/>
    <n v="21055.495076923075"/>
    <n v="0"/>
    <s v="ARS"/>
    <s v="CC"/>
    <s v="MACRO"/>
    <x v="0"/>
    <x v="12"/>
    <x v="67"/>
    <s v="FOWARD 90 TN"/>
    <s v="BANCO MACRO"/>
    <m/>
    <x v="24"/>
    <m/>
    <s v="24/25"/>
    <s v="CREDITO MACRO FW 90tn 3,5%"/>
    <s v="EFECTIVO Y OTROS ACT LÍQ EQ."/>
  </r>
  <r>
    <x v="5"/>
    <d v="2025-06-12T00:00:00"/>
    <s v="DBCR 25413 S/CR TASA GRAL"/>
    <m/>
    <n v="247894.07"/>
    <n v="0"/>
    <n v="-247894.07"/>
    <n v="-4415274.95"/>
    <n v="1170"/>
    <n v="211.8752735042735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2T00:00:00"/>
    <s v="DBCR 25413 S/CR TASA GRAL"/>
    <m/>
    <n v="160550.28"/>
    <n v="0"/>
    <n v="-160550.28"/>
    <n v="-4575825.2300000004"/>
    <n v="1170"/>
    <n v="137.2224615384615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3T00:00:00"/>
    <s v="CHEQUE P/CAMARA"/>
    <s v="N57979221"/>
    <n v="1995000"/>
    <n v="0"/>
    <n v="-1995000"/>
    <n v="-6570825.2300000004"/>
    <n v="1170"/>
    <n v="1705.1282051282051"/>
    <n v="0"/>
    <s v="ARS"/>
    <s v="CC"/>
    <s v="MACRO"/>
    <x v="5"/>
    <x v="13"/>
    <x v="46"/>
    <s v="HACIENDA"/>
    <s v="TODO CAMPO COMB"/>
    <s v="FA 8655"/>
    <x v="6"/>
    <m/>
    <s v="24/25"/>
    <s v="BIENES Y SERVICIOS"/>
    <s v="EFECTIVO Y OTROS ACT LÍQ EQ."/>
  </r>
  <r>
    <x v="5"/>
    <d v="2025-06-13T00:00:00"/>
    <s v="10 SOL.RESC 6644683 324771"/>
    <m/>
    <n v="0"/>
    <n v="10014765.58"/>
    <n v="10014765.58"/>
    <n v="3443940.35"/>
    <n v="1170"/>
    <n v="0"/>
    <n v="8559.6287008547006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5"/>
    <d v="2025-06-13T00:00:00"/>
    <s v="TRANSF. MACRONLINE E-SET D/T"/>
    <m/>
    <n v="560000"/>
    <n v="0"/>
    <n v="-560000"/>
    <n v="2883940.35"/>
    <n v="1170"/>
    <n v="478.63247863247864"/>
    <n v="0"/>
    <s v="ARS"/>
    <s v="CC"/>
    <s v="MACRO"/>
    <x v="1"/>
    <x v="11"/>
    <x v="66"/>
    <s v="TRAE EFECTIVO"/>
    <s v="SANTIAGO ERRECALDE"/>
    <m/>
    <x v="10"/>
    <m/>
    <s v="24/25"/>
    <s v="ACREEDORES CORTO PLAZO"/>
    <s v="EFECTIVO Y OTROS ACT LÍQ EQ."/>
  </r>
  <r>
    <x v="5"/>
    <d v="2025-06-13T00:00:00"/>
    <s v="COMISION TRF. MACROL E-SET"/>
    <m/>
    <n v="121"/>
    <n v="0"/>
    <n v="-121"/>
    <n v="2883819.35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3T00:00:00"/>
    <s v="TRANSF. MACRONLINE E-SET M/T"/>
    <m/>
    <n v="2000000"/>
    <n v="0"/>
    <n v="-2000000"/>
    <n v="883819.35"/>
    <n v="1170"/>
    <n v="1709.4017094017095"/>
    <n v="0"/>
    <s v="ARS"/>
    <s v="CC"/>
    <s v="MACRO"/>
    <x v="0"/>
    <x v="0"/>
    <x v="0"/>
    <s v="HACIA GALICIA"/>
    <m/>
    <m/>
    <x v="0"/>
    <m/>
    <s v="24/25"/>
    <m/>
    <m/>
  </r>
  <r>
    <x v="5"/>
    <d v="2025-06-13T00:00:00"/>
    <s v="COMISION TRF. MACROL E-SET"/>
    <m/>
    <n v="121"/>
    <n v="0"/>
    <n v="-121"/>
    <n v="883698.35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3T00:00:00"/>
    <s v="DEBITO FISCAL IVA BASICO"/>
    <m/>
    <n v="3024"/>
    <n v="0"/>
    <n v="-3024"/>
    <n v="880674.35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13T00:00:00"/>
    <s v="DEBITO FISCAL IVA PERCEPCION"/>
    <m/>
    <n v="432"/>
    <n v="0"/>
    <n v="-432"/>
    <n v="880242.35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13T00:00:00"/>
    <s v="COMISION CHEQUE CONSULTA"/>
    <m/>
    <n v="14400"/>
    <n v="0"/>
    <n v="-14400"/>
    <n v="865842.35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3T00:00:00"/>
    <s v="DBCR 25413 S/CR TASA GRAL"/>
    <m/>
    <n v="15438.6"/>
    <n v="0"/>
    <n v="-15438.6"/>
    <n v="850403.75"/>
    <n v="1170"/>
    <n v="13.19538461538461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8T00:00:00"/>
    <s v="CHEQUE P/CAMARA"/>
    <s v="N58150466"/>
    <n v="1086667"/>
    <n v="0"/>
    <n v="-1086667"/>
    <n v="-236263.25"/>
    <n v="1170"/>
    <n v="928.77521367521365"/>
    <n v="0"/>
    <s v="ARS"/>
    <s v="CC"/>
    <s v="MACRO"/>
    <x v="2"/>
    <x v="4"/>
    <x v="5"/>
    <s v="FLETES"/>
    <s v="FACUNDO DE DIOS "/>
    <m/>
    <x v="6"/>
    <m/>
    <s v="24/25"/>
    <s v="BIENES Y SERVICIOS"/>
    <s v="EFECTIVO Y OTROS ACT LÍQ EQ."/>
  </r>
  <r>
    <x v="5"/>
    <d v="2025-06-18T00:00:00"/>
    <s v="CHEQUE P/CAMARA"/>
    <s v="N58730909"/>
    <n v="1253833.94"/>
    <n v="0"/>
    <n v="-1253833.94"/>
    <n v="-1490097.19"/>
    <n v="1170"/>
    <n v="1071.6529401709402"/>
    <n v="0"/>
    <s v="ARS"/>
    <s v="CC"/>
    <s v="MACRO"/>
    <x v="2"/>
    <x v="15"/>
    <x v="29"/>
    <s v="SEMILLAS"/>
    <s v="PALO VERDE"/>
    <s v="FA 9152"/>
    <x v="6"/>
    <m/>
    <s v="24/25"/>
    <s v="INSUMOS 2025"/>
    <s v="EFECTIVO Y OTROS ACT LÍQ EQ."/>
  </r>
  <r>
    <x v="5"/>
    <d v="2025-06-18T00:00:00"/>
    <s v="CHEQUE CANJE INTERNO"/>
    <s v="N57979293"/>
    <n v="1995000"/>
    <n v="0"/>
    <n v="-1995000"/>
    <n v="-3485097.19"/>
    <n v="1170"/>
    <n v="1705.1282051282051"/>
    <n v="0"/>
    <s v="ARS"/>
    <s v="CC"/>
    <s v="MACRO"/>
    <x v="5"/>
    <x v="13"/>
    <x v="46"/>
    <s v="HACIENDA"/>
    <s v="TODO CAMPO COMB"/>
    <s v="FA 8655"/>
    <x v="6"/>
    <m/>
    <s v="24/25"/>
    <s v="BIENES Y SERVICIOS"/>
    <s v="EFECTIVO Y OTROS ACT LÍQ EQ."/>
  </r>
  <r>
    <x v="5"/>
    <d v="2025-06-18T00:00:00"/>
    <s v="CHEQUE CANJE INTERNO"/>
    <s v="N58637979"/>
    <n v="3261546.52"/>
    <n v="0"/>
    <n v="-3261546.52"/>
    <n v="-6746643.71"/>
    <n v="1170"/>
    <n v="2787.6465982905984"/>
    <n v="0"/>
    <s v="ARS"/>
    <s v="CC"/>
    <s v="MACRO"/>
    <x v="2"/>
    <x v="4"/>
    <x v="5"/>
    <s v="SEGUROS"/>
    <s v="LA SEGUNDA SEGUROS"/>
    <m/>
    <x v="6"/>
    <m/>
    <s v="24/25"/>
    <s v="EGRESOS"/>
    <s v="EFECTIVO Y OTROS ACT LÍQ EQ."/>
  </r>
  <r>
    <x v="5"/>
    <d v="2025-06-18T00:00:00"/>
    <s v="TEF DATANET MT G E S A 30708920882"/>
    <m/>
    <n v="0"/>
    <n v="1000000"/>
    <n v="1000000"/>
    <n v="-5746643.71"/>
    <n v="1170"/>
    <n v="0"/>
    <n v="854.70085470085473"/>
    <s v="ARS"/>
    <s v="CC"/>
    <s v="MACRO"/>
    <x v="0"/>
    <x v="0"/>
    <x v="0"/>
    <s v="DESDE CC GALICIA"/>
    <m/>
    <m/>
    <x v="0"/>
    <m/>
    <s v="24/25"/>
    <m/>
    <m/>
  </r>
  <r>
    <x v="5"/>
    <d v="2025-06-18T00:00:00"/>
    <s v="DBCR 25413 S/CR TASA GRAL"/>
    <m/>
    <n v="45582.28"/>
    <n v="0"/>
    <n v="-45582.28"/>
    <n v="-5792225.9900000002"/>
    <n v="1170"/>
    <n v="38.95921367521367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9T00:00:00"/>
    <s v="SANCORSEG - SANCOR SEGUROS"/>
    <m/>
    <n v="8067"/>
    <n v="0"/>
    <n v="-8067"/>
    <n v="-5800292.9900000002"/>
    <n v="1170"/>
    <n v="6.8948717948717952"/>
    <n v="0"/>
    <s v="ARS"/>
    <s v="CC"/>
    <s v="MACRO"/>
    <x v="1"/>
    <x v="7"/>
    <x v="58"/>
    <m/>
    <m/>
    <m/>
    <x v="1"/>
    <m/>
    <s v="24/25"/>
    <s v="EGRESOS"/>
    <s v="EFECTIVO Y OTROS ACT LÍQ EQ."/>
  </r>
  <r>
    <x v="5"/>
    <d v="2025-06-19T00:00:00"/>
    <s v="DBCR 25413 S/CR TASA GRAL"/>
    <m/>
    <n v="48.4"/>
    <n v="0"/>
    <n v="-48.4"/>
    <n v="-5800341.3899999997"/>
    <n v="1170"/>
    <n v="4.136752136752136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4T00:00:00"/>
    <s v="CHEQUE P/CAMARA"/>
    <s v="N53810373"/>
    <n v="424276.77"/>
    <n v="0"/>
    <n v="-424276.77"/>
    <n v="-6224618.1600000001"/>
    <n v="1170"/>
    <n v="362.62971794871794"/>
    <n v="0"/>
    <s v="ARS"/>
    <s v="CC"/>
    <s v="MACRO"/>
    <x v="5"/>
    <x v="13"/>
    <x v="25"/>
    <s v="INSUMOS"/>
    <s v="EL CALDEN"/>
    <s v="FA 067"/>
    <x v="6"/>
    <m/>
    <s v="24/25"/>
    <s v="BIENES Y SERVICIOS"/>
    <s v="EFECTIVO Y OTROS ACT LÍQ EQ."/>
  </r>
  <r>
    <x v="5"/>
    <d v="2025-06-24T00:00:00"/>
    <s v="CHEQUE P/CAMARA"/>
    <s v="N57572139"/>
    <n v="357951"/>
    <n v="0"/>
    <n v="-357951"/>
    <n v="-6582569.1600000001"/>
    <n v="1170"/>
    <n v="305.94102564102565"/>
    <n v="0"/>
    <s v="ARS"/>
    <s v="CC"/>
    <s v="MACRO"/>
    <x v="3"/>
    <x v="5"/>
    <x v="7"/>
    <s v="GOMAS"/>
    <s v="GOMERIA ALTAMIRANO (AMETSEN)"/>
    <s v="FA 328"/>
    <x v="6"/>
    <m/>
    <s v="24/25"/>
    <s v="BIENES Y SERVICIOS"/>
    <s v="EFECTIVO Y OTROS ACT LÍQ EQ."/>
  </r>
  <r>
    <x v="5"/>
    <d v="2025-06-24T00:00:00"/>
    <s v="CHEQUE P/CAMARA"/>
    <s v="N57867826"/>
    <n v="1050280"/>
    <n v="0"/>
    <n v="-1050280"/>
    <n v="-7632849.1600000001"/>
    <n v="1170"/>
    <n v="897.67521367521363"/>
    <n v="0"/>
    <s v="ARS"/>
    <s v="CC"/>
    <s v="MACRO"/>
    <x v="2"/>
    <x v="4"/>
    <x v="35"/>
    <s v="ACARREO"/>
    <s v="LUCHI GIL"/>
    <s v="FA 31"/>
    <x v="6"/>
    <m/>
    <s v="24/25"/>
    <s v="BIENES Y SERVICIOS"/>
    <s v="EFECTIVO Y OTROS ACT LÍQ EQ."/>
  </r>
  <r>
    <x v="5"/>
    <d v="2025-06-24T00:00:00"/>
    <s v="CHEQUE P/CAMARA"/>
    <s v="N57867829"/>
    <n v="234000"/>
    <n v="0"/>
    <n v="-234000"/>
    <n v="-7866849.1600000001"/>
    <n v="1170"/>
    <n v="200"/>
    <n v="0"/>
    <s v="ARS"/>
    <s v="CC"/>
    <s v="MACRO"/>
    <x v="5"/>
    <x v="13"/>
    <x v="48"/>
    <m/>
    <s v="CENTRO DE GANADERO"/>
    <m/>
    <x v="19"/>
    <m/>
    <s v="24/25"/>
    <s v="EGRESOS"/>
    <s v="EFECTIVO Y OTROS ACT LÍQ EQ."/>
  </r>
  <r>
    <x v="5"/>
    <d v="2025-06-24T00:00:00"/>
    <s v="CHEQUE P/CAMARA"/>
    <s v="N57939816"/>
    <n v="2800000"/>
    <n v="0"/>
    <n v="-2800000"/>
    <n v="-10666849.16"/>
    <n v="1170"/>
    <n v="2393.1623931623931"/>
    <n v="0"/>
    <s v="ARS"/>
    <s v="CC"/>
    <s v="MACRO"/>
    <x v="2"/>
    <x v="4"/>
    <x v="5"/>
    <s v="COSECHA 114 HAS"/>
    <s v="LUCARELLI AGUSTIN"/>
    <s v="FA192"/>
    <x v="6"/>
    <m/>
    <s v="24/25"/>
    <s v="BIENES Y SERVICIOS"/>
    <s v="EFECTIVO Y OTROS ACT LÍQ EQ."/>
  </r>
  <r>
    <x v="5"/>
    <d v="2025-06-24T00:00:00"/>
    <s v="TRANSF G Y E SA 30708920882 VAR VARIOS 161104"/>
    <m/>
    <n v="0"/>
    <n v="4700000"/>
    <n v="4700000"/>
    <n v="-5966849.1600000001"/>
    <n v="1170"/>
    <n v="0"/>
    <n v="4017.0940170940171"/>
    <s v="ARS"/>
    <s v="CC"/>
    <s v="MACRO"/>
    <x v="0"/>
    <x v="0"/>
    <x v="0"/>
    <s v="DESDE CC PAMPA"/>
    <m/>
    <m/>
    <x v="0"/>
    <m/>
    <s v="24/25"/>
    <m/>
    <m/>
  </r>
  <r>
    <x v="5"/>
    <d v="2025-06-24T00:00:00"/>
    <s v="TEF DATANET PR SWIFT ARGENTINA SA 30560378056"/>
    <m/>
    <n v="0"/>
    <n v="64359736"/>
    <n v="64359736"/>
    <n v="58392886.840000004"/>
    <n v="1170"/>
    <n v="0"/>
    <n v="55008.32136752137"/>
    <s v="ARS"/>
    <s v="CC"/>
    <s v="MACRO"/>
    <x v="5"/>
    <x v="22"/>
    <x v="64"/>
    <s v="VENTA 28/5/2025"/>
    <s v="SWIFT"/>
    <s v="N° Liq: 24429"/>
    <x v="22"/>
    <m/>
    <s v="24/25"/>
    <s v="EFECTIVO Y OTROS ACT LÍQ EQ."/>
    <s v="INGRESOS"/>
  </r>
  <r>
    <x v="5"/>
    <d v="2025-06-24T00:00:00"/>
    <s v="DEBITO FISCAL IVA BASICO"/>
    <m/>
    <n v="3024"/>
    <n v="0"/>
    <n v="-3024"/>
    <n v="58389862.840000004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24T00:00:00"/>
    <s v="DEBITO FISCAL IVA PERCEPCION"/>
    <m/>
    <n v="432"/>
    <n v="0"/>
    <n v="-432"/>
    <n v="58389430.840000004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24T00:00:00"/>
    <s v="COMISION CHEQUE CONSULTA"/>
    <m/>
    <n v="14400"/>
    <n v="0"/>
    <n v="-14400"/>
    <n v="58375030.840000004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4T00:00:00"/>
    <s v="DBCR 25413 S/CR TASA GRAL"/>
    <m/>
    <n v="386158.42"/>
    <n v="0"/>
    <n v="-386158.42"/>
    <n v="57988872.420000002"/>
    <n v="1170"/>
    <n v="330.0499316239316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4T00:00:00"/>
    <s v="DBCR 25413 S/CR TASA GRAL"/>
    <m/>
    <n v="29306.19"/>
    <n v="0"/>
    <n v="-29306.19"/>
    <n v="57959566.229999997"/>
    <n v="1170"/>
    <n v="25.04802564102563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5T00:00:00"/>
    <s v="CHEQUE P/CAMARA"/>
    <s v="N53810374"/>
    <n v="6943750"/>
    <n v="0"/>
    <n v="-6943750"/>
    <n v="51015816.229999997"/>
    <n v="1170"/>
    <n v="5934.8290598290596"/>
    <n v="0"/>
    <s v="ARS"/>
    <s v="CC"/>
    <s v="MACRO"/>
    <x v="2"/>
    <x v="4"/>
    <x v="5"/>
    <s v="COSECHA "/>
    <s v="ALTINA JOSE"/>
    <s v="FA 176"/>
    <x v="6"/>
    <m/>
    <s v="24/25"/>
    <s v="BIENES Y SERVICIOS"/>
    <s v="EFECTIVO Y OTROS ACT LÍQ EQ."/>
  </r>
  <r>
    <x v="5"/>
    <d v="2025-06-25T00:00:00"/>
    <s v="CHEQUE P/CAMARA"/>
    <s v="N58345537"/>
    <n v="205379.35"/>
    <n v="0"/>
    <n v="-205379.35"/>
    <n v="50810436.880000003"/>
    <n v="1170"/>
    <n v="175.53790598290598"/>
    <n v="0"/>
    <s v="ARS"/>
    <s v="CC"/>
    <s v="MACRO"/>
    <x v="3"/>
    <x v="5"/>
    <x v="6"/>
    <m/>
    <s v="HUINCAGRO"/>
    <s v="FA 83 FA 09"/>
    <x v="6"/>
    <m/>
    <s v="24/25"/>
    <s v="BIENES Y SERVICIOS"/>
    <s v="EFECTIVO Y OTROS ACT LÍQ EQ."/>
  </r>
  <r>
    <x v="5"/>
    <d v="2025-06-25T00:00:00"/>
    <s v="TRANSF. MACRONLINE E-SET D/T"/>
    <m/>
    <n v="25002223.5"/>
    <n v="0"/>
    <n v="-25002223.5"/>
    <n v="25808213.379999999"/>
    <n v="1170"/>
    <n v="21369.421794871796"/>
    <n v="0"/>
    <s v="ARS"/>
    <s v="CC"/>
    <s v="MACRO"/>
    <x v="5"/>
    <x v="18"/>
    <x v="70"/>
    <m/>
    <s v="COLOMBO&amp;COLOMBO"/>
    <m/>
    <x v="19"/>
    <m/>
    <s v="24/25"/>
    <s v="EGRESOS"/>
    <s v="EFECTIVO Y OTROS ACT LÍQ EQ."/>
  </r>
  <r>
    <x v="5"/>
    <d v="2025-06-25T00:00:00"/>
    <s v="COMISION TRF. MACROL E-SET"/>
    <m/>
    <n v="121"/>
    <n v="0"/>
    <n v="-121"/>
    <n v="25808092.379999999"/>
    <n v="1170"/>
    <n v="0.103418803418803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5T00:00:00"/>
    <s v="TRANSF. MACRONLINE E-SET M/T"/>
    <m/>
    <n v="7200000"/>
    <n v="0"/>
    <n v="-7200000"/>
    <n v="18608092.379999999"/>
    <n v="1170"/>
    <n v="6153.8461538461543"/>
    <n v="0"/>
    <s v="ARS"/>
    <s v="CC"/>
    <s v="MACRO"/>
    <x v="0"/>
    <x v="0"/>
    <x v="0"/>
    <s v="HACIA CC GALICIA"/>
    <m/>
    <m/>
    <x v="0"/>
    <m/>
    <s v="24/25"/>
    <m/>
    <m/>
  </r>
  <r>
    <x v="5"/>
    <d v="2025-06-25T00:00:00"/>
    <s v="COMISION TRF. MACROL E-SET"/>
    <m/>
    <n v="121"/>
    <n v="0"/>
    <n v="-121"/>
    <n v="18607971.379999999"/>
    <n v="1170"/>
    <n v="0.103418803418803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5T00:00:00"/>
    <s v="TRANSF. MACRONLINE E-SET M/T"/>
    <m/>
    <n v="14000000"/>
    <n v="0"/>
    <n v="-14000000"/>
    <n v="4607971.38"/>
    <n v="1170"/>
    <n v="11965.811965811965"/>
    <n v="0"/>
    <s v="ARS"/>
    <s v="CC"/>
    <s v="MACRO"/>
    <x v="0"/>
    <x v="0"/>
    <x v="0"/>
    <s v="HACIA CC PAMPA"/>
    <m/>
    <m/>
    <x v="0"/>
    <m/>
    <s v="24/25"/>
    <m/>
    <m/>
  </r>
  <r>
    <x v="5"/>
    <d v="2025-06-25T00:00:00"/>
    <s v="COMISION TRF. MACROL E-SET"/>
    <m/>
    <n v="121"/>
    <n v="0"/>
    <n v="-121"/>
    <n v="4607850.3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5T00:00:00"/>
    <s v="DBCR 25413 S/CR TASA GRAL"/>
    <m/>
    <n v="192910.31"/>
    <n v="0"/>
    <n v="-192910.31"/>
    <n v="4414940.07"/>
    <n v="1170"/>
    <n v="164.8806068376068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6T00:00:00"/>
    <s v="CHEQUE P/CAMARA"/>
    <s v="N57867830"/>
    <n v="2059843.5"/>
    <n v="0"/>
    <n v="-2059843.5"/>
    <n v="2355096.5699999998"/>
    <n v="1170"/>
    <n v="1760.55"/>
    <n v="0"/>
    <s v="ARS"/>
    <s v="CC"/>
    <s v="MACRO"/>
    <x v="2"/>
    <x v="4"/>
    <x v="5"/>
    <s v="FLETES"/>
    <s v="AMIN JOSE "/>
    <s v="FA50"/>
    <x v="6"/>
    <m/>
    <s v="24/25"/>
    <s v="BIENES Y SERVICIOS"/>
    <s v="EFECTIVO Y OTROS ACT LÍQ EQ."/>
  </r>
  <r>
    <x v="5"/>
    <d v="2025-06-26T00:00:00"/>
    <s v="TRANSF. MACRONLINE E-SET D/T"/>
    <m/>
    <n v="450000"/>
    <n v="0"/>
    <n v="-450000"/>
    <n v="1905096.57"/>
    <n v="1170"/>
    <n v="384.61538461538464"/>
    <n v="0"/>
    <s v="ARS"/>
    <s v="CC"/>
    <s v="MACRO"/>
    <x v="1"/>
    <x v="2"/>
    <x v="2"/>
    <s v="PARTE JULIO"/>
    <s v="CLAUDIA ERRECALDE"/>
    <m/>
    <x v="15"/>
    <s v="CLAUDIA"/>
    <s v="24/25"/>
    <s v="FUTURAS UT. ADL CLAUDIA"/>
    <s v="EFECTIVO Y OTROS ACT LÍQ EQ."/>
  </r>
  <r>
    <x v="5"/>
    <d v="2025-06-26T00:00:00"/>
    <s v="COMISION TRF. MACROL E-SET"/>
    <m/>
    <n v="121"/>
    <n v="0"/>
    <n v="-121"/>
    <n v="1904975.5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6T00:00:00"/>
    <s v="TRANSF. MACRONLINE E-SET D/T"/>
    <m/>
    <n v="600000"/>
    <n v="0"/>
    <n v="-600000"/>
    <n v="1304975.57"/>
    <n v="1170"/>
    <n v="512.82051282051282"/>
    <n v="0"/>
    <s v="ARS"/>
    <s v="CC"/>
    <s v="MACRO"/>
    <x v="1"/>
    <x v="3"/>
    <x v="3"/>
    <s v="ADELANTO SUELDO"/>
    <s v="ANDRES TOLEDO"/>
    <m/>
    <x v="3"/>
    <m/>
    <s v="24/25"/>
    <s v="EGRESOS"/>
    <s v="EFECTIVO Y OTROS ACT LÍQ EQ."/>
  </r>
  <r>
    <x v="5"/>
    <d v="2025-06-26T00:00:00"/>
    <s v="COMISION TRF. MACROL E-SET"/>
    <m/>
    <n v="121"/>
    <n v="0"/>
    <n v="-121"/>
    <n v="1304854.5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6T00:00:00"/>
    <s v="DBCR 25413 S/CR TASA GRAL"/>
    <m/>
    <n v="18660.52"/>
    <n v="0"/>
    <n v="-18660.52"/>
    <n v="1286194.05"/>
    <n v="1170"/>
    <n v="15.94916239316239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7T00:00:00"/>
    <s v="TRANSF. MACRONLINE E-SET D/T"/>
    <m/>
    <n v="498034.54"/>
    <n v="0"/>
    <n v="-498034.54"/>
    <n v="788159.51"/>
    <n v="1170"/>
    <n v="425.67054700854698"/>
    <n v="0"/>
    <s v="ARS"/>
    <s v="CC"/>
    <s v="MACRO"/>
    <x v="5"/>
    <x v="13"/>
    <x v="54"/>
    <s v="SUPLEMENTOS"/>
    <s v="TEKNAL"/>
    <m/>
    <x v="6"/>
    <m/>
    <s v="24/25"/>
    <s v="BIENES Y SERVICIOS"/>
    <s v="EFECTIVO Y OTROS ACT LÍQ EQ."/>
  </r>
  <r>
    <x v="5"/>
    <d v="2025-06-27T00:00:00"/>
    <s v="COMISION TRF. MACROL E-SET"/>
    <m/>
    <n v="121"/>
    <n v="0"/>
    <n v="-121"/>
    <n v="788038.5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7T00:00:00"/>
    <s v="DEBITO FISCAL IVA BASICO"/>
    <m/>
    <n v="2614.5"/>
    <n v="0"/>
    <n v="-2614.5"/>
    <n v="785424.01"/>
    <n v="1170"/>
    <n v="2.234615384615384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27T00:00:00"/>
    <s v="DEBITO FISCAL IVA PERCEPCION"/>
    <m/>
    <n v="373.5"/>
    <n v="0"/>
    <n v="-373.5"/>
    <n v="785050.51"/>
    <n v="1170"/>
    <n v="0.3192307692307692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27T00:00:00"/>
    <s v="COMISION CHQ PAG CLEARING"/>
    <m/>
    <n v="12450"/>
    <n v="0"/>
    <n v="-12450"/>
    <n v="772600.51"/>
    <n v="1170"/>
    <n v="10.6410256410256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7T00:00:00"/>
    <s v="DBCR 25413 S/CR TASA GRAL"/>
    <m/>
    <n v="3081.57"/>
    <n v="0"/>
    <n v="-3081.57"/>
    <n v="769518.94"/>
    <n v="1170"/>
    <n v="2.633820512820512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7T00:00:00"/>
    <s v="DB TR..AUT.SDO.MISMO TIT."/>
    <m/>
    <n v="57382.239999999998"/>
    <n v="0"/>
    <n v="-57382.239999999998"/>
    <n v="712136.7"/>
    <n v="1170"/>
    <n v="49.044649572649568"/>
    <n v="0"/>
    <s v="ARS"/>
    <s v="CC"/>
    <s v="MACRO"/>
    <x v="0"/>
    <x v="0"/>
    <x v="0"/>
    <s v="HACIA CA MACRO"/>
    <m/>
    <m/>
    <x v="0"/>
    <m/>
    <m/>
    <m/>
    <m/>
  </r>
  <r>
    <x v="5"/>
    <d v="2025-06-30T00:00:00"/>
    <s v="CHEQUE P/CAMARA"/>
    <s v="N58819565"/>
    <n v="2583932"/>
    <n v="0"/>
    <n v="-2583932"/>
    <n v="-1871795.3"/>
    <n v="1170"/>
    <n v="2208.4888888888891"/>
    <n v="0"/>
    <s v="ARS"/>
    <s v="CC"/>
    <s v="MACRO"/>
    <x v="2"/>
    <x v="4"/>
    <x v="5"/>
    <s v="EXTRACCION"/>
    <s v="EL POLO TAVI GALVAN"/>
    <s v="FA 152"/>
    <x v="6"/>
    <m/>
    <s v="24/25"/>
    <s v="BIENES Y SERVICIOS"/>
    <s v="EFECTIVO Y OTROS ACT LÍQ EQ."/>
  </r>
  <r>
    <x v="5"/>
    <d v="2025-06-30T00:00:00"/>
    <s v="TRANSF 30710771576 VAR"/>
    <m/>
    <n v="0"/>
    <n v="28644071.59"/>
    <n v="28644071.59"/>
    <n v="26772276.289999999"/>
    <n v="1170"/>
    <n v="0"/>
    <n v="24482.112470085471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5"/>
    <d v="2025-06-30T00:00:00"/>
    <s v="DBCR 25413 S/CR TASA GRAL"/>
    <m/>
    <n v="171864.43"/>
    <n v="0"/>
    <n v="-171864.43"/>
    <n v="26600411.859999999"/>
    <n v="1170"/>
    <n v="146.892675213675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30T00:00:00"/>
    <s v="DBCR 25413 S/DB TASA GRAL"/>
    <m/>
    <n v="15503.59"/>
    <n v="0"/>
    <n v="-15503.59"/>
    <n v="26584908.27"/>
    <n v="1170"/>
    <n v="13.25093162393162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1T00:00:00"/>
    <s v="DEBITO FISCAL IVA BASICO"/>
    <m/>
    <n v="8758.66"/>
    <n v="0"/>
    <n v="-8758.66"/>
    <n v="26576149.609999999"/>
    <n v="1170"/>
    <n v="7.486034188034188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01T00:00:00"/>
    <s v="DEBITO FISCAL IVA PERCEPCION"/>
    <m/>
    <n v="1251.24"/>
    <n v="0"/>
    <n v="-1251.24"/>
    <n v="26574898.370000001"/>
    <n v="1170"/>
    <n v="1.069435897435897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INTER.ADEL.CC C/ACUERD"/>
    <m/>
    <n v="83415.820000000007"/>
    <n v="0"/>
    <n v="-83415.820000000007"/>
    <n v="26491482.550000001"/>
    <n v="1170"/>
    <n v="71.295572649572662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6"/>
    <d v="2025-07-01T00:00:00"/>
    <s v="DEBITO FISCAL IVA BASICO"/>
    <m/>
    <n v="3728.43"/>
    <n v="0"/>
    <n v="-3728.43"/>
    <n v="26487754.120000001"/>
    <n v="1170"/>
    <n v="3.186692307692307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01T00:00:00"/>
    <s v="DEBITO FISCAL IVA PERCEPCION"/>
    <m/>
    <n v="532.63"/>
    <n v="0"/>
    <n v="-532.63"/>
    <n v="26487221.489999998"/>
    <n v="1170"/>
    <n v="0.4552393162393162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INTER.ADEL.CC C/ACUERD"/>
    <m/>
    <n v="35508.85"/>
    <n v="0"/>
    <n v="-35508.85"/>
    <n v="26451712.640000001"/>
    <n v="1170"/>
    <n v="30.349444444444444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6"/>
    <d v="2025-07-01T00:00:00"/>
    <s v="CHEQUE P/CAMARA"/>
    <s v="N57867832"/>
    <n v="109290"/>
    <n v="0"/>
    <n v="-109290"/>
    <n v="26342422.640000001"/>
    <n v="1170"/>
    <n v="93.410256410256409"/>
    <n v="0"/>
    <s v="ARS"/>
    <s v="CC"/>
    <s v="MACRO"/>
    <x v="5"/>
    <x v="13"/>
    <x v="25"/>
    <m/>
    <s v="LA YUNTA VET"/>
    <s v="FA 346"/>
    <x v="6"/>
    <m/>
    <s v="24/25"/>
    <s v="BIENES Y SERVICIOS"/>
    <s v="EFECTIVO Y OTROS ACT LÍQ EQ."/>
  </r>
  <r>
    <x v="6"/>
    <d v="2025-07-01T00:00:00"/>
    <s v="CHEQUE CANJE INTERNO"/>
    <s v="N51936042"/>
    <n v="15000000"/>
    <n v="0"/>
    <n v="-15000000"/>
    <n v="11342422.640000001"/>
    <n v="1170"/>
    <n v="12820.51282051282"/>
    <n v="0"/>
    <s v="ARS"/>
    <s v="CC"/>
    <s v="MACRO"/>
    <x v="2"/>
    <x v="4"/>
    <x v="5"/>
    <s v="INSUMOS 2024"/>
    <s v="TODO CAMPO INS"/>
    <m/>
    <x v="4"/>
    <m/>
    <s v="23/24"/>
    <s v="INSUMOS 2024"/>
    <s v="EFECTIVO Y OTROS ACT LÍQ EQ."/>
  </r>
  <r>
    <x v="6"/>
    <d v="2025-07-01T00:00:00"/>
    <s v="TRANSF. MACRONLINE E-SET D/T"/>
    <m/>
    <n v="85232"/>
    <n v="0"/>
    <n v="-85232"/>
    <n v="11257190.640000001"/>
    <n v="1170"/>
    <n v="72.847863247863245"/>
    <n v="0"/>
    <s v="ARS"/>
    <s v="CC"/>
    <s v="MACRO"/>
    <x v="3"/>
    <x v="5"/>
    <x v="7"/>
    <m/>
    <s v="CIANCIO"/>
    <s v="FA89 FA06 FA65"/>
    <x v="6"/>
    <m/>
    <s v="24/25"/>
    <s v="BIENES Y SERVICIOS"/>
    <s v="EFECTIVO Y OTROS ACT LÍQ EQ."/>
  </r>
  <r>
    <x v="6"/>
    <d v="2025-07-01T00:00:00"/>
    <s v="TRANSF. MACRONLINE E-SET D/T"/>
    <m/>
    <n v="96280"/>
    <n v="0"/>
    <n v="-96280"/>
    <n v="11160910.640000001"/>
    <n v="1170"/>
    <n v="82.290598290598297"/>
    <n v="0"/>
    <s v="ARS"/>
    <s v="CC"/>
    <s v="MACRO"/>
    <x v="1"/>
    <x v="2"/>
    <x v="30"/>
    <s v="SEGUROS"/>
    <s v="RAUL"/>
    <m/>
    <x v="2"/>
    <s v="RAUL"/>
    <s v="24/25"/>
    <s v="FUTURAS UT. ADL RAUL"/>
    <s v="EFECTIVO Y OTROS ACT LÍQ EQ."/>
  </r>
  <r>
    <x v="6"/>
    <d v="2025-07-01T00:00:00"/>
    <s v="TRANSF. MACRONLINE E-SET M/T"/>
    <m/>
    <n v="770000"/>
    <n v="0"/>
    <n v="-770000"/>
    <n v="10390910.640000001"/>
    <n v="1170"/>
    <n v="658.11965811965808"/>
    <n v="0"/>
    <s v="ARS"/>
    <s v="CC"/>
    <s v="MACRO"/>
    <x v="0"/>
    <x v="0"/>
    <x v="0"/>
    <s v="HACIA CC NACION"/>
    <m/>
    <m/>
    <x v="0"/>
    <m/>
    <m/>
    <m/>
    <m/>
  </r>
  <r>
    <x v="6"/>
    <d v="2025-07-01T00:00:00"/>
    <s v="COMISION TRF. MACROL E-SET"/>
    <m/>
    <n v="121"/>
    <n v="0"/>
    <n v="-121"/>
    <n v="10390789.6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1T00:00:00"/>
    <s v="TRANSF. MACRONLINE E-SET D/T"/>
    <m/>
    <n v="2036480.56"/>
    <n v="0"/>
    <n v="-2036480.56"/>
    <n v="8354309.0800000001"/>
    <n v="1170"/>
    <n v="1740.5816752136752"/>
    <n v="0"/>
    <s v="ARS"/>
    <s v="CC"/>
    <s v="MACRO"/>
    <x v="1"/>
    <x v="7"/>
    <x v="71"/>
    <s v="APROBACION ACTAS"/>
    <s v="CONSEJO PROF CS ECONOMICAS"/>
    <m/>
    <x v="1"/>
    <m/>
    <s v="24/25"/>
    <s v="EGRESOS"/>
    <s v="EFECTIVO Y OTROS ACT LÍQ EQ."/>
  </r>
  <r>
    <x v="6"/>
    <d v="2025-07-01T00:00:00"/>
    <s v="COMISION TRF. MACROL E-SET"/>
    <m/>
    <n v="121"/>
    <n v="0"/>
    <n v="-121"/>
    <n v="8354188.08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1T00:00:00"/>
    <s v="TRANSF. MACRONLINE E-SET D/T"/>
    <m/>
    <n v="1500000"/>
    <n v="0"/>
    <n v="-1500000"/>
    <n v="6854188.0800000001"/>
    <n v="1170"/>
    <n v="1282.051282051282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6"/>
    <d v="2025-07-01T00:00:00"/>
    <s v="COMISION TRF. MACROL E-SET"/>
    <m/>
    <n v="121"/>
    <n v="0"/>
    <n v="-121"/>
    <n v="6854067.08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1T00:00:00"/>
    <s v="DGR SELLOS CORDOBA"/>
    <m/>
    <n v="2159.8000000000002"/>
    <n v="0"/>
    <n v="-2159.8000000000002"/>
    <n v="6851907.2800000003"/>
    <n v="1170"/>
    <n v="1.845982905982906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6"/>
    <d v="2025-07-01T00:00:00"/>
    <s v="DGR SELLOS CORDOBA"/>
    <m/>
    <n v="886.2"/>
    <n v="0"/>
    <n v="-886.2"/>
    <n v="6851021.0800000001"/>
    <n v="1170"/>
    <n v="0.75743589743589745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6"/>
    <d v="2025-07-01T00:00:00"/>
    <s v="DBCR 25413 S/DB TASA GRAL"/>
    <m/>
    <n v="113783.33"/>
    <n v="0"/>
    <n v="-113783.33"/>
    <n v="6737237.75"/>
    <n v="1170"/>
    <n v="97.250709401709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1T00:00:00"/>
    <s v="DB TR..AUT.SDO.MISMO TIT."/>
    <m/>
    <n v="804944.65"/>
    <n v="0"/>
    <n v="-804944.65"/>
    <n v="5932293.0999999996"/>
    <n v="1170"/>
    <n v="687.98688034188035"/>
    <n v="0"/>
    <s v="ARS"/>
    <s v="CC"/>
    <s v="MACRO"/>
    <x v="0"/>
    <x v="0"/>
    <x v="0"/>
    <s v="DESDE CC MACRO"/>
    <m/>
    <m/>
    <x v="0"/>
    <m/>
    <s v="24/25"/>
    <m/>
    <m/>
  </r>
  <r>
    <x v="6"/>
    <d v="2025-07-02T00:00:00"/>
    <s v="TRANSF. MACRONLINE E-SET M/T"/>
    <m/>
    <n v="50000"/>
    <n v="0"/>
    <n v="-50000"/>
    <n v="5882293.0999999996"/>
    <n v="1170"/>
    <n v="42.735042735042732"/>
    <n v="0"/>
    <s v="ARS"/>
    <s v="CC"/>
    <s v="MACRO"/>
    <x v="0"/>
    <x v="0"/>
    <x v="0"/>
    <s v="DESDE CC NACION"/>
    <m/>
    <m/>
    <x v="0"/>
    <m/>
    <s v="24/25"/>
    <m/>
    <m/>
  </r>
  <r>
    <x v="6"/>
    <d v="2025-07-02T00:00:00"/>
    <s v="TRANSF. MACRONLINE E-SET M/T"/>
    <m/>
    <n v="2000000"/>
    <n v="0"/>
    <n v="-2000000"/>
    <n v="3882293.1"/>
    <n v="1170"/>
    <n v="1709.4017094017095"/>
    <n v="0"/>
    <s v="ARS"/>
    <s v="CC"/>
    <s v="MACRO"/>
    <x v="0"/>
    <x v="0"/>
    <x v="0"/>
    <s v="DESDE CC GALICIA"/>
    <m/>
    <m/>
    <x v="0"/>
    <m/>
    <s v="24/25"/>
    <m/>
    <m/>
  </r>
  <r>
    <x v="6"/>
    <d v="2025-07-02T00:00:00"/>
    <s v="COMISION TRF. MACROL E-SET"/>
    <m/>
    <n v="121"/>
    <n v="0"/>
    <n v="-121"/>
    <n v="3882172.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2T00:00:00"/>
    <s v="TRANSF. MACRONLINE E-SET D/T"/>
    <m/>
    <n v="86000"/>
    <n v="0"/>
    <n v="-86000"/>
    <n v="3796172.1"/>
    <n v="1170"/>
    <n v="73.504273504273499"/>
    <n v="0"/>
    <s v="ARS"/>
    <s v="CC"/>
    <s v="MACRO"/>
    <x v="3"/>
    <x v="5"/>
    <x v="6"/>
    <s v="TERMO PARA ANDRES"/>
    <s v="RODRIGUEZ RAUL"/>
    <m/>
    <x v="6"/>
    <m/>
    <s v="24/25"/>
    <s v="BIENES Y SERVICIOS"/>
    <s v="EFECTIVO Y OTROS ACT LÍQ EQ."/>
  </r>
  <r>
    <x v="6"/>
    <d v="2025-07-02T00:00:00"/>
    <s v="DBCR 25413 S/DB TASA GRAL"/>
    <m/>
    <n v="516.73"/>
    <n v="0"/>
    <n v="-516.73"/>
    <n v="3795655.37"/>
    <n v="1170"/>
    <n v="0.4416495726495726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2T00:00:00"/>
    <s v="DBCR 25413 S/DB TASA GRAL"/>
    <m/>
    <n v="516.73"/>
    <n v="0"/>
    <n v="-516.73"/>
    <n v="3795655.37"/>
    <n v="1170"/>
    <n v="0.4416495726495726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3T00:00:00"/>
    <s v="TRANSF. MACRONLINE E-SET D/T"/>
    <m/>
    <n v="934252"/>
    <n v="0"/>
    <n v="-934252"/>
    <n v="2861403.37"/>
    <n v="1170"/>
    <n v="798.50598290598293"/>
    <n v="0"/>
    <s v="ARS"/>
    <s v="CC"/>
    <s v="MACRO"/>
    <x v="2"/>
    <x v="4"/>
    <x v="4"/>
    <s v="HONORARIOS"/>
    <s v="CESAR DIAZ"/>
    <s v="FA 52"/>
    <x v="6"/>
    <m/>
    <s v="24/25"/>
    <s v="BIENES Y SERVICIOS"/>
    <s v="EFECTIVO Y OTROS ACT LÍQ EQ."/>
  </r>
  <r>
    <x v="6"/>
    <d v="2025-07-03T00:00:00"/>
    <s v="COMISION TRF. MACROL E-SET"/>
    <m/>
    <n v="121"/>
    <n v="0"/>
    <n v="-121"/>
    <n v="2861282.3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3T00:00:00"/>
    <s v="TEF DATANET PR SWIFT ARGENTINA SA 30560378056"/>
    <m/>
    <n v="0"/>
    <n v="63472748.5"/>
    <n v="63472748.5"/>
    <n v="66334030.869999997"/>
    <n v="1170"/>
    <n v="0"/>
    <n v="54250.212393162394"/>
    <s v="ARS"/>
    <s v="CC"/>
    <s v="MACRO"/>
    <x v="5"/>
    <x v="22"/>
    <x v="72"/>
    <s v="VENTA 12/06/2025"/>
    <s v="SWIFT"/>
    <s v="N° Liq: 24543"/>
    <x v="22"/>
    <m/>
    <s v="24/25"/>
    <s v="EFECTIVO Y OTROS ACT LÍQ EQ."/>
    <s v="INGRESOS"/>
  </r>
  <r>
    <x v="6"/>
    <d v="2025-07-03T00:00:00"/>
    <s v="DBCR 25413 S/CR TASA GRAL"/>
    <m/>
    <n v="380836.49"/>
    <n v="0"/>
    <n v="-380836.49"/>
    <n v="65953194.380000003"/>
    <n v="1170"/>
    <n v="325.5012735042735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3T00:00:00"/>
    <s v="DBCR 25413 S/DB TASA GRAL"/>
    <m/>
    <n v="5606.24"/>
    <n v="0"/>
    <n v="-5606.24"/>
    <n v="65947588.140000001"/>
    <n v="1170"/>
    <n v="4.791658119658119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7T00:00:00"/>
    <s v="TRANSF. MACRONLINE E-SET D/T"/>
    <m/>
    <n v="500000"/>
    <n v="0"/>
    <n v="-500000"/>
    <n v="65447588.140000001"/>
    <n v="1170"/>
    <n v="427.35042735042737"/>
    <n v="0"/>
    <s v="ARS"/>
    <s v="CC"/>
    <s v="MACRO"/>
    <x v="1"/>
    <x v="2"/>
    <x v="73"/>
    <m/>
    <s v="CLAUDIA ERRECALDE"/>
    <m/>
    <x v="15"/>
    <s v="CLAUDIA"/>
    <s v="24/25"/>
    <s v="FUTURAS UT. ADL CLAUDIA"/>
    <s v="EFECTIVO Y OTROS ACT LÍQ EQ."/>
  </r>
  <r>
    <x v="6"/>
    <d v="2025-07-07T00:00:00"/>
    <s v="COMISION TRF. MACROL E-SET"/>
    <m/>
    <n v="121"/>
    <n v="0"/>
    <n v="-121"/>
    <n v="65447467.1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7T00:00:00"/>
    <s v="TRANSF. MACRONLINE E-SET M/T"/>
    <m/>
    <n v="60000000"/>
    <n v="0"/>
    <n v="-60000000"/>
    <n v="5447467.1399999997"/>
    <n v="1170"/>
    <n v="51282.051282051281"/>
    <n v="0"/>
    <s v="ARS"/>
    <s v="CC"/>
    <s v="MACRO"/>
    <x v="0"/>
    <x v="0"/>
    <x v="0"/>
    <s v="HACIA CC GALICIA"/>
    <m/>
    <m/>
    <x v="0"/>
    <m/>
    <s v="24/25"/>
    <m/>
    <m/>
  </r>
  <r>
    <x v="6"/>
    <d v="2025-07-07T00:00:00"/>
    <s v="COMISION TRF. MACROL E-SET"/>
    <m/>
    <n v="121"/>
    <n v="0"/>
    <n v="-121"/>
    <n v="5447346.139999999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7T00:00:00"/>
    <s v="DBCR 25413 S/DB TASA GRAL"/>
    <m/>
    <n v="3001.46"/>
    <n v="0"/>
    <n v="-3001.46"/>
    <n v="5444344.6799999997"/>
    <n v="1170"/>
    <n v="2.565350427350427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8T00:00:00"/>
    <s v="CHEQUE P/CAMARA"/>
    <s v="N57867827"/>
    <n v="1050282"/>
    <n v="0"/>
    <n v="-1050282"/>
    <n v="4394062.68"/>
    <n v="1170"/>
    <n v="897.67692307692312"/>
    <n v="0"/>
    <s v="ARS"/>
    <s v="CC"/>
    <s v="MACRO"/>
    <x v="2"/>
    <x v="4"/>
    <x v="35"/>
    <s v="ACARREO"/>
    <s v="LUCHI GIL"/>
    <s v="FA 31"/>
    <x v="6"/>
    <m/>
    <s v="24/25"/>
    <s v="BIENES Y SERVICIOS"/>
    <s v="EFECTIVO Y OTROS ACT LÍQ EQ."/>
  </r>
  <r>
    <x v="6"/>
    <d v="2025-07-08T00:00:00"/>
    <s v="TRANSF. MACRONLINE E-SET D/T"/>
    <m/>
    <n v="374597"/>
    <n v="0"/>
    <n v="-374597"/>
    <n v="4019465.68"/>
    <n v="1170"/>
    <n v="320.16837606837606"/>
    <n v="0"/>
    <s v="ARS"/>
    <s v="CC"/>
    <s v="MACRO"/>
    <x v="1"/>
    <x v="11"/>
    <x v="30"/>
    <m/>
    <s v="BECERRA ADRIAN"/>
    <m/>
    <x v="10"/>
    <m/>
    <s v="24/25"/>
    <s v="DEUDAS FINANCIERAS CP"/>
    <s v="EFECTIVO Y OTROS ACT LÍQ EQ."/>
  </r>
  <r>
    <x v="6"/>
    <d v="2025-07-08T00:00:00"/>
    <s v="COMISION TRF. MACROL E-SET"/>
    <m/>
    <n v="121"/>
    <n v="0"/>
    <n v="-121"/>
    <n v="4019344.6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8T00:00:00"/>
    <s v="TRANSF. MACRONLINE E-SET D/T"/>
    <m/>
    <n v="711914"/>
    <n v="0"/>
    <n v="-711914"/>
    <n v="3307430.68"/>
    <n v="1170"/>
    <n v="608.47350427350432"/>
    <n v="0"/>
    <s v="ARS"/>
    <s v="CC"/>
    <s v="MACRO"/>
    <x v="1"/>
    <x v="3"/>
    <x v="3"/>
    <s v="SUELDO JUNIO+SAC"/>
    <s v="KEVIN TOLEDO"/>
    <m/>
    <x v="3"/>
    <m/>
    <s v="24/25"/>
    <s v="EGRESOS"/>
    <s v="EFECTIVO Y OTROS ACT LÍQ EQ."/>
  </r>
  <r>
    <x v="6"/>
    <d v="2025-07-08T00:00:00"/>
    <s v="COMISION TRF. MACROL E-SET"/>
    <m/>
    <n v="121"/>
    <n v="0"/>
    <n v="-121"/>
    <n v="3307309.6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8T00:00:00"/>
    <s v="TRANSF. MACRONLINE E-SET D/T"/>
    <m/>
    <n v="200000"/>
    <n v="0"/>
    <n v="-200000"/>
    <n v="3107309.68"/>
    <n v="1170"/>
    <n v="170.94017094017093"/>
    <n v="0"/>
    <s v="ARS"/>
    <s v="CC"/>
    <s v="MACRO"/>
    <x v="1"/>
    <x v="3"/>
    <x v="3"/>
    <s v="EXTRA"/>
    <s v="KEVIN TOLEDO"/>
    <m/>
    <x v="3"/>
    <m/>
    <s v="24/25"/>
    <s v="EGRESOS"/>
    <s v="EFECTIVO Y OTROS ACT LÍQ EQ."/>
  </r>
  <r>
    <x v="6"/>
    <d v="2025-07-08T00:00:00"/>
    <s v="DBCR 25413 S/DB TASA GRAL"/>
    <m/>
    <n v="14022.21"/>
    <n v="0"/>
    <n v="-14022.21"/>
    <n v="3093287.47"/>
    <n v="1170"/>
    <n v="11.98479487179487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6"/>
    <d v="2025-07-10T00:00:00"/>
    <s v="CHEQUE P/CAMARA"/>
    <s v="N57867833"/>
    <n v="1975446"/>
    <n v="0"/>
    <n v="-1975446"/>
    <n v="1117841.47"/>
    <n v="1170"/>
    <n v="1688.4153846153847"/>
    <n v="0"/>
    <s v="ARS"/>
    <s v="CC"/>
    <s v="MACRO"/>
    <x v="2"/>
    <x v="4"/>
    <x v="5"/>
    <s v="FLETES"/>
    <s v="BAQUE FACUNDO"/>
    <m/>
    <x v="6"/>
    <m/>
    <s v="24/25"/>
    <s v="BIENES Y SERVICIOS"/>
    <s v="EFECTIVO Y OTROS ACT LÍQ EQ."/>
  </r>
  <r>
    <x v="6"/>
    <d v="2025-07-10T00:00:00"/>
    <s v="TRANSF. MACRONLINE E-SET D/T"/>
    <m/>
    <n v="18745.22"/>
    <n v="0"/>
    <n v="-18745.22"/>
    <n v="1099096.25"/>
    <n v="1170"/>
    <n v="16.021555555555558"/>
    <n v="0"/>
    <s v="ARS"/>
    <s v="CC"/>
    <s v="MACRO"/>
    <x v="3"/>
    <x v="14"/>
    <x v="45"/>
    <m/>
    <s v="ESPINAGRO"/>
    <s v="FA 1936"/>
    <x v="6"/>
    <m/>
    <s v="24/25"/>
    <s v="BIENES Y SERVICIOS"/>
    <s v="EFECTIVO Y OTROS ACT LÍQ EQ."/>
  </r>
  <r>
    <x v="6"/>
    <d v="2025-07-10T00:00:00"/>
    <s v="TRANSF. MACRONLINE E-SET D/T"/>
    <m/>
    <n v="350000"/>
    <n v="0"/>
    <n v="-350000"/>
    <n v="749096.25"/>
    <n v="1170"/>
    <n v="299.14529914529913"/>
    <n v="0"/>
    <s v="ARS"/>
    <s v="CC"/>
    <s v="MACRO"/>
    <x v="1"/>
    <x v="2"/>
    <x v="2"/>
    <s v="PARTE AGOSTO"/>
    <s v="CLAUDIA ERRECALDE"/>
    <m/>
    <x v="15"/>
    <s v="CLAUDIA"/>
    <s v="24/25"/>
    <s v="FUTURAS UT. ADL CLAUDIA"/>
    <s v="EFECTIVO Y OTROS ACT LÍQ EQ."/>
  </r>
  <r>
    <x v="6"/>
    <d v="2025-07-10T00:00:00"/>
    <s v="COMISION TRF. MACROL E-SET"/>
    <m/>
    <n v="121"/>
    <n v="0"/>
    <n v="-121"/>
    <n v="748975.25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0T00:00:00"/>
    <s v="DBCR 25413 S/DB TASA GRAL"/>
    <m/>
    <n v="14065.88"/>
    <n v="0"/>
    <n v="-14065.88"/>
    <n v="734909.37"/>
    <n v="1170"/>
    <n v="12.02211965811965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4T00:00:00"/>
    <s v="CHEQUE P/CAMARA"/>
    <s v="N57867834"/>
    <n v="1000000"/>
    <n v="0"/>
    <n v="-1000000"/>
    <n v="-265090.63"/>
    <n v="1170"/>
    <n v="854.70085470085473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6"/>
    <d v="2025-07-14T00:00:00"/>
    <s v="CHEQUE P/CAMARA"/>
    <s v="N59296422"/>
    <n v="1600622.81"/>
    <n v="0"/>
    <n v="-1600622.81"/>
    <n v="-1865713.44"/>
    <n v="1170"/>
    <n v="1368.0536837606837"/>
    <n v="0"/>
    <s v="ARS"/>
    <s v="CC"/>
    <s v="MACRO"/>
    <x v="2"/>
    <x v="4"/>
    <x v="5"/>
    <s v="INSUMOS 2025"/>
    <s v="AGRONASAJA"/>
    <m/>
    <x v="6"/>
    <m/>
    <s v="24/25"/>
    <s v="INSUMOS 2025"/>
    <s v="EFECTIVO Y OTROS ACT LÍQ EQ."/>
  </r>
  <r>
    <x v="6"/>
    <d v="2025-07-14T00:00:00"/>
    <s v="TEF DATANET PR SWIFT ARGENTINA SA 30560378056"/>
    <m/>
    <n v="0"/>
    <n v="61087561.5"/>
    <n v="61087561.5"/>
    <n v="59221848"/>
    <n v="1170"/>
    <n v="0"/>
    <n v="52211.591025641028"/>
    <s v="ARS"/>
    <s v="CC"/>
    <s v="MACRO"/>
    <x v="5"/>
    <x v="22"/>
    <x v="72"/>
    <s v="VENTA 22/06/2025"/>
    <s v="SWIFT"/>
    <s v="N° Liq: 24611"/>
    <x v="22"/>
    <m/>
    <s v="24/25"/>
    <s v="EFECTIVO Y OTROS ACT LÍQ EQ."/>
    <s v="INGRESOS"/>
  </r>
  <r>
    <x v="6"/>
    <d v="2025-07-14T00:00:00"/>
    <s v="TEF DATANET PR UNICER SAS 30715839888"/>
    <m/>
    <n v="0"/>
    <n v="1050388.3899999999"/>
    <n v="1050388.3899999999"/>
    <n v="60272236.450000003"/>
    <n v="1170"/>
    <n v="0"/>
    <n v="897.76785470085463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6"/>
    <d v="2025-07-14T00:00:00"/>
    <s v="DBCR 25413 S/CR TASA GRAL"/>
    <m/>
    <n v="372827.7"/>
    <n v="0"/>
    <n v="-372827.7"/>
    <n v="59899408.75"/>
    <n v="1170"/>
    <n v="318.656153846153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4T00:00:00"/>
    <s v="DBCR 25413 S/DB TASA GRAL"/>
    <m/>
    <n v="15603.74"/>
    <n v="0"/>
    <n v="-15603.74"/>
    <n v="59883805.009999998"/>
    <n v="1170"/>
    <n v="13.33652991452991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5T00:00:00"/>
    <s v="CHEQUE P/CAMARA"/>
    <s v="N58150511"/>
    <n v="1086667"/>
    <n v="0"/>
    <n v="-1086667"/>
    <n v="58797138.009999998"/>
    <n v="1170"/>
    <n v="928.77521367521365"/>
    <n v="0"/>
    <s v="ARS"/>
    <s v="CC"/>
    <s v="MACRO"/>
    <x v="5"/>
    <x v="13"/>
    <x v="23"/>
    <s v="PAGO A AMETSEN POR GOMAS"/>
    <s v="FACUNDO DE DIOS "/>
    <m/>
    <x v="6"/>
    <m/>
    <s v="24/25"/>
    <s v="BIENES Y SERVICIOS"/>
    <s v="EFECTIVO Y OTROS ACT LÍQ EQ."/>
  </r>
  <r>
    <x v="6"/>
    <d v="2025-07-15T00:00:00"/>
    <s v="TRANSF. MACRONLINE E-SET M/T"/>
    <m/>
    <n v="25000000"/>
    <n v="0"/>
    <n v="-25000000"/>
    <n v="33797138.009999998"/>
    <n v="1170"/>
    <n v="21367.521367521367"/>
    <n v="0"/>
    <s v="ARS"/>
    <s v="CC"/>
    <s v="MACRO"/>
    <x v="0"/>
    <x v="0"/>
    <x v="0"/>
    <s v="HACIA CC GALICIA"/>
    <m/>
    <m/>
    <x v="0"/>
    <m/>
    <s v="24/25"/>
    <m/>
    <m/>
  </r>
  <r>
    <x v="6"/>
    <d v="2025-07-15T00:00:00"/>
    <s v="COMISION TRF. MACROL E-SET"/>
    <m/>
    <n v="121"/>
    <n v="0"/>
    <n v="-121"/>
    <n v="33797017.00999999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5T00:00:00"/>
    <s v="TRF MO CCDO DIST T - 30708920882"/>
    <m/>
    <n v="18000"/>
    <n v="0"/>
    <n v="-18000"/>
    <n v="33779017.009999998"/>
    <n v="1170"/>
    <n v="15.384615384615385"/>
    <n v="0"/>
    <s v="ARS"/>
    <s v="CC"/>
    <s v="MACRO"/>
    <x v="2"/>
    <x v="4"/>
    <x v="74"/>
    <s v="CONTRATO ALQUILER"/>
    <m/>
    <m/>
    <x v="1"/>
    <m/>
    <s v="24/25"/>
    <s v="EGRESOS"/>
    <s v="EFECTIVO Y OTROS ACT LÍQ EQ."/>
  </r>
  <r>
    <x v="6"/>
    <d v="2025-07-15T00:00:00"/>
    <s v="TRANSF. MACRONLINE E-SET D/T"/>
    <m/>
    <n v="3000"/>
    <n v="0"/>
    <n v="-3000"/>
    <n v="33776017.009999998"/>
    <n v="1170"/>
    <n v="2.5641025641025643"/>
    <n v="0"/>
    <s v="ARS"/>
    <s v="CC"/>
    <s v="MACRO"/>
    <x v="3"/>
    <x v="5"/>
    <x v="28"/>
    <s v="AFILADO DE CADENA"/>
    <s v="BENITEZ"/>
    <m/>
    <x v="5"/>
    <m/>
    <s v="24/25"/>
    <s v="BIENES Y SERVICIOS"/>
    <s v="EFECTIVO Y OTROS ACT LÍQ EQ."/>
  </r>
  <r>
    <x v="6"/>
    <d v="2025-07-15T00:00:00"/>
    <s v="TRANSF. MACRONLINE E-SET D/T"/>
    <m/>
    <n v="16200"/>
    <n v="0"/>
    <n v="-16200"/>
    <n v="33759817.009999998"/>
    <n v="1170"/>
    <n v="13.846153846153847"/>
    <n v="0"/>
    <s v="ARS"/>
    <s v="CC"/>
    <s v="MACRO"/>
    <x v="3"/>
    <x v="5"/>
    <x v="6"/>
    <s v="PINTURAS"/>
    <s v="ARIEL RODRIGUEZ"/>
    <m/>
    <x v="6"/>
    <m/>
    <s v="24/25"/>
    <s v="BIENES Y SERVICIOS"/>
    <s v="EFECTIVO Y OTROS ACT LÍQ EQ."/>
  </r>
  <r>
    <x v="6"/>
    <d v="2025-07-15T00:00:00"/>
    <s v="TRANSF. MACRONLINE E-SET D/T"/>
    <m/>
    <n v="96930"/>
    <n v="0"/>
    <n v="-96930"/>
    <n v="33662887.009999998"/>
    <n v="1170"/>
    <n v="82.84615384615384"/>
    <n v="0"/>
    <s v="ARS"/>
    <s v="CC"/>
    <s v="MACRO"/>
    <x v="3"/>
    <x v="5"/>
    <x v="75"/>
    <s v="ROPA PERSONAL"/>
    <s v="PAMPERO"/>
    <m/>
    <x v="6"/>
    <m/>
    <s v="24/25"/>
    <s v="BIENES Y SERVICIOS"/>
    <s v="EFECTIVO Y OTROS ACT LÍQ EQ."/>
  </r>
  <r>
    <x v="6"/>
    <d v="2025-07-15T00:00:00"/>
    <s v="TRANSF. MACRONLINE E-SET D/T"/>
    <m/>
    <n v="52519.98"/>
    <n v="0"/>
    <n v="-52519.98"/>
    <n v="33610367.030000001"/>
    <n v="1170"/>
    <n v="44.888871794871797"/>
    <n v="0"/>
    <s v="ARS"/>
    <s v="CC"/>
    <s v="MACRO"/>
    <x v="3"/>
    <x v="5"/>
    <x v="6"/>
    <m/>
    <s v="AGRICOLA CENTENO"/>
    <m/>
    <x v="6"/>
    <m/>
    <s v="24/25"/>
    <s v="BIENES Y SERVICIOS"/>
    <s v="EFECTIVO Y OTROS ACT LÍQ EQ."/>
  </r>
  <r>
    <x v="6"/>
    <d v="2025-07-15T00:00:00"/>
    <s v="DBCR 25413 S/DB TASA GRAL"/>
    <m/>
    <n v="7640.63"/>
    <n v="0"/>
    <n v="-7640.63"/>
    <n v="33602726.399999999"/>
    <n v="1170"/>
    <n v="6.530452991452991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6T00:00:00"/>
    <s v="CHEQUE P/CAMARA"/>
    <s v="N57867828"/>
    <n v="4200000"/>
    <n v="0"/>
    <n v="-4200000"/>
    <n v="29402726.399999999"/>
    <n v="1170"/>
    <n v="3589.7435897435898"/>
    <n v="0"/>
    <s v="ARS"/>
    <s v="CC"/>
    <s v="MACRO"/>
    <x v="2"/>
    <x v="4"/>
    <x v="5"/>
    <s v="COSECHA 114 HAS"/>
    <s v="LUCARELLI AGUSTIN"/>
    <s v="FA192"/>
    <x v="6"/>
    <m/>
    <s v="24/25"/>
    <s v="BIENES Y SERVICIOS"/>
    <s v="EFECTIVO Y OTROS ACT LÍQ EQ."/>
  </r>
  <r>
    <x v="6"/>
    <d v="2025-07-16T00:00:00"/>
    <s v="CHEQUE P/CAMARA"/>
    <s v="N59345389"/>
    <n v="5807565"/>
    <n v="0"/>
    <n v="-5807565"/>
    <n v="23595161.399999999"/>
    <n v="1170"/>
    <n v="4963.7307692307695"/>
    <n v="0"/>
    <s v="ARS"/>
    <s v="CC"/>
    <s v="MACRO"/>
    <x v="5"/>
    <x v="13"/>
    <x v="76"/>
    <s v="NUTRIMAX"/>
    <s v="ACA"/>
    <s v="FA 316"/>
    <x v="6"/>
    <m/>
    <s v="24/25"/>
    <s v="INSUMOS 2025"/>
    <s v="EFECTIVO Y OTROS ACT LÍQ EQ."/>
  </r>
  <r>
    <x v="6"/>
    <d v="2025-07-16T00:00:00"/>
    <s v="TRANSF. MACRONLINE E-SET D/T"/>
    <m/>
    <n v="311050"/>
    <n v="0"/>
    <n v="-311050"/>
    <n v="23284111.399999999"/>
    <n v="1170"/>
    <n v="265.85470085470087"/>
    <n v="0"/>
    <s v="ARS"/>
    <s v="CC"/>
    <s v="MACRO"/>
    <x v="1"/>
    <x v="11"/>
    <x v="30"/>
    <m/>
    <s v="BECERRA ADRIAN"/>
    <m/>
    <x v="10"/>
    <m/>
    <s v="24/25"/>
    <s v="DEUDAS FINANCIERAS CP"/>
    <s v="EFECTIVO Y OTROS ACT LÍQ EQ."/>
  </r>
  <r>
    <x v="6"/>
    <d v="2025-07-16T00:00:00"/>
    <s v="COMISION TRF. MACROL E-SET"/>
    <m/>
    <n v="121"/>
    <n v="0"/>
    <n v="-121"/>
    <n v="23283990.399999999"/>
    <n v="1170"/>
    <n v="0.103418803418803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6T00:00:00"/>
    <s v="TRANSF LEIVA HER 30710771576 VAR VARIOS"/>
    <m/>
    <n v="0"/>
    <n v="28022219.68"/>
    <n v="28022219.68"/>
    <n v="51306210.079999998"/>
    <n v="1170"/>
    <n v="0"/>
    <n v="23950.61511111111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6"/>
    <d v="2025-07-16T00:00:00"/>
    <s v="TEF DATANET PR SWIFT ARGENTINA SA 30560378056"/>
    <m/>
    <n v="0"/>
    <n v="63031230.5"/>
    <n v="63031230.5"/>
    <n v="114337440.58"/>
    <n v="1170"/>
    <n v="0"/>
    <n v="53872.84658119658"/>
    <s v="ARS"/>
    <s v="CC"/>
    <s v="MACRO"/>
    <x v="5"/>
    <x v="22"/>
    <x v="64"/>
    <s v="VENTA 24/06/2025"/>
    <s v="SWIFT"/>
    <s v="N° Liq: 24626"/>
    <x v="22"/>
    <m/>
    <s v="24/25"/>
    <s v="EFECTIVO Y OTROS ACT LÍQ EQ."/>
    <s v="INGRESOS"/>
  </r>
  <r>
    <x v="6"/>
    <d v="2025-07-16T00:00:00"/>
    <s v="DBCR 25413 S/CR TASA GRAL"/>
    <m/>
    <n v="546320.69999999995"/>
    <n v="0"/>
    <n v="-546320.69999999995"/>
    <n v="113791119.88"/>
    <n v="1170"/>
    <n v="466.9407692307692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6T00:00:00"/>
    <s v="DBCR 25413 S/DB TASA GRAL"/>
    <m/>
    <n v="61912.42"/>
    <n v="0"/>
    <n v="-61912.42"/>
    <n v="113729207.45999999"/>
    <n v="1170"/>
    <n v="52.9165982905982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7T00:00:00"/>
    <s v="CHEQUE CANJE INTERNO"/>
    <s v="N57867831"/>
    <n v="440000"/>
    <n v="0"/>
    <n v="-440000"/>
    <n v="113289207.45999999"/>
    <n v="1170"/>
    <n v="376.0683760683761"/>
    <n v="0"/>
    <s v="ARS"/>
    <s v="CC"/>
    <s v="MACRO"/>
    <x v="5"/>
    <x v="13"/>
    <x v="4"/>
    <s v="HONORARIOS"/>
    <s v="FEDE PICCIOCHI"/>
    <s v="FA346"/>
    <x v="6"/>
    <m/>
    <s v="24/25"/>
    <s v="BIENES Y SERVICIOS"/>
    <s v="EFECTIVO Y OTROS ACT LÍQ EQ."/>
  </r>
  <r>
    <x v="6"/>
    <d v="2025-07-17T00:00:00"/>
    <s v="TRANSF. MACRONLINE E-SET D/T"/>
    <m/>
    <n v="4784051.95"/>
    <n v="0"/>
    <n v="-4784051.95"/>
    <n v="108505155.51000001"/>
    <n v="1170"/>
    <n v="4088.9332905982906"/>
    <n v="0"/>
    <s v="ARS"/>
    <s v="CC"/>
    <s v="MACRO"/>
    <x v="2"/>
    <x v="4"/>
    <x v="5"/>
    <s v="INSUMOS 2025"/>
    <s v="LOS GROBO"/>
    <m/>
    <x v="6"/>
    <m/>
    <s v="24/25"/>
    <s v="INSUMOS 2025"/>
    <s v="EFECTIVO Y OTROS ACT LÍQ EQ."/>
  </r>
  <r>
    <x v="6"/>
    <d v="2025-07-17T00:00:00"/>
    <s v="COMISION TRF. MACROL E-SET"/>
    <m/>
    <n v="121"/>
    <n v="0"/>
    <n v="-121"/>
    <n v="108505034.51000001"/>
    <n v="1170"/>
    <n v="0.103418803418803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7T00:00:00"/>
    <s v="TRANSF. MACRONLINE E-SET D/T"/>
    <m/>
    <n v="1000000"/>
    <n v="0"/>
    <n v="-1000000"/>
    <n v="107505034.51000001"/>
    <n v="1170"/>
    <n v="854.70085470085473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6"/>
    <d v="2025-07-17T00:00:00"/>
    <s v="COMISION TRF. MACROL E-SET"/>
    <m/>
    <n v="121"/>
    <n v="0"/>
    <n v="-121"/>
    <n v="107504913.51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7T00:00:00"/>
    <s v="TRANSF. MACRONLINE E-SET D/T"/>
    <m/>
    <n v="1000000"/>
    <n v="0"/>
    <n v="-1000000"/>
    <n v="106504913.51000001"/>
    <n v="1170"/>
    <n v="854.70085470085473"/>
    <n v="0"/>
    <s v="ARS"/>
    <s v="CC"/>
    <s v="MACRO"/>
    <x v="1"/>
    <x v="2"/>
    <x v="27"/>
    <s v="PERIODO MAYO 25"/>
    <s v="MONICA ERRECALDE"/>
    <m/>
    <x v="13"/>
    <s v="MONICA"/>
    <s v="24/25"/>
    <s v="FUTURAS UT. ADL MONICA"/>
    <s v="EFECTIVO Y OTROS ACT LÍQ EQ."/>
  </r>
  <r>
    <x v="6"/>
    <d v="2025-07-17T00:00:00"/>
    <s v="COMISION TRF. MACROL E-SET"/>
    <m/>
    <n v="121"/>
    <n v="0"/>
    <n v="-121"/>
    <n v="106504792.51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7T00:00:00"/>
    <s v="TRF MO CCDO DIST T - 30708920882"/>
    <m/>
    <n v="1000000"/>
    <n v="0"/>
    <n v="-1000000"/>
    <n v="105504792.51000001"/>
    <n v="1170"/>
    <n v="854.70085470085473"/>
    <n v="0"/>
    <s v="ARS"/>
    <s v="CC"/>
    <s v="MACRO"/>
    <x v="1"/>
    <x v="7"/>
    <x v="61"/>
    <s v="CONTADORA"/>
    <s v="FABIANA VICENTIN"/>
    <m/>
    <x v="1"/>
    <m/>
    <s v="24/25"/>
    <s v="EGRESOS"/>
    <s v="EFECTIVO Y OTROS ACT LÍQ EQ."/>
  </r>
  <r>
    <x v="6"/>
    <d v="2025-07-17T00:00:00"/>
    <s v="COMISION TRANSFERE"/>
    <m/>
    <n v="121"/>
    <n v="0"/>
    <n v="-121"/>
    <n v="105504671.51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7T00:00:00"/>
    <s v="DB.CEXT YCBIOS.GRAV.L25413 SUC.:811"/>
    <m/>
    <n v="39491465.219999999"/>
    <n v="0"/>
    <n v="-39491465.219999999"/>
    <n v="66013206.289999999"/>
    <n v="1170"/>
    <n v="33753.389076923078"/>
    <n v="0"/>
    <s v="ARS"/>
    <s v="CC"/>
    <s v="MACRO"/>
    <x v="0"/>
    <x v="12"/>
    <x v="77"/>
    <s v="PRESTAMO 30 MIL USD"/>
    <s v="BANCO MACRO"/>
    <m/>
    <x v="25"/>
    <m/>
    <s v="24/25"/>
    <s v="AMORT. CREDITOS MACR"/>
    <s v="EFECTIVO Y OTROS ACT LÍQ EQ."/>
  </r>
  <r>
    <x v="6"/>
    <d v="2025-07-17T00:00:00"/>
    <s v="DBCR 25413 S/DB TASA GRAL"/>
    <m/>
    <n v="286296.02"/>
    <n v="0"/>
    <n v="-286296.02"/>
    <n v="65726910.270000003"/>
    <n v="1170"/>
    <n v="244.6974529914530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8T00:00:00"/>
    <s v="TRANSF. MACRONLINE E-SET D/T"/>
    <m/>
    <n v="2000000"/>
    <n v="0"/>
    <n v="-2000000"/>
    <n v="63726910.270000003"/>
    <n v="1170"/>
    <n v="1709.4017094017095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6"/>
    <d v="2025-07-18T00:00:00"/>
    <s v="COMISION TRF. MACROL E-SET"/>
    <m/>
    <n v="121"/>
    <n v="0"/>
    <n v="-121"/>
    <n v="63726789.270000003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8T00:00:00"/>
    <s v="DBCR 25413 S/DB TASA GRAL"/>
    <m/>
    <n v="12000.73"/>
    <n v="0"/>
    <n v="-12000.73"/>
    <n v="63714788.539999999"/>
    <n v="1170"/>
    <n v="10.25703418803418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8T00:00:00"/>
    <s v="DB TR..AUT.SDO.MISMO TIT."/>
    <m/>
    <n v="1296573.06"/>
    <n v="0"/>
    <n v="-1296573.06"/>
    <n v="62418215.479999997"/>
    <n v="1170"/>
    <n v="1108.1821025641027"/>
    <n v="0"/>
    <s v="ARS"/>
    <s v="CC"/>
    <s v="MACRO"/>
    <x v="0"/>
    <x v="0"/>
    <x v="0"/>
    <s v="DESDE CC MACRO"/>
    <m/>
    <m/>
    <x v="0"/>
    <m/>
    <s v="24/25"/>
    <m/>
    <m/>
  </r>
  <r>
    <x v="6"/>
    <d v="2025-07-21T00:00:00"/>
    <s v="SANCORSEG - SANCOR SEGUROS"/>
    <m/>
    <n v="8067"/>
    <n v="0"/>
    <n v="-8067"/>
    <n v="62410148.479999997"/>
    <n v="1170"/>
    <n v="6.8948717948717952"/>
    <n v="0"/>
    <s v="ARS"/>
    <s v="CC"/>
    <s v="MACRO"/>
    <x v="1"/>
    <x v="7"/>
    <x v="58"/>
    <m/>
    <m/>
    <m/>
    <x v="1"/>
    <m/>
    <s v="24/25"/>
    <s v="EGRESOS"/>
    <s v="EFECTIVO Y OTROS ACT LÍQ EQ."/>
  </r>
  <r>
    <x v="6"/>
    <d v="2025-07-21T00:00:00"/>
    <s v="DBCR 25413 S/DB TASA GRAL"/>
    <m/>
    <n v="48.4"/>
    <n v="0"/>
    <n v="-48.4"/>
    <n v="62410100.079999998"/>
    <n v="1170"/>
    <n v="4.136752136752136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2T00:00:00"/>
    <s v="CHEQUE P/CAMARA"/>
    <s v="N57572177"/>
    <n v="357951.31"/>
    <n v="0"/>
    <n v="-357951.31"/>
    <n v="62052148.770000003"/>
    <n v="1170"/>
    <n v="305.94129059829061"/>
    <n v="0"/>
    <s v="ARS"/>
    <s v="CC"/>
    <s v="MACRO"/>
    <x v="3"/>
    <x v="14"/>
    <x v="45"/>
    <s v="GOMAS"/>
    <s v="ALTAMIRANO "/>
    <s v="FA9152"/>
    <x v="6"/>
    <m/>
    <s v="24/25"/>
    <s v="BIENES Y SERVICIOS"/>
    <s v="EFECTIVO Y OTROS ACT LÍQ EQ."/>
  </r>
  <r>
    <x v="6"/>
    <d v="2025-07-22T00:00:00"/>
    <s v="CHEQUE P/CAMARA"/>
    <s v="N57867841"/>
    <n v="2600000"/>
    <n v="0"/>
    <n v="-2600000"/>
    <n v="59452148.770000003"/>
    <n v="1170"/>
    <n v="2222.2222222222222"/>
    <n v="0"/>
    <s v="ARS"/>
    <s v="CC"/>
    <s v="MACRO"/>
    <x v="5"/>
    <x v="13"/>
    <x v="23"/>
    <s v="HACIENDA"/>
    <s v="FERRERE AGUSTIN"/>
    <s v="FA2991"/>
    <x v="6"/>
    <m/>
    <s v="24/25"/>
    <s v="BIENES Y SERVICIOS"/>
    <s v="EFECTIVO Y OTROS ACT LÍQ EQ."/>
  </r>
  <r>
    <x v="6"/>
    <d v="2025-07-22T00:00:00"/>
    <s v="CHEQUE P/CAMARA"/>
    <s v="N59108400"/>
    <n v="685009"/>
    <n v="0"/>
    <n v="-685009"/>
    <n v="58767139.770000003"/>
    <n v="1170"/>
    <n v="585.47777777777776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6"/>
    <d v="2025-07-22T00:00:00"/>
    <s v="TRANSF. MACRONLINE E-SET D/T"/>
    <m/>
    <n v="25002223.5"/>
    <n v="0"/>
    <n v="-25002223.5"/>
    <n v="33764916.270000003"/>
    <n v="1170"/>
    <n v="21369.421794871796"/>
    <n v="0"/>
    <s v="ARS"/>
    <s v="CC"/>
    <s v="MACRO"/>
    <x v="5"/>
    <x v="18"/>
    <x v="78"/>
    <m/>
    <s v="COLOMBO&amp;COLOMBO"/>
    <m/>
    <x v="19"/>
    <m/>
    <s v="24/25"/>
    <s v="EGRESOS"/>
    <s v="EFECTIVO Y OTROS ACT LÍQ EQ."/>
  </r>
  <r>
    <x v="6"/>
    <d v="2025-07-22T00:00:00"/>
    <s v="COMISION TRF. MACROL E-SET"/>
    <m/>
    <n v="121"/>
    <n v="0"/>
    <n v="-121"/>
    <n v="33764795.270000003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2T00:00:00"/>
    <s v="TRANSF. MACRONLINE E-SET D/T"/>
    <m/>
    <n v="140000"/>
    <n v="0"/>
    <n v="-140000"/>
    <n v="33624795.270000003"/>
    <n v="1170"/>
    <n v="119.65811965811966"/>
    <n v="0"/>
    <s v="ARS"/>
    <s v="CC"/>
    <s v="MACRO"/>
    <x v="2"/>
    <x v="4"/>
    <x v="5"/>
    <s v="FLETES"/>
    <s v="CLERICI JUAN PABLO"/>
    <m/>
    <x v="5"/>
    <m/>
    <s v="24/25"/>
    <s v="BIENES Y SERVICIOS"/>
    <s v="EFECTIVO Y OTROS ACT LÍQ EQ."/>
  </r>
  <r>
    <x v="6"/>
    <d v="2025-07-22T00:00:00"/>
    <s v="DBCR 25413 S/DB TASA GRAL"/>
    <m/>
    <n v="172711.83"/>
    <n v="0"/>
    <n v="-172711.83"/>
    <n v="33452083.440000001"/>
    <n v="1170"/>
    <n v="147.61694871794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3T00:00:00"/>
    <s v="CHEQUE P/CAMARA"/>
    <s v="N53810375"/>
    <n v="8401937.5"/>
    <n v="0"/>
    <n v="-8401937.5"/>
    <n v="25050145.940000001"/>
    <n v="1170"/>
    <n v="7181.1431623931621"/>
    <n v="0"/>
    <s v="ARS"/>
    <s v="CC"/>
    <s v="MACRO"/>
    <x v="2"/>
    <x v="4"/>
    <x v="5"/>
    <s v="COSECHA "/>
    <s v="ALTINA JOSE"/>
    <s v="FA 176"/>
    <x v="6"/>
    <m/>
    <s v="24/25"/>
    <s v="BIENES Y SERVICIOS"/>
    <s v="EFECTIVO Y OTROS ACT LÍQ EQ."/>
  </r>
  <r>
    <x v="6"/>
    <d v="2025-07-23T00:00:00"/>
    <s v="TRANSF. MACRONLINE E-SET M/T"/>
    <m/>
    <n v="4100000"/>
    <n v="0"/>
    <n v="-4100000"/>
    <n v="20950145.940000001"/>
    <n v="1170"/>
    <n v="3504.2735042735044"/>
    <n v="0"/>
    <s v="ARS"/>
    <s v="CC"/>
    <s v="MACRO"/>
    <x v="0"/>
    <x v="0"/>
    <x v="0"/>
    <s v="HACIA CC GALICIA"/>
    <m/>
    <m/>
    <x v="0"/>
    <m/>
    <s v="24/25"/>
    <m/>
    <m/>
  </r>
  <r>
    <x v="6"/>
    <d v="2025-07-23T00:00:00"/>
    <s v="COMISION TRF. MACROL E-SET"/>
    <m/>
    <n v="121"/>
    <n v="0"/>
    <n v="-121"/>
    <n v="20950024.9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3T00:00:00"/>
    <s v="TRANSF. MACRONLINE E-SET D/T"/>
    <m/>
    <n v="650000"/>
    <n v="0"/>
    <n v="-650000"/>
    <n v="20300024.940000001"/>
    <n v="1170"/>
    <n v="555.55555555555554"/>
    <n v="0"/>
    <s v="ARS"/>
    <s v="CC"/>
    <s v="MACRO"/>
    <x v="1"/>
    <x v="2"/>
    <x v="2"/>
    <s v="PARTE AGOSTO"/>
    <s v="CLAUDIA ERRECALDE"/>
    <m/>
    <x v="15"/>
    <s v="CLAUDIA"/>
    <s v="24/25"/>
    <s v="FUTURAS UT. ADL CLAUDIA"/>
    <s v="EFECTIVO Y OTROS ACT LÍQ EQ."/>
  </r>
  <r>
    <x v="6"/>
    <d v="2025-07-23T00:00:00"/>
    <s v="COMISION TRF. MACROL E-SET"/>
    <m/>
    <n v="121"/>
    <n v="0"/>
    <n v="-121"/>
    <n v="20299903.9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3T00:00:00"/>
    <s v="TRANSF. MACRONLINE E-SET D/T"/>
    <m/>
    <n v="2000000"/>
    <n v="0"/>
    <n v="-2000000"/>
    <n v="18299903.940000001"/>
    <n v="1170"/>
    <n v="1709.4017094017095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6"/>
    <d v="2025-07-23T00:00:00"/>
    <s v="COMISION TRF. MACROL E-SET"/>
    <m/>
    <n v="121"/>
    <n v="0"/>
    <n v="-121"/>
    <n v="18299782.9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3T00:00:00"/>
    <s v="DBCR 25413 S/DB TASA GRAL"/>
    <m/>
    <n v="66313.820000000007"/>
    <n v="0"/>
    <n v="-66313.820000000007"/>
    <n v="18233469.120000001"/>
    <n v="1170"/>
    <n v="56.67847863247863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4T00:00:00"/>
    <s v="CHEQUE P/CAMARA"/>
    <s v="N57867837"/>
    <n v="500000"/>
    <n v="0"/>
    <n v="-500000"/>
    <n v="17733469.120000001"/>
    <n v="1170"/>
    <n v="427.35042735042737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6"/>
    <d v="2025-07-24T00:00:00"/>
    <s v="CHEQUE P/CAMARA"/>
    <s v="N59110321"/>
    <n v="402220"/>
    <n v="0"/>
    <n v="-402220"/>
    <n v="17331249.120000001"/>
    <n v="1170"/>
    <n v="343.77777777777777"/>
    <n v="0"/>
    <s v="ARS"/>
    <s v="CC"/>
    <s v="MACRO"/>
    <x v="3"/>
    <x v="5"/>
    <x v="28"/>
    <s v="ELECT CASA"/>
    <s v="COOPERATIVA ELC"/>
    <m/>
    <x v="6"/>
    <m/>
    <s v="24/25"/>
    <s v="EGRESOS"/>
    <s v="EFECTIVO Y OTROS ACT LÍQ EQ."/>
  </r>
  <r>
    <x v="6"/>
    <d v="2025-07-24T00:00:00"/>
    <s v="10 Liq.Susc 871158 324771"/>
    <m/>
    <n v="17000000"/>
    <n v="0"/>
    <n v="-17000000"/>
    <n v="331249.12"/>
    <n v="1170"/>
    <n v="14529.914529914529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6"/>
    <d v="2025-07-24T00:00:00"/>
    <s v="CCERR MACRO AGRO 30645289826 CIRC.CERRADO"/>
    <m/>
    <n v="0"/>
    <n v="769758.03"/>
    <n v="769758.03"/>
    <n v="1101007.1499999999"/>
    <n v="1170"/>
    <n v="0"/>
    <n v="657.9128461538462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6"/>
    <d v="2025-07-24T00:00:00"/>
    <s v="DBCR 25413 S/CR TASA GRAL"/>
    <m/>
    <n v="4618.55"/>
    <n v="0"/>
    <n v="-4618.55"/>
    <n v="1096388.6000000001"/>
    <n v="1170"/>
    <n v="3.947478632478632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4T00:00:00"/>
    <s v="DBCR 25413 S/DB TASA GRAL"/>
    <m/>
    <n v="5413.32"/>
    <n v="0"/>
    <n v="-5413.32"/>
    <n v="1090975.28"/>
    <n v="1170"/>
    <n v="4.626769230769230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5T00:00:00"/>
    <s v="CHEQUE P/CAMARA"/>
    <s v="N57867836"/>
    <n v="560000"/>
    <n v="0"/>
    <n v="-560000"/>
    <n v="530975.28"/>
    <n v="1170"/>
    <n v="478.63247863247864"/>
    <n v="0"/>
    <s v="ARS"/>
    <s v="CC"/>
    <s v="MACRO"/>
    <x v="3"/>
    <x v="5"/>
    <x v="47"/>
    <s v="ARREGL DE CUB AUX"/>
    <s v="GOMERIA CARLITOS"/>
    <s v="FA429"/>
    <x v="6"/>
    <m/>
    <s v="24/25"/>
    <s v="BIENES Y SERVICIOS"/>
    <s v="EFECTIVO Y OTROS ACT LÍQ EQ."/>
  </r>
  <r>
    <x v="6"/>
    <d v="2025-07-25T00:00:00"/>
    <s v="CHEQUE P/CAMARA"/>
    <s v="N57867848"/>
    <n v="215300"/>
    <n v="0"/>
    <n v="-215300"/>
    <n v="315675.28000000003"/>
    <n v="1170"/>
    <n v="184.01709401709402"/>
    <n v="0"/>
    <s v="ARS"/>
    <s v="CC"/>
    <s v="MACRO"/>
    <x v="3"/>
    <x v="5"/>
    <x v="36"/>
    <s v="MARZO MAYO JUNIO"/>
    <s v="CHICHIN PICCO"/>
    <m/>
    <x v="5"/>
    <m/>
    <s v="24/25"/>
    <s v="BIENES Y SERVICIOS"/>
    <s v="EFECTIVO Y OTROS ACT LÍQ EQ."/>
  </r>
  <r>
    <x v="6"/>
    <d v="2025-07-25T00:00:00"/>
    <s v="10 SOL.RESC 887385 324771"/>
    <m/>
    <n v="0"/>
    <n v="7800000"/>
    <n v="7800000"/>
    <n v="8115675.2800000003"/>
    <n v="1170"/>
    <n v="0"/>
    <n v="6666.666666666667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6"/>
    <d v="2025-07-25T00:00:00"/>
    <s v="TRANSF. MACRONLINE E-SET M/T"/>
    <m/>
    <n v="4200000"/>
    <n v="0"/>
    <n v="-4200000"/>
    <n v="3915675.28"/>
    <n v="1170"/>
    <n v="3589.7435897435898"/>
    <n v="0"/>
    <s v="ARS"/>
    <s v="CC"/>
    <s v="MACRO"/>
    <x v="0"/>
    <x v="0"/>
    <x v="0"/>
    <s v="HACIA CC GALICIA"/>
    <m/>
    <m/>
    <x v="0"/>
    <m/>
    <s v="24/25"/>
    <m/>
    <m/>
  </r>
  <r>
    <x v="6"/>
    <d v="2025-07-25T00:00:00"/>
    <s v="COMISION TRF. MACROL E-SET"/>
    <m/>
    <n v="121"/>
    <n v="0"/>
    <n v="-121"/>
    <n v="3915554.2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5T00:00:00"/>
    <s v="TRANSF. MACRONLINE E-SET M/T"/>
    <m/>
    <n v="3600000"/>
    <n v="0"/>
    <n v="-3600000"/>
    <n v="315554.28000000003"/>
    <n v="1170"/>
    <n v="3076.9230769230771"/>
    <n v="0"/>
    <s v="ARS"/>
    <s v="CC"/>
    <s v="MACRO"/>
    <x v="0"/>
    <x v="0"/>
    <x v="0"/>
    <s v="HACIA CC PAMPA"/>
    <m/>
    <m/>
    <x v="0"/>
    <m/>
    <s v="24/25"/>
    <m/>
    <m/>
  </r>
  <r>
    <x v="6"/>
    <d v="2025-07-25T00:00:00"/>
    <s v="COMISION TRF. MACROL E-SET"/>
    <m/>
    <n v="121"/>
    <n v="0"/>
    <n v="-121"/>
    <n v="315433.28000000003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5T00:00:00"/>
    <s v="DBCR 25413 S/DB TASA GRAL"/>
    <m/>
    <n v="4653.26"/>
    <n v="0"/>
    <n v="-4653.26"/>
    <n v="310780.02"/>
    <n v="1170"/>
    <n v="3.977145299145299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8T00:00:00"/>
    <s v="CHEQUE CANJE INTERNO"/>
    <s v="N57867838"/>
    <n v="500000"/>
    <n v="0"/>
    <n v="-500000"/>
    <n v="-189219.98"/>
    <n v="1170"/>
    <n v="427.35042735042737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6"/>
    <d v="2025-07-28T00:00:00"/>
    <s v="10 SOL.RESC 921516 324771"/>
    <m/>
    <n v="0"/>
    <n v="200000"/>
    <n v="200000"/>
    <n v="10780.02"/>
    <n v="1170"/>
    <n v="0"/>
    <n v="170.94017094017093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6"/>
    <d v="2025-07-28T00:00:00"/>
    <s v="TRANSF 30710771576 VAR LEIVA HERMAN"/>
    <m/>
    <n v="0"/>
    <n v="54808000"/>
    <n v="54808000"/>
    <n v="54818780.020000003"/>
    <n v="1170"/>
    <n v="0"/>
    <n v="46844.444444444445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6"/>
    <d v="2025-07-28T00:00:00"/>
    <s v="DEBITO FISCAL IVA BASICO"/>
    <m/>
    <n v="3213"/>
    <n v="0"/>
    <n v="-3213"/>
    <n v="54815567.020000003"/>
    <n v="1170"/>
    <n v="2.746153846153846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28T00:00:00"/>
    <s v="DEBITO FISCAL IVA PERCEPCION"/>
    <m/>
    <n v="459"/>
    <n v="0"/>
    <n v="-459"/>
    <n v="54815108.020000003"/>
    <n v="1170"/>
    <n v="0.392307692307692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28T00:00:00"/>
    <s v="COMISION CHQ PAG CLEARING"/>
    <m/>
    <n v="15300"/>
    <n v="0"/>
    <n v="-15300"/>
    <n v="54799808.020000003"/>
    <n v="1170"/>
    <n v="13.076923076923077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8T00:00:00"/>
    <s v="DBCR 25413 S/CR TASA GRAL"/>
    <m/>
    <n v="328848"/>
    <n v="0"/>
    <n v="-328848"/>
    <n v="54470960.020000003"/>
    <n v="1170"/>
    <n v="281.0666666666666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8T00:00:00"/>
    <s v="DBCR 25413 S/DB TASA GRAL"/>
    <m/>
    <n v="3113.83"/>
    <n v="0"/>
    <n v="-3113.83"/>
    <n v="54467846.189999998"/>
    <n v="1170"/>
    <n v="2.661393162393162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9T00:00:00"/>
    <s v="CHEQUE P/CAMARA"/>
    <s v="N51936043"/>
    <n v="15000000"/>
    <n v="0"/>
    <n v="-15000000"/>
    <n v="39467846.189999998"/>
    <n v="1170"/>
    <n v="12820.51282051282"/>
    <n v="0"/>
    <s v="ARS"/>
    <s v="CC"/>
    <s v="MACRO"/>
    <x v="2"/>
    <x v="4"/>
    <x v="5"/>
    <s v="INSUMOS 2024"/>
    <s v="TODO CAMPO INS"/>
    <m/>
    <x v="4"/>
    <m/>
    <s v="23/24"/>
    <s v="INSUMOS 2024"/>
    <s v="EFECTIVO Y OTROS ACT LÍQ EQ."/>
  </r>
  <r>
    <x v="6"/>
    <d v="2025-07-29T00:00:00"/>
    <s v="CHEQUE P/CAMARA"/>
    <s v="N57867835"/>
    <n v="1115931.19"/>
    <n v="0"/>
    <n v="-1115931.19"/>
    <n v="38351915"/>
    <n v="1170"/>
    <n v="953.78734188034184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6"/>
    <d v="2025-07-29T00:00:00"/>
    <s v="CHEQUE P/CAMARA"/>
    <s v="N59456885"/>
    <n v="1607364"/>
    <n v="0"/>
    <n v="-1607364"/>
    <n v="36744551"/>
    <n v="1170"/>
    <n v="1373.8153846153846"/>
    <n v="0"/>
    <s v="ARS"/>
    <s v="CC"/>
    <s v="MACRO"/>
    <x v="2"/>
    <x v="4"/>
    <x v="5"/>
    <s v="FLETES"/>
    <s v="MDB"/>
    <s v="FA 69"/>
    <x v="6"/>
    <m/>
    <s v="24/25"/>
    <s v="BIENES Y SERVICIOS"/>
    <s v="EFECTIVO Y OTROS ACT LÍQ EQ."/>
  </r>
  <r>
    <x v="6"/>
    <d v="2025-07-29T00:00:00"/>
    <s v="CHEQUE CANJE INTERNO"/>
    <s v="N59298834"/>
    <n v="498034.54"/>
    <n v="0"/>
    <n v="-498034.54"/>
    <n v="36246516.460000001"/>
    <n v="1170"/>
    <n v="425.67054700854698"/>
    <n v="0"/>
    <s v="ARS"/>
    <s v="CC"/>
    <s v="MACRO"/>
    <x v="5"/>
    <x v="13"/>
    <x v="54"/>
    <s v="SUPLEMENTOS"/>
    <s v="TEKNAL"/>
    <m/>
    <x v="6"/>
    <m/>
    <s v="24/25"/>
    <s v="BIENES Y SERVICIOS"/>
    <s v="EFECTIVO Y OTROS ACT LÍQ EQ."/>
  </r>
  <r>
    <x v="6"/>
    <d v="2025-07-29T00:00:00"/>
    <s v="10 SOL.RESC 948996 324771"/>
    <m/>
    <n v="0"/>
    <n v="9043719.0899999999"/>
    <n v="9043719.0899999999"/>
    <n v="45290235.549999997"/>
    <n v="1170"/>
    <n v="0"/>
    <n v="7729.6744358974356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6"/>
    <d v="2025-07-29T00:00:00"/>
    <s v="TRANSF. MACRONLINE E-SET D/T"/>
    <m/>
    <n v="30022519.050000001"/>
    <n v="0"/>
    <n v="-30022519.050000001"/>
    <n v="15267716.5"/>
    <n v="1170"/>
    <n v="25660.272692307692"/>
    <n v="0"/>
    <s v="ARS"/>
    <s v="CC"/>
    <s v="MACRO"/>
    <x v="5"/>
    <x v="18"/>
    <x v="79"/>
    <m/>
    <s v="COLOMBO&amp;COLOMBO"/>
    <m/>
    <x v="19"/>
    <m/>
    <s v="24/25"/>
    <s v="EGRESOS"/>
    <s v="EFECTIVO Y OTROS ACT LÍQ EQ."/>
  </r>
  <r>
    <x v="6"/>
    <d v="2025-07-29T00:00:00"/>
    <s v="COMISION TRF. MACROL E-SET"/>
    <m/>
    <n v="121"/>
    <n v="0"/>
    <n v="-121"/>
    <n v="15267595.5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9T00:00:00"/>
    <s v="TEF DATANET MT G E S A 30708920882"/>
    <m/>
    <n v="0"/>
    <n v="4000000"/>
    <n v="4000000"/>
    <n v="19267595.5"/>
    <n v="1170"/>
    <n v="0"/>
    <n v="3418.8034188034189"/>
    <s v="ARS"/>
    <s v="CC"/>
    <s v="MACRO"/>
    <x v="0"/>
    <x v="0"/>
    <x v="0"/>
    <s v="HACIA CC GALICIA"/>
    <m/>
    <m/>
    <x v="0"/>
    <m/>
    <s v="24/25"/>
    <m/>
    <m/>
  </r>
  <r>
    <x v="6"/>
    <d v="2025-07-29T00:00:00"/>
    <s v="TRANSF. MACRONLINE E-SET D/T"/>
    <m/>
    <n v="24319448.5"/>
    <n v="0"/>
    <n v="-24319448.5"/>
    <n v="-5051853"/>
    <n v="1170"/>
    <n v="20785.853418803417"/>
    <n v="0"/>
    <s v="ARS"/>
    <s v="CC"/>
    <s v="MACRO"/>
    <x v="5"/>
    <x v="18"/>
    <x v="80"/>
    <m/>
    <s v="COLOMBO&amp;COLOMBO"/>
    <m/>
    <x v="19"/>
    <m/>
    <s v="24/25"/>
    <s v="EGRESOS"/>
    <s v="EFECTIVO Y OTROS ACT LÍQ EQ."/>
  </r>
  <r>
    <x v="6"/>
    <d v="2025-07-29T00:00:00"/>
    <s v="COMISION TRF. MACROL E-SET"/>
    <m/>
    <n v="121"/>
    <n v="0"/>
    <n v="-121"/>
    <n v="-5051974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9T00:00:00"/>
    <s v="TRANSF. MACRONLINE E-SET D/T"/>
    <m/>
    <n v="280000"/>
    <n v="0"/>
    <n v="-280000"/>
    <n v="-5331974"/>
    <n v="1170"/>
    <n v="239.31623931623932"/>
    <n v="0"/>
    <s v="ARS"/>
    <s v="CC"/>
    <s v="MACRO"/>
    <x v="1"/>
    <x v="2"/>
    <x v="2"/>
    <s v="PARTE SEPTIEMBRE"/>
    <s v="CLAUDIA ERRECALDE"/>
    <m/>
    <x v="15"/>
    <s v="CLAUDIA"/>
    <s v="24/25"/>
    <s v="FUTURAS UT. ADL CLAUDIA"/>
    <s v="EFECTIVO Y OTROS ACT LÍQ EQ."/>
  </r>
  <r>
    <x v="6"/>
    <d v="2025-07-29T00:00:00"/>
    <s v="COMISION TRF. MACROL E-SET"/>
    <m/>
    <n v="18.149999999999999"/>
    <n v="0"/>
    <n v="-18.149999999999999"/>
    <n v="-5331992.1500000004"/>
    <n v="1170"/>
    <n v="1.5512820512820512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9T00:00:00"/>
    <s v="DBCR 25413 S/DB TASA GRAL"/>
    <m/>
    <n v="437061.35"/>
    <n v="0"/>
    <n v="-437061.35"/>
    <n v="-5769053.5"/>
    <n v="1290"/>
    <n v="338.807248062015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30T00:00:00"/>
    <s v="CHEQUE P/CAMARA"/>
    <s v="N59457028"/>
    <n v="1692306"/>
    <n v="0"/>
    <n v="-1692306"/>
    <n v="-7461359.5"/>
    <n v="1290"/>
    <n v="1311.8651162790698"/>
    <n v="0"/>
    <s v="ARS"/>
    <s v="CC"/>
    <s v="MACRO"/>
    <x v="2"/>
    <x v="4"/>
    <x v="5"/>
    <s v="FLETES"/>
    <s v="BIROLO NICOLAS"/>
    <s v="FA 85"/>
    <x v="6"/>
    <m/>
    <s v="24/25"/>
    <s v="BIENES Y SERVICIOS"/>
    <s v="EFECTIVO Y OTROS ACT LÍQ EQ."/>
  </r>
  <r>
    <x v="6"/>
    <d v="2025-07-30T00:00:00"/>
    <s v="TEF DATANET MT G E S A 30708920882"/>
    <m/>
    <n v="0"/>
    <n v="1500000"/>
    <n v="1500000"/>
    <n v="-5961359.5"/>
    <n v="1290"/>
    <n v="0"/>
    <n v="1162.7906976744187"/>
    <s v="ARS"/>
    <s v="CC"/>
    <s v="MACRO"/>
    <x v="0"/>
    <x v="0"/>
    <x v="0"/>
    <s v="DESDE CC GALICIA"/>
    <m/>
    <m/>
    <x v="0"/>
    <m/>
    <s v="24/25"/>
    <m/>
    <m/>
  </r>
  <r>
    <x v="6"/>
    <d v="2025-07-30T00:00:00"/>
    <s v="DEBITO FISCAL IVA BASICO"/>
    <m/>
    <n v="3276"/>
    <n v="0"/>
    <n v="-3276"/>
    <n v="-5964635.5"/>
    <n v="1290"/>
    <n v="2.539534883720930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30T00:00:00"/>
    <s v="DEBITO FISCAL IVA PERCEPCION"/>
    <m/>
    <n v="468"/>
    <n v="0"/>
    <n v="-468"/>
    <n v="-5965103.5"/>
    <n v="1290"/>
    <n v="0.3627906976744186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30T00:00:00"/>
    <s v="COMISION CHEQUE CONSULTA"/>
    <m/>
    <n v="15600"/>
    <n v="0"/>
    <n v="-15600"/>
    <n v="-5980703.5"/>
    <n v="1290"/>
    <n v="12.093023255813954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30T00:00:00"/>
    <s v="DBCR 25413 S/DB TASA GRAL"/>
    <m/>
    <n v="10269.9"/>
    <n v="0"/>
    <n v="-10269.9"/>
    <n v="-5990973.4000000004"/>
    <n v="1290"/>
    <n v="7.961162790697674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30T00:00:00"/>
    <s v="DB TR..AUT.SDO.MISMO TIT."/>
    <m/>
    <n v="61628"/>
    <n v="0"/>
    <n v="-61628"/>
    <n v="-6052601.4000000004"/>
    <n v="1290"/>
    <n v="47.773643410852713"/>
    <n v="0"/>
    <s v="ARS"/>
    <s v="CC"/>
    <s v="MACRO"/>
    <x v="0"/>
    <x v="0"/>
    <x v="0"/>
    <s v="HACIA CC MACRO"/>
    <m/>
    <m/>
    <x v="0"/>
    <m/>
    <s v="24/25"/>
    <m/>
    <m/>
  </r>
  <r>
    <x v="6"/>
    <d v="2025-07-31T00:00:00"/>
    <s v="CHEQUE P/CAMARA"/>
    <s v="N59456972"/>
    <n v="1682505"/>
    <n v="0"/>
    <n v="-1682505"/>
    <n v="-7735106.4000000004"/>
    <n v="1290"/>
    <n v="1304.2674418604652"/>
    <n v="0"/>
    <s v="ARS"/>
    <s v="CC"/>
    <s v="MACRO"/>
    <x v="2"/>
    <x v="4"/>
    <x v="5"/>
    <s v="FLETES"/>
    <s v="MDB"/>
    <s v="FA 82"/>
    <x v="6"/>
    <m/>
    <s v="24/25"/>
    <s v="BIENES Y SERVICIOS"/>
    <s v="EFECTIVO Y OTROS ACT LÍQ EQ."/>
  </r>
  <r>
    <x v="6"/>
    <d v="2025-07-31T00:00:00"/>
    <s v="TRANSF G Y E SA 30708920882 VAR VARIOS 306174"/>
    <m/>
    <n v="0"/>
    <n v="8000000"/>
    <n v="8000000"/>
    <n v="264893.59999999998"/>
    <n v="1290"/>
    <n v="0"/>
    <n v="6201.5503875968989"/>
    <s v="ARS"/>
    <s v="CC"/>
    <s v="MACRO"/>
    <x v="0"/>
    <x v="0"/>
    <x v="0"/>
    <s v="DESDE CC PAMPA"/>
    <m/>
    <m/>
    <x v="0"/>
    <m/>
    <s v="24/25"/>
    <m/>
    <m/>
  </r>
  <r>
    <x v="6"/>
    <d v="2025-07-31T00:00:00"/>
    <s v="TEF DATANET PR SWIFT ARGENTINA SA 30560378056"/>
    <m/>
    <n v="0"/>
    <n v="80757852"/>
    <n v="80757852"/>
    <n v="81022745.599999994"/>
    <n v="1290"/>
    <n v="0"/>
    <n v="62602.986046511629"/>
    <s v="ARS"/>
    <s v="CC"/>
    <s v="MACRO"/>
    <x v="5"/>
    <x v="22"/>
    <x v="81"/>
    <s v="VENTA 10/07/2025"/>
    <s v="SWIFT"/>
    <s v="N° Liq: 24748"/>
    <x v="22"/>
    <m/>
    <s v="24/25"/>
    <s v="EFECTIVO Y OTROS ACT LÍQ EQ."/>
    <s v="INGRESOS"/>
  </r>
  <r>
    <x v="6"/>
    <d v="2025-07-31T00:00:00"/>
    <s v="TRANSF. MACRONLINE E-SET D/T"/>
    <m/>
    <n v="8000000"/>
    <n v="0"/>
    <n v="-8000000"/>
    <n v="73022745.599999994"/>
    <n v="1290"/>
    <n v="6201.5503875968989"/>
    <n v="0"/>
    <s v="ARS"/>
    <s v="CC"/>
    <s v="MACRO"/>
    <x v="0"/>
    <x v="0"/>
    <x v="0"/>
    <s v="HACIA CC PAMPA"/>
    <m/>
    <m/>
    <x v="0"/>
    <m/>
    <s v="24/25"/>
    <m/>
    <m/>
  </r>
  <r>
    <x v="6"/>
    <d v="2025-07-31T00:00:00"/>
    <s v="COMISION TRF. MACROL E-SET"/>
    <m/>
    <n v="121"/>
    <n v="0"/>
    <n v="-121"/>
    <n v="73022624.599999994"/>
    <n v="1290"/>
    <n v="9.3798449612403106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31T00:00:00"/>
    <s v="DEBITO FISCAL IVA BASICO"/>
    <m/>
    <n v="3276"/>
    <n v="0"/>
    <n v="-3276"/>
    <n v="73019348.599999994"/>
    <n v="1290"/>
    <n v="2.539534883720930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31T00:00:00"/>
    <s v="DEBITO FISCAL IVA PERCEPCION"/>
    <m/>
    <n v="468"/>
    <n v="0"/>
    <n v="-468"/>
    <n v="73018880.599999994"/>
    <n v="1290"/>
    <n v="0.3627906976744186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31T00:00:00"/>
    <s v="COMISION CHEQUE CONSULTA"/>
    <m/>
    <n v="15600"/>
    <n v="0"/>
    <n v="-15600"/>
    <n v="73003280.599999994"/>
    <n v="1290"/>
    <n v="12.093023255813954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31T00:00:00"/>
    <s v="DBCR 25413 S/CR TASA GRAL"/>
    <m/>
    <n v="484547.11"/>
    <n v="0"/>
    <n v="-484547.11"/>
    <n v="72518733.489999995"/>
    <n v="1290"/>
    <n v="375.6179147286821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31T00:00:00"/>
    <s v="DBCR 25413 S/DB TASA GRAL"/>
    <m/>
    <n v="10211.82"/>
    <n v="0"/>
    <n v="-10211.82"/>
    <n v="72508521.670000002"/>
    <n v="1290"/>
    <n v="7.916139534883720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31T00:00:00"/>
    <s v="DB TR..AUT.SDO.MISMO TIT."/>
    <m/>
    <n v="369.77"/>
    <n v="0"/>
    <n v="-369.77"/>
    <n v="72508151.900000006"/>
    <n v="1290"/>
    <n v="0.28664341085271317"/>
    <n v="0"/>
    <s v="ARS"/>
    <s v="CC"/>
    <s v="MACRO"/>
    <x v="0"/>
    <x v="0"/>
    <x v="0"/>
    <s v="HACIA CC PAMPA"/>
    <m/>
    <m/>
    <x v="0"/>
    <m/>
    <s v="24/25"/>
    <m/>
    <m/>
  </r>
  <r>
    <x v="7"/>
    <d v="2025-08-01T00:00:00"/>
    <s v="DEBITO FISCAL IVA BASICO"/>
    <m/>
    <n v="1740.76"/>
    <n v="0"/>
    <n v="-1740.76"/>
    <n v="72506411.140000001"/>
    <n v="1290"/>
    <n v="1.349426356589147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DEBITO FISCAL IVA PERCEPCION"/>
    <m/>
    <n v="248.68"/>
    <n v="0"/>
    <n v="-248.68"/>
    <n v="72506162.459999993"/>
    <n v="1290"/>
    <n v="0.1927751937984496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7"/>
    <d v="2025-08-01T00:00:00"/>
    <s v="INTER.ADEL.CC C/ACUERD"/>
    <m/>
    <n v="16578.650000000001"/>
    <n v="0"/>
    <n v="-16578.650000000001"/>
    <n v="72489583.810000002"/>
    <n v="1290"/>
    <n v="12.851666666666668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7"/>
    <d v="2025-08-01T00:00:00"/>
    <s v="DEBITO FISCAL IVA BASICO"/>
    <m/>
    <n v="10.29"/>
    <n v="0"/>
    <n v="-10.29"/>
    <n v="72489573.519999996"/>
    <n v="1290"/>
    <n v="7.9767441860465107E-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INTER.ADEL.CC S/ACUERD"/>
    <m/>
    <n v="98"/>
    <n v="0"/>
    <n v="-98"/>
    <n v="72489475.519999996"/>
    <n v="1290"/>
    <n v="7.5968992248062014E-2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7"/>
    <d v="2025-08-01T00:00:00"/>
    <s v="CHEQUE P/CAMARA"/>
    <s v="N57867844"/>
    <n v="440000"/>
    <n v="0"/>
    <n v="-440000"/>
    <n v="72049475.519999996"/>
    <n v="1290"/>
    <n v="341.08527131782944"/>
    <n v="0"/>
    <s v="ARS"/>
    <s v="CC"/>
    <s v="MACRO"/>
    <x v="5"/>
    <x v="13"/>
    <x v="4"/>
    <s v="HONORARIOS"/>
    <s v="FEDE PICCIOCHI"/>
    <m/>
    <x v="6"/>
    <m/>
    <s v="24/25"/>
    <s v="BIENES Y SERVICIOS"/>
    <s v="EFECTIVO Y OTROS ACT LÍQ EQ."/>
  </r>
  <r>
    <x v="7"/>
    <d v="2025-08-01T00:00:00"/>
    <s v="CHEQUE P/CAMARA"/>
    <s v="N57867845"/>
    <n v="1247120"/>
    <n v="0"/>
    <n v="-1247120"/>
    <n v="70802355.519999996"/>
    <n v="1290"/>
    <n v="966.75968992248067"/>
    <n v="0"/>
    <s v="ARS"/>
    <s v="CC"/>
    <s v="MACRO"/>
    <x v="5"/>
    <x v="13"/>
    <x v="25"/>
    <m/>
    <s v="LA YUNTA VET"/>
    <s v="FA 813"/>
    <x v="6"/>
    <m/>
    <s v="24/25"/>
    <s v="BIENES Y SERVICIOS"/>
    <s v="EFECTIVO Y OTROS ACT LÍQ EQ."/>
  </r>
  <r>
    <x v="7"/>
    <d v="2025-08-01T00:00:00"/>
    <s v="CHEQUE P/CAMARA"/>
    <s v="N59345484"/>
    <n v="5807565"/>
    <n v="0"/>
    <n v="-5807565"/>
    <n v="64994790.520000003"/>
    <n v="1290"/>
    <n v="4501.9883720930229"/>
    <n v="0"/>
    <s v="ARS"/>
    <s v="CC"/>
    <s v="MACRO"/>
    <x v="5"/>
    <x v="13"/>
    <x v="76"/>
    <s v="NUTRIMAX"/>
    <s v="ACA"/>
    <s v="FA 316"/>
    <x v="6"/>
    <m/>
    <s v="24/25"/>
    <s v="INSUMOS 2025"/>
    <s v="EFECTIVO Y OTROS ACT LÍQ EQ."/>
  </r>
  <r>
    <x v="7"/>
    <d v="2025-08-01T00:00:00"/>
    <s v="TRANSF. MACRONLINE E-SET M/T"/>
    <m/>
    <n v="5500000"/>
    <n v="0"/>
    <n v="-5500000"/>
    <n v="59494790.520000003"/>
    <n v="1290"/>
    <n v="4263.5658914728683"/>
    <n v="0"/>
    <s v="ARS"/>
    <s v="CC"/>
    <s v="MACRO"/>
    <x v="0"/>
    <x v="0"/>
    <x v="0"/>
    <s v="HACIA CC GALICIA"/>
    <m/>
    <m/>
    <x v="0"/>
    <m/>
    <s v="24/25"/>
    <m/>
    <m/>
  </r>
  <r>
    <x v="7"/>
    <d v="2025-08-01T00:00:00"/>
    <s v="COMISION TRF. MACROL E-SET"/>
    <m/>
    <n v="121"/>
    <n v="0"/>
    <n v="-121"/>
    <n v="59494669.520000003"/>
    <n v="1290"/>
    <n v="9.3798449612403106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01T00:00:00"/>
    <s v="TEF DATANET PR UNICER SAS 30715839888"/>
    <m/>
    <n v="0"/>
    <n v="1503327.77"/>
    <n v="1503327.77"/>
    <n v="60997997.289999999"/>
    <n v="1290"/>
    <n v="0"/>
    <n v="1165.3703643410852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7"/>
    <d v="2025-08-01T00:00:00"/>
    <s v="TRANSF. MACRONLINE E-SET D/T"/>
    <m/>
    <n v="135000"/>
    <n v="0"/>
    <n v="-135000"/>
    <n v="60862997.289999999"/>
    <n v="1290"/>
    <n v="104.65116279069767"/>
    <n v="0"/>
    <s v="ARS"/>
    <s v="CC"/>
    <s v="MACRO"/>
    <x v="3"/>
    <x v="8"/>
    <x v="39"/>
    <s v="CAMBIO DE FILTROS Y ACEITE CBA"/>
    <s v="TORRES ALBERTO"/>
    <m/>
    <x v="5"/>
    <m/>
    <s v="24/25"/>
    <s v="BIENES Y SERVICIOS"/>
    <s v="EFECTIVO Y OTROS ACT LÍQ EQ."/>
  </r>
  <r>
    <x v="7"/>
    <d v="2025-08-01T00:00:00"/>
    <s v="TRANSF:2508010000835727826949-20219370548"/>
    <m/>
    <n v="171000"/>
    <n v="0"/>
    <n v="-171000"/>
    <n v="60691997.289999999"/>
    <n v="1290"/>
    <n v="132.55813953488371"/>
    <n v="0"/>
    <s v="ARS"/>
    <s v="CC"/>
    <s v="MACRO"/>
    <x v="1"/>
    <x v="17"/>
    <x v="6"/>
    <s v="TUBOS GAS"/>
    <s v="KETO GAS"/>
    <m/>
    <x v="5"/>
    <m/>
    <s v="24/25"/>
    <s v="EGRESOS"/>
    <s v="EFECTIVO Y OTROS ACT LÍQ EQ."/>
  </r>
  <r>
    <x v="7"/>
    <d v="2025-08-01T00:00:00"/>
    <s v="DGR SELLOS CORDOBA"/>
    <m/>
    <n v="392.3"/>
    <n v="0"/>
    <n v="-392.3"/>
    <n v="60691604.990000002"/>
    <n v="1290"/>
    <n v="0.3041085271317829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7"/>
    <d v="2025-08-01T00:00:00"/>
    <s v="DGR SELLOS CORDOBA"/>
    <m/>
    <n v="1.75"/>
    <n v="0"/>
    <n v="-1.75"/>
    <n v="60691603.240000002"/>
    <n v="1290"/>
    <n v="1.3565891472868217E-3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7"/>
    <d v="2025-08-01T00:00:00"/>
    <s v="DBCR 25413 S/CR TASA GRAL"/>
    <m/>
    <n v="9019.9699999999993"/>
    <n v="0"/>
    <n v="-9019.9699999999993"/>
    <n v="60682583.270000003"/>
    <n v="1290"/>
    <n v="6.992224806201550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1T00:00:00"/>
    <s v="DBCR 25413 S/DB TASA GRAL"/>
    <m/>
    <n v="46919.26"/>
    <n v="0"/>
    <n v="-46919.26"/>
    <n v="60635664.009999998"/>
    <n v="1290"/>
    <n v="36.37151937984496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4T00:00:00"/>
    <s v="CHEQUE P/CAMARA"/>
    <s v="N60183518"/>
    <n v="33068720.620000001"/>
    <n v="0"/>
    <n v="-33068720.620000001"/>
    <n v="27566943.390000001"/>
    <n v="1290"/>
    <n v="25634.667147286822"/>
    <n v="0"/>
    <s v="ARS"/>
    <s v="CC"/>
    <s v="MACRO"/>
    <x v="5"/>
    <x v="18"/>
    <x v="82"/>
    <m/>
    <s v="COLOMBO&amp;COLOMBO"/>
    <m/>
    <x v="19"/>
    <m/>
    <s v="24/25"/>
    <s v="EGRESOS"/>
    <s v="EFECTIVO Y OTROS ACT LÍQ EQ."/>
  </r>
  <r>
    <x v="7"/>
    <d v="2025-08-04T00:00:00"/>
    <s v="CHEQUE P/CAMARA"/>
    <s v="N60183697"/>
    <n v="420100"/>
    <n v="0"/>
    <n v="-420100"/>
    <n v="27146843.390000001"/>
    <n v="1290"/>
    <n v="325.65891472868219"/>
    <n v="0"/>
    <s v="ARS"/>
    <s v="CC"/>
    <s v="MACRO"/>
    <x v="5"/>
    <x v="13"/>
    <x v="76"/>
    <s v="INTERESES"/>
    <s v="ACA"/>
    <s v="FA 316"/>
    <x v="6"/>
    <m/>
    <s v="24/25"/>
    <s v="INSUMOS 2025"/>
    <s v="EFECTIVO Y OTROS ACT LÍQ EQ."/>
  </r>
  <r>
    <x v="7"/>
    <d v="2025-08-04T00:00:00"/>
    <s v="TRANSF. MACRONLINE E-SET D/T"/>
    <m/>
    <n v="27200"/>
    <n v="0"/>
    <n v="-27200"/>
    <n v="27119643.390000001"/>
    <n v="1290"/>
    <n v="21.085271317829456"/>
    <n v="0"/>
    <s v="ARS"/>
    <s v="CC"/>
    <s v="MACRO"/>
    <x v="3"/>
    <x v="5"/>
    <x v="7"/>
    <m/>
    <s v="CORRALON EL ESCONDIDO"/>
    <m/>
    <x v="6"/>
    <m/>
    <s v="24/25"/>
    <s v="BIENES Y SERVICIOS"/>
    <s v="EFECTIVO Y OTROS ACT LÍQ EQ."/>
  </r>
  <r>
    <x v="7"/>
    <d v="2025-08-04T00:00:00"/>
    <s v="TRANSF. MACRONLINE E-SET D/T"/>
    <m/>
    <n v="1200000"/>
    <n v="0"/>
    <n v="-1200000"/>
    <n v="25919643.390000001"/>
    <n v="1290"/>
    <n v="930.23255813953483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7"/>
    <d v="2025-08-04T00:00:00"/>
    <s v="COMISION TRF. MACROL E-SET"/>
    <m/>
    <n v="121"/>
    <n v="0"/>
    <n v="-121"/>
    <n v="25919522.390000001"/>
    <n v="1290"/>
    <n v="9.3798449612403106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04T00:00:00"/>
    <s v="TEF DATANET PR UNICER SAS 30715839888"/>
    <m/>
    <n v="0"/>
    <n v="2488150.84"/>
    <n v="2488150.84"/>
    <n v="28407673.23"/>
    <n v="1290"/>
    <n v="0"/>
    <n v="1928.7991007751937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7"/>
    <d v="2025-08-04T00:00:00"/>
    <s v="DBCR 25413 S/CR TASA GRAL"/>
    <m/>
    <n v="14928.91"/>
    <n v="0"/>
    <n v="-14928.91"/>
    <n v="28392744.32"/>
    <n v="1290"/>
    <n v="11.57279844961240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4T00:00:00"/>
    <s v="DBCR 25413 S/DB TASA GRAL"/>
    <m/>
    <n v="208296.85"/>
    <n v="0"/>
    <n v="-208296.85"/>
    <n v="28184447.469999999"/>
    <n v="1290"/>
    <n v="161.4704263565891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5T00:00:00"/>
    <s v="CHEQUE P/CAMARA"/>
    <s v="N57867842"/>
    <n v="2615100"/>
    <n v="0"/>
    <n v="-2615100"/>
    <n v="25569347.469999999"/>
    <n v="1290"/>
    <n v="2027.2093023255813"/>
    <n v="0"/>
    <s v="ARS"/>
    <s v="CC"/>
    <s v="MACRO"/>
    <x v="5"/>
    <x v="13"/>
    <x v="23"/>
    <s v="HACIENDA"/>
    <s v="FERRERE AGUSTIN"/>
    <s v="FA2991"/>
    <x v="6"/>
    <m/>
    <s v="24/25"/>
    <s v="BIENES Y SERVICIOS"/>
    <s v="EFECTIVO Y OTROS ACT LÍQ EQ."/>
  </r>
  <r>
    <x v="7"/>
    <d v="2025-08-05T00:00:00"/>
    <s v="CHEQUE P/CAMARA"/>
    <s v="N57867846"/>
    <n v="2300000"/>
    <n v="0"/>
    <n v="-2300000"/>
    <n v="23269347.469999999"/>
    <n v="1290"/>
    <n v="1782.9457364341085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7"/>
    <d v="2025-08-05T00:00:00"/>
    <s v="TEF DATANET PR SWIFT ARGENTINA SA 30560378056"/>
    <m/>
    <n v="0"/>
    <n v="62350099"/>
    <n v="62350099"/>
    <n v="85619446.469999999"/>
    <n v="1290"/>
    <n v="0"/>
    <n v="48333.41007751938"/>
    <s v="ARS"/>
    <s v="CC"/>
    <s v="MACRO"/>
    <x v="5"/>
    <x v="22"/>
    <x v="64"/>
    <s v="VENTA 16/07/2025"/>
    <s v="SWIFT"/>
    <s v="N° Liq: 24808"/>
    <x v="22"/>
    <m/>
    <s v="24/25"/>
    <s v="EFECTIVO Y OTROS ACT LÍQ EQ."/>
    <s v="INGRESOS"/>
  </r>
  <r>
    <x v="7"/>
    <d v="2025-08-05T00:00:00"/>
    <s v="DBCR 25413 S/CR TASA GRAL"/>
    <m/>
    <n v="374100.59"/>
    <n v="0"/>
    <n v="-374100.59"/>
    <n v="85245345.879999995"/>
    <n v="1290"/>
    <n v="290.0004573643411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5T00:00:00"/>
    <s v="DBCR 25413 S/DB TASA GRAL"/>
    <m/>
    <n v="29490.6"/>
    <n v="0"/>
    <n v="-29490.6"/>
    <n v="85215855.280000001"/>
    <n v="1290"/>
    <n v="22.8609302325581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6T00:00:00"/>
    <s v="TRANSF. MACRONLINE E-SET M/T"/>
    <m/>
    <n v="100000"/>
    <n v="0"/>
    <n v="-100000"/>
    <n v="85115855.280000001"/>
    <n v="1290"/>
    <n v="77.519379844961236"/>
    <n v="0"/>
    <s v="ARS"/>
    <s v="CC"/>
    <s v="MACRO"/>
    <x v="0"/>
    <x v="0"/>
    <x v="0"/>
    <s v="HACIA CC GALICIA"/>
    <m/>
    <m/>
    <x v="0"/>
    <m/>
    <s v="24/25"/>
    <m/>
    <m/>
  </r>
  <r>
    <x v="7"/>
    <d v="2025-08-06T00:00:00"/>
    <s v="TRANSF. MACRONLINE E-SET M/T"/>
    <m/>
    <n v="20000"/>
    <n v="0"/>
    <n v="-20000"/>
    <n v="85095855.280000001"/>
    <n v="1290"/>
    <n v="15.503875968992247"/>
    <n v="0"/>
    <s v="ARS"/>
    <s v="CC"/>
    <s v="MACRO"/>
    <x v="0"/>
    <x v="0"/>
    <x v="0"/>
    <s v="HACIA CC PAMPA"/>
    <m/>
    <m/>
    <x v="0"/>
    <m/>
    <s v="24/25"/>
    <m/>
    <m/>
  </r>
  <r>
    <x v="7"/>
    <d v="2025-08-06T00:00:00"/>
    <s v="TRANSF. MACRONLINE E-SET M/T"/>
    <m/>
    <n v="50000"/>
    <n v="0"/>
    <n v="-50000"/>
    <n v="85045855.280000001"/>
    <n v="1290"/>
    <n v="38.759689922480618"/>
    <n v="0"/>
    <s v="ARS"/>
    <s v="CC"/>
    <s v="MACRO"/>
    <x v="0"/>
    <x v="0"/>
    <x v="0"/>
    <s v="HACIA CC NACION"/>
    <m/>
    <m/>
    <x v="0"/>
    <m/>
    <s v="24/25"/>
    <m/>
    <m/>
  </r>
  <r>
    <x v="7"/>
    <d v="2025-08-07T00:00:00"/>
    <s v="CHEQUE P/CAMARA"/>
    <s v="N60288395"/>
    <n v="83285264.400000006"/>
    <n v="0"/>
    <n v="-83285264.400000006"/>
    <n v="1760590.88"/>
    <n v="1290"/>
    <n v="64562.220465116283"/>
    <n v="0"/>
    <s v="ARS"/>
    <s v="CC"/>
    <s v="MACRO"/>
    <x v="5"/>
    <x v="18"/>
    <x v="83"/>
    <m/>
    <s v="COLOMBO&amp;COLOMBO"/>
    <m/>
    <x v="19"/>
    <m/>
    <s v="24/25"/>
    <s v="EGRESOS"/>
    <s v="EFECTIVO Y OTROS ACT LÍQ EQ."/>
  </r>
  <r>
    <x v="7"/>
    <d v="2025-08-07T00:00:00"/>
    <s v="DBCR 25413 S/DB TASA GRAL"/>
    <m/>
    <n v="709733.27"/>
    <n v="0"/>
    <n v="-709733.27"/>
    <n v="-33952756.390000001"/>
    <n v="1290"/>
    <n v="550.1808294573643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7T00:00:00"/>
    <s v="DB.CEXT YCBIOS.GRAV.L25413 Suc.:811"/>
    <m/>
    <n v="35003614"/>
    <n v="0"/>
    <n v="-35003614"/>
    <n v="-33243023.120000001"/>
    <n v="1290"/>
    <n v="27134.584496124033"/>
    <n v="0"/>
    <s v="ARS"/>
    <s v="CC"/>
    <s v="MACRO"/>
    <x v="0"/>
    <x v="12"/>
    <x v="84"/>
    <s v="FOWARD 120 TN"/>
    <s v="BANCO MACRO"/>
    <m/>
    <x v="26"/>
    <m/>
    <s v="24/25"/>
    <s v="CREDITO MACRO FW 90tn 3,5%"/>
    <s v="EFECTIVO Y OTROS ACT LÍQ EQ."/>
  </r>
  <r>
    <x v="7"/>
    <d v="2025-08-08T00:00:00"/>
    <s v="CCERR MACRO AGRO 30645289826 CIRC.CERRADO"/>
    <m/>
    <n v="0"/>
    <n v="35001086.630000003"/>
    <n v="35001086.630000003"/>
    <n v="1048330.24"/>
    <n v="1290"/>
    <n v="0"/>
    <n v="27132.625294573645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7"/>
    <d v="2025-08-08T00:00:00"/>
    <s v="CCERR J H B SAU 30717114422 CIRC.CERRADO"/>
    <m/>
    <n v="0"/>
    <n v="1282318.8799999999"/>
    <n v="1282318.8799999999"/>
    <n v="2330649.12"/>
    <n v="1290"/>
    <n v="0"/>
    <n v="994.04564341085268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7"/>
    <d v="2025-08-08T00:00:00"/>
    <s v="DBCR 25413 S/CR TASA GRAL"/>
    <m/>
    <n v="217700.43"/>
    <n v="0"/>
    <n v="-217700.43"/>
    <n v="2112948.69"/>
    <n v="1290"/>
    <n v="168.7600232558139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1T00:00:00"/>
    <s v="CHEQUE P/CAMARA"/>
    <s v="N57867843"/>
    <n v="272000"/>
    <n v="0"/>
    <n v="-272000"/>
    <n v="1840948.69"/>
    <n v="1290"/>
    <n v="210.85271317829458"/>
    <n v="0"/>
    <s v="ARS"/>
    <s v="CC"/>
    <s v="MACRO"/>
    <x v="3"/>
    <x v="8"/>
    <x v="39"/>
    <s v="CARDAN, CRUCETA"/>
    <s v="LEO FERNANDEZ"/>
    <s v="FA 318 340"/>
    <x v="6"/>
    <m/>
    <s v="24/25"/>
    <s v="BIENES Y SERVICIOS"/>
    <s v="EFECTIVO Y OTROS ACT LÍQ EQ."/>
  </r>
  <r>
    <x v="7"/>
    <d v="2025-08-11T00:00:00"/>
    <s v="TRANSF. MACRONLINE E-SET D/T"/>
    <m/>
    <n v="871070"/>
    <n v="0"/>
    <n v="-871070"/>
    <n v="969878.69"/>
    <n v="1350"/>
    <n v="645.237037037037"/>
    <n v="0"/>
    <s v="ARS"/>
    <s v="CC"/>
    <s v="MACRO"/>
    <x v="1"/>
    <x v="11"/>
    <x v="30"/>
    <m/>
    <s v="BECERRA ADRIAN"/>
    <m/>
    <x v="10"/>
    <m/>
    <s v="24/25"/>
    <s v="DEUDAS FINANCIERAS CP"/>
    <s v="EFECTIVO Y OTROS ACT LÍQ EQ."/>
  </r>
  <r>
    <x v="7"/>
    <d v="2025-08-11T00:00:00"/>
    <s v="COMISION TRF. MACROL E-SET"/>
    <m/>
    <n v="121"/>
    <n v="0"/>
    <n v="-121"/>
    <n v="969757.6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1T00:00:00"/>
    <s v="TRANSF. MACRONLINE E-SET D/T"/>
    <m/>
    <n v="704000"/>
    <n v="0"/>
    <n v="-704000"/>
    <n v="265757.69"/>
    <n v="1350"/>
    <n v="521.48148148148152"/>
    <n v="0"/>
    <s v="ARS"/>
    <s v="CC"/>
    <s v="MACRO"/>
    <x v="1"/>
    <x v="3"/>
    <x v="3"/>
    <s v="MES JULIO"/>
    <s v="KEVIN TOLEDO"/>
    <m/>
    <x v="3"/>
    <m/>
    <s v="24/25"/>
    <s v="EGRESOS"/>
    <s v="EFECTIVO Y OTROS ACT LÍQ EQ."/>
  </r>
  <r>
    <x v="7"/>
    <d v="2025-08-11T00:00:00"/>
    <s v="COMISION TRF. MACROL E-SET"/>
    <m/>
    <n v="121"/>
    <n v="0"/>
    <n v="-121"/>
    <n v="265636.6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1T00:00:00"/>
    <s v="TRANSF. MACRONLINE E-SET D/T"/>
    <m/>
    <n v="1400000"/>
    <n v="0"/>
    <n v="-1400000"/>
    <n v="-1134363.31"/>
    <n v="1350"/>
    <n v="1037.037037037037"/>
    <n v="0"/>
    <s v="ARS"/>
    <s v="CC"/>
    <s v="MACRO"/>
    <x v="1"/>
    <x v="2"/>
    <x v="2"/>
    <s v="PARTE SEPTIEMBRE"/>
    <s v="CLAUDIA ERRECALDE"/>
    <m/>
    <x v="15"/>
    <s v="CLAUDIA"/>
    <s v="24/25"/>
    <s v="FUTURAS UT. ADL CLAUDIA"/>
    <s v="EFECTIVO Y OTROS ACT LÍQ EQ."/>
  </r>
  <r>
    <x v="7"/>
    <d v="2025-08-11T00:00:00"/>
    <s v="COMISION TRF. MACROL E-SET"/>
    <m/>
    <n v="121"/>
    <n v="0"/>
    <n v="-121"/>
    <n v="-1134484.31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1T00:00:00"/>
    <s v="TRANSF. MACRONLINE E-SET D/T"/>
    <m/>
    <n v="1500000"/>
    <n v="0"/>
    <n v="-1500000"/>
    <n v="-2634484.31"/>
    <n v="1350"/>
    <n v="1111.1111111111111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7"/>
    <d v="2025-08-11T00:00:00"/>
    <s v="COMISION TRF. MACROL E-SET"/>
    <m/>
    <n v="121"/>
    <n v="0"/>
    <n v="-121"/>
    <n v="-2634605.31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1T00:00:00"/>
    <s v="CCERR J H B SAU 30717114422 CIRC.CERRADO"/>
    <m/>
    <n v="0"/>
    <n v="341822.32"/>
    <n v="341822.32"/>
    <n v="-2292782.9900000002"/>
    <n v="1350"/>
    <n v="0"/>
    <n v="253.20171851851853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7"/>
    <d v="2025-08-11T00:00:00"/>
    <s v="CCERR MACRO AGRO 30645289826 CIRC.CERRADO"/>
    <m/>
    <n v="0"/>
    <n v="9329332.3900000006"/>
    <n v="9329332.3900000006"/>
    <n v="7036549.4000000004"/>
    <n v="1350"/>
    <n v="0"/>
    <n v="6910.6165851851856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7"/>
    <d v="2025-08-11T00:00:00"/>
    <s v="DBCR 25413 S/CR TASA GRAL"/>
    <m/>
    <n v="58026.92"/>
    <n v="0"/>
    <n v="-58026.92"/>
    <n v="6978522.4800000004"/>
    <n v="1350"/>
    <n v="42.98290370370370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1T00:00:00"/>
    <s v="DBCR 25413 S/DB TASA GRAL"/>
    <m/>
    <n v="28485.34"/>
    <n v="0"/>
    <n v="-28485.34"/>
    <n v="6950037.1399999997"/>
    <n v="1350"/>
    <n v="21.10025185185185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3T00:00:00"/>
    <s v="TRANSF. MACRONLINE E-SET D/T"/>
    <m/>
    <n v="1000000"/>
    <n v="0"/>
    <n v="-1000000"/>
    <n v="5950037.1399999997"/>
    <n v="1350"/>
    <n v="740.74074074074076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7"/>
    <d v="2025-08-13T00:00:00"/>
    <s v="COMISION TRF. MACROL E-SET"/>
    <m/>
    <n v="121"/>
    <n v="0"/>
    <n v="-121"/>
    <n v="5949916.1399999997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3T00:00:00"/>
    <s v="TRANSF. MACRONLINE E-SET D/T"/>
    <m/>
    <n v="605000"/>
    <n v="0"/>
    <n v="-605000"/>
    <n v="5344916.1399999997"/>
    <n v="1350"/>
    <n v="448.14814814814815"/>
    <n v="0"/>
    <s v="ARS"/>
    <s v="CC"/>
    <s v="MACRO"/>
    <x v="2"/>
    <x v="4"/>
    <x v="5"/>
    <s v="EXTRACCION"/>
    <s v="AGROFAMANO"/>
    <m/>
    <x v="6"/>
    <m/>
    <s v="24/25"/>
    <s v="BIENES Y SERVICIOS"/>
    <s v="EFECTIVO Y OTROS ACT LÍQ EQ."/>
  </r>
  <r>
    <x v="7"/>
    <d v="2025-08-13T00:00:00"/>
    <s v="COMISION TRF. MACROL E-SET"/>
    <m/>
    <n v="121"/>
    <n v="0"/>
    <n v="-121"/>
    <n v="5344795.1399999997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3T00:00:00"/>
    <s v="DBCR 25413 S/DB TASA GRAL"/>
    <m/>
    <n v="9631.4599999999991"/>
    <n v="0"/>
    <n v="-9631.4599999999991"/>
    <n v="5335163.68"/>
    <n v="1350"/>
    <n v="7.134414814814814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4T00:00:00"/>
    <s v="CHEQUE P/CAMARA"/>
    <s v="N57867849"/>
    <n v="146000"/>
    <n v="0"/>
    <n v="-146000"/>
    <n v="5189163.68"/>
    <n v="1350"/>
    <n v="108.14814814814815"/>
    <n v="0"/>
    <s v="ARS"/>
    <s v="CC"/>
    <s v="MACRO"/>
    <x v="3"/>
    <x v="8"/>
    <x v="11"/>
    <m/>
    <s v="MURRA GROSSO"/>
    <m/>
    <x v="5"/>
    <m/>
    <s v="24/25"/>
    <s v="EGRESOS"/>
    <s v="EFECTIVO Y OTROS ACT LÍQ EQ."/>
  </r>
  <r>
    <x v="7"/>
    <d v="2025-08-14T00:00:00"/>
    <s v="CHEQUE P/CAMARA"/>
    <s v="N58150600"/>
    <n v="1086667"/>
    <n v="0"/>
    <n v="-1086667"/>
    <n v="4102496.68"/>
    <n v="1350"/>
    <n v="804.93851851851855"/>
    <n v="0"/>
    <s v="ARS"/>
    <s v="CC"/>
    <s v="MACRO"/>
    <x v="5"/>
    <x v="13"/>
    <x v="23"/>
    <s v="PAGO A AMETSEN POR GOMAS"/>
    <s v="FACUNDO DE DIOS "/>
    <m/>
    <x v="6"/>
    <m/>
    <s v="24/25"/>
    <s v="BIENES Y SERVICIOS"/>
    <s v="EFECTIVO Y OTROS ACT LÍQ EQ."/>
  </r>
  <r>
    <x v="7"/>
    <d v="2025-08-14T00:00:00"/>
    <s v="TEF DATANET PR OLEGA S.A. 33568425249"/>
    <m/>
    <n v="0"/>
    <n v="58358042.600000001"/>
    <n v="58358042.600000001"/>
    <n v="62460539.280000001"/>
    <n v="1350"/>
    <n v="0"/>
    <n v="43228.179703703703"/>
    <s v="ARS"/>
    <s v="CC"/>
    <s v="MACRO"/>
    <x v="2"/>
    <x v="4"/>
    <x v="74"/>
    <s v="ALQUILER- CUOTA 1"/>
    <s v="OLEGA SA"/>
    <m/>
    <x v="14"/>
    <m/>
    <s v="24/25"/>
    <s v="EFECTIVO Y OTROS ACT LÍQ EQ."/>
    <s v="INGRESOS"/>
  </r>
  <r>
    <x v="7"/>
    <d v="2025-08-14T00:00:00"/>
    <s v="DBCR 25413 S/CR TASA GRAL"/>
    <m/>
    <n v="350148.26"/>
    <n v="0"/>
    <n v="-350148.26"/>
    <n v="62110391.020000003"/>
    <n v="1350"/>
    <n v="259.3690814814814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4T00:00:00"/>
    <s v="DBCR 25413 S/DB TASA GRAL"/>
    <m/>
    <n v="7396"/>
    <n v="0"/>
    <n v="-7396"/>
    <n v="62102995.020000003"/>
    <n v="1350"/>
    <n v="5.478518518518518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8T00:00:00"/>
    <s v="TRANSF. MACRONLINE E-SET D/T"/>
    <m/>
    <n v="16876032.940000001"/>
    <n v="0"/>
    <n v="-16876032.940000001"/>
    <n v="45226962.079999998"/>
    <n v="1350"/>
    <n v="12500.765140740741"/>
    <n v="0"/>
    <s v="ARS"/>
    <s v="CC"/>
    <s v="MACRO"/>
    <x v="5"/>
    <x v="18"/>
    <x v="85"/>
    <m/>
    <s v="COLOMBO&amp;COLOMBO"/>
    <m/>
    <x v="19"/>
    <m/>
    <s v="24/25"/>
    <s v="EGRESOS"/>
    <s v="EFECTIVO Y OTROS ACT LÍQ EQ."/>
  </r>
  <r>
    <x v="7"/>
    <d v="2025-08-18T00:00:00"/>
    <s v="COMISION TRF. MACROL E-SET"/>
    <m/>
    <n v="121"/>
    <n v="0"/>
    <n v="-121"/>
    <n v="45226841.079999998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8T00:00:00"/>
    <s v="DBCR 25413 S/DB TASA GRAL"/>
    <m/>
    <n v="101256.93"/>
    <n v="0"/>
    <n v="-101256.93"/>
    <n v="45125584.149999999"/>
    <n v="1350"/>
    <n v="75.00513333333333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8T00:00:00"/>
    <s v="DB TR..AUT.SDO.MISMO TIT."/>
    <m/>
    <n v="841753.52"/>
    <n v="0"/>
    <n v="-841753.52"/>
    <n v="44283830.630000003"/>
    <n v="1350"/>
    <n v="623.52112592592596"/>
    <n v="0"/>
    <s v="ARS"/>
    <s v="CC"/>
    <s v="MACRO"/>
    <x v="0"/>
    <x v="0"/>
    <x v="0"/>
    <s v="HACIA CA MACRO"/>
    <m/>
    <m/>
    <x v="0"/>
    <m/>
    <m/>
    <m/>
    <m/>
  </r>
  <r>
    <x v="7"/>
    <d v="2025-08-19T00:00:00"/>
    <s v="CHEQUE P/CAMARA"/>
    <s v="N57867847"/>
    <n v="1999418.67"/>
    <n v="0"/>
    <n v="-1999418.67"/>
    <n v="42284411.960000001"/>
    <n v="1350"/>
    <n v="1481.0508666666667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7"/>
    <d v="2025-08-19T00:00:00"/>
    <s v="CHEQUE P/CAMARA"/>
    <s v="N57867850"/>
    <n v="735000"/>
    <n v="0"/>
    <n v="-735000"/>
    <n v="41549411.960000001"/>
    <n v="1350"/>
    <n v="544.44444444444446"/>
    <n v="0"/>
    <s v="ARS"/>
    <s v="CC"/>
    <s v="MACRO"/>
    <x v="5"/>
    <x v="13"/>
    <x v="48"/>
    <m/>
    <s v="CENTRO DE GANADERO"/>
    <m/>
    <x v="19"/>
    <m/>
    <s v="24/25"/>
    <s v="EGRESOS"/>
    <s v="EFECTIVO Y OTROS ACT LÍQ EQ."/>
  </r>
  <r>
    <x v="7"/>
    <d v="2025-08-19T00:00:00"/>
    <s v="CHEQUE P/CAMARA"/>
    <s v="N57867853"/>
    <n v="363671.37"/>
    <n v="0"/>
    <n v="-363671.37"/>
    <n v="41185740.590000004"/>
    <n v="1350"/>
    <n v="269.38619999999997"/>
    <n v="0"/>
    <s v="ARS"/>
    <s v="CC"/>
    <s v="MACRO"/>
    <x v="3"/>
    <x v="14"/>
    <x v="7"/>
    <m/>
    <s v="ZANOTTO"/>
    <s v="FA 2953"/>
    <x v="6"/>
    <m/>
    <s v="24/25"/>
    <s v="BIENES DE USO"/>
    <s v="EFECTIVO Y OTROS ACT LÍQ EQ."/>
  </r>
  <r>
    <x v="7"/>
    <d v="2025-08-19T00:00:00"/>
    <s v="CHEQUE P/CAMARA"/>
    <s v="N57867855"/>
    <n v="2000000"/>
    <n v="0"/>
    <n v="-2000000"/>
    <n v="39185740.590000004"/>
    <n v="1350"/>
    <n v="1481.4814814814815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7"/>
    <d v="2025-08-19T00:00:00"/>
    <s v="CHEQUE P/CAMARA"/>
    <s v="N59719907"/>
    <n v="1596474"/>
    <n v="0"/>
    <n v="-1596474"/>
    <n v="37589266.590000004"/>
    <n v="1350"/>
    <n v="1182.5733333333333"/>
    <n v="0"/>
    <s v="ARS"/>
    <s v="CC"/>
    <s v="MACRO"/>
    <x v="2"/>
    <x v="4"/>
    <x v="5"/>
    <s v="FLETES"/>
    <s v="MDB"/>
    <s v="FA 670"/>
    <x v="6"/>
    <m/>
    <s v="24/25"/>
    <s v="BIENES Y SERVICIOS"/>
    <s v="EFECTIVO Y OTROS ACT LÍQ EQ."/>
  </r>
  <r>
    <x v="7"/>
    <d v="2025-08-19T00:00:00"/>
    <s v="CHEQUE P/CAMARA"/>
    <s v="N59843807"/>
    <n v="246835.95"/>
    <n v="0"/>
    <n v="-246835.95"/>
    <n v="37342430.640000001"/>
    <n v="1350"/>
    <n v="182.84144444444445"/>
    <n v="0"/>
    <s v="ARS"/>
    <s v="CC"/>
    <s v="MACRO"/>
    <x v="5"/>
    <x v="13"/>
    <x v="46"/>
    <s v="HACIENDA"/>
    <s v="TODO CAMPO COMB"/>
    <s v="FA 9044"/>
    <x v="6"/>
    <m/>
    <s v="24/25"/>
    <s v="BIENES Y SERVICIOS"/>
    <s v="EFECTIVO Y OTROS ACT LÍQ EQ."/>
  </r>
  <r>
    <x v="7"/>
    <d v="2025-08-19T00:00:00"/>
    <s v="CHEQUE P/CAMARA"/>
    <s v="N60401874"/>
    <n v="2204300"/>
    <n v="0"/>
    <n v="-2204300"/>
    <n v="35138130.640000001"/>
    <n v="1350"/>
    <n v="1632.8148148148148"/>
    <n v="0"/>
    <s v="ARS"/>
    <s v="CC"/>
    <s v="MACRO"/>
    <x v="1"/>
    <x v="7"/>
    <x v="9"/>
    <s v="CONTRATO"/>
    <s v="GARANTIZAR"/>
    <m/>
    <x v="1"/>
    <m/>
    <s v="24/25"/>
    <s v="EGRESOS"/>
    <s v="EFECTIVO Y OTROS ACT LÍQ EQ."/>
  </r>
  <r>
    <x v="7"/>
    <d v="2025-08-19T00:00:00"/>
    <s v="CHEQUE CANJE INTERNO"/>
    <s v="N57867854"/>
    <n v="465081.76"/>
    <n v="0"/>
    <n v="-465081.76"/>
    <n v="34673048.880000003"/>
    <n v="1350"/>
    <n v="344.50500740740739"/>
    <n v="0"/>
    <s v="ARS"/>
    <s v="CC"/>
    <s v="MACRO"/>
    <x v="3"/>
    <x v="14"/>
    <x v="60"/>
    <m/>
    <s v="TRIVERO "/>
    <s v="FA18 FA 52"/>
    <x v="6"/>
    <m/>
    <s v="24/25"/>
    <s v="BIENES Y SERVICIOS"/>
    <s v="EFECTIVO Y OTROS ACT LÍQ EQ."/>
  </r>
  <r>
    <x v="7"/>
    <d v="2025-08-19T00:00:00"/>
    <s v="TRANSF. MACRONLINE E-SET D/T"/>
    <m/>
    <n v="79930.97"/>
    <n v="0"/>
    <n v="-79930.97"/>
    <n v="34593117.909999996"/>
    <n v="1350"/>
    <n v="59.208125925925927"/>
    <n v="0"/>
    <s v="ARS"/>
    <s v="CC"/>
    <s v="MACRO"/>
    <x v="3"/>
    <x v="5"/>
    <x v="6"/>
    <s v="GUANTES, NIPLE ETC"/>
    <s v="HUINCAGRO"/>
    <s v="FA 3560"/>
    <x v="6"/>
    <m/>
    <s v="24/25"/>
    <s v="BIENES Y SERVICIOS"/>
    <s v="EFECTIVO Y OTROS ACT LÍQ EQ."/>
  </r>
  <r>
    <x v="7"/>
    <d v="2025-08-19T00:00:00"/>
    <s v="TRANSF. MACRONLINE E-SET M/T"/>
    <m/>
    <n v="2200000"/>
    <n v="0"/>
    <n v="-2200000"/>
    <n v="32393117.91"/>
    <n v="1350"/>
    <n v="1629.6296296296296"/>
    <n v="0"/>
    <s v="ARS"/>
    <s v="CC"/>
    <s v="MACRO"/>
    <x v="0"/>
    <x v="0"/>
    <x v="0"/>
    <s v="HACIA CC GALICIA"/>
    <m/>
    <m/>
    <x v="0"/>
    <m/>
    <m/>
    <m/>
    <m/>
  </r>
  <r>
    <x v="7"/>
    <d v="2025-08-19T00:00:00"/>
    <s v="COMISION TRF. MACROL E-SET"/>
    <m/>
    <n v="121"/>
    <n v="0"/>
    <n v="-121"/>
    <n v="32392996.91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19T00:00:00"/>
    <s v="TRANSF. MACRONLINE E-SET D/T"/>
    <m/>
    <n v="160000"/>
    <n v="0"/>
    <n v="-160000"/>
    <n v="32232996.91"/>
    <n v="1350"/>
    <n v="118.51851851851852"/>
    <n v="0"/>
    <s v="ARS"/>
    <s v="CC"/>
    <s v="MACRO"/>
    <x v="1"/>
    <x v="2"/>
    <x v="30"/>
    <s v="TELEFONO"/>
    <s v="RAUL"/>
    <m/>
    <x v="2"/>
    <s v="RAUL"/>
    <s v="24/25"/>
    <s v="FUTURAS UT. ADL RAUL"/>
    <s v="EFECTIVO Y OTROS ACT LÍQ EQ."/>
  </r>
  <r>
    <x v="7"/>
    <d v="2025-08-19T00:00:00"/>
    <s v="SANCORSEG - SANCOR SEGUROS"/>
    <m/>
    <n v="8067"/>
    <n v="0"/>
    <n v="-8067"/>
    <n v="32224929.91"/>
    <n v="1350"/>
    <n v="5.9755555555555553"/>
    <n v="0"/>
    <s v="ARS"/>
    <s v="CC"/>
    <s v="MACRO"/>
    <x v="1"/>
    <x v="7"/>
    <x v="58"/>
    <m/>
    <m/>
    <m/>
    <x v="1"/>
    <m/>
    <s v="24/25"/>
    <s v="EGRESOS"/>
    <s v="EFECTIVO Y OTROS ACT LÍQ EQ."/>
  </r>
  <r>
    <x v="7"/>
    <d v="2025-08-19T00:00:00"/>
    <s v="DBCR 25413 S/DB TASA GRAL"/>
    <m/>
    <n v="59153.41"/>
    <n v="0"/>
    <n v="-59153.41"/>
    <n v="32165776.5"/>
    <n v="1350"/>
    <n v="43.81734074074074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0T00:00:00"/>
    <s v="CHEQUE P/CAMARA"/>
    <s v="N59108466"/>
    <n v="685009"/>
    <n v="0"/>
    <n v="-685009"/>
    <n v="31480767.5"/>
    <n v="1350"/>
    <n v="507.41407407407405"/>
    <n v="0"/>
    <s v="ARS"/>
    <s v="CC"/>
    <s v="MACRO"/>
    <x v="5"/>
    <x v="13"/>
    <x v="23"/>
    <s v="PAGO A AMETSEN POR GOMAS"/>
    <s v="FACUNDO DE DIOS "/>
    <m/>
    <x v="6"/>
    <m/>
    <s v="24/25"/>
    <s v="BIENES Y SERVICIOS"/>
    <s v="EFECTIVO Y OTROS ACT LÍQ EQ."/>
  </r>
  <r>
    <x v="7"/>
    <d v="2025-08-20T00:00:00"/>
    <s v="TRF MO CCDO DIST T - 30708920882"/>
    <m/>
    <n v="385961.71"/>
    <n v="0"/>
    <n v="-385961.71"/>
    <n v="31094805.789999999"/>
    <n v="1350"/>
    <n v="285.89756296296298"/>
    <n v="0"/>
    <s v="ARS"/>
    <s v="CC"/>
    <s v="MACRO"/>
    <x v="3"/>
    <x v="14"/>
    <x v="57"/>
    <m/>
    <s v="DIESEL LANGE"/>
    <m/>
    <x v="6"/>
    <m/>
    <s v="24/25"/>
    <s v="BIENES DE USO"/>
    <s v="EFECTIVO Y OTROS ACT LÍQ EQ."/>
  </r>
  <r>
    <x v="7"/>
    <d v="2025-08-20T00:00:00"/>
    <s v="COMISION TRANSFERE"/>
    <m/>
    <n v="121"/>
    <n v="0"/>
    <n v="-121"/>
    <n v="31094684.78999999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20T00:00:00"/>
    <s v="TRANSF. MACRONLINE E-SET M/T"/>
    <m/>
    <n v="1000000"/>
    <n v="0"/>
    <n v="-1000000"/>
    <n v="30094684.789999999"/>
    <n v="1350"/>
    <n v="740.74074074074076"/>
    <n v="0"/>
    <s v="ARS"/>
    <s v="CC"/>
    <s v="MACRO"/>
    <x v="0"/>
    <x v="0"/>
    <x v="0"/>
    <s v="HACIA CC GALICIA"/>
    <m/>
    <m/>
    <x v="0"/>
    <m/>
    <m/>
    <m/>
    <m/>
  </r>
  <r>
    <x v="7"/>
    <d v="2025-08-20T00:00:00"/>
    <s v="COMISION TRF. MACROL E-SET"/>
    <m/>
    <n v="121"/>
    <n v="0"/>
    <n v="-121"/>
    <n v="30094563.78999999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20T00:00:00"/>
    <s v="TRANSF G E S.A 30708920882 VAR VARIOS"/>
    <m/>
    <n v="0"/>
    <n v="6000000"/>
    <n v="6000000"/>
    <n v="36094563.789999999"/>
    <n v="1350"/>
    <n v="0"/>
    <n v="4444.4444444444443"/>
    <s v="ARS"/>
    <s v="CC"/>
    <s v="MACRO"/>
    <x v="0"/>
    <x v="0"/>
    <x v="0"/>
    <s v="DESDE CC NACION"/>
    <m/>
    <m/>
    <x v="0"/>
    <m/>
    <m/>
    <m/>
    <m/>
  </r>
  <r>
    <x v="7"/>
    <d v="2025-08-20T00:00:00"/>
    <s v="TRF MO CCDO DIST T - 30708920882"/>
    <m/>
    <n v="1000000"/>
    <n v="0"/>
    <n v="-1000000"/>
    <n v="35094563.789999999"/>
    <n v="1350"/>
    <n v="740.74074074074076"/>
    <n v="0"/>
    <s v="ARS"/>
    <s v="CC"/>
    <s v="MACRO"/>
    <x v="1"/>
    <x v="7"/>
    <x v="61"/>
    <s v="CONTADORA"/>
    <s v="FABIANA VICENTIN"/>
    <m/>
    <x v="1"/>
    <m/>
    <s v="24/25"/>
    <s v="EGRESOS"/>
    <s v="EFECTIVO Y OTROS ACT LÍQ EQ."/>
  </r>
  <r>
    <x v="7"/>
    <d v="2025-08-20T00:00:00"/>
    <s v="COMISION TRANSFERE"/>
    <m/>
    <n v="121"/>
    <n v="0"/>
    <n v="-121"/>
    <n v="35094442.78999999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20T00:00:00"/>
    <s v="DB.CEXT YCBIOS.GRAV.L25413 SUC.:811"/>
    <m/>
    <n v="33934206.200000003"/>
    <n v="0"/>
    <n v="-33934206.200000003"/>
    <n v="1160236.5900000001"/>
    <n v="1305"/>
    <n v="26003.223141762453"/>
    <n v="0"/>
    <s v="ARS"/>
    <s v="CC"/>
    <s v="MACRO"/>
    <x v="0"/>
    <x v="12"/>
    <x v="77"/>
    <s v="PRESTAMO 26 MIL USD"/>
    <s v="BANCO MACRO"/>
    <m/>
    <x v="25"/>
    <m/>
    <s v="24/25"/>
    <s v="AMORT. CREDITOS MACR"/>
    <s v="EFECTIVO Y OTROS ACT LÍQ EQ."/>
  </r>
  <r>
    <x v="7"/>
    <d v="2025-08-20T00:00:00"/>
    <s v="TRANSF:2508200000474250964901-30715434616"/>
    <m/>
    <n v="183353.16"/>
    <n v="0"/>
    <n v="-183353.16"/>
    <n v="976883.43"/>
    <n v="1350"/>
    <n v="135.81715555555556"/>
    <n v="0"/>
    <s v="ARS"/>
    <s v="CC"/>
    <s v="MACRO"/>
    <x v="3"/>
    <x v="5"/>
    <x v="47"/>
    <s v="PRODUCTO PARA MOLINO"/>
    <s v="MARCU SA"/>
    <m/>
    <x v="6"/>
    <m/>
    <s v="24/25"/>
    <s v="BIENES Y SERVICIOS"/>
    <s v="EFECTIVO Y OTROS ACT LÍQ EQ."/>
  </r>
  <r>
    <x v="7"/>
    <d v="2025-08-20T00:00:00"/>
    <s v="DBCR 25413 S/DB TASA GRAL"/>
    <m/>
    <n v="217133.37"/>
    <n v="0"/>
    <n v="-217133.37"/>
    <n v="759750.06"/>
    <n v="1350"/>
    <n v="160.8395333333333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1T00:00:00"/>
    <s v="CHEQUE P/CAMARA"/>
    <s v="N57867852"/>
    <n v="761343.66"/>
    <n v="0"/>
    <n v="-761343.66"/>
    <n v="-1593.6"/>
    <n v="1350"/>
    <n v="563.95826666666665"/>
    <n v="0"/>
    <s v="ARS"/>
    <s v="CC"/>
    <s v="MACRO"/>
    <x v="5"/>
    <x v="13"/>
    <x v="25"/>
    <s v="HACIENDA"/>
    <s v="TARQUINO"/>
    <s v="FA 2802"/>
    <x v="4"/>
    <m/>
    <s v="23/24"/>
    <s v="BIENES Y SERVICIOS"/>
    <s v="EFECTIVO Y OTROS ACT LÍQ EQ."/>
  </r>
  <r>
    <x v="7"/>
    <d v="2025-08-21T00:00:00"/>
    <s v="CHEQUE CANJE INTERNO"/>
    <s v="N59526445"/>
    <n v="2955510"/>
    <n v="0"/>
    <n v="-2955510"/>
    <n v="-2957103.6"/>
    <n v="1350"/>
    <n v="2189.2666666666669"/>
    <n v="0"/>
    <s v="ARS"/>
    <s v="CC"/>
    <s v="MACRO"/>
    <x v="2"/>
    <x v="4"/>
    <x v="5"/>
    <s v="COSECHA 114 HAS"/>
    <s v="LUCARELLI AGUSTIN"/>
    <s v="FA192"/>
    <x v="6"/>
    <m/>
    <s v="24/25"/>
    <s v="BIENES Y SERVICIOS"/>
    <s v="EFECTIVO Y OTROS ACT LÍQ EQ."/>
  </r>
  <r>
    <x v="7"/>
    <d v="2025-08-21T00:00:00"/>
    <s v="DBCR 25413 S/DB TASA GRAL"/>
    <m/>
    <n v="22505.72"/>
    <n v="0"/>
    <n v="-22505.72"/>
    <n v="4986290.68"/>
    <n v="1350"/>
    <n v="16.67090370370370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1T00:00:00"/>
    <s v="LIQ.SUSC 1518854 324771"/>
    <m/>
    <n v="30000000"/>
    <n v="0"/>
    <n v="-30000000"/>
    <n v="5008796.4000000004"/>
    <n v="1350"/>
    <n v="22222.222222222223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7"/>
    <d v="2025-08-21T00:00:00"/>
    <s v="LIQ.SUSC 1518570 324771"/>
    <m/>
    <n v="40000000"/>
    <n v="0"/>
    <n v="-40000000"/>
    <n v="35008796.399999999"/>
    <n v="1350"/>
    <n v="29629.629629629631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7"/>
    <d v="2025-08-21T00:00:00"/>
    <s v="DEBITO FISCAL IVA BASICO"/>
    <m/>
    <n v="5775"/>
    <n v="0"/>
    <n v="-5775"/>
    <n v="-2962878.6"/>
    <n v="1350"/>
    <n v="4.277777777777777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7"/>
    <d v="2025-08-21T00:00:00"/>
    <s v="COMISIÀN ADMINISTRACIÀN DE CHEQUERA"/>
    <m/>
    <n v="27500"/>
    <n v="0"/>
    <n v="-27500"/>
    <n v="-2991203.6"/>
    <n v="1350"/>
    <n v="20.37037037037037"/>
    <n v="0"/>
    <s v="ARS"/>
    <s v="CC"/>
    <s v="MACRO"/>
    <x v="1"/>
    <x v="7"/>
    <x v="9"/>
    <s v="CHEQUERA"/>
    <m/>
    <m/>
    <x v="1"/>
    <m/>
    <s v="24/25"/>
    <s v="EGRESOS"/>
    <s v="EFECTIVO Y OTROS ACT LÍQ EQ."/>
  </r>
  <r>
    <x v="7"/>
    <d v="2025-08-21T00:00:00"/>
    <s v="TRANSF G E S.A 30708920882 VAR VARIOS"/>
    <m/>
    <n v="0"/>
    <n v="78000000"/>
    <n v="78000000"/>
    <n v="75008796.400000006"/>
    <n v="1350"/>
    <n v="0"/>
    <n v="57777.777777777781"/>
    <s v="ARS"/>
    <s v="CC"/>
    <s v="MACRO"/>
    <x v="0"/>
    <x v="0"/>
    <x v="0"/>
    <s v="DESDE CC NACION"/>
    <m/>
    <m/>
    <x v="0"/>
    <m/>
    <m/>
    <m/>
    <m/>
  </r>
  <r>
    <x v="7"/>
    <d v="2025-08-22T00:00:00"/>
    <s v="TRANSF. MACRONLINE E-SET M/T"/>
    <m/>
    <n v="400000"/>
    <n v="0"/>
    <n v="-400000"/>
    <n v="4586290.68"/>
    <n v="1350"/>
    <n v="296.2962962962963"/>
    <n v="0"/>
    <s v="ARS"/>
    <s v="CC"/>
    <s v="MACRO"/>
    <x v="0"/>
    <x v="0"/>
    <x v="0"/>
    <s v="HACIA CC GALICIA"/>
    <m/>
    <m/>
    <x v="0"/>
    <m/>
    <m/>
    <m/>
    <m/>
  </r>
  <r>
    <x v="7"/>
    <d v="2025-08-22T00:00:00"/>
    <s v="COMISION TRF. MACROL E-SET"/>
    <m/>
    <n v="121"/>
    <n v="0"/>
    <n v="-121"/>
    <n v="4586169.68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2T00:00:00"/>
    <s v="10 LIQ.SUSC 1549736 324771"/>
    <m/>
    <n v="400000"/>
    <n v="0"/>
    <n v="-400000"/>
    <n v="4186169.68"/>
    <n v="1350"/>
    <n v="296.2962962962963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7"/>
    <d v="2025-08-22T00:00:00"/>
    <s v="10 LIQ.SUSC 1549795 324771"/>
    <m/>
    <n v="3600000"/>
    <n v="0"/>
    <n v="-3600000"/>
    <n v="586169.68000000005"/>
    <n v="1350"/>
    <n v="2666.6666666666665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7"/>
    <d v="2025-08-22T00:00:00"/>
    <s v="DBCR 25413 S/DB TASA GRAL"/>
    <m/>
    <n v="0.73"/>
    <n v="0"/>
    <n v="-0.73"/>
    <n v="586168.94999999995"/>
    <n v="1350"/>
    <n v="5.4074074074074072E-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5T00:00:00"/>
    <s v="CHEQUE P/CAMARA"/>
    <s v="N57867856"/>
    <n v="1051273.08"/>
    <n v="0"/>
    <n v="-1051273.08"/>
    <n v="-465104.13"/>
    <n v="1350"/>
    <n v="778.72080000000005"/>
    <n v="0"/>
    <s v="ARS"/>
    <s v="CC"/>
    <s v="MACRO"/>
    <x v="2"/>
    <x v="4"/>
    <x v="5"/>
    <s v="APLICACIONES"/>
    <s v="CLERICI JUAN PABLO"/>
    <s v="FA193"/>
    <x v="6"/>
    <m/>
    <s v="24/25"/>
    <s v="BIENES Y SERVICIOS"/>
    <s v="EFECTIVO Y OTROS ACT LÍQ EQ."/>
  </r>
  <r>
    <x v="7"/>
    <d v="2025-08-25T00:00:00"/>
    <s v="10 SOL.RESC 1588691 324771"/>
    <m/>
    <n v="0"/>
    <n v="13000000"/>
    <n v="13000000"/>
    <n v="12534895.869999999"/>
    <n v="1350"/>
    <n v="0"/>
    <n v="9629.6296296296296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7"/>
    <d v="2025-08-25T00:00:00"/>
    <s v="TRANSF. MACRONLINE E-SET M/T"/>
    <m/>
    <n v="8200000"/>
    <n v="0"/>
    <n v="-8200000"/>
    <n v="4334895.87"/>
    <n v="1350"/>
    <n v="6074.0740740740739"/>
    <n v="0"/>
    <s v="ARS"/>
    <s v="CC"/>
    <s v="MACRO"/>
    <x v="0"/>
    <x v="0"/>
    <x v="0"/>
    <s v="HACIA CC GALICIA"/>
    <m/>
    <m/>
    <x v="0"/>
    <m/>
    <m/>
    <m/>
    <m/>
  </r>
  <r>
    <x v="7"/>
    <d v="2025-08-25T00:00:00"/>
    <s v="COMISION TRF. MACROL E-SET"/>
    <m/>
    <n v="121"/>
    <n v="0"/>
    <n v="-121"/>
    <n v="4334774.87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5T00:00:00"/>
    <s v="TRANSF. MACRONLINE E-SET M/T"/>
    <m/>
    <n v="3700000"/>
    <n v="0"/>
    <n v="-3700000"/>
    <n v="634774.87"/>
    <n v="1350"/>
    <n v="2740.7407407407409"/>
    <n v="0"/>
    <s v="ARS"/>
    <s v="CC"/>
    <s v="MACRO"/>
    <x v="0"/>
    <x v="0"/>
    <x v="0"/>
    <s v="HACIA CC PAMPA"/>
    <m/>
    <m/>
    <x v="0"/>
    <m/>
    <m/>
    <m/>
    <m/>
  </r>
  <r>
    <x v="7"/>
    <d v="2025-08-25T00:00:00"/>
    <s v="COMISION TRF. MACROL E-SET"/>
    <m/>
    <n v="121"/>
    <n v="0"/>
    <n v="-121"/>
    <n v="634653.87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5T00:00:00"/>
    <s v="TRANSF. MACRONLINE E-SET D/T"/>
    <m/>
    <n v="28900"/>
    <n v="0"/>
    <n v="-28900"/>
    <n v="605753.87"/>
    <n v="1350"/>
    <n v="21.407407407407408"/>
    <n v="0"/>
    <s v="ARS"/>
    <s v="CC"/>
    <s v="MACRO"/>
    <x v="3"/>
    <x v="5"/>
    <x v="7"/>
    <s v="MOTOSIERRA"/>
    <s v="VILLARREAL"/>
    <m/>
    <x v="6"/>
    <m/>
    <s v="24/25"/>
    <s v="BIENES Y SERVICIOS"/>
    <s v="EFECTIVO Y OTROS ACT LÍQ EQ."/>
  </r>
  <r>
    <x v="7"/>
    <d v="2025-08-25T00:00:00"/>
    <s v="DBCR 25413 S/DB TASA GRAL"/>
    <m/>
    <n v="6482.5"/>
    <n v="0"/>
    <n v="-6482.5"/>
    <n v="599271.37"/>
    <n v="1350"/>
    <n v="4.801851851851852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6T00:00:00"/>
    <s v="CHEQUE P/CAMARA"/>
    <s v="N57867863"/>
    <n v="1000000"/>
    <n v="0"/>
    <n v="-1000000"/>
    <n v="-400728.63"/>
    <n v="1350"/>
    <n v="740.74074074074076"/>
    <n v="0"/>
    <s v="ARS"/>
    <s v="CC"/>
    <s v="MACRO"/>
    <x v="5"/>
    <x v="13"/>
    <x v="25"/>
    <m/>
    <s v="LA YUNTA VET"/>
    <s v="FA 838"/>
    <x v="6"/>
    <m/>
    <s v="24/25"/>
    <s v="BIENES Y SERVICIOS"/>
    <s v="EFECTIVO Y OTROS ACT LÍQ EQ."/>
  </r>
  <r>
    <x v="7"/>
    <d v="2025-08-26T00:00:00"/>
    <s v="CHEQUE P/CAMARA"/>
    <s v="N57867872"/>
    <n v="1973268"/>
    <n v="0"/>
    <n v="-1973268"/>
    <n v="-2373996.63"/>
    <n v="1350"/>
    <n v="1461.68"/>
    <n v="0"/>
    <s v="ARS"/>
    <s v="CC"/>
    <s v="MACRO"/>
    <x v="2"/>
    <x v="4"/>
    <x v="5"/>
    <s v="FLETES"/>
    <s v="ROMERO JOSE "/>
    <s v="FA 791"/>
    <x v="6"/>
    <m/>
    <s v="24/25"/>
    <s v="BIENES Y SERVICIOS"/>
    <s v="EFECTIVO Y OTROS ACT LÍQ EQ."/>
  </r>
  <r>
    <x v="7"/>
    <d v="2025-08-26T00:00:00"/>
    <s v="10 SOL.RESC 1622338 324771"/>
    <m/>
    <n v="0"/>
    <n v="3500000"/>
    <n v="3500000"/>
    <n v="1126003.3700000001"/>
    <n v="1350"/>
    <n v="0"/>
    <n v="2592.5925925925926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7"/>
    <d v="2025-08-26T00:00:00"/>
    <s v="TRANSF. MACRONLINE E-SET M/T"/>
    <m/>
    <n v="1000000"/>
    <n v="0"/>
    <n v="-1000000"/>
    <n v="126003.37"/>
    <n v="1350"/>
    <n v="740.74074074074076"/>
    <n v="0"/>
    <s v="ARS"/>
    <s v="CC"/>
    <s v="MACRO"/>
    <x v="0"/>
    <x v="0"/>
    <x v="0"/>
    <s v="HACIA CC GALICIA"/>
    <m/>
    <m/>
    <x v="0"/>
    <m/>
    <m/>
    <m/>
    <m/>
  </r>
  <r>
    <x v="7"/>
    <d v="2025-08-26T00:00:00"/>
    <s v="COMISION TRF. MACROL E-SET"/>
    <m/>
    <n v="121"/>
    <n v="0"/>
    <n v="-121"/>
    <n v="125882.37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6T00:00:00"/>
    <s v="DBCR 25413 S/DB TASA GRAL"/>
    <m/>
    <n v="17840.34"/>
    <n v="0"/>
    <n v="-17840.34"/>
    <n v="108042.03"/>
    <n v="1350"/>
    <n v="13.215066666666667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7T00:00:00"/>
    <s v="DEBITO FISCAL IVA BASICO"/>
    <m/>
    <n v="5292"/>
    <n v="0"/>
    <n v="-5292"/>
    <n v="102750.03"/>
    <n v="1350"/>
    <n v="3.9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7"/>
    <d v="2025-08-27T00:00:00"/>
    <s v="DEBITO FISCAL IVA PERCEPCION"/>
    <m/>
    <n v="756"/>
    <n v="0"/>
    <n v="-756"/>
    <n v="101994.03"/>
    <n v="1350"/>
    <n v="0.5600000000000000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7"/>
    <d v="2025-08-27T00:00:00"/>
    <s v="COMISION CHQ PAG CLEARING"/>
    <m/>
    <n v="25200"/>
    <n v="0"/>
    <n v="-25200"/>
    <n v="76794.03"/>
    <n v="1350"/>
    <n v="18.666666666666668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7T00:00:00"/>
    <s v="DBCR 25413 S/DB TASA GRAL"/>
    <m/>
    <n v="187.49"/>
    <n v="0"/>
    <n v="-187.49"/>
    <n v="76606.539999999994"/>
    <n v="1350"/>
    <n v="0.13888148148148149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8T00:00:00"/>
    <s v="TEF DATANET PR GARANTIZAR S G R 30688331761"/>
    <m/>
    <n v="0"/>
    <n v="23030"/>
    <n v="23030"/>
    <n v="99636.54"/>
    <n v="1350"/>
    <n v="0"/>
    <n v="17.05925925925926"/>
    <s v="ARS"/>
    <s v="CC"/>
    <s v="MACRO"/>
    <x v="0"/>
    <x v="10"/>
    <x v="31"/>
    <s v="CREDITO SGR 2025"/>
    <s v="NACION"/>
    <m/>
    <x v="9"/>
    <m/>
    <s v="25/26"/>
    <s v="EFECTIVO Y OTROS ACT LÍQ EQ."/>
    <s v="CREDITOS SGR"/>
  </r>
  <r>
    <x v="7"/>
    <d v="2025-08-28T00:00:00"/>
    <s v="DBCR 25413 S/CR TASA GRAL"/>
    <m/>
    <n v="138.18"/>
    <n v="0"/>
    <n v="-138.18"/>
    <n v="99498.36"/>
    <n v="1350"/>
    <n v="0.1023555555555555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8T00:00:00"/>
    <s v="DB TR..AUT.SDO.MISMO TIT."/>
    <m/>
    <n v="61997.77"/>
    <n v="0"/>
    <n v="-61997.77"/>
    <n v="37500.589999999997"/>
    <n v="1350"/>
    <n v="45.92427407407407"/>
    <n v="0"/>
    <s v="ARS"/>
    <s v="CC"/>
    <s v="MACRO"/>
    <x v="0"/>
    <x v="0"/>
    <x v="0"/>
    <s v="HACIA CA MACRO"/>
    <m/>
    <m/>
    <x v="0"/>
    <m/>
    <m/>
    <m/>
    <m/>
  </r>
  <r>
    <x v="7"/>
    <d v="2025-08-29T00:00:00"/>
    <s v="CHEQUE P/CAMARA"/>
    <s v="N57867839"/>
    <n v="500000"/>
    <n v="0"/>
    <n v="-500000"/>
    <n v="-462499.41"/>
    <n v="1350"/>
    <n v="370.37037037037038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7"/>
    <d v="2025-08-29T00:00:00"/>
    <s v="CHEQUE P/CAMARA"/>
    <s v="N57867859"/>
    <n v="2040786"/>
    <n v="0"/>
    <n v="-2040786"/>
    <n v="-2503285.41"/>
    <n v="1350"/>
    <n v="1511.6933333333334"/>
    <n v="0"/>
    <s v="ARS"/>
    <s v="CC"/>
    <s v="MACRO"/>
    <x v="5"/>
    <x v="13"/>
    <x v="23"/>
    <m/>
    <s v="HUGO DE DIOS"/>
    <s v="FA 207"/>
    <x v="1"/>
    <m/>
    <s v="24/25"/>
    <s v="EGRESOS"/>
    <s v="EFECTIVO Y OTROS ACT LÍQ EQ."/>
  </r>
  <r>
    <x v="7"/>
    <d v="2025-08-29T00:00:00"/>
    <s v="3 SOL.RESC 1714350 324771"/>
    <m/>
    <n v="0"/>
    <n v="30299651.059999999"/>
    <n v="30299651.059999999"/>
    <n v="27796365.649999999"/>
    <n v="1350"/>
    <n v="0"/>
    <n v="22444.18597037037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7"/>
    <d v="2025-08-29T00:00:00"/>
    <s v="10 SOL.RESC 1714382 324771"/>
    <m/>
    <n v="0"/>
    <n v="27840183.239999998"/>
    <n v="27840183.239999998"/>
    <n v="55636548.890000001"/>
    <n v="1350"/>
    <n v="0"/>
    <n v="20622.357955555555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7"/>
    <d v="2025-08-29T00:00:00"/>
    <s v="TRANSF. MACRONLINE E-SET M/T"/>
    <m/>
    <n v="60700000"/>
    <n v="0"/>
    <n v="-60700000"/>
    <n v="-5063451.1100000003"/>
    <n v="1350"/>
    <n v="44962.962962962964"/>
    <n v="0"/>
    <s v="ARS"/>
    <s v="CC"/>
    <s v="MACRO"/>
    <x v="0"/>
    <x v="0"/>
    <x v="0"/>
    <s v="HACIA CC NACION"/>
    <m/>
    <m/>
    <x v="0"/>
    <m/>
    <m/>
    <m/>
    <m/>
  </r>
  <r>
    <x v="7"/>
    <d v="2025-08-29T00:00:00"/>
    <s v="COMISION TRF. MACROL E-SET"/>
    <m/>
    <n v="121"/>
    <n v="0"/>
    <n v="-121"/>
    <n v="-5063572.1100000003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9T00:00:00"/>
    <s v="DBCR 25413 S/DB TASA GRAL"/>
    <m/>
    <n v="15245.45"/>
    <n v="0"/>
    <n v="-15245.45"/>
    <n v="-5078817.5599999996"/>
    <n v="1350"/>
    <n v="11.29292592592592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01T00:00:00"/>
    <s v="DEBITO FISCAL IVA BASICO"/>
    <m/>
    <n v="4463.68"/>
    <n v="0"/>
    <n v="-4463.68"/>
    <n v="-5083281.24"/>
    <n v="1350"/>
    <n v="3.3064296296296298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1T00:00:00"/>
    <s v="DEBITO FISCAL IVA PERCEPCION"/>
    <m/>
    <n v="637.66999999999996"/>
    <n v="0"/>
    <n v="-637.66999999999996"/>
    <n v="-5083918.91"/>
    <n v="1350"/>
    <n v="0.4723481481481481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1T00:00:00"/>
    <s v="INTER.ADEL.CC C/ACUERD"/>
    <m/>
    <n v="42511.24"/>
    <n v="0"/>
    <n v="-42511.24"/>
    <n v="-5126430.1500000004"/>
    <n v="1350"/>
    <n v="31.489807407407405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8"/>
    <d v="2025-09-01T00:00:00"/>
    <s v="DEBITO FISCAL IVA BASICO"/>
    <m/>
    <n v="6593.79"/>
    <n v="0"/>
    <n v="-6593.79"/>
    <n v="-5133023.9400000004"/>
    <n v="1350"/>
    <n v="4.8842888888888885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1T00:00:00"/>
    <s v="DEBITO FISCAL IVA PERCEPCION"/>
    <m/>
    <n v="941.97"/>
    <n v="0"/>
    <n v="-941.97"/>
    <n v="-5133965.91"/>
    <n v="1350"/>
    <n v="0.6977555555555555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1T00:00:00"/>
    <s v="INTER.ADEL.CC S/ACUERD"/>
    <m/>
    <n v="62797.97"/>
    <n v="0"/>
    <n v="-62797.97"/>
    <n v="-5196763.88"/>
    <n v="1350"/>
    <n v="46.517014814814814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8"/>
    <d v="2025-09-01T00:00:00"/>
    <s v="TRANSF G E S.A 30708920882 VAR VARIOS"/>
    <m/>
    <n v="0"/>
    <n v="500000"/>
    <n v="500000"/>
    <n v="-4696763.88"/>
    <n v="1350"/>
    <n v="0"/>
    <n v="370.37037037037038"/>
    <s v="ARS"/>
    <s v="CC"/>
    <s v="MACRO"/>
    <x v="0"/>
    <x v="0"/>
    <x v="0"/>
    <s v="DESDE CC NACION"/>
    <m/>
    <m/>
    <x v="0"/>
    <m/>
    <s v="25/26"/>
    <m/>
    <m/>
  </r>
  <r>
    <x v="8"/>
    <d v="2025-09-01T00:00:00"/>
    <s v="DGR SELLOS CORDOBA"/>
    <m/>
    <n v="707.88"/>
    <n v="0"/>
    <n v="-707.88"/>
    <n v="-4697471.76"/>
    <n v="1350"/>
    <n v="0.52435555555555557"/>
    <n v="0"/>
    <s v="ARS"/>
    <s v="CC"/>
    <s v="MACRO"/>
    <x v="1"/>
    <x v="1"/>
    <x v="1"/>
    <s v="SELLOS"/>
    <s v="RENTAS"/>
    <m/>
    <x v="1"/>
    <m/>
    <s v="25/26"/>
    <s v="EGRESOS"/>
    <s v="EFECTIVO Y OTROS ACT LÍQ EQ."/>
  </r>
  <r>
    <x v="8"/>
    <d v="2025-09-01T00:00:00"/>
    <s v="DGR SELLOS CORDOBA"/>
    <m/>
    <n v="931.76"/>
    <n v="0"/>
    <n v="-931.76"/>
    <n v="-4698403.5199999996"/>
    <n v="1350"/>
    <n v="0.69019259259259258"/>
    <n v="0"/>
    <s v="ARS"/>
    <s v="CC"/>
    <s v="MACRO"/>
    <x v="1"/>
    <x v="1"/>
    <x v="1"/>
    <s v="SELLOS"/>
    <s v="RENTAS"/>
    <m/>
    <x v="1"/>
    <m/>
    <s v="25/26"/>
    <s v="EGRESOS"/>
    <s v="EFECTIVO Y OTROS ACT LÍQ EQ."/>
  </r>
  <r>
    <x v="8"/>
    <d v="2025-09-01T00:00:00"/>
    <s v="DBCR 25413 S/DB TASA GRAL"/>
    <m/>
    <n v="717.52"/>
    <n v="0"/>
    <n v="-717.52"/>
    <n v="-4699121.04"/>
    <n v="1350"/>
    <n v="0.53149629629629624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02T00:00:00"/>
    <s v="CHEQUE P/CAMARA"/>
    <s v="N57867862"/>
    <n v="465000"/>
    <n v="0"/>
    <n v="-465000"/>
    <n v="-5164121.04"/>
    <n v="1350"/>
    <n v="344.44444444444446"/>
    <n v="0"/>
    <s v="ARS"/>
    <s v="CC"/>
    <s v="MACRO"/>
    <x v="5"/>
    <x v="13"/>
    <x v="4"/>
    <s v="HONORARIOS"/>
    <s v="FEDE PICCIOCHI"/>
    <m/>
    <x v="6"/>
    <m/>
    <s v="25/26"/>
    <s v="BIENES Y SERVICIOS"/>
    <s v="EFECTIVO Y OTROS ACT LÍQ EQ."/>
  </r>
  <r>
    <x v="8"/>
    <d v="2025-09-02T00:00:00"/>
    <s v="CHEQUE P/CAMARA"/>
    <s v="N60501848"/>
    <n v="325484.46999999997"/>
    <n v="0"/>
    <n v="-325484.46999999997"/>
    <n v="-5489605.5099999998"/>
    <n v="1350"/>
    <n v="241.09960740740738"/>
    <n v="0"/>
    <s v="ARS"/>
    <s v="CC"/>
    <s v="MACRO"/>
    <x v="5"/>
    <x v="13"/>
    <x v="25"/>
    <s v="INSUMOS"/>
    <s v="EL CALDEN"/>
    <s v="FA6025"/>
    <x v="6"/>
    <m/>
    <s v="25/26"/>
    <s v="BIENES Y SERVICIOS"/>
    <s v="EFECTIVO Y OTROS ACT LÍQ EQ."/>
  </r>
  <r>
    <x v="8"/>
    <d v="2025-09-02T00:00:00"/>
    <s v="DBCR 25413 S/DB TASA GRAL"/>
    <m/>
    <n v="4742.91"/>
    <n v="0"/>
    <n v="-4742.91"/>
    <n v="-5494348.4199999999"/>
    <n v="1350"/>
    <n v="3.5132666666666665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03T00:00:00"/>
    <s v="CHEQUE P/CAMARA"/>
    <s v="N57867868"/>
    <n v="1733107.2"/>
    <n v="0"/>
    <n v="-1733107.2"/>
    <n v="-7227455.6200000001"/>
    <n v="1350"/>
    <n v="1283.7831111111111"/>
    <n v="0"/>
    <s v="ARS"/>
    <s v="CC"/>
    <s v="MACRO"/>
    <x v="2"/>
    <x v="4"/>
    <x v="5"/>
    <s v="FLETES"/>
    <s v="MDB"/>
    <s v="FA 973"/>
    <x v="6"/>
    <m/>
    <s v="24/25"/>
    <s v="BIENES Y SERVICIOS"/>
    <s v="EFECTIVO Y OTROS ACT LÍQ EQ."/>
  </r>
  <r>
    <x v="8"/>
    <d v="2025-09-03T00:00:00"/>
    <s v="TEF DATANET MT G E S A 30708920882"/>
    <m/>
    <n v="0"/>
    <n v="1000000"/>
    <n v="1000000"/>
    <n v="-6227455.6200000001"/>
    <n v="1350"/>
    <n v="0"/>
    <n v="740.74074074074076"/>
    <s v="ARS"/>
    <s v="CC"/>
    <s v="MACRO"/>
    <x v="0"/>
    <x v="0"/>
    <x v="0"/>
    <s v="DESDE CC GALICIA"/>
    <m/>
    <m/>
    <x v="0"/>
    <m/>
    <s v="25/26"/>
    <m/>
    <m/>
  </r>
  <r>
    <x v="8"/>
    <d v="2025-09-03T00:00:00"/>
    <s v="TRANSF G Y E SA 30708920882 VAR VARIOS 331928"/>
    <m/>
    <n v="0"/>
    <n v="250000"/>
    <n v="250000"/>
    <n v="-5977455.6200000001"/>
    <n v="1350"/>
    <n v="0"/>
    <n v="185.18518518518519"/>
    <s v="ARS"/>
    <s v="CC"/>
    <s v="MACRO"/>
    <x v="0"/>
    <x v="0"/>
    <x v="0"/>
    <s v="DESDE CC PAMPA"/>
    <m/>
    <m/>
    <x v="0"/>
    <m/>
    <s v="25/26"/>
    <m/>
    <m/>
  </r>
  <r>
    <x v="8"/>
    <d v="2025-09-03T00:00:00"/>
    <s v="DEBITO FISCAL IVA BASICO"/>
    <m/>
    <n v="3276"/>
    <n v="0"/>
    <n v="-3276"/>
    <n v="-5980731.6200000001"/>
    <n v="1350"/>
    <n v="2.4266666666666667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3T00:00:00"/>
    <s v="DEBITO FISCAL IVA PERCEPCION"/>
    <m/>
    <n v="468"/>
    <n v="0"/>
    <n v="-468"/>
    <n v="-5981199.6200000001"/>
    <n v="1350"/>
    <n v="0.34666666666666668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3T00:00:00"/>
    <s v="COMISION CHEQUE CONSULTA"/>
    <m/>
    <n v="15600"/>
    <n v="0"/>
    <n v="-15600"/>
    <n v="-5996799.6200000001"/>
    <n v="1350"/>
    <n v="11.555555555555555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03T00:00:00"/>
    <s v="DBCR 25413 S/DB TASA GRAL"/>
    <m/>
    <n v="10514.7"/>
    <n v="0"/>
    <n v="-10514.7"/>
    <n v="-6007314.3200000003"/>
    <n v="1350"/>
    <n v="7.7886666666666668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04T00:00:00"/>
    <s v="TRANSF G Y E SA 30708920882 VAR VARIOS 333550"/>
    <m/>
    <n v="0"/>
    <n v="20000"/>
    <n v="20000"/>
    <n v="-5987314.3200000003"/>
    <n v="1350"/>
    <n v="0"/>
    <n v="14.814814814814815"/>
    <s v="ARS"/>
    <s v="CC"/>
    <s v="MACRO"/>
    <x v="0"/>
    <x v="0"/>
    <x v="0"/>
    <s v="DESDE CC PAMPA"/>
    <m/>
    <m/>
    <x v="0"/>
    <m/>
    <s v="25/26"/>
    <m/>
    <m/>
  </r>
  <r>
    <x v="8"/>
    <d v="2025-09-05T00:00:00"/>
    <s v="DEBITO FISCAL IVA BASICO"/>
    <m/>
    <n v="2499"/>
    <n v="0"/>
    <n v="-2499"/>
    <n v="-5989813.3200000003"/>
    <n v="1350"/>
    <n v="1.8511111111111112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5T00:00:00"/>
    <s v="DEBITO FISCAL IVA PERCEPCION"/>
    <m/>
    <n v="357"/>
    <n v="0"/>
    <n v="-357"/>
    <n v="-5990170.3200000003"/>
    <n v="1350"/>
    <n v="0.2644444444444444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5T00:00:00"/>
    <s v="COM. SERV DESC NO AUTORIZ."/>
    <m/>
    <n v="11900"/>
    <n v="0"/>
    <n v="-11900"/>
    <n v="-6002070.3200000003"/>
    <n v="1350"/>
    <n v="8.8148148148148149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05T00:00:00"/>
    <s v="DBCR 25413 S/DB TASA GRAL"/>
    <m/>
    <n v="88.54"/>
    <n v="0"/>
    <n v="-88.54"/>
    <n v="-6002158.8600000003"/>
    <n v="1350"/>
    <n v="6.5585185185185191E-2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09T00:00:00"/>
    <s v="CHEQUE P/CAMARA"/>
    <s v="N57867865"/>
    <n v="600000"/>
    <n v="0"/>
    <n v="-600000"/>
    <n v="-6602158.8600000003"/>
    <n v="1350"/>
    <n v="444.44444444444446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8"/>
    <d v="2025-09-09T00:00:00"/>
    <s v="CHEQUE P/CAMARA"/>
    <s v="N60335067"/>
    <n v="1696662"/>
    <n v="0"/>
    <n v="-1696662"/>
    <n v="-8298820.8600000003"/>
    <n v="1350"/>
    <n v="1256.7866666666666"/>
    <n v="0"/>
    <s v="ARS"/>
    <s v="CC"/>
    <s v="MACRO"/>
    <x v="5"/>
    <x v="13"/>
    <x v="23"/>
    <s v="HACIENDA"/>
    <s v="BIROLO NICOLAS"/>
    <s v="FA 935"/>
    <x v="6"/>
    <m/>
    <s v="25/26"/>
    <s v="BIENES Y SERVICIOS"/>
    <s v="EFECTIVO Y OTROS ACT LÍQ EQ."/>
  </r>
  <r>
    <x v="8"/>
    <d v="2025-09-09T00:00:00"/>
    <s v="TRANSF G Y E SA 30708920882 VAR VARIOS 337125"/>
    <m/>
    <n v="0"/>
    <n v="2500000"/>
    <n v="2500000"/>
    <n v="-5798820.8600000003"/>
    <n v="1410"/>
    <n v="0"/>
    <n v="1773.049645390071"/>
    <s v="ARS"/>
    <s v="CC"/>
    <s v="MACRO"/>
    <x v="0"/>
    <x v="0"/>
    <x v="0"/>
    <s v="DESDE CC PAMPA"/>
    <m/>
    <m/>
    <x v="0"/>
    <m/>
    <s v="25/26"/>
    <m/>
    <m/>
  </r>
  <r>
    <x v="8"/>
    <d v="2025-09-09T00:00:00"/>
    <s v="DEBITO FISCAL IVA BASICO"/>
    <m/>
    <n v="3276"/>
    <n v="0"/>
    <n v="-3276"/>
    <n v="-5802096.8600000003"/>
    <n v="1410"/>
    <n v="2.323404255319149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9T00:00:00"/>
    <s v="DEBITO FISCAL IVA PERCEPCION"/>
    <m/>
    <n v="468"/>
    <n v="0"/>
    <n v="-468"/>
    <n v="-5802564.8600000003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9T00:00:00"/>
    <s v="COMISION CHEQUE CONSULTA"/>
    <m/>
    <n v="15600"/>
    <n v="0"/>
    <n v="-15600"/>
    <n v="-5818164.8600000003"/>
    <n v="1410"/>
    <n v="11.063829787234043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09T00:00:00"/>
    <s v="DBCR 25413 S/DB TASA GRAL"/>
    <m/>
    <n v="13896.03"/>
    <n v="0"/>
    <n v="-13896.03"/>
    <n v="-5832060.8899999997"/>
    <n v="1410"/>
    <n v="9.8553404255319155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0T00:00:00"/>
    <s v="CHEQUE P/CAMARA"/>
    <s v="N57867861"/>
    <n v="2164060.7999999998"/>
    <n v="0"/>
    <n v="-2164060.7999999998"/>
    <n v="-7996121.6900000004"/>
    <n v="1410"/>
    <n v="1534.7948936170212"/>
    <n v="0"/>
    <s v="ARS"/>
    <s v="CC"/>
    <s v="MACRO"/>
    <x v="2"/>
    <x v="4"/>
    <x v="5"/>
    <s v="FLETES"/>
    <s v="HUGO DE DIOS"/>
    <m/>
    <x v="6"/>
    <m/>
    <s v="25/26"/>
    <s v="BIENES Y SERVICIOS"/>
    <s v="EFECTIVO Y OTROS ACT LÍQ EQ."/>
  </r>
  <r>
    <x v="8"/>
    <d v="2025-09-10T00:00:00"/>
    <s v="CHEQUE P/CAMARA"/>
    <s v="N60838101"/>
    <n v="54341967.630000003"/>
    <n v="0"/>
    <n v="-54341967.630000003"/>
    <n v="-62338089.32"/>
    <n v="1410"/>
    <n v="38540.402574468084"/>
    <n v="0"/>
    <s v="ARS"/>
    <s v="CC"/>
    <s v="MACRO"/>
    <x v="5"/>
    <x v="18"/>
    <x v="86"/>
    <m/>
    <s v="COLOMBO&amp;COLOMBO"/>
    <m/>
    <x v="19"/>
    <m/>
    <s v="25/26"/>
    <s v="EGRESOS"/>
    <s v="EFECTIVO Y OTROS ACT LÍQ EQ."/>
  </r>
  <r>
    <x v="8"/>
    <d v="2025-09-10T00:00:00"/>
    <s v="TRANSF 30708920882 VAR"/>
    <m/>
    <n v="0"/>
    <n v="47800000"/>
    <n v="47800000"/>
    <n v="-14538089.32"/>
    <n v="1410"/>
    <n v="0"/>
    <n v="33900.709219858159"/>
    <s v="ARS"/>
    <s v="CC"/>
    <s v="MACRO"/>
    <x v="0"/>
    <x v="0"/>
    <x v="0"/>
    <s v="DESDE CC NACION"/>
    <m/>
    <m/>
    <x v="0"/>
    <m/>
    <s v="25/26"/>
    <m/>
    <m/>
  </r>
  <r>
    <x v="8"/>
    <d v="2025-09-10T00:00:00"/>
    <s v="TEF DATANET MT G E S A 30708920882"/>
    <m/>
    <n v="0"/>
    <n v="15000000"/>
    <n v="15000000"/>
    <n v="461910.68"/>
    <n v="1410"/>
    <n v="0"/>
    <n v="10638.297872340425"/>
    <s v="ARS"/>
    <s v="CC"/>
    <s v="MACRO"/>
    <x v="0"/>
    <x v="0"/>
    <x v="0"/>
    <s v="DESDE CC GALICIA"/>
    <m/>
    <m/>
    <x v="0"/>
    <m/>
    <s v="25/26"/>
    <m/>
    <m/>
  </r>
  <r>
    <x v="8"/>
    <d v="2025-09-10T00:00:00"/>
    <s v="DEBITO FISCAL IVA BASICO"/>
    <m/>
    <n v="3276"/>
    <n v="0"/>
    <n v="-3276"/>
    <n v="458634.68"/>
    <n v="1410"/>
    <n v="2.323404255319149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10T00:00:00"/>
    <s v="DEBITO FISCAL IVA PERCEPCION"/>
    <m/>
    <n v="468"/>
    <n v="0"/>
    <n v="-468"/>
    <n v="458166.68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10T00:00:00"/>
    <s v="COMISION CHEQUE CONSULTA"/>
    <m/>
    <n v="15600"/>
    <n v="0"/>
    <n v="-15600"/>
    <n v="442566.68"/>
    <n v="1410"/>
    <n v="11.063829787234043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0T00:00:00"/>
    <s v="DBCR 25413 S/DB TASA GRAL"/>
    <m/>
    <n v="339152.23"/>
    <n v="0"/>
    <n v="-339152.23"/>
    <n v="103414.45"/>
    <n v="1410"/>
    <n v="240.53349645390068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6T00:00:00"/>
    <s v="CHEQUE P/CAMARA"/>
    <s v="N57867864"/>
    <n v="1055045"/>
    <n v="0"/>
    <n v="-1055045"/>
    <n v="-951630.55"/>
    <n v="1410"/>
    <n v="748.25886524822693"/>
    <n v="0"/>
    <s v="ARS"/>
    <s v="CC"/>
    <s v="MACRO"/>
    <x v="5"/>
    <x v="13"/>
    <x v="25"/>
    <m/>
    <s v="LA YUNTA VET"/>
    <s v="FA 852"/>
    <x v="6"/>
    <m/>
    <s v="25/26"/>
    <s v="BIENES Y SERVICIOS"/>
    <s v="EFECTIVO Y OTROS ACT LÍQ EQ."/>
  </r>
  <r>
    <x v="8"/>
    <d v="2025-09-16T00:00:00"/>
    <s v="CHEQUE P/CAMARA"/>
    <s v="N60500045"/>
    <n v="1046988"/>
    <n v="0"/>
    <n v="-1046988"/>
    <n v="-1998618.55"/>
    <n v="1410"/>
    <n v="742.54468085106384"/>
    <n v="0"/>
    <s v="ARS"/>
    <s v="CC"/>
    <s v="MACRO"/>
    <x v="5"/>
    <x v="13"/>
    <x v="23"/>
    <s v="HACIENDA"/>
    <s v="FACUNDO DE DIOS "/>
    <m/>
    <x v="6"/>
    <m/>
    <s v="25/26"/>
    <s v="BIENES Y SERVICIOS"/>
    <s v="EFECTIVO Y OTROS ACT LÍQ EQ."/>
  </r>
  <r>
    <x v="8"/>
    <d v="2025-09-16T00:00:00"/>
    <s v="CHEQUE P/CAMARA"/>
    <s v="N60569569"/>
    <n v="1302662.3999999999"/>
    <n v="0"/>
    <n v="-1302662.3999999999"/>
    <n v="-3301280.95"/>
    <n v="1410"/>
    <n v="923.87404255319143"/>
    <n v="0"/>
    <s v="ARS"/>
    <s v="CC"/>
    <s v="MACRO"/>
    <x v="2"/>
    <x v="4"/>
    <x v="5"/>
    <s v="EXTRACCION"/>
    <s v="EL POLO TAVI GALVAN"/>
    <s v="FA 157"/>
    <x v="6"/>
    <m/>
    <s v="25/26"/>
    <s v="BIENES Y SERVICIOS"/>
    <s v="EFECTIVO Y OTROS ACT LÍQ EQ."/>
  </r>
  <r>
    <x v="8"/>
    <d v="2025-09-16T00:00:00"/>
    <s v="TRANSF G Y E SA 30708920882 VAR VARIOS 342245"/>
    <m/>
    <n v="0"/>
    <n v="3400000"/>
    <n v="3400000"/>
    <n v="98719.05"/>
    <n v="1410"/>
    <n v="0"/>
    <n v="2411.3475177304963"/>
    <s v="ARS"/>
    <s v="CC"/>
    <s v="MACRO"/>
    <x v="0"/>
    <x v="0"/>
    <x v="0"/>
    <s v="DESDE CC PAMPA"/>
    <m/>
    <m/>
    <x v="0"/>
    <m/>
    <s v="25/26"/>
    <m/>
    <m/>
  </r>
  <r>
    <x v="8"/>
    <d v="2025-09-16T00:00:00"/>
    <s v="DBCR 25413 S/DB TASA GRAL"/>
    <m/>
    <n v="20428.169999999998"/>
    <n v="0"/>
    <n v="-20428.169999999998"/>
    <n v="78290.880000000005"/>
    <n v="1410"/>
    <n v="14.488063829787233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7T00:00:00"/>
    <s v="CHEQUE P/CAMARA"/>
    <s v="N57867851"/>
    <n v="735000"/>
    <n v="0"/>
    <n v="-735000"/>
    <n v="-656709.12"/>
    <n v="1410"/>
    <n v="521.27659574468089"/>
    <n v="0"/>
    <s v="ARS"/>
    <s v="CC"/>
    <s v="MACRO"/>
    <x v="5"/>
    <x v="13"/>
    <x v="48"/>
    <m/>
    <s v="CENTRO DE GANADERO"/>
    <m/>
    <x v="19"/>
    <m/>
    <s v="25/26"/>
    <s v="EGRESOS"/>
    <s v="EFECTIVO Y OTROS ACT LÍQ EQ."/>
  </r>
  <r>
    <x v="8"/>
    <d v="2025-09-17T00:00:00"/>
    <s v="CHEQUE P/CAMARA"/>
    <s v="N60626406"/>
    <n v="1530461.33"/>
    <n v="0"/>
    <n v="-1530461.33"/>
    <n v="-2187170.4500000002"/>
    <n v="1410"/>
    <n v="1085.4335673758865"/>
    <n v="0"/>
    <s v="ARS"/>
    <s v="CC"/>
    <s v="MACRO"/>
    <x v="3"/>
    <x v="14"/>
    <x v="45"/>
    <m/>
    <s v="DIESEL LANGE"/>
    <m/>
    <x v="6"/>
    <m/>
    <s v="25/26"/>
    <s v="BIENES DE USO"/>
    <s v="EFECTIVO Y OTROS ACT LÍQ EQ."/>
  </r>
  <r>
    <x v="8"/>
    <d v="2025-09-17T00:00:00"/>
    <s v="TRANSF G Y E SA 30708920882 VAR VARIOS 343146"/>
    <m/>
    <n v="0"/>
    <n v="1200000"/>
    <n v="1200000"/>
    <n v="-987170.45"/>
    <n v="1410"/>
    <n v="0"/>
    <n v="851.063829787234"/>
    <s v="ARS"/>
    <s v="CC"/>
    <s v="MACRO"/>
    <x v="0"/>
    <x v="0"/>
    <x v="0"/>
    <s v="DESDE CC PAMPA"/>
    <m/>
    <m/>
    <x v="0"/>
    <m/>
    <s v="25/26"/>
    <m/>
    <m/>
  </r>
  <r>
    <x v="8"/>
    <d v="2025-09-17T00:00:00"/>
    <s v="TRANSF. MACRONLINE E-SET D/T"/>
    <m/>
    <n v="1200000"/>
    <n v="0"/>
    <n v="-1200000"/>
    <n v="-2187170.4500000002"/>
    <n v="1410"/>
    <n v="851.063829787234"/>
    <n v="0"/>
    <s v="ARS"/>
    <s v="CC"/>
    <s v="MACRO"/>
    <x v="1"/>
    <x v="2"/>
    <x v="2"/>
    <s v="HONORARIOS"/>
    <s v="RAUL"/>
    <m/>
    <x v="2"/>
    <s v="RAUL"/>
    <s v="25/26"/>
    <s v="FUTURAS UT. ADL RAUL"/>
    <s v="EFECTIVO Y OTROS ACT LÍQ EQ."/>
  </r>
  <r>
    <x v="8"/>
    <d v="2025-09-17T00:00:00"/>
    <s v="COMISION TRF. MACROL E-SET"/>
    <m/>
    <n v="121"/>
    <n v="0"/>
    <n v="-121"/>
    <n v="-2187291.4500000002"/>
    <n v="1410"/>
    <n v="8.5815602836879432E-2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7T00:00:00"/>
    <s v="DBCR 25413 S/DB TASA GRAL"/>
    <m/>
    <n v="20793.5"/>
    <n v="0"/>
    <n v="-20793.5"/>
    <n v="-2208084.9500000002"/>
    <n v="1410"/>
    <n v="14.747163120567375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8T00:00:00"/>
    <s v="CHEQUE P/CAMARA"/>
    <s v="N57867873"/>
    <n v="415000"/>
    <n v="0"/>
    <n v="-415000"/>
    <n v="-2623084.9500000002"/>
    <n v="1410"/>
    <n v="294.3262411347518"/>
    <n v="0"/>
    <s v="ARS"/>
    <s v="CC"/>
    <s v="MACRO"/>
    <x v="3"/>
    <x v="14"/>
    <x v="26"/>
    <m/>
    <s v="ALCIDES QUIROGA"/>
    <m/>
    <x v="6"/>
    <m/>
    <s v="25/26"/>
    <s v="BIENES Y SERVICIOS"/>
    <s v="EFECTIVO Y OTROS ACT LÍQ EQ."/>
  </r>
  <r>
    <x v="8"/>
    <d v="2025-09-18T00:00:00"/>
    <s v="TRANSF. MACRONLINE E-SET D/T"/>
    <m/>
    <n v="581000"/>
    <n v="0"/>
    <n v="-581000"/>
    <n v="-3204084.95"/>
    <n v="1410"/>
    <n v="412.05673758865248"/>
    <n v="0"/>
    <s v="ARS"/>
    <s v="CC"/>
    <s v="MACRO"/>
    <x v="1"/>
    <x v="2"/>
    <x v="2"/>
    <s v="HONORARIOS"/>
    <s v="RAUL"/>
    <m/>
    <x v="2"/>
    <s v="RAUL"/>
    <s v="25/26"/>
    <s v="FUTURAS UT. ADL RAUL"/>
    <s v="EFECTIVO Y OTROS ACT LÍQ EQ."/>
  </r>
  <r>
    <x v="8"/>
    <d v="2025-09-18T00:00:00"/>
    <s v="COMISION TRF. MACROL E-SET"/>
    <m/>
    <n v="121"/>
    <n v="0"/>
    <n v="-121"/>
    <n v="-3204205.95"/>
    <n v="1410"/>
    <n v="8.5815602836879432E-2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8T00:00:00"/>
    <s v="TRANSF. MACRONLINE E-SET D/T"/>
    <m/>
    <n v="55000"/>
    <n v="0"/>
    <n v="-55000"/>
    <n v="-3259205.95"/>
    <n v="1410"/>
    <n v="39.00709219858156"/>
    <n v="0"/>
    <s v="ARS"/>
    <s v="CC"/>
    <s v="MACRO"/>
    <x v="1"/>
    <x v="2"/>
    <x v="2"/>
    <m/>
    <s v="CLAUDIA ERRECALDE"/>
    <m/>
    <x v="15"/>
    <s v="CLAUDIA"/>
    <s v="24/25"/>
    <s v="FUTURAS UT. ADL CLAUDIA"/>
    <s v="EFECTIVO Y OTROS ACT LÍQ EQ."/>
  </r>
  <r>
    <x v="8"/>
    <d v="2025-09-18T00:00:00"/>
    <s v="DBCR 25413 S/DB TASA GRAL"/>
    <m/>
    <n v="6306.73"/>
    <n v="0"/>
    <n v="-6306.73"/>
    <n v="-3265512.68"/>
    <n v="1410"/>
    <n v="4.4728581560283684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9T00:00:00"/>
    <s v="TRANSF. MACRONLINE E-SET D/T"/>
    <m/>
    <n v="555000"/>
    <n v="0"/>
    <n v="-555000"/>
    <n v="-4820512.68"/>
    <n v="1410"/>
    <n v="393.61702127659572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8"/>
    <d v="2025-09-19T00:00:00"/>
    <s v="TRANSF. MACRONLINE E-SET D/T"/>
    <m/>
    <n v="1000000"/>
    <n v="0"/>
    <n v="-1000000"/>
    <n v="-4820512.68"/>
    <n v="1410"/>
    <n v="709.21985815602841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8"/>
    <d v="2025-09-19T00:00:00"/>
    <s v="COMISION TRF. MACROL E-SET"/>
    <m/>
    <n v="121"/>
    <n v="0"/>
    <n v="-121"/>
    <n v="-4820633.68"/>
    <n v="1410"/>
    <n v="8.5815602836879432E-2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9T00:00:00"/>
    <s v="TRANSF. MACRONLINE E-SET D/T"/>
    <m/>
    <n v="500000"/>
    <n v="0"/>
    <n v="-500000"/>
    <n v="-5320633.68"/>
    <n v="1410"/>
    <n v="354.6099290780142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8"/>
    <d v="2025-09-19T00:00:00"/>
    <s v="COMISION TRF. MACROL E-SET"/>
    <m/>
    <n v="121"/>
    <n v="0"/>
    <n v="-121"/>
    <n v="-5320754.68"/>
    <n v="1410"/>
    <n v="8.5815602836879432E-2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9T00:00:00"/>
    <s v="SANCORSEG - SANCOR SEGUROS"/>
    <m/>
    <n v="8067"/>
    <n v="0"/>
    <n v="-8067"/>
    <n v="-5328821.68"/>
    <n v="1410"/>
    <n v="5.7212765957446807"/>
    <n v="0"/>
    <s v="ARS"/>
    <s v="CC"/>
    <s v="MACRO"/>
    <x v="1"/>
    <x v="7"/>
    <x v="58"/>
    <m/>
    <m/>
    <m/>
    <x v="1"/>
    <m/>
    <s v="24/25"/>
    <s v="EGRESOS"/>
    <s v="EFECTIVO Y OTROS ACT LÍQ EQ."/>
  </r>
  <r>
    <x v="8"/>
    <d v="2025-09-19T00:00:00"/>
    <s v="DBCR 25413 S/DB TASA GRAL"/>
    <m/>
    <n v="12379.86"/>
    <n v="0"/>
    <n v="-12379.86"/>
    <n v="-5341201.54"/>
    <n v="1410"/>
    <n v="8.780042553191489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23T00:00:00"/>
    <s v="CHEQUE P/CAMARA"/>
    <s v="N57867857"/>
    <n v="2000000"/>
    <n v="0"/>
    <n v="-2000000"/>
    <n v="-7341201.54"/>
    <n v="1410"/>
    <n v="1418.4397163120568"/>
    <n v="0"/>
    <s v="ARS"/>
    <s v="CC"/>
    <s v="MACRO"/>
    <x v="2"/>
    <x v="4"/>
    <x v="5"/>
    <s v="APLICACIONES"/>
    <s v="CLERICI JUAN PABLO"/>
    <s v="FA 190"/>
    <x v="6"/>
    <m/>
    <s v="24/25"/>
    <s v="BIENES Y SERVICIOS"/>
    <s v="EFECTIVO Y OTROS ACT LÍQ EQ."/>
  </r>
  <r>
    <x v="8"/>
    <d v="2025-09-23T00:00:00"/>
    <s v="CHEQUE P/CAMARA"/>
    <s v="N57867869"/>
    <n v="1641123"/>
    <n v="0"/>
    <n v="-1641123"/>
    <n v="-8982324.5399999991"/>
    <n v="1410"/>
    <n v="1163.9170212765957"/>
    <n v="0"/>
    <s v="ARS"/>
    <s v="CC"/>
    <s v="MACRO"/>
    <x v="2"/>
    <x v="4"/>
    <x v="5"/>
    <s v="FLETES"/>
    <s v="MDB"/>
    <s v="FA 633"/>
    <x v="6"/>
    <m/>
    <s v="24/25"/>
    <s v="BIENES Y SERVICIOS"/>
    <s v="EFECTIVO Y OTROS ACT LÍQ EQ."/>
  </r>
  <r>
    <x v="8"/>
    <d v="2025-09-23T00:00:00"/>
    <s v="TRANSF G Y E SA 30708920882 VAR VARIOS 346335"/>
    <m/>
    <n v="0"/>
    <n v="3000000"/>
    <n v="3000000"/>
    <n v="-5982324.54"/>
    <n v="1410"/>
    <n v="0"/>
    <n v="2127.6595744680849"/>
    <s v="ARS"/>
    <s v="CC"/>
    <s v="MACRO"/>
    <x v="0"/>
    <x v="0"/>
    <x v="0"/>
    <s v="DESDE CC PAMPA"/>
    <m/>
    <m/>
    <x v="0"/>
    <m/>
    <s v="24/25"/>
    <m/>
    <m/>
  </r>
  <r>
    <x v="8"/>
    <d v="2025-09-23T00:00:00"/>
    <s v="DEBITO FISCAL IVA BASICO"/>
    <m/>
    <n v="3276"/>
    <n v="0"/>
    <n v="-3276"/>
    <n v="-5985600.54"/>
    <n v="1410"/>
    <n v="2.323404255319149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23T00:00:00"/>
    <s v="DEBITO FISCAL IVA PERCEPCION"/>
    <m/>
    <n v="468"/>
    <n v="0"/>
    <n v="-468"/>
    <n v="-5986068.54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23T00:00:00"/>
    <s v="COMISION CHEQUE CONSULTA"/>
    <m/>
    <n v="15600"/>
    <n v="0"/>
    <n v="-15600"/>
    <n v="-6001668.54"/>
    <n v="1410"/>
    <n v="11.063829787234043"/>
    <n v="0"/>
    <s v="ARS"/>
    <s v="CC"/>
    <s v="MACRO"/>
    <x v="1"/>
    <x v="7"/>
    <x v="9"/>
    <m/>
    <m/>
    <m/>
    <x v="1"/>
    <m/>
    <s v="24/25"/>
    <s v="EGRESOS"/>
    <s v="EFECTIVO Y OTROS ACT LÍQ EQ."/>
  </r>
  <r>
    <x v="8"/>
    <d v="2025-09-23T00:00:00"/>
    <s v="DBCR 25413 S/DB TASA GRAL"/>
    <m/>
    <n v="21962.799999999999"/>
    <n v="0"/>
    <n v="-21962.799999999999"/>
    <n v="-6023631.3399999999"/>
    <n v="1410"/>
    <n v="15.5764539007092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24T00:00:00"/>
    <s v="CHEQUE P/CAMARA"/>
    <s v="N57867840"/>
    <n v="500000"/>
    <n v="0"/>
    <n v="-500000"/>
    <n v="-6523631.3399999999"/>
    <n v="1410"/>
    <n v="354.6099290780142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8"/>
    <d v="2025-09-24T00:00:00"/>
    <s v="CHEQUE P/CAMARA"/>
    <s v="N60335177"/>
    <n v="1824873.6"/>
    <n v="0"/>
    <n v="-1824873.6"/>
    <n v="-8348504.9400000004"/>
    <n v="1410"/>
    <n v="1294.2365957446809"/>
    <n v="0"/>
    <s v="ARS"/>
    <s v="CC"/>
    <s v="MACRO"/>
    <x v="5"/>
    <x v="13"/>
    <x v="23"/>
    <s v="HACIENDA"/>
    <s v="BIROLO NICOLAS"/>
    <s v="FA 396"/>
    <x v="6"/>
    <m/>
    <s v="24/25"/>
    <s v="BIENES Y SERVICIOS"/>
    <s v="EFECTIVO Y OTROS ACT LÍQ EQ."/>
  </r>
  <r>
    <x v="8"/>
    <d v="2025-09-24T00:00:00"/>
    <s v="TRANSF G Y E SA 30708920882 VAR VARIOS 347074"/>
    <m/>
    <n v="0"/>
    <n v="2350000"/>
    <n v="2350000"/>
    <n v="-5998504.9400000004"/>
    <n v="1410"/>
    <n v="0"/>
    <n v="1666.6666666666667"/>
    <s v="ARS"/>
    <s v="CC"/>
    <s v="MACRO"/>
    <x v="0"/>
    <x v="0"/>
    <x v="0"/>
    <s v="DESDE CC PAMPA"/>
    <m/>
    <m/>
    <x v="0"/>
    <m/>
    <s v="24/25"/>
    <m/>
    <m/>
  </r>
  <r>
    <x v="8"/>
    <d v="2025-09-24T00:00:00"/>
    <s v="DEBITO FISCAL IVA BASICO"/>
    <m/>
    <n v="3276"/>
    <n v="0"/>
    <n v="-3276"/>
    <n v="-6001780.9400000004"/>
    <n v="1410"/>
    <n v="2.323404255319149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24T00:00:00"/>
    <s v="DEBITO FISCAL IVA PERCEPCION"/>
    <m/>
    <n v="468"/>
    <n v="0"/>
    <n v="-468"/>
    <n v="-6002248.9400000004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24T00:00:00"/>
    <s v="COMISION CHEQUE CONSULTA"/>
    <m/>
    <n v="15600"/>
    <n v="0"/>
    <n v="-15600"/>
    <n v="-6017848.9400000004"/>
    <n v="1410"/>
    <n v="11.063829787234043"/>
    <n v="0"/>
    <s v="ARS"/>
    <s v="CC"/>
    <s v="MACRO"/>
    <x v="1"/>
    <x v="7"/>
    <x v="9"/>
    <m/>
    <m/>
    <m/>
    <x v="1"/>
    <m/>
    <s v="24/25"/>
    <s v="EGRESOS"/>
    <s v="EFECTIVO Y OTROS ACT LÍQ EQ."/>
  </r>
  <r>
    <x v="8"/>
    <d v="2025-09-24T00:00:00"/>
    <s v="DBCR 25413 S/DB TASA GRAL"/>
    <m/>
    <n v="14065.3"/>
    <n v="0"/>
    <n v="-14065.3"/>
    <n v="-6031914.2400000002"/>
    <n v="1410"/>
    <n v="9.975390070921985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29T00:00:00"/>
    <s v="CHEQUE P/CAMARA"/>
    <s v="N60588062"/>
    <n v="433485"/>
    <n v="0"/>
    <n v="-433485"/>
    <n v="-6465399.2400000002"/>
    <n v="1410"/>
    <n v="307.43617021276594"/>
    <n v="0"/>
    <s v="ARS"/>
    <s v="CC"/>
    <s v="MACRO"/>
    <x v="5"/>
    <x v="13"/>
    <x v="46"/>
    <s v="HACIENDA"/>
    <s v="TODO CAMPO COMB"/>
    <s v="FA 9367"/>
    <x v="6"/>
    <m/>
    <s v="24/25"/>
    <s v="BIENES Y SERVICIOS"/>
    <s v="EFECTIVO Y OTROS ACT LÍQ EQ."/>
  </r>
  <r>
    <x v="8"/>
    <d v="2025-09-29T00:00:00"/>
    <s v="TRANSF ERRECALDE 20164045693 VAR VARIOS 00164"/>
    <m/>
    <n v="0"/>
    <n v="500000"/>
    <n v="500000"/>
    <n v="-5965399.2400000002"/>
    <n v="1410"/>
    <n v="0"/>
    <n v="354.6099290780142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8"/>
    <d v="2025-09-29T00:00:00"/>
    <s v="DEBITO FISCAL IVA BASICO"/>
    <m/>
    <n v="3591"/>
    <n v="0"/>
    <n v="-3591"/>
    <n v="-5968990.2400000002"/>
    <n v="1410"/>
    <n v="2.5468085106382978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8"/>
    <d v="2025-09-29T00:00:00"/>
    <s v="DEBITO FISCAL IVA PERCEPCION"/>
    <m/>
    <n v="513"/>
    <n v="0"/>
    <n v="-513"/>
    <n v="-5969503.2400000002"/>
    <n v="1410"/>
    <n v="0.36382978723404258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29T00:00:00"/>
    <s v="COMISION CHQ PAG CLEARING"/>
    <m/>
    <n v="17100"/>
    <n v="0"/>
    <n v="-17100"/>
    <n v="-5986603.2400000002"/>
    <n v="1410"/>
    <n v="12.127659574468085"/>
    <n v="0"/>
    <s v="ARS"/>
    <s v="CC"/>
    <s v="MACRO"/>
    <x v="1"/>
    <x v="7"/>
    <x v="9"/>
    <m/>
    <m/>
    <m/>
    <x v="1"/>
    <m/>
    <s v="24/25"/>
    <s v="EGRESOS"/>
    <s v="EFECTIVO Y OTROS ACT LÍQ EQ."/>
  </r>
  <r>
    <x v="8"/>
    <d v="2025-09-29T00:00:00"/>
    <s v="DEBITO FISCAL IVA BASICO"/>
    <m/>
    <n v="3276"/>
    <n v="0"/>
    <n v="-3276"/>
    <n v="-5989879.2400000002"/>
    <n v="1410"/>
    <n v="2.323404255319149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8"/>
    <d v="2025-09-29T00:00:00"/>
    <s v="DEBITO FISCAL IVA PERCEPCION"/>
    <m/>
    <n v="468"/>
    <n v="0"/>
    <n v="-468"/>
    <n v="-5990347.2400000002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29T00:00:00"/>
    <s v="COMISION CHEQUE CONSULTA"/>
    <m/>
    <n v="15600"/>
    <n v="0"/>
    <n v="-15600"/>
    <n v="-6005947.2400000002"/>
    <n v="1410"/>
    <n v="11.063829787234043"/>
    <n v="0"/>
    <s v="ARS"/>
    <s v="CC"/>
    <s v="MACRO"/>
    <x v="1"/>
    <x v="7"/>
    <x v="9"/>
    <m/>
    <m/>
    <m/>
    <x v="1"/>
    <m/>
    <s v="24/25"/>
    <s v="EGRESOS"/>
    <s v="EFECTIVO Y OTROS ACT LÍQ EQ."/>
  </r>
  <r>
    <x v="8"/>
    <d v="2025-09-29T00:00:00"/>
    <s v="DBCR 25413 S/CR TASA GRAL"/>
    <m/>
    <n v="3000"/>
    <n v="0"/>
    <n v="-3000"/>
    <n v="-6008947.2400000002"/>
    <n v="1410"/>
    <n v="2.127659574468085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29T00:00:00"/>
    <s v="DBCR 25413 S/DB TASA GRAL"/>
    <m/>
    <n v="2844.19"/>
    <n v="0"/>
    <n v="-2844.19"/>
    <n v="-6011791.4299999997"/>
    <n v="1410"/>
    <n v="2.017156028368794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29T00:00:00"/>
    <s v="DB TR..AUT.SDO.MISMO TIT."/>
    <m/>
    <n v="61628"/>
    <n v="0"/>
    <n v="-61628"/>
    <n v="-6073419.4299999997"/>
    <n v="1410"/>
    <n v="43.707801418439715"/>
    <n v="0"/>
    <s v="ARS"/>
    <s v="CC"/>
    <s v="MACRO"/>
    <x v="0"/>
    <x v="0"/>
    <x v="0"/>
    <s v="HACIA CA MACRO"/>
    <m/>
    <m/>
    <x v="0"/>
    <m/>
    <s v="24/25"/>
    <m/>
    <m/>
  </r>
  <r>
    <x v="8"/>
    <d v="2025-09-30T00:00:00"/>
    <s v="DB TR..AUT.SDO.MISMO TIT."/>
    <m/>
    <n v="369.77"/>
    <n v="0"/>
    <n v="-369.77"/>
    <n v="-6073789.2000000002"/>
    <n v="1410"/>
    <n v="0.2622482269503546"/>
    <n v="0"/>
    <s v="ARS"/>
    <s v="CC"/>
    <s v="MACRO"/>
    <x v="0"/>
    <x v="0"/>
    <x v="0"/>
    <s v="HACIA CA MACRO"/>
    <m/>
    <m/>
    <x v="0"/>
    <m/>
    <s v="24/25"/>
    <m/>
    <m/>
  </r>
  <r>
    <x v="9"/>
    <d v="2025-10-01T00:00:00"/>
    <s v="DEBITO FISCAL IVA BASICO"/>
    <m/>
    <n v="25567.279999999999"/>
    <n v="0"/>
    <n v="-25567.279999999999"/>
    <n v="-6099356.4800000004"/>
    <n v="1410"/>
    <n v="18.132822695035461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1T00:00:00"/>
    <s v="DEBITO FISCAL IVA PERCEPCION"/>
    <m/>
    <n v="3652.47"/>
    <n v="0"/>
    <n v="-3652.47"/>
    <n v="-6103008.9500000002"/>
    <n v="1410"/>
    <n v="2.5904042553191489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INTER.ADEL.CC C/ACUERD"/>
    <m/>
    <n v="243497.91"/>
    <n v="0"/>
    <n v="-243497.91"/>
    <n v="-6346506.8600000003"/>
    <n v="1410"/>
    <n v="172.69355319148937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9"/>
    <d v="2025-10-01T00:00:00"/>
    <s v="DEBITO FISCAL IVA BASICO"/>
    <m/>
    <n v="80.13"/>
    <n v="0"/>
    <n v="-80.13"/>
    <n v="-6346586.9900000002"/>
    <n v="1410"/>
    <n v="5.6829787234042549E-2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1T00:00:00"/>
    <s v="INTER.ADEL.CC S/ACUERD"/>
    <m/>
    <n v="763.13"/>
    <n v="0"/>
    <n v="-763.13"/>
    <n v="-6347350.1200000001"/>
    <n v="1410"/>
    <n v="0.54122695035460988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9"/>
    <d v="2025-10-01T00:00:00"/>
    <s v="CHEQUE P/CAMARA"/>
    <s v="N57867870"/>
    <n v="1620432"/>
    <n v="0"/>
    <n v="-1620432"/>
    <n v="-7967782.1200000001"/>
    <n v="1410"/>
    <n v="1149.2425531914894"/>
    <n v="0"/>
    <s v="ARS"/>
    <s v="CC"/>
    <s v="MACRO"/>
    <x v="2"/>
    <x v="4"/>
    <x v="5"/>
    <s v="FLETES"/>
    <s v="MDB"/>
    <s v="FA 633"/>
    <x v="6"/>
    <m/>
    <s v="24/25"/>
    <s v="BIENES Y SERVICIOS"/>
    <s v="EFECTIVO Y OTROS ACT LÍQ EQ."/>
  </r>
  <r>
    <x v="9"/>
    <d v="2025-10-01T00:00:00"/>
    <s v="CHEQUE P/CAMARA"/>
    <s v="N60458281"/>
    <n v="1600000"/>
    <n v="0"/>
    <n v="-1600000"/>
    <n v="-9567782.1199999992"/>
    <n v="1410"/>
    <n v="1134.7517730496454"/>
    <n v="0"/>
    <s v="ARS"/>
    <s v="CC"/>
    <s v="MACRO"/>
    <x v="5"/>
    <x v="13"/>
    <x v="46"/>
    <s v="HACIENDA"/>
    <s v="HA COMBUSTIBLES"/>
    <s v="FA78 FA84"/>
    <x v="6"/>
    <m/>
    <s v="24/25"/>
    <s v="BIENES Y SERVICIOS"/>
    <s v="EFECTIVO Y OTROS ACT LÍQ EQ."/>
  </r>
  <r>
    <x v="9"/>
    <d v="2025-10-01T00:00:00"/>
    <s v="TRANSF ERRECALDE 20164045693 VAR VARIOS 00164"/>
    <m/>
    <n v="0"/>
    <n v="2000000"/>
    <n v="2000000"/>
    <n v="-7567782.1200000001"/>
    <n v="1410"/>
    <n v="0"/>
    <n v="1418.4397163120568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9"/>
    <d v="2025-10-01T00:00:00"/>
    <s v="DEBITO FISCAL IVA BASICO"/>
    <m/>
    <n v="3549"/>
    <n v="0"/>
    <n v="-3549"/>
    <n v="-7571331.1200000001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1T00:00:00"/>
    <s v="DEBITO FISCAL IVA PERCEPCION"/>
    <m/>
    <n v="507"/>
    <n v="0"/>
    <n v="-507"/>
    <n v="-7571838.1200000001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COMISION CHEQUE CONSULTA"/>
    <m/>
    <n v="16900"/>
    <n v="0"/>
    <n v="-16900"/>
    <n v="-7588738.1200000001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1T00:00:00"/>
    <s v="DGR SELLOS CORDOBA"/>
    <m/>
    <n v="4228.37"/>
    <n v="0"/>
    <n v="-4228.37"/>
    <n v="-7592966.4900000002"/>
    <n v="1410"/>
    <n v="2.9988439716312056"/>
    <n v="0"/>
    <s v="ARS"/>
    <s v="CC"/>
    <s v="MACRO"/>
    <x v="1"/>
    <x v="1"/>
    <x v="1"/>
    <s v="SELLOS"/>
    <s v="RENTAS"/>
    <m/>
    <x v="1"/>
    <m/>
    <s v="25/26"/>
    <s v="EGRESOS"/>
    <s v="EFECTIVO Y OTROS ACT LÍQ EQ."/>
  </r>
  <r>
    <x v="9"/>
    <d v="2025-10-01T00:00:00"/>
    <s v="DGR SELLOS CORDOBA"/>
    <m/>
    <n v="11.55"/>
    <n v="0"/>
    <n v="-11.55"/>
    <n v="-7592978.04"/>
    <n v="1410"/>
    <n v="8.191489361702128E-3"/>
    <n v="0"/>
    <s v="ARS"/>
    <s v="CC"/>
    <s v="MACRO"/>
    <x v="1"/>
    <x v="1"/>
    <x v="1"/>
    <s v="SELLOS"/>
    <s v="RENTAS"/>
    <m/>
    <x v="1"/>
    <m/>
    <s v="25/26"/>
    <s v="EGRESOS"/>
    <s v="EFECTIVO Y OTROS ACT LÍQ EQ."/>
  </r>
  <r>
    <x v="9"/>
    <d v="2025-10-01T00:00:00"/>
    <s v="DBCR 25413 S/CR TASA GRAL"/>
    <m/>
    <n v="12000"/>
    <n v="0"/>
    <n v="-12000"/>
    <n v="-7604978.04"/>
    <n v="1410"/>
    <n v="8.510638297872340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1T00:00:00"/>
    <s v="DBCR 25413 S/DB TASA GRAL"/>
    <m/>
    <n v="21115.14"/>
    <n v="0"/>
    <n v="-21115.14"/>
    <n v="-7626093.1799999997"/>
    <n v="1410"/>
    <n v="14.97527659574468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2T00:00:00"/>
    <s v="CHEQUE P/CAMARA"/>
    <s v="N60458278"/>
    <n v="1000000"/>
    <n v="0"/>
    <n v="-1000000"/>
    <n v="-8626093.1799999997"/>
    <n v="1410"/>
    <n v="709.21985815602841"/>
    <n v="0"/>
    <s v="ARS"/>
    <s v="CC"/>
    <s v="MACRO"/>
    <x v="5"/>
    <x v="13"/>
    <x v="23"/>
    <s v="HACIENDA"/>
    <s v="FACUNDO DE DIOS "/>
    <s v="FA881"/>
    <x v="6"/>
    <m/>
    <s v="24/25"/>
    <s v="BIENES Y SERVICIOS"/>
    <s v="EFECTIVO Y OTROS ACT LÍQ EQ."/>
  </r>
  <r>
    <x v="9"/>
    <d v="2025-10-02T00:00:00"/>
    <s v="CHEQUE P/CAMARA"/>
    <s v="N60458285"/>
    <n v="250000"/>
    <n v="0"/>
    <n v="-250000"/>
    <n v="-8876093.1799999997"/>
    <n v="1410"/>
    <n v="177.3049645390071"/>
    <n v="0"/>
    <s v="ARS"/>
    <s v="CC"/>
    <s v="MACRO"/>
    <x v="1"/>
    <x v="3"/>
    <x v="3"/>
    <s v="ADELANTO SUELDO 1/3"/>
    <s v="ANDRES TOLEDO"/>
    <m/>
    <x v="3"/>
    <m/>
    <s v="24/25"/>
    <s v="EGRESOS"/>
    <s v="EFECTIVO Y OTROS ACT LÍQ EQ."/>
  </r>
  <r>
    <x v="9"/>
    <d v="2025-10-02T00:00:00"/>
    <s v="TRANSF. MACRONLINE E-SET D/T"/>
    <m/>
    <n v="1000000"/>
    <n v="0"/>
    <n v="-1000000"/>
    <n v="-9876093.1799999997"/>
    <n v="1410"/>
    <n v="709.21985815602841"/>
    <n v="0"/>
    <s v="ARS"/>
    <s v="CC"/>
    <s v="MACRO"/>
    <x v="1"/>
    <x v="2"/>
    <x v="30"/>
    <m/>
    <s v="RAUL"/>
    <m/>
    <x v="2"/>
    <s v="RAUL"/>
    <s v="24/25"/>
    <s v="FUTURAS UT. ADL RAUL"/>
    <s v="EFECTIVO Y OTROS ACT LÍQ EQ."/>
  </r>
  <r>
    <x v="9"/>
    <d v="2025-10-02T00:00:00"/>
    <s v="COMISION TRF. MACROL E-SET"/>
    <m/>
    <n v="121"/>
    <n v="0"/>
    <n v="-121"/>
    <n v="-9876214.1799999997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2T00:00:00"/>
    <s v="DBCR 25413 S/DB TASA GRAL"/>
    <m/>
    <n v="13500.73"/>
    <n v="0"/>
    <n v="-13500.73"/>
    <n v="-9889714.9100000001"/>
    <n v="1410"/>
    <n v="9.5749858156028367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6T00:00:00"/>
    <s v="CHEQUE P/CAMARA"/>
    <s v="N60458276"/>
    <n v="490000"/>
    <n v="0"/>
    <n v="-490000"/>
    <n v="-10379714.91"/>
    <n v="1410"/>
    <n v="347.51773049645391"/>
    <n v="0"/>
    <s v="ARS"/>
    <s v="CC"/>
    <s v="MACRO"/>
    <x v="5"/>
    <x v="13"/>
    <x v="4"/>
    <s v="HONORARIOS"/>
    <s v="FEDE PICCIOCHI"/>
    <s v="FA367"/>
    <x v="6"/>
    <m/>
    <s v="25/26"/>
    <s v="BIENES Y SERVICIOS"/>
    <s v="EFECTIVO Y OTROS ACT LÍQ EQ."/>
  </r>
  <r>
    <x v="9"/>
    <d v="2025-10-06T00:00:00"/>
    <s v="CHEQUE P/CAMARA"/>
    <s v="N60458277"/>
    <n v="84137.35"/>
    <n v="0"/>
    <n v="-84137.35"/>
    <n v="-10463852.26"/>
    <n v="1410"/>
    <n v="59.671879432624117"/>
    <n v="0"/>
    <s v="ARS"/>
    <s v="CC"/>
    <s v="MACRO"/>
    <x v="5"/>
    <x v="13"/>
    <x v="25"/>
    <m/>
    <s v="LA YUNTA VET"/>
    <s v="FA 881"/>
    <x v="6"/>
    <m/>
    <s v="25/26"/>
    <s v="BIENES Y SERVICIOS"/>
    <s v="EFECTIVO Y OTROS ACT LÍQ EQ."/>
  </r>
  <r>
    <x v="9"/>
    <d v="2025-10-06T00:00:00"/>
    <s v="DEBITO FISCAL IVA BASICO"/>
    <m/>
    <n v="3549"/>
    <n v="0"/>
    <n v="-3549"/>
    <n v="-10467401.26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6T00:00:00"/>
    <s v="DEBITO FISCAL IVA PERCEPCION"/>
    <m/>
    <n v="507"/>
    <n v="0"/>
    <n v="-507"/>
    <n v="-10467908.26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6T00:00:00"/>
    <s v="COMISION CHEQUE CONSULTA"/>
    <m/>
    <n v="16900"/>
    <n v="0"/>
    <n v="-16900"/>
    <n v="-10484808.26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6T00:00:00"/>
    <s v="DBCR 25413 S/DB TASA GRAL"/>
    <m/>
    <n v="3570.56"/>
    <n v="0"/>
    <n v="-3570.56"/>
    <n v="-10488378.82"/>
    <n v="1410"/>
    <n v="2.5323120567375885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7T00:00:00"/>
    <s v="CHEQUE P/CAMARA"/>
    <s v="N57867866"/>
    <n v="600000"/>
    <n v="0"/>
    <n v="-600000"/>
    <n v="-11088378.82"/>
    <n v="1410"/>
    <n v="425.531914893617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9"/>
    <d v="2025-10-07T00:00:00"/>
    <s v="DEBITO FISCAL IVA BASICO"/>
    <m/>
    <n v="3549"/>
    <n v="0"/>
    <n v="-3549"/>
    <n v="-11091927.82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7T00:00:00"/>
    <s v="DEBITO FISCAL IVA PERCEPCION"/>
    <m/>
    <n v="507"/>
    <n v="0"/>
    <n v="-507"/>
    <n v="-11092434.82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7T00:00:00"/>
    <s v="COMISION CHEQUE CONSULTA"/>
    <m/>
    <n v="16900"/>
    <n v="0"/>
    <n v="-16900"/>
    <n v="-11109334.82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7T00:00:00"/>
    <s v="DBCR 25413 S/DB TASA GRAL"/>
    <m/>
    <n v="3725.74"/>
    <n v="0"/>
    <n v="-3725.74"/>
    <n v="-11113060.560000001"/>
    <n v="1410"/>
    <n v="2.642368794326241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8T00:00:00"/>
    <s v="CHEQUE P/CAMARA"/>
    <n v="61672519"/>
    <n v="500000"/>
    <n v="0"/>
    <n v="-500000"/>
    <n v="-11613060.560000001"/>
    <n v="1410"/>
    <n v="354.6099290780142"/>
    <n v="0"/>
    <s v="ARS"/>
    <s v="CC"/>
    <s v="MACRO"/>
    <x v="2"/>
    <x v="15"/>
    <x v="29"/>
    <s v="SEMILLAS"/>
    <s v="PALO VERDE"/>
    <s v="FA 9152"/>
    <x v="6"/>
    <m/>
    <s v="24/25"/>
    <s v="INSUMOS 2025"/>
    <s v="EFECTIVO Y OTROS ACT LÍQ EQ."/>
  </r>
  <r>
    <x v="9"/>
    <d v="2025-10-08T00:00:00"/>
    <s v="DB/CR - COMEX- SUC.:811"/>
    <m/>
    <n v="0"/>
    <n v="42184113"/>
    <n v="42184113"/>
    <n v="30571052.440000001"/>
    <n v="1410"/>
    <n v="0"/>
    <n v="29917.810638297873"/>
    <s v="ARS"/>
    <s v="CC"/>
    <s v="MACRO"/>
    <x v="0"/>
    <x v="10"/>
    <x v="87"/>
    <s v="30 MIL USD 11%"/>
    <s v="MACRO"/>
    <m/>
    <x v="9"/>
    <m/>
    <s v="24/25"/>
    <s v="EFECTIVO Y OTROS ACT LÍQ EQ."/>
    <s v="CREDITOS MACRO"/>
  </r>
  <r>
    <x v="9"/>
    <d v="2025-10-08T00:00:00"/>
    <s v="TRANSF. MACRONLINE E-SET M/T"/>
    <m/>
    <n v="22700000"/>
    <n v="0"/>
    <n v="-22700000"/>
    <n v="7871052.4400000004"/>
    <n v="1410"/>
    <n v="16099.290780141844"/>
    <n v="0"/>
    <s v="ARS"/>
    <s v="CC"/>
    <s v="MACRO"/>
    <x v="0"/>
    <x v="0"/>
    <x v="0"/>
    <s v="HACIA CC GALICIA"/>
    <m/>
    <m/>
    <x v="0"/>
    <m/>
    <s v="24/25"/>
    <m/>
    <m/>
  </r>
  <r>
    <x v="9"/>
    <d v="2025-10-08T00:00:00"/>
    <s v="COMISION TRF. MACROL E-SET"/>
    <m/>
    <n v="121"/>
    <n v="0"/>
    <n v="-121"/>
    <n v="7870931.4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8T00:00:00"/>
    <s v="TRANSF. MACRONLINE E-SET M/T"/>
    <m/>
    <n v="3200000"/>
    <n v="0"/>
    <n v="-3200000"/>
    <n v="4670931.4400000004"/>
    <n v="1410"/>
    <n v="2269.5035460992908"/>
    <n v="0"/>
    <s v="ARS"/>
    <s v="CC"/>
    <s v="MACRO"/>
    <x v="0"/>
    <x v="0"/>
    <x v="0"/>
    <s v="HACIA CC PAMPA"/>
    <m/>
    <m/>
    <x v="0"/>
    <m/>
    <s v="24/25"/>
    <m/>
    <m/>
  </r>
  <r>
    <x v="9"/>
    <d v="2025-10-08T00:00:00"/>
    <s v="COMISION TRF. MACROL E-SET"/>
    <m/>
    <n v="121"/>
    <n v="0"/>
    <n v="-121"/>
    <n v="4670810.4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8T00:00:00"/>
    <s v="TRANSF. MACRONLINE E-SET D/T"/>
    <m/>
    <n v="1000000"/>
    <n v="0"/>
    <n v="-1000000"/>
    <n v="3670810.44"/>
    <n v="1410"/>
    <n v="709.21985815602841"/>
    <n v="0"/>
    <s v="ARS"/>
    <s v="CC"/>
    <s v="MACRO"/>
    <x v="1"/>
    <x v="2"/>
    <x v="30"/>
    <m/>
    <s v="RAUL"/>
    <m/>
    <x v="2"/>
    <s v="RAUL"/>
    <s v="24/25"/>
    <s v="FUTURAS UT. ADL RAUL"/>
    <s v="EFECTIVO Y OTROS ACT LÍQ EQ."/>
  </r>
  <r>
    <x v="9"/>
    <d v="2025-10-08T00:00:00"/>
    <s v="COMISION TRF. MACROL E-SET"/>
    <m/>
    <n v="121"/>
    <n v="0"/>
    <n v="-121"/>
    <n v="3670689.4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8T00:00:00"/>
    <s v="TRANSF. MACRONLINE E-SET D/T"/>
    <m/>
    <n v="142000"/>
    <n v="0"/>
    <n v="-142000"/>
    <n v="3528689.44"/>
    <n v="1410"/>
    <n v="100.70921985815603"/>
    <n v="0"/>
    <s v="ARS"/>
    <s v="CC"/>
    <s v="MACRO"/>
    <x v="3"/>
    <x v="14"/>
    <x v="26"/>
    <m/>
    <s v="FUNES JAVIER"/>
    <m/>
    <x v="6"/>
    <m/>
    <s v="25/26"/>
    <s v="BIENES Y SERVICIOS"/>
    <s v="EFECTIVO Y OTROS ACT LÍQ EQ."/>
  </r>
  <r>
    <x v="9"/>
    <d v="2025-10-08T00:00:00"/>
    <s v="DEBITO FISCAL IVA BASICO"/>
    <m/>
    <n v="3549"/>
    <n v="0"/>
    <n v="-3549"/>
    <n v="3525140.44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8T00:00:00"/>
    <s v="DEBITO FISCAL IVA PERCEPCION"/>
    <m/>
    <n v="507"/>
    <n v="0"/>
    <n v="-507"/>
    <n v="3524633.44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8T00:00:00"/>
    <s v="COMISION CHEQUE CONSULTA"/>
    <m/>
    <n v="16900"/>
    <n v="0"/>
    <n v="-16900"/>
    <n v="3507733.44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8T00:00:00"/>
    <s v="DBCR 25413 S/DB TASA GRAL"/>
    <m/>
    <n v="9979.93"/>
    <n v="0"/>
    <n v="-9979.93"/>
    <n v="3497753.51"/>
    <n v="1410"/>
    <n v="7.07796453900709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9T00:00:00"/>
    <s v="TRANSF. MACRONLINE E-SET M/T"/>
    <m/>
    <n v="717043.72"/>
    <n v="0"/>
    <n v="-717043.72"/>
    <n v="2780709.79"/>
    <n v="1410"/>
    <n v="508.54164539007093"/>
    <n v="0"/>
    <s v="ARS"/>
    <s v="CC"/>
    <s v="MACRO"/>
    <x v="0"/>
    <x v="0"/>
    <x v="0"/>
    <s v="HACIA CC GALICIA"/>
    <m/>
    <m/>
    <x v="0"/>
    <m/>
    <s v="24/25"/>
    <m/>
    <m/>
  </r>
  <r>
    <x v="9"/>
    <d v="2025-10-09T00:00:00"/>
    <s v="COMISION TRF. MACROL E-SET"/>
    <m/>
    <n v="121"/>
    <n v="0"/>
    <n v="-121"/>
    <n v="2780588.79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9T00:00:00"/>
    <s v="DBCR 25413 S/DB TASA GRAL"/>
    <m/>
    <n v="0.73"/>
    <n v="0"/>
    <n v="-0.73"/>
    <n v="2780588.06"/>
    <n v="1410"/>
    <n v="5.1773049645390066E-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3T00:00:00"/>
    <s v="TRANSF. MACRONLINE E-SET M/T"/>
    <m/>
    <n v="8700000"/>
    <n v="0"/>
    <n v="-8700000"/>
    <n v="-5919411.9400000004"/>
    <n v="1410"/>
    <n v="6170.2127659574471"/>
    <n v="0"/>
    <s v="ARS"/>
    <s v="CC"/>
    <s v="MACRO"/>
    <x v="0"/>
    <x v="0"/>
    <x v="0"/>
    <s v="HACIA CC GALICIA"/>
    <m/>
    <m/>
    <x v="0"/>
    <m/>
    <s v="24/25"/>
    <m/>
    <m/>
  </r>
  <r>
    <x v="9"/>
    <d v="2025-10-13T00:00:00"/>
    <s v="COMISION TRF. MACROL E-SET"/>
    <m/>
    <n v="121"/>
    <n v="0"/>
    <n v="-121"/>
    <n v="-5919532.9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TRANSF. MACRONLINE E-SET D/T"/>
    <m/>
    <n v="1329900"/>
    <n v="0"/>
    <n v="-1329900"/>
    <n v="-7249432.9400000004"/>
    <n v="1410"/>
    <n v="943.19148936170211"/>
    <n v="0"/>
    <s v="ARS"/>
    <s v="CC"/>
    <s v="MACRO"/>
    <x v="1"/>
    <x v="2"/>
    <x v="30"/>
    <m/>
    <s v="GUASTELLA GERARDO DAMIAN"/>
    <m/>
    <x v="2"/>
    <s v="RAUL"/>
    <s v="24/25"/>
    <s v="FUTURAS UT. ADL RAUL"/>
    <s v="EFECTIVO Y OTROS ACT LÍQ EQ."/>
  </r>
  <r>
    <x v="9"/>
    <d v="2025-10-13T00:00:00"/>
    <s v="COMISION TRF. MACROL E-SET"/>
    <m/>
    <n v="121"/>
    <n v="0"/>
    <n v="-121"/>
    <n v="-7249553.9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COMISION TRANSFERENCIAS"/>
    <m/>
    <n v="121"/>
    <n v="0"/>
    <n v="-121"/>
    <n v="-7249674.9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TRANSF:2510130000131072740411-27317104400"/>
    <m/>
    <n v="880000"/>
    <n v="0"/>
    <n v="-880000"/>
    <n v="-8129674.9400000004"/>
    <n v="1410"/>
    <n v="624.11347517730496"/>
    <n v="0"/>
    <s v="ARS"/>
    <s v="CC"/>
    <s v="MACRO"/>
    <x v="1"/>
    <x v="11"/>
    <x v="30"/>
    <s v="A GABI"/>
    <s v="SANTIAGO ERRECALDE"/>
    <m/>
    <x v="10"/>
    <m/>
    <s v="24/25"/>
    <s v="ACREEDORES CORTO PLAZO"/>
    <s v="EFECTIVO Y OTROS ACT LÍQ EQ."/>
  </r>
  <r>
    <x v="9"/>
    <d v="2025-10-13T00:00:00"/>
    <s v="TRANSF. MACRONLINE E-SET M/T"/>
    <m/>
    <n v="500000"/>
    <n v="0"/>
    <n v="-500000"/>
    <n v="-8629674.9399999995"/>
    <n v="1410"/>
    <n v="354.6099290780142"/>
    <n v="0"/>
    <s v="ARS"/>
    <s v="CC"/>
    <s v="MACRO"/>
    <x v="0"/>
    <x v="0"/>
    <x v="0"/>
    <s v="HACIA CC GALICIA"/>
    <m/>
    <m/>
    <x v="0"/>
    <m/>
    <s v="24/25"/>
    <m/>
    <m/>
  </r>
  <r>
    <x v="9"/>
    <d v="2025-10-13T00:00:00"/>
    <s v="COMISION TRF. MACROL E-SET"/>
    <m/>
    <n v="121"/>
    <n v="0"/>
    <n v="-121"/>
    <n v="-8629795.9399999995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TRANSF. MACRONLINE E-SET D/T"/>
    <m/>
    <n v="1000000"/>
    <n v="0"/>
    <n v="-1000000"/>
    <n v="-9629795.9399999995"/>
    <n v="1410"/>
    <n v="709.21985815602841"/>
    <n v="0"/>
    <s v="ARS"/>
    <s v="CC"/>
    <s v="MACRO"/>
    <x v="1"/>
    <x v="2"/>
    <x v="30"/>
    <m/>
    <s v="RAUL"/>
    <m/>
    <x v="2"/>
    <s v="RAUL"/>
    <s v="24/25"/>
    <s v="FUTURAS UT. ADL RAUL"/>
    <s v="EFECTIVO Y OTROS ACT LÍQ EQ."/>
  </r>
  <r>
    <x v="9"/>
    <d v="2025-10-13T00:00:00"/>
    <s v="COMISION TRF. MACROL E-SET"/>
    <m/>
    <n v="121"/>
    <n v="0"/>
    <n v="-121"/>
    <n v="-9629916.9399999995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DBCR 25413 S/DB TASA GRAL"/>
    <m/>
    <n v="19263.05"/>
    <n v="0"/>
    <n v="-19263.05"/>
    <n v="-9649179.9900000002"/>
    <n v="1410"/>
    <n v="13.66173758865248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4T00:00:00"/>
    <s v="CCERR MACRO AGRO 30645289826 CIRC.CERRADO"/>
    <m/>
    <n v="0"/>
    <n v="1071916.6200000001"/>
    <n v="1071916.6200000001"/>
    <n v="-8577263.3699999992"/>
    <n v="1410"/>
    <n v="0"/>
    <n v="760.22455319148946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9"/>
    <d v="2025-10-14T00:00:00"/>
    <s v="DBCR 25413 S/CR TASA GRAL"/>
    <m/>
    <n v="6431.5"/>
    <n v="0"/>
    <n v="-6431.5"/>
    <n v="-8583694.8699999992"/>
    <n v="1410"/>
    <n v="4.561347517730496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5T00:00:00"/>
    <s v="CHEQUE P/CAMARA"/>
    <s v="N57867874"/>
    <n v="400000"/>
    <n v="0"/>
    <n v="-400000"/>
    <n v="-8983694.8699999992"/>
    <n v="1410"/>
    <n v="283.68794326241135"/>
    <n v="0"/>
    <s v="ARS"/>
    <s v="CC"/>
    <s v="MACRO"/>
    <x v="2"/>
    <x v="4"/>
    <x v="5"/>
    <s v="EXTRACCION"/>
    <s v="AGROFAMANO"/>
    <m/>
    <x v="6"/>
    <m/>
    <s v="24/25"/>
    <s v="BIENES Y SERVICIOS"/>
    <s v="EFECTIVO Y OTROS ACT LÍQ EQ."/>
  </r>
  <r>
    <x v="9"/>
    <d v="2025-10-15T00:00:00"/>
    <s v="DBCR 25413 S/DB TASA GRAL"/>
    <m/>
    <n v="2400"/>
    <n v="0"/>
    <n v="-2400"/>
    <n v="-8986094.8699999992"/>
    <n v="1410"/>
    <n v="1.702127659574468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6T00:00:00"/>
    <s v="CHEQUE P/CAMARA"/>
    <s v="N57867875"/>
    <n v="521226"/>
    <n v="0"/>
    <n v="-521226"/>
    <n v="-9507320.8699999992"/>
    <n v="1410"/>
    <n v="369.66382978723402"/>
    <n v="0"/>
    <s v="ARS"/>
    <s v="CC"/>
    <s v="MACRO"/>
    <x v="2"/>
    <x v="4"/>
    <x v="5"/>
    <s v="EXTRACCION"/>
    <s v="AGROFAMANO"/>
    <m/>
    <x v="6"/>
    <m/>
    <s v="24/25"/>
    <s v="BIENES Y SERVICIOS"/>
    <s v="EFECTIVO Y OTROS ACT LÍQ EQ."/>
  </r>
  <r>
    <x v="9"/>
    <d v="2025-10-16T00:00:00"/>
    <s v="DBCR 25413 S/DB TASA GRAL"/>
    <m/>
    <n v="3127.36"/>
    <n v="0"/>
    <n v="-3127.36"/>
    <n v="-9510448.2300000004"/>
    <n v="1410"/>
    <n v="2.2179858156028369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7T00:00:00"/>
    <s v="TEF DATANET PR OLEGA S.A. 33568425249"/>
    <m/>
    <n v="0"/>
    <n v="25194488"/>
    <n v="25194488"/>
    <n v="15684039.77"/>
    <n v="1410"/>
    <n v="0"/>
    <n v="17868.431205673758"/>
    <s v="ARS"/>
    <s v="CC"/>
    <s v="MACRO"/>
    <x v="2"/>
    <x v="4"/>
    <x v="74"/>
    <s v="ALQUILER- PARCIAL CUOTA 2"/>
    <s v="OLEGA SA"/>
    <m/>
    <x v="14"/>
    <m/>
    <s v="24/25"/>
    <s v="EFECTIVO Y OTROS ACT LÍQ EQ."/>
    <s v="INGRESOS"/>
  </r>
  <r>
    <x v="9"/>
    <d v="2025-10-17T00:00:00"/>
    <s v="TRANSF. MACRONLINE E-SET M/T"/>
    <m/>
    <n v="2600000"/>
    <n v="0"/>
    <n v="-2600000"/>
    <n v="13084039.77"/>
    <n v="1410"/>
    <n v="1843.9716312056737"/>
    <n v="0"/>
    <s v="ARS"/>
    <s v="CC"/>
    <s v="MACRO"/>
    <x v="0"/>
    <x v="0"/>
    <x v="0"/>
    <s v="HACIA CC NACION"/>
    <m/>
    <m/>
    <x v="0"/>
    <m/>
    <s v="24/25"/>
    <m/>
    <m/>
  </r>
  <r>
    <x v="9"/>
    <d v="2025-10-17T00:00:00"/>
    <s v="COMISION TRF. MACROL E-SET"/>
    <m/>
    <n v="121"/>
    <n v="0"/>
    <n v="-121"/>
    <n v="13083918.77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7T00:00:00"/>
    <s v="TRANSF. MACRONLINE E-SET M/T"/>
    <m/>
    <n v="4000000"/>
    <n v="0"/>
    <n v="-4000000"/>
    <n v="9083918.7699999996"/>
    <n v="1410"/>
    <n v="2836.8794326241136"/>
    <n v="0"/>
    <s v="ARS"/>
    <s v="CC"/>
    <s v="MACRO"/>
    <x v="0"/>
    <x v="0"/>
    <x v="0"/>
    <s v="HACIA CC GALICIA"/>
    <m/>
    <m/>
    <x v="0"/>
    <m/>
    <s v="24/25"/>
    <m/>
    <m/>
  </r>
  <r>
    <x v="9"/>
    <d v="2025-10-17T00:00:00"/>
    <s v="COMISION TRF. MACROL E-SET"/>
    <m/>
    <n v="121"/>
    <n v="0"/>
    <n v="-121"/>
    <n v="9083797.7699999996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7T00:00:00"/>
    <s v="TRANSF. MACRONLINE E-SET M/T"/>
    <m/>
    <n v="9000000"/>
    <n v="0"/>
    <n v="-9000000"/>
    <n v="83797.77"/>
    <n v="1410"/>
    <n v="6382.9787234042551"/>
    <n v="0"/>
    <s v="ARS"/>
    <s v="CC"/>
    <s v="MACRO"/>
    <x v="0"/>
    <x v="0"/>
    <x v="0"/>
    <s v="HACIA CC PAMPA"/>
    <m/>
    <m/>
    <x v="0"/>
    <m/>
    <s v="24/25"/>
    <m/>
    <m/>
  </r>
  <r>
    <x v="9"/>
    <d v="2025-10-17T00:00:00"/>
    <s v="COMISION TRF. MACROL E-SET"/>
    <m/>
    <n v="121"/>
    <n v="0"/>
    <n v="-121"/>
    <n v="83676.77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7T00:00:00"/>
    <s v="DBCR 25413 S/CR TASA GRAL"/>
    <m/>
    <n v="151166.93"/>
    <n v="0"/>
    <n v="-151166.93"/>
    <n v="-67490.16"/>
    <n v="1410"/>
    <n v="107.2105886524822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7T00:00:00"/>
    <s v="DBCR 25413 S/DB TASA GRAL"/>
    <m/>
    <n v="2.19"/>
    <n v="0"/>
    <n v="-2.19"/>
    <n v="-67492.350000000006"/>
    <n v="1410"/>
    <n v="1.5531914893617022E-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0T00:00:00"/>
    <s v="SANCORSEG - SANCOR SEGUROS"/>
    <m/>
    <n v="8067"/>
    <n v="0"/>
    <n v="-8067"/>
    <n v="-75559.350000000006"/>
    <n v="1410"/>
    <n v="5.7212765957446807"/>
    <n v="0"/>
    <s v="ARS"/>
    <s v="CC"/>
    <s v="MACRO"/>
    <x v="1"/>
    <x v="7"/>
    <x v="58"/>
    <m/>
    <m/>
    <m/>
    <x v="1"/>
    <m/>
    <s v="24/25"/>
    <s v="EGRESOS"/>
    <s v="EFECTIVO Y OTROS ACT LÍQ EQ."/>
  </r>
  <r>
    <x v="9"/>
    <d v="2025-10-20T00:00:00"/>
    <s v="DBCR 25413 S/DB TASA GRAL"/>
    <m/>
    <n v="48.4"/>
    <n v="0"/>
    <n v="-48.4"/>
    <n v="-75607.75"/>
    <n v="1410"/>
    <n v="3.4326241134751773E-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1T00:00:00"/>
    <s v="CHEQUE P/CAMARA"/>
    <s v="N57867867"/>
    <n v="700000"/>
    <n v="0"/>
    <n v="-700000"/>
    <n v="-775607.75"/>
    <n v="1410"/>
    <n v="496.45390070921985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9"/>
    <d v="2025-10-21T00:00:00"/>
    <s v="DBCR 25413 S/DB TASA GRAL"/>
    <m/>
    <n v="4200"/>
    <n v="0"/>
    <n v="-4200"/>
    <n v="-779807.75"/>
    <n v="1410"/>
    <n v="2.978723404255319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2T00:00:00"/>
    <s v="CHEQUE P/CAMARA"/>
    <s v="N61672603"/>
    <n v="500000"/>
    <n v="0"/>
    <n v="-500000"/>
    <n v="-1279807.75"/>
    <n v="1410"/>
    <n v="354.6099290780142"/>
    <n v="0"/>
    <s v="ARS"/>
    <s v="CC"/>
    <s v="MACRO"/>
    <x v="2"/>
    <x v="15"/>
    <x v="29"/>
    <s v="SEMILLAS"/>
    <s v="PALO VERDE"/>
    <m/>
    <x v="6"/>
    <m/>
    <s v="24/25"/>
    <s v="INSUMOS 2025"/>
    <s v="EFECTIVO Y OTROS ACT LÍQ EQ."/>
  </r>
  <r>
    <x v="9"/>
    <d v="2025-10-22T00:00:00"/>
    <s v="TEF DATANET PR OLEGA S.A. 33568425249"/>
    <m/>
    <n v="0"/>
    <n v="32811228.789999999"/>
    <n v="32811228.789999999"/>
    <n v="31531421.039999999"/>
    <n v="1410"/>
    <n v="0"/>
    <n v="23270.375028368795"/>
    <s v="ARS"/>
    <s v="CC"/>
    <s v="MACRO"/>
    <x v="2"/>
    <x v="4"/>
    <x v="74"/>
    <s v="ALQUILER- PARCIAL CUOTA 2"/>
    <s v="OLEGA SA"/>
    <m/>
    <x v="14"/>
    <m/>
    <s v="24/25"/>
    <s v="EFECTIVO Y OTROS ACT LÍQ EQ."/>
    <s v="INGRESOS"/>
  </r>
  <r>
    <x v="9"/>
    <d v="2025-10-22T00:00:00"/>
    <s v="TRANSF. MACRONLINE E-SET D/T"/>
    <m/>
    <n v="500000"/>
    <n v="0"/>
    <n v="-500000"/>
    <n v="31031421.039999999"/>
    <n v="1410"/>
    <n v="354.6099290780142"/>
    <n v="0"/>
    <s v="ARS"/>
    <s v="CC"/>
    <s v="MACRO"/>
    <x v="1"/>
    <x v="2"/>
    <x v="30"/>
    <m/>
    <s v="RAUL"/>
    <m/>
    <x v="2"/>
    <s v="RAUL"/>
    <s v="24/25"/>
    <s v="FUTURAS UT. ADL RAUL"/>
    <s v="EFECTIVO Y OTROS ACT LÍQ EQ."/>
  </r>
  <r>
    <x v="9"/>
    <d v="2025-10-22T00:00:00"/>
    <s v="COMISION TRF. MACROL E-SET"/>
    <m/>
    <n v="121"/>
    <n v="0"/>
    <n v="-121"/>
    <n v="31031300.039999999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2T00:00:00"/>
    <s v="TRANSF. MACRONLINE E-SET D/T"/>
    <m/>
    <n v="40696"/>
    <n v="0"/>
    <n v="-40696"/>
    <n v="30990604.039999999"/>
    <n v="1410"/>
    <n v="28.862411347517732"/>
    <n v="0"/>
    <s v="ARS"/>
    <s v="CC"/>
    <s v="MACRO"/>
    <x v="1"/>
    <x v="2"/>
    <x v="30"/>
    <s v="PAGO FED PATRONAL"/>
    <s v="RAUL"/>
    <m/>
    <x v="2"/>
    <s v="RAUL"/>
    <s v="24/25"/>
    <s v="FUTURAS UT. ADL RAUL"/>
    <s v="EFECTIVO Y OTROS ACT LÍQ EQ."/>
  </r>
  <r>
    <x v="9"/>
    <d v="2025-10-22T00:00:00"/>
    <s v="DBCR 25413 S/CR TASA GRAL"/>
    <m/>
    <n v="196867.37"/>
    <n v="0"/>
    <n v="-196867.37"/>
    <n v="30793736.670000002"/>
    <n v="1410"/>
    <n v="139.62224822695035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2T00:00:00"/>
    <s v="DBCR 25413 S/DB TASA GRAL"/>
    <m/>
    <n v="6244.91"/>
    <n v="0"/>
    <n v="-6244.91"/>
    <n v="30787491.760000002"/>
    <n v="1410"/>
    <n v="4.4290141843971629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3T00:00:00"/>
    <s v="CHEQUE P/CAMARA"/>
    <s v="N57867858"/>
    <n v="2268840.0699999998"/>
    <n v="0"/>
    <n v="-2268840.0699999998"/>
    <n v="28518651.690000001"/>
    <n v="1410"/>
    <n v="1609.1064326241133"/>
    <n v="0"/>
    <s v="ARS"/>
    <s v="CC"/>
    <s v="MACRO"/>
    <x v="2"/>
    <x v="4"/>
    <x v="5"/>
    <s v="APLICACIONES"/>
    <s v="CLERICI JUAN PABLO"/>
    <s v="FA 190"/>
    <x v="6"/>
    <m/>
    <s v="24/25"/>
    <s v="BIENES Y SERVICIOS"/>
    <s v="EFECTIVO Y OTROS ACT LÍQ EQ."/>
  </r>
  <r>
    <x v="9"/>
    <d v="2025-10-23T00:00:00"/>
    <s v="CHEQUE P/CAMARA"/>
    <s v="N61631032"/>
    <n v="14490496.34"/>
    <n v="0"/>
    <n v="-14490496.34"/>
    <n v="14028155.35"/>
    <n v="1410"/>
    <n v="10276.947758865248"/>
    <n v="0"/>
    <s v="ARS"/>
    <s v="CC"/>
    <s v="MACRO"/>
    <x v="2"/>
    <x v="4"/>
    <x v="35"/>
    <s v="INSUMOS 2025"/>
    <s v="COTAGRO"/>
    <m/>
    <x v="6"/>
    <m/>
    <s v="24/25"/>
    <s v="BIENES Y SERVICIOS"/>
    <s v="EFECTIVO Y OTROS ACT LÍQ EQ."/>
  </r>
  <r>
    <x v="9"/>
    <d v="2025-10-23T00:00:00"/>
    <s v="TRANSF. MACRONLINE E-SET M/T"/>
    <m/>
    <n v="1400000"/>
    <n v="0"/>
    <n v="-1400000"/>
    <n v="12628155.35"/>
    <n v="1410"/>
    <n v="992.9078014184397"/>
    <n v="0"/>
    <s v="ARS"/>
    <s v="CC"/>
    <s v="MACRO"/>
    <x v="0"/>
    <x v="0"/>
    <x v="0"/>
    <s v="HACIA CC PAMPA"/>
    <m/>
    <m/>
    <x v="0"/>
    <m/>
    <s v="24/25"/>
    <m/>
    <m/>
  </r>
  <r>
    <x v="9"/>
    <d v="2025-10-23T00:00:00"/>
    <s v="COMISION TRF. MACROL E-SET"/>
    <m/>
    <n v="121"/>
    <n v="0"/>
    <n v="-121"/>
    <n v="12628034.35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3T00:00:00"/>
    <s v="TRANSF. MACRONLINE E-SET D/T"/>
    <m/>
    <n v="154867.97"/>
    <n v="0"/>
    <n v="-154867.97"/>
    <n v="12473166.380000001"/>
    <n v="1410"/>
    <n v="109.83543971631205"/>
    <n v="0"/>
    <s v="ARS"/>
    <s v="CC"/>
    <s v="MACRO"/>
    <x v="1"/>
    <x v="2"/>
    <x v="30"/>
    <s v="PAGO DE RESP CIVIL"/>
    <s v="RAUL"/>
    <m/>
    <x v="2"/>
    <s v="RAUL"/>
    <s v="24/25"/>
    <s v="FUTURAS UT. ADL RAUL"/>
    <s v="EFECTIVO Y OTROS ACT LÍQ EQ."/>
  </r>
  <r>
    <x v="9"/>
    <d v="2025-10-23T00:00:00"/>
    <s v="TRANSF. MACRONLINE E-SET D/T"/>
    <m/>
    <n v="700000"/>
    <n v="0"/>
    <n v="-700000"/>
    <n v="11773166.380000001"/>
    <n v="1410"/>
    <n v="496.45390070921985"/>
    <n v="0"/>
    <s v="ARS"/>
    <s v="CC"/>
    <s v="MACRO"/>
    <x v="1"/>
    <x v="2"/>
    <x v="2"/>
    <m/>
    <s v="CLAUDIA ERRECALDE"/>
    <m/>
    <x v="15"/>
    <s v="CLAUDIA"/>
    <s v="24/25"/>
    <s v="FUTURAS UT. ADL CLAUDIA"/>
    <s v="EFECTIVO Y OTROS ACT LÍQ EQ."/>
  </r>
  <r>
    <x v="9"/>
    <d v="2025-10-23T00:00:00"/>
    <s v="COMISION TRF. MACROL E-SET"/>
    <m/>
    <n v="121"/>
    <n v="0"/>
    <n v="-121"/>
    <n v="11773045.380000001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3T00:00:00"/>
    <s v="DBCR 25413 S/DB TASA GRAL"/>
    <m/>
    <n v="105686.69"/>
    <n v="0"/>
    <n v="-105686.69"/>
    <n v="11667358.689999999"/>
    <n v="1410"/>
    <n v="74.9550992907801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4T00:00:00"/>
    <s v="CHEQUE P/CAMARA"/>
    <s v="N61797179"/>
    <n v="34348253.549999997"/>
    <n v="0"/>
    <n v="-34348253.549999997"/>
    <n v="-22680894.859999999"/>
    <n v="1410"/>
    <n v="24360.463510638296"/>
    <n v="0"/>
    <s v="ARS"/>
    <s v="CC"/>
    <s v="MACRO"/>
    <x v="2"/>
    <x v="4"/>
    <x v="35"/>
    <s v="SEMILLAS"/>
    <s v="SUPRA "/>
    <m/>
    <x v="4"/>
    <m/>
    <s v="23/24"/>
    <s v="BIENES Y SERVICIOS"/>
    <s v="EFECTIVO Y OTROS ACT LÍQ EQ."/>
  </r>
  <r>
    <x v="9"/>
    <d v="2025-10-24T00:00:00"/>
    <s v="TRANSF G Y E SA 30708920882 VAR VARIOS 370253"/>
    <m/>
    <n v="0"/>
    <n v="14000000"/>
    <n v="14000000"/>
    <n v="-8680894.8599999994"/>
    <n v="1410"/>
    <n v="0"/>
    <n v="9929.078014184397"/>
    <s v="ARS"/>
    <s v="CC"/>
    <s v="MACRO"/>
    <x v="0"/>
    <x v="0"/>
    <x v="0"/>
    <s v="DESDE CC PAMPA"/>
    <m/>
    <m/>
    <x v="0"/>
    <m/>
    <s v="24/25"/>
    <m/>
    <m/>
  </r>
  <r>
    <x v="9"/>
    <d v="2025-10-24T00:00:00"/>
    <s v="DEBITO FISCAL IVA BASICO"/>
    <m/>
    <n v="3549"/>
    <n v="0"/>
    <n v="-3549"/>
    <n v="-8684443.8599999994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24T00:00:00"/>
    <s v="DEBITO FISCAL IVA PERCEPCION"/>
    <m/>
    <n v="507"/>
    <n v="0"/>
    <n v="-507"/>
    <n v="-8684950.8599999994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24T00:00:00"/>
    <s v="COMISION CHEQUE CONSULTA"/>
    <m/>
    <n v="16900"/>
    <n v="0"/>
    <n v="-16900"/>
    <n v="-8701850.8599999994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4T00:00:00"/>
    <s v="DBCR 25413 S/DB TASA GRAL"/>
    <m/>
    <n v="206215.26"/>
    <n v="0"/>
    <n v="-206215.26"/>
    <n v="-8908066.1199999992"/>
    <n v="1410"/>
    <n v="146.2519574468085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7T00:00:00"/>
    <s v="TRANSF. MACRONLINE E-SET D/T"/>
    <m/>
    <n v="300000"/>
    <n v="0"/>
    <n v="-300000"/>
    <n v="-9208066.1199999992"/>
    <n v="1410"/>
    <n v="212.7659574468085"/>
    <n v="0"/>
    <s v="ARS"/>
    <s v="CC"/>
    <s v="MACRO"/>
    <x v="1"/>
    <x v="3"/>
    <x v="13"/>
    <m/>
    <s v="JULIO TOLEDO"/>
    <m/>
    <x v="3"/>
    <m/>
    <s v="25/26"/>
    <s v="EGRESOS"/>
    <s v="EFECTIVO Y OTROS ACT LÍQ EQ."/>
  </r>
  <r>
    <x v="9"/>
    <d v="2025-10-27T00:00:00"/>
    <s v="COMISION TRF. MACROL E-SET"/>
    <m/>
    <n v="18.149999999999999"/>
    <n v="0"/>
    <n v="-18.149999999999999"/>
    <n v="-9208084.2699999996"/>
    <n v="1410"/>
    <n v="1.2872340425531915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7T00:00:00"/>
    <s v="TEF DATANET PR LA HILDA SAS 33715912789"/>
    <m/>
    <n v="0"/>
    <n v="3570000"/>
    <n v="3570000"/>
    <n v="-5638084.2699999996"/>
    <n v="1410"/>
    <n v="0"/>
    <n v="2531.9148936170213"/>
    <s v="ARS"/>
    <s v="CC"/>
    <s v="MACRO"/>
    <x v="1"/>
    <x v="7"/>
    <x v="88"/>
    <m/>
    <s v="FABIANA VICENTIN"/>
    <m/>
    <x v="1"/>
    <m/>
    <s v="24/25"/>
    <s v="EGRESOS"/>
    <s v="EFECTIVO Y OTROS ACT LÍQ EQ."/>
  </r>
  <r>
    <x v="9"/>
    <d v="2025-10-27T00:00:00"/>
    <s v="DEBITO FISCAL IVA BASICO"/>
    <m/>
    <n v="3276"/>
    <n v="0"/>
    <n v="-3276"/>
    <n v="-5641360.2699999996"/>
    <n v="1410"/>
    <n v="2.323404255319149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27T00:00:00"/>
    <s v="DEBITO FISCAL IVA PERCEPCION"/>
    <m/>
    <n v="468"/>
    <n v="0"/>
    <n v="-468"/>
    <n v="-5641828.2699999996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27T00:00:00"/>
    <s v="COMISION CHQ PAG CLEARING"/>
    <m/>
    <n v="15600"/>
    <n v="0"/>
    <n v="-15600"/>
    <n v="-5657428.2699999996"/>
    <n v="1410"/>
    <n v="11.063829787234043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7T00:00:00"/>
    <s v="CHEQUE CANJE INTERNO"/>
    <m/>
    <n v="4300000"/>
    <n v="0"/>
    <n v="-4300000"/>
    <n v="-9957428.2699999996"/>
    <n v="1410"/>
    <n v="3049.6453900709221"/>
    <n v="0"/>
    <s v="ARS"/>
    <s v="CC"/>
    <s v="MACRO"/>
    <x v="1"/>
    <x v="7"/>
    <x v="88"/>
    <m/>
    <s v="FABIANA VICENTIN"/>
    <m/>
    <x v="1"/>
    <m/>
    <s v="24/25"/>
    <s v="EGRESOS"/>
    <s v="EFECTIVO Y OTROS ACT LÍQ EQ."/>
  </r>
  <r>
    <x v="9"/>
    <d v="2025-10-27T00:00:00"/>
    <s v="DBCR 25413 S/CR TASA GRAL"/>
    <m/>
    <n v="21420"/>
    <n v="0"/>
    <n v="-21420"/>
    <n v="-9978848.2699999996"/>
    <n v="1410"/>
    <n v="15.19148936170212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7T00:00:00"/>
    <s v="DBCR 25413 S/DB TASA GRAL"/>
    <m/>
    <n v="27716.17"/>
    <n v="0"/>
    <n v="-27716.17"/>
    <n v="-10006564.439999999"/>
    <n v="1410"/>
    <n v="19.656858156028367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8T00:00:00"/>
    <s v="CHEQUE P/CAMARA"/>
    <s v="N60458283"/>
    <n v="230100"/>
    <n v="0"/>
    <n v="-230100"/>
    <n v="-10236664.439999999"/>
    <n v="1410"/>
    <n v="163.19148936170214"/>
    <n v="0"/>
    <s v="ARS"/>
    <s v="CC"/>
    <s v="MACRO"/>
    <x v="3"/>
    <x v="5"/>
    <x v="36"/>
    <s v="AGOSTO SEPTIEMBRE"/>
    <s v="CHICHIN PICCO"/>
    <m/>
    <x v="5"/>
    <m/>
    <s v="24/25"/>
    <s v="BIENES Y SERVICIOS"/>
    <s v="EFECTIVO Y OTROS ACT LÍQ EQ."/>
  </r>
  <r>
    <x v="9"/>
    <d v="2025-10-28T00:00:00"/>
    <s v="CHEQUE P/CAMARA"/>
    <s v="N60458284"/>
    <n v="398000"/>
    <n v="0"/>
    <n v="-398000"/>
    <n v="-10634664.439999999"/>
    <n v="1410"/>
    <n v="282.26950354609932"/>
    <n v="0"/>
    <s v="ARS"/>
    <s v="CC"/>
    <s v="MACRO"/>
    <x v="3"/>
    <x v="8"/>
    <x v="11"/>
    <m/>
    <s v="LEO FERNANDEZ"/>
    <m/>
    <x v="6"/>
    <m/>
    <s v="24/25"/>
    <s v="BIENES Y SERVICIOS"/>
    <s v="EFECTIVO Y OTROS ACT LÍQ EQ."/>
  </r>
  <r>
    <x v="9"/>
    <d v="2025-10-28T00:00:00"/>
    <s v="CHEQUE P/CAMARA"/>
    <s v="N61430535"/>
    <n v="202141"/>
    <n v="0"/>
    <n v="-202141"/>
    <n v="-10836805.439999999"/>
    <n v="1410"/>
    <n v="143.36241134751774"/>
    <n v="0"/>
    <s v="ARS"/>
    <s v="CC"/>
    <s v="MACRO"/>
    <x v="5"/>
    <x v="13"/>
    <x v="46"/>
    <s v="HACIENDA"/>
    <s v="TODO CAMPO COMB"/>
    <s v="FA9636"/>
    <x v="6"/>
    <m/>
    <s v="24/25"/>
    <s v="BIENES Y SERVICIOS"/>
    <s v="EFECTIVO Y OTROS ACT LÍQ EQ."/>
  </r>
  <r>
    <x v="9"/>
    <d v="2025-10-28T00:00:00"/>
    <s v="CHEQUE P/CAMARA"/>
    <s v="N61559204"/>
    <n v="339289.81"/>
    <n v="0"/>
    <n v="-339289.81"/>
    <n v="-11176095.25"/>
    <n v="1410"/>
    <n v="240.63107092198581"/>
    <n v="0"/>
    <s v="ARS"/>
    <s v="CC"/>
    <s v="MACRO"/>
    <x v="2"/>
    <x v="4"/>
    <x v="5"/>
    <s v="APLICACIONES"/>
    <s v="CLERICI JUAN PABLO"/>
    <s v="FA 62 55"/>
    <x v="6"/>
    <m/>
    <s v="24/25"/>
    <s v="BIENES Y SERVICIOS"/>
    <s v="EFECTIVO Y OTROS ACT LÍQ EQ."/>
  </r>
  <r>
    <x v="9"/>
    <d v="2025-10-28T00:00:00"/>
    <s v="TEF DATANET MT G E S A 30708920882"/>
    <m/>
    <n v="0"/>
    <n v="1190000"/>
    <n v="1190000"/>
    <n v="-9986095.25"/>
    <n v="1410"/>
    <n v="0"/>
    <n v="843.9716312056737"/>
    <s v="ARS"/>
    <s v="CC"/>
    <s v="MACRO"/>
    <x v="0"/>
    <x v="0"/>
    <x v="0"/>
    <s v="DESDE CC GALICIA"/>
    <m/>
    <m/>
    <x v="0"/>
    <m/>
    <s v="24/25"/>
    <m/>
    <m/>
  </r>
  <r>
    <x v="9"/>
    <d v="2025-10-28T00:00:00"/>
    <s v="TEF DATANET PR LA HILDA SAS 33715912789"/>
    <m/>
    <n v="0"/>
    <n v="730000"/>
    <n v="730000"/>
    <n v="-9256095.25"/>
    <n v="1410"/>
    <n v="0"/>
    <n v="517.73049645390074"/>
    <s v="ARS"/>
    <s v="CC"/>
    <s v="MACRO"/>
    <x v="1"/>
    <x v="7"/>
    <x v="88"/>
    <m/>
    <s v="FABIANA VICENTIN"/>
    <m/>
    <x v="1"/>
    <m/>
    <s v="24/25"/>
    <s v="EGRESOS"/>
    <s v="EFECTIVO Y OTROS ACT LÍQ EQ."/>
  </r>
  <r>
    <x v="9"/>
    <d v="2025-10-28T00:00:00"/>
    <s v="DEBITO FISCAL IVA BASICO"/>
    <m/>
    <n v="3549"/>
    <n v="0"/>
    <n v="-3549"/>
    <n v="-9259644.25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28T00:00:00"/>
    <s v="DEBITO FISCAL IVA PERCEPCION"/>
    <m/>
    <n v="507"/>
    <n v="0"/>
    <n v="-507"/>
    <n v="-9260151.25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28T00:00:00"/>
    <s v="COMISION CHEQUE CONSULTA"/>
    <m/>
    <n v="16900"/>
    <n v="0"/>
    <n v="-16900"/>
    <n v="-9277051.25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8T00:00:00"/>
    <s v="DBCR 25413 S/CR TASA GRAL"/>
    <m/>
    <n v="4380"/>
    <n v="0"/>
    <n v="-4380"/>
    <n v="-9281431.25"/>
    <n v="1410"/>
    <n v="3.106382978723404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8T00:00:00"/>
    <s v="DBCR 25413 S/DB TASA GRAL"/>
    <m/>
    <n v="7142.93"/>
    <n v="0"/>
    <n v="-7142.93"/>
    <n v="-9288574.1799999997"/>
    <n v="1410"/>
    <n v="5.065907801418440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9T00:00:00"/>
    <s v="CHEQUE P/CAMARA"/>
    <s v="N57867871"/>
    <n v="1695573"/>
    <n v="0"/>
    <n v="-1695573"/>
    <n v="-10984147.18"/>
    <n v="1410"/>
    <n v="1202.5340425531915"/>
    <n v="0"/>
    <s v="ARS"/>
    <s v="CC"/>
    <s v="MACRO"/>
    <x v="2"/>
    <x v="4"/>
    <x v="5"/>
    <s v="FLETES"/>
    <s v="MDB"/>
    <s v="FA 761"/>
    <x v="6"/>
    <m/>
    <s v="24/25"/>
    <s v="BIENES Y SERVICIOS"/>
    <s v="EFECTIVO Y OTROS ACT LÍQ EQ."/>
  </r>
  <r>
    <x v="9"/>
    <d v="2025-10-29T00:00:00"/>
    <s v="TRANSF ERRECALDE 20164045693 VAR VARIOS 00164"/>
    <m/>
    <n v="0"/>
    <n v="1000000"/>
    <n v="1000000"/>
    <n v="-9984147.1799999997"/>
    <n v="1410"/>
    <n v="0"/>
    <n v="709.21985815602841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9"/>
    <d v="2025-10-29T00:00:00"/>
    <s v="DEBITO FISCAL IVA BASICO"/>
    <m/>
    <n v="3549"/>
    <n v="0"/>
    <n v="-3549"/>
    <n v="-9987696.1799999997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29T00:00:00"/>
    <s v="DEBITO FISCAL IVA PERCEPCION"/>
    <m/>
    <n v="507"/>
    <n v="0"/>
    <n v="-507"/>
    <n v="-9988203.1799999997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29T00:00:00"/>
    <s v="COMISION CHEQUE CONSULTA"/>
    <m/>
    <n v="16900"/>
    <n v="0"/>
    <n v="-16900"/>
    <n v="-10005103.18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9T00:00:00"/>
    <s v="DBCR 25413 S/CR TASA GRAL"/>
    <m/>
    <n v="6000"/>
    <n v="0"/>
    <n v="-6000"/>
    <n v="-10011103.18"/>
    <n v="1410"/>
    <n v="4.255319148936170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9T00:00:00"/>
    <s v="DBCR 25413 S/DB TASA GRAL"/>
    <m/>
    <n v="10299.18"/>
    <n v="0"/>
    <n v="-10299.18"/>
    <n v="-10021402.359999999"/>
    <n v="1410"/>
    <n v="7.30438297872340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30T00:00:00"/>
    <s v="DB TR..AUT.SDO.MISMO TIT."/>
    <m/>
    <n v="66588"/>
    <n v="0"/>
    <n v="-66588"/>
    <n v="-10087990.359999999"/>
    <n v="1410"/>
    <n v="47.225531914893615"/>
    <n v="0"/>
    <s v="ARS"/>
    <s v="CC"/>
    <s v="MACRO"/>
    <x v="0"/>
    <x v="0"/>
    <x v="0"/>
    <s v="HACIA CA MACRO"/>
    <m/>
    <m/>
    <x v="0"/>
    <m/>
    <s v="24/25"/>
    <m/>
    <m/>
  </r>
  <r>
    <x v="9"/>
    <d v="2025-10-31T00:00:00"/>
    <s v="CHEQUE P/CAMARA"/>
    <s v="N60458286"/>
    <n v="250000"/>
    <n v="0"/>
    <n v="-250000"/>
    <n v="-10337990.359999999"/>
    <n v="1410"/>
    <n v="177.3049645390071"/>
    <n v="0"/>
    <s v="ARS"/>
    <s v="CC"/>
    <s v="MACRO"/>
    <x v="1"/>
    <x v="3"/>
    <x v="3"/>
    <s v="ADELANTO SUELDO 1/3"/>
    <s v="ANDRES TOLEDO"/>
    <m/>
    <x v="3"/>
    <m/>
    <s v="24/25"/>
    <s v="EGRESOS"/>
    <s v="EFECTIVO Y OTROS ACT LÍQ EQ."/>
  </r>
  <r>
    <x v="9"/>
    <d v="2025-10-31T00:00:00"/>
    <s v="TRANSF BECERRA,A 20170457715 VAR VARIOS TRANS"/>
    <m/>
    <n v="0"/>
    <n v="350000"/>
    <n v="350000"/>
    <n v="-9987990.3599999994"/>
    <n v="1410"/>
    <n v="0"/>
    <n v="248.22695035460993"/>
    <s v="ARS"/>
    <s v="CC"/>
    <s v="MACRO"/>
    <x v="1"/>
    <x v="11"/>
    <x v="30"/>
    <m/>
    <s v="BECERRA ADRIAN"/>
    <m/>
    <x v="10"/>
    <m/>
    <s v="24/25"/>
    <s v="EFECTIVO Y OTROS ACT LÍQ EQ."/>
    <s v="DEUDAS FINANCIERAS CP"/>
  </r>
  <r>
    <x v="9"/>
    <d v="2025-10-31T00:00:00"/>
    <s v="DEBITO FISCAL IVA BASICO"/>
    <m/>
    <n v="3549"/>
    <n v="0"/>
    <n v="-3549"/>
    <n v="-9991539.3599999994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31T00:00:00"/>
    <s v="DEBITO FISCAL IVA PERCEPCION"/>
    <m/>
    <n v="507"/>
    <n v="0"/>
    <n v="-507"/>
    <n v="-9992046.3599999994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COMISION CHEQUE CONSULTA"/>
    <m/>
    <n v="16900"/>
    <n v="0"/>
    <n v="-16900"/>
    <n v="-10008946.35999999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31T00:00:00"/>
    <s v="DBCR 25413 S/CR TASA GRAL"/>
    <m/>
    <n v="2100"/>
    <n v="0"/>
    <n v="-2100"/>
    <n v="-10011046.359999999"/>
    <n v="1410"/>
    <n v="1.4893617021276595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31T00:00:00"/>
    <s v="DBCR 25413 S/DB TASA GRAL"/>
    <m/>
    <n v="1625.74"/>
    <n v="0"/>
    <n v="-1625.74"/>
    <n v="-10012672.1"/>
    <n v="1410"/>
    <n v="1.153007092198581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31T00:00:00"/>
    <s v="DB TR..AUT.SDO.MISMO TIT."/>
    <m/>
    <n v="399.53"/>
    <n v="0"/>
    <n v="-399.53"/>
    <n v="-10013071.630000001"/>
    <n v="1410"/>
    <n v="0.28335460992907802"/>
    <n v="0"/>
    <s v="ARS"/>
    <s v="CC"/>
    <s v="MACRO"/>
    <x v="0"/>
    <x v="0"/>
    <x v="0"/>
    <s v="HACIA CA MACRO"/>
    <m/>
    <m/>
    <x v="0"/>
    <m/>
    <s v="24/25"/>
    <m/>
    <m/>
  </r>
  <r>
    <x v="10"/>
    <d v="2025-11-03T00:00:00"/>
    <s v="DEBITO FISCAL IVA BASICO"/>
    <m/>
    <n v="21697.279999999999"/>
    <n v="0"/>
    <n v="-21697.279999999999"/>
    <n v="-10034768.91"/>
    <n v="1410"/>
    <n v="15.38814184397163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3T00:00:00"/>
    <s v="DEBITO FISCAL IVA PERCEPCION"/>
    <m/>
    <n v="3099.61"/>
    <n v="0"/>
    <n v="-3099.61"/>
    <n v="-10037868.52"/>
    <n v="1410"/>
    <n v="2.198304964539007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NTER.ADEL.CC C/ACUERD"/>
    <m/>
    <n v="206640.8"/>
    <n v="0"/>
    <n v="-206640.8"/>
    <n v="-10244509.32"/>
    <n v="1410"/>
    <n v="146.55375886524823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0"/>
    <d v="2025-11-03T00:00:00"/>
    <s v="DEBITO FISCAL IVA BASICO"/>
    <m/>
    <n v="13503.22"/>
    <n v="0"/>
    <n v="-13503.22"/>
    <n v="-10258012.539999999"/>
    <n v="1410"/>
    <n v="9.5767517730496454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3T00:00:00"/>
    <s v="DEBITO FISCAL IVA PERCEPCION"/>
    <m/>
    <n v="1929.03"/>
    <n v="0"/>
    <n v="-1929.03"/>
    <n v="-10259941.57"/>
    <n v="1410"/>
    <n v="1.368106382978723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NTER.ADEL.CC C/ACUERD"/>
    <m/>
    <n v="128602.11"/>
    <n v="0"/>
    <n v="-128602.11"/>
    <n v="-10388543.68"/>
    <n v="1410"/>
    <n v="91.207170212765959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0"/>
    <d v="2025-11-03T00:00:00"/>
    <s v="DEBITO FISCAL IVA BASICO"/>
    <m/>
    <n v="815.91"/>
    <n v="0"/>
    <n v="-815.91"/>
    <n v="-10389359.59"/>
    <n v="1410"/>
    <n v="0.57865957446808514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3T00:00:00"/>
    <s v="DEBITO FISCAL IVA PERCEPCION"/>
    <m/>
    <n v="116.56"/>
    <n v="0"/>
    <n v="-116.56"/>
    <n v="-10389476.15"/>
    <n v="1410"/>
    <n v="8.2666666666666666E-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NTER.ADEL.CC S/ACUERD"/>
    <m/>
    <n v="7770.54"/>
    <n v="0"/>
    <n v="-7770.54"/>
    <n v="-10397246.689999999"/>
    <n v="1410"/>
    <n v="5.5110212765957449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0"/>
    <d v="2025-11-03T00:00:00"/>
    <s v="CHEQUE P/CAMARA"/>
    <s v="N60458282"/>
    <n v="1671347.45"/>
    <n v="0"/>
    <n v="-1671347.45"/>
    <n v="-12068594.140000001"/>
    <n v="1410"/>
    <n v="1185.3528014184396"/>
    <n v="0"/>
    <s v="ARS"/>
    <s v="CC"/>
    <s v="MACRO"/>
    <x v="5"/>
    <x v="13"/>
    <x v="46"/>
    <s v="HACIENDA"/>
    <s v="HA COMBUSTIBLES"/>
    <s v="FA 78 84"/>
    <x v="6"/>
    <m/>
    <s v="24/25"/>
    <s v="BIENES Y SERVICIOS"/>
    <s v="EFECTIVO Y OTROS ACT LÍQ EQ."/>
  </r>
  <r>
    <x v="10"/>
    <d v="2025-11-03T00:00:00"/>
    <s v="CHEQUE P/CAMARA"/>
    <s v="N60458290"/>
    <n v="591600.02"/>
    <n v="0"/>
    <n v="-591600.02"/>
    <n v="-12660194.16"/>
    <n v="1410"/>
    <n v="419.57448226950356"/>
    <n v="0"/>
    <s v="ARS"/>
    <s v="CC"/>
    <s v="MACRO"/>
    <x v="5"/>
    <x v="13"/>
    <x v="25"/>
    <m/>
    <s v="LA YUNTA VET"/>
    <s v="FA 913"/>
    <x v="6"/>
    <m/>
    <s v="25/26"/>
    <s v="BIENES Y SERVICIOS"/>
    <s v="EFECTIVO Y OTROS ACT LÍQ EQ."/>
  </r>
  <r>
    <x v="10"/>
    <d v="2025-11-03T00:00:00"/>
    <s v="CHEQUE P/CAMARA"/>
    <s v="N60458293"/>
    <n v="1100000"/>
    <n v="0"/>
    <n v="-1100000"/>
    <n v="-13760194.16"/>
    <n v="1410"/>
    <n v="780.14184397163126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10"/>
    <d v="2025-11-03T00:00:00"/>
    <s v="DEBITO FISCAL IVA BASICO"/>
    <m/>
    <n v="3549"/>
    <n v="0"/>
    <n v="-3549"/>
    <n v="-13763743.16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3T00:00:00"/>
    <s v="DEBITO FISCAL IVA PERCEPCION"/>
    <m/>
    <n v="507"/>
    <n v="0"/>
    <n v="-507"/>
    <n v="-13764250.16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COMISION CHEQUE CONSULTA"/>
    <m/>
    <n v="16900"/>
    <n v="0"/>
    <n v="-16900"/>
    <n v="-13781150.16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03T00:00:00"/>
    <s v="DGR SELLOS CORDOBA"/>
    <m/>
    <n v="3835.26"/>
    <n v="0"/>
    <n v="-3835.26"/>
    <n v="-13784985.42"/>
    <n v="1410"/>
    <n v="2.720042553191489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0"/>
    <d v="2025-11-03T00:00:00"/>
    <s v="DGR SELLOS CORDOBA"/>
    <m/>
    <n v="2143.37"/>
    <n v="0"/>
    <n v="-2143.37"/>
    <n v="-13787128.789999999"/>
    <n v="1410"/>
    <n v="1.520120567375886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0"/>
    <d v="2025-11-03T00:00:00"/>
    <s v="DGR SELLOS CORDOBA"/>
    <m/>
    <n v="111.89"/>
    <n v="0"/>
    <n v="-111.89"/>
    <n v="-13787240.68"/>
    <n v="1410"/>
    <n v="7.9354609929078015E-2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0"/>
    <d v="2025-11-03T00:00:00"/>
    <s v="DBCR 25413 S/DB TASA GRAL"/>
    <m/>
    <n v="22645.02"/>
    <n v="0"/>
    <n v="-22645.02"/>
    <n v="-13809885.699999999"/>
    <n v="1410"/>
    <n v="16.06029787234042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07T00:00:00"/>
    <s v="CHEQUE P/CAMARA"/>
    <s v="N60458280"/>
    <n v="600000"/>
    <n v="0"/>
    <n v="-600000"/>
    <n v="-14409885.699999999"/>
    <n v="1410"/>
    <n v="425.531914893617"/>
    <n v="0"/>
    <s v="ARS"/>
    <s v="CC"/>
    <s v="MACRO"/>
    <x v="2"/>
    <x v="4"/>
    <x v="35"/>
    <s v="APLICACIONES"/>
    <s v="RUSO HEINRICH"/>
    <m/>
    <x v="6"/>
    <m/>
    <s v="24/25"/>
    <s v="BIENES Y SERVICIOS"/>
    <s v="EFECTIVO Y OTROS ACT LÍQ EQ."/>
  </r>
  <r>
    <x v="10"/>
    <d v="2025-11-07T00:00:00"/>
    <s v="DEBITO FISCAL IVA BASICO"/>
    <m/>
    <n v="3549"/>
    <n v="0"/>
    <n v="-3549"/>
    <n v="-14413434.699999999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7T00:00:00"/>
    <s v="DEBITO FISCAL IVA PERCEPCION"/>
    <m/>
    <n v="507"/>
    <n v="0"/>
    <n v="-507"/>
    <n v="-14413941.699999999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7T00:00:00"/>
    <s v="COMISION CHEQUE CONSULTA"/>
    <m/>
    <n v="16900"/>
    <n v="0"/>
    <n v="-16900"/>
    <n v="-14430841.69999999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07T00:00:00"/>
    <s v="DBCR 25413 S/DB TASA GRAL"/>
    <m/>
    <n v="3725.74"/>
    <n v="0"/>
    <n v="-3725.74"/>
    <n v="-14434567.439999999"/>
    <n v="1410"/>
    <n v="2.642368794326241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10T00:00:00"/>
    <s v="CHEQUE P/CAMARA"/>
    <s v="N60458279"/>
    <n v="1059628"/>
    <n v="0"/>
    <n v="-1059628"/>
    <n v="-15494195.439999999"/>
    <n v="1410"/>
    <n v="751.50921985815603"/>
    <n v="0"/>
    <s v="ARS"/>
    <s v="CC"/>
    <s v="MACRO"/>
    <x v="5"/>
    <x v="13"/>
    <x v="23"/>
    <s v="HACIENDA"/>
    <s v="FACUNDO DE DIOS "/>
    <s v="FA 881"/>
    <x v="6"/>
    <m/>
    <s v="24/25"/>
    <s v="BIENES Y SERVICIOS"/>
    <s v="EFECTIVO Y OTROS ACT LÍQ EQ."/>
  </r>
  <r>
    <x v="10"/>
    <d v="2025-11-10T00:00:00"/>
    <s v="CHEQUE P/CAMARA"/>
    <s v="N60458291"/>
    <n v="1100000"/>
    <n v="0"/>
    <n v="-1100000"/>
    <n v="-16594195.439999999"/>
    <n v="1410"/>
    <n v="780.14184397163126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10"/>
    <d v="2025-11-10T00:00:00"/>
    <s v="DB/CR - COMEX- Suc.:811"/>
    <m/>
    <n v="0"/>
    <n v="49042945"/>
    <n v="49042945"/>
    <n v="32448749.559999999"/>
    <n v="1410"/>
    <n v="0"/>
    <n v="34782.2304964539"/>
    <s v="ARS"/>
    <s v="CC"/>
    <s v="MACRO"/>
    <x v="0"/>
    <x v="10"/>
    <x v="89"/>
    <s v="CREDITO MACRO USD"/>
    <s v="MACRO"/>
    <m/>
    <x v="9"/>
    <m/>
    <s v="24/25"/>
    <s v="CREDITO MACRO FW 90tn 3,5%"/>
    <s v="EFECTIVO Y OTROS ACT LÍQ EQ."/>
  </r>
  <r>
    <x v="10"/>
    <d v="2025-11-10T00:00:00"/>
    <s v="DEBITO FISCAL IVA BASICO"/>
    <m/>
    <n v="8127"/>
    <n v="0"/>
    <n v="-8127"/>
    <n v="32440622.559999999"/>
    <n v="1410"/>
    <n v="5.763829787234042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10T00:00:00"/>
    <s v="DEBITO FISCAL IVA PERCEPCION"/>
    <m/>
    <n v="1161"/>
    <n v="0"/>
    <n v="-1161"/>
    <n v="32439461.559999999"/>
    <n v="1410"/>
    <n v="0.8234042553191489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10T00:00:00"/>
    <s v="COM. SERV DESC NO AUTORIZ."/>
    <m/>
    <n v="38700"/>
    <n v="0"/>
    <n v="-38700"/>
    <n v="32400761.559999999"/>
    <n v="1410"/>
    <n v="27.446808510638299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0T00:00:00"/>
    <s v="DEBITO FISCAL IVA BASICO"/>
    <m/>
    <n v="3549"/>
    <n v="0"/>
    <n v="-3549"/>
    <n v="32397212.559999999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10T00:00:00"/>
    <s v="DEBITO FISCAL IVA PERCEPCION"/>
    <m/>
    <n v="507"/>
    <n v="0"/>
    <n v="-507"/>
    <n v="32396705.559999999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10T00:00:00"/>
    <s v="COMISION CHEQUE CONSULTA"/>
    <m/>
    <n v="16900"/>
    <n v="0"/>
    <n v="-16900"/>
    <n v="32379805.55999999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0T00:00:00"/>
    <s v="DBCR 25413 S/DB TASA GRAL"/>
    <m/>
    <n v="13371.44"/>
    <n v="0"/>
    <n v="-13371.44"/>
    <n v="32366434.120000001"/>
    <n v="1410"/>
    <n v="9.4832907801418447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11T00:00:00"/>
    <s v="TRANSF. MACRONLINE E-SET M/T"/>
    <m/>
    <n v="9400000"/>
    <n v="0"/>
    <n v="-9400000"/>
    <n v="22966434.120000001"/>
    <n v="1410"/>
    <n v="6666.666666666667"/>
    <n v="0"/>
    <s v="ARS"/>
    <s v="CC"/>
    <s v="MACRO"/>
    <x v="0"/>
    <x v="0"/>
    <x v="0"/>
    <s v="HACIA CC GALICIA"/>
    <m/>
    <m/>
    <x v="0"/>
    <m/>
    <s v="24/25"/>
    <m/>
    <m/>
  </r>
  <r>
    <x v="10"/>
    <d v="2025-11-11T00:00:00"/>
    <s v="COMISION TRF. MACROL E-SET"/>
    <m/>
    <n v="121"/>
    <n v="0"/>
    <n v="-121"/>
    <n v="22966313.120000001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TRANSF. MACRONLINE E-SET M/T"/>
    <m/>
    <n v="20450000"/>
    <n v="0"/>
    <n v="-20450000"/>
    <n v="2516313.12"/>
    <n v="1410"/>
    <n v="14503.546099290779"/>
    <n v="0"/>
    <s v="ARS"/>
    <s v="CC"/>
    <s v="MACRO"/>
    <x v="0"/>
    <x v="0"/>
    <x v="0"/>
    <s v="HACIA CC PAMPA"/>
    <m/>
    <m/>
    <x v="0"/>
    <m/>
    <s v="24/25"/>
    <m/>
    <m/>
  </r>
  <r>
    <x v="10"/>
    <d v="2025-11-11T00:00:00"/>
    <s v="COMISION TRF. MACROL E-SET"/>
    <m/>
    <n v="121"/>
    <n v="0"/>
    <n v="-121"/>
    <n v="2516192.12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TRANSF. MACRONLINE E-SET D/T"/>
    <m/>
    <n v="300000"/>
    <n v="0"/>
    <n v="-300000"/>
    <n v="816192.12"/>
    <n v="1410"/>
    <n v="212.7659574468085"/>
    <n v="0"/>
    <s v="ARS"/>
    <s v="CC"/>
    <s v="MACRO"/>
    <x v="1"/>
    <x v="3"/>
    <x v="13"/>
    <m/>
    <s v="JULIO TOLEDO"/>
    <m/>
    <x v="3"/>
    <m/>
    <s v="25/26"/>
    <s v="EGRESOS"/>
    <s v="EFECTIVO Y OTROS ACT LÍQ EQ."/>
  </r>
  <r>
    <x v="10"/>
    <d v="2025-11-11T00:00:00"/>
    <s v="TRANSF. MACRONLINE E-SET D/T"/>
    <m/>
    <n v="150000"/>
    <n v="0"/>
    <n v="-150000"/>
    <n v="-883807.88"/>
    <n v="1410"/>
    <n v="106.38297872340425"/>
    <n v="0"/>
    <s v="ARS"/>
    <s v="CC"/>
    <s v="MACRO"/>
    <x v="1"/>
    <x v="3"/>
    <x v="13"/>
    <m/>
    <s v="CRISTIAN OLMEDO"/>
    <m/>
    <x v="3"/>
    <m/>
    <s v="25/26"/>
    <s v="EGRESOS"/>
    <s v="EFECTIVO Y OTROS ACT LÍQ EQ."/>
  </r>
  <r>
    <x v="10"/>
    <d v="2025-11-11T00:00:00"/>
    <s v="TRANSF. MACRONLINE E-SET D/T"/>
    <m/>
    <n v="1250000"/>
    <n v="0"/>
    <n v="-1250000"/>
    <n v="-2583807.88"/>
    <n v="1410"/>
    <n v="886.52482269503548"/>
    <n v="0"/>
    <s v="ARS"/>
    <s v="CC"/>
    <s v="MACRO"/>
    <x v="1"/>
    <x v="3"/>
    <x v="3"/>
    <s v="PERIODO OCTUBRE"/>
    <s v="ANDRES TOLEDO"/>
    <m/>
    <x v="3"/>
    <m/>
    <s v="24/25"/>
    <s v="EGRESOS"/>
    <s v="EFECTIVO Y OTROS ACT LÍQ EQ."/>
  </r>
  <r>
    <x v="10"/>
    <d v="2025-11-11T00:00:00"/>
    <s v="COMISION TRF. MACROL E-SET"/>
    <m/>
    <n v="121"/>
    <n v="0"/>
    <n v="-121"/>
    <n v="816071.12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TRANSF. MACRONLINE E-SET D/T"/>
    <m/>
    <n v="800000"/>
    <n v="0"/>
    <n v="-800000"/>
    <n v="16071.12"/>
    <n v="1410"/>
    <n v="567.3758865248227"/>
    <n v="0"/>
    <s v="ARS"/>
    <s v="CC"/>
    <s v="MACRO"/>
    <x v="1"/>
    <x v="3"/>
    <x v="3"/>
    <s v="MES OCTUBRE"/>
    <s v="KEVIN TOLEDO"/>
    <m/>
    <x v="3"/>
    <m/>
    <s v="24/25"/>
    <s v="EGRESOS"/>
    <s v="EFECTIVO Y OTROS ACT LÍQ EQ."/>
  </r>
  <r>
    <x v="10"/>
    <d v="2025-11-11T00:00:00"/>
    <s v="COMISION TRF. MACROL E-SET"/>
    <m/>
    <n v="121"/>
    <n v="0"/>
    <n v="-121"/>
    <n v="15950.12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TRANSF. MACRONLINE E-SET D/T"/>
    <m/>
    <n v="2000000"/>
    <n v="0"/>
    <n v="-2000000"/>
    <n v="-1984049.88"/>
    <n v="1410"/>
    <n v="1418.4397163120568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10"/>
    <d v="2025-11-11T00:00:00"/>
    <s v="COMISION TRF. MACROL E-SET"/>
    <m/>
    <n v="121"/>
    <n v="0"/>
    <n v="-121"/>
    <n v="-1984170.88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DBCR 25413 S/DB TASA GRAL"/>
    <m/>
    <n v="27003.65"/>
    <n v="0"/>
    <n v="-27003.65"/>
    <n v="-2011174.53"/>
    <n v="1410"/>
    <n v="19.15152482269503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19T00:00:00"/>
    <s v="SANCORSEG - SANCOR SEGUROS"/>
    <m/>
    <n v="8067"/>
    <n v="0"/>
    <n v="-8067"/>
    <n v="-2019241.53"/>
    <n v="1410"/>
    <n v="5.7212765957446807"/>
    <n v="0"/>
    <s v="ARS"/>
    <s v="CC"/>
    <s v="MACRO"/>
    <x v="1"/>
    <x v="7"/>
    <x v="58"/>
    <m/>
    <m/>
    <m/>
    <x v="1"/>
    <m/>
    <s v="24/25"/>
    <s v="EGRESOS"/>
    <s v="EFECTIVO Y OTROS ACT LÍQ EQ."/>
  </r>
  <r>
    <x v="10"/>
    <d v="2025-11-19T00:00:00"/>
    <s v="DBCR 25413 S/DB TASA GRAL"/>
    <m/>
    <n v="48.4"/>
    <n v="0"/>
    <n v="-48.4"/>
    <n v="-2019289.93"/>
    <n v="1410"/>
    <n v="3.4326241134751773E-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25T00:00:00"/>
    <s v="TRANSF. MACRONLINE E-SET D/T"/>
    <m/>
    <n v="20000"/>
    <n v="0"/>
    <n v="-20000"/>
    <n v="-2039289.93"/>
    <n v="1410"/>
    <n v="14.184397163120567"/>
    <n v="0"/>
    <s v="ARS"/>
    <s v="CC"/>
    <s v="MACRO"/>
    <x v="1"/>
    <x v="2"/>
    <x v="45"/>
    <m/>
    <s v="CLAUDIA ERRECALDE"/>
    <m/>
    <x v="15"/>
    <s v="CLAUDIA"/>
    <s v="24/25"/>
    <s v="FUTURAS UT. ADL CLAUDIA"/>
    <s v="EFECTIVO Y OTROS ACT LÍQ EQ."/>
  </r>
  <r>
    <x v="10"/>
    <d v="2025-11-25T00:00:00"/>
    <s v="DBCR 25413 S/DB TASA GRAL"/>
    <m/>
    <n v="120"/>
    <n v="0"/>
    <n v="-120"/>
    <n v="-2039409.93"/>
    <n v="1410"/>
    <n v="8.5106382978723402E-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26T00:00:00"/>
    <s v="CHEQUE P/CAMARA"/>
    <s v="N60458288"/>
    <n v="183000"/>
    <n v="0"/>
    <n v="-183000"/>
    <n v="-2222409.9300000002"/>
    <n v="1410"/>
    <n v="129.78723404255319"/>
    <n v="0"/>
    <s v="ARS"/>
    <s v="CC"/>
    <s v="MACRO"/>
    <x v="3"/>
    <x v="8"/>
    <x v="45"/>
    <m/>
    <s v="GOMERIA OCHOA"/>
    <s v="FA 10"/>
    <x v="6"/>
    <m/>
    <s v="25/26"/>
    <s v="BIENES Y SERVICIOS"/>
    <s v="EFECTIVO Y OTROS ACT LÍQ EQ."/>
  </r>
  <r>
    <x v="10"/>
    <d v="2025-11-26T00:00:00"/>
    <s v="CHEQUE P/CAMARA"/>
    <s v="N60458289"/>
    <n v="529000"/>
    <n v="0"/>
    <n v="-529000"/>
    <n v="-2751409.93"/>
    <n v="1410"/>
    <n v="375.17730496453902"/>
    <n v="0"/>
    <s v="ARS"/>
    <s v="CC"/>
    <s v="MACRO"/>
    <x v="5"/>
    <x v="13"/>
    <x v="4"/>
    <s v="HONORARIOS"/>
    <s v="FEDE PICCIOCHI"/>
    <s v="FA 371"/>
    <x v="6"/>
    <m/>
    <s v="25/26"/>
    <s v="BIENES Y SERVICIOS"/>
    <s v="EFECTIVO Y OTROS ACT LÍQ EQ."/>
  </r>
  <r>
    <x v="10"/>
    <d v="2025-11-26T00:00:00"/>
    <s v="TRANSF. MACRONLINE E-SET D/T"/>
    <m/>
    <n v="46200"/>
    <n v="0"/>
    <n v="-46200"/>
    <n v="-2797609.93"/>
    <n v="1410"/>
    <n v="32.765957446808514"/>
    <n v="0"/>
    <s v="ARS"/>
    <s v="CC"/>
    <s v="MACRO"/>
    <x v="3"/>
    <x v="5"/>
    <x v="6"/>
    <m/>
    <s v="CORRALON EL ESCONDIDO"/>
    <m/>
    <x v="6"/>
    <m/>
    <s v="25/26"/>
    <s v="BIENES Y SERVICIOS"/>
    <s v="EFECTIVO Y OTROS ACT LÍQ EQ."/>
  </r>
  <r>
    <x v="10"/>
    <d v="2025-11-26T00:00:00"/>
    <s v="TRANSF. MACRONLINE E-SET D/T"/>
    <m/>
    <n v="138052.29999999999"/>
    <n v="0"/>
    <n v="-138052.29999999999"/>
    <n v="-2935662.23"/>
    <n v="1410"/>
    <n v="97.909432624113464"/>
    <n v="0"/>
    <s v="ARS"/>
    <s v="CC"/>
    <s v="MACRO"/>
    <x v="3"/>
    <x v="5"/>
    <x v="6"/>
    <m/>
    <s v="FERRESUR"/>
    <s v="FA956"/>
    <x v="1"/>
    <m/>
    <s v="24/25"/>
    <s v="EGRESOS"/>
    <s v="EFECTIVO Y OTROS ACT LÍQ EQ."/>
  </r>
  <r>
    <x v="10"/>
    <d v="2025-11-26T00:00:00"/>
    <s v="DBCR 25413 S/DB TASA GRAL"/>
    <m/>
    <n v="5377.51"/>
    <n v="0"/>
    <n v="-5377.51"/>
    <n v="-2941039.74"/>
    <n v="1410"/>
    <n v="3.813836879432624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27T00:00:00"/>
    <s v="CHEQUE P/CAMARA"/>
    <s v="N62537416"/>
    <n v="206227.12"/>
    <n v="0"/>
    <n v="-206227.12"/>
    <n v="-3147266.86"/>
    <n v="1410"/>
    <n v="146.26036879432624"/>
    <n v="0"/>
    <s v="ARS"/>
    <s v="CC"/>
    <s v="MACRO"/>
    <x v="3"/>
    <x v="25"/>
    <x v="45"/>
    <m/>
    <s v="CENTENO"/>
    <s v="FA 176"/>
    <x v="6"/>
    <m/>
    <s v="25/26"/>
    <s v="BIENES Y SERVICIOS"/>
    <s v="EFECTIVO Y OTROS ACT LÍQ EQ."/>
  </r>
  <r>
    <x v="10"/>
    <d v="2025-11-27T00:00:00"/>
    <s v="TRANSF. MACRONLINE E-SET D/T"/>
    <m/>
    <n v="1000000"/>
    <n v="0"/>
    <n v="-1000000"/>
    <n v="-4147266.86"/>
    <n v="1410"/>
    <n v="709.21985815602841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10"/>
    <d v="2025-11-27T00:00:00"/>
    <s v="COMISION TRF. MACROL E-SET"/>
    <m/>
    <n v="121"/>
    <n v="0"/>
    <n v="-121"/>
    <n v="-4147387.86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27T00:00:00"/>
    <s v="TRANSF. MACRONLINE E-SET M/T"/>
    <m/>
    <n v="200000"/>
    <n v="0"/>
    <n v="-200000"/>
    <n v="-4347387.8600000003"/>
    <n v="1410"/>
    <n v="141.84397163120568"/>
    <n v="0"/>
    <s v="ARS"/>
    <s v="CC"/>
    <s v="MACRO"/>
    <x v="0"/>
    <x v="0"/>
    <x v="0"/>
    <s v="HACIA CC NACION"/>
    <m/>
    <m/>
    <x v="0"/>
    <m/>
    <m/>
    <m/>
    <m/>
  </r>
  <r>
    <x v="10"/>
    <d v="2025-11-27T00:00:00"/>
    <s v="DEBITO FISCAL IVA BASICO"/>
    <m/>
    <n v="2866.5"/>
    <n v="0"/>
    <n v="-2866.5"/>
    <n v="-4350254.3600000003"/>
    <n v="1410"/>
    <n v="2.0329787234042551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27T00:00:00"/>
    <s v="DEBITO FISCAL IVA PERCEPCION"/>
    <m/>
    <n v="409.5"/>
    <n v="0"/>
    <n v="-409.5"/>
    <n v="-4350663.8600000003"/>
    <n v="1410"/>
    <n v="0.2904255319148936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27T00:00:00"/>
    <s v="COMISION CHQ PAG CLEARING"/>
    <m/>
    <n v="13650"/>
    <n v="0"/>
    <n v="-13650"/>
    <n v="-4364313.8600000003"/>
    <n v="1410"/>
    <n v="9.6808510638297864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27T00:00:00"/>
    <s v="DBCR 25413 S/DB TASA GRAL"/>
    <m/>
    <n v="7339.65"/>
    <n v="0"/>
    <n v="-7339.65"/>
    <n v="-4371653.51"/>
    <n v="1410"/>
    <n v="5.205425531914893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27T00:00:00"/>
    <s v="DB TR..AUT.SDO.MISMO TIT."/>
    <m/>
    <n v="2443087.7799999998"/>
    <n v="0"/>
    <n v="-2443087.7799999998"/>
    <n v="-6814741.29"/>
    <n v="1410"/>
    <n v="1732.6863687943262"/>
    <n v="0"/>
    <s v="ARS"/>
    <s v="CC"/>
    <s v="MACRO"/>
    <x v="0"/>
    <x v="0"/>
    <x v="0"/>
    <s v="HACIA CA MACRO"/>
    <m/>
    <m/>
    <x v="0"/>
    <m/>
    <m/>
    <m/>
    <m/>
  </r>
  <r>
    <x v="10"/>
    <d v="2025-11-28T00:00:00"/>
    <s v="CHEQUE P/CAMARA"/>
    <s v="N60458294"/>
    <n v="1186792.1499999999"/>
    <n v="0"/>
    <n v="-1186792.1499999999"/>
    <n v="-8001533.4400000004"/>
    <n v="1410"/>
    <n v="841.69656028368786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10"/>
    <d v="2025-11-28T00:00:00"/>
    <s v="DBCR 25413 S/DB TASA GRAL"/>
    <m/>
    <n v="7120.75"/>
    <n v="0"/>
    <n v="-7120.75"/>
    <n v="-8008654.1900000004"/>
    <n v="1410"/>
    <n v="5.050177304964538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1T00:00:00"/>
    <s v="DEBITO FISCAL IVA BASICO"/>
    <m/>
    <n v="16477.34"/>
    <n v="0"/>
    <n v="-16477.34"/>
    <n v="-8025131.5300000003"/>
    <n v="1410"/>
    <n v="11.686056737588652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1T00:00:00"/>
    <s v="DEBITO FISCAL IVA PERCEPCION"/>
    <m/>
    <n v="2353.91"/>
    <n v="0"/>
    <n v="-2353.91"/>
    <n v="-8027485.4400000004"/>
    <n v="1410"/>
    <n v="1.669439716312056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NTER.ADEL.CC C/ACUERD"/>
    <m/>
    <n v="156927.07"/>
    <n v="0"/>
    <n v="-156927.07"/>
    <n v="-8184412.5099999998"/>
    <n v="1410"/>
    <n v="111.29579432624114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1"/>
    <d v="2025-12-01T00:00:00"/>
    <s v="DEBITO FISCAL IVA BASICO"/>
    <m/>
    <n v="2821.37"/>
    <n v="0"/>
    <n v="-2821.37"/>
    <n v="-8187233.8799999999"/>
    <n v="1410"/>
    <n v="2.0009716312056738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1T00:00:00"/>
    <s v="DEBITO FISCAL IVA PERCEPCION"/>
    <m/>
    <n v="403.05"/>
    <n v="0"/>
    <n v="-403.05"/>
    <n v="-8187636.9299999997"/>
    <n v="1410"/>
    <n v="0.285851063829787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NTER.ADEL.CC C/ACUERD"/>
    <m/>
    <n v="26870.16"/>
    <n v="0"/>
    <n v="-26870.16"/>
    <n v="-8214507.0899999999"/>
    <n v="1410"/>
    <n v="19.056851063829786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1"/>
    <d v="2025-12-01T00:00:00"/>
    <s v="DEBITO FISCAL IVA BASICO"/>
    <m/>
    <n v="11380.81"/>
    <n v="0"/>
    <n v="-11380.81"/>
    <n v="-8225887.9000000004"/>
    <n v="1410"/>
    <n v="8.0714964539007088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1T00:00:00"/>
    <s v="DEBITO FISCAL IVA PERCEPCION"/>
    <m/>
    <n v="1625.83"/>
    <n v="0"/>
    <n v="-1625.83"/>
    <n v="-8227513.7300000004"/>
    <n v="1410"/>
    <n v="1.153070921985815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NTER.ADEL.CC S/ACUERD"/>
    <m/>
    <n v="108388.69"/>
    <n v="0"/>
    <n v="-108388.69"/>
    <n v="-8335902.4199999999"/>
    <n v="1410"/>
    <n v="76.871411347517736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1"/>
    <d v="2025-12-01T00:00:00"/>
    <s v="DGR SELLOS CORDOBA"/>
    <m/>
    <n v="3706.19"/>
    <n v="0"/>
    <n v="-3706.19"/>
    <n v="-8339608.6100000003"/>
    <n v="1410"/>
    <n v="2.6285035460992909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1"/>
    <d v="2025-12-01T00:00:00"/>
    <s v="DGR SELLOS CORDOBA"/>
    <m/>
    <n v="494.69"/>
    <n v="0"/>
    <n v="-494.69"/>
    <n v="-8340103.2999999998"/>
    <n v="1410"/>
    <n v="0.35084397163120568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1"/>
    <d v="2025-12-01T00:00:00"/>
    <s v="DGR SELLOS CORDOBA"/>
    <m/>
    <n v="1885.65"/>
    <n v="0"/>
    <n v="-1885.65"/>
    <n v="-8341988.9500000002"/>
    <n v="1410"/>
    <n v="1.337340425531915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1"/>
    <d v="2025-12-01T00:00:00"/>
    <s v="DBCR 25413 S/DB TASA GRAL"/>
    <m/>
    <n v="2000.01"/>
    <n v="0"/>
    <n v="-2000.01"/>
    <n v="-8343988.96"/>
    <n v="1410"/>
    <n v="1.418446808510638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2T00:00:00"/>
    <s v="CHEQUE P/CAMARA"/>
    <s v="N61672676"/>
    <n v="500000"/>
    <n v="0"/>
    <n v="-500000"/>
    <n v="-8843988.9600000009"/>
    <n v="1410"/>
    <n v="354.6099290780142"/>
    <n v="0"/>
    <s v="ARS"/>
    <s v="CC"/>
    <s v="MACRO"/>
    <x v="2"/>
    <x v="15"/>
    <x v="29"/>
    <s v="SEMILLAS"/>
    <s v="PALO VERDE"/>
    <s v="FA 09"/>
    <x v="6"/>
    <m/>
    <s v="24/25"/>
    <s v="INSUMOS 2025"/>
    <s v="EFECTIVO Y OTROS ACT LÍQ EQ."/>
  </r>
  <r>
    <x v="11"/>
    <d v="2025-12-02T00:00:00"/>
    <s v="CHEQUE CANJE INTERNO"/>
    <s v="N60458299"/>
    <n v="753429.74"/>
    <n v="0"/>
    <n v="-753429.74"/>
    <n v="-9597418.6999999993"/>
    <n v="1410"/>
    <n v="534.34733333333338"/>
    <n v="0"/>
    <s v="ARS"/>
    <s v="CC"/>
    <s v="MACRO"/>
    <x v="3"/>
    <x v="14"/>
    <x v="60"/>
    <m/>
    <s v="TRIVERO"/>
    <s v="FA 351"/>
    <x v="6"/>
    <m/>
    <s v="24/25"/>
    <s v="BIENES Y SERVICIOS"/>
    <s v="EFECTIVO Y OTROS ACT LÍQ EQ."/>
  </r>
  <r>
    <x v="11"/>
    <d v="2025-12-02T00:00:00"/>
    <s v="CHEQUE CANJE INTERNO"/>
    <s v="N60458301"/>
    <n v="529000"/>
    <n v="0"/>
    <n v="-529000"/>
    <n v="-10126418.699999999"/>
    <n v="1410"/>
    <n v="375.17730496453902"/>
    <n v="0"/>
    <s v="ARS"/>
    <s v="CC"/>
    <s v="MACRO"/>
    <x v="5"/>
    <x v="13"/>
    <x v="4"/>
    <s v="HONORARIOS"/>
    <s v="FEDE PICCIOCHI"/>
    <s v="FA 371"/>
    <x v="6"/>
    <m/>
    <s v="25/26"/>
    <s v="BIENES Y SERVICIOS"/>
    <s v="EFECTIVO Y OTROS ACT LÍQ EQ."/>
  </r>
  <r>
    <x v="11"/>
    <d v="2025-12-02T00:00:00"/>
    <s v="TEF DATANET MT G E S A 30708920882"/>
    <m/>
    <n v="0"/>
    <n v="200000"/>
    <n v="200000"/>
    <n v="-9926418.6999999993"/>
    <n v="1410"/>
    <n v="0"/>
    <n v="141.84397163120568"/>
    <s v="ARS"/>
    <s v="CC"/>
    <s v="MACRO"/>
    <x v="0"/>
    <x v="0"/>
    <x v="0"/>
    <s v="DESDE CC GALICIA"/>
    <m/>
    <m/>
    <x v="0"/>
    <m/>
    <m/>
    <m/>
    <m/>
  </r>
  <r>
    <x v="11"/>
    <d v="2025-12-02T00:00:00"/>
    <s v="DEBITO FISCAL IVA BASICO"/>
    <m/>
    <n v="3549"/>
    <n v="0"/>
    <n v="-3549"/>
    <n v="-9929967.6999999993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2T00:00:00"/>
    <s v="DEBITO FISCAL IVA PERCEPCION"/>
    <m/>
    <n v="507"/>
    <n v="0"/>
    <n v="-507"/>
    <n v="-9930474.6999999993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2T00:00:00"/>
    <s v="COMISION CHEQUE CONSULTA"/>
    <m/>
    <n v="16900"/>
    <n v="0"/>
    <n v="-16900"/>
    <n v="-9947374.6999999993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02T00:00:00"/>
    <s v="DBCR 25413 S/DB TASA GRAL"/>
    <m/>
    <n v="10820.32"/>
    <n v="0"/>
    <n v="-10820.32"/>
    <n v="-9958195.0199999996"/>
    <n v="1410"/>
    <n v="7.6739858156028369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3T00:00:00"/>
    <s v="CHEQUE P/CAMARA"/>
    <s v="N60458296"/>
    <n v="957363.82"/>
    <n v="0"/>
    <n v="-957363.82"/>
    <n v="-10915558.84"/>
    <n v="1410"/>
    <n v="678.98143262411349"/>
    <n v="0"/>
    <s v="ARS"/>
    <s v="CC"/>
    <s v="MACRO"/>
    <x v="2"/>
    <x v="4"/>
    <x v="5"/>
    <s v="APLICACIONES"/>
    <s v="CLERICI JUAN PABLO"/>
    <s v="FA 224"/>
    <x v="6"/>
    <m/>
    <s v="24/25"/>
    <s v="BIENES Y SERVICIOS"/>
    <s v="EFECTIVO Y OTROS ACT LÍQ EQ."/>
  </r>
  <r>
    <x v="11"/>
    <d v="2025-12-03T00:00:00"/>
    <s v="TRANSF G Y E SA 30708920882 VAR VARIOS 398569"/>
    <m/>
    <n v="0"/>
    <n v="1000000"/>
    <n v="1000000"/>
    <n v="-9915558.8399999999"/>
    <n v="1410"/>
    <n v="0"/>
    <n v="709.21985815602841"/>
    <s v="ARS"/>
    <s v="CC"/>
    <s v="MACRO"/>
    <x v="0"/>
    <x v="0"/>
    <x v="0"/>
    <s v="DESDE CC GALICIA"/>
    <m/>
    <m/>
    <x v="0"/>
    <m/>
    <m/>
    <m/>
    <m/>
  </r>
  <r>
    <x v="11"/>
    <d v="2025-12-03T00:00:00"/>
    <s v="DEBITO FISCAL IVA BASICO"/>
    <m/>
    <n v="3549"/>
    <n v="0"/>
    <n v="-3549"/>
    <n v="-9919107.8399999999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3T00:00:00"/>
    <s v="DEBITO FISCAL IVA PERCEPCION"/>
    <m/>
    <n v="507"/>
    <n v="0"/>
    <n v="-507"/>
    <n v="-9919614.8399999999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3T00:00:00"/>
    <s v="COMISION CHEQUE CONSULTA"/>
    <m/>
    <n v="16900"/>
    <n v="0"/>
    <n v="-16900"/>
    <n v="-9936514.839999999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03T00:00:00"/>
    <s v="DBCR 25413 S/DB TASA GRAL"/>
    <m/>
    <n v="5869.92"/>
    <n v="0"/>
    <n v="-5869.92"/>
    <n v="-9942384.7599999998"/>
    <n v="1410"/>
    <n v="4.163063829787233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5T00:00:00"/>
    <s v="DEBITO FISCAL IVA BASICO"/>
    <m/>
    <n v="18963"/>
    <n v="0"/>
    <n v="-18963"/>
    <n v="-9961347.7599999998"/>
    <n v="1410"/>
    <n v="13.448936170212766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5T00:00:00"/>
    <s v="DEBITO FISCAL IVA PERCEPCION"/>
    <m/>
    <n v="2709"/>
    <n v="0"/>
    <n v="-2709"/>
    <n v="-9964056.7599999998"/>
    <n v="1410"/>
    <n v="1.9212765957446809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5T00:00:00"/>
    <s v="COM. SERV DESC NO AUTORIZ."/>
    <m/>
    <n v="90300"/>
    <n v="0"/>
    <n v="-90300"/>
    <n v="-10054356.76"/>
    <n v="1410"/>
    <n v="64.042553191489361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05T00:00:00"/>
    <s v="DBCR 25413 S/DB TASA GRAL"/>
    <m/>
    <n v="671.83"/>
    <n v="0"/>
    <n v="-671.83"/>
    <n v="-10055028.59"/>
    <n v="1410"/>
    <n v="0.4764751773049645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9T00:00:00"/>
    <s v="CHEQUE P/CAMARA"/>
    <s v="N60458302"/>
    <n v="870000"/>
    <n v="0"/>
    <n v="-870000"/>
    <n v="-10925028.59"/>
    <n v="1410"/>
    <n v="617.02127659574467"/>
    <n v="0"/>
    <s v="ARS"/>
    <s v="CC"/>
    <s v="MACRO"/>
    <x v="3"/>
    <x v="5"/>
    <x v="90"/>
    <m/>
    <s v="CORTI "/>
    <s v="FA 307 308"/>
    <x v="6"/>
    <m/>
    <s v="25/26"/>
    <s v="BIENES Y SERVICIOS"/>
    <s v="EFECTIVO Y OTROS ACT LÍQ EQ."/>
  </r>
  <r>
    <x v="11"/>
    <d v="2025-12-09T00:00:00"/>
    <s v="TEF DATANET MT G E S A 30708920882"/>
    <m/>
    <n v="0"/>
    <n v="200000"/>
    <n v="200000"/>
    <n v="-10725028.59"/>
    <n v="1410"/>
    <n v="0"/>
    <n v="141.84397163120568"/>
    <s v="ARS"/>
    <s v="CC"/>
    <s v="MACRO"/>
    <x v="0"/>
    <x v="0"/>
    <x v="0"/>
    <s v="DESDE CC GALICIA"/>
    <m/>
    <m/>
    <x v="0"/>
    <m/>
    <m/>
    <m/>
    <m/>
  </r>
  <r>
    <x v="11"/>
    <d v="2025-12-09T00:00:00"/>
    <s v="TRANSF G Y E SA 30708920882 VAR VARIOS 402648"/>
    <m/>
    <n v="0"/>
    <n v="730000"/>
    <n v="730000"/>
    <n v="-9995028.5899999999"/>
    <n v="1410"/>
    <n v="0"/>
    <n v="517.73049645390074"/>
    <s v="ARS"/>
    <s v="CC"/>
    <s v="MACRO"/>
    <x v="0"/>
    <x v="0"/>
    <x v="0"/>
    <s v="DESDE CC PAMPA"/>
    <m/>
    <m/>
    <x v="0"/>
    <m/>
    <m/>
    <m/>
    <m/>
  </r>
  <r>
    <x v="11"/>
    <d v="2025-12-09T00:00:00"/>
    <s v="DEBITO FISCAL IVA BASICO"/>
    <m/>
    <n v="3549"/>
    <n v="0"/>
    <n v="-3549"/>
    <n v="-9998577.5899999999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9T00:00:00"/>
    <s v="DEBITO FISCAL IVA PERCEPCION"/>
    <m/>
    <n v="507"/>
    <n v="0"/>
    <n v="-507"/>
    <n v="-9999084.5899999999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9T00:00:00"/>
    <s v="COMISION CHEQUE CONSULTA"/>
    <m/>
    <n v="16900"/>
    <n v="0"/>
    <n v="-16900"/>
    <n v="-10015984.5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09T00:00:00"/>
    <s v="DBCR 25413 S/DB TASA GRAL"/>
    <m/>
    <n v="5345.74"/>
    <n v="0"/>
    <n v="-5345.74"/>
    <n v="-10021330.33"/>
    <n v="1410"/>
    <n v="3.791304964539007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0T00:00:00"/>
    <s v="CHEQUE P/CAMARA"/>
    <s v="N60458292"/>
    <n v="1141515"/>
    <n v="0"/>
    <n v="-1141515"/>
    <n v="-11162845.33"/>
    <n v="1410"/>
    <n v="809.58510638297878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11"/>
    <d v="2025-12-10T00:00:00"/>
    <s v="TEF DATANET MT G E S A 30708920882"/>
    <m/>
    <n v="0"/>
    <n v="1200000"/>
    <n v="1200000"/>
    <n v="-9962845.3300000001"/>
    <n v="1410"/>
    <n v="0"/>
    <n v="851.063829787234"/>
    <s v="ARS"/>
    <s v="CC"/>
    <s v="MACRO"/>
    <x v="0"/>
    <x v="0"/>
    <x v="0"/>
    <s v="DESDE CC PAMPA"/>
    <m/>
    <m/>
    <x v="0"/>
    <m/>
    <m/>
    <m/>
    <m/>
  </r>
  <r>
    <x v="11"/>
    <d v="2025-12-10T00:00:00"/>
    <s v="DEBITO FISCAL IVA BASICO"/>
    <m/>
    <n v="3549"/>
    <n v="0"/>
    <n v="-3549"/>
    <n v="-9966394.3300000001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10T00:00:00"/>
    <s v="DEBITO FISCAL IVA PERCEPCION"/>
    <m/>
    <n v="507"/>
    <n v="0"/>
    <n v="-507"/>
    <n v="-9966901.3300000001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10T00:00:00"/>
    <s v="COMISION CHEQUE CONSULTA"/>
    <m/>
    <n v="16900"/>
    <n v="0"/>
    <n v="-16900"/>
    <n v="-9983801.3300000001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10T00:00:00"/>
    <s v="DBCR 25413 S/DB TASA GRAL"/>
    <m/>
    <n v="6974.83"/>
    <n v="0"/>
    <n v="-6974.83"/>
    <n v="-9990776.1600000001"/>
    <n v="1410"/>
    <n v="4.946687943262411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5T00:00:00"/>
    <s v="CHEQUE P/CAMARA"/>
    <s v="N62841080"/>
    <n v="5112092.7"/>
    <n v="0"/>
    <n v="-5112092.7"/>
    <n v="-15102868.859999999"/>
    <n v="1410"/>
    <n v="3625.5976595744683"/>
    <n v="0"/>
    <s v="ARS"/>
    <s v="CC"/>
    <s v="MACRO"/>
    <x v="2"/>
    <x v="4"/>
    <x v="5"/>
    <s v="INSUMOS 2025"/>
    <s v="AGRONASAJA"/>
    <s v="FA 86"/>
    <x v="6"/>
    <m/>
    <s v="24/25"/>
    <s v="INSUMOS 2025"/>
    <s v="EFECTIVO Y OTROS ACT LÍQ EQ."/>
  </r>
  <r>
    <x v="11"/>
    <d v="2025-12-15T00:00:00"/>
    <s v="DB/CR - COMEX- SUC.:811"/>
    <m/>
    <n v="0"/>
    <n v="42631974"/>
    <n v="42631974"/>
    <n v="27529105.140000001"/>
    <n v="1410"/>
    <n v="0"/>
    <n v="30235.442553191489"/>
    <s v="ARS"/>
    <s v="CC"/>
    <s v="MACRO"/>
    <x v="0"/>
    <x v="10"/>
    <x v="91"/>
    <s v="A 280 DIAS"/>
    <s v="MACRO"/>
    <m/>
    <x v="9"/>
    <m/>
    <s v="24/25"/>
    <s v="EFECTIVO Y OTROS ACT LÍQ EQ."/>
    <s v="CREDITOS MACRO"/>
  </r>
  <r>
    <x v="11"/>
    <d v="2025-12-15T00:00:00"/>
    <s v="TRANSF. MACRONLINE E-SET M/T"/>
    <m/>
    <n v="14000000"/>
    <n v="0"/>
    <n v="-14000000"/>
    <n v="13529105.140000001"/>
    <n v="1410"/>
    <n v="9929.078014184397"/>
    <n v="0"/>
    <s v="ARS"/>
    <s v="CC"/>
    <s v="MACRO"/>
    <x v="0"/>
    <x v="0"/>
    <x v="0"/>
    <s v="HACIA CC NACION"/>
    <m/>
    <m/>
    <x v="0"/>
    <m/>
    <m/>
    <m/>
    <m/>
  </r>
  <r>
    <x v="11"/>
    <d v="2025-12-15T00:00:00"/>
    <s v="COMISION TRF. MACROL E-SET"/>
    <m/>
    <n v="121"/>
    <n v="0"/>
    <n v="-121"/>
    <n v="13528984.140000001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15T00:00:00"/>
    <s v="DEBITO FISCAL IVA BASICO"/>
    <m/>
    <n v="3549"/>
    <n v="0"/>
    <n v="-3549"/>
    <n v="13525435.140000001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15T00:00:00"/>
    <s v="DEBITO FISCAL IVA PERCEPCION"/>
    <m/>
    <n v="507"/>
    <n v="0"/>
    <n v="-507"/>
    <n v="13524928.140000001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15T00:00:00"/>
    <s v="COMISION CHEQUE CONSULTA"/>
    <m/>
    <n v="16900"/>
    <n v="0"/>
    <n v="-16900"/>
    <n v="13508028.140000001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15T00:00:00"/>
    <s v="DBCR 25413 S/DB TASA GRAL"/>
    <m/>
    <n v="30799.03"/>
    <n v="0"/>
    <n v="-30799.03"/>
    <n v="13477229.109999999"/>
    <n v="1410"/>
    <n v="21.84328368794326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6T00:00:00"/>
    <s v="CHEQUE P/CAMARA"/>
    <s v="N60458305"/>
    <n v="2508400"/>
    <n v="0"/>
    <n v="-2508400"/>
    <n v="10968829.109999999"/>
    <n v="1410"/>
    <n v="1779.0070921985816"/>
    <n v="0"/>
    <s v="ARS"/>
    <s v="CC"/>
    <s v="MACRO"/>
    <x v="2"/>
    <x v="4"/>
    <x v="35"/>
    <s v="SIEMBRA"/>
    <s v="LUCARELLI AGUSTIN"/>
    <m/>
    <x v="6"/>
    <m/>
    <s v="24/25"/>
    <s v="BIENES Y SERVICIOS"/>
    <s v="EFECTIVO Y OTROS ACT LÍQ EQ."/>
  </r>
  <r>
    <x v="11"/>
    <d v="2025-12-16T00:00:00"/>
    <s v="CHEQUE P/CAMARA"/>
    <s v="N61727381"/>
    <n v="908912.87"/>
    <n v="0"/>
    <n v="-908912.87"/>
    <n v="10059916.24"/>
    <n v="1410"/>
    <n v="644.61905673758861"/>
    <n v="0"/>
    <s v="ARS"/>
    <s v="CC"/>
    <s v="MACRO"/>
    <x v="2"/>
    <x v="4"/>
    <x v="5"/>
    <s v="INSUMOS 2025"/>
    <s v="MONSANTO"/>
    <m/>
    <x v="6"/>
    <m/>
    <s v="24/25"/>
    <s v="INSUMOS 2025"/>
    <s v="EFECTIVO Y OTROS ACT LÍQ EQ."/>
  </r>
  <r>
    <x v="11"/>
    <d v="2025-12-16T00:00:00"/>
    <s v="CHEQUE P/CAMARA"/>
    <s v="N61727441"/>
    <n v="538590.28"/>
    <n v="0"/>
    <n v="-538590.28"/>
    <n v="9521325.9600000009"/>
    <n v="1410"/>
    <n v="381.97892198581565"/>
    <n v="0"/>
    <s v="ARS"/>
    <s v="CC"/>
    <s v="MACRO"/>
    <x v="2"/>
    <x v="4"/>
    <x v="5"/>
    <s v="INSUMOS 2025"/>
    <s v="BAYER"/>
    <m/>
    <x v="6"/>
    <m/>
    <s v="24/25"/>
    <s v="INSUMOS 2025"/>
    <s v="EFECTIVO Y OTROS ACT LÍQ EQ."/>
  </r>
  <r>
    <x v="11"/>
    <d v="2025-12-16T00:00:00"/>
    <s v="TRANSF. MACRONLINE E-SET D/T"/>
    <m/>
    <n v="2000000"/>
    <n v="0"/>
    <n v="-2000000"/>
    <n v="7521325.96"/>
    <n v="1410"/>
    <n v="1418.4397163120568"/>
    <n v="0"/>
    <s v="ARS"/>
    <s v="CC"/>
    <s v="MACRO"/>
    <x v="1"/>
    <x v="2"/>
    <x v="2"/>
    <s v="PARTE NOVIEMBRE"/>
    <s v="CLAUDIA ERRECALDE"/>
    <m/>
    <x v="15"/>
    <s v="CLAUDIA"/>
    <s v="24/25"/>
    <s v="FUTURAS UT. ADL CLAUDIA"/>
    <s v="EFECTIVO Y OTROS ACT LÍQ EQ."/>
  </r>
  <r>
    <x v="11"/>
    <d v="2025-12-16T00:00:00"/>
    <s v="COMISION TRF. MACROL E-SET"/>
    <m/>
    <n v="121"/>
    <n v="0"/>
    <n v="-121"/>
    <n v="7521204.96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16T00:00:00"/>
    <s v="TRANSF:2512160000656106780616-27221595349"/>
    <m/>
    <n v="55000"/>
    <n v="0"/>
    <n v="-55000"/>
    <n v="7466204.96"/>
    <n v="1410"/>
    <n v="39.00709219858156"/>
    <n v="0"/>
    <s v="ARS"/>
    <s v="CC"/>
    <s v="MACRO"/>
    <x v="3"/>
    <x v="5"/>
    <x v="45"/>
    <s v="FRESNOS"/>
    <s v="ERICA MERLO"/>
    <m/>
    <x v="6"/>
    <m/>
    <s v="24/25"/>
    <s v="BIENES Y SERVICIOS"/>
    <s v="EFECTIVO Y OTROS ACT LÍQ EQ."/>
  </r>
  <r>
    <x v="11"/>
    <d v="2025-12-16T00:00:00"/>
    <s v="AFIP"/>
    <m/>
    <n v="199559.81"/>
    <n v="0"/>
    <n v="-199559.81"/>
    <n v="7266645.1500000004"/>
    <n v="1410"/>
    <n v="141.53178014184397"/>
    <n v="0"/>
    <s v="ARS"/>
    <s v="CC"/>
    <s v="MACRO"/>
    <x v="1"/>
    <x v="7"/>
    <x v="92"/>
    <s v="PLAN DE PAGOS VEPS"/>
    <s v="AFIP"/>
    <m/>
    <x v="1"/>
    <m/>
    <s v="24/25"/>
    <s v="EGRESOS"/>
    <s v="EFECTIVO Y OTROS ACT LÍQ EQ."/>
  </r>
  <r>
    <x v="11"/>
    <d v="2025-12-16T00:00:00"/>
    <s v="DBCR 25413 S/DB TASA GRAL"/>
    <m/>
    <n v="37263.51"/>
    <n v="0"/>
    <n v="-37263.51"/>
    <n v="7229381.6399999997"/>
    <n v="1410"/>
    <n v="26.428021276595747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7T00:00:00"/>
    <s v="CHEQUE P/CAMARA"/>
    <s v="N60458287"/>
    <n v="250000"/>
    <n v="0"/>
    <n v="-250000"/>
    <n v="6979381.6399999997"/>
    <n v="1410"/>
    <n v="177.3049645390071"/>
    <n v="0"/>
    <s v="ARS"/>
    <s v="CC"/>
    <s v="MACRO"/>
    <x v="1"/>
    <x v="3"/>
    <x v="3"/>
    <s v="ADELANTO SUELDO 1/3"/>
    <s v="ANDRES TOLEDO"/>
    <m/>
    <x v="3"/>
    <m/>
    <s v="24/25"/>
    <s v="EGRESOS"/>
    <s v="EFECTIVO Y OTROS ACT LÍQ EQ."/>
  </r>
  <r>
    <x v="11"/>
    <d v="2025-12-17T00:00:00"/>
    <s v="DBCR 25413 S/DB TASA GRAL"/>
    <m/>
    <n v="1500"/>
    <n v="0"/>
    <n v="-1500"/>
    <n v="6977881.6399999997"/>
    <n v="1410"/>
    <n v="1.0638297872340425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7T00:00:00"/>
    <s v="DB TR..AUT.SDO.MISMO TIT."/>
    <m/>
    <n v="932912.3"/>
    <n v="0"/>
    <n v="-932912.3"/>
    <n v="6044969.3399999999"/>
    <n v="1410"/>
    <n v="661.63992907801423"/>
    <n v="0"/>
    <s v="ARS"/>
    <s v="CC"/>
    <s v="MACRO"/>
    <x v="0"/>
    <x v="0"/>
    <x v="0"/>
    <s v="HACIA CA MACRO"/>
    <m/>
    <m/>
    <x v="0"/>
    <m/>
    <m/>
    <m/>
    <m/>
  </r>
  <r>
    <x v="11"/>
    <d v="2025-12-18T00:00:00"/>
    <s v="CHEQUE P/CAMARA"/>
    <s v="N62739060"/>
    <n v="4480146"/>
    <n v="0"/>
    <n v="-4480146"/>
    <n v="1564823.34"/>
    <n v="1410"/>
    <n v="3177.4085106382977"/>
    <n v="0"/>
    <s v="ARS"/>
    <s v="CC"/>
    <s v="MACRO"/>
    <x v="2"/>
    <x v="4"/>
    <x v="5"/>
    <s v="SEMILLAS"/>
    <s v="EL JAQUE "/>
    <s v="FA2191"/>
    <x v="6"/>
    <m/>
    <s v="24/25"/>
    <s v="INSUMOS 2025"/>
    <s v="EFECTIVO Y OTROS ACT LÍQ EQ."/>
  </r>
  <r>
    <x v="11"/>
    <d v="2025-12-18T00:00:00"/>
    <s v="DBCR 25413 S/DB TASA GRAL"/>
    <m/>
    <n v="26880.880000000001"/>
    <n v="0"/>
    <n v="-26880.880000000001"/>
    <n v="1537942.46"/>
    <n v="1410"/>
    <n v="19.06445390070922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9T00:00:00"/>
    <s v="CHEQUE P/CAMARA"/>
    <s v="N60458306"/>
    <n v="185000"/>
    <n v="0"/>
    <n v="-185000"/>
    <n v="1352942.46"/>
    <n v="1410"/>
    <n v="131.20567375886526"/>
    <n v="0"/>
    <s v="ARS"/>
    <s v="CC"/>
    <s v="MACRO"/>
    <x v="3"/>
    <x v="5"/>
    <x v="45"/>
    <m/>
    <s v="CANSECO"/>
    <s v="FA79"/>
    <x v="6"/>
    <m/>
    <s v="24/25"/>
    <s v="BIENES Y SERVICIOS"/>
    <s v="EFECTIVO Y OTROS ACT LÍQ EQ."/>
  </r>
  <r>
    <x v="11"/>
    <d v="2025-12-19T00:00:00"/>
    <s v="SANCORSEG - SANCOR SEGUROS"/>
    <m/>
    <n v="8067"/>
    <n v="0"/>
    <n v="-8067"/>
    <n v="1344875.46"/>
    <n v="1450"/>
    <n v="5.5634482758620694"/>
    <n v="0"/>
    <s v="ARS"/>
    <s v="CC"/>
    <s v="MACRO"/>
    <x v="1"/>
    <x v="7"/>
    <x v="58"/>
    <m/>
    <m/>
    <m/>
    <x v="1"/>
    <m/>
    <s v="24/25"/>
    <s v="EGRESOS"/>
    <s v="EFECTIVO Y OTROS ACT LÍQ EQ."/>
  </r>
  <r>
    <x v="11"/>
    <d v="2025-12-19T00:00:00"/>
    <s v="DBCR 25413 S/DB TASA GRAL"/>
    <m/>
    <n v="1158.4000000000001"/>
    <n v="0"/>
    <n v="-1158.4000000000001"/>
    <n v="1343717.06"/>
    <n v="1450"/>
    <n v="0.7988965517241379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22T00:00:00"/>
    <s v="CHEQUE P/CAMARA"/>
    <s v="N60458300"/>
    <n v="1466676"/>
    <n v="0"/>
    <n v="-1466676"/>
    <n v="-122958.94"/>
    <n v="1450"/>
    <n v="1011.5006896551724"/>
    <n v="0"/>
    <s v="ARS"/>
    <s v="CC"/>
    <s v="MACRO"/>
    <x v="5"/>
    <x v="13"/>
    <x v="25"/>
    <m/>
    <s v="LA YUNTA VET"/>
    <s v="FA9445"/>
    <x v="6"/>
    <m/>
    <s v="24/25"/>
    <s v="BIENES Y SERVICIOS"/>
    <s v="EFECTIVO Y OTROS ACT LÍQ EQ."/>
  </r>
  <r>
    <x v="11"/>
    <d v="2025-12-22T00:00:00"/>
    <s v="CHEQUE P/CAMARA"/>
    <s v="N60458304"/>
    <n v="264500"/>
    <n v="0"/>
    <n v="-264500"/>
    <n v="-387458.94"/>
    <n v="1450"/>
    <n v="182.41379310344828"/>
    <n v="0"/>
    <s v="ARS"/>
    <s v="CC"/>
    <s v="MACRO"/>
    <x v="3"/>
    <x v="14"/>
    <x v="93"/>
    <m/>
    <s v="GARELLO"/>
    <m/>
    <x v="5"/>
    <m/>
    <s v="24/25"/>
    <s v="BIENES Y SERVICIOS"/>
    <s v="EFECTIVO Y OTROS ACT LÍQ EQ."/>
  </r>
  <r>
    <x v="11"/>
    <d v="2025-12-22T00:00:00"/>
    <s v="DEBITO FISCAL IVA BASICO"/>
    <m/>
    <n v="6352.5"/>
    <n v="0"/>
    <n v="-6352.5"/>
    <n v="-393811.44"/>
    <n v="1450"/>
    <n v="4.3810344827586203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22T00:00:00"/>
    <s v="DEBITO FISCAL IVA PERCEPCION"/>
    <m/>
    <n v="907.5"/>
    <n v="0"/>
    <n v="-907.5"/>
    <n v="-394718.94"/>
    <n v="1450"/>
    <n v="0.6258620689655172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22T00:00:00"/>
    <s v="COMISIÀN ADMINISTRACIÀN DE CHEQUERA"/>
    <m/>
    <n v="30250"/>
    <n v="0"/>
    <n v="-30250"/>
    <n v="-424968.94"/>
    <n v="1450"/>
    <n v="20.86206896551724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2T00:00:00"/>
    <s v="TRANSF. MACRONLINE E-SET D/T"/>
    <m/>
    <n v="30000"/>
    <n v="0"/>
    <n v="-30000"/>
    <n v="-454968.94"/>
    <n v="1450"/>
    <n v="20.689655172413794"/>
    <n v="0"/>
    <s v="ARS"/>
    <s v="CC"/>
    <s v="MACRO"/>
    <x v="2"/>
    <x v="4"/>
    <x v="94"/>
    <s v="ANALISIS SEMILLA"/>
    <s v="UNC"/>
    <s v="FA7603"/>
    <x v="6"/>
    <m/>
    <s v="24/25"/>
    <s v="BIENES Y SERVICIOS"/>
    <s v="EFECTIVO Y OTROS ACT LÍQ EQ."/>
  </r>
  <r>
    <x v="11"/>
    <d v="2025-12-22T00:00:00"/>
    <s v="TRANSF. MACRONLINE E-SET D/T"/>
    <m/>
    <n v="300000"/>
    <n v="0"/>
    <n v="-300000"/>
    <n v="-754968.94"/>
    <n v="1450"/>
    <n v="206.89655172413794"/>
    <n v="0"/>
    <s v="ARS"/>
    <s v="CC"/>
    <s v="MACRO"/>
    <x v="1"/>
    <x v="3"/>
    <x v="13"/>
    <m/>
    <s v="JULIO TOLEDO"/>
    <m/>
    <x v="3"/>
    <m/>
    <s v="25/26"/>
    <s v="EGRESOS"/>
    <s v="EFECTIVO Y OTROS ACT LÍQ EQ."/>
  </r>
  <r>
    <x v="11"/>
    <d v="2025-12-22T00:00:00"/>
    <s v="COMISION TRF. MACROL E-SET"/>
    <m/>
    <n v="18.149999999999999"/>
    <n v="0"/>
    <n v="-18.149999999999999"/>
    <n v="-754987.09"/>
    <n v="1450"/>
    <n v="1.2517241379310344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2T00:00:00"/>
    <s v="DBCR 25413 S/DB TASA GRAL"/>
    <m/>
    <n v="12592.23"/>
    <n v="0"/>
    <n v="-12592.23"/>
    <n v="-767579.32"/>
    <n v="1450"/>
    <n v="8.684296551724138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23T00:00:00"/>
    <s v="DB TR..AUT.SDO.MISMO TIT."/>
    <m/>
    <n v="911617.48"/>
    <n v="0"/>
    <n v="-911617.48"/>
    <n v="-1679196.8"/>
    <n v="1450"/>
    <n v="628.70171034482757"/>
    <n v="0"/>
    <s v="ARS"/>
    <s v="CC"/>
    <s v="MACRO"/>
    <x v="0"/>
    <x v="0"/>
    <x v="0"/>
    <s v="HACIA CA MACRO"/>
    <m/>
    <m/>
    <x v="0"/>
    <m/>
    <m/>
    <m/>
    <m/>
  </r>
  <r>
    <x v="11"/>
    <d v="2025-12-26T00:00:00"/>
    <s v="TRANSF. MACRONLINE E-SET D/T"/>
    <m/>
    <n v="278757.65000000002"/>
    <n v="0"/>
    <n v="-278757.65000000002"/>
    <n v="-1957954.45"/>
    <n v="1450"/>
    <n v="192.2466551724138"/>
    <n v="0"/>
    <s v="ARS"/>
    <s v="CC"/>
    <s v="MACRO"/>
    <x v="1"/>
    <x v="3"/>
    <x v="3"/>
    <s v="SAC"/>
    <s v="KEVIN TOLEDO"/>
    <m/>
    <x v="3"/>
    <m/>
    <s v="24/25"/>
    <s v="EGRESOS"/>
    <s v="EFECTIVO Y OTROS ACT LÍQ EQ."/>
  </r>
  <r>
    <x v="11"/>
    <d v="2025-12-26T00:00:00"/>
    <s v="COMISION TRF. MACROL E-SET"/>
    <m/>
    <n v="18.149999999999999"/>
    <n v="0"/>
    <n v="-18.149999999999999"/>
    <n v="-1957972.6"/>
    <n v="1450"/>
    <n v="1.2517241379310344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6T00:00:00"/>
    <s v="COMISION TRANSFERENCIAS"/>
    <m/>
    <n v="18.149999999999999"/>
    <n v="0"/>
    <n v="-18.149999999999999"/>
    <n v="-1957990.75"/>
    <n v="1450"/>
    <n v="1.2517241379310344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6T00:00:00"/>
    <s v="TRANSF:2512260000335867153786-20307048346"/>
    <m/>
    <n v="300000"/>
    <n v="0"/>
    <n v="-300000"/>
    <n v="-2257990.75"/>
    <n v="1450"/>
    <n v="206.89655172413794"/>
    <n v="0"/>
    <s v="ARS"/>
    <s v="CC"/>
    <s v="MACRO"/>
    <x v="1"/>
    <x v="3"/>
    <x v="13"/>
    <m/>
    <s v="CRISTIAN OLMEDO"/>
    <m/>
    <x v="3"/>
    <m/>
    <s v="25/26"/>
    <s v="EGRESOS"/>
    <s v="EFECTIVO Y OTROS ACT LÍQ EQ."/>
  </r>
  <r>
    <x v="11"/>
    <d v="2025-12-26T00:00:00"/>
    <s v="COMISION TRF. MACROL E-SET"/>
    <m/>
    <n v="18.149999999999999"/>
    <n v="0"/>
    <n v="-18.149999999999999"/>
    <n v="-2558008.9"/>
    <n v="1450"/>
    <n v="1.2517241379310344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6T00:00:00"/>
    <s v="TRANSF. MACRONLINE E-SET D/T"/>
    <m/>
    <n v="412462.95"/>
    <n v="0"/>
    <n v="-412462.95"/>
    <n v="-2970471.85"/>
    <n v="1450"/>
    <n v="284.45720689655172"/>
    <n v="0"/>
    <s v="ARS"/>
    <s v="CC"/>
    <s v="MACRO"/>
    <x v="1"/>
    <x v="3"/>
    <x v="3"/>
    <s v="SAC DICIEMBRE"/>
    <s v="ANDRES TOLEDO"/>
    <m/>
    <x v="3"/>
    <m/>
    <s v="24/25"/>
    <s v="EGRESOS"/>
    <s v="EFECTIVO Y OTROS ACT LÍQ EQ."/>
  </r>
  <r>
    <x v="11"/>
    <d v="2025-12-26T00:00:00"/>
    <s v="COMISION TRF. MACROL E-SET"/>
    <m/>
    <n v="121"/>
    <n v="0"/>
    <n v="-121"/>
    <n v="-2970592.85"/>
    <n v="1450"/>
    <n v="8.344827586206896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6T00:00:00"/>
    <s v="DBCR 25413 S/DB TASA GRAL"/>
    <m/>
    <n v="7748.39"/>
    <n v="0"/>
    <n v="-7748.39"/>
    <n v="-2978341.24"/>
    <n v="1450"/>
    <n v="5.343717241379310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29T00:00:00"/>
    <s v="TRANSF. MACRONLINE E-SET D/T"/>
    <m/>
    <n v="755379.13"/>
    <n v="0"/>
    <n v="-755379.13"/>
    <n v="-3733720.37"/>
    <n v="1450"/>
    <n v="520.95112413793106"/>
    <n v="0"/>
    <s v="ARS"/>
    <s v="CC"/>
    <s v="MACRO"/>
    <x v="3"/>
    <x v="5"/>
    <x v="45"/>
    <s v="BULONES TRANQUERA CARGADOR"/>
    <s v="BULONERA FENIX"/>
    <m/>
    <x v="6"/>
    <m/>
    <s v="24/25"/>
    <s v="BIENES Y SERVICIOS"/>
    <s v="EFECTIVO Y OTROS ACT LÍQ EQ."/>
  </r>
  <r>
    <x v="11"/>
    <d v="2025-12-29T00:00:00"/>
    <s v="COMISION TRF. MACROL E-SET"/>
    <m/>
    <n v="121"/>
    <n v="0"/>
    <n v="-121"/>
    <n v="-3733841.37"/>
    <n v="1450"/>
    <n v="8.344827586206896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9T00:00:00"/>
    <s v="DEBITO FISCAL IVA BASICO"/>
    <m/>
    <n v="3071.25"/>
    <n v="0"/>
    <n v="-3071.25"/>
    <n v="-3736912.62"/>
    <n v="1450"/>
    <n v="2.1181034482758623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29T00:00:00"/>
    <s v="DEBITO FISCAL IVA PERCEPCION"/>
    <m/>
    <n v="438.75"/>
    <n v="0"/>
    <n v="-438.75"/>
    <n v="-3737351.37"/>
    <n v="1450"/>
    <n v="0.3025862068965517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29T00:00:00"/>
    <s v="COMISION CHQ PAG CLEARING"/>
    <m/>
    <n v="14625"/>
    <n v="0"/>
    <n v="-14625"/>
    <n v="-3751976.37"/>
    <n v="1450"/>
    <n v="10.086206896551724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9T00:00:00"/>
    <s v="DBCR 25413 S/DB TASA GRAL"/>
    <m/>
    <n v="4641.8100000000004"/>
    <n v="0"/>
    <n v="-4641.8100000000004"/>
    <n v="-3756618.18"/>
    <n v="1450"/>
    <n v="3.201248275862069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29T00:00:00"/>
    <s v="DB TR..AUT.SDO.MISMO TIT."/>
    <m/>
    <n v="66987.53"/>
    <n v="0"/>
    <n v="-66987.53"/>
    <n v="-3823605.71"/>
    <n v="1450"/>
    <n v="46.198296551724134"/>
    <n v="0"/>
    <s v="ARS"/>
    <s v="CC"/>
    <s v="MACRO"/>
    <x v="0"/>
    <x v="0"/>
    <x v="0"/>
    <s v="DESDE CA MACRO"/>
    <m/>
    <m/>
    <x v="0"/>
    <m/>
    <s v="24/25"/>
    <m/>
    <m/>
  </r>
  <r>
    <x v="11"/>
    <d v="2025-12-30T00:00:00"/>
    <s v="TRANSF. MACRONLINE E-SET D/T"/>
    <m/>
    <n v="2000000"/>
    <n v="0"/>
    <n v="-2000000"/>
    <n v="-5823605.71"/>
    <n v="1450"/>
    <n v="1379.3103448275863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11"/>
    <d v="2025-12-30T00:00:00"/>
    <s v="COMISION TRF. MACROL E-SET"/>
    <m/>
    <n v="121"/>
    <n v="0"/>
    <n v="-121"/>
    <n v="-5823726.71"/>
    <n v="1450"/>
    <n v="8.344827586206896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30T00:00:00"/>
    <s v="DBCR 25413 S/DB TASA GRAL"/>
    <m/>
    <n v="12000.73"/>
    <n v="0"/>
    <n v="-12000.73"/>
    <n v="-5835727.4400000004"/>
    <n v="1450"/>
    <n v="8.276365517241378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4"/>
    <d v="2025-05-09T00:00:00"/>
    <s v="TRANSFERENCIA"/>
    <m/>
    <n v="0"/>
    <n v="600000"/>
    <n v="600000"/>
    <n v="0"/>
    <n v="1170"/>
    <n v="0"/>
    <n v="512.82051282051282"/>
    <m/>
    <s v="-"/>
    <s v="-"/>
    <x v="1"/>
    <x v="2"/>
    <x v="14"/>
    <s v="PARA PAGO MARTIN"/>
    <s v="RAUL"/>
    <m/>
    <x v="8"/>
    <s v="RAUL"/>
    <s v="24/25"/>
    <s v="EFECTIVO Y OTROS ACT LÍQ EQ."/>
    <s v="APORTES DE CAPITAL"/>
  </r>
  <r>
    <x v="4"/>
    <d v="2025-05-09T00:00:00"/>
    <s v="EFECTIVO"/>
    <m/>
    <n v="500000"/>
    <n v="0"/>
    <n v="-500000"/>
    <n v="0"/>
    <n v="1170"/>
    <n v="427.35042735042737"/>
    <n v="0"/>
    <m/>
    <s v="-"/>
    <s v="-"/>
    <x v="1"/>
    <x v="3"/>
    <x v="3"/>
    <s v="PERIODO ABRIL"/>
    <s v="ANDRES TOLEDO"/>
    <m/>
    <x v="3"/>
    <m/>
    <s v="24/25"/>
    <s v="EGRESOS"/>
    <s v="EFECTIVO Y OTROS ACT LÍQ EQ."/>
  </r>
  <r>
    <x v="4"/>
    <d v="2025-05-09T00:00:00"/>
    <s v="EFECTIVO"/>
    <m/>
    <n v="100000"/>
    <n v="0"/>
    <n v="-100000"/>
    <n v="0"/>
    <n v="1170"/>
    <n v="85.470085470085465"/>
    <n v="0"/>
    <m/>
    <s v="-"/>
    <s v="-"/>
    <x v="1"/>
    <x v="3"/>
    <x v="13"/>
    <m/>
    <s v="MARTIN TOLEDO"/>
    <m/>
    <x v="3"/>
    <m/>
    <s v="24/25"/>
    <s v="EGRESOS"/>
    <s v="EFECTIVO Y OTROS ACT LÍQ EQ."/>
  </r>
  <r>
    <x v="4"/>
    <d v="2025-05-10T00:00:00"/>
    <s v="TRANSFERENCIA"/>
    <m/>
    <n v="0"/>
    <n v="100000"/>
    <n v="100000"/>
    <n v="0"/>
    <n v="1170"/>
    <n v="0"/>
    <n v="85.470085470085465"/>
    <m/>
    <s v="-"/>
    <s v="-"/>
    <x v="1"/>
    <x v="2"/>
    <x v="14"/>
    <s v="PARA PAGO MARTIN"/>
    <s v="RAUL"/>
    <m/>
    <x v="8"/>
    <s v="RAUL"/>
    <s v="24/25"/>
    <s v="EFECTIVO Y OTROS ACT LÍQ EQ."/>
    <s v="APORTES DE CAPITAL"/>
  </r>
  <r>
    <x v="4"/>
    <d v="2025-05-10T00:00:00"/>
    <s v="EFECTIVO"/>
    <m/>
    <n v="100000"/>
    <n v="0"/>
    <n v="-100000"/>
    <n v="0"/>
    <n v="1170"/>
    <n v="85.470085470085465"/>
    <n v="0"/>
    <m/>
    <s v="-"/>
    <s v="-"/>
    <x v="1"/>
    <x v="3"/>
    <x v="13"/>
    <m/>
    <s v="MARTIN TOLEDO"/>
    <m/>
    <x v="3"/>
    <m/>
    <s v="24/25"/>
    <s v="EGRESOS"/>
    <s v="EFECTIVO Y OTROS ACT LÍQ EQ."/>
  </r>
  <r>
    <x v="4"/>
    <d v="2025-05-26T00:00:00"/>
    <s v="EFECTIVO"/>
    <m/>
    <n v="500000"/>
    <n v="0"/>
    <n v="-500000"/>
    <n v="0"/>
    <n v="1170"/>
    <n v="427.35042735042737"/>
    <n v="0"/>
    <s v="-"/>
    <s v="-"/>
    <s v="-"/>
    <x v="1"/>
    <x v="3"/>
    <x v="3"/>
    <s v="PERIODO MAYO 25"/>
    <s v="ANDRES TOLEDO"/>
    <m/>
    <x v="3"/>
    <m/>
    <s v="24/25"/>
    <s v="EGRESOS"/>
    <s v="EFECTIVO Y OTROS ACT LÍQ EQ."/>
  </r>
  <r>
    <x v="4"/>
    <d v="2025-05-16T00:00:00"/>
    <s v="EFECTIVO"/>
    <m/>
    <n v="0"/>
    <n v="17021.73"/>
    <n v="17021.73"/>
    <n v="0"/>
    <n v="1170"/>
    <n v="0"/>
    <n v="14.548487179487179"/>
    <s v="-"/>
    <s v="-"/>
    <s v="-"/>
    <x v="1"/>
    <x v="2"/>
    <x v="14"/>
    <s v="PARA UATRE"/>
    <s v="CLAUDIA ERRECALDE"/>
    <m/>
    <x v="8"/>
    <s v="CLAUDIA"/>
    <s v="24/25"/>
    <s v="EFECTIVO Y OTROS ACT LÍQ EQ."/>
    <s v="APORTES DE CAPITAL"/>
  </r>
  <r>
    <x v="3"/>
    <d v="2025-04-21T00:00:00"/>
    <s v="EFECTIVO"/>
    <m/>
    <n v="0"/>
    <n v="45000"/>
    <n v="45000"/>
    <n v="0"/>
    <n v="1170"/>
    <n v="0"/>
    <n v="38.46153846153846"/>
    <s v="-"/>
    <s v="-"/>
    <s v="-"/>
    <x v="1"/>
    <x v="2"/>
    <x v="14"/>
    <s v="PARA PAGO MARTIN"/>
    <s v="RAUL"/>
    <m/>
    <x v="8"/>
    <s v="RAUL"/>
    <s v="24/25"/>
    <s v="EFECTIVO Y OTROS ACT LÍQ EQ."/>
    <s v="APORTES DE CAPITAL"/>
  </r>
  <r>
    <x v="3"/>
    <d v="2025-04-21T00:00:00"/>
    <s v="EFECTIVO"/>
    <m/>
    <n v="45000"/>
    <n v="0"/>
    <n v="-45000"/>
    <n v="0"/>
    <n v="1170"/>
    <n v="38.46153846153846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4"/>
    <d v="2025-05-16T00:00:00"/>
    <s v="EFECTIVO"/>
    <m/>
    <n v="17021.73"/>
    <n v="0"/>
    <n v="-17021.73"/>
    <n v="0"/>
    <n v="1170"/>
    <n v="14.548487179487179"/>
    <n v="0"/>
    <s v="-"/>
    <s v="-"/>
    <s v="-"/>
    <x v="1"/>
    <x v="3"/>
    <x v="3"/>
    <s v="UATRE ABRIL"/>
    <s v="ANDRES TOLEDO"/>
    <m/>
    <x v="3"/>
    <m/>
    <s v="24/25"/>
    <s v="EGRESOS"/>
    <s v="EFECTIVO Y OTROS ACT LÍQ EQ."/>
  </r>
  <r>
    <x v="5"/>
    <d v="2025-06-16T00:00:00"/>
    <s v="EFECTIVO"/>
    <m/>
    <n v="0"/>
    <n v="402358"/>
    <n v="402358"/>
    <n v="0"/>
    <n v="1170"/>
    <n v="0"/>
    <n v="343.89572649572648"/>
    <s v="-"/>
    <s v="-"/>
    <s v="-"/>
    <x v="1"/>
    <x v="11"/>
    <x v="14"/>
    <s v="PERIODO JUNIO"/>
    <s v="BECERRA ADRIAN"/>
    <m/>
    <x v="10"/>
    <m/>
    <s v="24/25"/>
    <s v="EFECTIVO Y OTROS ACT LÍQ EQ."/>
    <s v="DEUDAS FINANCIERAS CP"/>
  </r>
  <r>
    <x v="5"/>
    <d v="2025-06-06T00:00:00"/>
    <s v="EFECTIVO"/>
    <m/>
    <n v="55200"/>
    <n v="0"/>
    <n v="-55200"/>
    <n v="0"/>
    <n v="1170"/>
    <n v="47.179487179487182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5"/>
    <d v="2025-06-01T00:00:00"/>
    <s v="EFECTIVO"/>
    <m/>
    <n v="49000"/>
    <n v="0"/>
    <n v="-49000"/>
    <n v="0"/>
    <n v="1170"/>
    <n v="41.880341880341881"/>
    <n v="0"/>
    <s v="-"/>
    <s v="-"/>
    <s v="-"/>
    <x v="3"/>
    <x v="5"/>
    <x v="40"/>
    <s v="ASADO CAMPO"/>
    <m/>
    <m/>
    <x v="6"/>
    <m/>
    <s v="24/25"/>
    <s v="BIENES Y SERVICIOS"/>
    <s v="EFECTIVO Y OTROS ACT LÍQ EQ."/>
  </r>
  <r>
    <x v="5"/>
    <d v="2025-06-05T00:00:00"/>
    <s v="EFECTIVO"/>
    <m/>
    <n v="66158"/>
    <n v="0"/>
    <n v="-66158"/>
    <n v="0"/>
    <n v="1170"/>
    <n v="56.545299145299147"/>
    <n v="0"/>
    <s v="-"/>
    <s v="-"/>
    <s v="-"/>
    <x v="1"/>
    <x v="2"/>
    <x v="30"/>
    <s v="SEGUROS"/>
    <s v="RAUL"/>
    <m/>
    <x v="2"/>
    <s v="RAUL"/>
    <s v="24/25"/>
    <s v="FUTURAS UT. ADL RAUL"/>
    <s v="EFECTIVO Y OTROS ACT LÍQ EQ."/>
  </r>
  <r>
    <x v="5"/>
    <d v="2025-06-05T00:00:00"/>
    <s v="EFECTIVO"/>
    <m/>
    <n v="100000"/>
    <n v="0"/>
    <n v="-100000"/>
    <n v="0"/>
    <n v="1170"/>
    <n v="85.470085470085465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5"/>
    <d v="2025-06-01T00:00:00"/>
    <s v="EFECTIVO"/>
    <m/>
    <n v="32000"/>
    <n v="0"/>
    <n v="-32000"/>
    <n v="0"/>
    <n v="1170"/>
    <n v="27.350427350427349"/>
    <n v="0"/>
    <s v="-"/>
    <s v="-"/>
    <s v="-"/>
    <x v="3"/>
    <x v="5"/>
    <x v="28"/>
    <s v="LIMPIEZA CASA CAMPO"/>
    <s v="GRACIELA"/>
    <m/>
    <x v="5"/>
    <m/>
    <s v="24/25"/>
    <s v="BIENES Y SERVICIOS"/>
    <s v="EFECTIVO Y OTROS ACT LÍQ EQ."/>
  </r>
  <r>
    <x v="5"/>
    <d v="2025-06-05T00:00:00"/>
    <s v="EFECTIVO"/>
    <m/>
    <n v="0"/>
    <n v="700000"/>
    <n v="700000"/>
    <n v="0"/>
    <n v="1170"/>
    <n v="0"/>
    <n v="598.29059829059827"/>
    <s v="-"/>
    <s v="-"/>
    <s v="-"/>
    <x v="1"/>
    <x v="11"/>
    <x v="14"/>
    <s v="PERIODO JUNIO"/>
    <s v="BECERRA ADRIAN"/>
    <m/>
    <x v="10"/>
    <m/>
    <s v="24/25"/>
    <s v="EFECTIVO Y OTROS ACT LÍQ EQ."/>
    <s v="DEUDAS FINANCIERAS CP"/>
  </r>
  <r>
    <x v="5"/>
    <d v="2025-06-05T00:00:00"/>
    <s v="EFECTIVO"/>
    <m/>
    <n v="200000"/>
    <n v="0"/>
    <n v="-200000"/>
    <n v="0"/>
    <n v="1170"/>
    <n v="170.94017094017093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5"/>
    <d v="2025-06-19T00:00:00"/>
    <s v="EFECTIVO"/>
    <m/>
    <n v="0"/>
    <n v="17473"/>
    <n v="17473"/>
    <n v="0"/>
    <n v="1170"/>
    <n v="0"/>
    <n v="14.934188034188034"/>
    <s v="-"/>
    <s v="-"/>
    <s v="-"/>
    <x v="1"/>
    <x v="2"/>
    <x v="14"/>
    <m/>
    <s v="RAUL"/>
    <m/>
    <x v="8"/>
    <s v="RAUL"/>
    <s v="24/25"/>
    <s v="EFECTIVO Y OTROS ACT LÍQ EQ."/>
    <s v="APORTES DE CAPITAL"/>
  </r>
  <r>
    <x v="5"/>
    <d v="2025-06-19T00:00:00"/>
    <s v="EFECTIVO"/>
    <m/>
    <n v="17473"/>
    <n v="0"/>
    <n v="-17473"/>
    <n v="0"/>
    <n v="1170"/>
    <n v="14.934188034188034"/>
    <n v="0"/>
    <s v="-"/>
    <s v="-"/>
    <s v="-"/>
    <x v="1"/>
    <x v="3"/>
    <x v="3"/>
    <s v="UATRE MAYO"/>
    <s v="ANDRES TOLEDO"/>
    <m/>
    <x v="3"/>
    <m/>
    <s v="24/25"/>
    <s v="EGRESOS"/>
    <s v="EFECTIVO Y OTROS ACT LÍQ EQ."/>
  </r>
  <r>
    <x v="5"/>
    <d v="2025-06-19T00:00:00"/>
    <s v="EFECTIVO"/>
    <m/>
    <n v="0"/>
    <n v="350000"/>
    <n v="350000"/>
    <n v="0"/>
    <n v="1170"/>
    <n v="0"/>
    <n v="299.14529914529913"/>
    <s v="-"/>
    <s v="-"/>
    <s v="-"/>
    <x v="1"/>
    <x v="11"/>
    <x v="95"/>
    <s v="PAGO CN 2 GOMAS A FACUNDO DE DIOS- PARTE DE DEVOLUCION"/>
    <s v="SANTIAGO ERRECALDE"/>
    <m/>
    <x v="10"/>
    <m/>
    <s v="24/25"/>
    <s v="EFECTIVO Y OTROS ACT LÍQ EQ."/>
    <s v="ACREEDORES CORTO PLAZO"/>
  </r>
  <r>
    <x v="5"/>
    <d v="2025-06-19T00:00:00"/>
    <s v="EFECTIVO"/>
    <m/>
    <n v="350000"/>
    <n v="0"/>
    <n v="-350000"/>
    <n v="0"/>
    <n v="1170"/>
    <n v="299.14529914529913"/>
    <n v="0"/>
    <s v="-"/>
    <s v="-"/>
    <s v="-"/>
    <x v="5"/>
    <x v="13"/>
    <x v="23"/>
    <s v="HACIENDA"/>
    <s v="FACUNDO DE DIOS "/>
    <m/>
    <x v="6"/>
    <m/>
    <s v="24/25"/>
    <s v="BIENES Y SERVICIOS"/>
    <s v="EFECTIVO Y OTROS ACT LÍQ EQ."/>
  </r>
  <r>
    <x v="5"/>
    <d v="2025-06-23T00:00:00"/>
    <s v="EFECTIVO"/>
    <m/>
    <n v="0"/>
    <n v="593826"/>
    <n v="593826"/>
    <n v="0"/>
    <n v="1170"/>
    <n v="0"/>
    <n v="507.54358974358973"/>
    <s v="-"/>
    <s v="-"/>
    <s v="-"/>
    <x v="1"/>
    <x v="11"/>
    <x v="14"/>
    <s v="PAGO VARIOS"/>
    <s v="BECERRA ADRIAN"/>
    <m/>
    <x v="10"/>
    <m/>
    <s v="24/25"/>
    <s v="EFECTIVO Y OTROS ACT LÍQ EQ."/>
    <s v="DEUDAS FINANCIERAS CP"/>
  </r>
  <r>
    <x v="5"/>
    <d v="2025-06-23T00:00:00"/>
    <s v="EFECTIVO"/>
    <m/>
    <n v="150000"/>
    <n v="0"/>
    <n v="-150000"/>
    <n v="0"/>
    <n v="1170"/>
    <n v="128.2051282051282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5"/>
    <d v="2025-06-23T00:00:00"/>
    <s v="EFECTIVO"/>
    <m/>
    <n v="53800"/>
    <n v="0"/>
    <n v="-53800"/>
    <n v="0"/>
    <n v="1170"/>
    <n v="45.982905982905983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5"/>
    <d v="2025-06-23T00:00:00"/>
    <s v="EFECTIVO"/>
    <m/>
    <n v="390026"/>
    <n v="0"/>
    <n v="-390026"/>
    <n v="0"/>
    <n v="1170"/>
    <n v="333.35555555555555"/>
    <n v="0"/>
    <s v="-"/>
    <s v="-"/>
    <s v="-"/>
    <x v="5"/>
    <x v="13"/>
    <x v="23"/>
    <s v="HACIENDA"/>
    <s v="FACUNDO DE DIOS "/>
    <m/>
    <x v="6"/>
    <m/>
    <s v="24/25"/>
    <s v="BIENES Y SERVICIOS"/>
    <s v="EFECTIVO Y OTROS ACT LÍQ EQ."/>
  </r>
  <r>
    <x v="6"/>
    <d v="2025-07-08T00:00:00"/>
    <s v="EFECTIVO"/>
    <m/>
    <n v="0"/>
    <n v="1125403"/>
    <n v="1125403"/>
    <n v="0"/>
    <n v="1170"/>
    <n v="0"/>
    <n v="961.88290598290598"/>
    <s v="-"/>
    <s v="-"/>
    <s v="-"/>
    <x v="1"/>
    <x v="11"/>
    <x v="30"/>
    <m/>
    <s v="BECERRA ADRIAN"/>
    <m/>
    <x v="10"/>
    <m/>
    <s v="24/25"/>
    <s v="DEUDAS FINANCIERAS CP"/>
    <s v="EFECTIVO Y OTROS ACT LÍQ EQ."/>
  </r>
  <r>
    <x v="6"/>
    <d v="2025-07-08T00:00:00"/>
    <s v="EFECTIVO"/>
    <m/>
    <n v="70000"/>
    <n v="0"/>
    <n v="-70000"/>
    <n v="0"/>
    <n v="1170"/>
    <n v="59.82905982905983"/>
    <n v="0"/>
    <s v="-"/>
    <s v="-"/>
    <s v="-"/>
    <x v="1"/>
    <x v="3"/>
    <x v="13"/>
    <m/>
    <s v="BETO RODRIGUEZ"/>
    <m/>
    <x v="3"/>
    <m/>
    <s v="24/25"/>
    <s v="EGRESOS"/>
    <s v="EFECTIVO Y OTROS ACT LÍQ EQ."/>
  </r>
  <r>
    <x v="6"/>
    <d v="2025-07-08T00:00:00"/>
    <s v="EFECTIVO"/>
    <m/>
    <n v="30000"/>
    <n v="0"/>
    <n v="-30000"/>
    <n v="0"/>
    <n v="1170"/>
    <n v="25.641025641025642"/>
    <n v="0"/>
    <s v="-"/>
    <s v="-"/>
    <s v="-"/>
    <x v="4"/>
    <x v="9"/>
    <x v="12"/>
    <m/>
    <s v="NORMA TOLEDO"/>
    <m/>
    <x v="1"/>
    <m/>
    <s v="24/25"/>
    <s v="EGRESOS"/>
    <s v="EFECTIVO Y OTROS ACT LÍQ EQ."/>
  </r>
  <r>
    <x v="6"/>
    <d v="2025-07-08T00:00:00"/>
    <s v="EFECTIVO"/>
    <m/>
    <n v="150000"/>
    <n v="0"/>
    <n v="-150000"/>
    <n v="0"/>
    <n v="1170"/>
    <n v="128.2051282051282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6"/>
    <d v="2025-07-08T00:00:00"/>
    <s v="EFECTIVO"/>
    <m/>
    <n v="1862"/>
    <n v="0"/>
    <n v="-1862"/>
    <n v="0"/>
    <n v="1170"/>
    <n v="1.5914529914529914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6"/>
    <d v="2025-07-08T00:00:00"/>
    <s v="EFECTIVO"/>
    <m/>
    <n v="70635"/>
    <n v="0"/>
    <n v="-70635"/>
    <n v="0"/>
    <n v="1170"/>
    <n v="60.371794871794869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6"/>
    <d v="2025-07-08T00:00:00"/>
    <s v="EFECTIVO"/>
    <m/>
    <n v="1552100"/>
    <n v="0"/>
    <n v="-1552100"/>
    <n v="0"/>
    <n v="1170"/>
    <n v="1326.5811965811965"/>
    <n v="0"/>
    <s v="-"/>
    <s v="-"/>
    <s v="-"/>
    <x v="1"/>
    <x v="3"/>
    <x v="3"/>
    <s v="SUELDO JUNIO+SAC+EXTRA"/>
    <s v="ANDRES TOLEDO"/>
    <m/>
    <x v="3"/>
    <m/>
    <s v="24/25"/>
    <s v="EGRESOS"/>
    <s v="EFECTIVO Y OTROS ACT LÍQ EQ."/>
  </r>
  <r>
    <x v="6"/>
    <d v="2025-07-16T00:00:00"/>
    <s v="TRANSF. MACRONLINE E-SET D/T"/>
    <m/>
    <n v="0"/>
    <n v="311050"/>
    <n v="311050"/>
    <n v="0"/>
    <n v="1170"/>
    <n v="0"/>
    <n v="265.85470085470087"/>
    <s v="-"/>
    <s v="-"/>
    <s v="-"/>
    <x v="1"/>
    <x v="11"/>
    <x v="14"/>
    <s v="PARA PAGO CONCEPTOS"/>
    <s v="BECERRA ADRIAN"/>
    <m/>
    <x v="10"/>
    <m/>
    <s v="24/25"/>
    <s v="EFECTIVO Y OTROS ACT LÍQ EQ."/>
    <s v="DEUDAS FINANCIERAS CP"/>
  </r>
  <r>
    <x v="6"/>
    <d v="2025-07-16T00:00:00"/>
    <s v="TRANSF. MACRONLINE E-SET D/T"/>
    <m/>
    <n v="12000"/>
    <n v="0"/>
    <n v="-12000"/>
    <n v="0"/>
    <n v="1170"/>
    <n v="10.256410256410257"/>
    <n v="0"/>
    <s v="-"/>
    <s v="-"/>
    <s v="-"/>
    <x v="1"/>
    <x v="7"/>
    <x v="96"/>
    <s v="MANI"/>
    <m/>
    <m/>
    <x v="1"/>
    <m/>
    <s v="24/25"/>
    <s v="EGRESOS"/>
    <s v="EFECTIVO Y OTROS ACT LÍQ EQ."/>
  </r>
  <r>
    <x v="6"/>
    <d v="2025-07-16T00:00:00"/>
    <s v="TRANSF. MACRONLINE E-SET D/T"/>
    <m/>
    <n v="150000"/>
    <n v="0"/>
    <n v="-150000"/>
    <n v="0"/>
    <n v="1170"/>
    <n v="128.2051282051282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6"/>
    <d v="2025-07-16T00:00:00"/>
    <s v="TRANSF. MACRONLINE E-SET D/T"/>
    <m/>
    <n v="5500"/>
    <n v="0"/>
    <n v="-5500"/>
    <n v="0"/>
    <n v="1170"/>
    <n v="4.700854700854701"/>
    <n v="0"/>
    <s v="-"/>
    <s v="-"/>
    <s v="-"/>
    <x v="1"/>
    <x v="3"/>
    <x v="3"/>
    <s v="OSECAC"/>
    <s v="KEVIN TOLEDO"/>
    <m/>
    <x v="3"/>
    <m/>
    <s v="24/25"/>
    <s v="EGRESOS"/>
    <s v="EFECTIVO Y OTROS ACT LÍQ EQ."/>
  </r>
  <r>
    <x v="6"/>
    <d v="2025-07-16T00:00:00"/>
    <s v="TRANSF. MACRONLINE E-SET D/T"/>
    <m/>
    <n v="4372"/>
    <n v="0"/>
    <n v="-4372"/>
    <n v="0"/>
    <n v="1170"/>
    <n v="3.7367521367521368"/>
    <n v="0"/>
    <s v="-"/>
    <s v="-"/>
    <s v="-"/>
    <x v="1"/>
    <x v="3"/>
    <x v="3"/>
    <s v="FAECYS"/>
    <s v="KEVIN TOLEDO"/>
    <m/>
    <x v="3"/>
    <m/>
    <s v="24/25"/>
    <s v="EGRESOS"/>
    <s v="EFECTIVO Y OTROS ACT LÍQ EQ."/>
  </r>
  <r>
    <x v="6"/>
    <d v="2025-07-16T00:00:00"/>
    <s v="TRANSF. MACRONLINE E-SET D/T"/>
    <m/>
    <n v="55200"/>
    <n v="0"/>
    <n v="-55200"/>
    <n v="0"/>
    <n v="1170"/>
    <n v="47.179487179487182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6"/>
    <d v="2025-07-16T00:00:00"/>
    <s v="TRANSF. MACRONLINE E-SET D/T"/>
    <m/>
    <n v="55200"/>
    <n v="0"/>
    <n v="-55200"/>
    <n v="0"/>
    <n v="1170"/>
    <n v="47.179487179487182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6"/>
    <d v="2025-07-16T00:00:00"/>
    <s v="TRANSF. MACRONLINE E-SET D/T"/>
    <m/>
    <n v="28778"/>
    <n v="0"/>
    <n v="-28778"/>
    <n v="0"/>
    <n v="1170"/>
    <n v="24.596581196581198"/>
    <n v="0"/>
    <s v="-"/>
    <s v="-"/>
    <s v="-"/>
    <x v="1"/>
    <x v="3"/>
    <x v="3"/>
    <s v="UATRE JUNIO"/>
    <s v="ANDRES TOLEDO"/>
    <m/>
    <x v="3"/>
    <m/>
    <s v="24/25"/>
    <s v="EGRESOS"/>
    <s v="EFECTIVO Y OTROS ACT LÍQ EQ."/>
  </r>
  <r>
    <x v="6"/>
    <d v="2025-07-19T00:00:00"/>
    <s v="TRANSF. MACRONLINE E-SET D/T"/>
    <m/>
    <n v="0"/>
    <n v="2871060"/>
    <n v="2871060"/>
    <n v="0"/>
    <n v="1290"/>
    <n v="0"/>
    <n v="2225.6279069767443"/>
    <s v="-"/>
    <s v="-"/>
    <s v="-"/>
    <x v="1"/>
    <x v="11"/>
    <x v="14"/>
    <s v="PARA PAGO CONCEPTOS"/>
    <s v="BECERRA ADRIAN"/>
    <m/>
    <x v="10"/>
    <m/>
    <s v="24/25"/>
    <s v="EFECTIVO Y OTROS ACT LÍQ EQ."/>
    <s v="DEUDAS FINANCIERAS CP"/>
  </r>
  <r>
    <x v="6"/>
    <d v="2025-07-19T00:00:00"/>
    <s v="EFECTIVO"/>
    <m/>
    <n v="100000"/>
    <n v="0"/>
    <n v="-100000"/>
    <n v="0"/>
    <n v="1290"/>
    <n v="77.519379844961236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6"/>
    <d v="2025-07-19T00:00:00"/>
    <s v="TRANSF. MACRONLINE E-SET D/T"/>
    <m/>
    <n v="3000"/>
    <n v="0"/>
    <n v="-3000"/>
    <n v="0"/>
    <n v="1290"/>
    <n v="2.3255813953488373"/>
    <n v="0"/>
    <s v="-"/>
    <s v="-"/>
    <s v="-"/>
    <x v="3"/>
    <x v="5"/>
    <x v="28"/>
    <s v="AFILADO DE CADENA"/>
    <s v="BENITEZ"/>
    <m/>
    <x v="5"/>
    <m/>
    <s v="24/25"/>
    <s v="BIENES Y SERVICIOS"/>
    <s v="EFECTIVO Y OTROS ACT LÍQ EQ."/>
  </r>
  <r>
    <x v="6"/>
    <d v="2025-07-22T00:00:00"/>
    <s v="EFECTIVO"/>
    <m/>
    <n v="20000"/>
    <n v="0"/>
    <n v="-20000"/>
    <n v="0"/>
    <n v="1290"/>
    <n v="15.503875968992247"/>
    <n v="0"/>
    <s v="-"/>
    <s v="-"/>
    <s v="-"/>
    <x v="3"/>
    <x v="8"/>
    <x v="11"/>
    <s v="LAVADERO"/>
    <m/>
    <m/>
    <x v="5"/>
    <m/>
    <s v="24/25"/>
    <s v="BIENES Y SERVICIOS"/>
    <s v="EFECTIVO Y OTROS ACT LÍQ EQ."/>
  </r>
  <r>
    <x v="6"/>
    <d v="2025-07-22T00:00:00"/>
    <s v="EFECTIVO"/>
    <m/>
    <n v="5000"/>
    <n v="0"/>
    <n v="-5000"/>
    <n v="0"/>
    <n v="1290"/>
    <n v="3.8759689922480618"/>
    <n v="0"/>
    <s v="-"/>
    <s v="-"/>
    <s v="-"/>
    <x v="1"/>
    <x v="7"/>
    <x v="9"/>
    <s v="FLETES"/>
    <s v="LA YUNTA VET"/>
    <m/>
    <x v="1"/>
    <m/>
    <s v="24/25"/>
    <s v="EGRESOS"/>
    <s v="EFECTIVO Y OTROS ACT LÍQ EQ."/>
  </r>
  <r>
    <x v="6"/>
    <d v="2025-07-22T00:00:00"/>
    <s v="EFECTIVO"/>
    <m/>
    <n v="12000"/>
    <n v="0"/>
    <n v="-12000"/>
    <n v="0"/>
    <n v="1290"/>
    <n v="9.3023255813953494"/>
    <n v="0"/>
    <s v="-"/>
    <s v="-"/>
    <s v="-"/>
    <x v="1"/>
    <x v="7"/>
    <x v="96"/>
    <s v="FLETE HUINCA CONTRATO MANI"/>
    <m/>
    <m/>
    <x v="1"/>
    <m/>
    <s v="24/25"/>
    <s v="EGRESOS"/>
    <s v="EFECTIVO Y OTROS ACT LÍQ EQ."/>
  </r>
  <r>
    <x v="6"/>
    <d v="2025-07-24T00:00:00"/>
    <s v="EFECTIVO"/>
    <m/>
    <n v="105000"/>
    <n v="0"/>
    <n v="-105000"/>
    <n v="0"/>
    <n v="1290"/>
    <n v="81.395348837209298"/>
    <n v="0"/>
    <s v="-"/>
    <s v="-"/>
    <s v="-"/>
    <x v="1"/>
    <x v="3"/>
    <x v="13"/>
    <m/>
    <s v="BETO RODRIGUEZ"/>
    <m/>
    <x v="3"/>
    <m/>
    <s v="24/25"/>
    <s v="EGRESOS"/>
    <s v="EFECTIVO Y OTROS ACT LÍQ EQ."/>
  </r>
  <r>
    <x v="6"/>
    <d v="2025-07-26T00:00:00"/>
    <s v="EFECTIVO"/>
    <m/>
    <n v="50000"/>
    <n v="0"/>
    <n v="-50000"/>
    <n v="0"/>
    <n v="1290"/>
    <n v="38.759689922480618"/>
    <n v="0"/>
    <s v="-"/>
    <s v="-"/>
    <s v="-"/>
    <x v="3"/>
    <x v="8"/>
    <x v="11"/>
    <s v="CAÑO DE ESCAPE"/>
    <m/>
    <m/>
    <x v="1"/>
    <m/>
    <s v="24/25"/>
    <s v="EGRESOS"/>
    <s v="EFECTIVO Y OTROS ACT LÍQ EQ."/>
  </r>
  <r>
    <x v="6"/>
    <d v="2025-07-26T00:00:00"/>
    <s v="EFECTIVO"/>
    <m/>
    <n v="150000"/>
    <n v="0"/>
    <n v="-150000"/>
    <n v="0"/>
    <n v="1290"/>
    <n v="116.27906976744185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6"/>
    <d v="2025-07-28T00:00:00"/>
    <s v="EFECTIVO"/>
    <m/>
    <n v="54900"/>
    <n v="0"/>
    <n v="-54900"/>
    <n v="0"/>
    <n v="1290"/>
    <n v="42.558139534883722"/>
    <n v="0"/>
    <s v="-"/>
    <s v="-"/>
    <s v="-"/>
    <x v="3"/>
    <x v="5"/>
    <x v="28"/>
    <m/>
    <s v="DIRECTV"/>
    <m/>
    <x v="6"/>
    <m/>
    <s v="24/25"/>
    <s v="BIENES Y SERVICIOS"/>
    <s v="EFECTIVO Y OTROS ACT LÍQ EQ."/>
  </r>
  <r>
    <x v="6"/>
    <d v="2025-07-30T00:00:00"/>
    <s v="EFECTIVO"/>
    <m/>
    <n v="25000"/>
    <n v="0"/>
    <n v="-25000"/>
    <n v="0"/>
    <n v="1290"/>
    <n v="19.379844961240309"/>
    <n v="0"/>
    <s v="-"/>
    <s v="-"/>
    <s v="-"/>
    <x v="1"/>
    <x v="7"/>
    <x v="96"/>
    <s v="FLETE RIO IV CONTRATO MANI"/>
    <m/>
    <m/>
    <x v="1"/>
    <m/>
    <s v="24/25"/>
    <s v="EGRESOS"/>
    <s v="EFECTIVO Y OTROS ACT LÍQ EQ."/>
  </r>
  <r>
    <x v="7"/>
    <d v="2025-08-01T00:00:00"/>
    <s v="EFECTIVO"/>
    <m/>
    <n v="66160"/>
    <n v="0"/>
    <n v="-66160"/>
    <n v="0"/>
    <n v="1290"/>
    <n v="51.286821705426355"/>
    <n v="0"/>
    <s v="-"/>
    <s v="-"/>
    <s v="-"/>
    <x v="1"/>
    <x v="2"/>
    <x v="30"/>
    <s v="SEGUROS"/>
    <s v="RAUL"/>
    <m/>
    <x v="2"/>
    <s v="RAUL"/>
    <s v="24/25"/>
    <s v="FUTURAS UT. ADL RAUL"/>
    <s v="EFECTIVO Y OTROS ACT LÍQ EQ."/>
  </r>
  <r>
    <x v="7"/>
    <d v="2025-08-04T00:00:00"/>
    <s v="EFECTIVO"/>
    <m/>
    <n v="400000"/>
    <n v="0"/>
    <n v="-400000"/>
    <n v="0"/>
    <n v="1290"/>
    <n v="310.07751937984494"/>
    <n v="0"/>
    <s v="-"/>
    <s v="-"/>
    <s v="-"/>
    <x v="1"/>
    <x v="2"/>
    <x v="30"/>
    <s v="CLERICI"/>
    <s v="RAUL"/>
    <m/>
    <x v="2"/>
    <s v="RAUL"/>
    <s v="24/25"/>
    <s v="FUTURAS UT. ADL RAUL"/>
    <s v="EFECTIVO Y OTROS ACT LÍQ EQ."/>
  </r>
  <r>
    <x v="7"/>
    <d v="2025-08-04T00:00:00"/>
    <s v="EFECTIVO"/>
    <m/>
    <n v="3000"/>
    <n v="0"/>
    <n v="-3000"/>
    <n v="0"/>
    <n v="1290"/>
    <n v="2.3255813953488373"/>
    <n v="0"/>
    <s v="-"/>
    <s v="-"/>
    <s v="-"/>
    <x v="4"/>
    <x v="19"/>
    <x v="45"/>
    <s v="MAMADERA CORDERITO"/>
    <m/>
    <m/>
    <x v="1"/>
    <m/>
    <s v="24/25"/>
    <s v="EGRESOS"/>
    <s v="EFECTIVO Y OTROS ACT LÍQ EQ."/>
  </r>
  <r>
    <x v="7"/>
    <d v="2025-08-06T00:00:00"/>
    <s v="EFECTIVO"/>
    <m/>
    <n v="8000"/>
    <n v="0"/>
    <n v="-8000"/>
    <n v="0"/>
    <n v="1290"/>
    <n v="6.2015503875968996"/>
    <n v="0"/>
    <s v="-"/>
    <s v="-"/>
    <s v="-"/>
    <x v="1"/>
    <x v="2"/>
    <x v="30"/>
    <s v="COMISIONISTA REALICO"/>
    <s v="RAUL"/>
    <m/>
    <x v="2"/>
    <s v="RAUL"/>
    <s v="24/25"/>
    <s v="FUTURAS UT. ADL RAUL"/>
    <s v="EFECTIVO Y OTROS ACT LÍQ EQ."/>
  </r>
  <r>
    <x v="7"/>
    <d v="2025-08-06T00:00:00"/>
    <s v="EFECTIVO"/>
    <m/>
    <n v="5600"/>
    <n v="0"/>
    <n v="-5600"/>
    <n v="0"/>
    <n v="1290"/>
    <n v="4.3410852713178292"/>
    <n v="0"/>
    <s v="-"/>
    <s v="-"/>
    <s v="-"/>
    <x v="1"/>
    <x v="3"/>
    <x v="13"/>
    <s v="LIBRERÍA"/>
    <s v="BETO RODRIGUEZ"/>
    <m/>
    <x v="3"/>
    <m/>
    <s v="24/25"/>
    <s v="EGRESOS"/>
    <s v="EFECTIVO Y OTROS ACT LÍQ EQ."/>
  </r>
  <r>
    <x v="7"/>
    <d v="2025-08-07T00:00:00"/>
    <s v="EFECTIVO"/>
    <m/>
    <n v="11420"/>
    <n v="0"/>
    <n v="-11420"/>
    <n v="0"/>
    <n v="1290"/>
    <n v="8.8527131782945734"/>
    <n v="0"/>
    <s v="-"/>
    <s v="-"/>
    <s v="-"/>
    <x v="1"/>
    <x v="3"/>
    <x v="3"/>
    <s v="OSECAC+FAECYS"/>
    <s v="KEVIN TOLEDO"/>
    <m/>
    <x v="3"/>
    <m/>
    <s v="24/25"/>
    <s v="EGRESOS"/>
    <s v="EFECTIVO Y OTROS ACT LÍQ EQ."/>
  </r>
  <r>
    <x v="7"/>
    <d v="2025-08-07T00:00:00"/>
    <s v="EFECTIVO"/>
    <m/>
    <n v="64400"/>
    <n v="0"/>
    <n v="-64400"/>
    <n v="0"/>
    <n v="1290"/>
    <n v="49.922480620155042"/>
    <n v="0"/>
    <s v="-"/>
    <s v="-"/>
    <s v="-"/>
    <x v="1"/>
    <x v="3"/>
    <x v="13"/>
    <m/>
    <s v="BETO RODRIGUEZ"/>
    <m/>
    <x v="3"/>
    <m/>
    <s v="24/25"/>
    <s v="EGRESOS"/>
    <s v="EFECTIVO Y OTROS ACT LÍQ EQ."/>
  </r>
  <r>
    <x v="7"/>
    <d v="2025-08-07T00:00:00"/>
    <s v="EFECTIVO"/>
    <m/>
    <n v="30000"/>
    <n v="0"/>
    <n v="-30000"/>
    <n v="0"/>
    <n v="1290"/>
    <n v="23.255813953488371"/>
    <n v="0"/>
    <s v="-"/>
    <s v="-"/>
    <s v="-"/>
    <x v="4"/>
    <x v="9"/>
    <x v="12"/>
    <m/>
    <s v="NORMA TOLEDO"/>
    <m/>
    <x v="1"/>
    <m/>
    <s v="24/25"/>
    <s v="EGRESOS"/>
    <s v="EFECTIVO Y OTROS ACT LÍQ EQ."/>
  </r>
  <r>
    <x v="7"/>
    <d v="2025-08-07T00:00:00"/>
    <s v="EFECTIVO"/>
    <m/>
    <n v="200000"/>
    <n v="0"/>
    <n v="-200000"/>
    <n v="0"/>
    <n v="1290"/>
    <n v="155.03875968992247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7"/>
    <d v="2025-08-07T00:00:00"/>
    <s v="EFECTIVO"/>
    <m/>
    <n v="1100000"/>
    <n v="0"/>
    <n v="-1100000"/>
    <n v="0"/>
    <n v="1290"/>
    <n v="852.71317829457359"/>
    <n v="0"/>
    <s v="-"/>
    <s v="-"/>
    <s v="-"/>
    <x v="1"/>
    <x v="3"/>
    <x v="3"/>
    <s v="SUELDO JULIO"/>
    <s v="ANDRES TOLEDO"/>
    <m/>
    <x v="3"/>
    <m/>
    <s v="24/25"/>
    <s v="EGRESOS"/>
    <s v="EFECTIVO Y OTROS ACT LÍQ EQ."/>
  </r>
  <r>
    <x v="7"/>
    <d v="2025-08-07T00:00:00"/>
    <s v="EFECTIVO"/>
    <m/>
    <n v="250000"/>
    <n v="0"/>
    <n v="-250000"/>
    <n v="0"/>
    <n v="1290"/>
    <n v="193.79844961240309"/>
    <n v="0"/>
    <s v="-"/>
    <s v="-"/>
    <s v="-"/>
    <x v="4"/>
    <x v="26"/>
    <x v="45"/>
    <s v="CARNEADA CHANCHO"/>
    <m/>
    <m/>
    <x v="1"/>
    <m/>
    <s v="24/25"/>
    <s v="EGRESOS"/>
    <s v="EFECTIVO Y OTROS ACT LÍQ EQ."/>
  </r>
  <r>
    <x v="7"/>
    <d v="2025-08-07T00:00:00"/>
    <s v="EFECTIVO"/>
    <m/>
    <n v="202000"/>
    <n v="0"/>
    <n v="-202000"/>
    <n v="0"/>
    <n v="1290"/>
    <n v="156.58914728682171"/>
    <n v="0"/>
    <s v="-"/>
    <s v="-"/>
    <s v="-"/>
    <x v="1"/>
    <x v="2"/>
    <x v="30"/>
    <s v="EXPENSAS CBA"/>
    <s v="RAUL"/>
    <m/>
    <x v="2"/>
    <s v="RAUL"/>
    <s v="24/25"/>
    <s v="FUTURAS UT. ADL RAUL"/>
    <s v="EFECTIVO Y OTROS ACT LÍQ EQ."/>
  </r>
  <r>
    <x v="7"/>
    <d v="2025-08-06T00:00:00"/>
    <s v="EFECTIVO"/>
    <m/>
    <n v="5600"/>
    <n v="0"/>
    <n v="-5600"/>
    <n v="0"/>
    <n v="1290"/>
    <n v="4.3410852713178292"/>
    <n v="0"/>
    <s v="-"/>
    <s v="-"/>
    <s v="-"/>
    <x v="1"/>
    <x v="3"/>
    <x v="13"/>
    <s v="LIBRERÍA"/>
    <s v="BETO RODRIGUEZ"/>
    <m/>
    <x v="3"/>
    <m/>
    <s v="24/25"/>
    <s v="EGRESOS"/>
    <s v="EFECTIVO Y OTROS ACT LÍQ EQ."/>
  </r>
  <r>
    <x v="8"/>
    <d v="2025-09-11T00:00:00"/>
    <s v="EFECTIVO"/>
    <m/>
    <n v="0"/>
    <n v="1715412"/>
    <n v="1715412"/>
    <n v="0"/>
    <n v="1350"/>
    <n v="0"/>
    <n v="1270.6755555555555"/>
    <s v="-"/>
    <s v="-"/>
    <s v="-"/>
    <x v="1"/>
    <x v="11"/>
    <x v="14"/>
    <s v="PARA PAGO CONCEPTOS"/>
    <s v="BECERRA ADRIAN"/>
    <m/>
    <x v="10"/>
    <m/>
    <s v="25/26"/>
    <s v="EFECTIVO Y OTROS ACT LÍQ EQ."/>
    <s v="DEUDAS FINANCIERAS CP"/>
  </r>
  <r>
    <x v="8"/>
    <d v="2025-09-11T00:00:00"/>
    <s v="EFECTIVO"/>
    <m/>
    <n v="17000"/>
    <n v="0"/>
    <n v="-17000"/>
    <n v="0"/>
    <n v="1350"/>
    <n v="12.592592592592593"/>
    <n v="0"/>
    <s v="-"/>
    <s v="-"/>
    <s v="-"/>
    <x v="3"/>
    <x v="5"/>
    <x v="6"/>
    <m/>
    <s v="FARMACIA"/>
    <m/>
    <x v="6"/>
    <m/>
    <s v="25/26"/>
    <s v="BIENES Y SERVICIOS"/>
    <s v="EFECTIVO Y OTROS ACT LÍQ EQ."/>
  </r>
  <r>
    <x v="8"/>
    <d v="2025-09-11T00:00:00"/>
    <s v="EFECTIVO"/>
    <m/>
    <n v="45000"/>
    <n v="0"/>
    <n v="-45000"/>
    <n v="0"/>
    <n v="1350"/>
    <n v="33.333333333333336"/>
    <n v="0"/>
    <s v="-"/>
    <s v="-"/>
    <s v="-"/>
    <x v="3"/>
    <x v="5"/>
    <x v="28"/>
    <s v="LIMPIEZA CASA CAMPO"/>
    <s v="GRACIELA"/>
    <m/>
    <x v="5"/>
    <m/>
    <s v="25/26"/>
    <s v="BIENES Y SERVICIOS"/>
    <s v="EFECTIVO Y OTROS ACT LÍQ EQ."/>
  </r>
  <r>
    <x v="8"/>
    <d v="2025-09-11T00:00:00"/>
    <s v="EFECTIVO"/>
    <m/>
    <n v="100000"/>
    <n v="0"/>
    <n v="-100000"/>
    <n v="0"/>
    <n v="1350"/>
    <n v="74.074074074074076"/>
    <n v="0"/>
    <s v="-"/>
    <s v="-"/>
    <s v="-"/>
    <x v="1"/>
    <x v="3"/>
    <x v="13"/>
    <m/>
    <s v="MARTIN TOLEDO"/>
    <m/>
    <x v="3"/>
    <m/>
    <s v="25/26"/>
    <s v="EGRESOS"/>
    <s v="EFECTIVO Y OTROS ACT LÍQ EQ."/>
  </r>
  <r>
    <x v="8"/>
    <d v="2025-09-11T00:00:00"/>
    <s v="EFECTIVO"/>
    <m/>
    <n v="80000"/>
    <n v="0"/>
    <n v="-80000"/>
    <n v="0"/>
    <n v="1350"/>
    <n v="59.25925925925926"/>
    <n v="0"/>
    <s v="-"/>
    <s v="-"/>
    <s v="-"/>
    <x v="1"/>
    <x v="3"/>
    <x v="13"/>
    <m/>
    <s v="BETO RODRIGUEZ"/>
    <m/>
    <x v="3"/>
    <m/>
    <s v="25/26"/>
    <s v="EGRESOS"/>
    <s v="EFECTIVO Y OTROS ACT LÍQ EQ."/>
  </r>
  <r>
    <x v="8"/>
    <d v="2025-09-11T00:00:00"/>
    <s v="EFECTIVO"/>
    <m/>
    <n v="155200"/>
    <n v="0"/>
    <n v="-155200"/>
    <n v="0"/>
    <n v="1350"/>
    <n v="114.96296296296296"/>
    <n v="0"/>
    <s v="-"/>
    <s v="-"/>
    <s v="-"/>
    <x v="2"/>
    <x v="4"/>
    <x v="35"/>
    <s v="ACARREO"/>
    <s v="LUCHI GIL"/>
    <m/>
    <x v="6"/>
    <m/>
    <s v="25/26"/>
    <s v="BIENES Y SERVICIOS"/>
    <s v="EFECTIVO Y OTROS ACT LÍQ EQ."/>
  </r>
  <r>
    <x v="8"/>
    <d v="2025-09-11T00:00:00"/>
    <s v="EFECTIVO"/>
    <m/>
    <n v="64755"/>
    <n v="0"/>
    <n v="-64755"/>
    <n v="0"/>
    <n v="1350"/>
    <n v="47.966666666666669"/>
    <n v="0"/>
    <s v="-"/>
    <s v="-"/>
    <s v="-"/>
    <x v="1"/>
    <x v="2"/>
    <x v="30"/>
    <s v="PAGO A MARTIN Y REPUESTOS"/>
    <s v="RAUL"/>
    <m/>
    <x v="2"/>
    <s v="RAUL"/>
    <s v="25/26"/>
    <s v="FUTURAS UT. ADL RAUL"/>
    <s v="EFECTIVO Y OTROS ACT LÍQ EQ."/>
  </r>
  <r>
    <x v="8"/>
    <d v="2025-09-11T00:00:00"/>
    <s v="EFECTIVO"/>
    <m/>
    <n v="6000"/>
    <n v="0"/>
    <n v="-6000"/>
    <n v="0"/>
    <n v="1350"/>
    <n v="4.4444444444444446"/>
    <n v="0"/>
    <s v="-"/>
    <s v="-"/>
    <s v="-"/>
    <x v="1"/>
    <x v="7"/>
    <x v="9"/>
    <s v="FLETE HCA VETERINARIA"/>
    <s v="VIDAL"/>
    <m/>
    <x v="1"/>
    <m/>
    <s v="25/26"/>
    <s v="EGRESOS"/>
    <s v="EFECTIVO Y OTROS ACT LÍQ EQ."/>
  </r>
  <r>
    <x v="8"/>
    <d v="2025-09-11T00:00:00"/>
    <s v="EFECTIVO"/>
    <m/>
    <n v="52500"/>
    <n v="0"/>
    <n v="-52500"/>
    <n v="0"/>
    <n v="1350"/>
    <n v="38.888888888888886"/>
    <n v="0"/>
    <s v="-"/>
    <s v="-"/>
    <s v="-"/>
    <x v="1"/>
    <x v="3"/>
    <x v="13"/>
    <m/>
    <s v="BETO RODRIGUEZ"/>
    <m/>
    <x v="3"/>
    <m/>
    <s v="25/26"/>
    <s v="EGRESOS"/>
    <s v="EFECTIVO Y OTROS ACT LÍQ EQ."/>
  </r>
  <r>
    <x v="8"/>
    <d v="2025-09-11T00:00:00"/>
    <s v="EFECTIVO"/>
    <m/>
    <n v="20000"/>
    <n v="0"/>
    <n v="-20000"/>
    <n v="0"/>
    <n v="1350"/>
    <n v="14.814814814814815"/>
    <n v="0"/>
    <s v="-"/>
    <s v="-"/>
    <s v="-"/>
    <x v="2"/>
    <x v="4"/>
    <x v="74"/>
    <s v="CONTRATO ALQUILER"/>
    <s v="JUEZ"/>
    <m/>
    <x v="1"/>
    <m/>
    <s v="25/26"/>
    <s v="EGRESOS"/>
    <s v="EFECTIVO Y OTROS ACT LÍQ EQ."/>
  </r>
  <r>
    <x v="8"/>
    <d v="2025-09-11T00:00:00"/>
    <s v="EFECTIVO"/>
    <m/>
    <n v="2980"/>
    <n v="0"/>
    <n v="-2980"/>
    <n v="0"/>
    <n v="1350"/>
    <n v="2.2074074074074073"/>
    <n v="0"/>
    <s v="-"/>
    <s v="-"/>
    <s v="-"/>
    <x v="1"/>
    <x v="3"/>
    <x v="3"/>
    <s v="FAECYS"/>
    <s v="KEVIN TOLEDO"/>
    <m/>
    <x v="3"/>
    <m/>
    <s v="25/26"/>
    <s v="EGRESOS"/>
    <s v="EFECTIVO Y OTROS ACT LÍQ EQ."/>
  </r>
  <r>
    <x v="8"/>
    <d v="2025-09-11T00:00:00"/>
    <s v="EFECTIVO"/>
    <m/>
    <n v="8500"/>
    <n v="0"/>
    <n v="-8500"/>
    <n v="0"/>
    <n v="1350"/>
    <n v="6.2962962962962967"/>
    <n v="0"/>
    <s v="-"/>
    <s v="-"/>
    <s v="-"/>
    <x v="1"/>
    <x v="3"/>
    <x v="3"/>
    <s v="OSECAC"/>
    <s v="KEVIN TOLEDO"/>
    <m/>
    <x v="3"/>
    <m/>
    <s v="25/26"/>
    <s v="EGRESOS"/>
    <s v="EFECTIVO Y OTROS ACT LÍQ EQ."/>
  </r>
  <r>
    <x v="8"/>
    <d v="2025-09-11T00:00:00"/>
    <s v="EFECTIVO"/>
    <m/>
    <n v="18477"/>
    <n v="0"/>
    <n v="-18477"/>
    <n v="0"/>
    <n v="1350"/>
    <n v="13.686666666666667"/>
    <n v="0"/>
    <s v="-"/>
    <s v="-"/>
    <s v="-"/>
    <x v="1"/>
    <x v="3"/>
    <x v="3"/>
    <s v="UATRE AGOSTO"/>
    <s v="ANDRES TOLEDO"/>
    <m/>
    <x v="3"/>
    <m/>
    <s v="25/26"/>
    <s v="EGRESOS"/>
    <s v="EFECTIVO Y OTROS ACT LÍQ EQ."/>
  </r>
  <r>
    <x v="8"/>
    <d v="2025-09-11T00:00:00"/>
    <s v="EFECTIVO"/>
    <m/>
    <n v="45000"/>
    <n v="0"/>
    <n v="-45000"/>
    <n v="0"/>
    <n v="1350"/>
    <n v="33.333333333333336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8"/>
    <d v="2025-09-11T00:00:00"/>
    <s v="EFECTIVO"/>
    <m/>
    <n v="1100000"/>
    <n v="0"/>
    <n v="-1100000"/>
    <n v="0"/>
    <n v="1350"/>
    <n v="814.81481481481478"/>
    <n v="0"/>
    <s v="-"/>
    <s v="-"/>
    <s v="-"/>
    <x v="1"/>
    <x v="3"/>
    <x v="3"/>
    <s v="PERIODO AGOSTO 25"/>
    <s v="ANDRES TOLEDO"/>
    <m/>
    <x v="3"/>
    <m/>
    <s v="25/26"/>
    <s v="EGRESOS"/>
    <s v="EFECTIVO Y OTROS ACT LÍQ EQ."/>
  </r>
  <r>
    <x v="8"/>
    <d v="2025-09-19T00:00:00"/>
    <s v="EFECTIVO"/>
    <m/>
    <n v="0"/>
    <n v="1500000"/>
    <n v="1500000"/>
    <n v="0"/>
    <n v="1420"/>
    <n v="0"/>
    <n v="1056.338028169014"/>
    <s v="-"/>
    <s v="-"/>
    <s v="-"/>
    <x v="1"/>
    <x v="11"/>
    <x v="30"/>
    <m/>
    <s v="BECERRA ADRIAN"/>
    <m/>
    <x v="10"/>
    <m/>
    <s v="24/25"/>
    <s v="DEUDAS FINANCIERAS CP"/>
    <s v="EFECTIVO Y OTROS ACT LÍQ EQ."/>
  </r>
  <r>
    <x v="8"/>
    <d v="2025-09-24T00:00:00"/>
    <s v="EFECTIVO"/>
    <m/>
    <n v="30000"/>
    <n v="0"/>
    <n v="-30000"/>
    <n v="0"/>
    <n v="1490"/>
    <n v="20.134228187919462"/>
    <n v="0"/>
    <s v="-"/>
    <s v="-"/>
    <s v="-"/>
    <x v="4"/>
    <x v="9"/>
    <x v="12"/>
    <m/>
    <s v="NORMA TOLEDO"/>
    <m/>
    <x v="1"/>
    <m/>
    <s v="24/25"/>
    <s v="EGRESOS"/>
    <s v="EFECTIVO Y OTROS ACT LÍQ EQ."/>
  </r>
  <r>
    <x v="8"/>
    <d v="2025-09-23T00:00:00"/>
    <s v="EFECTIVO"/>
    <m/>
    <n v="20000"/>
    <n v="0"/>
    <n v="-20000"/>
    <n v="0"/>
    <n v="1490"/>
    <n v="13.422818791946309"/>
    <n v="0"/>
    <s v="-"/>
    <s v="-"/>
    <s v="-"/>
    <x v="3"/>
    <x v="8"/>
    <x v="11"/>
    <s v="LAVADERO"/>
    <m/>
    <m/>
    <x v="5"/>
    <m/>
    <s v="24/25"/>
    <s v="BIENES Y SERVICIOS"/>
    <s v="EFECTIVO Y OTROS ACT LÍQ EQ."/>
  </r>
  <r>
    <x v="8"/>
    <d v="2025-09-24T00:00:00"/>
    <s v="EFECTIVO"/>
    <m/>
    <n v="95569"/>
    <n v="0"/>
    <n v="-95569"/>
    <n v="0"/>
    <n v="1490"/>
    <n v="64.140268456375836"/>
    <n v="0"/>
    <s v="-"/>
    <s v="-"/>
    <s v="-"/>
    <x v="3"/>
    <x v="5"/>
    <x v="28"/>
    <m/>
    <s v="DIRECTV"/>
    <m/>
    <x v="6"/>
    <m/>
    <s v="24/25"/>
    <s v="BIENES Y SERVICIOS"/>
    <s v="EFECTIVO Y OTROS ACT LÍQ EQ."/>
  </r>
  <r>
    <x v="9"/>
    <d v="2025-10-01T00:00:00"/>
    <s v="EFECTIVO"/>
    <m/>
    <n v="30250"/>
    <n v="0"/>
    <n v="-30250"/>
    <n v="0"/>
    <n v="1490"/>
    <n v="20.302013422818792"/>
    <n v="0"/>
    <s v="-"/>
    <s v="-"/>
    <s v="-"/>
    <x v="3"/>
    <x v="5"/>
    <x v="90"/>
    <s v="ALAMBRE"/>
    <s v="CORRALON RIVADAVIA"/>
    <s v="FA1910"/>
    <x v="6"/>
    <m/>
    <s v="25/26"/>
    <s v="BIENES Y SERVICIOS"/>
    <s v="EFECTIVO Y OTROS ACT LÍQ EQ."/>
  </r>
  <r>
    <x v="9"/>
    <d v="2025-10-01T00:00:00"/>
    <s v="EFECTIVO"/>
    <m/>
    <n v="28000"/>
    <n v="0"/>
    <n v="-28000"/>
    <n v="0"/>
    <n v="1490"/>
    <n v="18.791946308724832"/>
    <n v="0"/>
    <s v="-"/>
    <s v="-"/>
    <s v="-"/>
    <x v="1"/>
    <x v="3"/>
    <x v="10"/>
    <s v="REMEDIOS ANDRES"/>
    <s v="ANDRES TOLEDO"/>
    <m/>
    <x v="3"/>
    <m/>
    <s v="25/26"/>
    <s v="EGRESOS"/>
    <s v="EFECTIVO Y OTROS ACT LÍQ EQ."/>
  </r>
  <r>
    <x v="9"/>
    <d v="2025-10-04T00:00:00"/>
    <s v="EFECTIVO"/>
    <m/>
    <n v="220000"/>
    <n v="0"/>
    <n v="-220000"/>
    <n v="0"/>
    <n v="1490"/>
    <n v="147.65100671140939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9"/>
    <d v="2025-10-06T00:00:00"/>
    <s v="EFECTIVO"/>
    <m/>
    <n v="4807"/>
    <n v="0"/>
    <n v="-4807"/>
    <n v="0"/>
    <n v="1490"/>
    <n v="3.2261744966442953"/>
    <n v="0"/>
    <s v="-"/>
    <s v="-"/>
    <s v="-"/>
    <x v="1"/>
    <x v="3"/>
    <x v="58"/>
    <m/>
    <s v="JULIO TOLEDO"/>
    <m/>
    <x v="3"/>
    <m/>
    <s v="25/26"/>
    <s v="EGRESOS"/>
    <s v="EFECTIVO Y OTROS ACT LÍQ EQ."/>
  </r>
  <r>
    <x v="9"/>
    <d v="2025-10-09T00:00:00"/>
    <s v="EFECTIVO"/>
    <m/>
    <n v="8500"/>
    <n v="0"/>
    <n v="-8500"/>
    <n v="0"/>
    <n v="1490"/>
    <n v="5.7046979865771812"/>
    <n v="0"/>
    <s v="-"/>
    <s v="-"/>
    <s v="-"/>
    <x v="1"/>
    <x v="3"/>
    <x v="3"/>
    <s v="OSECAC"/>
    <s v="KEVIN TOLEDO"/>
    <m/>
    <x v="3"/>
    <m/>
    <s v="25/26"/>
    <s v="EGRESOS"/>
    <s v="EFECTIVO Y OTROS ACT LÍQ EQ."/>
  </r>
  <r>
    <x v="9"/>
    <d v="2025-10-09T00:00:00"/>
    <s v="EFECTIVO"/>
    <m/>
    <n v="3000"/>
    <n v="0"/>
    <n v="-3000"/>
    <n v="0"/>
    <n v="1490"/>
    <n v="2.0134228187919465"/>
    <n v="0"/>
    <s v="-"/>
    <s v="-"/>
    <s v="-"/>
    <x v="1"/>
    <x v="3"/>
    <x v="3"/>
    <s v="FAECYS"/>
    <s v="KEVIN TOLEDO"/>
    <m/>
    <x v="3"/>
    <m/>
    <s v="25/26"/>
    <s v="EGRESOS"/>
    <s v="EFECTIVO Y OTROS ACT LÍQ EQ."/>
  </r>
  <r>
    <x v="9"/>
    <d v="2025-10-11T00:00:00"/>
    <s v="EFECTIVO"/>
    <m/>
    <n v="1050000"/>
    <n v="0"/>
    <n v="-1050000"/>
    <n v="0"/>
    <n v="1490"/>
    <n v="704.69798657718115"/>
    <n v="0"/>
    <s v="-"/>
    <s v="-"/>
    <s v="-"/>
    <x v="1"/>
    <x v="3"/>
    <x v="3"/>
    <s v="SUELDO OCTUBRE"/>
    <s v="ANDRES TOLEDO"/>
    <m/>
    <x v="3"/>
    <m/>
    <s v="25/26"/>
    <s v="EGRESOS"/>
    <s v="EFECTIVO Y OTROS ACT LÍQ EQ."/>
  </r>
  <r>
    <x v="9"/>
    <d v="2025-10-11T00:00:00"/>
    <s v="EFECTIVO"/>
    <m/>
    <n v="10000"/>
    <n v="0"/>
    <n v="-10000"/>
    <n v="0"/>
    <n v="1490"/>
    <n v="6.7114093959731544"/>
    <n v="0"/>
    <s v="-"/>
    <s v="-"/>
    <s v="-"/>
    <x v="4"/>
    <x v="20"/>
    <x v="97"/>
    <m/>
    <s v="VARIOS"/>
    <m/>
    <x v="1"/>
    <m/>
    <s v="24/25"/>
    <s v="EGRESOS"/>
    <s v="EFECTIVO Y OTROS ACT LÍQ EQ."/>
  </r>
  <r>
    <x v="10"/>
    <d v="2025-11-03T00:00:00"/>
    <s v="TRANSFERENCIA"/>
    <m/>
    <n v="0"/>
    <n v="275500"/>
    <n v="275500"/>
    <n v="0"/>
    <n v="1490"/>
    <n v="0"/>
    <n v="184.8993288590604"/>
    <s v="-"/>
    <s v="-"/>
    <s v="-"/>
    <x v="1"/>
    <x v="2"/>
    <x v="14"/>
    <m/>
    <s v="RAUL"/>
    <m/>
    <x v="8"/>
    <s v="RAUL"/>
    <s v="24/25"/>
    <s v="EFECTIVO Y OTROS ACT LÍQ EQ."/>
    <s v="APORTES DE CAPITAL"/>
  </r>
  <r>
    <x v="10"/>
    <d v="2025-11-03T00:00:00"/>
    <s v="EFECTIVO"/>
    <m/>
    <n v="220000"/>
    <n v="0"/>
    <n v="-220000"/>
    <n v="0"/>
    <n v="1490"/>
    <n v="147.65100671140939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0"/>
    <d v="2025-11-03T00:00:00"/>
    <s v="EFECTIVO"/>
    <m/>
    <n v="55000"/>
    <n v="0"/>
    <n v="-55000"/>
    <n v="0"/>
    <n v="1490"/>
    <n v="36.912751677852349"/>
    <n v="0"/>
    <s v="-"/>
    <s v="-"/>
    <s v="-"/>
    <x v="5"/>
    <x v="13"/>
    <x v="44"/>
    <s v="ANALISIS COPROLOGICO"/>
    <s v="ALANIZ MELANIA"/>
    <s v="FA 213"/>
    <x v="4"/>
    <m/>
    <s v="23/24"/>
    <s v="BIENES Y SERVICIOS"/>
    <s v="EFECTIVO Y OTROS ACT LÍQ EQ."/>
  </r>
  <r>
    <x v="10"/>
    <d v="2025-11-26T00:00:00"/>
    <s v="EFECTIVO"/>
    <m/>
    <n v="500000"/>
    <n v="0"/>
    <n v="-500000"/>
    <n v="0"/>
    <n v="1490"/>
    <n v="335.57046979865771"/>
    <n v="0"/>
    <s v="-"/>
    <s v="-"/>
    <s v="-"/>
    <x v="1"/>
    <x v="3"/>
    <x v="10"/>
    <s v="ADELANTO SUELDO (INTERNACION PAPA)"/>
    <s v="ANDRES TOLEDO"/>
    <m/>
    <x v="3"/>
    <m/>
    <s v="25/26"/>
    <s v="EGRESOS"/>
    <s v="EFECTIVO Y OTROS ACT LÍQ EQ."/>
  </r>
  <r>
    <x v="10"/>
    <d v="2025-11-29T00:00:00"/>
    <s v="EFECTIVO"/>
    <m/>
    <n v="160000"/>
    <n v="0"/>
    <n v="-160000"/>
    <n v="0"/>
    <n v="1490"/>
    <n v="107.38255033557047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0"/>
    <d v="2025-11-29T00:00:00"/>
    <s v="EFECTIVO"/>
    <m/>
    <n v="8000"/>
    <n v="0"/>
    <n v="-8000"/>
    <n v="0"/>
    <n v="1490"/>
    <n v="5.3691275167785237"/>
    <n v="0"/>
    <s v="-"/>
    <s v="-"/>
    <s v="-"/>
    <x v="3"/>
    <x v="5"/>
    <x v="45"/>
    <s v="LLAVE CERRADURA"/>
    <m/>
    <m/>
    <x v="27"/>
    <m/>
    <m/>
    <m/>
    <m/>
  </r>
  <r>
    <x v="10"/>
    <d v="2025-11-29T00:00:00"/>
    <s v="EFECTIVO"/>
    <m/>
    <n v="30000"/>
    <n v="0"/>
    <n v="-30000"/>
    <n v="0"/>
    <n v="1490"/>
    <n v="20.134228187919462"/>
    <n v="0"/>
    <s v="-"/>
    <s v="-"/>
    <s v="-"/>
    <x v="4"/>
    <x v="9"/>
    <x v="12"/>
    <m/>
    <s v="NORMA TOLEDO"/>
    <m/>
    <x v="1"/>
    <m/>
    <s v="24/25"/>
    <s v="EGRESOS"/>
    <s v="EFECTIVO Y OTROS ACT LÍQ EQ."/>
  </r>
  <r>
    <x v="11"/>
    <d v="2025-12-08T00:00:00"/>
    <s v="EFECTIVO"/>
    <m/>
    <n v="320000"/>
    <n v="0"/>
    <n v="-320000"/>
    <n v="0"/>
    <n v="1490"/>
    <n v="214.76510067114094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1"/>
    <d v="2025-12-08T00:00:00"/>
    <s v="EFECTIVO"/>
    <m/>
    <n v="5900"/>
    <n v="0"/>
    <n v="-5900"/>
    <n v="0"/>
    <n v="1490"/>
    <n v="3.9597315436241609"/>
    <n v="0"/>
    <s v="-"/>
    <s v="-"/>
    <s v="-"/>
    <x v="3"/>
    <x v="5"/>
    <x v="36"/>
    <s v="SACO DE LIBRERÍA"/>
    <s v="CHICHIN PICCO"/>
    <m/>
    <x v="5"/>
    <m/>
    <s v="24/25"/>
    <s v="BIENES Y SERVICIOS"/>
    <s v="EFECTIVO Y OTROS ACT LÍQ EQ."/>
  </r>
  <r>
    <x v="11"/>
    <d v="2025-12-08T00:00:00"/>
    <s v="EFECTIVO"/>
    <m/>
    <n v="4800"/>
    <n v="0"/>
    <n v="-4800"/>
    <n v="0"/>
    <n v="1490"/>
    <n v="3.2214765100671139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1"/>
    <d v="2025-12-15T00:00:00"/>
    <s v="EFECTIVO"/>
    <m/>
    <n v="20500"/>
    <n v="0"/>
    <n v="-20500"/>
    <n v="0"/>
    <n v="1490"/>
    <n v="13.758389261744966"/>
    <n v="0"/>
    <s v="-"/>
    <s v="-"/>
    <s v="-"/>
    <x v="1"/>
    <x v="3"/>
    <x v="3"/>
    <s v="UATRE"/>
    <s v="ANDRES TOLEDO"/>
    <m/>
    <x v="3"/>
    <m/>
    <s v="25/26"/>
    <s v="EGRESOS"/>
    <s v="EFECTIVO Y OTROS ACT LÍQ EQ."/>
  </r>
  <r>
    <x v="11"/>
    <d v="2025-12-15T00:00:00"/>
    <s v="EFECTIVO"/>
    <m/>
    <n v="180000"/>
    <n v="0"/>
    <n v="-180000"/>
    <n v="0"/>
    <n v="1490"/>
    <n v="120.80536912751678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1"/>
    <d v="2025-12-15T00:00:00"/>
    <s v="EFECTIVO"/>
    <m/>
    <n v="12000"/>
    <n v="0"/>
    <n v="-12000"/>
    <n v="0"/>
    <n v="1490"/>
    <n v="8.053691275167786"/>
    <n v="0"/>
    <s v="-"/>
    <s v="-"/>
    <s v="-"/>
    <x v="1"/>
    <x v="3"/>
    <x v="3"/>
    <s v="OSECAC"/>
    <s v="ANDRES TOLEDO"/>
    <m/>
    <x v="3"/>
    <m/>
    <s v="25/26"/>
    <s v="EGRESOS"/>
    <s v="EFECTIVO Y OTROS ACT LÍQ EQ."/>
  </r>
  <r>
    <x v="11"/>
    <d v="2025-12-15T00:00:00"/>
    <s v="EFECTIVO"/>
    <m/>
    <n v="132500"/>
    <n v="0"/>
    <n v="-132500"/>
    <n v="0"/>
    <n v="1490"/>
    <n v="88.926174496644293"/>
    <n v="0"/>
    <s v="-"/>
    <s v="-"/>
    <s v="-"/>
    <x v="3"/>
    <x v="5"/>
    <x v="28"/>
    <m/>
    <s v="DIRECTV"/>
    <m/>
    <x v="6"/>
    <m/>
    <s v="24/25"/>
    <s v="BIENES Y SERVICIOS"/>
    <s v="EFECTIVO Y OTROS ACT LÍQ EQ."/>
  </r>
  <r>
    <x v="11"/>
    <d v="2025-12-29T00:00:00"/>
    <s v="EFECTIVO"/>
    <m/>
    <n v="180000"/>
    <n v="0"/>
    <n v="-180000"/>
    <n v="0"/>
    <n v="1490"/>
    <n v="120.80536912751678"/>
    <n v="0"/>
    <s v="-"/>
    <s v="-"/>
    <s v="-"/>
    <x v="1"/>
    <x v="3"/>
    <x v="13"/>
    <m/>
    <s v="JULIO TOLEDO"/>
    <m/>
    <x v="3"/>
    <m/>
    <s v="25/26"/>
    <s v="EGRESOS"/>
    <s v="EFECTIVO Y OTROS ACT LÍQ EQ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10862E-2270-48C1-87DD-D7D48FD9F1AB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155" firstHeaderRow="0" firstDataRow="1" firstDataCol="1"/>
  <pivotFields count="25">
    <pivotField showAll="0">
      <items count="14">
        <item x="0"/>
        <item x="1"/>
        <item x="2"/>
        <item x="3"/>
        <item m="1" x="12"/>
        <item x="4"/>
        <item x="5"/>
        <item x="6"/>
        <item x="7"/>
        <item x="8"/>
        <item x="9"/>
        <item x="10"/>
        <item x="11"/>
        <item t="default"/>
      </items>
    </pivotField>
    <pivotField numFmtId="166" showAll="0"/>
    <pivotField showAll="0"/>
    <pivotField showAll="0"/>
    <pivotField dataField="1" numFmtId="44" showAll="0"/>
    <pivotField dataField="1" numFmtId="44" showAll="0"/>
    <pivotField showAll="0"/>
    <pivotField showAll="0"/>
    <pivotField showAll="0"/>
    <pivotField dataField="1" numFmtId="165" showAll="0"/>
    <pivotField dataField="1" numFmtId="165" showAll="0"/>
    <pivotField showAll="0"/>
    <pivotField showAll="0"/>
    <pivotField showAll="0"/>
    <pivotField axis="axisRow" showAll="0">
      <items count="11">
        <item x="1"/>
        <item x="2"/>
        <item x="3"/>
        <item x="0"/>
        <item m="1" x="8"/>
        <item m="1" x="7"/>
        <item x="4"/>
        <item m="1" x="9"/>
        <item x="5"/>
        <item m="1" x="6"/>
        <item t="default"/>
      </items>
    </pivotField>
    <pivotField axis="axisRow" showAll="0">
      <items count="37">
        <item x="12"/>
        <item x="13"/>
        <item x="4"/>
        <item x="7"/>
        <item x="1"/>
        <item x="6"/>
        <item x="14"/>
        <item x="0"/>
        <item x="3"/>
        <item x="8"/>
        <item x="25"/>
        <item x="2"/>
        <item x="5"/>
        <item m="1" x="34"/>
        <item x="10"/>
        <item x="19"/>
        <item m="1" x="35"/>
        <item x="11"/>
        <item m="1" x="32"/>
        <item x="15"/>
        <item m="1" x="33"/>
        <item x="9"/>
        <item x="21"/>
        <item m="1" x="31"/>
        <item sd="0" x="23"/>
        <item x="24"/>
        <item m="1" x="30"/>
        <item m="1" x="28"/>
        <item m="1" x="29"/>
        <item x="16"/>
        <item x="18"/>
        <item x="22"/>
        <item x="17"/>
        <item x="26"/>
        <item x="20"/>
        <item m="1" x="27"/>
        <item t="default"/>
      </items>
    </pivotField>
    <pivotField axis="axisRow" showAll="0">
      <items count="124">
        <item m="1" x="122"/>
        <item x="29"/>
        <item x="14"/>
        <item x="4"/>
        <item x="52"/>
        <item x="46"/>
        <item x="9"/>
        <item x="88"/>
        <item x="24"/>
        <item x="30"/>
        <item m="1" x="118"/>
        <item x="11"/>
        <item x="39"/>
        <item x="61"/>
        <item x="1"/>
        <item x="6"/>
        <item x="8"/>
        <item x="13"/>
        <item x="44"/>
        <item x="35"/>
        <item x="7"/>
        <item x="26"/>
        <item m="1" x="121"/>
        <item m="1" x="99"/>
        <item x="36"/>
        <item m="1" x="108"/>
        <item x="37"/>
        <item x="27"/>
        <item x="58"/>
        <item x="28"/>
        <item x="5"/>
        <item x="3"/>
        <item x="40"/>
        <item x="0"/>
        <item x="25"/>
        <item m="1" x="119"/>
        <item x="45"/>
        <item x="12"/>
        <item m="1" x="105"/>
        <item m="1" x="117"/>
        <item m="1" x="120"/>
        <item x="16"/>
        <item x="42"/>
        <item x="63"/>
        <item m="1" x="111"/>
        <item x="2"/>
        <item m="1" x="116"/>
        <item m="1" x="114"/>
        <item m="1" x="115"/>
        <item m="1" x="113"/>
        <item x="38"/>
        <item x="47"/>
        <item x="65"/>
        <item m="1" x="112"/>
        <item m="1" x="98"/>
        <item m="1" x="109"/>
        <item x="68"/>
        <item x="48"/>
        <item x="69"/>
        <item x="23"/>
        <item x="95"/>
        <item x="17"/>
        <item x="18"/>
        <item x="49"/>
        <item x="64"/>
        <item x="54"/>
        <item x="72"/>
        <item x="73"/>
        <item m="1" x="102"/>
        <item m="1" x="104"/>
        <item x="74"/>
        <item x="75"/>
        <item x="76"/>
        <item x="77"/>
        <item m="1" x="110"/>
        <item x="19"/>
        <item x="50"/>
        <item x="70"/>
        <item x="78"/>
        <item m="1" x="107"/>
        <item x="80"/>
        <item x="96"/>
        <item m="1" x="106"/>
        <item x="43"/>
        <item x="59"/>
        <item x="84"/>
        <item x="53"/>
        <item x="60"/>
        <item m="1" x="103"/>
        <item x="41"/>
        <item x="62"/>
        <item x="67"/>
        <item x="79"/>
        <item m="1" x="101"/>
        <item x="82"/>
        <item x="81"/>
        <item x="83"/>
        <item x="31"/>
        <item x="85"/>
        <item x="57"/>
        <item x="15"/>
        <item x="20"/>
        <item x="32"/>
        <item x="51"/>
        <item x="86"/>
        <item x="66"/>
        <item x="21"/>
        <item m="1" x="100"/>
        <item x="71"/>
        <item x="87"/>
        <item x="90"/>
        <item x="10"/>
        <item x="97"/>
        <item x="33"/>
        <item x="34"/>
        <item x="22"/>
        <item x="89"/>
        <item x="55"/>
        <item x="56"/>
        <item x="91"/>
        <item x="92"/>
        <item x="94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4"/>
    <field x="15"/>
    <field x="16"/>
  </rowFields>
  <rowItems count="152">
    <i>
      <x/>
    </i>
    <i r="1">
      <x v="3"/>
    </i>
    <i r="2">
      <x v="6"/>
    </i>
    <i r="2">
      <x v="7"/>
    </i>
    <i r="2">
      <x v="13"/>
    </i>
    <i r="2">
      <x v="28"/>
    </i>
    <i r="2">
      <x v="81"/>
    </i>
    <i r="2">
      <x v="108"/>
    </i>
    <i r="2">
      <x v="115"/>
    </i>
    <i r="2">
      <x v="118"/>
    </i>
    <i r="2">
      <x v="120"/>
    </i>
    <i r="1">
      <x v="4"/>
    </i>
    <i r="2">
      <x v="6"/>
    </i>
    <i r="2">
      <x v="14"/>
    </i>
    <i r="1">
      <x v="5"/>
    </i>
    <i r="2">
      <x v="16"/>
    </i>
    <i r="1">
      <x v="8"/>
    </i>
    <i r="2">
      <x v="17"/>
    </i>
    <i r="2">
      <x v="28"/>
    </i>
    <i r="2">
      <x v="31"/>
    </i>
    <i r="2">
      <x v="111"/>
    </i>
    <i r="1">
      <x v="11"/>
    </i>
    <i r="2">
      <x v="2"/>
    </i>
    <i r="2">
      <x v="9"/>
    </i>
    <i r="2">
      <x v="27"/>
    </i>
    <i r="2">
      <x v="36"/>
    </i>
    <i r="2">
      <x v="45"/>
    </i>
    <i r="2">
      <x v="67"/>
    </i>
    <i r="1">
      <x v="17"/>
    </i>
    <i r="2">
      <x v="2"/>
    </i>
    <i r="2">
      <x v="9"/>
    </i>
    <i r="2">
      <x v="31"/>
    </i>
    <i r="2">
      <x v="60"/>
    </i>
    <i r="2">
      <x v="105"/>
    </i>
    <i r="1">
      <x v="32"/>
    </i>
    <i r="2">
      <x v="15"/>
    </i>
    <i r="2">
      <x v="29"/>
    </i>
    <i>
      <x v="1"/>
    </i>
    <i r="1">
      <x v="2"/>
    </i>
    <i r="2">
      <x v="3"/>
    </i>
    <i r="2">
      <x v="18"/>
    </i>
    <i r="2">
      <x v="19"/>
    </i>
    <i r="2">
      <x v="30"/>
    </i>
    <i r="2">
      <x v="70"/>
    </i>
    <i r="2">
      <x v="121"/>
    </i>
    <i r="1">
      <x v="19"/>
    </i>
    <i r="2">
      <x v="1"/>
    </i>
    <i>
      <x v="2"/>
    </i>
    <i r="1">
      <x v="6"/>
    </i>
    <i r="2">
      <x v="20"/>
    </i>
    <i r="2">
      <x v="21"/>
    </i>
    <i r="2">
      <x v="36"/>
    </i>
    <i r="2">
      <x v="63"/>
    </i>
    <i r="2">
      <x v="87"/>
    </i>
    <i r="2">
      <x v="99"/>
    </i>
    <i r="2">
      <x v="122"/>
    </i>
    <i r="1">
      <x v="9"/>
    </i>
    <i r="2">
      <x v="11"/>
    </i>
    <i r="2">
      <x v="12"/>
    </i>
    <i r="2">
      <x v="20"/>
    </i>
    <i r="2">
      <x v="36"/>
    </i>
    <i r="1">
      <x v="10"/>
    </i>
    <i r="2">
      <x v="36"/>
    </i>
    <i r="1">
      <x v="12"/>
    </i>
    <i r="2">
      <x v="15"/>
    </i>
    <i r="2">
      <x v="20"/>
    </i>
    <i r="2">
      <x v="24"/>
    </i>
    <i r="2">
      <x v="26"/>
    </i>
    <i r="2">
      <x v="29"/>
    </i>
    <i r="2">
      <x v="32"/>
    </i>
    <i r="2">
      <x v="36"/>
    </i>
    <i r="2">
      <x v="50"/>
    </i>
    <i r="2">
      <x v="51"/>
    </i>
    <i r="2">
      <x v="71"/>
    </i>
    <i r="2">
      <x v="110"/>
    </i>
    <i>
      <x v="3"/>
    </i>
    <i r="1">
      <x/>
    </i>
    <i r="2">
      <x v="4"/>
    </i>
    <i r="2">
      <x v="8"/>
    </i>
    <i r="2">
      <x v="41"/>
    </i>
    <i r="2">
      <x v="42"/>
    </i>
    <i r="2">
      <x v="61"/>
    </i>
    <i r="2">
      <x v="62"/>
    </i>
    <i r="2">
      <x v="73"/>
    </i>
    <i r="2">
      <x v="75"/>
    </i>
    <i r="2">
      <x v="85"/>
    </i>
    <i r="2">
      <x v="91"/>
    </i>
    <i r="2">
      <x v="101"/>
    </i>
    <i r="2">
      <x v="102"/>
    </i>
    <i r="2">
      <x v="106"/>
    </i>
    <i r="2">
      <x v="113"/>
    </i>
    <i r="2">
      <x v="114"/>
    </i>
    <i r="1">
      <x v="7"/>
    </i>
    <i r="2">
      <x v="33"/>
    </i>
    <i r="1">
      <x v="14"/>
    </i>
    <i r="2">
      <x v="83"/>
    </i>
    <i r="2">
      <x v="84"/>
    </i>
    <i r="2">
      <x v="85"/>
    </i>
    <i r="2">
      <x v="91"/>
    </i>
    <i r="2">
      <x v="97"/>
    </i>
    <i r="2">
      <x v="100"/>
    </i>
    <i r="2">
      <x v="102"/>
    </i>
    <i r="2">
      <x v="103"/>
    </i>
    <i r="2">
      <x v="109"/>
    </i>
    <i r="2">
      <x v="116"/>
    </i>
    <i r="2">
      <x v="117"/>
    </i>
    <i r="2">
      <x v="119"/>
    </i>
    <i r="1">
      <x v="22"/>
    </i>
    <i r="2">
      <x v="43"/>
    </i>
    <i r="2">
      <x v="90"/>
    </i>
    <i r="1">
      <x v="25"/>
    </i>
    <i r="2">
      <x v="56"/>
    </i>
    <i r="2">
      <x v="58"/>
    </i>
    <i>
      <x v="6"/>
    </i>
    <i r="1">
      <x v="15"/>
    </i>
    <i r="2">
      <x v="36"/>
    </i>
    <i r="2">
      <x v="86"/>
    </i>
    <i r="1">
      <x v="21"/>
    </i>
    <i r="2">
      <x v="37"/>
    </i>
    <i r="1">
      <x v="24"/>
    </i>
    <i r="1">
      <x v="29"/>
    </i>
    <i r="2">
      <x v="89"/>
    </i>
    <i r="1">
      <x v="33"/>
    </i>
    <i r="2">
      <x v="36"/>
    </i>
    <i r="1">
      <x v="34"/>
    </i>
    <i r="2">
      <x v="36"/>
    </i>
    <i r="2">
      <x v="112"/>
    </i>
    <i>
      <x v="8"/>
    </i>
    <i r="1">
      <x v="1"/>
    </i>
    <i r="2">
      <x v="3"/>
    </i>
    <i r="2">
      <x v="5"/>
    </i>
    <i r="2">
      <x v="18"/>
    </i>
    <i r="2">
      <x v="34"/>
    </i>
    <i r="2">
      <x v="57"/>
    </i>
    <i r="2">
      <x v="59"/>
    </i>
    <i r="2">
      <x v="65"/>
    </i>
    <i r="2">
      <x v="72"/>
    </i>
    <i r="1">
      <x v="30"/>
    </i>
    <i r="2">
      <x v="76"/>
    </i>
    <i r="2">
      <x v="77"/>
    </i>
    <i r="2">
      <x v="78"/>
    </i>
    <i r="2">
      <x v="80"/>
    </i>
    <i r="2">
      <x v="92"/>
    </i>
    <i r="2">
      <x v="94"/>
    </i>
    <i r="2">
      <x v="96"/>
    </i>
    <i r="2">
      <x v="98"/>
    </i>
    <i r="2">
      <x v="104"/>
    </i>
    <i r="1">
      <x v="31"/>
    </i>
    <i r="2">
      <x v="64"/>
    </i>
    <i r="2">
      <x v="66"/>
    </i>
    <i r="2">
      <x v="9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EGRESOS" fld="4" baseField="0" baseItem="0" numFmtId="44"/>
    <dataField name="Suma de INGRESOS" fld="5" baseField="0" baseItem="0" numFmtId="44"/>
    <dataField name="Suma de EGRES USD" fld="9" baseField="0" baseItem="0" numFmtId="165"/>
    <dataField name="Suma de INGRES USD" fld="10" baseField="0" baseItem="0" numFmtId="165"/>
  </dataFields>
  <formats count="35">
    <format dxfId="181">
      <pivotArea field="14" type="button" dataOnly="0" labelOnly="1" outline="0" axis="axisRow" fieldPosition="0"/>
    </format>
    <format dxfId="180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179">
      <pivotArea grandRow="1" outline="0" collapsedLevelsAreSubtotals="1" fieldPosition="0"/>
    </format>
    <format dxfId="178">
      <pivotArea dataOnly="0" labelOnly="1" grandRow="1" outline="0" fieldPosition="0"/>
    </format>
    <format dxfId="177">
      <pivotArea collapsedLevelsAreSubtotals="1" fieldPosition="0">
        <references count="1">
          <reference field="14" count="1">
            <x v="0"/>
          </reference>
        </references>
      </pivotArea>
    </format>
    <format dxfId="176">
      <pivotArea collapsedLevelsAreSubtotals="1" fieldPosition="0">
        <references count="2">
          <reference field="14" count="1" selected="0">
            <x v="0"/>
          </reference>
          <reference field="15" count="5">
            <x v="3"/>
            <x v="4"/>
            <x v="5"/>
            <x v="8"/>
            <x v="11"/>
          </reference>
        </references>
      </pivotArea>
    </format>
    <format dxfId="175">
      <pivotArea collapsedLevelsAreSubtotals="1" fieldPosition="0">
        <references count="1">
          <reference field="14" count="1">
            <x v="1"/>
          </reference>
        </references>
      </pivotArea>
    </format>
    <format dxfId="174">
      <pivotArea collapsedLevelsAreSubtotals="1" fieldPosition="0">
        <references count="2">
          <reference field="14" count="1" selected="0">
            <x v="1"/>
          </reference>
          <reference field="15" count="1">
            <x v="2"/>
          </reference>
        </references>
      </pivotArea>
    </format>
    <format dxfId="173">
      <pivotArea field="14" type="button" dataOnly="0" labelOnly="1" outline="0" axis="axisRow" fieldPosition="0"/>
    </format>
    <format dxfId="172">
      <pivotArea dataOnly="0" labelOnly="1" fieldPosition="0">
        <references count="1">
          <reference field="14" count="2">
            <x v="0"/>
            <x v="1"/>
          </reference>
        </references>
      </pivotArea>
    </format>
    <format dxfId="171">
      <pivotArea dataOnly="0" labelOnly="1" fieldPosition="0">
        <references count="2">
          <reference field="14" count="1" selected="0">
            <x v="0"/>
          </reference>
          <reference field="15" count="5">
            <x v="3"/>
            <x v="4"/>
            <x v="5"/>
            <x v="8"/>
            <x v="11"/>
          </reference>
        </references>
      </pivotArea>
    </format>
    <format dxfId="170">
      <pivotArea dataOnly="0" labelOnly="1" fieldPosition="0">
        <references count="2">
          <reference field="14" count="1" selected="0">
            <x v="1"/>
          </reference>
          <reference field="15" count="1">
            <x v="2"/>
          </reference>
        </references>
      </pivotArea>
    </format>
    <format dxfId="169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168">
      <pivotArea dataOnly="0" fieldPosition="0">
        <references count="1">
          <reference field="14" count="1">
            <x v="0"/>
          </reference>
        </references>
      </pivotArea>
    </format>
    <format dxfId="167">
      <pivotArea dataOnly="0" fieldPosition="0">
        <references count="1">
          <reference field="14" count="1">
            <x v="0"/>
          </reference>
        </references>
      </pivotArea>
    </format>
    <format dxfId="166">
      <pivotArea dataOnly="0" fieldPosition="0">
        <references count="1">
          <reference field="14" count="1">
            <x v="1"/>
          </reference>
        </references>
      </pivotArea>
    </format>
    <format dxfId="165">
      <pivotArea dataOnly="0" fieldPosition="0">
        <references count="1">
          <reference field="14" count="1">
            <x v="2"/>
          </reference>
        </references>
      </pivotArea>
    </format>
    <format dxfId="164">
      <pivotArea dataOnly="0" fieldPosition="0">
        <references count="1">
          <reference field="14" count="1">
            <x v="3"/>
          </reference>
        </references>
      </pivotArea>
    </format>
    <format dxfId="163">
      <pivotArea dataOnly="0" fieldPosition="0">
        <references count="1">
          <reference field="14" count="1">
            <x v="4"/>
          </reference>
        </references>
      </pivotArea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0" type="button" dataOnly="0" labelOnly="1" outline="0"/>
    </format>
    <format dxfId="15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58">
      <pivotArea dataOnly="0" fieldPosition="0">
        <references count="1">
          <reference field="14" count="1">
            <x v="0"/>
          </reference>
        </references>
      </pivotArea>
    </format>
    <format dxfId="157">
      <pivotArea dataOnly="0" fieldPosition="0">
        <references count="1">
          <reference field="14" count="1">
            <x v="1"/>
          </reference>
        </references>
      </pivotArea>
    </format>
    <format dxfId="156">
      <pivotArea dataOnly="0" fieldPosition="0">
        <references count="1">
          <reference field="14" count="1">
            <x v="2"/>
          </reference>
        </references>
      </pivotArea>
    </format>
    <format dxfId="155">
      <pivotArea dataOnly="0" fieldPosition="0">
        <references count="1">
          <reference field="14" count="1">
            <x v="3"/>
          </reference>
        </references>
      </pivotArea>
    </format>
    <format dxfId="154">
      <pivotArea dataOnly="0" fieldPosition="0">
        <references count="1">
          <reference field="14" count="1">
            <x v="4"/>
          </reference>
        </references>
      </pivotArea>
    </format>
    <format dxfId="153">
      <pivotArea dataOnly="0" fieldPosition="0">
        <references count="1">
          <reference field="14" count="1">
            <x v="6"/>
          </reference>
        </references>
      </pivotArea>
    </format>
    <format dxfId="152">
      <pivotArea dataOnly="0" fieldPosition="0">
        <references count="1">
          <reference field="14" count="1">
            <x v="6"/>
          </reference>
        </references>
      </pivotArea>
    </format>
    <format dxfId="151">
      <pivotArea grandRow="1" outline="0" collapsedLevelsAreSubtotals="1" fieldPosition="0"/>
    </format>
    <format dxfId="150">
      <pivotArea dataOnly="0" labelOnly="1" grandRow="1" outline="0" fieldPosition="0"/>
    </format>
    <format dxfId="149">
      <pivotArea field="0" grandRow="1" outline="0" collapsedLevelsAreSubtotals="1">
        <references count="1">
          <reference field="4294967294" count="1" selected="0">
            <x v="0"/>
          </reference>
        </references>
      </pivotArea>
    </format>
    <format dxfId="148">
      <pivotArea field="0" grandRow="1" outline="0" collapsedLevelsAreSubtotals="1">
        <references count="1">
          <reference field="4294967294" count="1" selected="0">
            <x v="1"/>
          </reference>
        </references>
      </pivotArea>
    </format>
    <format dxfId="147">
      <pivotArea dataOnly="0" fieldPosition="0">
        <references count="1">
          <reference field="14" count="1">
            <x v="8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9C3347-C6B7-43D6-ADF0-4CA96FF46852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3:S183" firstHeaderRow="1" firstDataRow="2" firstDataCol="1"/>
  <pivotFields count="25">
    <pivotField axis="axisRow" showAll="0">
      <items count="14">
        <item x="0"/>
        <item x="1"/>
        <item x="2"/>
        <item x="3"/>
        <item x="4"/>
        <item x="5"/>
        <item m="1" x="12"/>
        <item x="6"/>
        <item x="7"/>
        <item x="8"/>
        <item x="9"/>
        <item x="10"/>
        <item x="11"/>
        <item t="default"/>
      </items>
    </pivotField>
    <pivotField numFmtId="166" showAll="0"/>
    <pivotField showAll="0"/>
    <pivotField showAll="0"/>
    <pivotField numFmtId="44" showAll="0"/>
    <pivotField dataField="1" numFmtId="44" showAll="0"/>
    <pivotField showAll="0"/>
    <pivotField showAll="0"/>
    <pivotField numFmtId="44" showAll="0"/>
    <pivotField numFmtId="165" showAll="0"/>
    <pivotField numFmtId="165" showAll="0"/>
    <pivotField showAll="0"/>
    <pivotField showAll="0"/>
    <pivotField showAll="0"/>
    <pivotField axis="axisCol" showAll="0">
      <items count="11">
        <item x="1"/>
        <item x="2"/>
        <item x="3"/>
        <item x="0"/>
        <item m="1" x="8"/>
        <item m="1" x="7"/>
        <item x="4"/>
        <item m="1" x="9"/>
        <item x="5"/>
        <item m="1" x="6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67">
        <item x="4"/>
        <item m="1" x="28"/>
        <item x="6"/>
        <item x="7"/>
        <item x="5"/>
        <item x="1"/>
        <item x="0"/>
        <item x="12"/>
        <item x="9"/>
        <item x="20"/>
        <item m="1" x="45"/>
        <item m="1" x="35"/>
        <item x="3"/>
        <item m="1" x="29"/>
        <item x="15"/>
        <item x="13"/>
        <item m="1" x="30"/>
        <item m="1" x="36"/>
        <item x="14"/>
        <item x="22"/>
        <item m="1" x="31"/>
        <item m="1" x="34"/>
        <item x="16"/>
        <item x="8"/>
        <item m="1" x="33"/>
        <item m="1" x="32"/>
        <item x="10"/>
        <item x="18"/>
        <item x="11"/>
        <item x="21"/>
        <item x="25"/>
        <item m="1" x="44"/>
        <item x="2"/>
        <item x="23"/>
        <item x="17"/>
        <item x="19"/>
        <item x="24"/>
        <item x="26"/>
        <item m="1" x="40"/>
        <item m="1" x="39"/>
        <item m="1" x="38"/>
        <item m="1" x="37"/>
        <item m="1" x="41"/>
        <item m="1" x="43"/>
        <item m="1" x="42"/>
        <item m="1" x="55"/>
        <item m="1" x="46"/>
        <item m="1" x="59"/>
        <item m="1" x="48"/>
        <item m="1" x="65"/>
        <item m="1" x="56"/>
        <item m="1" x="51"/>
        <item m="1" x="62"/>
        <item m="1" x="61"/>
        <item m="1" x="47"/>
        <item m="1" x="63"/>
        <item m="1" x="58"/>
        <item m="1" x="64"/>
        <item m="1" x="60"/>
        <item m="1" x="54"/>
        <item m="1" x="52"/>
        <item m="1" x="49"/>
        <item m="1" x="53"/>
        <item m="1" x="57"/>
        <item m="1" x="50"/>
        <item x="27"/>
        <item t="default"/>
      </items>
    </pivotField>
    <pivotField showAll="0"/>
    <pivotField showAll="0"/>
    <pivotField showAll="0"/>
    <pivotField showAll="0"/>
  </pivotFields>
  <rowFields count="2">
    <field x="0"/>
    <field x="20"/>
  </rowFields>
  <rowItems count="179">
    <i>
      <x/>
    </i>
    <i r="1"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2"/>
    </i>
    <i r="1">
      <x v="32"/>
    </i>
    <i>
      <x v="1"/>
    </i>
    <i r="1">
      <x v="2"/>
    </i>
    <i r="1">
      <x v="3"/>
    </i>
    <i r="1">
      <x v="4"/>
    </i>
    <i r="1">
      <x v="5"/>
    </i>
    <i r="1">
      <x v="6"/>
    </i>
    <i r="1">
      <x v="9"/>
    </i>
    <i r="1">
      <x v="12"/>
    </i>
    <i r="1">
      <x v="14"/>
    </i>
    <i r="1">
      <x v="15"/>
    </i>
    <i r="1">
      <x v="18"/>
    </i>
    <i r="1">
      <x v="32"/>
    </i>
    <i>
      <x v="2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2"/>
    </i>
    <i r="1">
      <x v="14"/>
    </i>
    <i r="1">
      <x v="22"/>
    </i>
    <i r="1">
      <x v="23"/>
    </i>
    <i r="1">
      <x v="26"/>
    </i>
    <i r="1">
      <x v="32"/>
    </i>
    <i>
      <x v="3"/>
    </i>
    <i r="1">
      <x v="2"/>
    </i>
    <i r="1">
      <x v="3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23"/>
    </i>
    <i r="1">
      <x v="26"/>
    </i>
    <i r="1">
      <x v="27"/>
    </i>
    <i r="1">
      <x v="28"/>
    </i>
    <i r="1">
      <x v="29"/>
    </i>
    <i r="1">
      <x v="32"/>
    </i>
    <i>
      <x v="4"/>
    </i>
    <i r="1">
      <x v="2"/>
    </i>
    <i r="1">
      <x v="4"/>
    </i>
    <i r="1">
      <x v="5"/>
    </i>
    <i r="1">
      <x v="6"/>
    </i>
    <i r="1">
      <x v="9"/>
    </i>
    <i r="1">
      <x v="12"/>
    </i>
    <i r="1">
      <x v="14"/>
    </i>
    <i r="1">
      <x v="18"/>
    </i>
    <i r="1">
      <x v="19"/>
    </i>
    <i r="1">
      <x v="23"/>
    </i>
    <i r="1">
      <x v="26"/>
    </i>
    <i r="1">
      <x v="28"/>
    </i>
    <i r="1">
      <x v="32"/>
    </i>
    <i>
      <x v="5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2"/>
    </i>
    <i r="1">
      <x v="14"/>
    </i>
    <i r="1">
      <x v="15"/>
    </i>
    <i r="1">
      <x v="18"/>
    </i>
    <i r="1">
      <x v="19"/>
    </i>
    <i r="1">
      <x v="23"/>
    </i>
    <i r="1">
      <x v="26"/>
    </i>
    <i r="1">
      <x v="28"/>
    </i>
    <i r="1">
      <x v="32"/>
    </i>
    <i r="1">
      <x v="33"/>
    </i>
    <i r="1">
      <x v="35"/>
    </i>
    <i r="1">
      <x v="36"/>
    </i>
    <i>
      <x v="7"/>
    </i>
    <i r="1">
      <x/>
    </i>
    <i r="1">
      <x v="2"/>
    </i>
    <i r="1">
      <x v="4"/>
    </i>
    <i r="1">
      <x v="5"/>
    </i>
    <i r="1">
      <x v="6"/>
    </i>
    <i r="1">
      <x v="12"/>
    </i>
    <i r="1">
      <x v="14"/>
    </i>
    <i r="1">
      <x v="15"/>
    </i>
    <i r="1">
      <x v="18"/>
    </i>
    <i r="1">
      <x v="19"/>
    </i>
    <i r="1">
      <x v="26"/>
    </i>
    <i r="1">
      <x v="28"/>
    </i>
    <i r="1">
      <x v="30"/>
    </i>
    <i r="1">
      <x v="32"/>
    </i>
    <i r="1">
      <x v="33"/>
    </i>
    <i r="1">
      <x v="35"/>
    </i>
    <i>
      <x v="8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19"/>
    </i>
    <i r="1">
      <x v="26"/>
    </i>
    <i r="1">
      <x v="28"/>
    </i>
    <i r="1">
      <x v="30"/>
    </i>
    <i r="1">
      <x v="32"/>
    </i>
    <i r="1">
      <x v="33"/>
    </i>
    <i r="1">
      <x v="35"/>
    </i>
    <i r="1">
      <x v="37"/>
    </i>
    <i>
      <x v="9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23"/>
    </i>
    <i r="1">
      <x v="26"/>
    </i>
    <i r="1">
      <x v="28"/>
    </i>
    <i r="1">
      <x v="32"/>
    </i>
    <i r="1">
      <x v="34"/>
    </i>
    <i r="1">
      <x v="35"/>
    </i>
    <i>
      <x v="10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23"/>
    </i>
    <i r="1">
      <x v="26"/>
    </i>
    <i r="1">
      <x v="27"/>
    </i>
    <i r="1">
      <x v="32"/>
    </i>
    <i r="1">
      <x v="34"/>
    </i>
    <i>
      <x v="11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5"/>
    </i>
    <i r="1">
      <x v="23"/>
    </i>
    <i r="1">
      <x v="26"/>
    </i>
    <i r="1">
      <x v="32"/>
    </i>
    <i r="1">
      <x v="65"/>
    </i>
    <i>
      <x v="12"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5"/>
    </i>
    <i r="1">
      <x v="26"/>
    </i>
    <i r="1">
      <x v="32"/>
    </i>
    <i r="1">
      <x v="34"/>
    </i>
    <i t="grand">
      <x/>
    </i>
  </rowItems>
  <colFields count="1">
    <field x="14"/>
  </colFields>
  <colItems count="7">
    <i>
      <x/>
    </i>
    <i>
      <x v="1"/>
    </i>
    <i>
      <x v="2"/>
    </i>
    <i>
      <x v="3"/>
    </i>
    <i>
      <x v="6"/>
    </i>
    <i>
      <x v="8"/>
    </i>
    <i t="grand">
      <x/>
    </i>
  </colItems>
  <dataFields count="1">
    <dataField name="Suma de INGRESOS" fld="5" baseField="0" baseItem="0" numFmtId="44"/>
  </dataFields>
  <formats count="58">
    <format dxfId="70">
      <pivotArea dataOnly="0" labelOnly="1" fieldPosition="0">
        <references count="1">
          <reference field="20" count="0"/>
        </references>
      </pivotArea>
    </format>
    <format dxfId="69">
      <pivotArea dataOnly="0" labelOnly="1" fieldPosition="0">
        <references count="1">
          <reference field="14" count="0"/>
        </references>
      </pivotArea>
    </format>
    <format dxfId="68">
      <pivotArea dataOnly="0" labelOnly="1" grandCol="1" outline="0" fieldPosition="0"/>
    </format>
    <format dxfId="67">
      <pivotArea grandCol="1" outline="0" collapsedLevelsAreSubtotals="1" fieldPosition="0"/>
    </format>
    <format dxfId="66">
      <pivotArea collapsedLevelsAreSubtotals="1" fieldPosition="0">
        <references count="1">
          <reference field="20" count="0"/>
        </references>
      </pivotArea>
    </format>
    <format dxfId="65">
      <pivotArea type="origin" dataOnly="0" labelOnly="1" outline="0" fieldPosition="0"/>
    </format>
    <format dxfId="64">
      <pivotArea field="14" type="button" dataOnly="0" labelOnly="1" outline="0" axis="axisCol" fieldPosition="0"/>
    </format>
    <format dxfId="63">
      <pivotArea type="topRight" dataOnly="0" labelOnly="1" outline="0" fieldPosition="0"/>
    </format>
    <format dxfId="62">
      <pivotArea field="20" type="button" dataOnly="0" labelOnly="1" outline="0" axis="axisRow" fieldPosition="1"/>
    </format>
    <format dxfId="61">
      <pivotArea dataOnly="0" labelOnly="1" fieldPosition="0">
        <references count="1">
          <reference field="20" count="0"/>
        </references>
      </pivotArea>
    </format>
    <format dxfId="60">
      <pivotArea dataOnly="0" labelOnly="1" fieldPosition="0">
        <references count="1">
          <reference field="14" count="0"/>
        </references>
      </pivotArea>
    </format>
    <format dxfId="59">
      <pivotArea dataOnly="0" labelOnly="1" grandCol="1" outline="0" fieldPosition="0"/>
    </format>
    <format dxfId="58">
      <pivotArea collapsedLevelsAreSubtotals="1" fieldPosition="0">
        <references count="1">
          <reference field="20" count="6">
            <x v="50"/>
            <x v="51"/>
            <x v="54"/>
            <x v="59"/>
            <x v="61"/>
            <x v="64"/>
          </reference>
        </references>
      </pivotArea>
    </format>
    <format dxfId="57">
      <pivotArea dataOnly="0" grandRow="1" fieldPosition="0"/>
    </format>
    <format dxfId="56">
      <pivotArea type="all" dataOnly="0" outline="0" fieldPosition="0"/>
    </format>
    <format dxfId="55">
      <pivotArea type="origin" dataOnly="0" labelOnly="1" outline="0" fieldPosition="0"/>
    </format>
    <format dxfId="54">
      <pivotArea type="origin" dataOnly="0" labelOnly="1" outline="0" fieldPosition="0"/>
    </format>
    <format dxfId="53">
      <pivotArea type="origin" dataOnly="0" labelOnly="1" outline="0" fieldPosition="0"/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4" type="button" dataOnly="0" labelOnly="1" outline="0" axis="axisCol" fieldPosition="0"/>
    </format>
    <format dxfId="49">
      <pivotArea type="topRight" dataOnly="0" labelOnly="1" outline="0" fieldPosition="0"/>
    </format>
    <format dxfId="48">
      <pivotArea field="20" type="button" dataOnly="0" labelOnly="1" outline="0" axis="axisRow" fieldPosition="1"/>
    </format>
    <format dxfId="47">
      <pivotArea dataOnly="0" labelOnly="1" fieldPosition="0">
        <references count="1">
          <reference field="20" count="0"/>
        </references>
      </pivotArea>
    </format>
    <format dxfId="46">
      <pivotArea dataOnly="0" labelOnly="1" fieldPosition="0">
        <references count="1">
          <reference field="14" count="0"/>
        </references>
      </pivotArea>
    </format>
    <format dxfId="45">
      <pivotArea dataOnly="0" labelOnly="1" grandCol="1" outline="0" fieldPosition="0"/>
    </format>
    <format dxfId="44">
      <pivotArea grandRow="1" grandCol="1" outline="0" collapsedLevelsAreSubtotals="1" fieldPosition="0"/>
    </format>
    <format dxfId="43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2"/>
            <x v="3"/>
            <x v="4"/>
            <x v="5"/>
            <x v="6"/>
            <x v="7"/>
            <x v="8"/>
            <x v="9"/>
            <x v="12"/>
            <x v="32"/>
          </reference>
        </references>
      </pivotArea>
    </format>
    <format dxfId="42">
      <pivotArea dataOnly="0" labelOnly="1" fieldPosition="0">
        <references count="2">
          <reference field="0" count="1" selected="0">
            <x v="1"/>
          </reference>
          <reference field="20" count="11">
            <x v="2"/>
            <x v="3"/>
            <x v="4"/>
            <x v="5"/>
            <x v="6"/>
            <x v="9"/>
            <x v="12"/>
            <x v="14"/>
            <x v="15"/>
            <x v="18"/>
            <x v="32"/>
          </reference>
        </references>
      </pivotArea>
    </format>
    <format dxfId="41">
      <pivotArea dataOnly="0" labelOnly="1" fieldPosition="0">
        <references count="2">
          <reference field="0" count="1" selected="0">
            <x v="2"/>
          </reference>
          <reference field="20" count="13">
            <x v="2"/>
            <x v="3"/>
            <x v="4"/>
            <x v="5"/>
            <x v="6"/>
            <x v="8"/>
            <x v="9"/>
            <x v="12"/>
            <x v="14"/>
            <x v="22"/>
            <x v="23"/>
            <x v="26"/>
            <x v="32"/>
          </reference>
        </references>
      </pivotArea>
    </format>
    <format dxfId="40">
      <pivotArea dataOnly="0" labelOnly="1" fieldPosition="0">
        <references count="2">
          <reference field="0" count="1" selected="0">
            <x v="3"/>
          </reference>
          <reference field="20" count="14">
            <x v="2"/>
            <x v="3"/>
            <x v="4"/>
            <x v="5"/>
            <x v="6"/>
            <x v="8"/>
            <x v="12"/>
            <x v="14"/>
            <x v="23"/>
            <x v="26"/>
            <x v="27"/>
            <x v="28"/>
            <x v="29"/>
            <x v="32"/>
          </reference>
        </references>
      </pivotArea>
    </format>
    <format dxfId="39">
      <pivotArea dataOnly="0" labelOnly="1" fieldPosition="0">
        <references count="2">
          <reference field="0" count="1" selected="0">
            <x v="4"/>
          </reference>
          <reference field="20" count="13">
            <x v="2"/>
            <x v="4"/>
            <x v="5"/>
            <x v="6"/>
            <x v="9"/>
            <x v="12"/>
            <x v="14"/>
            <x v="18"/>
            <x v="19"/>
            <x v="23"/>
            <x v="26"/>
            <x v="28"/>
            <x v="32"/>
          </reference>
        </references>
      </pivotArea>
    </format>
    <format dxfId="38">
      <pivotArea dataOnly="0" labelOnly="1" fieldPosition="0">
        <references count="2">
          <reference field="0" count="1" selected="0">
            <x v="5"/>
          </reference>
          <reference field="20" count="17">
            <x v="2"/>
            <x v="4"/>
            <x v="5"/>
            <x v="6"/>
            <x v="8"/>
            <x v="9"/>
            <x v="12"/>
            <x v="14"/>
            <x v="15"/>
            <x v="18"/>
            <x v="19"/>
            <x v="23"/>
            <x v="26"/>
            <x v="28"/>
            <x v="32"/>
            <x v="33"/>
            <x v="35"/>
          </reference>
        </references>
      </pivotArea>
    </format>
    <format dxfId="37">
      <pivotArea dataOnly="0" labelOnly="1" fieldPosition="0">
        <references count="2">
          <reference field="0" count="1" selected="0">
            <x v="7"/>
          </reference>
          <reference field="20" count="15">
            <x v="2"/>
            <x v="4"/>
            <x v="5"/>
            <x v="6"/>
            <x v="12"/>
            <x v="14"/>
            <x v="15"/>
            <x v="18"/>
            <x v="19"/>
            <x v="26"/>
            <x v="30"/>
            <x v="32"/>
            <x v="33"/>
            <x v="35"/>
            <x v="65"/>
          </reference>
        </references>
      </pivotArea>
    </format>
    <format dxfId="36">
      <pivotArea dataOnly="0" labelOnly="1" fieldPosition="0">
        <references count="1">
          <reference field="0" count="0"/>
        </references>
      </pivotArea>
    </format>
    <format dxfId="35">
      <pivotArea dataOnly="0" labelOnly="1" fieldPosition="0">
        <references count="2">
          <reference field="0" count="1" selected="0">
            <x v="11"/>
          </reference>
          <reference field="20" count="12">
            <x v="0"/>
            <x v="2"/>
            <x v="4"/>
            <x v="5"/>
            <x v="6"/>
            <x v="8"/>
            <x v="12"/>
            <x v="14"/>
            <x v="15"/>
            <x v="23"/>
            <x v="32"/>
            <x v="65"/>
          </reference>
        </references>
      </pivotArea>
    </format>
    <format dxfId="34">
      <pivotArea dataOnly="0" labelOnly="1" fieldPosition="0">
        <references count="2">
          <reference field="0" count="1" selected="0">
            <x v="10"/>
          </reference>
          <reference field="20" count="13">
            <x v="4"/>
            <x v="5"/>
            <x v="6"/>
            <x v="8"/>
            <x v="12"/>
            <x v="14"/>
            <x v="18"/>
            <x v="23"/>
            <x v="26"/>
            <x v="27"/>
            <x v="32"/>
            <x v="34"/>
            <x v="65"/>
          </reference>
        </references>
      </pivotArea>
    </format>
    <format dxfId="33">
      <pivotArea dataOnly="0" labelOnly="1" fieldPosition="0">
        <references count="2">
          <reference field="0" count="1" selected="0">
            <x v="10"/>
          </reference>
          <reference field="20" count="7">
            <x v="0"/>
            <x v="2"/>
            <x v="4"/>
            <x v="5"/>
            <x v="6"/>
            <x v="8"/>
            <x v="12"/>
          </reference>
        </references>
      </pivotArea>
    </format>
    <format dxfId="32">
      <pivotArea dataOnly="0" labelOnly="1" fieldPosition="0">
        <references count="2">
          <reference field="0" count="1" selected="0">
            <x v="9"/>
          </reference>
          <reference field="20" count="10">
            <x v="8"/>
            <x v="12"/>
            <x v="14"/>
            <x v="18"/>
            <x v="23"/>
            <x v="26"/>
            <x v="28"/>
            <x v="32"/>
            <x v="34"/>
            <x v="35"/>
          </reference>
        </references>
      </pivotArea>
    </format>
    <format dxfId="31">
      <pivotArea dataOnly="0" labelOnly="1" fieldPosition="0">
        <references count="2">
          <reference field="0" count="1" selected="0">
            <x v="9"/>
          </reference>
          <reference field="20" count="10">
            <x v="0"/>
            <x v="2"/>
            <x v="4"/>
            <x v="5"/>
            <x v="6"/>
            <x v="8"/>
            <x v="12"/>
            <x v="14"/>
            <x v="18"/>
            <x v="23"/>
          </reference>
        </references>
      </pivotArea>
    </format>
    <format dxfId="30">
      <pivotArea dataOnly="0" labelOnly="1" fieldPosition="0">
        <references count="2">
          <reference field="0" count="1" selected="0">
            <x v="8"/>
          </reference>
          <reference field="20" count="10">
            <x v="14"/>
            <x v="18"/>
            <x v="19"/>
            <x v="26"/>
            <x v="28"/>
            <x v="30"/>
            <x v="32"/>
            <x v="33"/>
            <x v="35"/>
            <x v="37"/>
          </reference>
        </references>
      </pivotArea>
    </format>
    <format dxfId="29">
      <pivotArea dataOnly="0" labelOnly="1" fieldPosition="0">
        <references count="2">
          <reference field="0" count="1" selected="0">
            <x v="8"/>
          </reference>
          <reference field="20" count="11">
            <x v="0"/>
            <x v="2"/>
            <x v="4"/>
            <x v="5"/>
            <x v="6"/>
            <x v="8"/>
            <x v="12"/>
            <x v="14"/>
            <x v="18"/>
            <x v="19"/>
            <x v="26"/>
          </reference>
        </references>
      </pivotArea>
    </format>
    <format dxfId="28">
      <pivotArea type="origin" dataOnly="0" labelOnly="1" outline="0" fieldPosition="0"/>
    </format>
    <format dxfId="27">
      <pivotArea field="0" type="button" dataOnly="0" labelOnly="1" outline="0" axis="axisRow" fieldPosition="0"/>
    </format>
    <format dxfId="26">
      <pivotArea dataOnly="0" labelOnly="1" fieldPosition="0">
        <references count="1">
          <reference field="0" count="0"/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2"/>
            <x v="3"/>
            <x v="4"/>
            <x v="5"/>
            <x v="6"/>
            <x v="7"/>
            <x v="8"/>
            <x v="9"/>
            <x v="12"/>
            <x v="32"/>
          </reference>
        </references>
      </pivotArea>
    </format>
    <format dxfId="23">
      <pivotArea dataOnly="0" labelOnly="1" fieldPosition="0">
        <references count="2">
          <reference field="0" count="1" selected="0">
            <x v="1"/>
          </reference>
          <reference field="20" count="11">
            <x v="2"/>
            <x v="3"/>
            <x v="4"/>
            <x v="5"/>
            <x v="6"/>
            <x v="9"/>
            <x v="12"/>
            <x v="14"/>
            <x v="15"/>
            <x v="18"/>
            <x v="32"/>
          </reference>
        </references>
      </pivotArea>
    </format>
    <format dxfId="22">
      <pivotArea dataOnly="0" labelOnly="1" fieldPosition="0">
        <references count="2">
          <reference field="0" count="1" selected="0">
            <x v="2"/>
          </reference>
          <reference field="20" count="13">
            <x v="2"/>
            <x v="3"/>
            <x v="4"/>
            <x v="5"/>
            <x v="6"/>
            <x v="8"/>
            <x v="9"/>
            <x v="12"/>
            <x v="14"/>
            <x v="22"/>
            <x v="23"/>
            <x v="26"/>
            <x v="32"/>
          </reference>
        </references>
      </pivotArea>
    </format>
    <format dxfId="21">
      <pivotArea dataOnly="0" labelOnly="1" fieldPosition="0">
        <references count="2">
          <reference field="0" count="1" selected="0">
            <x v="3"/>
          </reference>
          <reference field="20" count="14">
            <x v="2"/>
            <x v="3"/>
            <x v="4"/>
            <x v="5"/>
            <x v="6"/>
            <x v="8"/>
            <x v="12"/>
            <x v="14"/>
            <x v="23"/>
            <x v="26"/>
            <x v="27"/>
            <x v="28"/>
            <x v="29"/>
            <x v="32"/>
          </reference>
        </references>
      </pivotArea>
    </format>
    <format dxfId="20">
      <pivotArea dataOnly="0" labelOnly="1" fieldPosition="0">
        <references count="2">
          <reference field="0" count="1" selected="0">
            <x v="4"/>
          </reference>
          <reference field="20" count="13">
            <x v="2"/>
            <x v="4"/>
            <x v="5"/>
            <x v="6"/>
            <x v="9"/>
            <x v="12"/>
            <x v="14"/>
            <x v="18"/>
            <x v="19"/>
            <x v="23"/>
            <x v="26"/>
            <x v="28"/>
            <x v="32"/>
          </reference>
        </references>
      </pivotArea>
    </format>
    <format dxfId="19">
      <pivotArea dataOnly="0" labelOnly="1" fieldPosition="0">
        <references count="2">
          <reference field="0" count="1" selected="0">
            <x v="5"/>
          </reference>
          <reference field="20" count="18">
            <x v="2"/>
            <x v="4"/>
            <x v="5"/>
            <x v="6"/>
            <x v="8"/>
            <x v="9"/>
            <x v="12"/>
            <x v="14"/>
            <x v="15"/>
            <x v="18"/>
            <x v="19"/>
            <x v="23"/>
            <x v="26"/>
            <x v="28"/>
            <x v="32"/>
            <x v="33"/>
            <x v="35"/>
            <x v="36"/>
          </reference>
        </references>
      </pivotArea>
    </format>
    <format dxfId="18">
      <pivotArea dataOnly="0" labelOnly="1" fieldPosition="0">
        <references count="2">
          <reference field="0" count="1" selected="0">
            <x v="7"/>
          </reference>
          <reference field="20" count="16">
            <x v="0"/>
            <x v="2"/>
            <x v="4"/>
            <x v="5"/>
            <x v="6"/>
            <x v="12"/>
            <x v="14"/>
            <x v="15"/>
            <x v="18"/>
            <x v="19"/>
            <x v="26"/>
            <x v="28"/>
            <x v="30"/>
            <x v="32"/>
            <x v="33"/>
            <x v="35"/>
          </reference>
        </references>
      </pivotArea>
    </format>
    <format dxfId="17">
      <pivotArea dataOnly="0" labelOnly="1" fieldPosition="0">
        <references count="2">
          <reference field="0" count="1" selected="0">
            <x v="8"/>
          </reference>
          <reference field="20" count="17">
            <x v="0"/>
            <x v="2"/>
            <x v="4"/>
            <x v="5"/>
            <x v="6"/>
            <x v="8"/>
            <x v="12"/>
            <x v="14"/>
            <x v="18"/>
            <x v="19"/>
            <x v="26"/>
            <x v="28"/>
            <x v="30"/>
            <x v="32"/>
            <x v="33"/>
            <x v="35"/>
            <x v="37"/>
          </reference>
        </references>
      </pivotArea>
    </format>
    <format dxfId="16">
      <pivotArea dataOnly="0" labelOnly="1" fieldPosition="0">
        <references count="2">
          <reference field="0" count="1" selected="0">
            <x v="9"/>
          </reference>
          <reference field="20" count="15">
            <x v="0"/>
            <x v="2"/>
            <x v="4"/>
            <x v="5"/>
            <x v="6"/>
            <x v="8"/>
            <x v="12"/>
            <x v="14"/>
            <x v="18"/>
            <x v="23"/>
            <x v="26"/>
            <x v="28"/>
            <x v="32"/>
            <x v="34"/>
            <x v="35"/>
          </reference>
        </references>
      </pivotArea>
    </format>
    <format dxfId="15">
      <pivotArea dataOnly="0" labelOnly="1" fieldPosition="0">
        <references count="2">
          <reference field="0" count="1" selected="0">
            <x v="10"/>
          </reference>
          <reference field="20" count="14">
            <x v="0"/>
            <x v="2"/>
            <x v="4"/>
            <x v="5"/>
            <x v="6"/>
            <x v="8"/>
            <x v="12"/>
            <x v="14"/>
            <x v="18"/>
            <x v="23"/>
            <x v="26"/>
            <x v="27"/>
            <x v="32"/>
            <x v="34"/>
          </reference>
        </references>
      </pivotArea>
    </format>
    <format dxfId="14">
      <pivotArea dataOnly="0" labelOnly="1" fieldPosition="0">
        <references count="2">
          <reference field="0" count="1" selected="0">
            <x v="11"/>
          </reference>
          <reference field="20" count="12">
            <x v="0"/>
            <x v="2"/>
            <x v="4"/>
            <x v="5"/>
            <x v="6"/>
            <x v="8"/>
            <x v="12"/>
            <x v="14"/>
            <x v="15"/>
            <x v="23"/>
            <x v="26"/>
            <x v="32"/>
          </reference>
        </references>
      </pivotArea>
    </format>
    <format dxfId="13">
      <pivotArea dataOnly="0" labelOnly="1" fieldPosition="0">
        <references count="2">
          <reference field="0" count="1" selected="0">
            <x v="12"/>
          </reference>
          <reference field="20" count="1">
            <x v="5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3EFF1-8BB2-4366-8E39-7F25A56B26CA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3:I183" firstHeaderRow="1" firstDataRow="2" firstDataCol="1"/>
  <pivotFields count="25">
    <pivotField axis="axisRow" showAll="0">
      <items count="14">
        <item x="0"/>
        <item x="1"/>
        <item x="2"/>
        <item x="3"/>
        <item x="4"/>
        <item x="5"/>
        <item m="1" x="12"/>
        <item x="6"/>
        <item x="7"/>
        <item x="8"/>
        <item x="9"/>
        <item x="10"/>
        <item x="11"/>
        <item t="default"/>
      </items>
    </pivotField>
    <pivotField numFmtId="166" showAll="0"/>
    <pivotField showAll="0"/>
    <pivotField showAll="0"/>
    <pivotField dataField="1" numFmtId="44" showAll="0"/>
    <pivotField numFmtId="44" showAll="0"/>
    <pivotField showAll="0"/>
    <pivotField showAll="0"/>
    <pivotField showAll="0"/>
    <pivotField numFmtId="165" showAll="0"/>
    <pivotField numFmtId="165" showAll="0"/>
    <pivotField showAll="0"/>
    <pivotField showAll="0"/>
    <pivotField showAll="0"/>
    <pivotField axis="axisCol" showAll="0">
      <items count="11">
        <item x="1"/>
        <item x="2"/>
        <item x="3"/>
        <item x="0"/>
        <item m="1" x="8"/>
        <item m="1" x="7"/>
        <item x="4"/>
        <item m="1" x="9"/>
        <item x="5"/>
        <item m="1" x="6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67">
        <item x="4"/>
        <item m="1" x="28"/>
        <item x="6"/>
        <item x="7"/>
        <item x="5"/>
        <item x="1"/>
        <item x="0"/>
        <item x="12"/>
        <item x="9"/>
        <item x="20"/>
        <item m="1" x="45"/>
        <item m="1" x="35"/>
        <item x="3"/>
        <item m="1" x="29"/>
        <item x="15"/>
        <item x="13"/>
        <item m="1" x="30"/>
        <item m="1" x="36"/>
        <item x="14"/>
        <item x="22"/>
        <item m="1" x="31"/>
        <item m="1" x="34"/>
        <item x="16"/>
        <item x="8"/>
        <item m="1" x="33"/>
        <item m="1" x="32"/>
        <item x="10"/>
        <item x="18"/>
        <item x="11"/>
        <item x="21"/>
        <item x="25"/>
        <item m="1" x="44"/>
        <item x="2"/>
        <item x="23"/>
        <item x="17"/>
        <item x="19"/>
        <item x="24"/>
        <item x="26"/>
        <item m="1" x="40"/>
        <item m="1" x="39"/>
        <item m="1" x="38"/>
        <item m="1" x="37"/>
        <item m="1" x="41"/>
        <item m="1" x="43"/>
        <item m="1" x="42"/>
        <item m="1" x="55"/>
        <item m="1" x="46"/>
        <item m="1" x="59"/>
        <item m="1" x="48"/>
        <item m="1" x="65"/>
        <item m="1" x="56"/>
        <item m="1" x="51"/>
        <item m="1" x="62"/>
        <item m="1" x="61"/>
        <item m="1" x="47"/>
        <item m="1" x="63"/>
        <item m="1" x="58"/>
        <item m="1" x="64"/>
        <item m="1" x="60"/>
        <item m="1" x="54"/>
        <item m="1" x="52"/>
        <item m="1" x="49"/>
        <item m="1" x="53"/>
        <item m="1" x="57"/>
        <item m="1" x="50"/>
        <item x="27"/>
        <item t="default"/>
      </items>
    </pivotField>
    <pivotField showAll="0"/>
    <pivotField showAll="0"/>
    <pivotField showAll="0"/>
    <pivotField showAll="0"/>
  </pivotFields>
  <rowFields count="2">
    <field x="0"/>
    <field x="20"/>
  </rowFields>
  <rowItems count="179">
    <i>
      <x/>
    </i>
    <i r="1"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2"/>
    </i>
    <i r="1">
      <x v="32"/>
    </i>
    <i>
      <x v="1"/>
    </i>
    <i r="1">
      <x v="2"/>
    </i>
    <i r="1">
      <x v="3"/>
    </i>
    <i r="1">
      <x v="4"/>
    </i>
    <i r="1">
      <x v="5"/>
    </i>
    <i r="1">
      <x v="6"/>
    </i>
    <i r="1">
      <x v="9"/>
    </i>
    <i r="1">
      <x v="12"/>
    </i>
    <i r="1">
      <x v="14"/>
    </i>
    <i r="1">
      <x v="15"/>
    </i>
    <i r="1">
      <x v="18"/>
    </i>
    <i r="1">
      <x v="32"/>
    </i>
    <i>
      <x v="2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2"/>
    </i>
    <i r="1">
      <x v="14"/>
    </i>
    <i r="1">
      <x v="22"/>
    </i>
    <i r="1">
      <x v="23"/>
    </i>
    <i r="1">
      <x v="26"/>
    </i>
    <i r="1">
      <x v="32"/>
    </i>
    <i>
      <x v="3"/>
    </i>
    <i r="1">
      <x v="2"/>
    </i>
    <i r="1">
      <x v="3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23"/>
    </i>
    <i r="1">
      <x v="26"/>
    </i>
    <i r="1">
      <x v="27"/>
    </i>
    <i r="1">
      <x v="28"/>
    </i>
    <i r="1">
      <x v="29"/>
    </i>
    <i r="1">
      <x v="32"/>
    </i>
    <i>
      <x v="4"/>
    </i>
    <i r="1">
      <x v="2"/>
    </i>
    <i r="1">
      <x v="4"/>
    </i>
    <i r="1">
      <x v="5"/>
    </i>
    <i r="1">
      <x v="6"/>
    </i>
    <i r="1">
      <x v="9"/>
    </i>
    <i r="1">
      <x v="12"/>
    </i>
    <i r="1">
      <x v="14"/>
    </i>
    <i r="1">
      <x v="18"/>
    </i>
    <i r="1">
      <x v="19"/>
    </i>
    <i r="1">
      <x v="23"/>
    </i>
    <i r="1">
      <x v="26"/>
    </i>
    <i r="1">
      <x v="28"/>
    </i>
    <i r="1">
      <x v="32"/>
    </i>
    <i>
      <x v="5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2"/>
    </i>
    <i r="1">
      <x v="14"/>
    </i>
    <i r="1">
      <x v="15"/>
    </i>
    <i r="1">
      <x v="18"/>
    </i>
    <i r="1">
      <x v="19"/>
    </i>
    <i r="1">
      <x v="23"/>
    </i>
    <i r="1">
      <x v="26"/>
    </i>
    <i r="1">
      <x v="28"/>
    </i>
    <i r="1">
      <x v="32"/>
    </i>
    <i r="1">
      <x v="33"/>
    </i>
    <i r="1">
      <x v="35"/>
    </i>
    <i r="1">
      <x v="36"/>
    </i>
    <i>
      <x v="7"/>
    </i>
    <i r="1">
      <x/>
    </i>
    <i r="1">
      <x v="2"/>
    </i>
    <i r="1">
      <x v="4"/>
    </i>
    <i r="1">
      <x v="5"/>
    </i>
    <i r="1">
      <x v="6"/>
    </i>
    <i r="1">
      <x v="12"/>
    </i>
    <i r="1">
      <x v="14"/>
    </i>
    <i r="1">
      <x v="15"/>
    </i>
    <i r="1">
      <x v="18"/>
    </i>
    <i r="1">
      <x v="19"/>
    </i>
    <i r="1">
      <x v="26"/>
    </i>
    <i r="1">
      <x v="28"/>
    </i>
    <i r="1">
      <x v="30"/>
    </i>
    <i r="1">
      <x v="32"/>
    </i>
    <i r="1">
      <x v="33"/>
    </i>
    <i r="1">
      <x v="35"/>
    </i>
    <i>
      <x v="8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19"/>
    </i>
    <i r="1">
      <x v="26"/>
    </i>
    <i r="1">
      <x v="28"/>
    </i>
    <i r="1">
      <x v="30"/>
    </i>
    <i r="1">
      <x v="32"/>
    </i>
    <i r="1">
      <x v="33"/>
    </i>
    <i r="1">
      <x v="35"/>
    </i>
    <i r="1">
      <x v="37"/>
    </i>
    <i>
      <x v="9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23"/>
    </i>
    <i r="1">
      <x v="26"/>
    </i>
    <i r="1">
      <x v="28"/>
    </i>
    <i r="1">
      <x v="32"/>
    </i>
    <i r="1">
      <x v="34"/>
    </i>
    <i r="1">
      <x v="35"/>
    </i>
    <i>
      <x v="10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23"/>
    </i>
    <i r="1">
      <x v="26"/>
    </i>
    <i r="1">
      <x v="27"/>
    </i>
    <i r="1">
      <x v="32"/>
    </i>
    <i r="1">
      <x v="34"/>
    </i>
    <i>
      <x v="11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5"/>
    </i>
    <i r="1">
      <x v="23"/>
    </i>
    <i r="1">
      <x v="26"/>
    </i>
    <i r="1">
      <x v="32"/>
    </i>
    <i r="1">
      <x v="65"/>
    </i>
    <i>
      <x v="12"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5"/>
    </i>
    <i r="1">
      <x v="26"/>
    </i>
    <i r="1">
      <x v="32"/>
    </i>
    <i r="1">
      <x v="34"/>
    </i>
    <i t="grand">
      <x/>
    </i>
  </rowItems>
  <colFields count="1">
    <field x="14"/>
  </colFields>
  <colItems count="7">
    <i>
      <x/>
    </i>
    <i>
      <x v="1"/>
    </i>
    <i>
      <x v="2"/>
    </i>
    <i>
      <x v="3"/>
    </i>
    <i>
      <x v="6"/>
    </i>
    <i>
      <x v="8"/>
    </i>
    <i t="grand">
      <x/>
    </i>
  </colItems>
  <dataFields count="1">
    <dataField name="Suma de EGRESOS" fld="4" baseField="0" baseItem="0" numFmtId="44"/>
  </dataFields>
  <formats count="61">
    <format dxfId="131">
      <pivotArea grandRow="1" outline="0" collapsedLevelsAreSubtotals="1" fieldPosition="0"/>
    </format>
    <format dxfId="130">
      <pivotArea dataOnly="0" labelOnly="1" grandRow="1" outline="0" fieldPosition="0"/>
    </format>
    <format dxfId="129">
      <pivotArea grandCol="1" outline="0" collapsedLevelsAreSubtotals="1" fieldPosition="0"/>
    </format>
    <format dxfId="128">
      <pivotArea dataOnly="0" labelOnly="1" fieldPosition="0">
        <references count="1">
          <reference field="20" count="0"/>
        </references>
      </pivotArea>
    </format>
    <format dxfId="127">
      <pivotArea dataOnly="0" labelOnly="1" grandCol="1" outline="0" fieldPosition="0"/>
    </format>
    <format dxfId="126">
      <pivotArea collapsedLevelsAreSubtotals="1" fieldPosition="0">
        <references count="1">
          <reference field="20" count="0"/>
        </references>
      </pivotArea>
    </format>
    <format dxfId="125">
      <pivotArea type="origin" dataOnly="0" labelOnly="1" outline="0" fieldPosition="0"/>
    </format>
    <format dxfId="124">
      <pivotArea field="14" type="button" dataOnly="0" labelOnly="1" outline="0" axis="axisCol" fieldPosition="0"/>
    </format>
    <format dxfId="123">
      <pivotArea type="topRight" dataOnly="0" labelOnly="1" outline="0" fieldPosition="0"/>
    </format>
    <format dxfId="122">
      <pivotArea field="20" type="button" dataOnly="0" labelOnly="1" outline="0" axis="axisRow" fieldPosition="1"/>
    </format>
    <format dxfId="121">
      <pivotArea dataOnly="0" labelOnly="1" fieldPosition="0">
        <references count="1">
          <reference field="20" count="0"/>
        </references>
      </pivotArea>
    </format>
    <format dxfId="120">
      <pivotArea dataOnly="0" labelOnly="1" grandCol="1" outline="0" fieldPosition="0"/>
    </format>
    <format dxfId="119">
      <pivotArea type="all" dataOnly="0" outline="0" fieldPosition="0"/>
    </format>
    <format dxfId="118">
      <pivotArea type="origin" dataOnly="0" labelOnly="1" outline="0" fieldPosition="0"/>
    </format>
    <format dxfId="117">
      <pivotArea type="origin" dataOnly="0" labelOnly="1" outline="0" fieldPosition="0"/>
    </format>
    <format dxfId="116">
      <pivotArea type="origin" dataOnly="0" labelOnly="1" outline="0" fieldPosition="0"/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type="origin" dataOnly="0" labelOnly="1" outline="0" fieldPosition="0"/>
    </format>
    <format dxfId="112">
      <pivotArea field="14" type="button" dataOnly="0" labelOnly="1" outline="0" axis="axisCol" fieldPosition="0"/>
    </format>
    <format dxfId="111">
      <pivotArea type="topRight" dataOnly="0" labelOnly="1" outline="0" fieldPosition="0"/>
    </format>
    <format dxfId="110">
      <pivotArea field="20" type="button" dataOnly="0" labelOnly="1" outline="0" axis="axisRow" fieldPosition="1"/>
    </format>
    <format dxfId="109">
      <pivotArea dataOnly="0" labelOnly="1" fieldPosition="0">
        <references count="1">
          <reference field="20" count="0"/>
        </references>
      </pivotArea>
    </format>
    <format dxfId="108">
      <pivotArea dataOnly="0" labelOnly="1" grandRow="1" outline="0" fieldPosition="0"/>
    </format>
    <format dxfId="107">
      <pivotArea dataOnly="0" labelOnly="1" fieldPosition="0">
        <references count="1">
          <reference field="14" count="0"/>
        </references>
      </pivotArea>
    </format>
    <format dxfId="106">
      <pivotArea dataOnly="0" labelOnly="1" grandCol="1" outline="0" fieldPosition="0"/>
    </format>
    <format dxfId="105">
      <pivotArea grandRow="1" grandCol="1" outline="0" collapsedLevelsAreSubtotals="1" fieldPosition="0"/>
    </format>
    <format dxfId="104">
      <pivotArea dataOnly="0" labelOnly="1" fieldPosition="0">
        <references count="1">
          <reference field="0" count="1">
            <x v="0"/>
          </reference>
        </references>
      </pivotArea>
    </format>
    <format dxfId="103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2"/>
            <x v="3"/>
            <x v="4"/>
            <x v="5"/>
            <x v="6"/>
            <x v="7"/>
            <x v="8"/>
            <x v="9"/>
            <x v="12"/>
            <x v="32"/>
          </reference>
        </references>
      </pivotArea>
    </format>
    <format dxfId="102">
      <pivotArea dataOnly="0" labelOnly="1" fieldPosition="0">
        <references count="1">
          <reference field="14" count="0"/>
        </references>
      </pivotArea>
    </format>
    <format dxfId="101">
      <pivotArea dataOnly="0" labelOnly="1" grandCol="1" outline="0" fieldPosition="0"/>
    </format>
    <format dxfId="100">
      <pivotArea dataOnly="0" fieldPosition="0">
        <references count="1">
          <reference field="0" count="1">
            <x v="1"/>
          </reference>
        </references>
      </pivotArea>
    </format>
    <format dxfId="99">
      <pivotArea dataOnly="0" labelOnly="1" fieldPosition="0">
        <references count="2">
          <reference field="0" count="1" selected="0">
            <x v="1"/>
          </reference>
          <reference field="20" count="11">
            <x v="2"/>
            <x v="3"/>
            <x v="4"/>
            <x v="5"/>
            <x v="6"/>
            <x v="9"/>
            <x v="12"/>
            <x v="14"/>
            <x v="15"/>
            <x v="18"/>
            <x v="32"/>
          </reference>
        </references>
      </pivotArea>
    </format>
    <format dxfId="98">
      <pivotArea dataOnly="0" fieldPosition="0">
        <references count="1">
          <reference field="0" count="1">
            <x v="2"/>
          </reference>
        </references>
      </pivotArea>
    </format>
    <format dxfId="97">
      <pivotArea dataOnly="0" labelOnly="1" fieldPosition="0">
        <references count="2">
          <reference field="0" count="1" selected="0">
            <x v="2"/>
          </reference>
          <reference field="20" count="13">
            <x v="2"/>
            <x v="3"/>
            <x v="4"/>
            <x v="5"/>
            <x v="6"/>
            <x v="8"/>
            <x v="9"/>
            <x v="12"/>
            <x v="14"/>
            <x v="22"/>
            <x v="23"/>
            <x v="26"/>
            <x v="32"/>
          </reference>
        </references>
      </pivotArea>
    </format>
    <format dxfId="96">
      <pivotArea dataOnly="0" fieldPosition="0">
        <references count="1">
          <reference field="0" count="1">
            <x v="3"/>
          </reference>
        </references>
      </pivotArea>
    </format>
    <format dxfId="95">
      <pivotArea dataOnly="0" labelOnly="1" fieldPosition="0">
        <references count="2">
          <reference field="0" count="1" selected="0">
            <x v="3"/>
          </reference>
          <reference field="20" count="14">
            <x v="2"/>
            <x v="3"/>
            <x v="4"/>
            <x v="5"/>
            <x v="6"/>
            <x v="8"/>
            <x v="12"/>
            <x v="14"/>
            <x v="23"/>
            <x v="26"/>
            <x v="27"/>
            <x v="28"/>
            <x v="29"/>
            <x v="32"/>
          </reference>
        </references>
      </pivotArea>
    </format>
    <format dxfId="94">
      <pivotArea dataOnly="0" fieldPosition="0">
        <references count="1">
          <reference field="0" count="1">
            <x v="4"/>
          </reference>
        </references>
      </pivotArea>
    </format>
    <format dxfId="93">
      <pivotArea dataOnly="0" labelOnly="1" fieldPosition="0">
        <references count="2">
          <reference field="0" count="1" selected="0">
            <x v="4"/>
          </reference>
          <reference field="20" count="13">
            <x v="2"/>
            <x v="4"/>
            <x v="5"/>
            <x v="6"/>
            <x v="9"/>
            <x v="12"/>
            <x v="14"/>
            <x v="18"/>
            <x v="19"/>
            <x v="23"/>
            <x v="26"/>
            <x v="28"/>
            <x v="32"/>
          </reference>
        </references>
      </pivotArea>
    </format>
    <format dxfId="92">
      <pivotArea dataOnly="0" fieldPosition="0">
        <references count="1">
          <reference field="0" count="1">
            <x v="5"/>
          </reference>
        </references>
      </pivotArea>
    </format>
    <format dxfId="91">
      <pivotArea dataOnly="0" labelOnly="1" fieldPosition="0">
        <references count="2">
          <reference field="0" count="1" selected="0">
            <x v="5"/>
          </reference>
          <reference field="20" count="15">
            <x v="2"/>
            <x v="4"/>
            <x v="5"/>
            <x v="6"/>
            <x v="8"/>
            <x v="9"/>
            <x v="12"/>
            <x v="14"/>
            <x v="15"/>
            <x v="18"/>
            <x v="19"/>
            <x v="23"/>
            <x v="26"/>
            <x v="32"/>
            <x v="33"/>
          </reference>
        </references>
      </pivotArea>
    </format>
    <format dxfId="90">
      <pivotArea dataOnly="0" labelOnly="1" fieldPosition="0">
        <references count="2">
          <reference field="0" count="1" selected="0">
            <x v="5"/>
          </reference>
          <reference field="20" count="4">
            <x v="28"/>
            <x v="32"/>
            <x v="33"/>
            <x v="35"/>
          </reference>
        </references>
      </pivotArea>
    </format>
    <format dxfId="89">
      <pivotArea dataOnly="0" labelOnly="1" fieldPosition="0">
        <references count="2">
          <reference field="0" count="1" selected="0">
            <x v="7"/>
          </reference>
          <reference field="20" count="15">
            <x v="2"/>
            <x v="4"/>
            <x v="5"/>
            <x v="6"/>
            <x v="12"/>
            <x v="14"/>
            <x v="15"/>
            <x v="18"/>
            <x v="19"/>
            <x v="26"/>
            <x v="30"/>
            <x v="32"/>
            <x v="33"/>
            <x v="35"/>
            <x v="65"/>
          </reference>
        </references>
      </pivotArea>
    </format>
    <format dxfId="88">
      <pivotArea collapsedLevelsAreSubtotals="1" fieldPosition="0">
        <references count="2">
          <reference field="0" count="1">
            <x v="0"/>
          </reference>
          <reference field="14" count="0" selected="0"/>
        </references>
      </pivotArea>
    </format>
    <format dxfId="87">
      <pivotArea dataOnly="0" fieldPosition="0">
        <references count="1">
          <reference field="20" count="9">
            <x v="2"/>
            <x v="4"/>
            <x v="5"/>
            <x v="6"/>
            <x v="8"/>
            <x v="18"/>
            <x v="19"/>
            <x v="32"/>
            <x v="35"/>
          </reference>
        </references>
      </pivotArea>
    </format>
    <format dxfId="86">
      <pivotArea dataOnly="0" fieldPosition="0">
        <references count="1">
          <reference field="20" count="1">
            <x v="28"/>
          </reference>
        </references>
      </pivotArea>
    </format>
    <format dxfId="85">
      <pivotArea dataOnly="0" fieldPosition="0">
        <references count="1">
          <reference field="0" count="1">
            <x v="8"/>
          </reference>
        </references>
      </pivotArea>
    </format>
    <format dxfId="84">
      <pivotArea dataOnly="0" fieldPosition="0">
        <references count="1">
          <reference field="0" count="1">
            <x v="7"/>
          </reference>
        </references>
      </pivotArea>
    </format>
    <format dxfId="83">
      <pivotArea collapsedLevelsAreSubtotals="1" fieldPosition="0">
        <references count="3">
          <reference field="0" count="1" selected="0">
            <x v="7"/>
          </reference>
          <reference field="14" count="4" selected="0">
            <x v="2"/>
            <x v="3"/>
            <x v="6"/>
            <x v="8"/>
          </reference>
          <reference field="20" count="15">
            <x v="2"/>
            <x v="4"/>
            <x v="5"/>
            <x v="6"/>
            <x v="12"/>
            <x v="14"/>
            <x v="15"/>
            <x v="18"/>
            <x v="19"/>
            <x v="26"/>
            <x v="28"/>
            <x v="30"/>
            <x v="32"/>
            <x v="33"/>
            <x v="35"/>
          </reference>
        </references>
      </pivotArea>
    </format>
    <format dxfId="82">
      <pivotArea field="20" grandCol="1" collapsedLevelsAreSubtotals="1" axis="axisRow" fieldPosition="1">
        <references count="2">
          <reference field="0" count="1" selected="0">
            <x v="7"/>
          </reference>
          <reference field="20" count="15">
            <x v="2"/>
            <x v="4"/>
            <x v="5"/>
            <x v="6"/>
            <x v="12"/>
            <x v="14"/>
            <x v="15"/>
            <x v="18"/>
            <x v="19"/>
            <x v="26"/>
            <x v="28"/>
            <x v="30"/>
            <x v="32"/>
            <x v="33"/>
            <x v="35"/>
          </reference>
        </references>
      </pivotArea>
    </format>
    <format dxfId="81">
      <pivotArea collapsedLevelsAreSubtotals="1" fieldPosition="0">
        <references count="2">
          <reference field="0" count="1" selected="0">
            <x v="8"/>
          </reference>
          <reference field="20" count="12">
            <x v="2"/>
            <x v="4"/>
            <x v="5"/>
            <x v="6"/>
            <x v="8"/>
            <x v="12"/>
            <x v="14"/>
            <x v="18"/>
            <x v="19"/>
            <x v="26"/>
            <x v="32"/>
            <x v="35"/>
          </reference>
        </references>
      </pivotArea>
    </format>
    <format dxfId="80">
      <pivotArea dataOnly="0" labelOnly="1" fieldPosition="0">
        <references count="2">
          <reference field="0" count="1" selected="0">
            <x v="8"/>
          </reference>
          <reference field="20" count="12">
            <x v="2"/>
            <x v="4"/>
            <x v="5"/>
            <x v="6"/>
            <x v="8"/>
            <x v="12"/>
            <x v="14"/>
            <x v="18"/>
            <x v="19"/>
            <x v="26"/>
            <x v="32"/>
            <x v="35"/>
          </reference>
        </references>
      </pivotArea>
    </format>
    <format dxfId="79">
      <pivotArea dataOnly="0" fieldPosition="0">
        <references count="1">
          <reference field="20" count="14">
            <x v="0"/>
            <x v="2"/>
            <x v="4"/>
            <x v="5"/>
            <x v="6"/>
            <x v="8"/>
            <x v="12"/>
            <x v="14"/>
            <x v="18"/>
            <x v="19"/>
            <x v="26"/>
            <x v="30"/>
            <x v="32"/>
            <x v="33"/>
          </reference>
        </references>
      </pivotArea>
    </format>
    <format dxfId="78">
      <pivotArea dataOnly="0" labelOnly="1" fieldPosition="0">
        <references count="2">
          <reference field="0" count="1" selected="0">
            <x v="10"/>
          </reference>
          <reference field="20" count="10">
            <x v="6"/>
            <x v="8"/>
            <x v="12"/>
            <x v="14"/>
            <x v="18"/>
            <x v="23"/>
            <x v="26"/>
            <x v="27"/>
            <x v="32"/>
            <x v="34"/>
          </reference>
        </references>
      </pivotArea>
    </format>
    <format dxfId="77">
      <pivotArea dataOnly="0" fieldPosition="0">
        <references count="1">
          <reference field="0" count="1">
            <x v="11"/>
          </reference>
        </references>
      </pivotArea>
    </format>
    <format dxfId="76">
      <pivotArea dataOnly="0" labelOnly="1" fieldPosition="0">
        <references count="2">
          <reference field="0" count="1" selected="0">
            <x v="11"/>
          </reference>
          <reference field="20" count="5">
            <x v="12"/>
            <x v="14"/>
            <x v="15"/>
            <x v="23"/>
            <x v="32"/>
          </reference>
        </references>
      </pivotArea>
    </format>
    <format dxfId="75">
      <pivotArea dataOnly="0" labelOnly="1" fieldPosition="0">
        <references count="2">
          <reference field="0" count="1" selected="0">
            <x v="10"/>
          </reference>
          <reference field="20" count="1">
            <x v="65"/>
          </reference>
        </references>
      </pivotArea>
    </format>
    <format dxfId="74">
      <pivotArea dataOnly="0" fieldPosition="0">
        <references count="1">
          <reference field="0" count="1">
            <x v="10"/>
          </reference>
        </references>
      </pivotArea>
    </format>
    <format dxfId="73">
      <pivotArea dataOnly="0" labelOnly="1" fieldPosition="0">
        <references count="2">
          <reference field="0" count="1" selected="0">
            <x v="9"/>
          </reference>
          <reference field="20" count="6">
            <x v="18"/>
            <x v="23"/>
            <x v="26"/>
            <x v="28"/>
            <x v="32"/>
            <x v="34"/>
          </reference>
        </references>
      </pivotArea>
    </format>
    <format dxfId="72">
      <pivotArea dataOnly="0" fieldPosition="0">
        <references count="1">
          <reference field="0" count="1">
            <x v="9"/>
          </reference>
        </references>
      </pivotArea>
    </format>
    <format dxfId="71">
      <pivotArea dataOnly="0" labelOnly="1" fieldPosition="0">
        <references count="2">
          <reference field="0" count="1" selected="0">
            <x v="8"/>
          </reference>
          <reference field="20" count="3">
            <x v="33"/>
            <x v="35"/>
            <x v="37"/>
          </reference>
        </references>
      </pivotArea>
    </format>
  </format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45B7F-102C-481F-BD60-6732EA64B760}" name="Tabla4" displayName="Tabla4" ref="B15:S44" totalsRowShown="0" headerRowDxfId="146" headerRowBorderDxfId="145">
  <autoFilter ref="B15:S44" xr:uid="{6DC45B7F-102C-481F-BD60-6732EA64B760}"/>
  <tableColumns count="18">
    <tableColumn id="1" xr3:uid="{B92A3346-42A2-455E-8D51-66C02B31FDAC}" name="ACTIVIDADES" dataDxfId="144"/>
    <tableColumn id="2" xr3:uid="{FB92DE02-0B9D-444E-8273-F8BD5E18A296}" name="ENERO" dataDxfId="143" dataCellStyle="Moneda"/>
    <tableColumn id="3" xr3:uid="{E0119841-9881-4E58-919B-B70BCF9A14FE}" name="FEBRERO" dataDxfId="142"/>
    <tableColumn id="4" xr3:uid="{C956C100-CABA-45BF-9CA5-FA76B3C7872F}" name="MARZO" dataDxfId="141"/>
    <tableColumn id="5" xr3:uid="{EA447E1B-4BF2-4DD7-95BD-8BD8EE636483}" name="ABRIL" dataDxfId="140"/>
    <tableColumn id="6" xr3:uid="{B90D5AE1-799C-41A3-A029-A08700E1284D}" name="MAYO" dataDxfId="139"/>
    <tableColumn id="7" xr3:uid="{E99A3171-5F36-42BD-8BC2-EC00105A1120}" name="JUNIO" dataDxfId="138"/>
    <tableColumn id="8" xr3:uid="{39C96888-A323-42D3-B759-941F16C99EC6}" name="JULIO" dataDxfId="137"/>
    <tableColumn id="9" xr3:uid="{530EFB57-825D-4E81-9072-DE21E49B7515}" name="AGOSTO" dataDxfId="136"/>
    <tableColumn id="10" xr3:uid="{699AC05D-2B65-4194-A219-5035FA69ABF4}" name="SEPTIEMBRE"/>
    <tableColumn id="11" xr3:uid="{2B5BAF8A-50CB-4FF4-A5B9-470DD8B73AD6}" name="OCTUBRE"/>
    <tableColumn id="12" xr3:uid="{984B87F9-FE80-4E79-A679-311B6B99195A}" name="NOVIEMBRE"/>
    <tableColumn id="13" xr3:uid="{F8AFB600-3994-4628-8D2F-D8F7B2C1C35F}" name="DICIEMBRE"/>
    <tableColumn id="14" xr3:uid="{98526441-BF58-49D5-B6B9-7EB417B231F0}" name="TOTAL" dataDxfId="135"/>
    <tableColumn id="16" xr3:uid="{8C600B8E-B9E8-4BC0-95B3-4BF476F842E7}" name="ESTIMADO" dataDxfId="134"/>
    <tableColumn id="17" xr3:uid="{D84FA478-493A-4C9D-8410-1F2A1444DA82}" name="%"/>
    <tableColumn id="18" xr3:uid="{86C9E430-BC38-480E-A3D9-50FEEDBFE144}" name="USD" dataDxfId="133" dataCellStyle="Porcentaje"/>
    <tableColumn id="15" xr3:uid="{083452BD-6D8B-4A12-A02E-57BA9346182D}" name="USD/HA" dataDxfId="13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F4BB5B-153B-4CF9-ADC7-D0451CA37337}" name="Tabla3" displayName="Tabla3" ref="A8:Y2513" totalsRowShown="0" headerRowDxfId="207">
  <autoFilter ref="A8:Y2513" xr:uid="{0EF4BB5B-153B-4CF9-ADC7-D0451CA37337}">
    <filterColumn colId="0">
      <filters>
        <filter val="ENERO"/>
      </filters>
    </filterColumn>
    <filterColumn colId="14">
      <filters>
        <filter val="ADMINISTRACION"/>
      </filters>
    </filterColumn>
  </autoFilter>
  <tableColumns count="25">
    <tableColumn id="24" xr3:uid="{7BFB5508-A8A2-4146-8D8C-C5393CD29EC9}" name="PERIODO" dataDxfId="206"/>
    <tableColumn id="1" xr3:uid="{EC4D0EA9-1942-4647-83E8-C9C545AC8BFF}" name="FECHA" dataDxfId="205"/>
    <tableColumn id="2" xr3:uid="{8137ADDA-EF80-41B5-B0D1-A3F08FBEF5AF}" name="DESCRIPCION" dataDxfId="204"/>
    <tableColumn id="3" xr3:uid="{DB9B8163-DAF8-4650-8E05-86F593CA24E2}" name="N DE REFERENCIA" dataDxfId="203"/>
    <tableColumn id="4" xr3:uid="{A937452B-CAEF-4DB3-90DF-E63C9108AC8B}" name="EGRESOS" dataDxfId="202" dataCellStyle="Moneda"/>
    <tableColumn id="5" xr3:uid="{F11E14BC-AD3F-4FAE-A685-A34AFBC38A87}" name="INGRESOS" dataDxfId="201" dataCellStyle="Moneda"/>
    <tableColumn id="25" xr3:uid="{132F51FD-1910-4E50-9CDA-B1B3879183D5}" name="SALDO" dataDxfId="200" dataCellStyle="Moneda">
      <calculatedColumnFormula>Tabla3[[#This Row],[INGRESOS]]-Tabla3[[#This Row],[EGRESOS]]</calculatedColumnFormula>
    </tableColumn>
    <tableColumn id="6" xr3:uid="{155CBACE-7274-4DB8-84CB-7C1FC284FDAA}" name="SALDO BANCO" dataDxfId="199" dataCellStyle="Moneda"/>
    <tableColumn id="7" xr3:uid="{1D379DB2-EEA8-4830-A520-937A930B27AE}" name="TC" dataDxfId="198" dataCellStyle="Moneda"/>
    <tableColumn id="8" xr3:uid="{1A95B1EE-3A90-45E6-9146-3B47B970955C}" name="EGRES USD" dataDxfId="197"/>
    <tableColumn id="9" xr3:uid="{11AD87CF-A2FD-42EA-AB07-6108840AE3B4}" name="INGRES USD" dataDxfId="196"/>
    <tableColumn id="10" xr3:uid="{8F821B07-9CDC-41CC-90A8-99A62B118B27}" name="MONEDA" dataDxfId="195"/>
    <tableColumn id="11" xr3:uid="{1E851B8C-A268-4B35-B186-E787FEF1D7CD}" name="CUENTA" dataDxfId="194"/>
    <tableColumn id="12" xr3:uid="{81BC7936-2B27-4296-A935-3DF5E7CFFFF1}" name="BANCO" dataDxfId="193"/>
    <tableColumn id="13" xr3:uid="{D5828BF7-867B-43BA-A809-C69435615288}" name="ACTIVIDAD" dataDxfId="192"/>
    <tableColumn id="14" xr3:uid="{7F03D979-A59F-4C8C-9804-0A7F66EA5B26}" name="RUBRO" dataDxfId="191"/>
    <tableColumn id="15" xr3:uid="{C987A821-6A16-4B22-A571-705021520F0B}" name="CONCEPTO" dataDxfId="190"/>
    <tableColumn id="16" xr3:uid="{9AD6BAAF-D591-4BAE-9FF9-FDBD4C4B0544}" name="DETALLES" dataDxfId="189"/>
    <tableColumn id="17" xr3:uid="{39765891-BC94-4CD4-ADFA-EAE9A5BEEAA3}" name="PROVEEDOR CLIENTE" dataDxfId="188"/>
    <tableColumn id="18" xr3:uid="{EFCD6A85-BED8-4DFB-9B29-515CC786ED61}" name="FACTURA" dataDxfId="187"/>
    <tableColumn id="19" xr3:uid="{6838FA14-E06E-4E64-9DC4-A7DAA8A74089}" name="RDS" dataDxfId="186"/>
    <tableColumn id="20" xr3:uid="{BEC7F30D-54DF-4A7C-996A-BBFDB6F60890}" name="SOCIO" dataDxfId="185"/>
    <tableColumn id="21" xr3:uid="{7FA63E4A-827C-4788-9F2C-5E0A23267F13}" name="CAMPAÑA" dataDxfId="184"/>
    <tableColumn id="22" xr3:uid="{52D12321-F7B1-47F4-A381-CFE2E0537DA4}" name="DEBITO" dataDxfId="183"/>
    <tableColumn id="23" xr3:uid="{FCC66A84-41DA-4883-A705-C430037F0D03}" name="CREDITO" dataDxfId="182"/>
  </tableColumns>
  <tableStyleInfo name="SIMP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621DD7-934F-46B1-8A64-1C7BECDAD211}" name="Tabla45" displayName="Tabla45" ref="B15:O35" totalsRowShown="0" headerRowDxfId="12" headerRowBorderDxfId="11">
  <autoFilter ref="B15:O35" xr:uid="{6DC45B7F-102C-481F-BD60-6732EA64B760}"/>
  <tableColumns count="14">
    <tableColumn id="1" xr3:uid="{5DBD8364-FF48-4ACA-BD3A-A810F75F1779}" name="ACTIVIDADES" dataDxfId="10"/>
    <tableColumn id="2" xr3:uid="{53D145D3-07E3-47ED-9577-DCA455B2D41B}" name="ENERO" dataDxfId="9" dataCellStyle="Moneda"/>
    <tableColumn id="3" xr3:uid="{A34DDEE1-A0A2-46E3-86CA-5077D0670EB9}" name="FEBRERO" dataDxfId="8"/>
    <tableColumn id="4" xr3:uid="{88F8EA49-CDDF-4026-BA9A-A1D4D3D68C6D}" name="MARZO" dataDxfId="7"/>
    <tableColumn id="5" xr3:uid="{A4220652-0BC2-4851-8DFE-37E8EE28D40D}" name="ABRIL" dataDxfId="6"/>
    <tableColumn id="6" xr3:uid="{6827EA6F-67A3-49BE-AFF2-DAEDDE33758E}" name="MAYO" dataDxfId="5"/>
    <tableColumn id="7" xr3:uid="{267ED2AA-1BF8-49B7-A8C1-D9B1E8C2E579}" name="JUNIO" dataDxfId="4"/>
    <tableColumn id="8" xr3:uid="{5A75FA66-A966-4276-B8C2-0991BA74BC89}" name="JULIO" dataDxfId="3"/>
    <tableColumn id="9" xr3:uid="{8BD9389A-98BE-4995-8E3C-D497FC24CC56}" name="AGOSTO" dataDxfId="2"/>
    <tableColumn id="10" xr3:uid="{FECFA1B2-3CD5-4C5B-A864-23A6F940B9EC}" name="SEPTIEMBRE"/>
    <tableColumn id="11" xr3:uid="{F92627C8-1CDC-46BC-A26E-484B87581331}" name="OCTUBRE"/>
    <tableColumn id="12" xr3:uid="{21C1C3AE-C92E-4F2F-A4DC-0773C50B5A76}" name="NOVIEMBRE"/>
    <tableColumn id="13" xr3:uid="{32DAD0AA-1A2F-4655-B65A-08D75CA5C5F3}" name="DICIEMBRE"/>
    <tableColumn id="14" xr3:uid="{32743BEE-BE25-421B-BEA2-A38E8218B297}" name="TOTAL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Verde">
      <a:dk1>
        <a:sysClr val="windowText" lastClr="000000"/>
      </a:dk1>
      <a:lt1>
        <a:sysClr val="window" lastClr="FFFFFF"/>
      </a:lt1>
      <a:dk2>
        <a:srgbClr val="455F51"/>
      </a:dk2>
      <a:lt2>
        <a:srgbClr val="E3DED1"/>
      </a:lt2>
      <a:accent1>
        <a:srgbClr val="549E39"/>
      </a:accent1>
      <a:accent2>
        <a:srgbClr val="8AB833"/>
      </a:accent2>
      <a:accent3>
        <a:srgbClr val="C0CF3A"/>
      </a:accent3>
      <a:accent4>
        <a:srgbClr val="029676"/>
      </a:accent4>
      <a:accent5>
        <a:srgbClr val="4AB5C4"/>
      </a:accent5>
      <a:accent6>
        <a:srgbClr val="0989B1"/>
      </a:accent6>
      <a:hlink>
        <a:srgbClr val="6B9F25"/>
      </a:hlink>
      <a:folHlink>
        <a:srgbClr val="BA690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FD110-4EA4-4585-8F47-251E163DA608}">
  <sheetPr codeName="Hoja2">
    <tabColor theme="0"/>
  </sheetPr>
  <dimension ref="A1:X110"/>
  <sheetViews>
    <sheetView zoomScaleNormal="100" workbookViewId="0">
      <selection activeCell="P61" sqref="P61"/>
    </sheetView>
  </sheetViews>
  <sheetFormatPr baseColWidth="10" defaultColWidth="11.42578125" defaultRowHeight="15" x14ac:dyDescent="0.25"/>
  <cols>
    <col min="1" max="1" width="2.28515625" customWidth="1"/>
    <col min="2" max="2" width="40.85546875" customWidth="1"/>
    <col min="3" max="3" width="22.7109375" customWidth="1"/>
    <col min="4" max="4" width="2.5703125" customWidth="1"/>
    <col min="5" max="5" width="25.140625" customWidth="1"/>
    <col min="6" max="6" width="21.7109375" customWidth="1"/>
    <col min="7" max="7" width="20" customWidth="1"/>
    <col min="8" max="8" width="2.42578125" customWidth="1"/>
    <col min="9" max="9" width="4" customWidth="1"/>
    <col min="10" max="10" width="32" customWidth="1"/>
    <col min="11" max="11" width="18.5703125" customWidth="1"/>
    <col min="12" max="12" width="17.28515625" customWidth="1"/>
    <col min="13" max="13" width="17.42578125" bestFit="1" customWidth="1"/>
    <col min="14" max="14" width="1.42578125" customWidth="1"/>
    <col min="15" max="15" width="8" customWidth="1"/>
    <col min="16" max="17" width="20.140625" customWidth="1"/>
    <col min="18" max="18" width="16.28515625" customWidth="1"/>
    <col min="19" max="19" width="18" customWidth="1"/>
    <col min="20" max="20" width="5" customWidth="1"/>
    <col min="21" max="21" width="29.7109375" customWidth="1"/>
    <col min="22" max="23" width="14.5703125" bestFit="1" customWidth="1"/>
    <col min="24" max="24" width="12" customWidth="1"/>
  </cols>
  <sheetData>
    <row r="1" spans="1:24" s="15" customFormat="1" ht="24" customHeight="1" x14ac:dyDescent="0.25">
      <c r="A1" s="14"/>
      <c r="B1" s="421" t="s">
        <v>0</v>
      </c>
      <c r="C1" s="421"/>
      <c r="D1" s="421"/>
      <c r="E1" s="421"/>
      <c r="F1" s="421"/>
      <c r="G1" s="421"/>
      <c r="H1" s="418"/>
      <c r="I1" s="418"/>
      <c r="J1" s="422" t="s">
        <v>1</v>
      </c>
      <c r="K1" s="422"/>
      <c r="L1" s="422"/>
      <c r="M1" s="422"/>
      <c r="N1" s="422"/>
      <c r="O1" s="422"/>
      <c r="P1" s="422"/>
      <c r="Q1" s="422"/>
      <c r="R1" s="422"/>
      <c r="S1" s="422"/>
      <c r="T1" s="418"/>
      <c r="U1" s="418"/>
      <c r="V1" s="418"/>
      <c r="W1" s="418"/>
      <c r="X1" s="418"/>
    </row>
    <row r="2" spans="1:24" s="15" customFormat="1" ht="13.5" customHeight="1" x14ac:dyDescent="0.25">
      <c r="A2" s="14"/>
      <c r="B2" s="16" t="s">
        <v>2</v>
      </c>
      <c r="C2" s="17" t="s">
        <v>3</v>
      </c>
      <c r="D2" s="419"/>
      <c r="E2" s="419" t="s">
        <v>2</v>
      </c>
      <c r="F2" s="419"/>
      <c r="G2" s="18" t="s">
        <v>3</v>
      </c>
      <c r="H2" s="418"/>
      <c r="I2" s="418"/>
      <c r="J2" s="19" t="s">
        <v>2</v>
      </c>
      <c r="K2" s="20" t="s">
        <v>4</v>
      </c>
      <c r="L2" s="17" t="s">
        <v>5</v>
      </c>
      <c r="M2" s="21" t="s">
        <v>6</v>
      </c>
      <c r="N2" s="419"/>
      <c r="O2" s="20" t="s">
        <v>2</v>
      </c>
      <c r="P2" s="419"/>
      <c r="Q2" s="17" t="s">
        <v>7</v>
      </c>
      <c r="R2" s="17" t="s">
        <v>5</v>
      </c>
      <c r="S2" s="21" t="s">
        <v>6</v>
      </c>
      <c r="T2" s="418"/>
      <c r="U2" s="22" t="s">
        <v>8</v>
      </c>
      <c r="V2" s="418"/>
      <c r="W2" s="418"/>
      <c r="X2" s="418"/>
    </row>
    <row r="3" spans="1:24" s="15" customFormat="1" ht="16.5" customHeight="1" x14ac:dyDescent="0.25">
      <c r="A3" s="418"/>
      <c r="B3" s="23" t="s">
        <v>9</v>
      </c>
      <c r="C3" s="24">
        <v>276250861.88899994</v>
      </c>
      <c r="D3" s="418"/>
      <c r="E3" s="22" t="s">
        <v>10</v>
      </c>
      <c r="F3" s="418"/>
      <c r="G3" s="25">
        <v>180755636.51999998</v>
      </c>
      <c r="H3" s="418"/>
      <c r="I3" s="418"/>
      <c r="J3" s="19" t="s">
        <v>9</v>
      </c>
      <c r="K3" s="26">
        <f>+K4+K17</f>
        <v>280733536.76999897</v>
      </c>
      <c r="L3" s="26">
        <v>546131539.13699865</v>
      </c>
      <c r="M3" s="224">
        <v>802377838.23899853</v>
      </c>
      <c r="N3" s="28"/>
      <c r="O3" s="29" t="s">
        <v>10</v>
      </c>
      <c r="P3" s="28"/>
      <c r="Q3" s="111">
        <f>+Q4+Q24</f>
        <v>117589442.41000001</v>
      </c>
      <c r="R3" s="27">
        <f>+R4+R24</f>
        <v>251572853.51699999</v>
      </c>
      <c r="S3" s="33">
        <f>+S4+S24</f>
        <v>416995960.41999996</v>
      </c>
      <c r="T3" s="418"/>
      <c r="U3" s="64" t="s">
        <v>11</v>
      </c>
      <c r="V3" s="233">
        <v>45657</v>
      </c>
      <c r="W3" s="64" t="s">
        <v>12</v>
      </c>
      <c r="X3" s="64" t="s">
        <v>13</v>
      </c>
    </row>
    <row r="4" spans="1:24" s="15" customFormat="1" ht="16.5" customHeight="1" x14ac:dyDescent="0.25">
      <c r="A4" s="418"/>
      <c r="B4" s="23" t="s">
        <v>14</v>
      </c>
      <c r="C4" s="30">
        <v>266690789.67899996</v>
      </c>
      <c r="D4" s="418"/>
      <c r="E4" s="22" t="s">
        <v>15</v>
      </c>
      <c r="F4" s="418"/>
      <c r="G4" s="31">
        <v>21802266.509999998</v>
      </c>
      <c r="H4" s="418"/>
      <c r="I4" s="418"/>
      <c r="J4" s="32" t="s">
        <v>14</v>
      </c>
      <c r="K4" s="112">
        <f>SUM(K5:K16)</f>
        <v>265917356.10999894</v>
      </c>
      <c r="L4" s="33">
        <f>SUM(L5:L15)</f>
        <v>515750462.97699869</v>
      </c>
      <c r="M4" s="36">
        <f>SUM(M5:M15)</f>
        <v>762911570.83899856</v>
      </c>
      <c r="N4" s="34"/>
      <c r="O4" s="35" t="s">
        <v>15</v>
      </c>
      <c r="P4" s="34"/>
      <c r="Q4" s="105">
        <f>SUM(Q5:Q23)</f>
        <v>-1937343.3899999997</v>
      </c>
      <c r="R4" s="122">
        <f>SUM(R5:R23)</f>
        <v>61024856.827</v>
      </c>
      <c r="S4" s="36">
        <f>SUM(S5:S23)</f>
        <v>226447963.72999999</v>
      </c>
      <c r="T4" s="418"/>
      <c r="U4" s="418"/>
      <c r="V4" s="418"/>
      <c r="W4" s="418"/>
      <c r="X4" s="418"/>
    </row>
    <row r="5" spans="1:24" s="15" customFormat="1" ht="16.5" customHeight="1" x14ac:dyDescent="0.25">
      <c r="A5" s="418"/>
      <c r="B5" s="37" t="s">
        <v>16</v>
      </c>
      <c r="C5" s="38">
        <v>64416.11</v>
      </c>
      <c r="D5" s="418"/>
      <c r="E5" s="39" t="s">
        <v>17</v>
      </c>
      <c r="F5" s="418"/>
      <c r="G5" s="40">
        <v>5387800</v>
      </c>
      <c r="H5" s="418"/>
      <c r="I5" s="418"/>
      <c r="J5" s="41" t="s">
        <v>18</v>
      </c>
      <c r="K5" s="131"/>
      <c r="L5" s="124"/>
      <c r="M5" s="46">
        <v>-9383758.7510000467</v>
      </c>
      <c r="N5" s="43"/>
      <c r="O5" s="44" t="s">
        <v>19</v>
      </c>
      <c r="P5" s="45"/>
      <c r="Q5" s="121"/>
      <c r="R5" s="123"/>
      <c r="S5" s="46"/>
      <c r="T5" s="418"/>
      <c r="U5" s="22" t="s">
        <v>20</v>
      </c>
      <c r="V5" s="47">
        <v>-4844669.16</v>
      </c>
      <c r="W5" s="418"/>
      <c r="X5" s="418"/>
    </row>
    <row r="6" spans="1:24" s="15" customFormat="1" ht="16.5" customHeight="1" x14ac:dyDescent="0.25">
      <c r="A6" s="418"/>
      <c r="B6" s="37"/>
      <c r="C6" s="38"/>
      <c r="D6" s="418"/>
      <c r="E6" s="39"/>
      <c r="F6" s="418"/>
      <c r="G6" s="40"/>
      <c r="H6" s="418"/>
      <c r="I6" s="418"/>
      <c r="J6" s="41"/>
      <c r="K6" s="131"/>
      <c r="L6" s="48">
        <v>-2483829.0900013447</v>
      </c>
      <c r="M6" s="46">
        <v>-2483829.0900013447</v>
      </c>
      <c r="N6" s="43"/>
      <c r="O6" s="44"/>
      <c r="P6" s="44" t="s">
        <v>21</v>
      </c>
      <c r="Q6" s="121">
        <v>5367763.6100000003</v>
      </c>
      <c r="R6" s="123"/>
      <c r="S6" s="46"/>
      <c r="T6" s="418"/>
      <c r="U6" s="22"/>
      <c r="V6" s="47"/>
      <c r="W6" s="418"/>
      <c r="X6" s="418"/>
    </row>
    <row r="7" spans="1:24" s="15" customFormat="1" ht="16.5" customHeight="1" x14ac:dyDescent="0.25">
      <c r="A7" s="418"/>
      <c r="B7" s="41" t="s">
        <v>22</v>
      </c>
      <c r="C7" s="48">
        <v>-9383758.7510000467</v>
      </c>
      <c r="D7" s="418"/>
      <c r="E7" s="39"/>
      <c r="F7" s="418"/>
      <c r="G7" s="40"/>
      <c r="H7" s="418"/>
      <c r="I7" s="418"/>
      <c r="J7" s="41" t="s">
        <v>23</v>
      </c>
      <c r="K7" s="131">
        <f>SUMIFS(Tabla3[INGRESOS],Tabla3[DEBITO],BALANCE!J7)-SUMIFS(Tabla3[EGRESOS],Tabla3[CREDITO],BALANCE!J7)</f>
        <v>-135750056.05000091</v>
      </c>
      <c r="M7" s="46"/>
      <c r="N7" s="43"/>
      <c r="O7" s="44"/>
      <c r="P7" s="44" t="s">
        <v>24</v>
      </c>
      <c r="Q7" s="121"/>
      <c r="R7" s="124">
        <v>3845296.8670000001</v>
      </c>
      <c r="S7" s="46"/>
      <c r="T7" s="418"/>
      <c r="U7" s="22" t="s">
        <v>25</v>
      </c>
      <c r="V7" s="47">
        <v>22436.560000000522</v>
      </c>
      <c r="W7" s="418"/>
      <c r="X7" s="418"/>
    </row>
    <row r="8" spans="1:24" s="15" customFormat="1" ht="16.5" customHeight="1" x14ac:dyDescent="0.25">
      <c r="A8" s="418"/>
      <c r="B8" s="41" t="s">
        <v>26</v>
      </c>
      <c r="C8" s="42">
        <v>2141417</v>
      </c>
      <c r="D8" s="418"/>
      <c r="E8" s="39"/>
      <c r="F8" s="418"/>
      <c r="G8" s="40"/>
      <c r="H8" s="418"/>
      <c r="I8" s="418"/>
      <c r="J8" s="41" t="s">
        <v>26</v>
      </c>
      <c r="K8" s="131"/>
      <c r="L8" s="42">
        <v>7485514.5800000001</v>
      </c>
      <c r="M8" s="46">
        <v>9626931.5800000001</v>
      </c>
      <c r="N8" s="43"/>
      <c r="O8" s="44"/>
      <c r="P8" s="44" t="s">
        <v>27</v>
      </c>
      <c r="Q8" s="121"/>
      <c r="R8" s="123"/>
      <c r="S8" s="46"/>
      <c r="T8" s="418"/>
      <c r="U8" s="22" t="s">
        <v>28</v>
      </c>
      <c r="V8" s="47">
        <v>26960.49</v>
      </c>
      <c r="W8" s="22"/>
      <c r="X8" s="418"/>
    </row>
    <row r="9" spans="1:24" s="15" customFormat="1" ht="16.5" customHeight="1" x14ac:dyDescent="0.25">
      <c r="A9" s="418"/>
      <c r="B9" s="41" t="s">
        <v>29</v>
      </c>
      <c r="C9" s="42">
        <v>75208356.390000001</v>
      </c>
      <c r="D9" s="418"/>
      <c r="E9" s="39"/>
      <c r="F9" s="418"/>
      <c r="G9" s="40"/>
      <c r="H9" s="418"/>
      <c r="I9" s="418"/>
      <c r="J9" s="41" t="s">
        <v>29</v>
      </c>
      <c r="K9" s="129">
        <f>SUMIFS(Tabla3[EGRESOS],Tabla3[DEBITO],BALANCE!J9)</f>
        <v>324138161.28999984</v>
      </c>
      <c r="L9" s="42">
        <v>176881615.29000002</v>
      </c>
      <c r="M9" s="46">
        <v>252089971.68000001</v>
      </c>
      <c r="N9" s="43"/>
      <c r="O9" s="44"/>
      <c r="P9" s="49">
        <v>45627</v>
      </c>
      <c r="Q9" s="121"/>
      <c r="R9" s="124">
        <v>5264786.3899999997</v>
      </c>
      <c r="S9" s="46"/>
      <c r="T9" s="418"/>
      <c r="U9" s="22" t="s">
        <v>30</v>
      </c>
      <c r="V9" s="47">
        <v>-572491.5</v>
      </c>
      <c r="W9" s="22"/>
      <c r="X9" s="418"/>
    </row>
    <row r="10" spans="1:24" s="15" customFormat="1" ht="16.5" customHeight="1" x14ac:dyDescent="0.25">
      <c r="A10" s="418"/>
      <c r="B10" s="41"/>
      <c r="C10" s="42"/>
      <c r="D10" s="418"/>
      <c r="E10" s="39"/>
      <c r="F10" s="418"/>
      <c r="G10" s="40"/>
      <c r="H10" s="418"/>
      <c r="I10" s="418"/>
      <c r="J10" s="41" t="s">
        <v>31</v>
      </c>
      <c r="K10" s="131"/>
      <c r="L10" s="42">
        <v>0</v>
      </c>
      <c r="M10" s="46">
        <v>0</v>
      </c>
      <c r="N10" s="43"/>
      <c r="O10" s="44"/>
      <c r="P10" s="49">
        <v>45658</v>
      </c>
      <c r="Q10" s="121"/>
      <c r="R10" s="124">
        <v>7597543.6699999999</v>
      </c>
      <c r="S10" s="46"/>
      <c r="T10" s="418"/>
      <c r="U10" s="22" t="s">
        <v>32</v>
      </c>
      <c r="V10" s="51">
        <v>-5367763.6099999994</v>
      </c>
      <c r="W10" s="418"/>
      <c r="X10" s="418"/>
    </row>
    <row r="11" spans="1:24" s="15" customFormat="1" ht="16.5" customHeight="1" x14ac:dyDescent="0.25">
      <c r="A11" s="418"/>
      <c r="B11" s="41" t="s">
        <v>33</v>
      </c>
      <c r="C11" s="42">
        <v>17882239.210000001</v>
      </c>
      <c r="D11" s="418"/>
      <c r="E11" s="39"/>
      <c r="F11" s="418"/>
      <c r="G11" s="40"/>
      <c r="H11" s="418"/>
      <c r="I11" s="418"/>
      <c r="J11" s="41" t="s">
        <v>33</v>
      </c>
      <c r="K11" s="131"/>
      <c r="L11" s="42">
        <v>231593706.82999995</v>
      </c>
      <c r="M11" s="46">
        <v>408429316.04999995</v>
      </c>
      <c r="N11" s="43"/>
      <c r="O11" s="44"/>
      <c r="P11" s="49">
        <v>45689</v>
      </c>
      <c r="Q11" s="121"/>
      <c r="R11" s="124">
        <v>2155638.7799999998</v>
      </c>
      <c r="S11" s="46"/>
      <c r="T11" s="418"/>
      <c r="U11" s="22" t="s">
        <v>34</v>
      </c>
      <c r="V11" s="50">
        <f>L6</f>
        <v>-2483829.0900013447</v>
      </c>
      <c r="W11" s="258">
        <f>(V10-V11)/V10</f>
        <v>0.53726928559707099</v>
      </c>
      <c r="X11" s="231">
        <f>V11/V10</f>
        <v>0.46273071440292896</v>
      </c>
    </row>
    <row r="12" spans="1:24" s="15" customFormat="1" ht="16.5" customHeight="1" x14ac:dyDescent="0.25">
      <c r="A12" s="418"/>
      <c r="B12" s="37" t="s">
        <v>35</v>
      </c>
      <c r="C12" s="38">
        <v>158953370.00999999</v>
      </c>
      <c r="D12" s="418"/>
      <c r="E12" s="39"/>
      <c r="F12" s="418"/>
      <c r="G12" s="40"/>
      <c r="H12" s="418"/>
      <c r="I12" s="418"/>
      <c r="J12" s="52" t="s">
        <v>36</v>
      </c>
      <c r="K12" s="130">
        <f>SUMIFS(Tabla3[EGRESOS],Tabla3[DEBITO],BALANCE!J12)</f>
        <v>39723906.859999999</v>
      </c>
      <c r="L12" s="42">
        <v>17912239.66</v>
      </c>
      <c r="M12" s="46">
        <v>39736989.370000005</v>
      </c>
      <c r="N12" s="43"/>
      <c r="O12" s="44"/>
      <c r="P12" s="49">
        <v>45717</v>
      </c>
      <c r="Q12" s="114"/>
      <c r="R12" s="124">
        <v>602000</v>
      </c>
      <c r="S12" s="46"/>
      <c r="T12" s="418"/>
      <c r="U12" s="418"/>
      <c r="V12" s="47"/>
      <c r="X12" s="231">
        <f>1-X11</f>
        <v>0.5372692855970711</v>
      </c>
    </row>
    <row r="13" spans="1:24" s="15" customFormat="1" ht="16.5" customHeight="1" x14ac:dyDescent="0.25">
      <c r="A13" s="418"/>
      <c r="B13" s="37" t="s">
        <v>37</v>
      </c>
      <c r="C13" s="38">
        <v>21824749.710000001</v>
      </c>
      <c r="D13" s="418"/>
      <c r="E13" s="418"/>
      <c r="F13" s="39"/>
      <c r="G13" s="53"/>
      <c r="H13" s="418"/>
      <c r="I13" s="418"/>
      <c r="J13" s="52" t="s">
        <v>38</v>
      </c>
      <c r="K13" s="130">
        <f>SUMIFS(Tabla3[EGRESOS],Tabla3[DEBITO],BALANCE!J13)</f>
        <v>1830361.64</v>
      </c>
      <c r="L13" s="42">
        <v>64895950</v>
      </c>
      <c r="M13" s="46">
        <v>64895950</v>
      </c>
      <c r="N13" s="43"/>
      <c r="O13" s="44" t="s">
        <v>39</v>
      </c>
      <c r="P13" s="43"/>
      <c r="Q13" s="130">
        <f>SUMIFS(Tabla3[INGRESOS],Tabla3[CREDITO],BALANCE!O13)-SUMIFS(Tabla3[EGRESOS],Tabla3[DEBITO],O13)</f>
        <v>-6246607</v>
      </c>
      <c r="R13" s="123"/>
      <c r="S13" s="46"/>
      <c r="T13" s="418"/>
      <c r="U13" s="22" t="s">
        <v>40</v>
      </c>
      <c r="V13" s="55">
        <v>-1520417.54999998</v>
      </c>
      <c r="W13" s="55"/>
      <c r="X13" s="232"/>
    </row>
    <row r="14" spans="1:24" s="15" customFormat="1" ht="16.5" customHeight="1" x14ac:dyDescent="0.25">
      <c r="A14" s="418"/>
      <c r="B14" s="37"/>
      <c r="C14" s="30"/>
      <c r="D14" s="418"/>
      <c r="E14" s="50"/>
      <c r="F14" s="39"/>
      <c r="G14" s="53"/>
      <c r="H14" s="418"/>
      <c r="I14" s="418"/>
      <c r="J14" s="41" t="s">
        <v>41</v>
      </c>
      <c r="K14" s="130">
        <f>SUMIFS(Tabla3[EGRESOS],Tabla3[DEBITO],BALANCE!J14)</f>
        <v>35974982.370000005</v>
      </c>
      <c r="L14" s="42">
        <v>19465265.706999999</v>
      </c>
      <c r="M14" s="46"/>
      <c r="N14" s="43"/>
      <c r="O14" s="43"/>
      <c r="P14" s="44" t="s">
        <v>42</v>
      </c>
      <c r="Q14" s="116">
        <f>SUMIFS(Tabla3[INGRESOS],Tabla3[CREDITO],BALANCE!P14)</f>
        <v>0</v>
      </c>
      <c r="R14" s="124">
        <v>11250743.49</v>
      </c>
      <c r="S14" s="46">
        <v>16638543.49</v>
      </c>
      <c r="T14" s="418"/>
      <c r="U14" s="22" t="s">
        <v>43</v>
      </c>
      <c r="V14" s="50">
        <f>+V11+V13</f>
        <v>-4004246.6400013249</v>
      </c>
      <c r="W14" s="231"/>
      <c r="X14" s="231">
        <f>V10/R50</f>
        <v>-9.8287010094347711E-3</v>
      </c>
    </row>
    <row r="15" spans="1:24" s="15" customFormat="1" ht="16.5" customHeight="1" x14ac:dyDescent="0.25">
      <c r="A15" s="418"/>
      <c r="B15" s="37"/>
      <c r="C15" s="30"/>
      <c r="D15" s="418"/>
      <c r="E15" s="50"/>
      <c r="F15" s="39"/>
      <c r="G15" s="53"/>
      <c r="H15" s="418"/>
      <c r="I15" s="418"/>
      <c r="J15" s="52" t="s">
        <v>44</v>
      </c>
      <c r="K15" s="130">
        <f>SUMIFS(Tabla3[EGRESOS],Tabla3[DEBITO],BALANCE!J15)</f>
        <v>0</v>
      </c>
      <c r="L15" s="42"/>
      <c r="M15" s="46"/>
      <c r="N15" s="43"/>
      <c r="O15" s="43"/>
      <c r="P15" s="44" t="s">
        <v>45</v>
      </c>
      <c r="Q15" s="116">
        <f>SUMIFS(Tabla3[INGRESOS],Tabla3[CREDITO],BALANCE!P15)-SUMIFS(Tabla3[EGRESOS],Tabla3[DEBITO],BALANCE!P15)</f>
        <v>-1058500</v>
      </c>
      <c r="R15" s="124">
        <v>-41372623.769999996</v>
      </c>
      <c r="S15" s="46">
        <v>-25022573.769999996</v>
      </c>
      <c r="T15" s="418"/>
      <c r="U15" s="22" t="s">
        <v>46</v>
      </c>
      <c r="V15" s="230">
        <f>+V10-V14</f>
        <v>-1363516.9699986745</v>
      </c>
      <c r="W15" s="231"/>
      <c r="X15" s="231">
        <f>V11/R50</f>
        <v>-4.5480418397485407E-3</v>
      </c>
    </row>
    <row r="16" spans="1:24" s="15" customFormat="1" ht="16.5" customHeight="1" x14ac:dyDescent="0.25">
      <c r="A16" s="418"/>
      <c r="B16" s="37"/>
      <c r="C16" s="30"/>
      <c r="D16" s="418"/>
      <c r="E16" s="50"/>
      <c r="F16" s="39"/>
      <c r="G16" s="53"/>
      <c r="H16" s="418"/>
      <c r="I16" s="418"/>
      <c r="J16" s="52" t="s">
        <v>47</v>
      </c>
      <c r="K16" s="130">
        <f>SUMIFS(Tabla3[EGRESOS],Tabla3[DEBITO],BALANCE!J16)</f>
        <v>0</v>
      </c>
      <c r="L16" s="42"/>
      <c r="M16" s="46"/>
      <c r="N16" s="43"/>
      <c r="O16" s="43"/>
      <c r="P16" s="44"/>
      <c r="Q16" s="116"/>
      <c r="R16" s="124"/>
      <c r="S16" s="46"/>
      <c r="T16" s="418"/>
      <c r="U16" s="22"/>
      <c r="V16" s="230"/>
      <c r="W16" s="231"/>
      <c r="X16" s="231"/>
    </row>
    <row r="17" spans="1:24" s="15" customFormat="1" ht="16.5" customHeight="1" x14ac:dyDescent="0.25">
      <c r="A17" s="418"/>
      <c r="B17" s="23" t="s">
        <v>48</v>
      </c>
      <c r="C17" s="30">
        <v>9560072.2100000028</v>
      </c>
      <c r="D17" s="418"/>
      <c r="E17" s="50"/>
      <c r="F17" s="39"/>
      <c r="G17" s="53"/>
      <c r="H17" s="418"/>
      <c r="I17" s="418"/>
      <c r="J17" s="56" t="s">
        <v>48</v>
      </c>
      <c r="K17" s="128">
        <f>SUM(K18:K25)</f>
        <v>14816180.66</v>
      </c>
      <c r="L17" s="57">
        <f>SUM(L18:L26)</f>
        <v>30381076.16</v>
      </c>
      <c r="M17" s="54">
        <f>SUM(M18:M26)</f>
        <v>39466267.400000006</v>
      </c>
      <c r="N17" s="43"/>
      <c r="O17" s="44" t="s">
        <v>49</v>
      </c>
      <c r="P17" s="44"/>
      <c r="Q17" s="116"/>
      <c r="R17" s="124"/>
      <c r="S17" s="46"/>
      <c r="T17" s="418"/>
      <c r="U17" s="418"/>
      <c r="V17" s="418"/>
      <c r="X17" s="231">
        <f>X14-X15</f>
        <v>-5.2806591696862304E-3</v>
      </c>
    </row>
    <row r="18" spans="1:24" s="15" customFormat="1" ht="16.5" customHeight="1" x14ac:dyDescent="0.25">
      <c r="A18" s="418"/>
      <c r="B18" s="37" t="s">
        <v>50</v>
      </c>
      <c r="C18" s="38">
        <v>6519127.0800000019</v>
      </c>
      <c r="D18" s="418"/>
      <c r="E18" s="39" t="s">
        <v>51</v>
      </c>
      <c r="F18" s="39" t="s">
        <v>21</v>
      </c>
      <c r="G18" s="53">
        <v>64416.11</v>
      </c>
      <c r="H18" s="418"/>
      <c r="I18" s="418"/>
      <c r="J18" s="41" t="s">
        <v>50</v>
      </c>
      <c r="K18" s="129">
        <f>SUMIFS(Tabla3[EGRESOS],Tabla3[DEBITO],BALANCE!J18)</f>
        <v>13825956.100000001</v>
      </c>
      <c r="L18" s="42">
        <v>21496900.920000002</v>
      </c>
      <c r="M18" s="225">
        <v>28016028.000000004</v>
      </c>
      <c r="N18" s="43"/>
      <c r="O18" s="43"/>
      <c r="P18" s="44" t="s">
        <v>52</v>
      </c>
      <c r="Q18" s="116"/>
      <c r="R18" s="124">
        <v>3326000</v>
      </c>
      <c r="S18" s="46">
        <v>223849320.00999999</v>
      </c>
      <c r="T18" s="418"/>
      <c r="U18" s="16"/>
      <c r="V18" s="419" t="s">
        <v>53</v>
      </c>
      <c r="W18" s="21" t="s">
        <v>54</v>
      </c>
    </row>
    <row r="19" spans="1:24" s="15" customFormat="1" ht="16.5" customHeight="1" x14ac:dyDescent="0.25">
      <c r="A19" s="418"/>
      <c r="B19" s="37" t="s">
        <v>55</v>
      </c>
      <c r="C19" s="38">
        <v>3040945.1300000004</v>
      </c>
      <c r="D19" s="418"/>
      <c r="E19" s="39" t="s">
        <v>56</v>
      </c>
      <c r="F19" s="39" t="s">
        <v>57</v>
      </c>
      <c r="G19" s="53">
        <v>4600445</v>
      </c>
      <c r="H19" s="418"/>
      <c r="I19" s="418"/>
      <c r="J19" s="41" t="s">
        <v>55</v>
      </c>
      <c r="K19" s="129">
        <f>SUMIFS(Tabla3[EGRESOS],Tabla3[DEBITO],BALANCE!J19)</f>
        <v>291905.59000000003</v>
      </c>
      <c r="L19" s="124">
        <v>8409294.2699999996</v>
      </c>
      <c r="M19" s="46">
        <v>11450239.4</v>
      </c>
      <c r="N19" s="43"/>
      <c r="O19" s="43"/>
      <c r="P19" s="44" t="s">
        <v>58</v>
      </c>
      <c r="Q19" s="116"/>
      <c r="R19" s="124">
        <v>29900000</v>
      </c>
      <c r="S19" s="46"/>
      <c r="T19" s="418"/>
      <c r="U19" s="293" t="s">
        <v>59</v>
      </c>
      <c r="V19" s="288">
        <v>45838</v>
      </c>
      <c r="W19" s="289">
        <v>0.57999999999999996</v>
      </c>
    </row>
    <row r="20" spans="1:24" s="15" customFormat="1" ht="16.5" customHeight="1" x14ac:dyDescent="0.25">
      <c r="A20" s="418"/>
      <c r="B20" s="58"/>
      <c r="C20" s="418"/>
      <c r="D20" s="418"/>
      <c r="E20" s="39"/>
      <c r="F20" s="39" t="s">
        <v>60</v>
      </c>
      <c r="G20" s="53">
        <v>11749605.4</v>
      </c>
      <c r="H20" s="418"/>
      <c r="I20" s="418"/>
      <c r="J20" s="41" t="s">
        <v>61</v>
      </c>
      <c r="K20" s="129">
        <f>SUMIFS(Tabla3[INGRESOS],Tabla3[CREDITO],BALANCE!J20)-SUMIFS(Tabla3[EGRESOS],Tabla3[DEBITO],BALANCE!J20)</f>
        <v>698318.96999999881</v>
      </c>
      <c r="L20" s="124">
        <v>474880.96999999881</v>
      </c>
      <c r="M20" s="46">
        <v>0</v>
      </c>
      <c r="N20" s="43"/>
      <c r="O20" s="43"/>
      <c r="P20" s="44" t="s">
        <v>62</v>
      </c>
      <c r="Q20" s="116"/>
      <c r="R20" s="124">
        <v>22500000</v>
      </c>
      <c r="S20" s="46"/>
      <c r="T20" s="418"/>
      <c r="U20" s="293" t="s">
        <v>63</v>
      </c>
      <c r="V20" s="288">
        <v>45929</v>
      </c>
      <c r="W20" s="289">
        <v>0.53</v>
      </c>
    </row>
    <row r="21" spans="1:24" s="15" customFormat="1" ht="16.5" customHeight="1" x14ac:dyDescent="0.25">
      <c r="A21" s="418"/>
      <c r="B21" s="58"/>
      <c r="C21" s="418"/>
      <c r="D21" s="418"/>
      <c r="E21" s="39"/>
      <c r="F21" s="39"/>
      <c r="G21" s="53"/>
      <c r="H21" s="418"/>
      <c r="I21" s="418"/>
      <c r="J21" s="41"/>
      <c r="K21" s="106"/>
      <c r="L21" s="124"/>
      <c r="M21" s="46"/>
      <c r="N21" s="43"/>
      <c r="O21" s="43"/>
      <c r="P21" s="44" t="s">
        <v>64</v>
      </c>
      <c r="Q21" s="116"/>
      <c r="R21" s="124">
        <v>9169950</v>
      </c>
      <c r="S21" s="46"/>
      <c r="T21" s="418"/>
      <c r="U21" s="293" t="s">
        <v>65</v>
      </c>
      <c r="V21" s="288">
        <v>45789</v>
      </c>
      <c r="W21" s="289" t="s">
        <v>66</v>
      </c>
    </row>
    <row r="22" spans="1:24" s="15" customFormat="1" ht="16.5" customHeight="1" x14ac:dyDescent="0.25">
      <c r="A22" s="418"/>
      <c r="B22" s="58"/>
      <c r="C22" s="418"/>
      <c r="D22" s="418"/>
      <c r="E22" s="39"/>
      <c r="F22" s="39"/>
      <c r="G22" s="53"/>
      <c r="H22" s="418"/>
      <c r="I22" s="418"/>
      <c r="J22" s="41" t="s">
        <v>67</v>
      </c>
      <c r="K22" s="106"/>
      <c r="L22" s="124">
        <v>0</v>
      </c>
      <c r="M22" s="46">
        <v>0</v>
      </c>
      <c r="N22" s="43"/>
      <c r="O22" s="44" t="s">
        <v>68</v>
      </c>
      <c r="P22" s="44" t="s">
        <v>69</v>
      </c>
      <c r="Q22" s="116"/>
      <c r="R22" s="124">
        <v>5491337</v>
      </c>
      <c r="S22" s="46">
        <v>5491337</v>
      </c>
      <c r="T22" s="418"/>
      <c r="U22" s="293" t="s">
        <v>70</v>
      </c>
      <c r="V22" s="288">
        <v>45814</v>
      </c>
      <c r="W22" s="289" t="s">
        <v>71</v>
      </c>
    </row>
    <row r="23" spans="1:24" s="15" customFormat="1" ht="16.5" customHeight="1" x14ac:dyDescent="0.25">
      <c r="A23" s="418"/>
      <c r="B23" s="58"/>
      <c r="C23" s="418"/>
      <c r="D23" s="418"/>
      <c r="E23" s="39"/>
      <c r="F23" s="39"/>
      <c r="G23" s="53"/>
      <c r="H23" s="418"/>
      <c r="I23" s="418"/>
      <c r="J23" s="41" t="s">
        <v>72</v>
      </c>
      <c r="K23" s="106"/>
      <c r="L23" s="124">
        <v>0</v>
      </c>
      <c r="M23" s="46">
        <v>0</v>
      </c>
      <c r="N23" s="43"/>
      <c r="O23" s="44" t="s">
        <v>73</v>
      </c>
      <c r="P23" s="44"/>
      <c r="Q23" s="116"/>
      <c r="R23" s="124">
        <v>1294184.4000000001</v>
      </c>
      <c r="S23" s="46">
        <v>5491337</v>
      </c>
      <c r="T23" s="418"/>
      <c r="U23" s="294" t="s">
        <v>74</v>
      </c>
      <c r="V23" s="290">
        <v>45978</v>
      </c>
      <c r="W23" s="291">
        <v>0.46</v>
      </c>
    </row>
    <row r="24" spans="1:24" s="15" customFormat="1" ht="16.5" customHeight="1" x14ac:dyDescent="0.25">
      <c r="A24" s="418"/>
      <c r="B24" s="58"/>
      <c r="C24" s="418"/>
      <c r="D24" s="43"/>
      <c r="E24" s="59" t="s">
        <v>75</v>
      </c>
      <c r="F24" s="43"/>
      <c r="G24" s="54">
        <v>158953370.00999999</v>
      </c>
      <c r="H24" s="418"/>
      <c r="I24" s="418"/>
      <c r="J24" s="41" t="s">
        <v>76</v>
      </c>
      <c r="K24" s="106"/>
      <c r="L24" s="124">
        <v>0</v>
      </c>
      <c r="M24" s="46">
        <v>0</v>
      </c>
      <c r="N24" s="43"/>
      <c r="O24" s="59" t="s">
        <v>75</v>
      </c>
      <c r="P24" s="43"/>
      <c r="Q24" s="115">
        <f>SUM(Q25:Q35)</f>
        <v>119526785.80000001</v>
      </c>
      <c r="R24" s="123">
        <f>SUM(R25:R35)</f>
        <v>190547996.69</v>
      </c>
      <c r="S24" s="292">
        <f>SUM(S25:S35)</f>
        <v>190547996.69</v>
      </c>
      <c r="T24" s="418"/>
    </row>
    <row r="25" spans="1:24" s="15" customFormat="1" ht="16.5" customHeight="1" x14ac:dyDescent="0.25">
      <c r="A25" s="418"/>
      <c r="B25" s="58"/>
      <c r="C25" s="418"/>
      <c r="D25" s="418"/>
      <c r="E25" s="39" t="s">
        <v>77</v>
      </c>
      <c r="F25" s="39" t="s">
        <v>78</v>
      </c>
      <c r="G25" s="53">
        <v>24690086</v>
      </c>
      <c r="H25" s="418"/>
      <c r="I25" s="418"/>
      <c r="J25" s="58"/>
      <c r="K25" s="107"/>
      <c r="L25" s="58"/>
      <c r="M25" s="62"/>
      <c r="N25" s="43"/>
      <c r="O25" s="44" t="s">
        <v>79</v>
      </c>
      <c r="P25" s="44" t="s">
        <v>80</v>
      </c>
      <c r="Q25" s="116"/>
      <c r="R25" s="124">
        <v>3000000</v>
      </c>
      <c r="S25" s="46">
        <v>3000000</v>
      </c>
      <c r="T25" s="418"/>
    </row>
    <row r="26" spans="1:24" s="15" customFormat="1" ht="16.5" customHeight="1" x14ac:dyDescent="0.25">
      <c r="A26" s="418"/>
      <c r="B26" s="58"/>
      <c r="C26" s="418"/>
      <c r="D26" s="418"/>
      <c r="E26" s="418"/>
      <c r="F26" s="39" t="s">
        <v>58</v>
      </c>
      <c r="G26" s="53">
        <v>89938412.260000005</v>
      </c>
      <c r="H26" s="418"/>
      <c r="I26" s="418"/>
      <c r="J26" s="58"/>
      <c r="K26" s="107"/>
      <c r="L26" s="58"/>
      <c r="M26" s="62"/>
      <c r="N26" s="43"/>
      <c r="O26" s="59"/>
      <c r="P26" s="285" t="s">
        <v>81</v>
      </c>
      <c r="Q26" s="286">
        <f>SUMIFS(Tabla3[INGRESOS],Tabla3[CREDITO],BALANCE!P26)</f>
        <v>0</v>
      </c>
      <c r="R26" s="287">
        <v>17500000</v>
      </c>
      <c r="S26" s="46">
        <v>17500000</v>
      </c>
      <c r="T26" s="418"/>
    </row>
    <row r="27" spans="1:24" s="15" customFormat="1" ht="16.5" customHeight="1" x14ac:dyDescent="0.25">
      <c r="A27" s="418"/>
      <c r="B27" s="58"/>
      <c r="C27" s="38"/>
      <c r="D27" s="418"/>
      <c r="E27" s="418"/>
      <c r="F27" s="39" t="s">
        <v>82</v>
      </c>
      <c r="G27" s="53">
        <v>435916.63</v>
      </c>
      <c r="H27" s="418"/>
      <c r="I27" s="418"/>
      <c r="J27" s="58"/>
      <c r="K27" s="107"/>
      <c r="L27" s="58"/>
      <c r="M27" s="62"/>
      <c r="N27" s="43"/>
      <c r="O27" s="59"/>
      <c r="P27" s="44" t="s">
        <v>83</v>
      </c>
      <c r="Q27" s="116">
        <f>SUMIFS(Tabla3[INGRESOS],Tabla3[CREDITO],BALANCE!P27)</f>
        <v>0</v>
      </c>
      <c r="R27" s="124">
        <v>24550000</v>
      </c>
      <c r="S27" s="46">
        <v>24550000</v>
      </c>
      <c r="T27" s="418"/>
    </row>
    <row r="28" spans="1:24" s="15" customFormat="1" ht="16.5" customHeight="1" x14ac:dyDescent="0.25">
      <c r="A28" s="418"/>
      <c r="B28" s="58"/>
      <c r="C28" s="38"/>
      <c r="D28" s="418"/>
      <c r="E28" s="418"/>
      <c r="F28" s="39" t="s">
        <v>84</v>
      </c>
      <c r="G28" s="53">
        <v>3888955.12</v>
      </c>
      <c r="H28" s="418"/>
      <c r="I28" s="418"/>
      <c r="J28" s="58"/>
      <c r="K28" s="107"/>
      <c r="L28" s="58"/>
      <c r="M28" s="62"/>
      <c r="N28" s="43"/>
      <c r="O28" s="59"/>
      <c r="P28" s="285" t="s">
        <v>85</v>
      </c>
      <c r="Q28" s="286">
        <f>SUMIFS(Tabla3[INGRESOS],Tabla3[CREDITO],BALANCE!P28)-SUMIFS(Tabla3[EGRESOS],Tabla3[DEBITO],BALANCE!P28)</f>
        <v>-29023946.539999995</v>
      </c>
      <c r="R28" s="287">
        <v>19730000</v>
      </c>
      <c r="S28" s="46">
        <v>19730000</v>
      </c>
      <c r="T28" s="418"/>
    </row>
    <row r="29" spans="1:24" s="15" customFormat="1" ht="16.5" customHeight="1" x14ac:dyDescent="0.25">
      <c r="A29" s="418"/>
      <c r="B29" s="58"/>
      <c r="C29" s="30"/>
      <c r="D29" s="418"/>
      <c r="E29" s="418"/>
      <c r="F29" s="39" t="s">
        <v>86</v>
      </c>
      <c r="G29" s="53">
        <v>40000000</v>
      </c>
      <c r="H29" s="418"/>
      <c r="I29" s="418"/>
      <c r="J29" s="58"/>
      <c r="K29" s="107"/>
      <c r="L29" s="58"/>
      <c r="M29" s="62"/>
      <c r="N29" s="43"/>
      <c r="O29" s="59"/>
      <c r="P29" s="44" t="s">
        <v>87</v>
      </c>
      <c r="Q29" s="116"/>
      <c r="R29" s="124">
        <v>48500000</v>
      </c>
      <c r="S29" s="46">
        <v>48500000</v>
      </c>
      <c r="T29" s="418"/>
    </row>
    <row r="30" spans="1:24" s="15" customFormat="1" ht="16.5" customHeight="1" x14ac:dyDescent="0.25">
      <c r="A30" s="418"/>
      <c r="B30" s="58"/>
      <c r="C30" s="30"/>
      <c r="D30" s="418"/>
      <c r="E30" s="418"/>
      <c r="F30" s="39"/>
      <c r="G30" s="53"/>
      <c r="H30" s="418"/>
      <c r="I30" s="418"/>
      <c r="J30" s="58"/>
      <c r="K30" s="107"/>
      <c r="L30" s="58"/>
      <c r="M30" s="62"/>
      <c r="N30" s="43"/>
      <c r="O30" s="59"/>
      <c r="P30" s="44" t="s">
        <v>88</v>
      </c>
      <c r="Q30" s="116"/>
      <c r="R30" s="124">
        <v>19900000</v>
      </c>
      <c r="S30" s="46">
        <v>19900000</v>
      </c>
      <c r="T30" s="418"/>
    </row>
    <row r="31" spans="1:24" s="15" customFormat="1" ht="16.5" customHeight="1" x14ac:dyDescent="0.25">
      <c r="A31" s="418"/>
      <c r="B31" s="58"/>
      <c r="C31" s="30"/>
      <c r="D31" s="418"/>
      <c r="E31" s="22" t="s">
        <v>89</v>
      </c>
      <c r="F31" s="418"/>
      <c r="G31" s="25">
        <v>95495225.368999988</v>
      </c>
      <c r="H31" s="418"/>
      <c r="I31" s="418"/>
      <c r="J31" s="41"/>
      <c r="K31" s="106"/>
      <c r="L31" s="124"/>
      <c r="M31" s="46"/>
      <c r="N31" s="43"/>
      <c r="O31" s="43"/>
      <c r="P31" s="44" t="s">
        <v>90</v>
      </c>
      <c r="Q31" s="116"/>
      <c r="R31" s="124">
        <v>30189630</v>
      </c>
      <c r="S31" s="46">
        <v>30189630</v>
      </c>
      <c r="T31" s="418"/>
    </row>
    <row r="32" spans="1:24" s="15" customFormat="1" ht="16.5" customHeight="1" x14ac:dyDescent="0.25">
      <c r="A32" s="418"/>
      <c r="B32" s="58"/>
      <c r="C32" s="30"/>
      <c r="D32" s="418"/>
      <c r="E32" s="22"/>
      <c r="F32" s="418"/>
      <c r="G32" s="25"/>
      <c r="H32" s="418"/>
      <c r="I32" s="418"/>
      <c r="J32" s="41"/>
      <c r="K32" s="106"/>
      <c r="L32" s="124"/>
      <c r="M32" s="46"/>
      <c r="N32" s="43"/>
      <c r="O32" s="43"/>
      <c r="P32" s="44" t="s">
        <v>91</v>
      </c>
      <c r="Q32" s="116">
        <f>SUMIFS(Tabla3[INGRESOS],Tabla3[CREDITO],BALANCE!P32)</f>
        <v>110579017</v>
      </c>
      <c r="R32" s="124"/>
      <c r="S32" s="46"/>
      <c r="T32" s="418"/>
    </row>
    <row r="33" spans="1:20" s="15" customFormat="1" ht="16.5" customHeight="1" x14ac:dyDescent="0.25">
      <c r="A33" s="418"/>
      <c r="B33" s="58"/>
      <c r="C33" s="30"/>
      <c r="D33" s="418"/>
      <c r="E33" s="22"/>
      <c r="F33" s="418"/>
      <c r="G33" s="25"/>
      <c r="H33" s="418"/>
      <c r="I33" s="418"/>
      <c r="J33" s="41"/>
      <c r="K33" s="106"/>
      <c r="L33" s="124"/>
      <c r="M33" s="46"/>
      <c r="N33" s="43"/>
      <c r="O33" s="43"/>
      <c r="P33" s="44" t="s">
        <v>92</v>
      </c>
      <c r="Q33" s="295">
        <f>SUMIFS(Tabla3[INGRESOS],Tabla3[CREDITO],P33)-SUMIFS(Tabla3[EGRESOS],Tabla3[DEBITO],BALANCE!P33)</f>
        <v>-2528284.66</v>
      </c>
      <c r="R33" s="124"/>
      <c r="S33" s="46"/>
      <c r="T33" s="418"/>
    </row>
    <row r="34" spans="1:20" s="15" customFormat="1" ht="16.5" customHeight="1" x14ac:dyDescent="0.25">
      <c r="A34" s="418"/>
      <c r="B34" s="58"/>
      <c r="C34" s="30"/>
      <c r="D34" s="418"/>
      <c r="E34" s="22"/>
      <c r="F34" s="418"/>
      <c r="G34" s="25"/>
      <c r="H34" s="418"/>
      <c r="I34" s="418"/>
      <c r="J34" s="41"/>
      <c r="K34" s="106"/>
      <c r="L34" s="124"/>
      <c r="M34" s="46"/>
      <c r="N34" s="43"/>
      <c r="O34" s="43"/>
      <c r="P34" s="44" t="s">
        <v>93</v>
      </c>
      <c r="Q34" s="116">
        <f>SUMIFS(Tabla3[INGRESOS],Tabla3[CREDITO],BALANCE!P34)</f>
        <v>40500000</v>
      </c>
      <c r="R34" s="124"/>
      <c r="S34" s="46"/>
      <c r="T34" s="418"/>
    </row>
    <row r="35" spans="1:20" s="15" customFormat="1" ht="16.5" customHeight="1" x14ac:dyDescent="0.25">
      <c r="A35" s="418"/>
      <c r="B35" s="58"/>
      <c r="C35" s="30"/>
      <c r="D35" s="418"/>
      <c r="E35" s="39" t="s">
        <v>94</v>
      </c>
      <c r="F35" s="418"/>
      <c r="G35" s="53">
        <v>11339691.76</v>
      </c>
      <c r="H35" s="418"/>
      <c r="I35" s="418"/>
      <c r="J35" s="60"/>
      <c r="K35" s="108"/>
      <c r="L35" s="123"/>
      <c r="M35" s="54"/>
      <c r="N35" s="43"/>
      <c r="O35" s="44" t="s">
        <v>95</v>
      </c>
      <c r="P35" s="44"/>
      <c r="Q35" s="116"/>
      <c r="R35" s="124">
        <v>27178366.690000001</v>
      </c>
      <c r="S35" s="46">
        <v>27178366.690000001</v>
      </c>
      <c r="T35" s="418"/>
    </row>
    <row r="36" spans="1:20" s="15" customFormat="1" ht="16.5" customHeight="1" x14ac:dyDescent="0.25">
      <c r="A36" s="418"/>
      <c r="B36" s="58"/>
      <c r="C36" s="30"/>
      <c r="D36" s="418"/>
      <c r="E36" s="39" t="s">
        <v>96</v>
      </c>
      <c r="F36" s="418"/>
      <c r="G36" s="61"/>
      <c r="H36" s="418"/>
      <c r="I36" s="418"/>
      <c r="J36" s="60"/>
      <c r="K36" s="108"/>
      <c r="L36" s="123"/>
      <c r="M36" s="54"/>
      <c r="N36" s="43"/>
      <c r="O36" s="59" t="s">
        <v>89</v>
      </c>
      <c r="P36" s="43"/>
      <c r="Q36" s="278">
        <f>SUM(Q37:Q49)</f>
        <v>211554136.64999974</v>
      </c>
      <c r="R36" s="123">
        <f>SUM(R37:R49)</f>
        <v>294558685.62000018</v>
      </c>
      <c r="S36" s="46">
        <f>SUM(S37:S49)</f>
        <v>390053910.98900014</v>
      </c>
      <c r="T36" s="418"/>
    </row>
    <row r="37" spans="1:20" s="15" customFormat="1" ht="16.5" customHeight="1" x14ac:dyDescent="0.25">
      <c r="A37" s="418"/>
      <c r="B37" s="58"/>
      <c r="C37" s="30"/>
      <c r="D37" s="418"/>
      <c r="E37" s="39" t="s">
        <v>97</v>
      </c>
      <c r="F37" s="418"/>
      <c r="G37" s="53">
        <v>106860074.79999998</v>
      </c>
      <c r="H37" s="418"/>
      <c r="I37" s="418"/>
      <c r="J37" s="60"/>
      <c r="K37" s="108"/>
      <c r="L37" s="123"/>
      <c r="M37" s="54"/>
      <c r="N37" s="43"/>
      <c r="O37" s="309" t="s">
        <v>98</v>
      </c>
      <c r="P37" s="310"/>
      <c r="Q37" s="311">
        <f>SUMIFS(Tabla3[INGRESOS],Tabla3[CREDITO],BALANCE!O37)</f>
        <v>15510994.73</v>
      </c>
      <c r="R37" s="124">
        <v>7364200</v>
      </c>
      <c r="S37" s="46">
        <v>18703891.759999998</v>
      </c>
      <c r="T37" s="418"/>
    </row>
    <row r="38" spans="1:20" s="15" customFormat="1" ht="16.5" customHeight="1" x14ac:dyDescent="0.25">
      <c r="A38" s="418"/>
      <c r="B38" s="58"/>
      <c r="C38" s="30"/>
      <c r="D38" s="418"/>
      <c r="E38" s="39" t="s">
        <v>99</v>
      </c>
      <c r="F38" s="418"/>
      <c r="G38" s="53">
        <v>-22704541.191</v>
      </c>
      <c r="H38" s="418"/>
      <c r="I38" s="418"/>
      <c r="J38" s="60"/>
      <c r="K38" s="108"/>
      <c r="L38" s="123"/>
      <c r="M38" s="54"/>
      <c r="N38" s="43"/>
      <c r="O38" s="309" t="s">
        <v>100</v>
      </c>
      <c r="P38" s="310"/>
      <c r="Q38" s="311">
        <f>-SUMIFS(Tabla3[EGRESOS],Tabla3[DEBITO],BALANCE!O38)</f>
        <v>0</v>
      </c>
      <c r="R38" s="124">
        <v>-16370934.109999999</v>
      </c>
      <c r="S38" s="46">
        <v>-16370934.109999999</v>
      </c>
      <c r="T38" s="418"/>
    </row>
    <row r="39" spans="1:20" s="15" customFormat="1" ht="16.5" customHeight="1" x14ac:dyDescent="0.25">
      <c r="A39" s="418"/>
      <c r="B39" s="58"/>
      <c r="C39" s="30"/>
      <c r="D39" s="418"/>
      <c r="E39" s="418"/>
      <c r="F39" s="39"/>
      <c r="G39" s="53"/>
      <c r="H39" s="418"/>
      <c r="I39" s="418"/>
      <c r="J39" s="60"/>
      <c r="K39" s="108"/>
      <c r="L39" s="123"/>
      <c r="M39" s="54"/>
      <c r="N39" s="43"/>
      <c r="O39" s="309" t="s">
        <v>101</v>
      </c>
      <c r="P39" s="309" t="s">
        <v>102</v>
      </c>
      <c r="Q39" s="311">
        <f>-SUMIFS(Tabla3[EGRESOS],Tabla3[DEBITO],BALANCE!P39)</f>
        <v>-17795000</v>
      </c>
      <c r="R39" s="124">
        <v>-4577898</v>
      </c>
      <c r="S39" s="46">
        <v>-4577898</v>
      </c>
      <c r="T39" s="418"/>
    </row>
    <row r="40" spans="1:20" s="15" customFormat="1" ht="16.5" customHeight="1" x14ac:dyDescent="0.25">
      <c r="A40" s="418"/>
      <c r="B40" s="58"/>
      <c r="C40" s="30"/>
      <c r="D40" s="418"/>
      <c r="E40" s="418"/>
      <c r="F40" s="39"/>
      <c r="G40" s="53"/>
      <c r="H40" s="418"/>
      <c r="I40" s="418"/>
      <c r="J40" s="60"/>
      <c r="K40" s="108"/>
      <c r="L40" s="123"/>
      <c r="M40" s="54"/>
      <c r="N40" s="43"/>
      <c r="O40" s="310"/>
      <c r="P40" s="309" t="s">
        <v>103</v>
      </c>
      <c r="Q40" s="311">
        <f>-SUMIFS(Tabla3[EGRESOS],Tabla3[DEBITO],BALANCE!P40)</f>
        <v>-7000000</v>
      </c>
      <c r="R40" s="124">
        <v>-4908174</v>
      </c>
      <c r="S40" s="46">
        <v>-4908174</v>
      </c>
      <c r="T40" s="418"/>
    </row>
    <row r="41" spans="1:20" s="15" customFormat="1" ht="16.5" customHeight="1" x14ac:dyDescent="0.25">
      <c r="A41" s="418"/>
      <c r="B41" s="58"/>
      <c r="C41" s="30"/>
      <c r="D41" s="418"/>
      <c r="E41" s="418"/>
      <c r="F41" s="39"/>
      <c r="G41" s="53"/>
      <c r="H41" s="418"/>
      <c r="I41" s="418"/>
      <c r="J41" s="60"/>
      <c r="K41" s="108"/>
      <c r="L41" s="123"/>
      <c r="M41" s="54"/>
      <c r="N41" s="43"/>
      <c r="O41" s="310"/>
      <c r="P41" s="309" t="s">
        <v>104</v>
      </c>
      <c r="Q41" s="311">
        <f>-SUMIFS(Tabla3[EGRESOS],Tabla3[DEBITO],BALANCE!P41)</f>
        <v>-42530979.32</v>
      </c>
      <c r="R41" s="124">
        <v>-4286000</v>
      </c>
      <c r="S41" s="46">
        <v>-4286000</v>
      </c>
      <c r="T41" s="418"/>
    </row>
    <row r="42" spans="1:20" s="15" customFormat="1" ht="16.5" customHeight="1" x14ac:dyDescent="0.25">
      <c r="A42" s="418"/>
      <c r="B42" s="58"/>
      <c r="C42" s="30"/>
      <c r="D42" s="418"/>
      <c r="E42" s="418"/>
      <c r="F42" s="39"/>
      <c r="G42" s="53"/>
      <c r="H42" s="418"/>
      <c r="I42" s="418"/>
      <c r="J42" s="60"/>
      <c r="K42" s="108"/>
      <c r="L42" s="123"/>
      <c r="M42" s="54"/>
      <c r="N42" s="43"/>
      <c r="O42" s="309" t="s">
        <v>96</v>
      </c>
      <c r="P42" s="310"/>
      <c r="Q42" s="311"/>
      <c r="R42" s="124">
        <v>0</v>
      </c>
      <c r="S42" s="46">
        <v>0</v>
      </c>
      <c r="T42" s="418"/>
    </row>
    <row r="43" spans="1:20" s="15" customFormat="1" ht="16.5" customHeight="1" x14ac:dyDescent="0.25">
      <c r="A43" s="418"/>
      <c r="B43" s="58"/>
      <c r="C43" s="30"/>
      <c r="D43" s="418"/>
      <c r="E43" s="418"/>
      <c r="F43" s="418"/>
      <c r="G43" s="62"/>
      <c r="H43" s="418"/>
      <c r="I43" s="418"/>
      <c r="J43" s="60"/>
      <c r="K43" s="108"/>
      <c r="L43" s="123"/>
      <c r="M43" s="54"/>
      <c r="N43" s="43"/>
      <c r="O43" s="309" t="s">
        <v>97</v>
      </c>
      <c r="P43" s="310"/>
      <c r="Q43" s="311">
        <f>SUMIFS(Tabla3[INGRESOS],Tabla3[CREDITO],BALANCE!O43)</f>
        <v>753021928.83999991</v>
      </c>
      <c r="R43" s="124">
        <v>532760206.1400001</v>
      </c>
      <c r="S43" s="46">
        <v>639620280.94000006</v>
      </c>
      <c r="T43" s="418"/>
    </row>
    <row r="44" spans="1:20" s="15" customFormat="1" ht="16.5" customHeight="1" x14ac:dyDescent="0.25">
      <c r="A44" s="418"/>
      <c r="B44" s="58"/>
      <c r="C44" s="30"/>
      <c r="D44" s="418"/>
      <c r="E44" s="418"/>
      <c r="F44" s="418"/>
      <c r="G44" s="62"/>
      <c r="H44" s="418"/>
      <c r="I44" s="418"/>
      <c r="J44" s="60"/>
      <c r="K44" s="108"/>
      <c r="L44" s="123"/>
      <c r="M44" s="54"/>
      <c r="N44" s="43"/>
      <c r="O44" s="309" t="s">
        <v>99</v>
      </c>
      <c r="P44" s="310"/>
      <c r="Q44" s="312">
        <f>-SUMIFS(Tabla3[EGRESOS],Tabla3[DEBITO],BALANCE!O44)</f>
        <v>-478902830.30000013</v>
      </c>
      <c r="R44" s="42">
        <v>-39856737.010000005</v>
      </c>
      <c r="S44" s="46">
        <v>-62561278.201000005</v>
      </c>
      <c r="T44" s="418"/>
    </row>
    <row r="45" spans="1:20" s="15" customFormat="1" ht="16.5" customHeight="1" x14ac:dyDescent="0.25">
      <c r="A45" s="418"/>
      <c r="B45" s="58"/>
      <c r="C45" s="30"/>
      <c r="D45" s="418"/>
      <c r="E45" s="418"/>
      <c r="F45" s="418"/>
      <c r="G45" s="62"/>
      <c r="H45" s="418"/>
      <c r="I45" s="418"/>
      <c r="J45" s="60"/>
      <c r="K45" s="108"/>
      <c r="L45" s="123"/>
      <c r="M45" s="54"/>
      <c r="N45" s="43"/>
      <c r="O45" s="44" t="s">
        <v>105</v>
      </c>
      <c r="P45" s="43"/>
      <c r="Q45" s="113"/>
      <c r="R45" s="42">
        <v>-6785521.4000000004</v>
      </c>
      <c r="S45" s="46">
        <v>-6785521.4000000004</v>
      </c>
      <c r="T45" s="418"/>
    </row>
    <row r="46" spans="1:20" s="15" customFormat="1" ht="16.5" customHeight="1" x14ac:dyDescent="0.25">
      <c r="A46" s="418"/>
      <c r="B46" s="58"/>
      <c r="C46" s="30"/>
      <c r="D46" s="418"/>
      <c r="E46" s="418"/>
      <c r="F46" s="418"/>
      <c r="G46" s="62"/>
      <c r="H46" s="418"/>
      <c r="I46" s="418"/>
      <c r="J46" s="60"/>
      <c r="K46" s="108"/>
      <c r="L46" s="123"/>
      <c r="M46" s="54"/>
      <c r="N46" s="43"/>
      <c r="O46" s="44" t="s">
        <v>106</v>
      </c>
      <c r="P46" s="43"/>
      <c r="Q46" s="127">
        <v>-5367763.6100000003</v>
      </c>
      <c r="S46" s="46"/>
      <c r="T46" s="418"/>
    </row>
    <row r="47" spans="1:20" s="15" customFormat="1" ht="16.5" customHeight="1" x14ac:dyDescent="0.25">
      <c r="A47" s="418"/>
      <c r="B47" s="58"/>
      <c r="C47" s="30"/>
      <c r="D47" s="418"/>
      <c r="E47" s="418"/>
      <c r="F47" s="418"/>
      <c r="G47" s="62"/>
      <c r="H47" s="418"/>
      <c r="I47" s="418"/>
      <c r="J47" s="60"/>
      <c r="K47" s="108"/>
      <c r="L47" s="60"/>
      <c r="M47" s="226"/>
      <c r="N47" s="43"/>
      <c r="O47" s="44" t="s">
        <v>107</v>
      </c>
      <c r="P47" s="43"/>
      <c r="Q47" s="113"/>
      <c r="R47" s="42">
        <v>-142076970.28</v>
      </c>
      <c r="S47" s="46">
        <v>-142076970.28</v>
      </c>
      <c r="T47" s="418"/>
    </row>
    <row r="48" spans="1:20" s="15" customFormat="1" ht="16.5" customHeight="1" x14ac:dyDescent="0.25">
      <c r="A48" s="418"/>
      <c r="B48" s="58"/>
      <c r="C48" s="418"/>
      <c r="D48" s="418"/>
      <c r="E48" s="418"/>
      <c r="F48" s="418"/>
      <c r="G48" s="62"/>
      <c r="H48" s="418"/>
      <c r="I48" s="418"/>
      <c r="J48" s="60"/>
      <c r="K48" s="108"/>
      <c r="L48" s="60"/>
      <c r="M48" s="226"/>
      <c r="N48" s="43"/>
      <c r="O48" s="44" t="s">
        <v>108</v>
      </c>
      <c r="P48" s="43"/>
      <c r="Q48" s="128"/>
      <c r="R48" s="42">
        <v>474880.96999999881</v>
      </c>
      <c r="S48" s="46">
        <v>474880.96999999881</v>
      </c>
      <c r="T48" s="418"/>
    </row>
    <row r="49" spans="1:20" s="15" customFormat="1" ht="16.5" customHeight="1" x14ac:dyDescent="0.25">
      <c r="A49" s="418"/>
      <c r="B49" s="63"/>
      <c r="C49" s="64"/>
      <c r="D49" s="64"/>
      <c r="E49" s="64"/>
      <c r="F49" s="64"/>
      <c r="G49" s="65"/>
      <c r="H49" s="418"/>
      <c r="I49" s="418"/>
      <c r="J49" s="66"/>
      <c r="K49" s="109"/>
      <c r="L49" s="66"/>
      <c r="M49" s="227"/>
      <c r="N49" s="67"/>
      <c r="O49" s="313" t="s">
        <v>109</v>
      </c>
      <c r="P49" s="314"/>
      <c r="Q49" s="311">
        <f>-SUMIFS(Tabla3[EGRESOS],Tabla3[DEBITO],BALANCE!O49)</f>
        <v>-5382213.6900000013</v>
      </c>
      <c r="R49" s="125">
        <v>-27178366.690000001</v>
      </c>
      <c r="S49" s="46">
        <v>-27178366.690000001</v>
      </c>
      <c r="T49" s="418"/>
    </row>
    <row r="50" spans="1:20" s="15" customFormat="1" ht="16.5" customHeight="1" x14ac:dyDescent="0.25">
      <c r="A50" s="418"/>
      <c r="B50" s="16" t="s">
        <v>110</v>
      </c>
      <c r="C50" s="68">
        <v>276250861.88899994</v>
      </c>
      <c r="D50" s="419"/>
      <c r="E50" s="17" t="s">
        <v>111</v>
      </c>
      <c r="F50" s="419"/>
      <c r="G50" s="69">
        <v>276250861.88899994</v>
      </c>
      <c r="H50" s="418"/>
      <c r="I50" s="418"/>
      <c r="J50" s="19" t="s">
        <v>110</v>
      </c>
      <c r="K50" s="110">
        <f>+K3</f>
        <v>280733536.76999897</v>
      </c>
      <c r="L50" s="68">
        <f>+L17+L4</f>
        <v>546131539.13699865</v>
      </c>
      <c r="M50" s="228">
        <f>+M17+M4</f>
        <v>802377838.23899853</v>
      </c>
      <c r="N50" s="419"/>
      <c r="O50" s="20" t="s">
        <v>111</v>
      </c>
      <c r="P50" s="17"/>
      <c r="Q50" s="117">
        <f>+Q36+Q3</f>
        <v>329143579.05999976</v>
      </c>
      <c r="R50" s="70">
        <f>+R36+R3</f>
        <v>546131539.1370002</v>
      </c>
      <c r="S50" s="70">
        <f>+S36+S3</f>
        <v>807049871.40900016</v>
      </c>
      <c r="T50" s="418"/>
    </row>
    <row r="51" spans="1:20" s="15" customFormat="1" ht="16.5" customHeight="1" x14ac:dyDescent="0.25">
      <c r="A51" s="418"/>
      <c r="B51" s="418"/>
      <c r="C51" s="418"/>
      <c r="D51" s="418"/>
      <c r="E51" s="418"/>
      <c r="F51" s="71" t="s">
        <v>112</v>
      </c>
      <c r="G51" s="72">
        <v>0</v>
      </c>
      <c r="H51" s="418"/>
      <c r="I51" s="7" t="s">
        <v>113</v>
      </c>
      <c r="J51" s="7" t="s">
        <v>114</v>
      </c>
      <c r="K51" s="73">
        <f>K7/Q4</f>
        <v>70.070208900860337</v>
      </c>
      <c r="L51" s="73">
        <f t="shared" ref="L51:M51" si="0">L7/R4</f>
        <v>0</v>
      </c>
      <c r="M51" s="73">
        <f t="shared" si="0"/>
        <v>0</v>
      </c>
      <c r="N51" s="418"/>
      <c r="O51" s="418"/>
      <c r="P51" s="418"/>
      <c r="Q51" s="418"/>
      <c r="R51" s="418"/>
      <c r="S51" s="418"/>
      <c r="T51" s="418"/>
    </row>
    <row r="52" spans="1:20" s="15" customFormat="1" ht="16.5" customHeight="1" x14ac:dyDescent="0.25">
      <c r="A52" s="418"/>
      <c r="B52" s="418"/>
      <c r="C52" s="418"/>
      <c r="D52" s="418"/>
      <c r="E52" s="418"/>
      <c r="F52" s="418"/>
      <c r="G52" s="418"/>
      <c r="H52" s="418"/>
      <c r="I52" s="7" t="s">
        <v>115</v>
      </c>
      <c r="J52" s="7" t="s">
        <v>116</v>
      </c>
      <c r="K52" s="73">
        <f>Q24/Q36</f>
        <v>0.56499384834884137</v>
      </c>
      <c r="L52" s="73">
        <f t="shared" ref="L52" si="1">R24/R36</f>
        <v>0.64689315234051281</v>
      </c>
      <c r="M52" s="73">
        <f>S24/S36</f>
        <v>0.48851707756719204</v>
      </c>
      <c r="N52" s="418"/>
      <c r="O52" s="418"/>
      <c r="P52" s="120" t="s">
        <v>112</v>
      </c>
      <c r="Q52" s="279">
        <f>Q50-K50</f>
        <v>48410042.290000796</v>
      </c>
      <c r="S52" s="74">
        <f>R50-L50</f>
        <v>1.5497207641601563E-6</v>
      </c>
      <c r="T52" s="418"/>
    </row>
    <row r="53" spans="1:20" s="15" customFormat="1" ht="16.5" customHeight="1" x14ac:dyDescent="0.25">
      <c r="A53" s="418"/>
      <c r="B53" s="418"/>
      <c r="C53" s="418"/>
      <c r="D53" s="418"/>
      <c r="E53" s="418"/>
      <c r="F53" s="418"/>
      <c r="G53" s="418"/>
      <c r="H53" s="418"/>
      <c r="I53" s="7" t="s">
        <v>117</v>
      </c>
      <c r="J53" s="7" t="s">
        <v>118</v>
      </c>
      <c r="K53" s="73">
        <f>Q3/K17</f>
        <v>7.9365556554977923</v>
      </c>
      <c r="L53" s="73">
        <f t="shared" ref="L53" si="2">R3/L17</f>
        <v>8.2805774289267298</v>
      </c>
      <c r="M53" s="73">
        <f>S3/M17</f>
        <v>10.565882914481035</v>
      </c>
      <c r="N53" s="418"/>
      <c r="O53" s="418"/>
      <c r="P53" s="418"/>
      <c r="Q53" s="418"/>
      <c r="R53" s="418"/>
      <c r="S53" s="418"/>
      <c r="T53" s="418"/>
    </row>
    <row r="54" spans="1:20" ht="16.5" customHeight="1" x14ac:dyDescent="0.25">
      <c r="A54" s="7"/>
      <c r="B54" s="7"/>
      <c r="C54" s="7"/>
      <c r="D54" s="7"/>
      <c r="E54" s="7"/>
      <c r="F54" s="7"/>
      <c r="G54" s="7"/>
      <c r="H54" s="7"/>
      <c r="I54" s="7" t="s">
        <v>119</v>
      </c>
      <c r="J54" s="7" t="s">
        <v>120</v>
      </c>
      <c r="K54" s="73">
        <f>Q3/K4</f>
        <v>0.44220296158990896</v>
      </c>
      <c r="L54" s="73">
        <f t="shared" ref="L54:M54" si="3">R3/L4</f>
        <v>0.48778017971109328</v>
      </c>
      <c r="M54" s="73">
        <f t="shared" si="3"/>
        <v>0.54658492066310649</v>
      </c>
      <c r="N54" s="7"/>
      <c r="O54" s="7"/>
      <c r="P54" s="7"/>
      <c r="Q54" s="126"/>
      <c r="R54" s="7"/>
      <c r="S54" s="7"/>
      <c r="T54" s="7"/>
    </row>
    <row r="55" spans="1:20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 spans="1:20" x14ac:dyDescent="0.25">
      <c r="A56" s="7"/>
      <c r="B56" s="7"/>
      <c r="C56" s="7"/>
      <c r="D56" s="7"/>
      <c r="E56" s="7"/>
      <c r="F56" s="7"/>
      <c r="G56" s="7"/>
      <c r="H56" s="7"/>
      <c r="I56" s="7"/>
      <c r="J56" s="261" t="s">
        <v>8</v>
      </c>
      <c r="K56" s="260">
        <v>45657</v>
      </c>
      <c r="L56" s="7"/>
      <c r="M56" s="7"/>
      <c r="N56" s="7"/>
      <c r="O56" s="7"/>
      <c r="P56" s="7"/>
      <c r="Q56" s="7"/>
      <c r="R56" s="7"/>
      <c r="S56" s="7"/>
      <c r="T56" s="7"/>
    </row>
    <row r="57" spans="1:20" x14ac:dyDescent="0.25">
      <c r="A57" s="7"/>
      <c r="B57" s="7"/>
      <c r="C57" s="7"/>
      <c r="D57" s="7"/>
      <c r="E57" s="7"/>
      <c r="F57" s="7"/>
      <c r="G57" s="7"/>
      <c r="H57" s="7"/>
      <c r="I57" s="7"/>
      <c r="J57" s="262" t="s">
        <v>11</v>
      </c>
      <c r="K57" s="263"/>
      <c r="L57" s="264"/>
      <c r="M57" s="7"/>
      <c r="N57" s="7"/>
      <c r="O57" s="7"/>
      <c r="P57" s="7"/>
      <c r="Q57" s="7"/>
      <c r="R57" s="7"/>
      <c r="S57" s="7"/>
      <c r="T57" s="7"/>
    </row>
    <row r="58" spans="1:20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spans="1:20" x14ac:dyDescent="0.25">
      <c r="A59" s="7"/>
      <c r="B59" s="7"/>
      <c r="C59" s="7"/>
      <c r="D59" s="7"/>
      <c r="E59" s="7"/>
      <c r="F59" s="7"/>
      <c r="G59" s="7"/>
      <c r="H59" s="7"/>
      <c r="I59" s="7"/>
      <c r="J59" s="7" t="s">
        <v>20</v>
      </c>
      <c r="K59" s="119">
        <v>-4844669.16</v>
      </c>
      <c r="L59" s="7"/>
      <c r="M59" s="7"/>
      <c r="N59" s="7"/>
      <c r="O59" s="7"/>
      <c r="P59" s="7"/>
      <c r="Q59" s="7"/>
      <c r="R59" s="7"/>
      <c r="S59" s="7"/>
      <c r="T59" s="7"/>
    </row>
    <row r="60" spans="1:20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119"/>
      <c r="L60" s="7"/>
      <c r="M60" s="7" t="s">
        <v>121</v>
      </c>
      <c r="N60" s="7"/>
      <c r="O60" s="7"/>
      <c r="P60" s="119">
        <v>-4004246.6400013198</v>
      </c>
      <c r="Q60" s="7"/>
      <c r="R60" s="7"/>
      <c r="S60" s="7"/>
      <c r="T60" s="7"/>
    </row>
    <row r="61" spans="1:20" x14ac:dyDescent="0.25">
      <c r="A61" s="7"/>
      <c r="B61" s="7"/>
      <c r="C61" s="7"/>
      <c r="D61" s="7"/>
      <c r="E61" s="7"/>
      <c r="F61" s="7"/>
      <c r="G61" s="7"/>
      <c r="H61" s="7"/>
      <c r="I61" s="7"/>
      <c r="J61" s="7" t="s">
        <v>25</v>
      </c>
      <c r="K61" s="119">
        <v>22436.560000000522</v>
      </c>
      <c r="L61" s="7"/>
      <c r="M61" s="7" t="s">
        <v>122</v>
      </c>
      <c r="N61" s="7"/>
      <c r="O61" s="7"/>
      <c r="P61" s="265">
        <v>-1363516.96999867</v>
      </c>
      <c r="Q61" s="7"/>
      <c r="R61" s="7"/>
      <c r="S61" s="7"/>
      <c r="T61" s="7"/>
    </row>
    <row r="62" spans="1:20" x14ac:dyDescent="0.25">
      <c r="A62" s="7"/>
      <c r="B62" s="7"/>
      <c r="C62" s="7"/>
      <c r="D62" s="7"/>
      <c r="E62" s="7"/>
      <c r="F62" s="7"/>
      <c r="G62" s="7"/>
      <c r="H62" s="7"/>
      <c r="I62" s="7"/>
      <c r="J62" s="7" t="s">
        <v>28</v>
      </c>
      <c r="K62" s="119">
        <v>26960.49</v>
      </c>
      <c r="L62" s="7"/>
      <c r="M62" s="7"/>
      <c r="N62" s="7"/>
      <c r="O62" s="7"/>
      <c r="P62" s="7"/>
      <c r="Q62" s="7"/>
      <c r="R62" s="7"/>
      <c r="S62" s="7"/>
      <c r="T62" s="7"/>
    </row>
    <row r="63" spans="1:20" x14ac:dyDescent="0.25">
      <c r="A63" s="7"/>
      <c r="B63" s="7"/>
      <c r="C63" s="7"/>
      <c r="D63" s="7"/>
      <c r="E63" s="7"/>
      <c r="F63" s="7"/>
      <c r="G63" s="7"/>
      <c r="H63" s="7"/>
      <c r="I63" s="7"/>
      <c r="J63" s="7" t="s">
        <v>30</v>
      </c>
      <c r="K63" s="119">
        <v>-572491.5</v>
      </c>
      <c r="L63" s="7"/>
      <c r="M63" s="7"/>
      <c r="N63" s="7"/>
      <c r="O63" s="7"/>
      <c r="P63" s="7"/>
      <c r="Q63" s="7"/>
      <c r="R63" s="7"/>
      <c r="S63" s="7"/>
      <c r="T63" s="7"/>
    </row>
    <row r="64" spans="1:20" x14ac:dyDescent="0.25">
      <c r="A64" s="7"/>
      <c r="B64" s="7"/>
      <c r="C64" s="7"/>
      <c r="D64" s="7"/>
      <c r="E64" s="7"/>
      <c r="F64" s="7"/>
      <c r="G64" s="7"/>
      <c r="H64" s="7"/>
      <c r="I64" s="7"/>
      <c r="J64" s="7" t="s">
        <v>32</v>
      </c>
      <c r="K64" s="119">
        <v>-5367763.6099999994</v>
      </c>
      <c r="L64" s="7"/>
      <c r="M64" s="7"/>
      <c r="N64" s="7"/>
      <c r="O64" s="7"/>
      <c r="P64" s="7"/>
      <c r="Q64" s="7"/>
      <c r="R64" s="7"/>
      <c r="S64" s="7"/>
      <c r="T64" s="7"/>
    </row>
    <row r="65" spans="1:20" x14ac:dyDescent="0.25">
      <c r="A65" s="7"/>
      <c r="B65" s="7"/>
      <c r="C65" s="7"/>
      <c r="D65" s="7"/>
      <c r="E65" s="7"/>
      <c r="F65" s="7"/>
      <c r="G65" s="7"/>
      <c r="H65" s="7"/>
      <c r="I65" s="7"/>
      <c r="J65" s="7" t="s">
        <v>123</v>
      </c>
      <c r="K65" s="119">
        <v>-2483829.0900013447</v>
      </c>
      <c r="L65" s="7"/>
      <c r="M65" s="7"/>
      <c r="N65" s="7"/>
      <c r="O65" s="7"/>
      <c r="P65" s="7"/>
      <c r="Q65" s="7"/>
      <c r="R65" s="7"/>
      <c r="S65" s="7"/>
      <c r="T65" s="7"/>
    </row>
    <row r="66" spans="1:20" x14ac:dyDescent="0.25">
      <c r="A66" s="7"/>
      <c r="B66" s="7"/>
      <c r="C66" s="7"/>
      <c r="D66" s="7"/>
      <c r="E66" s="7"/>
      <c r="F66" s="7"/>
      <c r="G66" s="7"/>
      <c r="I66" s="7"/>
      <c r="J66" s="7" t="s">
        <v>40</v>
      </c>
      <c r="K66" s="119">
        <v>-1520417.54999998</v>
      </c>
      <c r="L66" s="7"/>
      <c r="M66" s="7"/>
      <c r="N66" s="7"/>
      <c r="O66" s="7"/>
      <c r="P66" s="7"/>
      <c r="Q66" s="7"/>
      <c r="R66" s="7"/>
      <c r="S66" s="7"/>
      <c r="T66" s="7"/>
    </row>
    <row r="67" spans="1:20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</row>
    <row r="68" spans="1:20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 spans="1:20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 spans="1:20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 spans="1:20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</row>
    <row r="72" spans="1:20" x14ac:dyDescent="0.25">
      <c r="A72" s="7"/>
      <c r="B72" s="423" t="s">
        <v>124</v>
      </c>
      <c r="C72" s="423"/>
      <c r="D72" s="423"/>
      <c r="E72" s="423"/>
      <c r="F72" s="75">
        <v>378</v>
      </c>
      <c r="G72" s="14"/>
      <c r="H72" s="7"/>
      <c r="I72" s="7"/>
      <c r="J72" s="423" t="s">
        <v>125</v>
      </c>
      <c r="K72" s="423"/>
      <c r="L72" s="423"/>
      <c r="M72" s="423"/>
      <c r="N72" s="423"/>
      <c r="O72" s="423"/>
      <c r="P72" s="76">
        <v>1000</v>
      </c>
      <c r="Q72" s="76"/>
      <c r="S72" s="14"/>
      <c r="T72" s="7"/>
    </row>
    <row r="73" spans="1:20" x14ac:dyDescent="0.25">
      <c r="A73" s="7"/>
      <c r="B73" s="16" t="s">
        <v>2</v>
      </c>
      <c r="C73" s="17" t="s">
        <v>3</v>
      </c>
      <c r="D73" s="419"/>
      <c r="E73" s="419" t="s">
        <v>2</v>
      </c>
      <c r="F73" s="419"/>
      <c r="G73" s="18" t="s">
        <v>3</v>
      </c>
      <c r="H73" s="7"/>
      <c r="I73" s="7"/>
      <c r="J73" s="19" t="s">
        <v>2</v>
      </c>
      <c r="K73" s="20"/>
      <c r="L73" s="17" t="s">
        <v>5</v>
      </c>
      <c r="M73" s="419" t="s">
        <v>6</v>
      </c>
      <c r="N73" s="419"/>
      <c r="O73" s="20" t="s">
        <v>2</v>
      </c>
      <c r="P73" s="419"/>
      <c r="Q73" s="419"/>
      <c r="R73" s="17" t="s">
        <v>5</v>
      </c>
      <c r="S73" s="21" t="s">
        <v>6</v>
      </c>
      <c r="T73" s="7"/>
    </row>
    <row r="74" spans="1:20" x14ac:dyDescent="0.25">
      <c r="A74" s="7"/>
      <c r="B74" s="23" t="s">
        <v>9</v>
      </c>
      <c r="C74" s="77">
        <v>730822.3859497353</v>
      </c>
      <c r="D74" s="418"/>
      <c r="E74" s="22" t="s">
        <v>10</v>
      </c>
      <c r="F74" s="418"/>
      <c r="G74" s="78">
        <v>478189.51460317464</v>
      </c>
      <c r="H74" s="7"/>
      <c r="I74" s="7"/>
      <c r="J74" s="79" t="s">
        <v>9</v>
      </c>
      <c r="K74" s="104"/>
      <c r="L74" s="80">
        <v>545656.65816699865</v>
      </c>
      <c r="M74" s="80">
        <v>-9383.7587510000503</v>
      </c>
      <c r="N74" s="34"/>
      <c r="O74" s="35" t="s">
        <v>10</v>
      </c>
      <c r="P74" s="34"/>
      <c r="Q74" s="34"/>
      <c r="R74" s="80">
        <v>196593.30467700001</v>
      </c>
      <c r="S74" s="81">
        <v>0</v>
      </c>
      <c r="T74" s="7"/>
    </row>
    <row r="75" spans="1:20" x14ac:dyDescent="0.25">
      <c r="A75" s="7"/>
      <c r="B75" s="23" t="s">
        <v>14</v>
      </c>
      <c r="C75" s="82">
        <v>705531.18962698395</v>
      </c>
      <c r="D75" s="418"/>
      <c r="E75" s="22" t="s">
        <v>15</v>
      </c>
      <c r="F75" s="418"/>
      <c r="G75" s="83">
        <v>57677.953730158733</v>
      </c>
      <c r="H75" s="7"/>
      <c r="I75" s="7"/>
      <c r="J75" s="23" t="s">
        <v>14</v>
      </c>
      <c r="K75" s="22"/>
      <c r="L75" s="82">
        <v>515750.46297699865</v>
      </c>
      <c r="M75" s="82">
        <v>-9383.7587510000503</v>
      </c>
      <c r="N75" s="418"/>
      <c r="O75" s="22" t="s">
        <v>15</v>
      </c>
      <c r="P75" s="418"/>
      <c r="Q75" s="418"/>
      <c r="R75" s="82">
        <v>36234.937987000005</v>
      </c>
      <c r="S75" s="83">
        <v>0</v>
      </c>
      <c r="T75" s="7"/>
    </row>
    <row r="76" spans="1:20" x14ac:dyDescent="0.25">
      <c r="A76" s="7"/>
      <c r="B76" s="37" t="s">
        <v>16</v>
      </c>
      <c r="C76" s="84">
        <v>170.41298941798942</v>
      </c>
      <c r="D76" s="418"/>
      <c r="E76" s="39" t="s">
        <v>17</v>
      </c>
      <c r="F76" s="418"/>
      <c r="G76" s="85">
        <v>14253.439153439154</v>
      </c>
      <c r="H76" s="7"/>
      <c r="I76" s="7"/>
      <c r="J76" s="37" t="s">
        <v>16</v>
      </c>
      <c r="K76" s="39"/>
      <c r="L76" s="86"/>
      <c r="M76" s="86">
        <v>-9383.7587510000503</v>
      </c>
      <c r="N76" s="418"/>
      <c r="O76" s="87" t="s">
        <v>126</v>
      </c>
      <c r="P76" s="87" t="s">
        <v>24</v>
      </c>
      <c r="Q76" s="87"/>
      <c r="R76" s="88">
        <v>3845.296867</v>
      </c>
      <c r="S76" s="85"/>
      <c r="T76" s="7"/>
    </row>
    <row r="77" spans="1:20" x14ac:dyDescent="0.25">
      <c r="A77" s="7"/>
      <c r="B77" s="37"/>
      <c r="C77" s="84"/>
      <c r="D77" s="418"/>
      <c r="E77" s="39"/>
      <c r="F77" s="418"/>
      <c r="G77" s="85"/>
      <c r="H77" s="7"/>
      <c r="I77" s="7"/>
      <c r="J77" s="37"/>
      <c r="K77" s="39"/>
      <c r="L77" s="86"/>
      <c r="M77" s="86"/>
      <c r="N77" s="418"/>
      <c r="O77" s="87"/>
      <c r="P77" s="87" t="s">
        <v>27</v>
      </c>
      <c r="Q77" s="87"/>
      <c r="R77" s="88">
        <v>0</v>
      </c>
      <c r="S77" s="85"/>
      <c r="T77" s="7"/>
    </row>
    <row r="78" spans="1:20" x14ac:dyDescent="0.25">
      <c r="A78" s="7"/>
      <c r="B78" s="41" t="s">
        <v>22</v>
      </c>
      <c r="C78" s="86">
        <v>-24824.758600529225</v>
      </c>
      <c r="D78" s="418"/>
      <c r="E78" s="418"/>
      <c r="F78" s="39"/>
      <c r="G78" s="89"/>
      <c r="H78" s="7"/>
      <c r="I78" s="7"/>
      <c r="J78" s="37" t="s">
        <v>23</v>
      </c>
      <c r="K78" s="39"/>
      <c r="L78" s="84">
        <v>-2483.8290900013449</v>
      </c>
      <c r="M78" s="84"/>
      <c r="N78" s="418"/>
      <c r="O78" s="39" t="s">
        <v>39</v>
      </c>
      <c r="P78" s="418"/>
      <c r="Q78" s="418"/>
      <c r="R78" s="88">
        <v>0</v>
      </c>
      <c r="S78" s="90"/>
      <c r="T78" s="7"/>
    </row>
    <row r="79" spans="1:20" x14ac:dyDescent="0.25">
      <c r="A79" s="7"/>
      <c r="B79" s="41" t="s">
        <v>26</v>
      </c>
      <c r="C79" s="88">
        <v>5665.1243386243386</v>
      </c>
      <c r="D79" s="418"/>
      <c r="E79" s="50"/>
      <c r="F79" s="39"/>
      <c r="G79" s="89"/>
      <c r="H79" s="7"/>
      <c r="I79" s="7"/>
      <c r="J79" s="37" t="s">
        <v>26</v>
      </c>
      <c r="K79" s="39"/>
      <c r="L79" s="84">
        <v>7485.51458</v>
      </c>
      <c r="M79" s="84"/>
      <c r="N79" s="418"/>
      <c r="O79" s="39" t="s">
        <v>42</v>
      </c>
      <c r="P79" s="39"/>
      <c r="Q79" s="39"/>
      <c r="R79" s="88">
        <v>11250.743490000001</v>
      </c>
      <c r="S79" s="85"/>
      <c r="T79" s="7"/>
    </row>
    <row r="80" spans="1:20" x14ac:dyDescent="0.25">
      <c r="A80" s="7"/>
      <c r="B80" s="41" t="s">
        <v>29</v>
      </c>
      <c r="C80" s="88">
        <v>198963.9057936508</v>
      </c>
      <c r="D80" s="418"/>
      <c r="E80" s="50"/>
      <c r="F80" s="39"/>
      <c r="G80" s="89"/>
      <c r="H80" s="7"/>
      <c r="I80" s="7"/>
      <c r="J80" s="37" t="s">
        <v>29</v>
      </c>
      <c r="K80" s="39"/>
      <c r="L80" s="84">
        <v>176881.61529000002</v>
      </c>
      <c r="M80" s="84"/>
      <c r="N80" s="418"/>
      <c r="O80" s="39" t="s">
        <v>45</v>
      </c>
      <c r="P80" s="39"/>
      <c r="Q80" s="39"/>
      <c r="R80" s="88">
        <v>-41372.623769999998</v>
      </c>
      <c r="S80" s="85"/>
      <c r="T80" s="7"/>
    </row>
    <row r="81" spans="1:20" x14ac:dyDescent="0.25">
      <c r="A81" s="7"/>
      <c r="B81" s="41" t="s">
        <v>33</v>
      </c>
      <c r="C81" s="88">
        <v>47307.511137566136</v>
      </c>
      <c r="D81" s="418"/>
      <c r="E81" s="39" t="s">
        <v>51</v>
      </c>
      <c r="F81" s="39" t="s">
        <v>21</v>
      </c>
      <c r="G81" s="89">
        <v>170.41298941798942</v>
      </c>
      <c r="H81" s="7"/>
      <c r="I81" s="7"/>
      <c r="J81" s="37" t="s">
        <v>33</v>
      </c>
      <c r="K81" s="39"/>
      <c r="L81" s="84">
        <v>231593.70682999995</v>
      </c>
      <c r="M81" s="84"/>
      <c r="N81" s="418"/>
      <c r="O81" s="39" t="s">
        <v>127</v>
      </c>
      <c r="P81" s="39" t="s">
        <v>52</v>
      </c>
      <c r="Q81" s="39"/>
      <c r="R81" s="88">
        <v>3326</v>
      </c>
      <c r="S81" s="91"/>
      <c r="T81" s="7"/>
    </row>
    <row r="82" spans="1:20" x14ac:dyDescent="0.25">
      <c r="A82" s="7"/>
      <c r="B82" s="37" t="s">
        <v>35</v>
      </c>
      <c r="C82" s="88">
        <v>420511.56087301584</v>
      </c>
      <c r="D82" s="418"/>
      <c r="E82" s="39" t="s">
        <v>56</v>
      </c>
      <c r="F82" s="39" t="s">
        <v>57</v>
      </c>
      <c r="G82" s="89">
        <v>12170.489417989418</v>
      </c>
      <c r="H82" s="7"/>
      <c r="I82" s="7"/>
      <c r="J82" s="92" t="s">
        <v>38</v>
      </c>
      <c r="K82" s="7"/>
      <c r="L82" s="84">
        <v>17912.239659999999</v>
      </c>
      <c r="M82" s="84"/>
      <c r="N82" s="418"/>
      <c r="O82" s="418"/>
      <c r="P82" s="39" t="s">
        <v>58</v>
      </c>
      <c r="Q82" s="39"/>
      <c r="R82" s="88">
        <v>29900</v>
      </c>
      <c r="S82" s="85"/>
      <c r="T82" s="7"/>
    </row>
    <row r="83" spans="1:20" x14ac:dyDescent="0.25">
      <c r="A83" s="7"/>
      <c r="B83" s="37" t="s">
        <v>37</v>
      </c>
      <c r="C83" s="88">
        <v>57737.433095238099</v>
      </c>
      <c r="D83" s="418"/>
      <c r="E83" s="39"/>
      <c r="F83" s="39" t="s">
        <v>60</v>
      </c>
      <c r="G83" s="89">
        <v>31083.612169312171</v>
      </c>
      <c r="H83" s="7"/>
      <c r="I83" s="7"/>
      <c r="J83" s="37" t="s">
        <v>41</v>
      </c>
      <c r="K83" s="39"/>
      <c r="L83" s="84">
        <v>64895.95</v>
      </c>
      <c r="M83" s="84"/>
      <c r="N83" s="418"/>
      <c r="O83" s="418"/>
      <c r="P83" s="39" t="s">
        <v>62</v>
      </c>
      <c r="Q83" s="39"/>
      <c r="R83" s="88">
        <v>22500</v>
      </c>
      <c r="S83" s="85"/>
      <c r="T83" s="7"/>
    </row>
    <row r="84" spans="1:20" x14ac:dyDescent="0.25">
      <c r="A84" s="7"/>
      <c r="B84" s="37"/>
      <c r="C84" s="30"/>
      <c r="D84" s="418"/>
      <c r="E84" s="39"/>
      <c r="F84" s="39"/>
      <c r="G84" s="89"/>
      <c r="H84" s="7"/>
      <c r="I84" s="7"/>
      <c r="J84" s="92" t="s">
        <v>44</v>
      </c>
      <c r="K84" s="7"/>
      <c r="L84" s="84">
        <v>19465.265706999999</v>
      </c>
      <c r="M84" s="84"/>
      <c r="N84" s="418"/>
      <c r="O84" s="39" t="s">
        <v>128</v>
      </c>
      <c r="P84" s="39" t="s">
        <v>69</v>
      </c>
      <c r="Q84" s="39"/>
      <c r="R84" s="88">
        <v>5491.3370000000004</v>
      </c>
      <c r="S84" s="93"/>
      <c r="T84" s="7"/>
    </row>
    <row r="85" spans="1:20" x14ac:dyDescent="0.25">
      <c r="A85" s="7"/>
      <c r="B85" s="37"/>
      <c r="C85" s="30"/>
      <c r="D85" s="418"/>
      <c r="E85" s="39"/>
      <c r="F85" s="39"/>
      <c r="G85" s="89"/>
      <c r="H85" s="7"/>
      <c r="I85" s="7"/>
      <c r="J85" s="92"/>
      <c r="K85" s="7"/>
      <c r="L85" s="84"/>
      <c r="M85" s="84"/>
      <c r="N85" s="418"/>
      <c r="O85" s="39" t="s">
        <v>73</v>
      </c>
      <c r="P85" s="39"/>
      <c r="Q85" s="39"/>
      <c r="R85" s="88">
        <v>1294.1844000000001</v>
      </c>
      <c r="S85" s="93"/>
      <c r="T85" s="7"/>
    </row>
    <row r="86" spans="1:20" x14ac:dyDescent="0.25">
      <c r="A86" s="7"/>
      <c r="B86" s="23" t="s">
        <v>48</v>
      </c>
      <c r="C86" s="82">
        <v>25291.196322751326</v>
      </c>
      <c r="D86" s="43"/>
      <c r="E86" s="59" t="s">
        <v>75</v>
      </c>
      <c r="F86" s="43"/>
      <c r="G86" s="94">
        <v>420511.5608730159</v>
      </c>
      <c r="H86" s="7"/>
      <c r="I86" s="7"/>
      <c r="J86" s="23" t="s">
        <v>48</v>
      </c>
      <c r="K86" s="22"/>
      <c r="L86" s="82">
        <v>29906.195189999999</v>
      </c>
      <c r="M86" s="82">
        <v>0</v>
      </c>
      <c r="N86" s="418"/>
      <c r="O86" s="22" t="s">
        <v>75</v>
      </c>
      <c r="P86" s="418"/>
      <c r="Q86" s="418"/>
      <c r="R86" s="82">
        <v>160358.36669</v>
      </c>
      <c r="S86" s="83">
        <v>0</v>
      </c>
      <c r="T86" s="7"/>
    </row>
    <row r="87" spans="1:20" x14ac:dyDescent="0.25">
      <c r="A87" s="7"/>
      <c r="B87" s="37" t="s">
        <v>50</v>
      </c>
      <c r="C87" s="84">
        <v>17246.367936507941</v>
      </c>
      <c r="D87" s="418"/>
      <c r="E87" s="39" t="s">
        <v>77</v>
      </c>
      <c r="F87" s="39" t="s">
        <v>78</v>
      </c>
      <c r="G87" s="89">
        <v>65317.687830687828</v>
      </c>
      <c r="H87" s="7"/>
      <c r="I87" s="7"/>
      <c r="J87" s="37" t="s">
        <v>50</v>
      </c>
      <c r="K87" s="39"/>
      <c r="L87" s="95">
        <v>21496.90092</v>
      </c>
      <c r="M87" s="95"/>
      <c r="N87" s="418"/>
      <c r="O87" s="39" t="s">
        <v>79</v>
      </c>
      <c r="P87" s="39" t="s">
        <v>80</v>
      </c>
      <c r="Q87" s="39"/>
      <c r="R87" s="84">
        <v>3000</v>
      </c>
      <c r="S87" s="89"/>
      <c r="T87" s="7"/>
    </row>
    <row r="88" spans="1:20" x14ac:dyDescent="0.25">
      <c r="A88" s="7"/>
      <c r="B88" s="37" t="s">
        <v>55</v>
      </c>
      <c r="C88" s="84">
        <v>8044.8283862433873</v>
      </c>
      <c r="D88" s="418"/>
      <c r="E88" s="418"/>
      <c r="F88" s="39" t="s">
        <v>58</v>
      </c>
      <c r="G88" s="89">
        <v>237932.30756613758</v>
      </c>
      <c r="H88" s="7"/>
      <c r="I88" s="7"/>
      <c r="J88" s="37" t="s">
        <v>55</v>
      </c>
      <c r="K88" s="39"/>
      <c r="L88" s="95">
        <v>8409.2942700000003</v>
      </c>
      <c r="M88" s="95"/>
      <c r="N88" s="418"/>
      <c r="O88" s="22"/>
      <c r="P88" s="39" t="s">
        <v>129</v>
      </c>
      <c r="Q88" s="39"/>
      <c r="R88" s="84">
        <v>17500</v>
      </c>
      <c r="S88" s="89"/>
      <c r="T88" s="7"/>
    </row>
    <row r="89" spans="1:20" x14ac:dyDescent="0.25">
      <c r="A89" s="7"/>
      <c r="B89" s="58"/>
      <c r="C89" s="84"/>
      <c r="D89" s="418"/>
      <c r="E89" s="418"/>
      <c r="F89" s="39" t="s">
        <v>82</v>
      </c>
      <c r="G89" s="89">
        <v>1153.2185978835978</v>
      </c>
      <c r="H89" s="7"/>
      <c r="I89" s="7"/>
      <c r="J89" s="37" t="s">
        <v>61</v>
      </c>
      <c r="K89" s="39"/>
      <c r="L89" s="95">
        <v>0</v>
      </c>
      <c r="M89" s="95"/>
      <c r="N89" s="418"/>
      <c r="O89" s="22"/>
      <c r="P89" s="39" t="s">
        <v>83</v>
      </c>
      <c r="Q89" s="39"/>
      <c r="R89" s="84">
        <v>24550</v>
      </c>
      <c r="S89" s="89"/>
      <c r="T89" s="7"/>
    </row>
    <row r="90" spans="1:20" x14ac:dyDescent="0.25">
      <c r="A90" s="7"/>
      <c r="B90" s="58"/>
      <c r="C90" s="84"/>
      <c r="D90" s="418"/>
      <c r="E90" s="418"/>
      <c r="F90" s="39" t="s">
        <v>84</v>
      </c>
      <c r="G90" s="89">
        <v>10288.241058201058</v>
      </c>
      <c r="H90" s="7"/>
      <c r="I90" s="7"/>
      <c r="J90" s="58"/>
      <c r="K90" s="418"/>
      <c r="L90" s="96"/>
      <c r="M90" s="82"/>
      <c r="N90" s="418"/>
      <c r="O90" s="22"/>
      <c r="P90" s="39" t="s">
        <v>85</v>
      </c>
      <c r="Q90" s="39"/>
      <c r="R90" s="84">
        <v>19730</v>
      </c>
      <c r="S90" s="89"/>
      <c r="T90" s="7"/>
    </row>
    <row r="91" spans="1:20" x14ac:dyDescent="0.25">
      <c r="A91" s="7"/>
      <c r="B91" s="58"/>
      <c r="C91" s="82"/>
      <c r="D91" s="418"/>
      <c r="E91" s="418"/>
      <c r="F91" s="39" t="s">
        <v>86</v>
      </c>
      <c r="G91" s="89">
        <v>105820.10582010582</v>
      </c>
      <c r="H91" s="7"/>
      <c r="I91" s="7"/>
      <c r="J91" s="58"/>
      <c r="K91" s="418"/>
      <c r="L91" s="82"/>
      <c r="M91" s="82"/>
      <c r="N91" s="418"/>
      <c r="O91" s="22"/>
      <c r="P91" s="39" t="s">
        <v>80</v>
      </c>
      <c r="Q91" s="39"/>
      <c r="R91" s="84">
        <v>48500</v>
      </c>
      <c r="S91" s="89"/>
      <c r="T91" s="7"/>
    </row>
    <row r="92" spans="1:20" x14ac:dyDescent="0.25">
      <c r="A92" s="7"/>
      <c r="B92" s="58"/>
      <c r="C92" s="82"/>
      <c r="D92" s="418"/>
      <c r="E92" s="418"/>
      <c r="F92" s="39"/>
      <c r="G92" s="89"/>
      <c r="H92" s="7"/>
      <c r="I92" s="7"/>
      <c r="J92" s="58"/>
      <c r="K92" s="418"/>
      <c r="L92" s="82"/>
      <c r="M92" s="82"/>
      <c r="N92" s="418"/>
      <c r="O92" s="22"/>
      <c r="P92" s="39" t="s">
        <v>88</v>
      </c>
      <c r="Q92" s="39"/>
      <c r="R92" s="84">
        <v>19900</v>
      </c>
      <c r="S92" s="89"/>
      <c r="T92" s="7"/>
    </row>
    <row r="93" spans="1:20" x14ac:dyDescent="0.25">
      <c r="A93" s="7"/>
      <c r="B93" s="58"/>
      <c r="C93" s="82"/>
      <c r="D93" s="418"/>
      <c r="E93" s="418"/>
      <c r="F93" s="39"/>
      <c r="G93" s="89"/>
      <c r="H93" s="7"/>
      <c r="I93" s="7"/>
      <c r="J93" s="58"/>
      <c r="K93" s="418"/>
      <c r="L93" s="82"/>
      <c r="M93" s="82"/>
      <c r="N93" s="418"/>
      <c r="O93" s="39" t="s">
        <v>95</v>
      </c>
      <c r="P93" s="39"/>
      <c r="Q93" s="39"/>
      <c r="R93" s="84">
        <v>27178.366690000003</v>
      </c>
      <c r="S93" s="89"/>
      <c r="T93" s="7"/>
    </row>
    <row r="94" spans="1:20" x14ac:dyDescent="0.25">
      <c r="A94" s="7"/>
      <c r="B94" s="58"/>
      <c r="C94" s="30"/>
      <c r="D94" s="418"/>
      <c r="E94" s="22" t="s">
        <v>89</v>
      </c>
      <c r="F94" s="418"/>
      <c r="G94" s="78">
        <v>252632.8713465608</v>
      </c>
      <c r="H94" s="7"/>
      <c r="I94" s="7"/>
      <c r="J94" s="58"/>
      <c r="K94" s="418"/>
      <c r="L94" s="82"/>
      <c r="M94" s="82"/>
      <c r="N94" s="418"/>
      <c r="O94" s="39"/>
      <c r="P94" s="39"/>
      <c r="Q94" s="39"/>
      <c r="R94" s="88"/>
      <c r="S94" s="83"/>
      <c r="T94" s="7"/>
    </row>
    <row r="95" spans="1:20" x14ac:dyDescent="0.25">
      <c r="A95" s="7"/>
      <c r="B95" s="58"/>
      <c r="C95" s="30"/>
      <c r="D95" s="418"/>
      <c r="E95" s="39" t="s">
        <v>94</v>
      </c>
      <c r="F95" s="418"/>
      <c r="G95" s="89">
        <v>29999.184550264548</v>
      </c>
      <c r="H95" s="7"/>
      <c r="I95" s="7"/>
      <c r="J95" s="58"/>
      <c r="K95" s="418"/>
      <c r="L95" s="82"/>
      <c r="M95" s="82"/>
      <c r="N95" s="418"/>
      <c r="O95" s="22" t="s">
        <v>89</v>
      </c>
      <c r="P95" s="418"/>
      <c r="Q95" s="418"/>
      <c r="R95" s="82">
        <v>294558.68562000012</v>
      </c>
      <c r="S95" s="83">
        <v>0</v>
      </c>
      <c r="T95" s="7"/>
    </row>
    <row r="96" spans="1:20" x14ac:dyDescent="0.25">
      <c r="A96" s="7"/>
      <c r="B96" s="58"/>
      <c r="C96" s="30"/>
      <c r="D96" s="418"/>
      <c r="E96" s="39" t="s">
        <v>96</v>
      </c>
      <c r="F96" s="418"/>
      <c r="G96" s="89">
        <v>0</v>
      </c>
      <c r="H96" s="7"/>
      <c r="I96" s="7"/>
      <c r="J96" s="58"/>
      <c r="K96" s="418"/>
      <c r="L96" s="82"/>
      <c r="M96" s="82"/>
      <c r="N96" s="418"/>
      <c r="O96" s="87" t="s">
        <v>98</v>
      </c>
      <c r="P96" s="97"/>
      <c r="Q96" s="97"/>
      <c r="R96" s="86">
        <v>7364.2</v>
      </c>
      <c r="S96" s="89"/>
      <c r="T96" s="7"/>
    </row>
    <row r="97" spans="1:20" x14ac:dyDescent="0.25">
      <c r="A97" s="7"/>
      <c r="B97" s="58"/>
      <c r="C97" s="418"/>
      <c r="D97" s="418"/>
      <c r="E97" s="39" t="s">
        <v>97</v>
      </c>
      <c r="F97" s="418"/>
      <c r="G97" s="89">
        <v>282698.61058201053</v>
      </c>
      <c r="H97" s="7"/>
      <c r="I97" s="7"/>
      <c r="J97" s="58"/>
      <c r="K97" s="418"/>
      <c r="L97" s="82"/>
      <c r="M97" s="82"/>
      <c r="N97" s="418"/>
      <c r="O97" s="39" t="s">
        <v>100</v>
      </c>
      <c r="P97" s="418"/>
      <c r="Q97" s="418"/>
      <c r="R97" s="88">
        <v>-16370.93411</v>
      </c>
      <c r="S97" s="89"/>
      <c r="T97" s="7"/>
    </row>
    <row r="98" spans="1:20" x14ac:dyDescent="0.25">
      <c r="A98" s="7"/>
      <c r="B98" s="58"/>
      <c r="C98" s="418"/>
      <c r="D98" s="418"/>
      <c r="E98" s="39" t="s">
        <v>99</v>
      </c>
      <c r="F98" s="418"/>
      <c r="G98" s="89">
        <v>-60064.923785714287</v>
      </c>
      <c r="H98" s="7"/>
      <c r="I98" s="7"/>
      <c r="J98" s="58"/>
      <c r="K98" s="418"/>
      <c r="L98" s="82"/>
      <c r="M98" s="82"/>
      <c r="N98" s="418"/>
      <c r="O98" s="39" t="s">
        <v>101</v>
      </c>
      <c r="P98" s="39" t="s">
        <v>130</v>
      </c>
      <c r="Q98" s="39"/>
      <c r="R98" s="88">
        <v>-4577.8980000000001</v>
      </c>
      <c r="S98" s="89"/>
      <c r="T98" s="7"/>
    </row>
    <row r="99" spans="1:20" x14ac:dyDescent="0.25">
      <c r="A99" s="7"/>
      <c r="B99" s="16" t="s">
        <v>110</v>
      </c>
      <c r="C99" s="98">
        <v>730822.3859497353</v>
      </c>
      <c r="D99" s="419"/>
      <c r="E99" s="17" t="s">
        <v>111</v>
      </c>
      <c r="F99" s="419"/>
      <c r="G99" s="98">
        <v>730822.38594973541</v>
      </c>
      <c r="H99" s="7"/>
      <c r="I99" s="7"/>
      <c r="J99" s="58"/>
      <c r="K99" s="418"/>
      <c r="L99" s="82"/>
      <c r="M99" s="82"/>
      <c r="N99" s="418"/>
      <c r="O99" s="418"/>
      <c r="P99" s="39" t="s">
        <v>131</v>
      </c>
      <c r="Q99" s="39"/>
      <c r="R99" s="88">
        <v>-4908.174</v>
      </c>
      <c r="S99" s="89"/>
      <c r="T99" s="7"/>
    </row>
    <row r="100" spans="1:20" x14ac:dyDescent="0.25">
      <c r="A100" s="7"/>
      <c r="B100" s="7"/>
      <c r="C100" s="7"/>
      <c r="D100" s="7"/>
      <c r="E100" s="7"/>
      <c r="F100" s="71" t="s">
        <v>112</v>
      </c>
      <c r="G100" s="72">
        <v>0</v>
      </c>
      <c r="H100" s="7"/>
      <c r="I100" s="7"/>
      <c r="J100" s="58"/>
      <c r="K100" s="418"/>
      <c r="L100" s="82"/>
      <c r="M100" s="82"/>
      <c r="N100" s="418"/>
      <c r="O100" s="418"/>
      <c r="P100" s="39" t="s">
        <v>132</v>
      </c>
      <c r="Q100" s="39"/>
      <c r="R100" s="88">
        <v>-4286</v>
      </c>
      <c r="S100" s="89"/>
      <c r="T100" s="7"/>
    </row>
    <row r="101" spans="1:20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58"/>
      <c r="K101" s="418"/>
      <c r="L101" s="82"/>
      <c r="M101" s="82"/>
      <c r="N101" s="418"/>
      <c r="O101" s="39" t="s">
        <v>96</v>
      </c>
      <c r="P101" s="418"/>
      <c r="Q101" s="418"/>
      <c r="R101" s="88">
        <v>0</v>
      </c>
      <c r="S101" s="89"/>
      <c r="T101" s="7"/>
    </row>
    <row r="102" spans="1:20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58"/>
      <c r="K102" s="418"/>
      <c r="L102" s="82"/>
      <c r="M102" s="82"/>
      <c r="N102" s="418"/>
      <c r="O102" s="39" t="s">
        <v>97</v>
      </c>
      <c r="P102" s="418"/>
      <c r="Q102" s="418"/>
      <c r="R102" s="88">
        <v>532760.20614000014</v>
      </c>
      <c r="S102" s="89"/>
      <c r="T102" s="7"/>
    </row>
    <row r="103" spans="1:20" x14ac:dyDescent="0.25">
      <c r="A103" s="7"/>
      <c r="B103" s="7"/>
      <c r="C103" s="7"/>
      <c r="D103" s="7"/>
      <c r="E103" s="7"/>
      <c r="F103" s="99"/>
      <c r="G103" s="7"/>
      <c r="H103" s="7"/>
      <c r="I103" s="7"/>
      <c r="J103" s="58"/>
      <c r="K103" s="418"/>
      <c r="L103" s="82"/>
      <c r="M103" s="82"/>
      <c r="N103" s="418"/>
      <c r="O103" s="39" t="s">
        <v>99</v>
      </c>
      <c r="P103" s="418"/>
      <c r="Q103" s="418"/>
      <c r="R103" s="88">
        <v>-39856.737010000004</v>
      </c>
      <c r="S103" s="89"/>
      <c r="T103" s="7"/>
    </row>
    <row r="104" spans="1:20" x14ac:dyDescent="0.25">
      <c r="A104" s="7"/>
      <c r="B104" s="7"/>
      <c r="C104" s="7"/>
      <c r="D104" s="7"/>
      <c r="E104" s="7"/>
      <c r="F104" s="99"/>
      <c r="G104" s="7"/>
      <c r="H104" s="7"/>
      <c r="I104" s="7"/>
      <c r="J104" s="58"/>
      <c r="K104" s="418"/>
      <c r="L104" s="82"/>
      <c r="M104" s="82"/>
      <c r="N104" s="418"/>
      <c r="O104" s="39" t="s">
        <v>133</v>
      </c>
      <c r="P104" s="418"/>
      <c r="Q104" s="418"/>
      <c r="R104" s="88">
        <v>-6785.5214000000005</v>
      </c>
      <c r="S104" s="89"/>
      <c r="T104" s="7"/>
    </row>
    <row r="105" spans="1:20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58"/>
      <c r="K105" s="418"/>
      <c r="L105" s="96"/>
      <c r="M105" s="96"/>
      <c r="N105" s="418"/>
      <c r="O105" s="39" t="s">
        <v>107</v>
      </c>
      <c r="P105" s="418"/>
      <c r="Q105" s="418"/>
      <c r="R105" s="88">
        <v>-142076.97028000001</v>
      </c>
      <c r="S105" s="89"/>
      <c r="T105" s="7"/>
    </row>
    <row r="106" spans="1:20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58"/>
      <c r="K106" s="418"/>
      <c r="L106" s="96"/>
      <c r="M106" s="96"/>
      <c r="N106" s="418"/>
      <c r="O106" s="39" t="s">
        <v>108</v>
      </c>
      <c r="P106" s="418"/>
      <c r="Q106" s="418"/>
      <c r="R106" s="88">
        <v>474.8809699999988</v>
      </c>
      <c r="S106" s="89"/>
      <c r="T106" s="7"/>
    </row>
    <row r="107" spans="1:20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63"/>
      <c r="K107" s="64"/>
      <c r="L107" s="100"/>
      <c r="M107" s="100"/>
      <c r="N107" s="64"/>
      <c r="O107" s="101" t="s">
        <v>109</v>
      </c>
      <c r="P107" s="64"/>
      <c r="Q107" s="418"/>
      <c r="R107" s="88">
        <v>-27178.366690000003</v>
      </c>
      <c r="S107" s="89"/>
      <c r="T107" s="7"/>
    </row>
    <row r="108" spans="1:20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19" t="s">
        <v>110</v>
      </c>
      <c r="K108" s="20"/>
      <c r="L108" s="102">
        <v>545656.65816699865</v>
      </c>
      <c r="M108" s="102">
        <v>-9383.7587510000503</v>
      </c>
      <c r="N108" s="419"/>
      <c r="O108" s="20" t="s">
        <v>111</v>
      </c>
      <c r="P108" s="17"/>
      <c r="Q108" s="17"/>
      <c r="R108" s="103">
        <v>491151.99029700016</v>
      </c>
      <c r="S108" s="98">
        <v>0</v>
      </c>
      <c r="T108" s="7"/>
    </row>
    <row r="109" spans="1:20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1" t="s">
        <v>112</v>
      </c>
      <c r="S109" s="72">
        <v>0</v>
      </c>
      <c r="T109" s="7"/>
    </row>
    <row r="110" spans="1:20" x14ac:dyDescent="0.25">
      <c r="L110" s="11"/>
    </row>
  </sheetData>
  <sheetProtection sheet="1" objects="1" scenarios="1"/>
  <mergeCells count="4">
    <mergeCell ref="B1:G1"/>
    <mergeCell ref="J1:S1"/>
    <mergeCell ref="B72:E72"/>
    <mergeCell ref="J72:O72"/>
  </mergeCells>
  <conditionalFormatting sqref="L6">
    <cfRule type="cellIs" dxfId="0" priority="1" operator="greaterThan">
      <formula>0</formula>
    </cfRule>
  </conditionalFormatting>
  <pageMargins left="0.25" right="0.25" top="0.75" bottom="0.75" header="0.3" footer="0.3"/>
  <pageSetup paperSize="5" orientation="landscape" r:id="rId1"/>
  <ignoredErrors>
    <ignoredError sqref="K8:K12 K3" unlocked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7A574-146D-4575-B412-0A90223E43A5}">
  <sheetPr codeName="Hoja6">
    <tabColor theme="0"/>
    <pageSetUpPr fitToPage="1"/>
  </sheetPr>
  <dimension ref="A1:L38"/>
  <sheetViews>
    <sheetView zoomScale="90" zoomScaleNormal="90" workbookViewId="0">
      <selection activeCell="D25" sqref="D25"/>
    </sheetView>
  </sheetViews>
  <sheetFormatPr baseColWidth="10" defaultColWidth="12.5703125" defaultRowHeight="16.5" x14ac:dyDescent="0.3"/>
  <cols>
    <col min="1" max="1" width="33.85546875" style="139" customWidth="1"/>
    <col min="2" max="2" width="19.28515625" style="139" bestFit="1" customWidth="1"/>
    <col min="3" max="3" width="15.7109375" style="139" bestFit="1" customWidth="1"/>
    <col min="4" max="4" width="20.5703125" style="139" customWidth="1"/>
    <col min="5" max="5" width="19.85546875" style="139" bestFit="1" customWidth="1"/>
    <col min="6" max="6" width="19.85546875" style="139" customWidth="1"/>
    <col min="7" max="8" width="19.85546875" style="139" bestFit="1" customWidth="1"/>
    <col min="9" max="9" width="17.28515625" style="139" customWidth="1"/>
    <col min="10" max="10" width="19.42578125" style="139" customWidth="1"/>
    <col min="11" max="11" width="19.85546875" style="139" bestFit="1" customWidth="1"/>
    <col min="12" max="12" width="3.140625" style="139" customWidth="1"/>
    <col min="13" max="13" width="2.140625" style="139" customWidth="1"/>
    <col min="14" max="14" width="17.42578125" style="139" bestFit="1" customWidth="1"/>
    <col min="15" max="16384" width="12.5703125" style="139"/>
  </cols>
  <sheetData>
    <row r="1" spans="1:12" x14ac:dyDescent="0.3">
      <c r="A1" s="178"/>
      <c r="B1" s="179"/>
      <c r="C1" s="179"/>
      <c r="D1" s="179"/>
      <c r="E1" s="179"/>
      <c r="F1" s="179"/>
      <c r="G1" s="179"/>
      <c r="H1" s="179"/>
      <c r="I1" s="179"/>
      <c r="J1" s="179"/>
      <c r="K1" s="180"/>
      <c r="L1" s="140"/>
    </row>
    <row r="2" spans="1:12" ht="15" customHeight="1" x14ac:dyDescent="0.3">
      <c r="A2" s="424" t="s">
        <v>134</v>
      </c>
      <c r="B2" s="424"/>
      <c r="C2" s="424"/>
      <c r="D2" s="424"/>
      <c r="E2" s="424"/>
      <c r="F2" s="424"/>
      <c r="G2" s="424"/>
      <c r="H2" s="424"/>
      <c r="I2" s="424"/>
      <c r="J2" s="424"/>
      <c r="K2" s="424"/>
      <c r="L2" s="141"/>
    </row>
    <row r="3" spans="1:12" ht="15" customHeight="1" x14ac:dyDescent="0.3">
      <c r="A3" s="424" t="s">
        <v>135</v>
      </c>
      <c r="B3" s="424"/>
      <c r="C3" s="424"/>
      <c r="D3" s="424"/>
      <c r="E3" s="424"/>
      <c r="F3" s="424"/>
      <c r="G3" s="424"/>
      <c r="H3" s="424"/>
      <c r="I3" s="424"/>
      <c r="J3" s="424"/>
      <c r="K3" s="424"/>
      <c r="L3" s="141"/>
    </row>
    <row r="4" spans="1:12" ht="15" customHeight="1" x14ac:dyDescent="0.3">
      <c r="A4" s="424" t="s">
        <v>136</v>
      </c>
      <c r="B4" s="424"/>
      <c r="C4" s="424"/>
      <c r="D4" s="424"/>
      <c r="E4" s="424"/>
      <c r="F4" s="424"/>
      <c r="G4" s="424"/>
      <c r="H4" s="424"/>
      <c r="I4" s="424"/>
      <c r="J4" s="424"/>
      <c r="K4" s="424"/>
      <c r="L4" s="141"/>
    </row>
    <row r="5" spans="1:12" x14ac:dyDescent="0.3">
      <c r="A5" s="424" t="s">
        <v>137</v>
      </c>
      <c r="B5" s="424"/>
      <c r="C5" s="424"/>
      <c r="D5" s="424"/>
      <c r="E5" s="424"/>
      <c r="F5" s="424"/>
      <c r="G5" s="424"/>
      <c r="H5" s="424"/>
      <c r="I5" s="424"/>
      <c r="J5" s="424"/>
      <c r="K5" s="424"/>
      <c r="L5" s="142"/>
    </row>
    <row r="6" spans="1:12" x14ac:dyDescent="0.3">
      <c r="A6" s="420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43"/>
    </row>
    <row r="7" spans="1:12" ht="17.25" thickBot="1" x14ac:dyDescent="0.35">
      <c r="A7" s="182"/>
      <c r="B7" s="183"/>
      <c r="C7" s="179"/>
      <c r="D7" s="179"/>
      <c r="E7" s="179"/>
      <c r="F7" s="179"/>
      <c r="G7" s="179"/>
      <c r="H7" s="179"/>
      <c r="I7" s="179"/>
      <c r="J7" s="179"/>
      <c r="K7" s="184"/>
      <c r="L7" s="144"/>
    </row>
    <row r="8" spans="1:12" ht="20.25" customHeight="1" thickTop="1" x14ac:dyDescent="0.3">
      <c r="A8" s="150" t="s">
        <v>138</v>
      </c>
      <c r="B8" s="151"/>
      <c r="C8" s="152"/>
      <c r="D8" s="152"/>
      <c r="E8" s="425" t="s">
        <v>139</v>
      </c>
      <c r="F8" s="426"/>
      <c r="G8" s="427"/>
      <c r="H8" s="152"/>
      <c r="I8" s="152"/>
      <c r="J8" s="153"/>
      <c r="K8" s="153"/>
      <c r="L8" s="145"/>
    </row>
    <row r="9" spans="1:12" x14ac:dyDescent="0.3">
      <c r="A9" s="154"/>
      <c r="B9" s="155" t="s">
        <v>140</v>
      </c>
      <c r="C9" s="156" t="s">
        <v>141</v>
      </c>
      <c r="D9" s="156" t="s">
        <v>142</v>
      </c>
      <c r="E9" s="157"/>
      <c r="F9" s="158"/>
      <c r="G9" s="159"/>
      <c r="H9" s="156" t="s">
        <v>143</v>
      </c>
      <c r="I9" s="156" t="s">
        <v>144</v>
      </c>
      <c r="J9" s="160"/>
      <c r="K9" s="160" t="s">
        <v>145</v>
      </c>
      <c r="L9" s="145"/>
    </row>
    <row r="10" spans="1:12" x14ac:dyDescent="0.3">
      <c r="A10" s="154"/>
      <c r="B10" s="155" t="s">
        <v>146</v>
      </c>
      <c r="C10" s="156" t="s">
        <v>147</v>
      </c>
      <c r="D10" s="156" t="s">
        <v>148</v>
      </c>
      <c r="E10" s="161"/>
      <c r="F10" s="162"/>
      <c r="G10" s="163"/>
      <c r="H10" s="156" t="s">
        <v>149</v>
      </c>
      <c r="I10" s="156" t="s">
        <v>150</v>
      </c>
      <c r="J10" s="160" t="s">
        <v>151</v>
      </c>
      <c r="K10" s="164">
        <v>44926</v>
      </c>
      <c r="L10" s="145"/>
    </row>
    <row r="11" spans="1:12" x14ac:dyDescent="0.3">
      <c r="A11" s="154"/>
      <c r="B11" s="155"/>
      <c r="C11" s="156" t="s">
        <v>146</v>
      </c>
      <c r="D11" s="156"/>
      <c r="E11" s="156" t="s">
        <v>152</v>
      </c>
      <c r="F11" s="156" t="s">
        <v>153</v>
      </c>
      <c r="G11" s="156" t="s">
        <v>151</v>
      </c>
      <c r="H11" s="156"/>
      <c r="I11" s="156"/>
      <c r="J11" s="160"/>
      <c r="K11" s="160"/>
      <c r="L11" s="145"/>
    </row>
    <row r="12" spans="1:12" ht="17.25" thickBot="1" x14ac:dyDescent="0.35">
      <c r="A12" s="165"/>
      <c r="B12" s="166" t="s">
        <v>154</v>
      </c>
      <c r="C12" s="167" t="s">
        <v>155</v>
      </c>
      <c r="D12" s="167" t="s">
        <v>156</v>
      </c>
      <c r="E12" s="168" t="s">
        <v>157</v>
      </c>
      <c r="F12" s="168" t="s">
        <v>158</v>
      </c>
      <c r="G12" s="167" t="s">
        <v>159</v>
      </c>
      <c r="H12" s="168" t="s">
        <v>160</v>
      </c>
      <c r="I12" s="167" t="s">
        <v>161</v>
      </c>
      <c r="J12" s="169" t="s">
        <v>162</v>
      </c>
      <c r="K12" s="169"/>
      <c r="L12" s="145"/>
    </row>
    <row r="13" spans="1:12" ht="22.5" customHeight="1" thickTop="1" x14ac:dyDescent="0.3">
      <c r="A13" s="170" t="s">
        <v>163</v>
      </c>
      <c r="B13" s="174"/>
      <c r="C13" s="171"/>
      <c r="D13" s="171"/>
      <c r="E13" s="171"/>
      <c r="F13" s="171"/>
      <c r="G13" s="171"/>
      <c r="H13" s="171"/>
      <c r="I13" s="171"/>
      <c r="J13" s="171"/>
      <c r="K13" s="172"/>
      <c r="L13" s="146"/>
    </row>
    <row r="14" spans="1:12" ht="34.5" customHeight="1" x14ac:dyDescent="0.3">
      <c r="A14" s="173" t="s">
        <v>164</v>
      </c>
      <c r="B14" s="174"/>
      <c r="C14" s="174"/>
      <c r="D14" s="174"/>
      <c r="E14" s="200">
        <v>-5367763.6099999994</v>
      </c>
      <c r="F14" s="174"/>
      <c r="G14" s="190">
        <f>E14+F14</f>
        <v>-5367763.6099999994</v>
      </c>
      <c r="H14" s="192">
        <f>G14+D14+C14+B14</f>
        <v>-5367763.6099999994</v>
      </c>
      <c r="I14" s="190"/>
      <c r="J14" s="190">
        <f>I14+H14</f>
        <v>-5367763.6099999994</v>
      </c>
      <c r="K14" s="193">
        <f>J14</f>
        <v>-5367763.6099999994</v>
      </c>
      <c r="L14" s="147"/>
    </row>
    <row r="15" spans="1:12" ht="35.25" customHeight="1" x14ac:dyDescent="0.3">
      <c r="A15" s="173" t="s">
        <v>165</v>
      </c>
      <c r="B15" s="174"/>
      <c r="C15" s="174"/>
      <c r="D15" s="174"/>
      <c r="E15" s="196">
        <v>1</v>
      </c>
      <c r="F15" s="196">
        <v>1</v>
      </c>
      <c r="G15" s="315">
        <v>1</v>
      </c>
      <c r="H15" s="196">
        <v>1</v>
      </c>
      <c r="I15" s="190">
        <v>1</v>
      </c>
      <c r="J15" s="196">
        <v>1</v>
      </c>
      <c r="K15" s="193">
        <v>1</v>
      </c>
      <c r="L15" s="147"/>
    </row>
    <row r="16" spans="1:12" ht="35.25" customHeight="1" x14ac:dyDescent="0.3">
      <c r="A16" s="194" t="s">
        <v>166</v>
      </c>
      <c r="B16" s="316">
        <f>SUM(B14:B15)</f>
        <v>0</v>
      </c>
      <c r="C16" s="317">
        <f>SUM(C14:C15)</f>
        <v>0</v>
      </c>
      <c r="D16" s="316">
        <f>SUM(D14:D15)</f>
        <v>0</v>
      </c>
      <c r="E16" s="317">
        <f>E14*E15</f>
        <v>-5367763.6099999994</v>
      </c>
      <c r="F16" s="316">
        <f>F14*F15</f>
        <v>0</v>
      </c>
      <c r="G16" s="317">
        <f>SUM(E16:F16)</f>
        <v>-5367763.6099999994</v>
      </c>
      <c r="H16" s="316">
        <f>+G16+D16+C16+B16</f>
        <v>-5367763.6099999994</v>
      </c>
      <c r="I16" s="317">
        <f>I14*I15</f>
        <v>0</v>
      </c>
      <c r="J16" s="316">
        <f>+I16+H16</f>
        <v>-5367763.6099999994</v>
      </c>
      <c r="K16" s="193">
        <f>+J16</f>
        <v>-5367763.6099999994</v>
      </c>
      <c r="L16" s="147"/>
    </row>
    <row r="17" spans="1:12" ht="35.25" customHeight="1" x14ac:dyDescent="0.3">
      <c r="A17" s="186" t="s">
        <v>167</v>
      </c>
      <c r="B17" s="190"/>
      <c r="C17" s="192"/>
      <c r="D17" s="190"/>
      <c r="E17" s="192"/>
      <c r="F17" s="318">
        <f>BALANCE!K7</f>
        <v>-135750056.05000091</v>
      </c>
      <c r="G17" s="320">
        <f>SUM(E17:F17)</f>
        <v>-135750056.05000091</v>
      </c>
      <c r="H17" s="321">
        <f>+G17+D17+C17+B17</f>
        <v>-135750056.05000091</v>
      </c>
      <c r="I17" s="192"/>
      <c r="J17" s="190">
        <f>+I17+H17</f>
        <v>-135750056.05000091</v>
      </c>
      <c r="K17" s="193">
        <f t="shared" ref="K17:K18" si="0">+J17</f>
        <v>-135750056.05000091</v>
      </c>
      <c r="L17" s="147"/>
    </row>
    <row r="18" spans="1:12" ht="35.25" customHeight="1" x14ac:dyDescent="0.3">
      <c r="A18" s="173" t="s">
        <v>168</v>
      </c>
      <c r="B18" s="188"/>
      <c r="C18" s="188"/>
      <c r="D18" s="188"/>
      <c r="E18" s="323"/>
      <c r="F18" s="319">
        <f>-7191026.44-2991775-9984096</f>
        <v>-20166897.440000001</v>
      </c>
      <c r="G18" s="324">
        <f>SUM(F18:F18)</f>
        <v>-20166897.440000001</v>
      </c>
      <c r="H18" s="319">
        <f>+G18+D18+C18+B18</f>
        <v>-20166897.440000001</v>
      </c>
      <c r="I18" s="188"/>
      <c r="J18" s="190">
        <f>+I18+H18</f>
        <v>-20166897.440000001</v>
      </c>
      <c r="K18" s="193">
        <f t="shared" si="0"/>
        <v>-20166897.440000001</v>
      </c>
      <c r="L18" s="147"/>
    </row>
    <row r="19" spans="1:12" ht="35.25" customHeight="1" x14ac:dyDescent="0.3">
      <c r="A19" s="185" t="s">
        <v>169</v>
      </c>
      <c r="B19" s="327">
        <f>SUM(B16:B17)</f>
        <v>0</v>
      </c>
      <c r="C19" s="327">
        <f t="shared" ref="C19:I19" si="1">SUM(C16:C17)</f>
        <v>0</v>
      </c>
      <c r="D19" s="327">
        <f t="shared" si="1"/>
        <v>0</v>
      </c>
      <c r="E19" s="327">
        <f t="shared" si="1"/>
        <v>-5367763.6099999994</v>
      </c>
      <c r="F19" s="327">
        <f>SUM(F16:F18)</f>
        <v>-155916953.4900009</v>
      </c>
      <c r="G19" s="327">
        <f>SUM(G16:G18)</f>
        <v>-161284717.10000092</v>
      </c>
      <c r="H19" s="327">
        <f>+G19+D19+C19+B19</f>
        <v>-161284717.10000092</v>
      </c>
      <c r="I19" s="327">
        <f t="shared" si="1"/>
        <v>0</v>
      </c>
      <c r="J19" s="327">
        <f>+I19+H19</f>
        <v>-161284717.10000092</v>
      </c>
      <c r="K19" s="328">
        <f>+J19</f>
        <v>-161284717.10000092</v>
      </c>
      <c r="L19" s="147"/>
    </row>
    <row r="20" spans="1:12" ht="35.25" customHeight="1" x14ac:dyDescent="0.3">
      <c r="A20" s="194" t="s">
        <v>170</v>
      </c>
      <c r="B20" s="189">
        <f>SUM(B21:B22)</f>
        <v>0</v>
      </c>
      <c r="C20" s="189">
        <f t="shared" ref="C20:J20" si="2">SUM(C21:C22)</f>
        <v>0</v>
      </c>
      <c r="D20" s="322">
        <f t="shared" si="2"/>
        <v>768532923.56999993</v>
      </c>
      <c r="E20" s="189">
        <f t="shared" si="2"/>
        <v>0</v>
      </c>
      <c r="F20" s="189">
        <f t="shared" si="2"/>
        <v>0</v>
      </c>
      <c r="G20" s="189">
        <f t="shared" si="2"/>
        <v>0</v>
      </c>
      <c r="H20" s="189">
        <f t="shared" si="2"/>
        <v>0</v>
      </c>
      <c r="I20" s="189">
        <f t="shared" si="2"/>
        <v>0</v>
      </c>
      <c r="J20" s="189">
        <f t="shared" si="2"/>
        <v>0</v>
      </c>
      <c r="K20" s="193">
        <f>SUM(B20:J20)</f>
        <v>768532923.56999993</v>
      </c>
      <c r="L20" s="147"/>
    </row>
    <row r="21" spans="1:12" ht="35.25" customHeight="1" x14ac:dyDescent="0.3">
      <c r="A21" s="199" t="s">
        <v>98</v>
      </c>
      <c r="B21" s="174"/>
      <c r="C21" s="175"/>
      <c r="D21" s="191">
        <f>SUMIFS(Tabla3[INGRESOS],Tabla3[CREDITO],EPN!A21)</f>
        <v>15510994.73</v>
      </c>
      <c r="E21" s="175"/>
      <c r="F21" s="176"/>
      <c r="G21" s="175"/>
      <c r="H21" s="175"/>
      <c r="I21" s="175"/>
      <c r="J21" s="176"/>
      <c r="K21" s="177"/>
      <c r="L21" s="147"/>
    </row>
    <row r="22" spans="1:12" ht="35.25" customHeight="1" x14ac:dyDescent="0.3">
      <c r="A22" s="199" t="s">
        <v>97</v>
      </c>
      <c r="B22" s="174"/>
      <c r="C22" s="175"/>
      <c r="D22" s="191">
        <f>SUMIFS(Tabla3[INGRESOS],Tabla3[CREDITO],EPN!A22)</f>
        <v>753021928.83999991</v>
      </c>
      <c r="E22" s="175"/>
      <c r="F22" s="176"/>
      <c r="G22" s="175"/>
      <c r="H22" s="175"/>
      <c r="I22" s="175"/>
      <c r="J22" s="176"/>
      <c r="K22" s="193"/>
      <c r="L22" s="147"/>
    </row>
    <row r="23" spans="1:12" ht="35.25" customHeight="1" x14ac:dyDescent="0.3">
      <c r="A23" s="194" t="s">
        <v>171</v>
      </c>
      <c r="B23" s="189">
        <f t="shared" ref="B23:C23" si="3">-SUM(B24:B28)</f>
        <v>0</v>
      </c>
      <c r="C23" s="189">
        <f t="shared" si="3"/>
        <v>0</v>
      </c>
      <c r="D23" s="322">
        <f>-SUM(D24:D28)</f>
        <v>-546228809.62000012</v>
      </c>
      <c r="E23" s="189">
        <f t="shared" ref="E23:J23" si="4">-SUM(E24:E28)</f>
        <v>0</v>
      </c>
      <c r="F23" s="189">
        <f t="shared" si="4"/>
        <v>0</v>
      </c>
      <c r="G23" s="189">
        <f>-SUM(G24:G28)</f>
        <v>0</v>
      </c>
      <c r="H23" s="189">
        <f t="shared" si="4"/>
        <v>0</v>
      </c>
      <c r="I23" s="189">
        <f t="shared" si="4"/>
        <v>0</v>
      </c>
      <c r="J23" s="189">
        <f t="shared" si="4"/>
        <v>0</v>
      </c>
      <c r="K23" s="193">
        <f>SUM(B23:J23)</f>
        <v>-546228809.62000012</v>
      </c>
      <c r="L23" s="147"/>
    </row>
    <row r="24" spans="1:12" ht="35.25" customHeight="1" x14ac:dyDescent="0.3">
      <c r="A24" s="199" t="s">
        <v>100</v>
      </c>
      <c r="B24" s="174"/>
      <c r="C24" s="175"/>
      <c r="D24" s="191">
        <f>SUMIFS(Tabla3[EGRESOS],Tabla3[DEBITO],EPN!A24)</f>
        <v>0</v>
      </c>
      <c r="E24" s="175"/>
      <c r="F24" s="176"/>
      <c r="G24" s="175"/>
      <c r="H24" s="175"/>
      <c r="I24" s="175"/>
      <c r="J24" s="176"/>
      <c r="K24" s="193"/>
      <c r="L24" s="147"/>
    </row>
    <row r="25" spans="1:12" ht="35.25" customHeight="1" x14ac:dyDescent="0.3">
      <c r="A25" s="199" t="s">
        <v>102</v>
      </c>
      <c r="B25" s="174"/>
      <c r="C25" s="175"/>
      <c r="D25" s="191">
        <f>SUMIFS(Tabla3[EGRESOS],Tabla3[DEBITO],EPN!A25)</f>
        <v>17795000</v>
      </c>
      <c r="E25" s="175"/>
      <c r="F25" s="176"/>
      <c r="G25" s="175"/>
      <c r="H25" s="175"/>
      <c r="I25" s="175"/>
      <c r="J25" s="176"/>
      <c r="K25" s="193"/>
      <c r="L25" s="147"/>
    </row>
    <row r="26" spans="1:12" ht="35.25" customHeight="1" x14ac:dyDescent="0.3">
      <c r="A26" s="199" t="s">
        <v>104</v>
      </c>
      <c r="B26" s="174"/>
      <c r="C26" s="175"/>
      <c r="D26" s="191">
        <f>SUMIFS(Tabla3[EGRESOS],Tabla3[DEBITO],EPN!A26)</f>
        <v>42530979.32</v>
      </c>
      <c r="E26" s="175"/>
      <c r="F26" s="176"/>
      <c r="G26" s="175"/>
      <c r="H26" s="175"/>
      <c r="I26" s="175"/>
      <c r="J26" s="176"/>
      <c r="K26" s="193"/>
      <c r="L26" s="147"/>
    </row>
    <row r="27" spans="1:12" ht="35.25" customHeight="1" x14ac:dyDescent="0.3">
      <c r="A27" s="199" t="s">
        <v>103</v>
      </c>
      <c r="B27" s="174"/>
      <c r="C27" s="175"/>
      <c r="D27" s="191">
        <f>SUMIFS(Tabla3[EGRESOS],Tabla3[DEBITO],EPN!A27)</f>
        <v>7000000</v>
      </c>
      <c r="E27" s="175"/>
      <c r="F27" s="176"/>
      <c r="G27" s="175"/>
      <c r="H27" s="175"/>
      <c r="I27" s="175"/>
      <c r="J27" s="176"/>
      <c r="K27" s="193"/>
      <c r="L27" s="147"/>
    </row>
    <row r="28" spans="1:12" ht="35.25" customHeight="1" x14ac:dyDescent="0.3">
      <c r="A28" s="199" t="s">
        <v>99</v>
      </c>
      <c r="B28" s="174"/>
      <c r="C28" s="175"/>
      <c r="D28" s="191">
        <f>SUMIFS(Tabla3[EGRESOS],Tabla3[DEBITO],EPN!A28)</f>
        <v>478902830.30000013</v>
      </c>
      <c r="E28" s="175"/>
      <c r="F28" s="176"/>
      <c r="G28" s="175"/>
      <c r="H28" s="175"/>
      <c r="I28" s="175"/>
      <c r="J28" s="176"/>
      <c r="K28" s="193"/>
      <c r="L28" s="147"/>
    </row>
    <row r="29" spans="1:12" ht="35.25" customHeight="1" thickBot="1" x14ac:dyDescent="0.35">
      <c r="A29" s="195" t="s">
        <v>172</v>
      </c>
      <c r="B29" s="197">
        <f t="shared" ref="B29:C29" si="5">+B20+B23</f>
        <v>0</v>
      </c>
      <c r="C29" s="197">
        <f t="shared" si="5"/>
        <v>0</v>
      </c>
      <c r="D29" s="197">
        <f>+D20+D23</f>
        <v>222304113.94999981</v>
      </c>
      <c r="E29" s="197">
        <f t="shared" ref="E29:J29" si="6">+E20+E23</f>
        <v>0</v>
      </c>
      <c r="F29" s="197">
        <f t="shared" si="6"/>
        <v>0</v>
      </c>
      <c r="G29" s="197">
        <f>+G20+G23</f>
        <v>0</v>
      </c>
      <c r="H29" s="197">
        <f t="shared" si="6"/>
        <v>0</v>
      </c>
      <c r="I29" s="197">
        <f t="shared" si="6"/>
        <v>0</v>
      </c>
      <c r="J29" s="197">
        <f t="shared" si="6"/>
        <v>0</v>
      </c>
      <c r="K29" s="201">
        <f>+K20+K23</f>
        <v>222304113.94999981</v>
      </c>
      <c r="L29" s="147"/>
    </row>
    <row r="30" spans="1:12" ht="35.25" customHeight="1" thickTop="1" thickBot="1" x14ac:dyDescent="0.35">
      <c r="A30" s="199" t="s">
        <v>173</v>
      </c>
      <c r="B30" s="198"/>
      <c r="C30" s="198"/>
      <c r="D30" s="198">
        <v>-5382213.6900000013</v>
      </c>
      <c r="E30" s="198"/>
      <c r="F30" s="198"/>
      <c r="G30" s="198"/>
      <c r="H30" s="198"/>
      <c r="I30" s="198"/>
      <c r="J30" s="198"/>
      <c r="K30" s="201">
        <f>SUM(B30:J30)</f>
        <v>-5382213.6900000013</v>
      </c>
      <c r="L30" s="147"/>
    </row>
    <row r="31" spans="1:12" ht="35.25" customHeight="1" thickTop="1" thickBot="1" x14ac:dyDescent="0.35">
      <c r="A31" s="187" t="s">
        <v>174</v>
      </c>
      <c r="B31" s="198">
        <f>+B19+B29</f>
        <v>0</v>
      </c>
      <c r="C31" s="198">
        <f t="shared" ref="C31" si="7">+C19+C29</f>
        <v>0</v>
      </c>
      <c r="D31" s="198">
        <f>+D19+D29+D30</f>
        <v>216921900.25999981</v>
      </c>
      <c r="E31" s="325">
        <f>+E19+E29+E30</f>
        <v>-5367763.6099999994</v>
      </c>
      <c r="F31" s="325">
        <f>+F19+F29+F30</f>
        <v>-155916953.4900009</v>
      </c>
      <c r="G31" s="326">
        <f>+G19+G29+G30</f>
        <v>-161284717.10000092</v>
      </c>
      <c r="H31" s="198">
        <f>+G31+D31+C31+B31</f>
        <v>55637183.159998894</v>
      </c>
      <c r="I31" s="198">
        <f>+I19+I29</f>
        <v>0</v>
      </c>
      <c r="J31" s="198">
        <f>+H31+I31</f>
        <v>55637183.159998894</v>
      </c>
      <c r="K31" s="202">
        <f>+J31</f>
        <v>55637183.159998894</v>
      </c>
      <c r="L31" s="146"/>
    </row>
    <row r="32" spans="1:12" ht="17.25" thickTop="1" x14ac:dyDescent="0.3">
      <c r="A32" s="148" t="s">
        <v>175</v>
      </c>
      <c r="B32" s="149"/>
      <c r="C32" s="149"/>
      <c r="D32" s="149"/>
      <c r="E32" s="149"/>
      <c r="F32" s="149"/>
      <c r="G32" s="149"/>
      <c r="H32" s="149"/>
      <c r="I32" s="149"/>
    </row>
    <row r="35" spans="7:12" x14ac:dyDescent="0.3">
      <c r="G35" s="139" t="s">
        <v>176</v>
      </c>
      <c r="H35" s="139">
        <v>5367763.6100000003</v>
      </c>
    </row>
    <row r="37" spans="7:12" x14ac:dyDescent="0.3">
      <c r="G37" s="139" t="s">
        <v>177</v>
      </c>
      <c r="H37" s="139">
        <f>H31+H35</f>
        <v>61004946.769998893</v>
      </c>
    </row>
    <row r="38" spans="7:12" x14ac:dyDescent="0.3">
      <c r="K38" s="143"/>
      <c r="L38" s="143"/>
    </row>
  </sheetData>
  <sheetProtection sheet="1" objects="1" scenarios="1"/>
  <mergeCells count="5">
    <mergeCell ref="A2:K2"/>
    <mergeCell ref="A3:K3"/>
    <mergeCell ref="A4:K4"/>
    <mergeCell ref="A5:K5"/>
    <mergeCell ref="E8:G8"/>
  </mergeCells>
  <printOptions horizontalCentered="1"/>
  <pageMargins left="0.25" right="0.25" top="0.75" bottom="0.75" header="0.3" footer="0.3"/>
  <pageSetup paperSize="9" scale="62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D1B06-8AED-4CDF-86B5-E95138B5996A}">
  <sheetPr codeName="Hoja3">
    <tabColor theme="0" tint="-0.14999847407452621"/>
  </sheetPr>
  <dimension ref="A1:L277"/>
  <sheetViews>
    <sheetView zoomScaleNormal="100" workbookViewId="0">
      <selection activeCell="D61" sqref="D61"/>
    </sheetView>
  </sheetViews>
  <sheetFormatPr baseColWidth="10" defaultColWidth="11.42578125" defaultRowHeight="15" x14ac:dyDescent="0.25"/>
  <cols>
    <col min="1" max="1" width="40.42578125" bestFit="1" customWidth="1"/>
    <col min="2" max="3" width="18.28515625" bestFit="1" customWidth="1"/>
    <col min="4" max="4" width="18.85546875" bestFit="1" customWidth="1"/>
    <col min="5" max="5" width="19.85546875" bestFit="1" customWidth="1"/>
    <col min="6" max="6" width="3.5703125" customWidth="1"/>
    <col min="7" max="8" width="16.7109375" customWidth="1"/>
    <col min="9" max="9" width="13" bestFit="1" customWidth="1"/>
  </cols>
  <sheetData>
    <row r="1" spans="1:12" ht="18.75" x14ac:dyDescent="0.3">
      <c r="A1" s="203" t="s">
        <v>178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x14ac:dyDescent="0.25">
      <c r="A2" s="280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x14ac:dyDescent="0.25">
      <c r="A3" s="207" t="s">
        <v>179</v>
      </c>
      <c r="B3" s="207" t="s">
        <v>180</v>
      </c>
      <c r="C3" s="259" t="s">
        <v>181</v>
      </c>
      <c r="D3" s="208" t="s">
        <v>182</v>
      </c>
      <c r="E3" s="221" t="s">
        <v>183</v>
      </c>
      <c r="F3" s="7"/>
      <c r="G3" s="7"/>
      <c r="H3" s="7"/>
      <c r="I3" s="7"/>
      <c r="J3" s="7"/>
      <c r="K3" s="7"/>
      <c r="L3" s="7"/>
    </row>
    <row r="4" spans="1:12" x14ac:dyDescent="0.25">
      <c r="A4" s="355" t="s">
        <v>184</v>
      </c>
      <c r="B4" s="356">
        <v>189301451.96000001</v>
      </c>
      <c r="C4" s="357">
        <v>42000103.730000004</v>
      </c>
      <c r="D4" s="358">
        <v>151057.57970855886</v>
      </c>
      <c r="E4" s="359">
        <v>32951.260539987808</v>
      </c>
      <c r="F4" s="7"/>
      <c r="G4" s="7"/>
      <c r="H4" s="7"/>
      <c r="I4" s="7"/>
      <c r="J4" s="7"/>
      <c r="K4" s="7"/>
      <c r="L4" s="7"/>
    </row>
    <row r="5" spans="1:12" x14ac:dyDescent="0.25">
      <c r="A5" s="352" t="s">
        <v>185</v>
      </c>
      <c r="B5" s="215">
        <v>16583946.090000002</v>
      </c>
      <c r="C5" s="216">
        <v>4300000</v>
      </c>
      <c r="D5" s="222">
        <v>12811.09865785158</v>
      </c>
      <c r="E5" s="223">
        <v>3049.6453900709221</v>
      </c>
      <c r="F5" s="7"/>
      <c r="G5" s="7"/>
      <c r="H5" s="7"/>
      <c r="I5" s="7"/>
      <c r="J5" s="7"/>
      <c r="K5" s="7"/>
      <c r="L5" s="7"/>
    </row>
    <row r="6" spans="1:12" x14ac:dyDescent="0.25">
      <c r="A6" s="246" t="s">
        <v>186</v>
      </c>
      <c r="B6" s="215">
        <v>5838475.7600000016</v>
      </c>
      <c r="C6" s="216">
        <v>0</v>
      </c>
      <c r="D6" s="222">
        <v>4500.5113926479753</v>
      </c>
      <c r="E6" s="223">
        <v>0</v>
      </c>
      <c r="F6" s="7"/>
      <c r="G6" s="7"/>
      <c r="H6" s="7"/>
      <c r="I6" s="7"/>
      <c r="J6" s="7"/>
      <c r="K6" s="7"/>
      <c r="L6" s="7"/>
    </row>
    <row r="7" spans="1:12" x14ac:dyDescent="0.25">
      <c r="A7" s="246" t="s">
        <v>187</v>
      </c>
      <c r="B7" s="215">
        <v>4300000</v>
      </c>
      <c r="C7" s="216">
        <v>4300000</v>
      </c>
      <c r="D7" s="222">
        <v>3049.6453900709221</v>
      </c>
      <c r="E7" s="223">
        <v>3049.6453900709221</v>
      </c>
      <c r="F7" s="7"/>
      <c r="G7" s="7"/>
      <c r="H7" s="7"/>
      <c r="I7" s="7"/>
      <c r="J7" s="7"/>
      <c r="K7" s="7"/>
      <c r="L7" s="7"/>
    </row>
    <row r="8" spans="1:12" x14ac:dyDescent="0.25">
      <c r="A8" s="246" t="s">
        <v>188</v>
      </c>
      <c r="B8" s="215">
        <v>3231312</v>
      </c>
      <c r="C8" s="216">
        <v>0</v>
      </c>
      <c r="D8" s="222">
        <v>2675.5398410556304</v>
      </c>
      <c r="E8" s="223">
        <v>0</v>
      </c>
      <c r="F8" s="7"/>
      <c r="G8" s="7"/>
      <c r="H8" s="7"/>
      <c r="I8" s="7"/>
      <c r="J8" s="7"/>
      <c r="K8" s="7"/>
      <c r="L8" s="7"/>
    </row>
    <row r="9" spans="1:12" x14ac:dyDescent="0.25">
      <c r="A9" s="246" t="s">
        <v>189</v>
      </c>
      <c r="B9" s="215">
        <v>85638</v>
      </c>
      <c r="C9" s="216">
        <v>0</v>
      </c>
      <c r="D9" s="222">
        <v>67.71653132445465</v>
      </c>
      <c r="E9" s="223">
        <v>0</v>
      </c>
      <c r="F9" s="7"/>
      <c r="G9" s="7"/>
      <c r="H9" s="7"/>
      <c r="I9" s="7"/>
      <c r="J9" s="7"/>
      <c r="K9" s="7"/>
      <c r="L9" s="7"/>
    </row>
    <row r="10" spans="1:12" x14ac:dyDescent="0.25">
      <c r="A10" s="246" t="s">
        <v>190</v>
      </c>
      <c r="B10" s="215">
        <v>49000</v>
      </c>
      <c r="C10" s="216">
        <v>0</v>
      </c>
      <c r="D10" s="222">
        <v>38.938580799045916</v>
      </c>
      <c r="E10" s="223">
        <v>0</v>
      </c>
      <c r="F10" s="7"/>
      <c r="G10" s="7"/>
      <c r="H10" s="7"/>
      <c r="I10" s="7"/>
      <c r="J10" s="7"/>
      <c r="K10" s="7"/>
      <c r="L10" s="7"/>
    </row>
    <row r="11" spans="1:12" x14ac:dyDescent="0.25">
      <c r="A11" s="246" t="s">
        <v>191</v>
      </c>
      <c r="B11" s="215">
        <v>2036480.56</v>
      </c>
      <c r="C11" s="216">
        <v>0</v>
      </c>
      <c r="D11" s="222">
        <v>1740.5816752136752</v>
      </c>
      <c r="E11" s="223">
        <v>0</v>
      </c>
      <c r="F11" s="7"/>
      <c r="G11" s="7"/>
      <c r="H11" s="7"/>
      <c r="I11" s="7"/>
      <c r="J11" s="7"/>
      <c r="K11" s="7"/>
      <c r="L11" s="7"/>
    </row>
    <row r="12" spans="1:12" x14ac:dyDescent="0.25">
      <c r="A12" s="246" t="s">
        <v>192</v>
      </c>
      <c r="B12" s="215">
        <v>752729.96</v>
      </c>
      <c r="C12" s="216">
        <v>0</v>
      </c>
      <c r="D12" s="222">
        <v>532.27176447037289</v>
      </c>
      <c r="E12" s="223">
        <v>0</v>
      </c>
      <c r="F12" s="7"/>
      <c r="G12" s="7"/>
      <c r="H12" s="7"/>
      <c r="I12" s="7"/>
      <c r="J12" s="7"/>
      <c r="K12" s="7"/>
      <c r="L12" s="7"/>
    </row>
    <row r="13" spans="1:12" x14ac:dyDescent="0.25">
      <c r="A13" s="246" t="s">
        <v>193</v>
      </c>
      <c r="B13" s="215">
        <v>90750</v>
      </c>
      <c r="C13" s="216">
        <v>0</v>
      </c>
      <c r="D13" s="222">
        <v>64.361702127659569</v>
      </c>
      <c r="E13" s="223">
        <v>0</v>
      </c>
      <c r="F13" s="7"/>
      <c r="G13" s="7"/>
      <c r="H13" s="7"/>
      <c r="I13" s="7"/>
      <c r="J13" s="7"/>
      <c r="K13" s="7"/>
      <c r="L13" s="7"/>
    </row>
    <row r="14" spans="1:12" x14ac:dyDescent="0.25">
      <c r="A14" s="246" t="s">
        <v>194</v>
      </c>
      <c r="B14" s="215">
        <v>199559.81</v>
      </c>
      <c r="C14" s="216">
        <v>0</v>
      </c>
      <c r="D14" s="222">
        <v>141.53178014184397</v>
      </c>
      <c r="E14" s="223">
        <v>0</v>
      </c>
      <c r="F14" s="7"/>
      <c r="G14" s="7"/>
      <c r="H14" s="7"/>
      <c r="I14" s="7"/>
      <c r="J14" s="7"/>
      <c r="K14" s="7"/>
      <c r="L14" s="7"/>
    </row>
    <row r="15" spans="1:12" x14ac:dyDescent="0.25">
      <c r="A15" s="352" t="s">
        <v>195</v>
      </c>
      <c r="B15" s="215">
        <v>22817417.100000024</v>
      </c>
      <c r="C15" s="216">
        <v>0</v>
      </c>
      <c r="D15" s="222">
        <v>18651.155297520971</v>
      </c>
      <c r="E15" s="223">
        <v>0</v>
      </c>
      <c r="F15" s="7"/>
      <c r="G15" s="7"/>
      <c r="H15" s="7"/>
      <c r="I15" s="7"/>
      <c r="J15" s="7"/>
      <c r="K15" s="7"/>
      <c r="L15" s="7"/>
    </row>
    <row r="16" spans="1:12" x14ac:dyDescent="0.25">
      <c r="A16" s="246" t="s">
        <v>186</v>
      </c>
      <c r="B16" s="215">
        <v>500000</v>
      </c>
      <c r="C16" s="216">
        <v>0</v>
      </c>
      <c r="D16" s="222">
        <v>367.64705882352939</v>
      </c>
      <c r="E16" s="223">
        <v>0</v>
      </c>
      <c r="F16" s="7"/>
      <c r="G16" s="7"/>
      <c r="H16" s="7"/>
      <c r="I16" s="7"/>
      <c r="J16" s="7"/>
      <c r="K16" s="7"/>
      <c r="L16" s="7"/>
    </row>
    <row r="17" spans="1:12" x14ac:dyDescent="0.25">
      <c r="A17" s="246" t="s">
        <v>196</v>
      </c>
      <c r="B17" s="215">
        <v>22317417.100000024</v>
      </c>
      <c r="C17" s="216">
        <v>0</v>
      </c>
      <c r="D17" s="222">
        <v>18283.508238697443</v>
      </c>
      <c r="E17" s="223">
        <v>0</v>
      </c>
      <c r="F17" s="7"/>
      <c r="G17" s="7"/>
      <c r="H17" s="7"/>
      <c r="I17" s="7"/>
      <c r="J17" s="7"/>
      <c r="K17" s="7"/>
      <c r="L17" s="7"/>
    </row>
    <row r="18" spans="1:12" x14ac:dyDescent="0.25">
      <c r="A18" s="352" t="s">
        <v>197</v>
      </c>
      <c r="B18" s="215">
        <v>10185395.390000001</v>
      </c>
      <c r="C18" s="216">
        <v>0</v>
      </c>
      <c r="D18" s="222">
        <v>8048.2060164956019</v>
      </c>
      <c r="E18" s="223">
        <v>0</v>
      </c>
      <c r="F18" s="7"/>
      <c r="G18" s="7"/>
      <c r="H18" s="7"/>
      <c r="I18" s="7"/>
      <c r="J18" s="7"/>
      <c r="K18" s="7"/>
      <c r="L18" s="7"/>
    </row>
    <row r="19" spans="1:12" x14ac:dyDescent="0.25">
      <c r="A19" s="246" t="s">
        <v>198</v>
      </c>
      <c r="B19" s="215">
        <v>10185395.390000001</v>
      </c>
      <c r="C19" s="216">
        <v>0</v>
      </c>
      <c r="D19" s="222">
        <v>8048.2060164956019</v>
      </c>
      <c r="E19" s="223">
        <v>0</v>
      </c>
      <c r="F19" s="7"/>
      <c r="G19" s="7"/>
      <c r="H19" s="7"/>
      <c r="I19" s="7"/>
      <c r="J19" s="7"/>
      <c r="K19" s="7"/>
      <c r="L19" s="7"/>
    </row>
    <row r="20" spans="1:12" x14ac:dyDescent="0.25">
      <c r="A20" s="352" t="s">
        <v>199</v>
      </c>
      <c r="B20" s="215">
        <v>43774821.769999996</v>
      </c>
      <c r="C20" s="216">
        <v>0</v>
      </c>
      <c r="D20" s="222">
        <v>34768.606061223014</v>
      </c>
      <c r="E20" s="223">
        <v>0</v>
      </c>
      <c r="F20" s="7"/>
      <c r="G20" s="7"/>
      <c r="H20" s="7"/>
      <c r="I20" s="7"/>
      <c r="J20" s="7"/>
      <c r="K20" s="7"/>
      <c r="L20" s="7"/>
    </row>
    <row r="21" spans="1:12" x14ac:dyDescent="0.25">
      <c r="A21" s="246" t="s">
        <v>200</v>
      </c>
      <c r="B21" s="215">
        <v>8412820</v>
      </c>
      <c r="C21" s="216">
        <v>0</v>
      </c>
      <c r="D21" s="222">
        <v>6478.0712820946283</v>
      </c>
      <c r="E21" s="223">
        <v>0</v>
      </c>
      <c r="F21" s="7"/>
      <c r="G21" s="7"/>
      <c r="H21" s="7"/>
      <c r="I21" s="7"/>
      <c r="J21" s="7"/>
      <c r="K21" s="7"/>
      <c r="L21" s="7"/>
    </row>
    <row r="22" spans="1:12" x14ac:dyDescent="0.25">
      <c r="A22" s="246" t="s">
        <v>189</v>
      </c>
      <c r="B22" s="215">
        <v>4807</v>
      </c>
      <c r="C22" s="216">
        <v>0</v>
      </c>
      <c r="D22" s="222">
        <v>3.2261744966442953</v>
      </c>
      <c r="E22" s="223">
        <v>0</v>
      </c>
      <c r="F22" s="7"/>
      <c r="G22" s="7"/>
      <c r="H22" s="7"/>
      <c r="I22" s="7"/>
      <c r="J22" s="7"/>
      <c r="K22" s="7"/>
      <c r="L22" s="7"/>
    </row>
    <row r="23" spans="1:12" x14ac:dyDescent="0.25">
      <c r="A23" s="246" t="s">
        <v>201</v>
      </c>
      <c r="B23" s="215">
        <v>34826094.769999996</v>
      </c>
      <c r="C23" s="216">
        <v>0</v>
      </c>
      <c r="D23" s="222">
        <v>27930.226890278751</v>
      </c>
      <c r="E23" s="223">
        <v>0</v>
      </c>
      <c r="F23" s="7"/>
      <c r="G23" s="7"/>
      <c r="H23" s="7"/>
      <c r="I23" s="7"/>
      <c r="J23" s="7"/>
      <c r="K23" s="7"/>
      <c r="L23" s="7"/>
    </row>
    <row r="24" spans="1:12" x14ac:dyDescent="0.25">
      <c r="A24" s="246" t="s">
        <v>202</v>
      </c>
      <c r="B24" s="215">
        <v>531100</v>
      </c>
      <c r="C24" s="216">
        <v>0</v>
      </c>
      <c r="D24" s="222">
        <v>357.08171435299658</v>
      </c>
      <c r="E24" s="223">
        <v>0</v>
      </c>
      <c r="F24" s="7"/>
      <c r="G24" s="7"/>
      <c r="H24" s="7"/>
      <c r="I24" s="7"/>
      <c r="J24" s="7"/>
      <c r="K24" s="7"/>
      <c r="L24" s="7"/>
    </row>
    <row r="25" spans="1:12" x14ac:dyDescent="0.25">
      <c r="A25" s="352" t="s">
        <v>203</v>
      </c>
      <c r="B25" s="215">
        <v>67475979.319999993</v>
      </c>
      <c r="C25" s="216">
        <v>15510994.73</v>
      </c>
      <c r="D25" s="222">
        <v>53683.531854119654</v>
      </c>
      <c r="E25" s="223">
        <v>11485.050031863475</v>
      </c>
      <c r="F25" s="7"/>
      <c r="G25" s="7"/>
      <c r="H25" s="7"/>
      <c r="I25" s="7"/>
      <c r="J25" s="7"/>
      <c r="K25" s="7"/>
      <c r="L25" s="7"/>
    </row>
    <row r="26" spans="1:12" x14ac:dyDescent="0.25">
      <c r="A26" s="246" t="s">
        <v>204</v>
      </c>
      <c r="B26" s="215">
        <v>0</v>
      </c>
      <c r="C26" s="216">
        <v>15510994.73</v>
      </c>
      <c r="D26" s="222">
        <v>0</v>
      </c>
      <c r="E26" s="223">
        <v>11485.050031863475</v>
      </c>
      <c r="F26" s="7"/>
      <c r="G26" s="7"/>
      <c r="H26" s="7"/>
      <c r="I26" s="7"/>
      <c r="J26" s="7"/>
      <c r="K26" s="7"/>
      <c r="L26" s="7"/>
    </row>
    <row r="27" spans="1:12" x14ac:dyDescent="0.25">
      <c r="A27" s="246" t="s">
        <v>205</v>
      </c>
      <c r="B27" s="215">
        <v>6639949.9699999997</v>
      </c>
      <c r="C27" s="216">
        <v>0</v>
      </c>
      <c r="D27" s="222">
        <v>4807.7863928846818</v>
      </c>
      <c r="E27" s="223">
        <v>0</v>
      </c>
      <c r="F27" s="7"/>
      <c r="G27" s="7"/>
      <c r="H27" s="7"/>
      <c r="I27" s="7"/>
      <c r="J27" s="7"/>
      <c r="K27" s="7"/>
      <c r="L27" s="7"/>
    </row>
    <row r="28" spans="1:12" x14ac:dyDescent="0.25">
      <c r="A28" s="246" t="s">
        <v>206</v>
      </c>
      <c r="B28" s="215">
        <v>7728000</v>
      </c>
      <c r="C28" s="216">
        <v>0</v>
      </c>
      <c r="D28" s="222">
        <v>6185.9626350146491</v>
      </c>
      <c r="E28" s="223">
        <v>0</v>
      </c>
      <c r="F28" s="7"/>
      <c r="G28" s="7"/>
      <c r="H28" s="7"/>
      <c r="I28" s="7"/>
      <c r="J28" s="7"/>
      <c r="K28" s="7"/>
      <c r="L28" s="7"/>
    </row>
    <row r="29" spans="1:12" x14ac:dyDescent="0.25">
      <c r="A29" s="246" t="s">
        <v>207</v>
      </c>
      <c r="B29" s="215">
        <v>20000</v>
      </c>
      <c r="C29" s="216">
        <v>0</v>
      </c>
      <c r="D29" s="222">
        <v>14.184397163120567</v>
      </c>
      <c r="E29" s="223">
        <v>0</v>
      </c>
      <c r="F29" s="7"/>
      <c r="G29" s="7"/>
      <c r="H29" s="7"/>
      <c r="I29" s="7"/>
      <c r="J29" s="7"/>
      <c r="K29" s="7"/>
      <c r="L29" s="7"/>
    </row>
    <row r="30" spans="1:12" x14ac:dyDescent="0.25">
      <c r="A30" s="246" t="s">
        <v>208</v>
      </c>
      <c r="B30" s="215">
        <v>52588029.350000001</v>
      </c>
      <c r="C30" s="216">
        <v>0</v>
      </c>
      <c r="D30" s="222">
        <v>42248.248001706772</v>
      </c>
      <c r="E30" s="223">
        <v>0</v>
      </c>
      <c r="F30" s="7"/>
      <c r="G30" s="7"/>
      <c r="H30" s="7"/>
      <c r="I30" s="7"/>
      <c r="J30" s="7"/>
      <c r="K30" s="7"/>
      <c r="L30" s="7"/>
    </row>
    <row r="31" spans="1:12" x14ac:dyDescent="0.25">
      <c r="A31" s="246" t="s">
        <v>209</v>
      </c>
      <c r="B31" s="215">
        <v>500000</v>
      </c>
      <c r="C31" s="216">
        <v>0</v>
      </c>
      <c r="D31" s="222">
        <v>427.35042735042737</v>
      </c>
      <c r="E31" s="223">
        <v>0</v>
      </c>
      <c r="F31" s="7"/>
      <c r="G31" s="7"/>
      <c r="H31" s="7"/>
      <c r="I31" s="7"/>
      <c r="J31" s="7"/>
      <c r="K31" s="7"/>
      <c r="L31" s="7"/>
    </row>
    <row r="32" spans="1:12" x14ac:dyDescent="0.25">
      <c r="A32" s="352" t="s">
        <v>210</v>
      </c>
      <c r="B32" s="215">
        <v>27585856.719999999</v>
      </c>
      <c r="C32" s="216">
        <v>22189109</v>
      </c>
      <c r="D32" s="222">
        <v>22342.217041462278</v>
      </c>
      <c r="E32" s="223">
        <v>18416.565118053415</v>
      </c>
      <c r="F32" s="7"/>
      <c r="G32" s="7"/>
      <c r="H32" s="7"/>
      <c r="I32" s="7"/>
      <c r="J32" s="7"/>
      <c r="K32" s="7"/>
      <c r="L32" s="7"/>
    </row>
    <row r="33" spans="1:12" x14ac:dyDescent="0.25">
      <c r="A33" s="246" t="s">
        <v>204</v>
      </c>
      <c r="B33" s="215">
        <v>0</v>
      </c>
      <c r="C33" s="216">
        <v>18863706</v>
      </c>
      <c r="D33" s="222">
        <v>0</v>
      </c>
      <c r="E33" s="223">
        <v>15850.971934401585</v>
      </c>
      <c r="F33" s="7"/>
      <c r="G33" s="7"/>
      <c r="H33" s="7"/>
      <c r="I33" s="7"/>
      <c r="J33" s="7"/>
      <c r="K33" s="7"/>
      <c r="L33" s="7"/>
    </row>
    <row r="34" spans="1:12" x14ac:dyDescent="0.25">
      <c r="A34" s="246" t="s">
        <v>205</v>
      </c>
      <c r="B34" s="215">
        <v>15808813</v>
      </c>
      <c r="C34" s="216">
        <v>2975403</v>
      </c>
      <c r="D34" s="222">
        <v>13188.437912977057</v>
      </c>
      <c r="E34" s="223">
        <v>2266.4478845065296</v>
      </c>
      <c r="F34" s="7"/>
      <c r="G34" s="7"/>
      <c r="H34" s="7"/>
      <c r="I34" s="7"/>
      <c r="J34" s="7"/>
      <c r="K34" s="7"/>
      <c r="L34" s="7"/>
    </row>
    <row r="35" spans="1:12" x14ac:dyDescent="0.25">
      <c r="A35" s="246" t="s">
        <v>201</v>
      </c>
      <c r="B35" s="215">
        <v>717043.72</v>
      </c>
      <c r="C35" s="216">
        <v>0</v>
      </c>
      <c r="D35" s="222">
        <v>508.54164539007093</v>
      </c>
      <c r="E35" s="223">
        <v>0</v>
      </c>
      <c r="F35" s="7"/>
      <c r="G35" s="7"/>
      <c r="H35" s="7"/>
      <c r="I35" s="7"/>
      <c r="J35" s="7"/>
      <c r="K35" s="7"/>
      <c r="L35" s="7"/>
    </row>
    <row r="36" spans="1:12" x14ac:dyDescent="0.25">
      <c r="A36" s="246" t="s">
        <v>211</v>
      </c>
      <c r="B36" s="215">
        <v>0</v>
      </c>
      <c r="C36" s="216">
        <v>350000</v>
      </c>
      <c r="D36" s="222">
        <v>0</v>
      </c>
      <c r="E36" s="223">
        <v>299.14529914529913</v>
      </c>
      <c r="F36" s="7"/>
      <c r="G36" s="7"/>
      <c r="H36" s="7"/>
      <c r="I36" s="7"/>
      <c r="J36" s="7"/>
      <c r="K36" s="7"/>
      <c r="L36" s="7"/>
    </row>
    <row r="37" spans="1:12" x14ac:dyDescent="0.25">
      <c r="A37" s="246" t="s">
        <v>212</v>
      </c>
      <c r="B37" s="215">
        <v>11060000</v>
      </c>
      <c r="C37" s="216">
        <v>0</v>
      </c>
      <c r="D37" s="222">
        <v>8645.2374830951503</v>
      </c>
      <c r="E37" s="223">
        <v>0</v>
      </c>
      <c r="F37" s="7"/>
      <c r="G37" s="7"/>
      <c r="H37" s="7"/>
      <c r="I37" s="7"/>
      <c r="J37" s="7"/>
      <c r="K37" s="7"/>
      <c r="L37" s="7"/>
    </row>
    <row r="38" spans="1:12" x14ac:dyDescent="0.25">
      <c r="A38" s="352" t="s">
        <v>213</v>
      </c>
      <c r="B38" s="215">
        <v>878035.57</v>
      </c>
      <c r="C38" s="216">
        <v>0</v>
      </c>
      <c r="D38" s="222">
        <v>752.76477988576096</v>
      </c>
      <c r="E38" s="223">
        <v>0</v>
      </c>
      <c r="F38" s="7"/>
      <c r="G38" s="7"/>
      <c r="H38" s="7"/>
      <c r="I38" s="7"/>
      <c r="J38" s="7"/>
      <c r="K38" s="7"/>
      <c r="L38" s="7"/>
    </row>
    <row r="39" spans="1:12" x14ac:dyDescent="0.25">
      <c r="A39" s="246" t="s">
        <v>33</v>
      </c>
      <c r="B39" s="215">
        <v>726035.57</v>
      </c>
      <c r="C39" s="216">
        <v>0</v>
      </c>
      <c r="D39" s="222">
        <v>619.43144655242759</v>
      </c>
      <c r="E39" s="223">
        <v>0</v>
      </c>
      <c r="F39" s="7"/>
      <c r="G39" s="7"/>
      <c r="H39" s="7"/>
      <c r="I39" s="7"/>
      <c r="J39" s="7"/>
      <c r="K39" s="7"/>
      <c r="L39" s="7"/>
    </row>
    <row r="40" spans="1:12" x14ac:dyDescent="0.25">
      <c r="A40" s="246" t="s">
        <v>214</v>
      </c>
      <c r="B40" s="215">
        <v>152000</v>
      </c>
      <c r="C40" s="216">
        <v>0</v>
      </c>
      <c r="D40" s="222">
        <v>133.33333333333334</v>
      </c>
      <c r="E40" s="223">
        <v>0</v>
      </c>
      <c r="F40" s="7"/>
      <c r="G40" s="7"/>
      <c r="H40" s="7"/>
      <c r="I40" s="7"/>
      <c r="J40" s="7"/>
      <c r="K40" s="7"/>
      <c r="L40" s="7"/>
    </row>
    <row r="41" spans="1:12" x14ac:dyDescent="0.25">
      <c r="A41" s="360" t="s">
        <v>215</v>
      </c>
      <c r="B41" s="281">
        <v>299682985.35000002</v>
      </c>
      <c r="C41" s="282">
        <v>299767554.02999997</v>
      </c>
      <c r="D41" s="283">
        <v>234991.40924779774</v>
      </c>
      <c r="E41" s="284">
        <v>240471.8975067162</v>
      </c>
      <c r="F41" s="7"/>
      <c r="G41" s="7"/>
      <c r="H41" s="7"/>
      <c r="I41" s="7"/>
      <c r="J41" s="7"/>
      <c r="K41" s="7"/>
      <c r="L41" s="7"/>
    </row>
    <row r="42" spans="1:12" x14ac:dyDescent="0.25">
      <c r="A42" s="352" t="s">
        <v>216</v>
      </c>
      <c r="B42" s="215">
        <v>292667649.59000003</v>
      </c>
      <c r="C42" s="216">
        <v>299767554.02999997</v>
      </c>
      <c r="D42" s="222">
        <v>229117.76702916468</v>
      </c>
      <c r="E42" s="223">
        <v>240471.8975067162</v>
      </c>
      <c r="F42" s="7"/>
      <c r="G42" s="7"/>
      <c r="H42" s="119"/>
      <c r="I42" s="7"/>
      <c r="J42" s="7"/>
      <c r="K42" s="7"/>
      <c r="L42" s="7"/>
    </row>
    <row r="43" spans="1:12" x14ac:dyDescent="0.25">
      <c r="A43" s="246" t="s">
        <v>217</v>
      </c>
      <c r="B43" s="215">
        <v>7826025</v>
      </c>
      <c r="C43" s="216">
        <v>0</v>
      </c>
      <c r="D43" s="222">
        <v>6027.3040782534617</v>
      </c>
      <c r="E43" s="223">
        <v>0</v>
      </c>
      <c r="F43" s="7"/>
      <c r="G43" s="7"/>
      <c r="H43" s="7"/>
      <c r="I43" s="7"/>
      <c r="J43" s="7"/>
      <c r="K43" s="7"/>
      <c r="L43" s="7"/>
    </row>
    <row r="44" spans="1:12" x14ac:dyDescent="0.25">
      <c r="A44" s="246" t="s">
        <v>218</v>
      </c>
      <c r="B44" s="215">
        <v>50000</v>
      </c>
      <c r="C44" s="216">
        <v>0</v>
      </c>
      <c r="D44" s="222">
        <v>43.859649122807021</v>
      </c>
      <c r="E44" s="223">
        <v>0</v>
      </c>
      <c r="F44" s="7"/>
      <c r="G44" s="7"/>
      <c r="H44" s="7"/>
      <c r="I44" s="7"/>
      <c r="J44" s="7"/>
      <c r="K44" s="7"/>
      <c r="L44" s="7"/>
    </row>
    <row r="45" spans="1:12" x14ac:dyDescent="0.25">
      <c r="A45" s="246" t="s">
        <v>219</v>
      </c>
      <c r="B45" s="215">
        <v>90637620.079999998</v>
      </c>
      <c r="C45" s="216">
        <v>0</v>
      </c>
      <c r="D45" s="222">
        <v>68704.087376930664</v>
      </c>
      <c r="E45" s="223">
        <v>0</v>
      </c>
      <c r="F45" s="7"/>
      <c r="G45" s="7"/>
      <c r="H45" s="7"/>
      <c r="I45" s="7"/>
      <c r="J45" s="7"/>
      <c r="K45" s="7"/>
      <c r="L45" s="7"/>
    </row>
    <row r="46" spans="1:12" x14ac:dyDescent="0.25">
      <c r="A46" s="246" t="s">
        <v>220</v>
      </c>
      <c r="B46" s="215">
        <v>194086004.51000002</v>
      </c>
      <c r="C46" s="216">
        <v>183403794.64000002</v>
      </c>
      <c r="D46" s="222">
        <v>154291.62683948589</v>
      </c>
      <c r="E46" s="223">
        <v>156104.91156896995</v>
      </c>
      <c r="F46" s="7"/>
      <c r="G46" s="7"/>
      <c r="H46" s="7"/>
      <c r="I46" s="7"/>
      <c r="J46" s="7"/>
      <c r="K46" s="7"/>
      <c r="L46" s="7"/>
    </row>
    <row r="47" spans="1:12" x14ac:dyDescent="0.25">
      <c r="A47" s="246" t="s">
        <v>221</v>
      </c>
      <c r="B47" s="215">
        <v>38000</v>
      </c>
      <c r="C47" s="216">
        <v>116363759.38999999</v>
      </c>
      <c r="D47" s="222">
        <v>30.1994301994302</v>
      </c>
      <c r="E47" s="223">
        <v>84366.985937746256</v>
      </c>
      <c r="F47" s="7"/>
      <c r="G47" s="7"/>
      <c r="H47" s="7"/>
      <c r="I47" s="7"/>
      <c r="J47" s="7"/>
      <c r="K47" s="7"/>
      <c r="L47" s="7"/>
    </row>
    <row r="48" spans="1:12" x14ac:dyDescent="0.25">
      <c r="A48" s="246" t="s">
        <v>222</v>
      </c>
      <c r="B48" s="215">
        <v>30000</v>
      </c>
      <c r="C48" s="216">
        <v>0</v>
      </c>
      <c r="D48" s="222">
        <v>20.689655172413794</v>
      </c>
      <c r="E48" s="223">
        <v>0</v>
      </c>
      <c r="F48" s="7"/>
      <c r="G48" s="7"/>
      <c r="H48" s="7"/>
      <c r="I48" s="7"/>
      <c r="J48" s="7"/>
      <c r="K48" s="7"/>
      <c r="L48" s="7"/>
    </row>
    <row r="49" spans="1:12" x14ac:dyDescent="0.25">
      <c r="A49" s="352" t="s">
        <v>223</v>
      </c>
      <c r="B49" s="215">
        <v>7015335.7599999998</v>
      </c>
      <c r="C49" s="216">
        <v>0</v>
      </c>
      <c r="D49" s="222">
        <v>5873.6422186330519</v>
      </c>
      <c r="E49" s="223">
        <v>0</v>
      </c>
      <c r="F49" s="7"/>
      <c r="G49" s="7"/>
      <c r="H49" s="7"/>
      <c r="I49" s="7"/>
      <c r="J49" s="7"/>
      <c r="K49" s="7"/>
      <c r="L49" s="7"/>
    </row>
    <row r="50" spans="1:12" x14ac:dyDescent="0.25">
      <c r="A50" s="246" t="s">
        <v>224</v>
      </c>
      <c r="B50" s="215">
        <v>7015335.7599999998</v>
      </c>
      <c r="C50" s="216">
        <v>0</v>
      </c>
      <c r="D50" s="222">
        <v>5873.6422186330519</v>
      </c>
      <c r="E50" s="223">
        <v>0</v>
      </c>
      <c r="F50" s="7"/>
      <c r="G50" s="7"/>
      <c r="H50" s="7"/>
      <c r="I50" s="7"/>
      <c r="J50" s="7"/>
      <c r="K50" s="7"/>
      <c r="L50" s="7"/>
    </row>
    <row r="51" spans="1:12" x14ac:dyDescent="0.25">
      <c r="A51" s="360" t="s">
        <v>225</v>
      </c>
      <c r="B51" s="281">
        <v>40386949.320000008</v>
      </c>
      <c r="C51" s="282">
        <v>0</v>
      </c>
      <c r="D51" s="283">
        <v>32825.164338160859</v>
      </c>
      <c r="E51" s="284">
        <v>0</v>
      </c>
      <c r="F51" s="7"/>
      <c r="G51" s="7"/>
      <c r="H51" s="7"/>
      <c r="I51" s="7"/>
      <c r="J51" s="7"/>
      <c r="K51" s="7"/>
      <c r="L51" s="7"/>
    </row>
    <row r="52" spans="1:12" x14ac:dyDescent="0.25">
      <c r="A52" s="352" t="s">
        <v>226</v>
      </c>
      <c r="B52" s="215">
        <v>14404960.219999999</v>
      </c>
      <c r="C52" s="216">
        <v>0</v>
      </c>
      <c r="D52" s="222">
        <v>11930.863155495334</v>
      </c>
      <c r="E52" s="223">
        <v>0</v>
      </c>
      <c r="F52" s="7"/>
      <c r="G52" s="7"/>
      <c r="H52" s="7"/>
      <c r="I52" s="7"/>
      <c r="J52" s="7"/>
      <c r="K52" s="7"/>
      <c r="L52" s="7"/>
    </row>
    <row r="53" spans="1:12" x14ac:dyDescent="0.25">
      <c r="A53" s="246" t="s">
        <v>227</v>
      </c>
      <c r="B53" s="215">
        <v>363671.37</v>
      </c>
      <c r="C53" s="216">
        <v>0</v>
      </c>
      <c r="D53" s="222">
        <v>269.38619999999997</v>
      </c>
      <c r="E53" s="223">
        <v>0</v>
      </c>
      <c r="F53" s="7"/>
      <c r="G53" s="7"/>
      <c r="H53" s="7"/>
      <c r="I53" s="7"/>
      <c r="J53" s="7"/>
      <c r="K53" s="7"/>
      <c r="L53" s="7"/>
    </row>
    <row r="54" spans="1:12" x14ac:dyDescent="0.25">
      <c r="A54" s="246" t="s">
        <v>228</v>
      </c>
      <c r="B54" s="215">
        <v>6466888.8399999989</v>
      </c>
      <c r="C54" s="216">
        <v>0</v>
      </c>
      <c r="D54" s="222">
        <v>5579.1484785367675</v>
      </c>
      <c r="E54" s="223">
        <v>0</v>
      </c>
      <c r="F54" s="7"/>
      <c r="G54" s="7"/>
      <c r="H54" s="7"/>
      <c r="I54" s="7"/>
      <c r="J54" s="7"/>
      <c r="K54" s="7"/>
      <c r="L54" s="7"/>
    </row>
    <row r="55" spans="1:12" x14ac:dyDescent="0.25">
      <c r="A55" s="246" t="s">
        <v>207</v>
      </c>
      <c r="B55" s="215">
        <v>3208064.9400000004</v>
      </c>
      <c r="C55" s="216">
        <v>0</v>
      </c>
      <c r="D55" s="222">
        <v>2544.4964819058009</v>
      </c>
      <c r="E55" s="223">
        <v>0</v>
      </c>
      <c r="F55" s="7"/>
      <c r="G55" s="7"/>
      <c r="H55" s="7"/>
      <c r="I55" s="7"/>
      <c r="J55" s="7"/>
      <c r="K55" s="7"/>
      <c r="L55" s="7"/>
    </row>
    <row r="56" spans="1:12" x14ac:dyDescent="0.25">
      <c r="A56" s="246" t="s">
        <v>229</v>
      </c>
      <c r="B56" s="215">
        <v>232500</v>
      </c>
      <c r="C56" s="216">
        <v>0</v>
      </c>
      <c r="D56" s="222">
        <v>203.94736842105263</v>
      </c>
      <c r="E56" s="223">
        <v>0</v>
      </c>
      <c r="F56" s="7"/>
      <c r="G56" s="7"/>
      <c r="H56" s="7"/>
      <c r="I56" s="7"/>
      <c r="J56" s="7"/>
      <c r="K56" s="7"/>
      <c r="L56" s="7"/>
    </row>
    <row r="57" spans="1:12" x14ac:dyDescent="0.25">
      <c r="A57" s="246" t="s">
        <v>230</v>
      </c>
      <c r="B57" s="215">
        <v>1790732.5</v>
      </c>
      <c r="C57" s="216">
        <v>0</v>
      </c>
      <c r="D57" s="222">
        <v>1380.800586354776</v>
      </c>
      <c r="E57" s="223">
        <v>0</v>
      </c>
      <c r="F57" s="7"/>
      <c r="G57" s="7"/>
      <c r="H57" s="7"/>
      <c r="I57" s="7"/>
      <c r="J57" s="7"/>
      <c r="K57" s="7"/>
      <c r="L57" s="7"/>
    </row>
    <row r="58" spans="1:12" x14ac:dyDescent="0.25">
      <c r="A58" s="246" t="s">
        <v>231</v>
      </c>
      <c r="B58" s="215">
        <v>2078602.57</v>
      </c>
      <c r="C58" s="216">
        <v>0</v>
      </c>
      <c r="D58" s="222">
        <v>1770.6702471734893</v>
      </c>
      <c r="E58" s="223">
        <v>0</v>
      </c>
      <c r="F58" s="7"/>
      <c r="G58" s="7"/>
      <c r="H58" s="7"/>
      <c r="I58" s="7"/>
      <c r="J58" s="7"/>
      <c r="K58" s="7"/>
      <c r="L58" s="7"/>
    </row>
    <row r="59" spans="1:12" x14ac:dyDescent="0.25">
      <c r="A59" s="246" t="s">
        <v>232</v>
      </c>
      <c r="B59" s="215">
        <v>264500</v>
      </c>
      <c r="C59" s="216">
        <v>0</v>
      </c>
      <c r="D59" s="222">
        <v>182.41379310344828</v>
      </c>
      <c r="E59" s="223">
        <v>0</v>
      </c>
      <c r="F59" s="7"/>
      <c r="G59" s="7"/>
      <c r="H59" s="7"/>
      <c r="I59" s="7"/>
      <c r="J59" s="7"/>
      <c r="K59" s="7"/>
      <c r="L59" s="7"/>
    </row>
    <row r="60" spans="1:12" x14ac:dyDescent="0.25">
      <c r="A60" s="352" t="s">
        <v>233</v>
      </c>
      <c r="B60" s="215">
        <v>5939360.7000000002</v>
      </c>
      <c r="C60" s="216">
        <v>0</v>
      </c>
      <c r="D60" s="222">
        <v>4724.3894721996458</v>
      </c>
      <c r="E60" s="223">
        <v>0</v>
      </c>
      <c r="F60" s="7"/>
      <c r="G60" s="7"/>
      <c r="H60" s="7"/>
      <c r="I60" s="7"/>
      <c r="J60" s="7"/>
      <c r="K60" s="7"/>
      <c r="L60" s="7"/>
    </row>
    <row r="61" spans="1:12" x14ac:dyDescent="0.25">
      <c r="A61" s="246" t="s">
        <v>234</v>
      </c>
      <c r="B61" s="215">
        <v>1178000</v>
      </c>
      <c r="C61" s="216">
        <v>0</v>
      </c>
      <c r="D61" s="222">
        <v>930.76030880997484</v>
      </c>
      <c r="E61" s="223">
        <v>0</v>
      </c>
      <c r="F61" s="7"/>
      <c r="G61" s="7"/>
      <c r="H61" s="7"/>
      <c r="I61" s="7"/>
      <c r="J61" s="7"/>
      <c r="K61" s="7"/>
      <c r="L61" s="7"/>
    </row>
    <row r="62" spans="1:12" x14ac:dyDescent="0.25">
      <c r="A62" s="246" t="s">
        <v>235</v>
      </c>
      <c r="B62" s="215">
        <v>4098577.98</v>
      </c>
      <c r="C62" s="216">
        <v>0</v>
      </c>
      <c r="D62" s="222">
        <v>3242.9798942593984</v>
      </c>
      <c r="E62" s="223">
        <v>0</v>
      </c>
      <c r="F62" s="7"/>
      <c r="G62" s="7"/>
      <c r="H62" s="7"/>
      <c r="I62" s="7"/>
      <c r="J62" s="7"/>
      <c r="K62" s="7"/>
      <c r="L62" s="7"/>
    </row>
    <row r="63" spans="1:12" x14ac:dyDescent="0.25">
      <c r="A63" s="246" t="s">
        <v>227</v>
      </c>
      <c r="B63" s="215">
        <v>102000</v>
      </c>
      <c r="C63" s="216">
        <v>0</v>
      </c>
      <c r="D63" s="222">
        <v>89.473684210526315</v>
      </c>
      <c r="E63" s="223">
        <v>0</v>
      </c>
      <c r="F63" s="7"/>
      <c r="G63" s="7"/>
      <c r="H63" s="7"/>
      <c r="I63" s="7"/>
      <c r="J63" s="7"/>
      <c r="K63" s="7"/>
      <c r="L63" s="7"/>
    </row>
    <row r="64" spans="1:12" x14ac:dyDescent="0.25">
      <c r="A64" s="246" t="s">
        <v>207</v>
      </c>
      <c r="B64" s="215">
        <v>560782.72</v>
      </c>
      <c r="C64" s="216">
        <v>0</v>
      </c>
      <c r="D64" s="222">
        <v>461.17558491974614</v>
      </c>
      <c r="E64" s="223">
        <v>0</v>
      </c>
      <c r="F64" s="7"/>
      <c r="G64" s="7"/>
      <c r="H64" s="7"/>
      <c r="I64" s="7"/>
      <c r="J64" s="7"/>
      <c r="K64" s="7"/>
      <c r="L64" s="7"/>
    </row>
    <row r="65" spans="1:12" x14ac:dyDescent="0.25">
      <c r="A65" s="352" t="s">
        <v>207</v>
      </c>
      <c r="B65" s="215">
        <v>206227.12</v>
      </c>
      <c r="C65" s="216">
        <v>0</v>
      </c>
      <c r="D65" s="222">
        <v>146.26036879432624</v>
      </c>
      <c r="E65" s="223">
        <v>0</v>
      </c>
      <c r="F65" s="7"/>
      <c r="G65" s="7"/>
      <c r="H65" s="7"/>
      <c r="I65" s="7"/>
      <c r="J65" s="7"/>
      <c r="K65" s="7"/>
      <c r="L65" s="7"/>
    </row>
    <row r="66" spans="1:12" x14ac:dyDescent="0.25">
      <c r="A66" s="246" t="s">
        <v>207</v>
      </c>
      <c r="B66" s="215">
        <v>206227.12</v>
      </c>
      <c r="C66" s="216">
        <v>0</v>
      </c>
      <c r="D66" s="222">
        <v>146.26036879432624</v>
      </c>
      <c r="E66" s="223">
        <v>0</v>
      </c>
      <c r="F66" s="7"/>
      <c r="G66" s="7"/>
      <c r="H66" s="7"/>
      <c r="I66" s="7"/>
      <c r="J66" s="7"/>
      <c r="K66" s="7"/>
      <c r="L66" s="7"/>
    </row>
    <row r="67" spans="1:12" x14ac:dyDescent="0.25">
      <c r="A67" s="352" t="s">
        <v>236</v>
      </c>
      <c r="B67" s="215">
        <v>19836401.279999997</v>
      </c>
      <c r="C67" s="216">
        <v>0</v>
      </c>
      <c r="D67" s="222">
        <v>16023.651341671552</v>
      </c>
      <c r="E67" s="223">
        <v>0</v>
      </c>
      <c r="F67" s="7"/>
      <c r="G67" s="7"/>
      <c r="H67" s="7"/>
      <c r="I67" s="7"/>
      <c r="J67" s="7"/>
      <c r="K67" s="7"/>
      <c r="L67" s="7"/>
    </row>
    <row r="68" spans="1:12" x14ac:dyDescent="0.25">
      <c r="A68" s="246" t="s">
        <v>33</v>
      </c>
      <c r="B68" s="215">
        <v>1552045.3</v>
      </c>
      <c r="C68" s="216">
        <v>0</v>
      </c>
      <c r="D68" s="222">
        <v>1303.7778396601614</v>
      </c>
      <c r="E68" s="223">
        <v>0</v>
      </c>
      <c r="F68" s="7"/>
      <c r="G68" s="7"/>
      <c r="H68" s="7"/>
      <c r="I68" s="7"/>
      <c r="J68" s="7"/>
      <c r="K68" s="7"/>
      <c r="L68" s="7"/>
    </row>
    <row r="69" spans="1:12" x14ac:dyDescent="0.25">
      <c r="A69" s="246" t="s">
        <v>227</v>
      </c>
      <c r="B69" s="215">
        <v>2675132.2999999998</v>
      </c>
      <c r="C69" s="216">
        <v>0</v>
      </c>
      <c r="D69" s="222">
        <v>2309.9902828637883</v>
      </c>
      <c r="E69" s="223">
        <v>0</v>
      </c>
      <c r="F69" s="7"/>
      <c r="G69" s="7"/>
      <c r="H69" s="7"/>
      <c r="I69" s="7"/>
      <c r="J69" s="7"/>
      <c r="K69" s="7"/>
      <c r="L69" s="7"/>
    </row>
    <row r="70" spans="1:12" x14ac:dyDescent="0.25">
      <c r="A70" s="246" t="s">
        <v>237</v>
      </c>
      <c r="B70" s="215">
        <v>737220</v>
      </c>
      <c r="C70" s="216">
        <v>0</v>
      </c>
      <c r="D70" s="222">
        <v>600.06237700069289</v>
      </c>
      <c r="E70" s="223">
        <v>0</v>
      </c>
      <c r="F70" s="7"/>
      <c r="G70" s="7"/>
      <c r="H70" s="7"/>
      <c r="I70" s="7"/>
      <c r="J70" s="7"/>
      <c r="K70" s="7"/>
      <c r="L70" s="7"/>
    </row>
    <row r="71" spans="1:12" x14ac:dyDescent="0.25">
      <c r="A71" s="246" t="s">
        <v>238</v>
      </c>
      <c r="B71" s="215">
        <v>10239.15</v>
      </c>
      <c r="C71" s="216">
        <v>0</v>
      </c>
      <c r="D71" s="222">
        <v>8.9817105263157888</v>
      </c>
      <c r="E71" s="223">
        <v>0</v>
      </c>
      <c r="F71" s="7"/>
      <c r="G71" s="7"/>
      <c r="H71" s="7"/>
      <c r="I71" s="7"/>
      <c r="J71" s="7"/>
      <c r="K71" s="7"/>
      <c r="L71" s="7"/>
    </row>
    <row r="72" spans="1:12" x14ac:dyDescent="0.25">
      <c r="A72" s="246" t="s">
        <v>214</v>
      </c>
      <c r="B72" s="215">
        <v>1563815</v>
      </c>
      <c r="C72" s="216">
        <v>0</v>
      </c>
      <c r="D72" s="222">
        <v>1281.3049164219917</v>
      </c>
      <c r="E72" s="223">
        <v>0</v>
      </c>
      <c r="F72" s="7"/>
      <c r="G72" s="7"/>
      <c r="H72" s="7"/>
      <c r="I72" s="7"/>
      <c r="J72" s="7"/>
      <c r="K72" s="7"/>
      <c r="L72" s="7"/>
    </row>
    <row r="73" spans="1:12" x14ac:dyDescent="0.25">
      <c r="A73" s="246" t="s">
        <v>239</v>
      </c>
      <c r="B73" s="215">
        <v>9964883.2799999993</v>
      </c>
      <c r="C73" s="216">
        <v>0</v>
      </c>
      <c r="D73" s="222">
        <v>7976.1174382471445</v>
      </c>
      <c r="E73" s="223">
        <v>0</v>
      </c>
      <c r="F73" s="7"/>
      <c r="G73" s="7"/>
      <c r="H73" s="7"/>
      <c r="I73" s="7"/>
      <c r="J73" s="7"/>
      <c r="K73" s="7"/>
      <c r="L73" s="7"/>
    </row>
    <row r="74" spans="1:12" x14ac:dyDescent="0.25">
      <c r="A74" s="246" t="s">
        <v>207</v>
      </c>
      <c r="B74" s="215">
        <v>1003379.13</v>
      </c>
      <c r="C74" s="216">
        <v>0</v>
      </c>
      <c r="D74" s="222">
        <v>696.53301761215641</v>
      </c>
      <c r="E74" s="223">
        <v>0</v>
      </c>
      <c r="F74" s="7"/>
      <c r="G74" s="7"/>
      <c r="H74" s="7"/>
      <c r="I74" s="7"/>
      <c r="J74" s="7"/>
      <c r="K74" s="7"/>
      <c r="L74" s="7"/>
    </row>
    <row r="75" spans="1:12" x14ac:dyDescent="0.25">
      <c r="A75" s="246" t="s">
        <v>240</v>
      </c>
      <c r="B75" s="215">
        <v>162752.49</v>
      </c>
      <c r="C75" s="216">
        <v>0</v>
      </c>
      <c r="D75" s="222">
        <v>141.07134210526317</v>
      </c>
      <c r="E75" s="223">
        <v>0</v>
      </c>
      <c r="F75" s="7"/>
      <c r="G75" s="7"/>
      <c r="H75" s="7"/>
      <c r="I75" s="7"/>
      <c r="J75" s="7"/>
      <c r="K75" s="7"/>
      <c r="L75" s="7"/>
    </row>
    <row r="76" spans="1:12" x14ac:dyDescent="0.25">
      <c r="A76" s="246" t="s">
        <v>241</v>
      </c>
      <c r="B76" s="215">
        <v>1169754.6299999999</v>
      </c>
      <c r="C76" s="216">
        <v>0</v>
      </c>
      <c r="D76" s="222">
        <v>985.64297336932077</v>
      </c>
      <c r="E76" s="223">
        <v>0</v>
      </c>
      <c r="F76" s="7"/>
      <c r="G76" s="7"/>
      <c r="H76" s="7"/>
      <c r="I76" s="7"/>
      <c r="J76" s="7"/>
      <c r="K76" s="7"/>
      <c r="L76" s="7"/>
    </row>
    <row r="77" spans="1:12" x14ac:dyDescent="0.25">
      <c r="A77" s="246" t="s">
        <v>242</v>
      </c>
      <c r="B77" s="215">
        <v>96930</v>
      </c>
      <c r="C77" s="216">
        <v>0</v>
      </c>
      <c r="D77" s="222">
        <v>82.84615384615384</v>
      </c>
      <c r="E77" s="223">
        <v>0</v>
      </c>
      <c r="F77" s="7"/>
      <c r="G77" s="7"/>
      <c r="H77" s="7"/>
      <c r="I77" s="7"/>
      <c r="J77" s="7"/>
      <c r="K77" s="7"/>
      <c r="L77" s="7"/>
    </row>
    <row r="78" spans="1:12" x14ac:dyDescent="0.25">
      <c r="A78" s="246" t="s">
        <v>243</v>
      </c>
      <c r="B78" s="215">
        <v>900250</v>
      </c>
      <c r="C78" s="216">
        <v>0</v>
      </c>
      <c r="D78" s="222">
        <v>637.32329001856351</v>
      </c>
      <c r="E78" s="223">
        <v>0</v>
      </c>
      <c r="F78" s="7"/>
      <c r="G78" s="7"/>
      <c r="H78" s="7"/>
      <c r="I78" s="7"/>
      <c r="J78" s="7"/>
      <c r="K78" s="7"/>
      <c r="L78" s="7"/>
    </row>
    <row r="79" spans="1:12" x14ac:dyDescent="0.25">
      <c r="A79" s="360" t="s">
        <v>244</v>
      </c>
      <c r="B79" s="281">
        <v>1077784901.03</v>
      </c>
      <c r="C79" s="282">
        <v>1254814759.27</v>
      </c>
      <c r="D79" s="283">
        <v>838598.19718962465</v>
      </c>
      <c r="E79" s="284">
        <v>933065.90772707423</v>
      </c>
      <c r="F79" s="7"/>
      <c r="G79" s="7"/>
      <c r="H79" s="7"/>
      <c r="I79" s="7"/>
      <c r="J79" s="7"/>
      <c r="K79" s="7"/>
      <c r="L79" s="7"/>
    </row>
    <row r="80" spans="1:12" x14ac:dyDescent="0.25">
      <c r="A80" s="352" t="s">
        <v>38</v>
      </c>
      <c r="B80" s="215">
        <v>297543011.91000003</v>
      </c>
      <c r="C80" s="216">
        <v>0</v>
      </c>
      <c r="D80" s="222">
        <v>232145.64260107736</v>
      </c>
      <c r="E80" s="223">
        <v>0</v>
      </c>
      <c r="F80" s="7"/>
      <c r="G80" s="7"/>
      <c r="H80" s="7"/>
      <c r="I80" s="7"/>
      <c r="J80" s="7"/>
      <c r="K80" s="7"/>
      <c r="L80" s="7"/>
    </row>
    <row r="81" spans="1:12" x14ac:dyDescent="0.25">
      <c r="A81" s="246" t="s">
        <v>245</v>
      </c>
      <c r="B81" s="215">
        <v>22223906.859999999</v>
      </c>
      <c r="C81" s="216">
        <v>0</v>
      </c>
      <c r="D81" s="222">
        <v>15761.636070921986</v>
      </c>
      <c r="E81" s="223">
        <v>0</v>
      </c>
      <c r="F81" s="7"/>
      <c r="G81" s="7"/>
      <c r="H81" s="7"/>
      <c r="I81" s="7"/>
      <c r="J81" s="7"/>
      <c r="K81" s="7"/>
      <c r="L81" s="7"/>
    </row>
    <row r="82" spans="1:12" x14ac:dyDescent="0.25">
      <c r="A82" s="246" t="s">
        <v>246</v>
      </c>
      <c r="B82" s="215">
        <v>1830361.64</v>
      </c>
      <c r="C82" s="216">
        <v>0</v>
      </c>
      <c r="D82" s="222">
        <v>1605.5803859649122</v>
      </c>
      <c r="E82" s="223">
        <v>0</v>
      </c>
      <c r="F82" s="7"/>
      <c r="G82" s="7"/>
      <c r="H82" s="7"/>
      <c r="I82" s="7"/>
      <c r="J82" s="7"/>
      <c r="K82" s="7"/>
      <c r="L82" s="7"/>
    </row>
    <row r="83" spans="1:12" x14ac:dyDescent="0.25">
      <c r="A83" s="246" t="s">
        <v>247</v>
      </c>
      <c r="B83" s="215">
        <v>3721914.98</v>
      </c>
      <c r="C83" s="216">
        <v>0</v>
      </c>
      <c r="D83" s="222">
        <v>3264.8377017543858</v>
      </c>
      <c r="E83" s="223">
        <v>0</v>
      </c>
      <c r="F83" s="7"/>
      <c r="G83" s="7"/>
      <c r="H83" s="7"/>
      <c r="I83" s="7"/>
      <c r="J83" s="7"/>
      <c r="K83" s="7"/>
      <c r="L83" s="7"/>
    </row>
    <row r="84" spans="1:12" x14ac:dyDescent="0.25">
      <c r="A84" s="246" t="s">
        <v>248</v>
      </c>
      <c r="B84" s="215">
        <v>22882213.690000001</v>
      </c>
      <c r="C84" s="216">
        <v>0</v>
      </c>
      <c r="D84" s="222">
        <v>20072.117271929827</v>
      </c>
      <c r="E84" s="223">
        <v>0</v>
      </c>
      <c r="F84" s="7"/>
      <c r="G84" s="7"/>
      <c r="H84" s="7"/>
      <c r="I84" s="7"/>
      <c r="J84" s="7"/>
      <c r="K84" s="7"/>
      <c r="L84" s="7"/>
    </row>
    <row r="85" spans="1:12" x14ac:dyDescent="0.25">
      <c r="A85" s="246" t="s">
        <v>249</v>
      </c>
      <c r="B85" s="215">
        <v>3677142.48</v>
      </c>
      <c r="C85" s="216">
        <v>0</v>
      </c>
      <c r="D85" s="222">
        <v>3150.9361439588688</v>
      </c>
      <c r="E85" s="223">
        <v>0</v>
      </c>
      <c r="F85" s="7"/>
      <c r="G85" s="7"/>
      <c r="H85" s="7"/>
      <c r="I85" s="7"/>
      <c r="J85" s="7"/>
      <c r="K85" s="7"/>
      <c r="L85" s="7"/>
    </row>
    <row r="86" spans="1:12" x14ac:dyDescent="0.25">
      <c r="A86" s="246" t="s">
        <v>250</v>
      </c>
      <c r="B86" s="215">
        <v>3743547.5</v>
      </c>
      <c r="C86" s="216">
        <v>0</v>
      </c>
      <c r="D86" s="222">
        <v>3151.1342592592591</v>
      </c>
      <c r="E86" s="223">
        <v>0</v>
      </c>
      <c r="F86" s="7"/>
      <c r="G86" s="7"/>
      <c r="H86" s="7"/>
      <c r="I86" s="7"/>
      <c r="J86" s="7"/>
      <c r="K86" s="7"/>
      <c r="L86" s="7"/>
    </row>
    <row r="87" spans="1:12" x14ac:dyDescent="0.25">
      <c r="A87" s="246" t="s">
        <v>251</v>
      </c>
      <c r="B87" s="215">
        <v>73425671.420000002</v>
      </c>
      <c r="C87" s="216">
        <v>0</v>
      </c>
      <c r="D87" s="222">
        <v>59756.612218685535</v>
      </c>
      <c r="E87" s="223">
        <v>0</v>
      </c>
      <c r="F87" s="7"/>
      <c r="G87" s="7"/>
      <c r="H87" s="7"/>
      <c r="I87" s="7"/>
      <c r="J87" s="7"/>
      <c r="K87" s="7"/>
      <c r="L87" s="7"/>
    </row>
    <row r="88" spans="1:12" x14ac:dyDescent="0.25">
      <c r="A88" s="246" t="s">
        <v>252</v>
      </c>
      <c r="B88" s="215">
        <v>3690666.26</v>
      </c>
      <c r="C88" s="216">
        <v>0</v>
      </c>
      <c r="D88" s="222">
        <v>3070.4378202995008</v>
      </c>
      <c r="E88" s="223">
        <v>0</v>
      </c>
      <c r="F88" s="7"/>
      <c r="G88" s="7"/>
      <c r="H88" s="7"/>
      <c r="I88" s="7"/>
      <c r="J88" s="7"/>
      <c r="K88" s="7"/>
      <c r="L88" s="7"/>
    </row>
    <row r="89" spans="1:12" x14ac:dyDescent="0.25">
      <c r="A89" s="246" t="s">
        <v>253</v>
      </c>
      <c r="B89" s="215">
        <v>35003614</v>
      </c>
      <c r="C89" s="216">
        <v>0</v>
      </c>
      <c r="D89" s="222">
        <v>27134.584496124033</v>
      </c>
      <c r="E89" s="223">
        <v>0</v>
      </c>
      <c r="F89" s="7"/>
      <c r="G89" s="7"/>
      <c r="H89" s="7"/>
      <c r="I89" s="7"/>
      <c r="J89" s="7"/>
      <c r="K89" s="7"/>
      <c r="L89" s="7"/>
    </row>
    <row r="90" spans="1:12" x14ac:dyDescent="0.25">
      <c r="A90" s="246" t="s">
        <v>254</v>
      </c>
      <c r="B90" s="215">
        <v>24634929.239999998</v>
      </c>
      <c r="C90" s="216">
        <v>0</v>
      </c>
      <c r="D90" s="222">
        <v>21055.495076923075</v>
      </c>
      <c r="E90" s="223">
        <v>0</v>
      </c>
      <c r="F90" s="7"/>
      <c r="G90" s="7"/>
      <c r="H90" s="7"/>
      <c r="I90" s="7"/>
      <c r="J90" s="7"/>
      <c r="K90" s="7"/>
      <c r="L90" s="7"/>
    </row>
    <row r="91" spans="1:12" x14ac:dyDescent="0.25">
      <c r="A91" s="246" t="s">
        <v>255</v>
      </c>
      <c r="B91" s="215">
        <v>3686904.33</v>
      </c>
      <c r="C91" s="216">
        <v>0</v>
      </c>
      <c r="D91" s="222">
        <v>2691.1710437956203</v>
      </c>
      <c r="E91" s="223">
        <v>0</v>
      </c>
      <c r="F91" s="7"/>
      <c r="G91" s="7"/>
      <c r="H91" s="7"/>
      <c r="I91" s="7"/>
      <c r="J91" s="7"/>
      <c r="K91" s="7"/>
      <c r="L91" s="7"/>
    </row>
    <row r="92" spans="1:12" x14ac:dyDescent="0.25">
      <c r="A92" s="246" t="s">
        <v>80</v>
      </c>
      <c r="B92" s="215">
        <v>66683061.909999996</v>
      </c>
      <c r="C92" s="216">
        <v>0</v>
      </c>
      <c r="D92" s="222">
        <v>49031.663169117644</v>
      </c>
      <c r="E92" s="223">
        <v>0</v>
      </c>
      <c r="F92" s="7"/>
      <c r="G92" s="7"/>
      <c r="H92" s="7"/>
      <c r="I92" s="7"/>
      <c r="J92" s="7"/>
      <c r="K92" s="7"/>
      <c r="L92" s="7"/>
    </row>
    <row r="93" spans="1:12" x14ac:dyDescent="0.25">
      <c r="A93" s="246" t="s">
        <v>256</v>
      </c>
      <c r="B93" s="215">
        <v>3672109.11</v>
      </c>
      <c r="C93" s="216">
        <v>0</v>
      </c>
      <c r="D93" s="222">
        <v>2467.8152620967739</v>
      </c>
      <c r="E93" s="223">
        <v>0</v>
      </c>
      <c r="F93" s="7"/>
      <c r="G93" s="7"/>
      <c r="H93" s="7"/>
      <c r="I93" s="7"/>
      <c r="J93" s="7"/>
      <c r="K93" s="7"/>
      <c r="L93" s="7"/>
    </row>
    <row r="94" spans="1:12" x14ac:dyDescent="0.25">
      <c r="A94" s="246" t="s">
        <v>257</v>
      </c>
      <c r="B94" s="215">
        <v>28594507.640000001</v>
      </c>
      <c r="C94" s="216">
        <v>0</v>
      </c>
      <c r="D94" s="222">
        <v>19880.231006487062</v>
      </c>
      <c r="E94" s="223">
        <v>0</v>
      </c>
      <c r="F94" s="7"/>
      <c r="G94" s="7"/>
      <c r="H94" s="7"/>
      <c r="I94" s="7"/>
      <c r="J94" s="7"/>
      <c r="K94" s="7"/>
      <c r="L94" s="7"/>
    </row>
    <row r="95" spans="1:12" x14ac:dyDescent="0.25">
      <c r="A95" s="246" t="s">
        <v>258</v>
      </c>
      <c r="B95" s="215">
        <v>72460.850000000006</v>
      </c>
      <c r="C95" s="216">
        <v>0</v>
      </c>
      <c r="D95" s="222">
        <v>51.390673758865255</v>
      </c>
      <c r="E95" s="223">
        <v>0</v>
      </c>
      <c r="F95" s="7"/>
      <c r="G95" s="7"/>
      <c r="H95" s="7"/>
      <c r="I95" s="7"/>
      <c r="J95" s="7"/>
      <c r="K95" s="7"/>
      <c r="L95" s="7"/>
    </row>
    <row r="96" spans="1:12" x14ac:dyDescent="0.25">
      <c r="A96" s="352" t="s">
        <v>259</v>
      </c>
      <c r="B96" s="215">
        <v>678949589.11999989</v>
      </c>
      <c r="C96" s="216">
        <v>678949219.3499999</v>
      </c>
      <c r="D96" s="222">
        <v>528304.41318803758</v>
      </c>
      <c r="E96" s="223">
        <v>496941.00050593668</v>
      </c>
      <c r="F96" s="7"/>
      <c r="G96" s="7"/>
      <c r="H96" s="7"/>
      <c r="I96" s="7"/>
      <c r="J96" s="7"/>
      <c r="K96" s="7"/>
      <c r="L96" s="7"/>
    </row>
    <row r="97" spans="1:12" x14ac:dyDescent="0.25">
      <c r="A97" s="246" t="s">
        <v>260</v>
      </c>
      <c r="B97" s="215">
        <v>678949589.11999989</v>
      </c>
      <c r="C97" s="216">
        <v>678949219.3499999</v>
      </c>
      <c r="D97" s="222">
        <v>528304.41318803758</v>
      </c>
      <c r="E97" s="223">
        <v>496941.00050593668</v>
      </c>
      <c r="F97" s="7"/>
      <c r="G97" s="7"/>
      <c r="H97" s="7"/>
      <c r="I97" s="7"/>
      <c r="J97" s="7"/>
      <c r="K97" s="7"/>
      <c r="L97" s="7"/>
    </row>
    <row r="98" spans="1:12" x14ac:dyDescent="0.25">
      <c r="A98" s="352" t="s">
        <v>261</v>
      </c>
      <c r="B98" s="215">
        <v>0</v>
      </c>
      <c r="C98" s="216">
        <v>474150065.53999996</v>
      </c>
      <c r="D98" s="222">
        <v>0</v>
      </c>
      <c r="E98" s="223">
        <v>357694.5683550408</v>
      </c>
      <c r="F98" s="7"/>
      <c r="G98" s="7"/>
      <c r="H98" s="7"/>
      <c r="I98" s="7"/>
      <c r="J98" s="7"/>
      <c r="K98" s="7"/>
      <c r="L98" s="7"/>
    </row>
    <row r="99" spans="1:12" x14ac:dyDescent="0.25">
      <c r="A99" s="246" t="s">
        <v>262</v>
      </c>
      <c r="B99" s="215">
        <v>0</v>
      </c>
      <c r="C99" s="216">
        <v>40500000</v>
      </c>
      <c r="D99" s="222">
        <v>0</v>
      </c>
      <c r="E99" s="223">
        <v>31662.933930571107</v>
      </c>
      <c r="F99" s="7"/>
      <c r="G99" s="7"/>
      <c r="H99" s="7"/>
      <c r="I99" s="7"/>
      <c r="J99" s="7"/>
      <c r="K99" s="7"/>
      <c r="L99" s="7"/>
    </row>
    <row r="100" spans="1:12" x14ac:dyDescent="0.25">
      <c r="A100" s="246" t="s">
        <v>263</v>
      </c>
      <c r="B100" s="215">
        <v>0</v>
      </c>
      <c r="C100" s="216">
        <v>25762930</v>
      </c>
      <c r="D100" s="222">
        <v>0</v>
      </c>
      <c r="E100" s="223">
        <v>22599.061403508771</v>
      </c>
      <c r="F100" s="7"/>
      <c r="G100" s="7"/>
      <c r="H100" s="7"/>
      <c r="I100" s="7"/>
      <c r="J100" s="7"/>
      <c r="K100" s="7"/>
      <c r="L100" s="7"/>
    </row>
    <row r="101" spans="1:12" x14ac:dyDescent="0.25">
      <c r="A101" s="246" t="s">
        <v>253</v>
      </c>
      <c r="B101" s="215">
        <v>0</v>
      </c>
      <c r="C101" s="216">
        <v>47026476.840000004</v>
      </c>
      <c r="D101" s="222">
        <v>0</v>
      </c>
      <c r="E101" s="223">
        <v>36050.713794879688</v>
      </c>
      <c r="F101" s="7"/>
      <c r="G101" s="7"/>
      <c r="H101" s="7"/>
      <c r="I101" s="7"/>
      <c r="J101" s="7"/>
      <c r="K101" s="7"/>
      <c r="L101" s="7"/>
    </row>
    <row r="102" spans="1:12" x14ac:dyDescent="0.25">
      <c r="A102" s="246" t="s">
        <v>254</v>
      </c>
      <c r="B102" s="215">
        <v>0</v>
      </c>
      <c r="C102" s="216">
        <v>30614596.699999999</v>
      </c>
      <c r="D102" s="222">
        <v>0</v>
      </c>
      <c r="E102" s="223">
        <v>26166.321965811967</v>
      </c>
      <c r="F102" s="7"/>
      <c r="G102" s="7"/>
      <c r="H102" s="7"/>
      <c r="I102" s="7"/>
      <c r="J102" s="7"/>
      <c r="K102" s="7"/>
      <c r="L102" s="7"/>
    </row>
    <row r="103" spans="1:12" x14ac:dyDescent="0.25">
      <c r="A103" s="246" t="s">
        <v>264</v>
      </c>
      <c r="B103" s="215">
        <v>0</v>
      </c>
      <c r="C103" s="216">
        <v>91723030</v>
      </c>
      <c r="D103" s="222">
        <v>0</v>
      </c>
      <c r="E103" s="223">
        <v>67443.529847494559</v>
      </c>
      <c r="F103" s="7"/>
      <c r="G103" s="7"/>
      <c r="H103" s="7"/>
      <c r="I103" s="7"/>
      <c r="J103" s="7"/>
      <c r="K103" s="7"/>
      <c r="L103" s="7"/>
    </row>
    <row r="104" spans="1:12" x14ac:dyDescent="0.25">
      <c r="A104" s="246" t="s">
        <v>265</v>
      </c>
      <c r="B104" s="215">
        <v>0</v>
      </c>
      <c r="C104" s="216">
        <v>19664000</v>
      </c>
      <c r="D104" s="222">
        <v>0</v>
      </c>
      <c r="E104" s="223">
        <v>17249.122807017542</v>
      </c>
      <c r="F104" s="7"/>
      <c r="G104" s="7"/>
      <c r="H104" s="7"/>
      <c r="I104" s="7"/>
      <c r="J104" s="7"/>
      <c r="K104" s="7"/>
      <c r="L104" s="7"/>
    </row>
    <row r="105" spans="1:12" x14ac:dyDescent="0.25">
      <c r="A105" s="246" t="s">
        <v>80</v>
      </c>
      <c r="B105" s="215">
        <v>0</v>
      </c>
      <c r="C105" s="216">
        <v>50000000</v>
      </c>
      <c r="D105" s="222">
        <v>0</v>
      </c>
      <c r="E105" s="223">
        <v>36764.705882352944</v>
      </c>
      <c r="F105" s="7"/>
      <c r="G105" s="7"/>
      <c r="H105" s="7"/>
      <c r="I105" s="7"/>
      <c r="J105" s="7"/>
      <c r="K105" s="7"/>
      <c r="L105" s="7"/>
    </row>
    <row r="106" spans="1:12" x14ac:dyDescent="0.25">
      <c r="A106" s="246" t="s">
        <v>266</v>
      </c>
      <c r="B106" s="215">
        <v>0</v>
      </c>
      <c r="C106" s="216">
        <v>30000000</v>
      </c>
      <c r="D106" s="222">
        <v>0</v>
      </c>
      <c r="E106" s="223">
        <v>21276.59574468085</v>
      </c>
      <c r="F106" s="7"/>
      <c r="G106" s="7"/>
      <c r="H106" s="7"/>
      <c r="I106" s="7"/>
      <c r="J106" s="7"/>
      <c r="K106" s="7"/>
      <c r="L106" s="7"/>
    </row>
    <row r="107" spans="1:12" x14ac:dyDescent="0.25">
      <c r="A107" s="246" t="s">
        <v>267</v>
      </c>
      <c r="B107" s="215">
        <v>0</v>
      </c>
      <c r="C107" s="216">
        <v>42184113</v>
      </c>
      <c r="D107" s="222">
        <v>0</v>
      </c>
      <c r="E107" s="223">
        <v>29917.810638297873</v>
      </c>
      <c r="F107" s="7"/>
      <c r="G107" s="7"/>
      <c r="H107" s="7"/>
      <c r="I107" s="7"/>
      <c r="J107" s="7"/>
      <c r="K107" s="7"/>
      <c r="L107" s="7"/>
    </row>
    <row r="108" spans="1:12" x14ac:dyDescent="0.25">
      <c r="A108" s="246" t="s">
        <v>268</v>
      </c>
      <c r="B108" s="215">
        <v>0</v>
      </c>
      <c r="C108" s="216">
        <v>49042945</v>
      </c>
      <c r="D108" s="222">
        <v>0</v>
      </c>
      <c r="E108" s="223">
        <v>34782.2304964539</v>
      </c>
      <c r="F108" s="7"/>
      <c r="G108" s="7"/>
      <c r="H108" s="7"/>
      <c r="I108" s="7"/>
      <c r="J108" s="7"/>
      <c r="K108" s="7"/>
      <c r="L108" s="7"/>
    </row>
    <row r="109" spans="1:12" x14ac:dyDescent="0.25">
      <c r="A109" s="246" t="s">
        <v>269</v>
      </c>
      <c r="B109" s="215">
        <v>0</v>
      </c>
      <c r="C109" s="216">
        <v>5000000</v>
      </c>
      <c r="D109" s="222">
        <v>0</v>
      </c>
      <c r="E109" s="223">
        <v>3546.0992907801419</v>
      </c>
      <c r="F109" s="7"/>
      <c r="G109" s="7"/>
      <c r="H109" s="7"/>
      <c r="I109" s="7"/>
      <c r="J109" s="7"/>
      <c r="K109" s="7"/>
      <c r="L109" s="7"/>
    </row>
    <row r="110" spans="1:12" x14ac:dyDescent="0.25">
      <c r="A110" s="246" t="s">
        <v>270</v>
      </c>
      <c r="B110" s="215">
        <v>0</v>
      </c>
      <c r="C110" s="216">
        <v>42631974</v>
      </c>
      <c r="D110" s="222">
        <v>0</v>
      </c>
      <c r="E110" s="223">
        <v>30235.442553191489</v>
      </c>
      <c r="F110" s="7"/>
      <c r="G110" s="7"/>
      <c r="H110" s="7"/>
      <c r="I110" s="7"/>
      <c r="J110" s="7"/>
      <c r="K110" s="7"/>
      <c r="L110" s="7"/>
    </row>
    <row r="111" spans="1:12" x14ac:dyDescent="0.25">
      <c r="A111" s="352" t="s">
        <v>271</v>
      </c>
      <c r="B111" s="215">
        <v>292300</v>
      </c>
      <c r="C111" s="216">
        <v>17155.41</v>
      </c>
      <c r="D111" s="222">
        <v>256.40350877192981</v>
      </c>
      <c r="E111" s="223">
        <v>14.66274358974359</v>
      </c>
      <c r="F111" s="7"/>
      <c r="G111" s="7"/>
      <c r="H111" s="7"/>
      <c r="I111" s="7"/>
      <c r="J111" s="7"/>
      <c r="K111" s="7"/>
      <c r="L111" s="7"/>
    </row>
    <row r="112" spans="1:12" x14ac:dyDescent="0.25">
      <c r="A112" s="246" t="s">
        <v>272</v>
      </c>
      <c r="B112" s="215">
        <v>0</v>
      </c>
      <c r="C112" s="216">
        <v>17155.41</v>
      </c>
      <c r="D112" s="222">
        <v>0</v>
      </c>
      <c r="E112" s="223">
        <v>14.66274358974359</v>
      </c>
      <c r="F112" s="7"/>
      <c r="G112" s="7"/>
      <c r="H112" s="7"/>
      <c r="I112" s="7"/>
      <c r="J112" s="7"/>
      <c r="K112" s="7"/>
      <c r="L112" s="7"/>
    </row>
    <row r="113" spans="1:12" x14ac:dyDescent="0.25">
      <c r="A113" s="246" t="s">
        <v>273</v>
      </c>
      <c r="B113" s="215">
        <v>292300</v>
      </c>
      <c r="C113" s="216">
        <v>0</v>
      </c>
      <c r="D113" s="222">
        <v>256.40350877192981</v>
      </c>
      <c r="E113" s="223">
        <v>0</v>
      </c>
      <c r="F113" s="7"/>
      <c r="G113" s="7"/>
      <c r="H113" s="7"/>
      <c r="I113" s="7"/>
      <c r="J113" s="7"/>
      <c r="K113" s="7"/>
      <c r="L113" s="7"/>
    </row>
    <row r="114" spans="1:12" x14ac:dyDescent="0.25">
      <c r="A114" s="352" t="s">
        <v>61</v>
      </c>
      <c r="B114" s="215">
        <v>101000000</v>
      </c>
      <c r="C114" s="216">
        <v>101698318.97</v>
      </c>
      <c r="D114" s="222">
        <v>77891.737891737896</v>
      </c>
      <c r="E114" s="223">
        <v>78415.67612250711</v>
      </c>
      <c r="F114" s="7"/>
      <c r="G114" s="7"/>
      <c r="H114" s="7"/>
      <c r="I114" s="7"/>
      <c r="J114" s="7"/>
      <c r="K114" s="7"/>
      <c r="L114" s="7"/>
    </row>
    <row r="115" spans="1:12" x14ac:dyDescent="0.25">
      <c r="A115" s="246" t="s">
        <v>274</v>
      </c>
      <c r="B115" s="215">
        <v>101000000</v>
      </c>
      <c r="C115" s="216">
        <v>0</v>
      </c>
      <c r="D115" s="222">
        <v>77891.737891737896</v>
      </c>
      <c r="E115" s="223">
        <v>0</v>
      </c>
      <c r="F115" s="7"/>
      <c r="G115" s="7"/>
      <c r="H115" s="7"/>
      <c r="I115" s="7"/>
      <c r="J115" s="7"/>
      <c r="K115" s="7"/>
      <c r="L115" s="7"/>
    </row>
    <row r="116" spans="1:12" x14ac:dyDescent="0.25">
      <c r="A116" s="246" t="s">
        <v>275</v>
      </c>
      <c r="B116" s="215">
        <v>0</v>
      </c>
      <c r="C116" s="216">
        <v>101698318.97</v>
      </c>
      <c r="D116" s="222">
        <v>0</v>
      </c>
      <c r="E116" s="223">
        <v>78415.67612250711</v>
      </c>
      <c r="F116" s="7"/>
      <c r="G116" s="7"/>
      <c r="H116" s="7"/>
      <c r="I116" s="7"/>
      <c r="J116" s="7"/>
      <c r="K116" s="7"/>
      <c r="L116" s="7"/>
    </row>
    <row r="117" spans="1:12" x14ac:dyDescent="0.25">
      <c r="A117" s="360" t="s">
        <v>276</v>
      </c>
      <c r="B117" s="281">
        <v>1101016.42</v>
      </c>
      <c r="C117" s="282">
        <v>0</v>
      </c>
      <c r="D117" s="283">
        <v>844.51944046381686</v>
      </c>
      <c r="E117" s="284">
        <v>0</v>
      </c>
      <c r="F117" s="7"/>
      <c r="G117" s="7"/>
      <c r="H117" s="7"/>
      <c r="I117" s="7"/>
      <c r="J117" s="7"/>
      <c r="K117" s="7"/>
      <c r="L117" s="7"/>
    </row>
    <row r="118" spans="1:12" x14ac:dyDescent="0.25">
      <c r="A118" s="352" t="s">
        <v>277</v>
      </c>
      <c r="B118" s="215">
        <v>332000</v>
      </c>
      <c r="C118" s="216">
        <v>0</v>
      </c>
      <c r="D118" s="222">
        <v>259.67907150359815</v>
      </c>
      <c r="E118" s="223">
        <v>0</v>
      </c>
      <c r="F118" s="7"/>
      <c r="G118" s="7"/>
      <c r="H118" s="7"/>
      <c r="I118" s="7"/>
      <c r="J118" s="7"/>
      <c r="K118" s="7"/>
      <c r="L118" s="7"/>
    </row>
    <row r="119" spans="1:12" x14ac:dyDescent="0.25">
      <c r="A119" s="246" t="s">
        <v>207</v>
      </c>
      <c r="B119" s="215">
        <v>3000</v>
      </c>
      <c r="C119" s="216">
        <v>0</v>
      </c>
      <c r="D119" s="222">
        <v>2.3255813953488373</v>
      </c>
      <c r="E119" s="223">
        <v>0</v>
      </c>
      <c r="F119" s="7"/>
      <c r="G119" s="7"/>
      <c r="H119" s="7"/>
      <c r="I119" s="7"/>
      <c r="J119" s="7"/>
      <c r="K119" s="7"/>
      <c r="L119" s="7"/>
    </row>
    <row r="120" spans="1:12" x14ac:dyDescent="0.25">
      <c r="A120" s="246" t="s">
        <v>278</v>
      </c>
      <c r="B120" s="215">
        <v>329000</v>
      </c>
      <c r="C120" s="216">
        <v>0</v>
      </c>
      <c r="D120" s="222">
        <v>257.35349010824933</v>
      </c>
      <c r="E120" s="223">
        <v>0</v>
      </c>
      <c r="F120" s="7"/>
      <c r="G120" s="7"/>
      <c r="H120" s="7"/>
      <c r="I120" s="7"/>
      <c r="J120" s="7"/>
      <c r="K120" s="7"/>
      <c r="L120" s="7"/>
    </row>
    <row r="121" spans="1:12" x14ac:dyDescent="0.25">
      <c r="A121" s="352" t="s">
        <v>279</v>
      </c>
      <c r="B121" s="215">
        <v>180000</v>
      </c>
      <c r="C121" s="216">
        <v>0</v>
      </c>
      <c r="D121" s="222">
        <v>141.79687491772137</v>
      </c>
      <c r="E121" s="223">
        <v>0</v>
      </c>
      <c r="F121" s="7"/>
      <c r="G121" s="7"/>
      <c r="H121" s="7"/>
      <c r="I121" s="7"/>
      <c r="J121" s="7"/>
      <c r="K121" s="7"/>
      <c r="L121" s="7"/>
    </row>
    <row r="122" spans="1:12" x14ac:dyDescent="0.25">
      <c r="A122" s="246" t="s">
        <v>280</v>
      </c>
      <c r="B122" s="215">
        <v>180000</v>
      </c>
      <c r="C122" s="216">
        <v>0</v>
      </c>
      <c r="D122" s="222">
        <v>141.79687491772137</v>
      </c>
      <c r="E122" s="223">
        <v>0</v>
      </c>
      <c r="F122" s="7"/>
      <c r="G122" s="7"/>
      <c r="H122" s="7"/>
      <c r="I122" s="7"/>
      <c r="J122" s="7"/>
      <c r="K122" s="7"/>
      <c r="L122" s="7"/>
    </row>
    <row r="123" spans="1:12" x14ac:dyDescent="0.25">
      <c r="A123" s="354" t="s">
        <v>281</v>
      </c>
      <c r="B123" s="211">
        <v>53000</v>
      </c>
      <c r="C123" s="212">
        <v>0</v>
      </c>
      <c r="D123" s="330">
        <v>45.299145299145302</v>
      </c>
      <c r="E123" s="329">
        <v>0</v>
      </c>
      <c r="F123" s="7"/>
      <c r="G123" s="7"/>
      <c r="H123" s="7"/>
      <c r="I123" s="7"/>
      <c r="J123" s="7"/>
      <c r="K123" s="7"/>
      <c r="L123" s="7"/>
    </row>
    <row r="124" spans="1:12" x14ac:dyDescent="0.25">
      <c r="A124" s="354" t="s">
        <v>282</v>
      </c>
      <c r="B124" s="211">
        <v>8800</v>
      </c>
      <c r="C124" s="212">
        <v>0</v>
      </c>
      <c r="D124" s="330">
        <v>7.7192982456140351</v>
      </c>
      <c r="E124" s="329">
        <v>0</v>
      </c>
      <c r="F124" s="7"/>
      <c r="G124" s="7"/>
      <c r="H124" s="7"/>
      <c r="I124" s="7"/>
      <c r="J124" s="7"/>
      <c r="K124" s="7"/>
      <c r="L124" s="7"/>
    </row>
    <row r="125" spans="1:12" x14ac:dyDescent="0.25">
      <c r="A125" s="246" t="s">
        <v>283</v>
      </c>
      <c r="B125" s="215">
        <v>8800</v>
      </c>
      <c r="C125" s="216">
        <v>0</v>
      </c>
      <c r="D125" s="222">
        <v>7.7192982456140351</v>
      </c>
      <c r="E125" s="223">
        <v>0</v>
      </c>
      <c r="F125" s="7"/>
      <c r="G125" s="7"/>
      <c r="H125" s="7"/>
      <c r="I125" s="7"/>
      <c r="J125" s="7"/>
      <c r="K125" s="7"/>
      <c r="L125" s="7"/>
    </row>
    <row r="126" spans="1:12" x14ac:dyDescent="0.25">
      <c r="A126" s="352" t="s">
        <v>284</v>
      </c>
      <c r="B126" s="215">
        <v>250000</v>
      </c>
      <c r="C126" s="216">
        <v>0</v>
      </c>
      <c r="D126" s="222">
        <v>193.79844961240309</v>
      </c>
      <c r="E126" s="223">
        <v>0</v>
      </c>
      <c r="F126" s="7"/>
      <c r="G126" s="7"/>
      <c r="H126" s="7"/>
      <c r="I126" s="7"/>
      <c r="J126" s="7"/>
      <c r="K126" s="7"/>
      <c r="L126" s="7"/>
    </row>
    <row r="127" spans="1:12" x14ac:dyDescent="0.25">
      <c r="A127" s="246" t="s">
        <v>207</v>
      </c>
      <c r="B127" s="215">
        <v>250000</v>
      </c>
      <c r="C127" s="216">
        <v>0</v>
      </c>
      <c r="D127" s="222">
        <v>193.79844961240309</v>
      </c>
      <c r="E127" s="223">
        <v>0</v>
      </c>
      <c r="F127" s="7"/>
      <c r="G127" s="7"/>
      <c r="H127" s="7"/>
      <c r="I127" s="7"/>
      <c r="J127" s="7"/>
      <c r="K127" s="7"/>
      <c r="L127" s="7"/>
    </row>
    <row r="128" spans="1:12" x14ac:dyDescent="0.25">
      <c r="A128" s="352" t="s">
        <v>202</v>
      </c>
      <c r="B128" s="215">
        <v>277216.42</v>
      </c>
      <c r="C128" s="216">
        <v>0</v>
      </c>
      <c r="D128" s="222">
        <v>196.22660088533485</v>
      </c>
      <c r="E128" s="223">
        <v>0</v>
      </c>
      <c r="F128" s="7"/>
      <c r="G128" s="7"/>
      <c r="H128" s="7"/>
      <c r="I128" s="7"/>
      <c r="J128" s="7"/>
      <c r="K128" s="7"/>
      <c r="L128" s="7"/>
    </row>
    <row r="129" spans="1:12" x14ac:dyDescent="0.25">
      <c r="A129" s="246" t="s">
        <v>207</v>
      </c>
      <c r="B129" s="215">
        <v>267216.42</v>
      </c>
      <c r="C129" s="216">
        <v>0</v>
      </c>
      <c r="D129" s="222">
        <v>189.51519148936168</v>
      </c>
      <c r="E129" s="223">
        <v>0</v>
      </c>
      <c r="F129" s="7"/>
      <c r="G129" s="7"/>
      <c r="H129" s="7"/>
      <c r="I129" s="7"/>
      <c r="J129" s="7"/>
      <c r="K129" s="7"/>
      <c r="L129" s="7"/>
    </row>
    <row r="130" spans="1:12" x14ac:dyDescent="0.25">
      <c r="A130" s="246" t="s">
        <v>285</v>
      </c>
      <c r="B130" s="215">
        <v>10000</v>
      </c>
      <c r="C130" s="216">
        <v>0</v>
      </c>
      <c r="D130" s="222">
        <v>6.7114093959731544</v>
      </c>
      <c r="E130" s="223">
        <v>0</v>
      </c>
      <c r="F130" s="7"/>
      <c r="G130" s="7"/>
      <c r="H130" s="7"/>
      <c r="I130" s="7"/>
      <c r="J130" s="7"/>
      <c r="K130" s="7"/>
      <c r="L130" s="7"/>
    </row>
    <row r="131" spans="1:12" x14ac:dyDescent="0.25">
      <c r="A131" s="214" t="s">
        <v>286</v>
      </c>
      <c r="B131" s="349">
        <v>474419883.54000002</v>
      </c>
      <c r="C131" s="350">
        <v>453237219.39999998</v>
      </c>
      <c r="D131" s="363">
        <v>381582.35000788933</v>
      </c>
      <c r="E131" s="364">
        <v>376004.14689326182</v>
      </c>
      <c r="F131" s="7"/>
      <c r="G131" s="7"/>
      <c r="H131" s="7"/>
      <c r="I131" s="7"/>
      <c r="J131" s="7"/>
      <c r="K131" s="7"/>
      <c r="L131" s="7"/>
    </row>
    <row r="132" spans="1:12" x14ac:dyDescent="0.25">
      <c r="A132" s="352" t="s">
        <v>287</v>
      </c>
      <c r="B132" s="215">
        <v>99216219.000000015</v>
      </c>
      <c r="C132" s="216">
        <v>0</v>
      </c>
      <c r="D132" s="222">
        <v>78102.07550573851</v>
      </c>
      <c r="E132" s="223">
        <v>0</v>
      </c>
      <c r="F132" s="7"/>
      <c r="G132" s="7"/>
      <c r="H132" s="7"/>
      <c r="I132" s="7"/>
      <c r="J132" s="7"/>
      <c r="K132" s="7"/>
      <c r="L132" s="7"/>
    </row>
    <row r="133" spans="1:12" x14ac:dyDescent="0.25">
      <c r="A133" s="246" t="s">
        <v>217</v>
      </c>
      <c r="B133" s="215">
        <v>5446090</v>
      </c>
      <c r="C133" s="216">
        <v>0</v>
      </c>
      <c r="D133" s="222">
        <v>4387.8424520492545</v>
      </c>
      <c r="E133" s="223">
        <v>0</v>
      </c>
      <c r="F133" s="7"/>
      <c r="G133" s="7"/>
      <c r="H133" s="7"/>
      <c r="I133" s="7"/>
      <c r="J133" s="7"/>
      <c r="K133" s="7"/>
      <c r="L133" s="7"/>
    </row>
    <row r="134" spans="1:12" x14ac:dyDescent="0.25">
      <c r="A134" s="246" t="s">
        <v>288</v>
      </c>
      <c r="B134" s="215">
        <v>32411378.5</v>
      </c>
      <c r="C134" s="216">
        <v>0</v>
      </c>
      <c r="D134" s="222">
        <v>26529.360877121777</v>
      </c>
      <c r="E134" s="223">
        <v>0</v>
      </c>
      <c r="F134" s="7"/>
      <c r="G134" s="7"/>
      <c r="H134" s="7"/>
      <c r="I134" s="7"/>
      <c r="J134" s="7"/>
      <c r="K134" s="7"/>
      <c r="L134" s="7"/>
    </row>
    <row r="135" spans="1:12" x14ac:dyDescent="0.25">
      <c r="A135" s="246" t="s">
        <v>218</v>
      </c>
      <c r="B135" s="215">
        <v>95000</v>
      </c>
      <c r="C135" s="216">
        <v>0</v>
      </c>
      <c r="D135" s="222">
        <v>72.000470976097972</v>
      </c>
      <c r="E135" s="223">
        <v>0</v>
      </c>
      <c r="F135" s="7"/>
      <c r="G135" s="7"/>
      <c r="H135" s="7"/>
      <c r="I135" s="7"/>
      <c r="J135" s="7"/>
      <c r="K135" s="7"/>
      <c r="L135" s="7"/>
    </row>
    <row r="136" spans="1:12" x14ac:dyDescent="0.25">
      <c r="A136" s="246" t="s">
        <v>289</v>
      </c>
      <c r="B136" s="215">
        <v>9281875.9499999993</v>
      </c>
      <c r="C136" s="216">
        <v>0</v>
      </c>
      <c r="D136" s="222">
        <v>7144.4891376721071</v>
      </c>
      <c r="E136" s="223">
        <v>0</v>
      </c>
      <c r="F136" s="7"/>
      <c r="G136" s="7"/>
      <c r="H136" s="7"/>
      <c r="I136" s="7"/>
      <c r="J136" s="7"/>
      <c r="K136" s="7"/>
      <c r="L136" s="7"/>
    </row>
    <row r="137" spans="1:12" x14ac:dyDescent="0.25">
      <c r="A137" s="246" t="s">
        <v>290</v>
      </c>
      <c r="B137" s="215">
        <v>2104989</v>
      </c>
      <c r="C137" s="216">
        <v>0</v>
      </c>
      <c r="D137" s="222">
        <v>1609.6882466668585</v>
      </c>
      <c r="E137" s="223">
        <v>0</v>
      </c>
      <c r="F137" s="7"/>
      <c r="G137" s="7"/>
      <c r="H137" s="7"/>
      <c r="I137" s="7"/>
      <c r="J137" s="7"/>
      <c r="K137" s="7"/>
      <c r="L137" s="7"/>
    </row>
    <row r="138" spans="1:12" x14ac:dyDescent="0.25">
      <c r="A138" s="246" t="s">
        <v>291</v>
      </c>
      <c r="B138" s="215">
        <v>34931010.120000005</v>
      </c>
      <c r="C138" s="216">
        <v>0</v>
      </c>
      <c r="D138" s="222">
        <v>26358.119603806954</v>
      </c>
      <c r="E138" s="223">
        <v>0</v>
      </c>
      <c r="F138" s="7"/>
      <c r="G138" s="7"/>
      <c r="H138" s="7"/>
      <c r="I138" s="7"/>
      <c r="J138" s="7"/>
      <c r="K138" s="7"/>
      <c r="L138" s="7"/>
    </row>
    <row r="139" spans="1:12" x14ac:dyDescent="0.25">
      <c r="A139" s="246" t="s">
        <v>292</v>
      </c>
      <c r="B139" s="215">
        <v>2910645.43</v>
      </c>
      <c r="C139" s="216">
        <v>0</v>
      </c>
      <c r="D139" s="222">
        <v>2209.1966613929803</v>
      </c>
      <c r="E139" s="223">
        <v>0</v>
      </c>
      <c r="F139" s="7"/>
      <c r="G139" s="7"/>
      <c r="H139" s="7"/>
      <c r="I139" s="7"/>
      <c r="J139" s="7"/>
      <c r="K139" s="7"/>
      <c r="L139" s="7"/>
    </row>
    <row r="140" spans="1:12" x14ac:dyDescent="0.25">
      <c r="A140" s="246" t="s">
        <v>293</v>
      </c>
      <c r="B140" s="215">
        <v>12035230</v>
      </c>
      <c r="C140" s="216">
        <v>0</v>
      </c>
      <c r="D140" s="222">
        <v>9791.3780560524738</v>
      </c>
      <c r="E140" s="223">
        <v>0</v>
      </c>
      <c r="F140" s="7"/>
      <c r="G140" s="7"/>
      <c r="H140" s="7"/>
      <c r="I140" s="7"/>
      <c r="J140" s="7"/>
      <c r="K140" s="7"/>
      <c r="L140" s="7"/>
    </row>
    <row r="141" spans="1:12" x14ac:dyDescent="0.25">
      <c r="A141" s="352" t="s">
        <v>294</v>
      </c>
      <c r="B141" s="215">
        <v>375203664.54000002</v>
      </c>
      <c r="C141" s="216">
        <v>0</v>
      </c>
      <c r="D141" s="222">
        <v>303480.27450215083</v>
      </c>
      <c r="E141" s="223">
        <v>0</v>
      </c>
      <c r="F141" s="7"/>
      <c r="G141" s="7"/>
      <c r="H141" s="7"/>
      <c r="I141" s="7"/>
      <c r="J141" s="7"/>
      <c r="K141" s="7"/>
      <c r="L141" s="7"/>
    </row>
    <row r="142" spans="1:12" x14ac:dyDescent="0.25">
      <c r="A142" s="246" t="s">
        <v>295</v>
      </c>
      <c r="B142" s="215">
        <v>83285264.400000006</v>
      </c>
      <c r="C142" s="216">
        <v>0</v>
      </c>
      <c r="D142" s="222">
        <v>73057.249473684205</v>
      </c>
      <c r="E142" s="223">
        <v>0</v>
      </c>
      <c r="F142" s="7"/>
      <c r="G142" s="7"/>
      <c r="H142" s="7"/>
      <c r="I142" s="7"/>
      <c r="J142" s="7"/>
      <c r="K142" s="7"/>
      <c r="L142" s="7"/>
    </row>
    <row r="143" spans="1:12" x14ac:dyDescent="0.25">
      <c r="A143" s="246" t="s">
        <v>296</v>
      </c>
      <c r="B143" s="215">
        <v>25002223.5</v>
      </c>
      <c r="C143" s="216">
        <v>0</v>
      </c>
      <c r="D143" s="222">
        <v>21369.421794871796</v>
      </c>
      <c r="E143" s="223">
        <v>0</v>
      </c>
      <c r="F143" s="7"/>
      <c r="G143" s="7"/>
      <c r="H143" s="7"/>
      <c r="I143" s="7"/>
      <c r="J143" s="7"/>
      <c r="K143" s="7"/>
      <c r="L143" s="7"/>
    </row>
    <row r="144" spans="1:12" x14ac:dyDescent="0.25">
      <c r="A144" s="246" t="s">
        <v>297</v>
      </c>
      <c r="B144" s="215">
        <v>25002223.5</v>
      </c>
      <c r="C144" s="216">
        <v>0</v>
      </c>
      <c r="D144" s="222">
        <v>21369.421794871796</v>
      </c>
      <c r="E144" s="223">
        <v>0</v>
      </c>
      <c r="F144" s="7"/>
      <c r="G144" s="7"/>
      <c r="H144" s="7"/>
      <c r="I144" s="7"/>
      <c r="J144" s="7"/>
      <c r="K144" s="7"/>
      <c r="L144" s="7"/>
    </row>
    <row r="145" spans="1:12" x14ac:dyDescent="0.25">
      <c r="A145" s="246" t="s">
        <v>298</v>
      </c>
      <c r="B145" s="215">
        <v>24319448.5</v>
      </c>
      <c r="C145" s="216">
        <v>0</v>
      </c>
      <c r="D145" s="222">
        <v>20785.853418803417</v>
      </c>
      <c r="E145" s="223">
        <v>0</v>
      </c>
      <c r="F145" s="7"/>
      <c r="G145" s="7"/>
      <c r="H145" s="7"/>
      <c r="I145" s="7"/>
      <c r="J145" s="7"/>
      <c r="K145" s="7"/>
      <c r="L145" s="7"/>
    </row>
    <row r="146" spans="1:12" x14ac:dyDescent="0.25">
      <c r="A146" s="246" t="s">
        <v>299</v>
      </c>
      <c r="B146" s="215">
        <v>30022519.050000001</v>
      </c>
      <c r="C146" s="216">
        <v>0</v>
      </c>
      <c r="D146" s="222">
        <v>25660.272692307692</v>
      </c>
      <c r="E146" s="223">
        <v>0</v>
      </c>
      <c r="F146" s="7"/>
      <c r="G146" s="7"/>
      <c r="H146" s="7"/>
      <c r="I146" s="7"/>
      <c r="J146" s="7"/>
      <c r="K146" s="7"/>
      <c r="L146" s="7"/>
    </row>
    <row r="147" spans="1:12" x14ac:dyDescent="0.25">
      <c r="A147" s="246" t="s">
        <v>300</v>
      </c>
      <c r="B147" s="215">
        <v>33068720.620000001</v>
      </c>
      <c r="C147" s="216">
        <v>0</v>
      </c>
      <c r="D147" s="222">
        <v>25634.667147286822</v>
      </c>
      <c r="E147" s="223">
        <v>0</v>
      </c>
      <c r="F147" s="7"/>
      <c r="G147" s="7"/>
      <c r="H147" s="7"/>
      <c r="I147" s="7"/>
      <c r="J147" s="7"/>
      <c r="K147" s="7"/>
      <c r="L147" s="7"/>
    </row>
    <row r="148" spans="1:12" x14ac:dyDescent="0.25">
      <c r="A148" s="246" t="s">
        <v>301</v>
      </c>
      <c r="B148" s="215">
        <v>83285264.400000006</v>
      </c>
      <c r="C148" s="216">
        <v>0</v>
      </c>
      <c r="D148" s="222">
        <v>64562.220465116283</v>
      </c>
      <c r="E148" s="223">
        <v>0</v>
      </c>
      <c r="F148" s="7"/>
      <c r="G148" s="7"/>
      <c r="H148" s="7"/>
      <c r="I148" s="7"/>
      <c r="J148" s="7"/>
      <c r="K148" s="7"/>
      <c r="L148" s="7"/>
    </row>
    <row r="149" spans="1:12" x14ac:dyDescent="0.25">
      <c r="A149" s="246" t="s">
        <v>302</v>
      </c>
      <c r="B149" s="215">
        <v>16876032.940000001</v>
      </c>
      <c r="C149" s="216">
        <v>0</v>
      </c>
      <c r="D149" s="222">
        <v>12500.765140740741</v>
      </c>
      <c r="E149" s="223">
        <v>0</v>
      </c>
      <c r="F149" s="7"/>
      <c r="G149" s="7"/>
      <c r="H149" s="7"/>
      <c r="I149" s="7"/>
      <c r="J149" s="7"/>
      <c r="K149" s="7"/>
      <c r="L149" s="7"/>
    </row>
    <row r="150" spans="1:12" x14ac:dyDescent="0.25">
      <c r="A150" s="246" t="s">
        <v>303</v>
      </c>
      <c r="B150" s="215">
        <v>54341967.630000003</v>
      </c>
      <c r="C150" s="216">
        <v>0</v>
      </c>
      <c r="D150" s="222">
        <v>38540.402574468084</v>
      </c>
      <c r="E150" s="223">
        <v>0</v>
      </c>
      <c r="F150" s="7"/>
      <c r="G150" s="7"/>
      <c r="H150" s="7"/>
      <c r="I150" s="7"/>
      <c r="J150" s="7"/>
      <c r="K150" s="7"/>
      <c r="L150" s="7"/>
    </row>
    <row r="151" spans="1:12" x14ac:dyDescent="0.25">
      <c r="A151" s="352" t="s">
        <v>304</v>
      </c>
      <c r="B151" s="215">
        <v>0</v>
      </c>
      <c r="C151" s="216">
        <v>453237219.39999998</v>
      </c>
      <c r="D151" s="222">
        <v>0</v>
      </c>
      <c r="E151" s="223">
        <v>376004.14689326182</v>
      </c>
      <c r="F151" s="7"/>
      <c r="G151" s="7"/>
      <c r="H151" s="7"/>
      <c r="I151" s="7"/>
      <c r="J151" s="7"/>
      <c r="K151" s="7"/>
      <c r="L151" s="7"/>
    </row>
    <row r="152" spans="1:12" x14ac:dyDescent="0.25">
      <c r="A152" s="246" t="s">
        <v>305</v>
      </c>
      <c r="B152" s="215">
        <v>0</v>
      </c>
      <c r="C152" s="216">
        <v>247919057.40000001</v>
      </c>
      <c r="D152" s="222">
        <v>0</v>
      </c>
      <c r="E152" s="223">
        <v>206939.35742794676</v>
      </c>
      <c r="F152" s="7"/>
      <c r="G152" s="7"/>
      <c r="H152" s="7"/>
      <c r="I152" s="7"/>
      <c r="J152" s="7"/>
      <c r="K152" s="7"/>
      <c r="L152" s="7"/>
    </row>
    <row r="153" spans="1:12" x14ac:dyDescent="0.25">
      <c r="A153" s="246" t="s">
        <v>306</v>
      </c>
      <c r="B153" s="215">
        <v>0</v>
      </c>
      <c r="C153" s="216">
        <v>124560310</v>
      </c>
      <c r="D153" s="222">
        <v>0</v>
      </c>
      <c r="E153" s="223">
        <v>106461.80341880342</v>
      </c>
      <c r="F153" s="7"/>
      <c r="G153" s="7"/>
      <c r="H153" s="7"/>
      <c r="I153" s="7"/>
      <c r="J153" s="7"/>
      <c r="K153" s="7"/>
      <c r="L153" s="7"/>
    </row>
    <row r="154" spans="1:12" x14ac:dyDescent="0.25">
      <c r="A154" s="246" t="s">
        <v>307</v>
      </c>
      <c r="B154" s="215">
        <v>0</v>
      </c>
      <c r="C154" s="216">
        <v>80757852</v>
      </c>
      <c r="D154" s="222">
        <v>0</v>
      </c>
      <c r="E154" s="223">
        <v>62602.986046511629</v>
      </c>
      <c r="F154" s="7"/>
      <c r="G154" s="7"/>
      <c r="H154" s="7"/>
      <c r="I154" s="7"/>
      <c r="J154" s="7"/>
      <c r="K154" s="7"/>
      <c r="L154" s="7"/>
    </row>
    <row r="155" spans="1:12" x14ac:dyDescent="0.25">
      <c r="A155" s="218" t="s">
        <v>308</v>
      </c>
      <c r="B155" s="296">
        <v>2082677187.6200004</v>
      </c>
      <c r="C155" s="297">
        <v>2049819636.4300001</v>
      </c>
      <c r="D155" s="256">
        <v>1639899.2199324954</v>
      </c>
      <c r="E155" s="257">
        <v>1582493.2126670403</v>
      </c>
      <c r="F155" s="7"/>
      <c r="G155" s="7"/>
      <c r="H155" s="7"/>
      <c r="I155" s="7"/>
      <c r="J155" s="7"/>
      <c r="K155" s="7"/>
      <c r="L155" s="7"/>
    </row>
    <row r="156" spans="1:12" x14ac:dyDescent="0.25">
      <c r="F156" s="7"/>
      <c r="G156" s="7"/>
      <c r="H156" s="7"/>
      <c r="I156" s="7"/>
      <c r="J156" s="7"/>
      <c r="K156" s="7"/>
      <c r="L156" s="7"/>
    </row>
    <row r="157" spans="1:12" x14ac:dyDescent="0.25">
      <c r="F157" s="7"/>
      <c r="G157" s="7"/>
      <c r="H157" s="7"/>
      <c r="I157" s="7"/>
      <c r="J157" s="7"/>
      <c r="K157" s="7"/>
      <c r="L157" s="7"/>
    </row>
    <row r="158" spans="1:12" x14ac:dyDescent="0.25">
      <c r="F158" s="7"/>
      <c r="G158" s="7"/>
      <c r="H158" s="7"/>
      <c r="I158" s="7"/>
      <c r="J158" s="7"/>
      <c r="K158" s="7"/>
      <c r="L158" s="7"/>
    </row>
    <row r="159" spans="1:12" x14ac:dyDescent="0.25">
      <c r="F159" s="7"/>
      <c r="G159" s="7"/>
      <c r="H159" s="7"/>
      <c r="I159" s="7"/>
      <c r="J159" s="7"/>
      <c r="K159" s="7"/>
      <c r="L159" s="7"/>
    </row>
    <row r="160" spans="1:12" x14ac:dyDescent="0.25">
      <c r="F160" s="7"/>
      <c r="G160" s="7"/>
      <c r="H160" s="7"/>
      <c r="I160" s="7"/>
      <c r="J160" s="7"/>
      <c r="K160" s="7"/>
      <c r="L160" s="7"/>
    </row>
    <row r="161" spans="6:12" x14ac:dyDescent="0.25">
      <c r="F161" s="7"/>
      <c r="G161" s="7"/>
      <c r="H161" s="7"/>
      <c r="I161" s="7"/>
      <c r="J161" s="7"/>
      <c r="K161" s="7"/>
      <c r="L161" s="7"/>
    </row>
    <row r="162" spans="6:12" x14ac:dyDescent="0.25">
      <c r="F162" s="7"/>
      <c r="G162" s="7"/>
      <c r="H162" s="7"/>
      <c r="I162" s="7"/>
      <c r="J162" s="7"/>
      <c r="K162" s="7"/>
      <c r="L162" s="7"/>
    </row>
    <row r="163" spans="6:12" x14ac:dyDescent="0.25">
      <c r="F163" s="7"/>
      <c r="G163" s="7"/>
      <c r="H163" s="7"/>
      <c r="I163" s="7"/>
      <c r="J163" s="7"/>
      <c r="K163" s="7"/>
      <c r="L163" s="7"/>
    </row>
    <row r="164" spans="6:12" x14ac:dyDescent="0.25">
      <c r="F164" s="7"/>
      <c r="G164" s="7"/>
      <c r="H164" s="7"/>
      <c r="I164" s="7"/>
      <c r="J164" s="7"/>
      <c r="K164" s="7"/>
      <c r="L164" s="7"/>
    </row>
    <row r="165" spans="6:12" x14ac:dyDescent="0.25">
      <c r="F165" s="7"/>
      <c r="G165" s="7"/>
      <c r="H165" s="7"/>
      <c r="I165" s="7"/>
      <c r="J165" s="7"/>
      <c r="K165" s="7"/>
      <c r="L165" s="7"/>
    </row>
    <row r="166" spans="6:12" x14ac:dyDescent="0.25">
      <c r="F166" s="7"/>
      <c r="G166" s="7"/>
      <c r="H166" s="7"/>
      <c r="I166" s="7"/>
      <c r="J166" s="7"/>
      <c r="K166" s="7"/>
      <c r="L166" s="7"/>
    </row>
    <row r="167" spans="6:12" x14ac:dyDescent="0.25">
      <c r="F167" s="7"/>
      <c r="G167" s="7"/>
      <c r="H167" s="7"/>
      <c r="I167" s="7"/>
      <c r="J167" s="7"/>
      <c r="K167" s="7"/>
      <c r="L167" s="7"/>
    </row>
    <row r="168" spans="6:12" x14ac:dyDescent="0.25">
      <c r="F168" s="7"/>
      <c r="G168" s="7"/>
      <c r="H168" s="7"/>
      <c r="I168" s="7"/>
      <c r="J168" s="7"/>
      <c r="K168" s="7"/>
      <c r="L168" s="7"/>
    </row>
    <row r="169" spans="6:12" x14ac:dyDescent="0.25">
      <c r="F169" s="7"/>
      <c r="G169" s="7"/>
      <c r="H169" s="7"/>
      <c r="I169" s="7"/>
      <c r="J169" s="7"/>
      <c r="K169" s="7"/>
      <c r="L169" s="7"/>
    </row>
    <row r="170" spans="6:12" x14ac:dyDescent="0.25">
      <c r="F170" s="7"/>
      <c r="G170" s="7"/>
      <c r="H170" s="7"/>
      <c r="I170" s="7"/>
      <c r="J170" s="7"/>
      <c r="K170" s="7"/>
      <c r="L170" s="7"/>
    </row>
    <row r="171" spans="6:12" x14ac:dyDescent="0.25">
      <c r="F171" s="7"/>
      <c r="G171" s="7"/>
      <c r="H171" s="7"/>
      <c r="I171" s="7"/>
      <c r="J171" s="7"/>
      <c r="K171" s="7"/>
      <c r="L171" s="7"/>
    </row>
    <row r="172" spans="6:12" x14ac:dyDescent="0.25">
      <c r="F172" s="7"/>
      <c r="G172" s="7"/>
      <c r="H172" s="7"/>
      <c r="I172" s="7"/>
      <c r="J172" s="7"/>
      <c r="K172" s="7"/>
      <c r="L172" s="7"/>
    </row>
    <row r="173" spans="6:12" x14ac:dyDescent="0.25">
      <c r="F173" s="7"/>
      <c r="G173" s="7"/>
      <c r="H173" s="7"/>
      <c r="I173" s="7"/>
      <c r="J173" s="7"/>
      <c r="K173" s="7"/>
      <c r="L173" s="7"/>
    </row>
    <row r="174" spans="6:12" x14ac:dyDescent="0.25">
      <c r="F174" s="7"/>
      <c r="G174" s="7"/>
      <c r="H174" s="7"/>
      <c r="I174" s="7"/>
      <c r="J174" s="7"/>
      <c r="K174" s="7"/>
      <c r="L174" s="7"/>
    </row>
    <row r="175" spans="6:12" x14ac:dyDescent="0.25">
      <c r="F175" s="7"/>
      <c r="G175" s="7"/>
      <c r="H175" s="7"/>
      <c r="I175" s="7"/>
      <c r="J175" s="7"/>
      <c r="K175" s="7"/>
      <c r="L175" s="7"/>
    </row>
    <row r="176" spans="6:12" x14ac:dyDescent="0.25">
      <c r="F176" s="7"/>
      <c r="G176" s="7"/>
      <c r="H176" s="7"/>
      <c r="I176" s="7"/>
      <c r="J176" s="7"/>
      <c r="K176" s="7"/>
      <c r="L176" s="7"/>
    </row>
    <row r="177" spans="6:12" x14ac:dyDescent="0.25">
      <c r="F177" s="7"/>
      <c r="G177" s="7"/>
      <c r="H177" s="7"/>
      <c r="I177" s="7"/>
      <c r="J177" s="7"/>
      <c r="K177" s="7"/>
      <c r="L177" s="7"/>
    </row>
    <row r="178" spans="6:12" x14ac:dyDescent="0.25">
      <c r="F178" s="7"/>
      <c r="G178" s="7"/>
      <c r="H178" s="7"/>
      <c r="I178" s="7"/>
      <c r="J178" s="7"/>
      <c r="K178" s="7"/>
      <c r="L178" s="7"/>
    </row>
    <row r="179" spans="6:12" x14ac:dyDescent="0.25">
      <c r="F179" s="7"/>
      <c r="G179" s="7"/>
      <c r="H179" s="7"/>
      <c r="I179" s="7"/>
      <c r="J179" s="7"/>
      <c r="K179" s="7"/>
      <c r="L179" s="7"/>
    </row>
    <row r="180" spans="6:12" x14ac:dyDescent="0.25">
      <c r="F180" s="7"/>
      <c r="G180" s="7"/>
      <c r="H180" s="7"/>
      <c r="I180" s="7"/>
      <c r="J180" s="7"/>
      <c r="K180" s="7"/>
      <c r="L180" s="7"/>
    </row>
    <row r="181" spans="6:12" x14ac:dyDescent="0.25">
      <c r="F181" s="7"/>
      <c r="G181" s="7"/>
      <c r="H181" s="7"/>
      <c r="I181" s="7"/>
      <c r="J181" s="7"/>
      <c r="K181" s="7"/>
      <c r="L181" s="7"/>
    </row>
    <row r="182" spans="6:12" x14ac:dyDescent="0.25">
      <c r="F182" s="7"/>
      <c r="G182" s="7"/>
      <c r="H182" s="7"/>
      <c r="I182" s="119"/>
      <c r="J182" s="7"/>
      <c r="K182" s="7"/>
      <c r="L182" s="7"/>
    </row>
    <row r="183" spans="6:12" x14ac:dyDescent="0.25">
      <c r="F183" s="7"/>
      <c r="G183" s="7"/>
      <c r="H183" s="7"/>
      <c r="I183" s="7"/>
      <c r="J183" s="7"/>
      <c r="K183" s="7"/>
      <c r="L183" s="7"/>
    </row>
    <row r="184" spans="6:12" x14ac:dyDescent="0.25">
      <c r="F184" s="7"/>
      <c r="G184" s="7"/>
      <c r="H184" s="7"/>
      <c r="I184" s="7"/>
      <c r="J184" s="7"/>
      <c r="K184" s="7"/>
      <c r="L184" s="7"/>
    </row>
    <row r="185" spans="6:12" x14ac:dyDescent="0.25">
      <c r="F185" s="7"/>
      <c r="G185" s="7"/>
      <c r="H185" s="7"/>
      <c r="I185" s="7"/>
      <c r="J185" s="7"/>
      <c r="K185" s="7"/>
      <c r="L185" s="7"/>
    </row>
    <row r="186" spans="6:12" x14ac:dyDescent="0.25">
      <c r="F186" s="7"/>
      <c r="G186" s="7"/>
      <c r="H186" s="7"/>
      <c r="I186" s="7"/>
      <c r="J186" s="7"/>
      <c r="K186" s="7"/>
      <c r="L186" s="7"/>
    </row>
    <row r="187" spans="6:12" x14ac:dyDescent="0.25">
      <c r="F187" s="7"/>
      <c r="G187" s="7"/>
      <c r="H187" s="7"/>
      <c r="I187" s="7"/>
      <c r="J187" s="7"/>
      <c r="K187" s="7"/>
      <c r="L187" s="7"/>
    </row>
    <row r="188" spans="6:12" x14ac:dyDescent="0.25">
      <c r="F188" s="7"/>
      <c r="G188" s="7"/>
      <c r="H188" s="7"/>
      <c r="I188" s="7"/>
      <c r="J188" s="7"/>
      <c r="K188" s="7"/>
      <c r="L188" s="7"/>
    </row>
    <row r="189" spans="6:12" x14ac:dyDescent="0.25">
      <c r="F189" s="7"/>
      <c r="G189" s="7"/>
      <c r="H189" s="7"/>
      <c r="I189" s="7"/>
      <c r="J189" s="7"/>
      <c r="K189" s="7"/>
      <c r="L189" s="7"/>
    </row>
    <row r="190" spans="6:12" x14ac:dyDescent="0.25">
      <c r="F190" s="7"/>
      <c r="G190" s="7"/>
      <c r="H190" s="7"/>
      <c r="I190" s="7"/>
      <c r="J190" s="7"/>
      <c r="K190" s="7"/>
      <c r="L190" s="7"/>
    </row>
    <row r="191" spans="6:12" x14ac:dyDescent="0.25">
      <c r="F191" s="7"/>
      <c r="G191" s="7"/>
      <c r="H191" s="7"/>
      <c r="I191" s="7"/>
      <c r="J191" s="7"/>
      <c r="K191" s="7"/>
      <c r="L191" s="7"/>
    </row>
    <row r="192" spans="6:12" x14ac:dyDescent="0.25">
      <c r="F192" s="7"/>
      <c r="G192" s="7"/>
      <c r="H192" s="7"/>
      <c r="I192" s="7"/>
      <c r="J192" s="7"/>
      <c r="K192" s="7"/>
      <c r="L192" s="7"/>
    </row>
    <row r="193" spans="6:12" x14ac:dyDescent="0.25">
      <c r="F193" s="7"/>
      <c r="G193" s="7"/>
      <c r="H193" s="7"/>
      <c r="I193" s="7"/>
      <c r="J193" s="7"/>
      <c r="K193" s="7"/>
      <c r="L193" s="7"/>
    </row>
    <row r="194" spans="6:12" x14ac:dyDescent="0.25">
      <c r="F194" s="7"/>
      <c r="G194" s="7"/>
      <c r="H194" s="7"/>
      <c r="I194" s="7"/>
      <c r="J194" s="7"/>
      <c r="K194" s="7"/>
      <c r="L194" s="7"/>
    </row>
    <row r="195" spans="6:12" x14ac:dyDescent="0.25">
      <c r="F195" s="7"/>
      <c r="G195" s="7"/>
      <c r="H195" s="7"/>
      <c r="I195" s="7"/>
      <c r="J195" s="7"/>
      <c r="K195" s="7"/>
      <c r="L195" s="7"/>
    </row>
    <row r="196" spans="6:12" x14ac:dyDescent="0.25">
      <c r="F196" s="7"/>
      <c r="G196" s="7"/>
      <c r="H196" s="7"/>
      <c r="I196" s="7"/>
      <c r="J196" s="7"/>
      <c r="K196" s="7"/>
      <c r="L196" s="7"/>
    </row>
    <row r="197" spans="6:12" x14ac:dyDescent="0.25">
      <c r="F197" s="7"/>
      <c r="G197" s="7"/>
      <c r="H197" s="7"/>
      <c r="I197" s="7"/>
      <c r="J197" s="7"/>
      <c r="K197" s="7"/>
      <c r="L197" s="7"/>
    </row>
    <row r="198" spans="6:12" x14ac:dyDescent="0.25">
      <c r="F198" s="7"/>
      <c r="G198" s="7"/>
      <c r="H198" s="7"/>
      <c r="I198" s="7"/>
      <c r="J198" s="7"/>
      <c r="K198" s="7"/>
      <c r="L198" s="7"/>
    </row>
    <row r="199" spans="6:12" x14ac:dyDescent="0.25">
      <c r="F199" s="7"/>
      <c r="G199" s="7"/>
      <c r="H199" s="7"/>
      <c r="I199" s="7"/>
      <c r="J199" s="7"/>
      <c r="K199" s="7"/>
      <c r="L199" s="7"/>
    </row>
    <row r="200" spans="6:12" x14ac:dyDescent="0.25">
      <c r="F200" s="7"/>
      <c r="G200" s="7"/>
      <c r="H200" s="7"/>
      <c r="I200" s="7"/>
      <c r="J200" s="7"/>
      <c r="K200" s="7"/>
      <c r="L200" s="7"/>
    </row>
    <row r="201" spans="6:12" x14ac:dyDescent="0.25">
      <c r="F201" s="7"/>
      <c r="G201" s="7"/>
      <c r="H201" s="7"/>
      <c r="I201" s="7"/>
      <c r="J201" s="7"/>
      <c r="K201" s="7"/>
      <c r="L201" s="7"/>
    </row>
    <row r="202" spans="6:12" x14ac:dyDescent="0.25">
      <c r="F202" s="7"/>
      <c r="G202" s="7"/>
      <c r="H202" s="7"/>
      <c r="I202" s="7"/>
      <c r="J202" s="7"/>
      <c r="K202" s="7"/>
      <c r="L202" s="7"/>
    </row>
    <row r="203" spans="6:12" x14ac:dyDescent="0.25">
      <c r="F203" s="7"/>
      <c r="G203" s="7"/>
      <c r="H203" s="7"/>
      <c r="I203" s="7"/>
      <c r="J203" s="7"/>
      <c r="K203" s="7"/>
      <c r="L203" s="7"/>
    </row>
    <row r="204" spans="6:12" x14ac:dyDescent="0.25">
      <c r="F204" s="7"/>
      <c r="G204" s="7"/>
      <c r="H204" s="7"/>
      <c r="I204" s="7"/>
      <c r="J204" s="7"/>
      <c r="K204" s="7"/>
      <c r="L204" s="7"/>
    </row>
    <row r="205" spans="6:12" x14ac:dyDescent="0.25">
      <c r="F205" s="7"/>
      <c r="G205" s="7"/>
      <c r="H205" s="7"/>
      <c r="I205" s="7"/>
      <c r="J205" s="7"/>
      <c r="K205" s="7"/>
      <c r="L205" s="7"/>
    </row>
    <row r="206" spans="6:12" x14ac:dyDescent="0.25">
      <c r="F206" s="7"/>
      <c r="G206" s="7"/>
      <c r="H206" s="7"/>
      <c r="I206" s="7"/>
      <c r="J206" s="7"/>
      <c r="K206" s="7"/>
      <c r="L206" s="7"/>
    </row>
    <row r="207" spans="6:12" x14ac:dyDescent="0.25">
      <c r="F207" s="7"/>
      <c r="G207" s="7"/>
      <c r="H207" s="7"/>
      <c r="I207" s="7"/>
      <c r="J207" s="7"/>
      <c r="K207" s="7"/>
      <c r="L207" s="7"/>
    </row>
    <row r="208" spans="6:12" x14ac:dyDescent="0.25">
      <c r="F208" s="7"/>
      <c r="G208" s="7"/>
      <c r="H208" s="7"/>
      <c r="I208" s="7"/>
      <c r="J208" s="7"/>
      <c r="K208" s="7"/>
      <c r="L208" s="7"/>
    </row>
    <row r="209" spans="6:12" x14ac:dyDescent="0.25">
      <c r="F209" s="7"/>
      <c r="G209" s="7"/>
      <c r="H209" s="7"/>
      <c r="I209" s="7"/>
      <c r="J209" s="7"/>
      <c r="K209" s="7"/>
      <c r="L209" s="7"/>
    </row>
    <row r="210" spans="6:12" x14ac:dyDescent="0.25">
      <c r="F210" s="7"/>
      <c r="G210" s="7"/>
      <c r="H210" s="7"/>
      <c r="I210" s="7"/>
      <c r="J210" s="7"/>
      <c r="K210" s="7"/>
      <c r="L210" s="7"/>
    </row>
    <row r="211" spans="6:12" x14ac:dyDescent="0.25">
      <c r="F211" s="7"/>
      <c r="G211" s="7"/>
      <c r="H211" s="7"/>
      <c r="I211" s="7"/>
      <c r="J211" s="7"/>
      <c r="K211" s="7"/>
      <c r="L211" s="7"/>
    </row>
    <row r="212" spans="6:12" x14ac:dyDescent="0.25">
      <c r="F212" s="7"/>
      <c r="G212" s="7"/>
      <c r="H212" s="7"/>
      <c r="I212" s="7"/>
      <c r="J212" s="7"/>
      <c r="K212" s="7"/>
      <c r="L212" s="7"/>
    </row>
    <row r="213" spans="6:12" x14ac:dyDescent="0.25">
      <c r="F213" s="7"/>
      <c r="G213" s="7"/>
      <c r="H213" s="7"/>
      <c r="I213" s="7"/>
      <c r="J213" s="7"/>
      <c r="K213" s="7"/>
      <c r="L213" s="7"/>
    </row>
    <row r="214" spans="6:12" x14ac:dyDescent="0.25">
      <c r="F214" s="7"/>
      <c r="G214" s="7"/>
      <c r="H214" s="7"/>
      <c r="I214" s="7"/>
      <c r="J214" s="7"/>
      <c r="K214" s="7"/>
      <c r="L214" s="7"/>
    </row>
    <row r="215" spans="6:12" x14ac:dyDescent="0.25">
      <c r="F215" s="7"/>
      <c r="G215" s="7"/>
      <c r="H215" s="7"/>
      <c r="I215" s="7"/>
      <c r="J215" s="7"/>
      <c r="K215" s="7"/>
      <c r="L215" s="7"/>
    </row>
    <row r="216" spans="6:12" x14ac:dyDescent="0.25">
      <c r="F216" s="7"/>
      <c r="G216" s="7"/>
      <c r="H216" s="7"/>
      <c r="I216" s="7"/>
      <c r="J216" s="7"/>
      <c r="K216" s="7"/>
      <c r="L216" s="7"/>
    </row>
    <row r="217" spans="6:12" x14ac:dyDescent="0.25">
      <c r="F217" s="7"/>
      <c r="G217" s="7"/>
      <c r="H217" s="7"/>
      <c r="I217" s="7"/>
      <c r="J217" s="7"/>
      <c r="K217" s="7"/>
      <c r="L217" s="7"/>
    </row>
    <row r="218" spans="6:12" x14ac:dyDescent="0.25">
      <c r="F218" s="7"/>
      <c r="G218" s="7"/>
      <c r="H218" s="7"/>
      <c r="I218" s="7"/>
      <c r="J218" s="7"/>
      <c r="K218" s="7"/>
      <c r="L218" s="7"/>
    </row>
    <row r="219" spans="6:12" x14ac:dyDescent="0.25">
      <c r="F219" s="7"/>
      <c r="G219" s="7"/>
      <c r="H219" s="7"/>
      <c r="I219" s="7"/>
      <c r="J219" s="7"/>
      <c r="K219" s="7"/>
      <c r="L219" s="7"/>
    </row>
    <row r="220" spans="6:12" x14ac:dyDescent="0.25">
      <c r="F220" s="7"/>
      <c r="G220" s="7"/>
      <c r="H220" s="7"/>
      <c r="I220" s="7"/>
      <c r="J220" s="7"/>
      <c r="K220" s="7"/>
      <c r="L220" s="7"/>
    </row>
    <row r="221" spans="6:12" x14ac:dyDescent="0.25">
      <c r="F221" s="7"/>
      <c r="G221" s="7"/>
      <c r="H221" s="7"/>
      <c r="I221" s="7"/>
      <c r="J221" s="7"/>
      <c r="K221" s="7"/>
      <c r="L221" s="7"/>
    </row>
    <row r="222" spans="6:12" x14ac:dyDescent="0.25">
      <c r="F222" s="7"/>
      <c r="G222" s="7"/>
      <c r="H222" s="7"/>
      <c r="I222" s="7"/>
      <c r="J222" s="7"/>
      <c r="K222" s="7"/>
      <c r="L222" s="7"/>
    </row>
    <row r="223" spans="6:12" x14ac:dyDescent="0.25">
      <c r="F223" s="7"/>
      <c r="G223" s="7"/>
      <c r="H223" s="7"/>
      <c r="I223" s="7"/>
      <c r="J223" s="7"/>
      <c r="K223" s="7"/>
      <c r="L223" s="7"/>
    </row>
    <row r="224" spans="6:12" x14ac:dyDescent="0.25">
      <c r="F224" s="7"/>
      <c r="G224" s="7"/>
      <c r="H224" s="7"/>
      <c r="I224" s="7"/>
      <c r="J224" s="7"/>
      <c r="K224" s="7"/>
      <c r="L224" s="7"/>
    </row>
    <row r="225" spans="6:12" x14ac:dyDescent="0.25">
      <c r="F225" s="7"/>
      <c r="G225" s="7"/>
      <c r="H225" s="7"/>
      <c r="I225" s="7"/>
      <c r="J225" s="7"/>
      <c r="K225" s="7"/>
      <c r="L225" s="7"/>
    </row>
    <row r="226" spans="6:12" x14ac:dyDescent="0.25">
      <c r="F226" s="7"/>
      <c r="G226" s="7"/>
      <c r="H226" s="7"/>
      <c r="I226" s="7"/>
      <c r="J226" s="7"/>
      <c r="K226" s="7"/>
      <c r="L226" s="7"/>
    </row>
    <row r="227" spans="6:12" x14ac:dyDescent="0.25">
      <c r="F227" s="7"/>
      <c r="G227" s="7"/>
      <c r="H227" s="7"/>
      <c r="I227" s="7"/>
      <c r="J227" s="7"/>
      <c r="K227" s="7"/>
      <c r="L227" s="7"/>
    </row>
    <row r="228" spans="6:12" x14ac:dyDescent="0.25">
      <c r="F228" s="7"/>
      <c r="G228" s="7"/>
      <c r="H228" s="7"/>
      <c r="I228" s="7"/>
      <c r="J228" s="7"/>
      <c r="K228" s="7"/>
      <c r="L228" s="7"/>
    </row>
    <row r="229" spans="6:12" x14ac:dyDescent="0.25">
      <c r="F229" s="7"/>
      <c r="G229" s="7"/>
      <c r="H229" s="7"/>
      <c r="I229" s="7"/>
      <c r="J229" s="7"/>
      <c r="K229" s="7"/>
      <c r="L229" s="7"/>
    </row>
    <row r="230" spans="6:12" x14ac:dyDescent="0.25">
      <c r="F230" s="7"/>
      <c r="G230" s="7"/>
      <c r="H230" s="7"/>
      <c r="I230" s="7"/>
      <c r="J230" s="7"/>
      <c r="K230" s="7"/>
      <c r="L230" s="7"/>
    </row>
    <row r="231" spans="6:12" x14ac:dyDescent="0.25">
      <c r="F231" s="7"/>
      <c r="G231" s="7"/>
      <c r="H231" s="7"/>
      <c r="I231" s="7"/>
      <c r="J231" s="7"/>
      <c r="K231" s="7"/>
      <c r="L231" s="7"/>
    </row>
    <row r="232" spans="6:12" x14ac:dyDescent="0.25">
      <c r="F232" s="7"/>
      <c r="G232" s="7"/>
      <c r="H232" s="7"/>
      <c r="I232" s="7"/>
      <c r="J232" s="7"/>
      <c r="K232" s="7"/>
      <c r="L232" s="7"/>
    </row>
    <row r="233" spans="6:12" x14ac:dyDescent="0.25">
      <c r="F233" s="7"/>
      <c r="G233" s="7"/>
      <c r="H233" s="7"/>
      <c r="I233" s="7"/>
      <c r="J233" s="7"/>
      <c r="K233" s="7"/>
      <c r="L233" s="7"/>
    </row>
    <row r="234" spans="6:12" x14ac:dyDescent="0.25">
      <c r="F234" s="7"/>
      <c r="G234" s="7"/>
      <c r="H234" s="7"/>
      <c r="I234" s="7"/>
      <c r="J234" s="7"/>
      <c r="K234" s="7"/>
      <c r="L234" s="7"/>
    </row>
    <row r="235" spans="6:12" x14ac:dyDescent="0.25">
      <c r="F235" s="7"/>
      <c r="G235" s="7"/>
      <c r="H235" s="7"/>
      <c r="I235" s="7"/>
      <c r="J235" s="7"/>
      <c r="K235" s="7"/>
      <c r="L235" s="7"/>
    </row>
    <row r="236" spans="6:12" x14ac:dyDescent="0.25">
      <c r="F236" s="7"/>
      <c r="G236" s="7"/>
      <c r="H236" s="7"/>
      <c r="I236" s="7"/>
      <c r="J236" s="7"/>
      <c r="K236" s="7"/>
      <c r="L236" s="7"/>
    </row>
    <row r="237" spans="6:12" x14ac:dyDescent="0.25">
      <c r="F237" s="7"/>
      <c r="G237" s="7"/>
      <c r="H237" s="7"/>
      <c r="I237" s="7"/>
      <c r="J237" s="7"/>
      <c r="K237" s="7"/>
      <c r="L237" s="7"/>
    </row>
    <row r="238" spans="6:12" x14ac:dyDescent="0.25">
      <c r="F238" s="7"/>
      <c r="G238" s="7"/>
      <c r="H238" s="7"/>
      <c r="I238" s="7"/>
      <c r="J238" s="7"/>
      <c r="K238" s="7"/>
      <c r="L238" s="7"/>
    </row>
    <row r="239" spans="6:12" x14ac:dyDescent="0.25">
      <c r="F239" s="7"/>
      <c r="G239" s="7"/>
      <c r="H239" s="7"/>
      <c r="I239" s="7"/>
      <c r="J239" s="7"/>
      <c r="K239" s="7"/>
      <c r="L239" s="7"/>
    </row>
    <row r="240" spans="6:12" x14ac:dyDescent="0.25">
      <c r="F240" s="7"/>
      <c r="G240" s="7"/>
      <c r="H240" s="7"/>
      <c r="I240" s="7"/>
      <c r="J240" s="7"/>
      <c r="K240" s="7"/>
      <c r="L240" s="7"/>
    </row>
    <row r="241" spans="6:12" x14ac:dyDescent="0.25">
      <c r="F241" s="7"/>
      <c r="G241" s="7"/>
      <c r="H241" s="7"/>
      <c r="I241" s="7"/>
      <c r="J241" s="7"/>
      <c r="K241" s="7"/>
      <c r="L241" s="7"/>
    </row>
    <row r="242" spans="6:12" x14ac:dyDescent="0.25">
      <c r="F242" s="7"/>
      <c r="G242" s="7"/>
      <c r="H242" s="7"/>
      <c r="I242" s="7"/>
      <c r="J242" s="7"/>
      <c r="K242" s="7"/>
      <c r="L242" s="7"/>
    </row>
    <row r="243" spans="6:12" x14ac:dyDescent="0.25">
      <c r="F243" s="7"/>
      <c r="G243" s="7"/>
      <c r="H243" s="7"/>
      <c r="I243" s="7"/>
      <c r="J243" s="7"/>
      <c r="K243" s="7"/>
      <c r="L243" s="7"/>
    </row>
    <row r="244" spans="6:12" x14ac:dyDescent="0.25">
      <c r="F244" s="7"/>
      <c r="G244" s="7"/>
      <c r="H244" s="7"/>
      <c r="I244" s="7"/>
      <c r="J244" s="7"/>
      <c r="K244" s="7"/>
      <c r="L244" s="7"/>
    </row>
    <row r="245" spans="6:12" x14ac:dyDescent="0.25">
      <c r="F245" s="7"/>
      <c r="G245" s="7"/>
      <c r="H245" s="7"/>
      <c r="I245" s="7"/>
      <c r="J245" s="7"/>
      <c r="K245" s="7"/>
      <c r="L245" s="7"/>
    </row>
    <row r="246" spans="6:12" x14ac:dyDescent="0.25">
      <c r="F246" s="7"/>
      <c r="G246" s="7"/>
      <c r="H246" s="7"/>
      <c r="I246" s="7"/>
      <c r="J246" s="7"/>
      <c r="K246" s="7"/>
      <c r="L246" s="7"/>
    </row>
    <row r="247" spans="6:12" x14ac:dyDescent="0.25">
      <c r="F247" s="7"/>
      <c r="G247" s="7"/>
      <c r="H247" s="7"/>
      <c r="I247" s="7"/>
      <c r="J247" s="7"/>
      <c r="K247" s="7"/>
      <c r="L247" s="7"/>
    </row>
    <row r="248" spans="6:12" x14ac:dyDescent="0.25">
      <c r="F248" s="7"/>
      <c r="G248" s="7"/>
      <c r="H248" s="7"/>
      <c r="I248" s="7"/>
      <c r="J248" s="7"/>
      <c r="K248" s="7"/>
      <c r="L248" s="7"/>
    </row>
    <row r="249" spans="6:12" x14ac:dyDescent="0.25">
      <c r="F249" s="7"/>
      <c r="G249" s="7"/>
      <c r="H249" s="7"/>
      <c r="I249" s="7"/>
      <c r="J249" s="7"/>
      <c r="K249" s="7"/>
      <c r="L249" s="7"/>
    </row>
    <row r="250" spans="6:12" x14ac:dyDescent="0.25">
      <c r="F250" s="7"/>
      <c r="G250" s="7"/>
      <c r="H250" s="7"/>
      <c r="I250" s="7"/>
      <c r="J250" s="7"/>
      <c r="K250" s="7"/>
      <c r="L250" s="7"/>
    </row>
    <row r="251" spans="6:12" x14ac:dyDescent="0.25">
      <c r="F251" s="7"/>
      <c r="G251" s="7"/>
      <c r="H251" s="7"/>
      <c r="I251" s="7"/>
      <c r="J251" s="7"/>
      <c r="K251" s="7"/>
      <c r="L251" s="7"/>
    </row>
    <row r="252" spans="6:12" x14ac:dyDescent="0.25">
      <c r="F252" s="7"/>
      <c r="G252" s="7"/>
      <c r="H252" s="7"/>
      <c r="I252" s="7"/>
      <c r="J252" s="7"/>
      <c r="K252" s="7"/>
      <c r="L252" s="7"/>
    </row>
    <row r="253" spans="6:12" x14ac:dyDescent="0.25">
      <c r="F253" s="7"/>
      <c r="G253" s="7"/>
      <c r="H253" s="7"/>
      <c r="I253" s="7"/>
      <c r="J253" s="7"/>
      <c r="K253" s="7"/>
      <c r="L253" s="7"/>
    </row>
    <row r="254" spans="6:12" x14ac:dyDescent="0.25">
      <c r="F254" s="7"/>
      <c r="G254" s="7"/>
      <c r="H254" s="7"/>
      <c r="I254" s="7"/>
      <c r="J254" s="7"/>
      <c r="K254" s="7"/>
      <c r="L254" s="7"/>
    </row>
    <row r="255" spans="6:12" x14ac:dyDescent="0.25">
      <c r="F255" s="7"/>
      <c r="G255" s="7"/>
      <c r="H255" s="7"/>
      <c r="I255" s="7"/>
      <c r="J255" s="7"/>
      <c r="K255" s="7"/>
      <c r="L255" s="7"/>
    </row>
    <row r="256" spans="6:12" x14ac:dyDescent="0.25">
      <c r="F256" s="7"/>
      <c r="G256" s="7"/>
      <c r="H256" s="7"/>
      <c r="I256" s="7"/>
      <c r="J256" s="7"/>
      <c r="K256" s="7"/>
      <c r="L256" s="7"/>
    </row>
    <row r="257" spans="6:12" x14ac:dyDescent="0.25">
      <c r="F257" s="7"/>
      <c r="G257" s="7"/>
      <c r="H257" s="7"/>
      <c r="I257" s="7"/>
      <c r="J257" s="7"/>
      <c r="K257" s="7"/>
      <c r="L257" s="7"/>
    </row>
    <row r="258" spans="6:12" x14ac:dyDescent="0.25">
      <c r="F258" s="7"/>
      <c r="G258" s="7"/>
      <c r="H258" s="7"/>
      <c r="I258" s="7"/>
      <c r="J258" s="7"/>
      <c r="K258" s="7"/>
      <c r="L258" s="7"/>
    </row>
    <row r="259" spans="6:12" x14ac:dyDescent="0.25">
      <c r="F259" s="7"/>
      <c r="G259" s="7"/>
      <c r="H259" s="7"/>
      <c r="I259" s="7"/>
      <c r="J259" s="7"/>
      <c r="K259" s="7"/>
      <c r="L259" s="7"/>
    </row>
    <row r="260" spans="6:12" x14ac:dyDescent="0.25">
      <c r="F260" s="7"/>
      <c r="G260" s="7"/>
      <c r="H260" s="7"/>
      <c r="I260" s="7"/>
      <c r="J260" s="7"/>
      <c r="K260" s="7"/>
      <c r="L260" s="7"/>
    </row>
    <row r="261" spans="6:12" x14ac:dyDescent="0.25">
      <c r="F261" s="7"/>
      <c r="G261" s="7"/>
      <c r="H261" s="7"/>
      <c r="I261" s="7"/>
      <c r="J261" s="7"/>
      <c r="K261" s="7"/>
      <c r="L261" s="7"/>
    </row>
    <row r="262" spans="6:12" x14ac:dyDescent="0.25">
      <c r="F262" s="7"/>
      <c r="G262" s="7"/>
      <c r="H262" s="7"/>
      <c r="I262" s="7"/>
      <c r="J262" s="7"/>
      <c r="K262" s="7"/>
      <c r="L262" s="7"/>
    </row>
    <row r="263" spans="6:12" x14ac:dyDescent="0.25">
      <c r="F263" s="7"/>
      <c r="G263" s="7"/>
      <c r="H263" s="7"/>
      <c r="I263" s="7"/>
      <c r="J263" s="7"/>
      <c r="K263" s="7"/>
      <c r="L263" s="7"/>
    </row>
    <row r="264" spans="6:12" x14ac:dyDescent="0.25">
      <c r="F264" s="7"/>
      <c r="G264" s="7"/>
      <c r="H264" s="7"/>
      <c r="I264" s="7"/>
      <c r="J264" s="7"/>
      <c r="K264" s="7"/>
      <c r="L264" s="7"/>
    </row>
    <row r="265" spans="6:12" x14ac:dyDescent="0.25">
      <c r="F265" s="7"/>
      <c r="G265" s="7"/>
      <c r="H265" s="7"/>
      <c r="I265" s="7"/>
      <c r="J265" s="7"/>
      <c r="K265" s="7"/>
      <c r="L265" s="7"/>
    </row>
    <row r="266" spans="6:12" x14ac:dyDescent="0.25">
      <c r="F266" s="7"/>
      <c r="G266" s="7"/>
      <c r="H266" s="7"/>
      <c r="I266" s="7"/>
      <c r="J266" s="7"/>
      <c r="K266" s="7"/>
      <c r="L266" s="7"/>
    </row>
    <row r="267" spans="6:12" x14ac:dyDescent="0.25">
      <c r="F267" s="7"/>
      <c r="G267" s="7"/>
      <c r="H267" s="7"/>
      <c r="I267" s="7"/>
      <c r="J267" s="7"/>
      <c r="K267" s="7"/>
      <c r="L267" s="7"/>
    </row>
    <row r="268" spans="6:12" x14ac:dyDescent="0.25">
      <c r="F268" s="7"/>
      <c r="G268" s="7"/>
      <c r="H268" s="7"/>
      <c r="I268" s="7"/>
      <c r="J268" s="7"/>
      <c r="K268" s="7"/>
      <c r="L268" s="7"/>
    </row>
    <row r="269" spans="6:12" x14ac:dyDescent="0.25">
      <c r="F269" s="7"/>
      <c r="G269" s="7"/>
      <c r="H269" s="7"/>
      <c r="I269" s="7"/>
      <c r="J269" s="7"/>
      <c r="K269" s="7"/>
      <c r="L269" s="7"/>
    </row>
    <row r="270" spans="6:12" x14ac:dyDescent="0.25">
      <c r="F270" s="7"/>
      <c r="G270" s="7"/>
      <c r="H270" s="7"/>
      <c r="I270" s="7"/>
      <c r="J270" s="7"/>
      <c r="K270" s="7"/>
      <c r="L270" s="7"/>
    </row>
    <row r="271" spans="6:12" x14ac:dyDescent="0.25">
      <c r="F271" s="7"/>
      <c r="G271" s="7"/>
      <c r="H271" s="7"/>
      <c r="I271" s="7"/>
      <c r="J271" s="7"/>
      <c r="K271" s="7"/>
      <c r="L271" s="7"/>
    </row>
    <row r="272" spans="6:12" x14ac:dyDescent="0.25">
      <c r="F272" s="7"/>
      <c r="G272" s="7"/>
      <c r="H272" s="7"/>
      <c r="I272" s="7"/>
      <c r="J272" s="7"/>
      <c r="K272" s="7"/>
      <c r="L272" s="7"/>
    </row>
    <row r="273" spans="6:12" x14ac:dyDescent="0.25">
      <c r="F273" s="7"/>
      <c r="G273" s="7"/>
      <c r="H273" s="7"/>
      <c r="I273" s="7"/>
      <c r="J273" s="7"/>
      <c r="K273" s="7"/>
      <c r="L273" s="7"/>
    </row>
    <row r="274" spans="6:12" x14ac:dyDescent="0.25">
      <c r="F274" s="7"/>
      <c r="G274" s="7"/>
      <c r="H274" s="7"/>
      <c r="I274" s="7"/>
      <c r="J274" s="7"/>
      <c r="K274" s="7"/>
      <c r="L274" s="7"/>
    </row>
    <row r="275" spans="6:12" x14ac:dyDescent="0.25">
      <c r="F275" s="7"/>
      <c r="G275" s="7"/>
      <c r="H275" s="7"/>
      <c r="I275" s="7"/>
      <c r="J275" s="7"/>
      <c r="K275" s="7"/>
      <c r="L275" s="7"/>
    </row>
    <row r="276" spans="6:12" x14ac:dyDescent="0.25">
      <c r="F276" s="7"/>
      <c r="G276" s="7"/>
      <c r="H276" s="7"/>
      <c r="I276" s="7"/>
      <c r="J276" s="7"/>
      <c r="K276" s="7"/>
      <c r="L276" s="7"/>
    </row>
    <row r="277" spans="6:12" x14ac:dyDescent="0.25">
      <c r="F277" s="7"/>
      <c r="G277" s="7"/>
      <c r="H277" s="7"/>
      <c r="I277" s="7"/>
      <c r="J277" s="7"/>
      <c r="K277" s="7"/>
      <c r="L277" s="7"/>
    </row>
  </sheetData>
  <pageMargins left="0.25" right="0.25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F6841-5A63-4873-8437-6C934DFC755A}">
  <dimension ref="A1:S105"/>
  <sheetViews>
    <sheetView topLeftCell="A15" workbookViewId="0">
      <selection activeCell="P20" sqref="P20"/>
    </sheetView>
  </sheetViews>
  <sheetFormatPr baseColWidth="10" defaultColWidth="11.42578125" defaultRowHeight="15" x14ac:dyDescent="0.25"/>
  <cols>
    <col min="1" max="1" width="1.42578125" customWidth="1"/>
    <col min="2" max="2" width="20.42578125" customWidth="1"/>
    <col min="3" max="3" width="17.28515625" customWidth="1"/>
    <col min="4" max="5" width="16.7109375" bestFit="1" customWidth="1"/>
    <col min="6" max="6" width="15.5703125" bestFit="1" customWidth="1"/>
    <col min="7" max="7" width="17.28515625" bestFit="1" customWidth="1"/>
    <col min="8" max="8" width="15.5703125" bestFit="1" customWidth="1"/>
    <col min="9" max="9" width="17.5703125" customWidth="1"/>
    <col min="10" max="10" width="16.7109375" bestFit="1" customWidth="1"/>
    <col min="11" max="13" width="15.5703125" bestFit="1" customWidth="1"/>
    <col min="14" max="14" width="13.7109375" customWidth="1"/>
    <col min="15" max="15" width="16.7109375" bestFit="1" customWidth="1"/>
    <col min="16" max="16" width="17.85546875" customWidth="1"/>
    <col min="17" max="17" width="8.28515625" customWidth="1"/>
    <col min="18" max="18" width="18.28515625" bestFit="1" customWidth="1"/>
    <col min="19" max="19" width="12" bestFit="1" customWidth="1"/>
  </cols>
  <sheetData>
    <row r="1" spans="1:19" ht="18.75" x14ac:dyDescent="0.3">
      <c r="A1" s="7"/>
      <c r="B1" s="203" t="s">
        <v>309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x14ac:dyDescent="0.25">
      <c r="A15" s="7"/>
      <c r="B15" s="378" t="s">
        <v>310</v>
      </c>
      <c r="C15" s="378" t="s">
        <v>311</v>
      </c>
      <c r="D15" s="378" t="s">
        <v>312</v>
      </c>
      <c r="E15" s="378" t="s">
        <v>313</v>
      </c>
      <c r="F15" s="378" t="s">
        <v>314</v>
      </c>
      <c r="G15" s="378" t="s">
        <v>315</v>
      </c>
      <c r="H15" s="378" t="s">
        <v>316</v>
      </c>
      <c r="I15" s="378" t="s">
        <v>317</v>
      </c>
      <c r="J15" s="378" t="s">
        <v>318</v>
      </c>
      <c r="K15" s="378" t="s">
        <v>319</v>
      </c>
      <c r="L15" s="378" t="s">
        <v>320</v>
      </c>
      <c r="M15" s="378" t="s">
        <v>321</v>
      </c>
      <c r="N15" s="378" t="s">
        <v>322</v>
      </c>
      <c r="O15" s="378" t="s">
        <v>151</v>
      </c>
      <c r="P15" s="378" t="s">
        <v>323</v>
      </c>
      <c r="Q15" s="378" t="s">
        <v>324</v>
      </c>
      <c r="R15" s="378" t="s">
        <v>325</v>
      </c>
      <c r="S15" s="378" t="s">
        <v>326</v>
      </c>
    </row>
    <row r="16" spans="1:19" x14ac:dyDescent="0.25">
      <c r="A16" s="7"/>
      <c r="B16" s="380" t="s">
        <v>215</v>
      </c>
      <c r="C16" s="381">
        <f>SUM(C17,C18,C28)</f>
        <v>10731041.789999999</v>
      </c>
      <c r="D16" s="381">
        <f t="shared" ref="D16:N16" si="0">SUM(D17,D18,D28)</f>
        <v>1766963.27</v>
      </c>
      <c r="E16" s="381">
        <f t="shared" si="0"/>
        <v>4756184.78</v>
      </c>
      <c r="F16" s="381">
        <f t="shared" si="0"/>
        <v>11510526</v>
      </c>
      <c r="G16" s="381">
        <f t="shared" si="0"/>
        <v>7255180.75</v>
      </c>
      <c r="H16" s="381">
        <f t="shared" si="0"/>
        <v>16714521.83</v>
      </c>
      <c r="I16" s="381">
        <f t="shared" si="0"/>
        <v>28274249.839999996</v>
      </c>
      <c r="J16" s="381">
        <f t="shared" si="0"/>
        <v>20899823.41</v>
      </c>
      <c r="K16" s="381">
        <f t="shared" si="0"/>
        <v>15964460</v>
      </c>
      <c r="L16" s="381">
        <f t="shared" si="0"/>
        <v>55684110.770000003</v>
      </c>
      <c r="M16" s="381">
        <f t="shared" si="0"/>
        <v>15412000</v>
      </c>
      <c r="N16" s="381">
        <f t="shared" si="0"/>
        <v>0</v>
      </c>
      <c r="O16" s="381">
        <f t="shared" ref="O16:P16" si="1">SUM(O17:O35)</f>
        <v>150261624.44999999</v>
      </c>
      <c r="P16" s="381">
        <f t="shared" si="1"/>
        <v>342981054.47935998</v>
      </c>
      <c r="Q16" s="382">
        <f>Tabla4[[#This Row],[TOTAL]]/Tabla4[[#This Row],[ESTIMADO]]</f>
        <v>0.43810473636246422</v>
      </c>
      <c r="R16" s="383">
        <f>SUM(R17:R35)</f>
        <v>296890.57947369927</v>
      </c>
      <c r="S16" s="384"/>
    </row>
    <row r="17" spans="1:19" x14ac:dyDescent="0.25">
      <c r="A17" s="7"/>
      <c r="B17" s="243" t="s">
        <v>217</v>
      </c>
      <c r="C17" s="119">
        <f>SUMIFS(Tabla3[[#All],[EGRESOS]],Tabla3[[#All],[PERIODO]],Tabla4[[#Headers],[ENERO]],Tabla3[[#All],[ACTIVIDAD]],ACTIVIDADES!$B$16,Tabla3[[#All],[CONCEPTO]],Tabla4[[#This Row],[ACTIVIDADES]])</f>
        <v>307177.79000000004</v>
      </c>
      <c r="D17" s="119">
        <f>SUMIFS(Tabla3[[#All],[EGRESOS]],Tabla3[[#All],[PERIODO]],Tabla4[[#Headers],[FEBRERO]],Tabla3[[#All],[ACTIVIDAD]],ACTIVIDADES!$B$16,Tabla3[[#All],[CONCEPTO]],Tabla4[[#This Row],[ACTIVIDADES]])</f>
        <v>410810</v>
      </c>
      <c r="E17" s="119">
        <f>SUMIFS(Tabla3[[#All],[EGRESOS]],Tabla3[[#All],[PERIODO]],Tabla4[[#Headers],[MARZO]],Tabla3[[#All],[ACTIVIDAD]],ACTIVIDADES!$B$16,Tabla3[[#All],[CONCEPTO]],Tabla4[[#This Row],[ACTIVIDADES]])</f>
        <v>0</v>
      </c>
      <c r="F17" s="119">
        <f>SUMIFS(Tabla3[[#All],[EGRESOS]],Tabla3[[#All],[PERIODO]],Tabla4[[#Headers],[ABRIL]],Tabla3[[#All],[ACTIVIDAD]],ACTIVIDADES!$B$16,Tabla3[[#All],[CONCEPTO]],Tabla4[[#This Row],[ACTIVIDADES]])</f>
        <v>416620</v>
      </c>
      <c r="G17" s="119">
        <f>SUMIFS(Tabla3[[#All],[EGRESOS]],Tabla3[[#All],[PERIODO]],Tabla4[[#Headers],[MAYO]],Tabla3[[#All],[ACTIVIDAD]],ACTIVIDADES!$B$16,Tabla3[[#All],[CONCEPTO]],Tabla4[[#This Row],[ACTIVIDADES]])</f>
        <v>925558</v>
      </c>
      <c r="H17" s="119">
        <f>SUMIFS(Tabla3[[#All],[EGRESOS]],Tabla3[[#All],[PERIODO]],Tabla4[[#Headers],[JUNIO]],Tabla3[[#All],[ACTIVIDAD]],ACTIVIDADES!$B$16,Tabla3[[#All],[CONCEPTO]],Tabla4[[#This Row],[ACTIVIDADES]])</f>
        <v>0</v>
      </c>
      <c r="I17" s="119">
        <f>SUMIFS(Tabla3[[#All],[EGRESOS]],Tabla3[[#All],[PERIODO]],Tabla4[[#Headers],[JULIO]],Tabla3[[#All],[ACTIVIDAD]],ACTIVIDADES!$B$16,Tabla3[[#All],[CONCEPTO]],Tabla4[[#This Row],[ACTIVIDADES]])</f>
        <v>934252</v>
      </c>
      <c r="J17" s="119">
        <f>SUMIFS(Tabla3[[#All],[EGRESOS]],Tabla3[[#All],[PERIODO]],Tabla4[[#Headers],[AGOSTO]],Tabla3[[#All],[ACTIVIDAD]],ACTIVIDADES!$B$16,Tabla3[[#All],[CONCEPTO]],Tabla4[[#This Row],[ACTIVIDADES]])</f>
        <v>0</v>
      </c>
      <c r="K17" s="119">
        <f>SUMIFS(Tabla3[[#All],[EGRESOS]],Tabla3[[#All],[PERIODO]],Tabla4[[#Headers],[SEPTIEMBRE]],Tabla3[[#All],[ACTIVIDAD]],ACTIVIDADES!$B$16,Tabla3[[#All],[CONCEPTO]],Tabla4[[#This Row],[ACTIVIDADES]])</f>
        <v>4737657</v>
      </c>
      <c r="L17" s="119">
        <f>SUMIFS(Tabla3[[#All],[EGRESOS]],Tabla3[[#All],[PERIODO]],Tabla4[[#Headers],[OCTUBRE]],Tabla3[[#All],[ACTIVIDAD]],ACTIVIDADES!$B$16,Tabla3[[#All],[CONCEPTO]],Tabla4[[#This Row],[ACTIVIDADES]])</f>
        <v>0</v>
      </c>
      <c r="M17" s="119"/>
      <c r="N17" s="119"/>
      <c r="O17" s="238">
        <f>SUM(Tabla4[[#This Row],[ENERO]:[DICIEMBRE]])</f>
        <v>7732074.79</v>
      </c>
      <c r="P17" s="255">
        <v>7826025</v>
      </c>
      <c r="Q17" s="241">
        <f>Tabla4[[#This Row],[TOTAL]]/Tabla4[[#This Row],[ESTIMADO]]</f>
        <v>0.98799515590609532</v>
      </c>
      <c r="R17" s="99">
        <f>Tabla4[[#This Row],[ESTIMADO]]/1140</f>
        <v>6864.9342105263158</v>
      </c>
      <c r="S17" s="99">
        <f>Tabla4[[#This Row],[USD]]/(350)</f>
        <v>19.614097744360901</v>
      </c>
    </row>
    <row r="18" spans="1:19" x14ac:dyDescent="0.25">
      <c r="A18" s="7"/>
      <c r="B18" s="366" t="s">
        <v>220</v>
      </c>
      <c r="C18" s="379">
        <f t="shared" ref="C18:L18" si="2">SUBTOTAL(109,C19:C27)</f>
        <v>10097164</v>
      </c>
      <c r="D18" s="379">
        <f t="shared" si="2"/>
        <v>1356153.27</v>
      </c>
      <c r="E18" s="379">
        <f t="shared" si="2"/>
        <v>4756184.78</v>
      </c>
      <c r="F18" s="379">
        <f t="shared" si="2"/>
        <v>2585406</v>
      </c>
      <c r="G18" s="379">
        <f t="shared" si="2"/>
        <v>6329622.75</v>
      </c>
      <c r="H18" s="379">
        <f t="shared" si="2"/>
        <v>8530442.5</v>
      </c>
      <c r="I18" s="379">
        <f t="shared" si="2"/>
        <v>19155918.509999998</v>
      </c>
      <c r="J18" s="379">
        <f t="shared" si="2"/>
        <v>12715744.08</v>
      </c>
      <c r="K18" s="379">
        <f t="shared" si="2"/>
        <v>9071603</v>
      </c>
      <c r="L18" s="379">
        <f t="shared" si="2"/>
        <v>6845360.8799999999</v>
      </c>
      <c r="M18" s="379">
        <f>SUBTOTAL(109,M19:M27)</f>
        <v>14812000</v>
      </c>
      <c r="N18" s="379">
        <f t="shared" ref="N18" si="3">SUBTOTAL(109,N19:N26)</f>
        <v>0</v>
      </c>
      <c r="O18" s="379"/>
      <c r="P18" s="379"/>
      <c r="Q18" s="385"/>
      <c r="R18" s="386"/>
      <c r="S18" s="386"/>
    </row>
    <row r="19" spans="1:19" x14ac:dyDescent="0.25">
      <c r="A19" s="7"/>
      <c r="B19" s="243" t="s">
        <v>327</v>
      </c>
      <c r="C19" s="119">
        <f>SUMIFS(Tabla3[[#All],[EGRESOS]],Tabla3[[#All],[PERIODO]],Tabla4[[#Headers],[ENERO]],Tabla3[[#All],[ACTIVIDAD]],ACTIVIDADES!$B$16,Tabla3[[#All],[CONCEPTO]],ACTIVIDADES!$B$18,Tabla3[[#All],[DETALLES]],Tabla4[[#This Row],[ACTIVIDADES]])</f>
        <v>6000000</v>
      </c>
      <c r="D19" s="119">
        <f>SUMIFS(Tabla3[EGRESOS],Tabla3[ACTIVIDAD],ACTIVIDADES!$B$18,Tabla3[PERIODO],Tabla4[[#Headers],[FEBRERO]],Tabla3[CONCEPTO],ACTIVIDADES!B16,Tabla3[DETALLES],Tabla4[[#This Row],[ACTIVIDADES]])</f>
        <v>0</v>
      </c>
      <c r="E19" s="119">
        <f>SUMIFS(Tabla3[[#All],[EGRESOS]],Tabla3[[#All],[PERIODO]],Tabla4[[#Headers],[MARZO]],Tabla3[[#All],[ACTIVIDAD]],ACTIVIDADES!B16,Tabla3[[#All],[CONCEPTO]],ACTIVIDADES!B18,Tabla3[[#All],[DETALLES]],Tabla4[[#This Row],[ACTIVIDADES]])</f>
        <v>2560406</v>
      </c>
      <c r="F19" s="119">
        <f>SUMIFS(Tabla3[[#All],[EGRESOS]],Tabla3[[#All],[PERIODO]],Tabla4[[#Headers],[ABRIL]],Tabla3[[#All],[ACTIVIDAD]],ACTIVIDADES!B16,Tabla3[[#All],[CONCEPTO]],ACTIVIDADES!B18,Tabla3[[#All],[DETALLES]],Tabla4[[#This Row],[ACTIVIDADES]])</f>
        <v>1229406</v>
      </c>
      <c r="G19" s="119">
        <f>SUMIFS(Tabla3[[#All],[EGRESOS]],Tabla3[[#All],[PERIODO]],Tabla4[[#Headers],[MAYO]],Tabla3[[#All],[ACTIVIDAD]],ACTIVIDADES!B16,Tabla3[[#All],[CONCEPTO]],ACTIVIDADES!B18,Tabla3[[#All],[DETALLES]],Tabla4[[#This Row],[ACTIVIDADES]])</f>
        <v>3000000</v>
      </c>
      <c r="H19" s="119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19" s="119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19" s="119">
        <f>SUMIFS(Tabla3[[#All],[EGRESOS]],Tabla3[[#All],[PERIODO]],Tabla4[[#Headers],[AGOSTO]],Tabla3[[#All],[ACTIVIDAD]],ACTIVIDADES!B16,Tabla3[[#All],[CONCEPTO]],ACTIVIDADES!B18,Tabla3[[#All],[DETALLES]],Tabla4[[#This Row],[ACTIVIDADES]])</f>
        <v>5139219</v>
      </c>
      <c r="K19" s="119">
        <f>SUMIFS(Tabla3[[#All],[EGRESOS]],Tabla3[[#All],[PERIODO]],Tabla4[[#Headers],[SEPTIEMBRE]],Tabla3[[#All],[ACTIVIDAD]],ACTIVIDADES!B16,Tabla3[[#All],[CONCEPTO]],ACTIVIDADES!B18,Tabla3[[#All],[DETALLES]],B19)</f>
        <v>0</v>
      </c>
      <c r="L19" s="119">
        <f>SUMIFS(Tabla3[[#All],[EGRESOS]],Tabla3[[#All],[PERIODO]],Tabla4[[#Headers],[OCTUBRE]],Tabla3[[#All],[ACTIVIDAD]],$B$16,Tabla3[[#All],[CONCEPTO]],$B$18,Tabla3[[#All],[DETALLES]],B19)</f>
        <v>0</v>
      </c>
      <c r="M19" s="119">
        <f>SUMIFS(Tabla3[[#All],[EGRESOS]],Tabla3[[#All],[PERIODO]],Tabla4[[#Headers],[NOVIEMBRE]],Tabla3[[#All],[ACTIVIDAD]],$B$16,Tabla3[[#All],[CONCEPTO]],$B$18,Tabla3[[#All],[DETALLES]],B19)</f>
        <v>0</v>
      </c>
      <c r="N19" s="119"/>
      <c r="O19" s="238">
        <f>SUM(Tabla4[[#This Row],[ENERO]:[DICIEMBRE]])</f>
        <v>17929031</v>
      </c>
      <c r="P19" s="255">
        <f>14974524*1.21</f>
        <v>18119174.039999999</v>
      </c>
      <c r="Q19" s="241">
        <f>Tabla4[[#This Row],[TOTAL]]/Tabla4[[#This Row],[ESTIMADO]]</f>
        <v>0.98950597639935256</v>
      </c>
      <c r="R19" s="99">
        <f>Tabla4[[#This Row],[ESTIMADO]]/1140</f>
        <v>15894.012315789472</v>
      </c>
      <c r="S19" s="99">
        <f>Tabla4[[#This Row],[USD]]/(350)</f>
        <v>45.411463759398494</v>
      </c>
    </row>
    <row r="20" spans="1:19" x14ac:dyDescent="0.25">
      <c r="A20" s="7"/>
      <c r="B20" s="243" t="s">
        <v>328</v>
      </c>
      <c r="C20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0" s="119">
        <f>SUMIFS(Tabla3[EGRESOS],Tabla3[ACTIVIDAD],ACTIVIDADES!$B$16,Tabla3[PERIODO],Tabla4[[#Headers],[FEBRERO]],Tabla3[CONCEPTO],ACTIVIDADES!B18,Tabla3[DETALLES],Tabla4[[#This Row],[ACTIVIDADES]])</f>
        <v>0</v>
      </c>
      <c r="E20" s="119">
        <f>SUMIFS(Tabla3[[#All],[EGRESOS]],Tabla3[[#All],[PERIODO]],Tabla4[[#Headers],[MARZO]],Tabla3[[#All],[ACTIVIDAD]],ACTIVIDADES!B17,Tabla3[[#All],[CONCEPTO]],ACTIVIDADES!B18,Tabla3[[#All],[DETALLES]],Tabla4[[#This Row],[ACTIVIDADES]])</f>
        <v>0</v>
      </c>
      <c r="F20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0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0" s="119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0" s="119"/>
      <c r="J20" s="119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0" s="119">
        <f>SUMIFS(Tabla3[[#All],[EGRESOS]],Tabla3[[#All],[PERIODO]],Tabla4[[#Headers],[SEPTIEMBRE]],Tabla3[[#All],[ACTIVIDAD]],ACTIVIDADES!B16,Tabla3[[#All],[CONCEPTO]],ACTIVIDADES!B18,Tabla3[[#All],[DETALLES]],B20)</f>
        <v>0</v>
      </c>
      <c r="L20" s="119">
        <f>SUMIFS(Tabla3[[#All],[EGRESOS]],Tabla3[[#All],[PERIODO]],Tabla4[[#Headers],[OCTUBRE]],Tabla3[[#All],[ACTIVIDAD]],$B$16,Tabla3[[#All],[CONCEPTO]],$B$18,Tabla3[[#All],[DETALLES]],B20)</f>
        <v>0</v>
      </c>
      <c r="M20" s="119">
        <f>SUMIFS(Tabla3[[#All],[EGRESOS]],Tabla3[[#All],[PERIODO]],Tabla4[[#Headers],[NOVIEMBRE]],Tabla3[[#All],[ACTIVIDAD]],$B$16,Tabla3[[#All],[CONCEPTO]],$B$18,Tabla3[[#All],[DETALLES]],B20)</f>
        <v>0</v>
      </c>
      <c r="N20" s="119"/>
      <c r="O20" s="238">
        <f>SUM(Tabla4[[#This Row],[ENERO]:[DICIEMBRE]])</f>
        <v>0</v>
      </c>
      <c r="P20" s="255">
        <f>Tabla4[[#This Row],[USD]]*1140</f>
        <v>11427280.200000001</v>
      </c>
      <c r="Q20" s="241">
        <f>Tabla4[[#This Row],[TOTAL]]/Tabla4[[#This Row],[ESTIMADO]]</f>
        <v>0</v>
      </c>
      <c r="R20" s="99">
        <v>10023.93</v>
      </c>
      <c r="S20" s="99">
        <f>Tabla4[[#This Row],[USD]]/(350)</f>
        <v>28.639800000000001</v>
      </c>
    </row>
    <row r="21" spans="1:19" x14ac:dyDescent="0.25">
      <c r="A21" s="7"/>
      <c r="B21" s="243" t="s">
        <v>329</v>
      </c>
      <c r="C21" s="119">
        <f>SUMIFS(Tabla3[[#All],[EGRESOS]],Tabla3[[#All],[PERIODO]],Tabla4[[#Headers],[ENERO]],Tabla3[[#All],[ACTIVIDAD]],ACTIVIDADES!$B$16,Tabla3[[#All],[CONCEPTO]],ACTIVIDADES!$B$18,Tabla3[[#All],[DETALLES]],Tabla4[[#This Row],[ACTIVIDADES]])</f>
        <v>2997164</v>
      </c>
      <c r="D21" s="119">
        <f>SUMIFS(Tabla3[EGRESOS],Tabla3[ACTIVIDAD],ACTIVIDADES!$B$16,Tabla3[PERIODO],Tabla4[[#Headers],[FEBRERO]],Tabla3[CONCEPTO],ACTIVIDADES!B18,Tabla3[DETALLES],Tabla4[[#This Row],[ACTIVIDADES]])</f>
        <v>1356153.27</v>
      </c>
      <c r="E21" s="119">
        <f>SUMIFS(Tabla3[[#All],[EGRESOS]],Tabla3[[#All],[PERIODO]],Tabla4[[#Headers],[MARZO]],Tabla3[[#All],[ACTIVIDAD]],ACTIVIDADES!$B$16,Tabla3[[#All],[CONCEPTO]],ACTIVIDADES!$B$18,Tabla3[[#All],[DETALLES]],Tabla4[[#This Row],[ACTIVIDADES]])</f>
        <v>2195778.7800000003</v>
      </c>
      <c r="F21" s="119">
        <f>SUMIFS(Tabla3[[#All],[EGRESOS]],Tabla3[[#All],[PERIODO]],Tabla4[[#Headers],[ABRIL]],Tabla3[[#All],[ACTIVIDAD]],ACTIVIDADES!B16,Tabla3[[#All],[CONCEPTO]],ACTIVIDADES!B18,Tabla3[[#All],[DETALLES]],Tabla4[[#This Row],[ACTIVIDADES]])</f>
        <v>1356000</v>
      </c>
      <c r="G21" s="119">
        <f>SUMIFS(Tabla3[[#All],[EGRESOS]],Tabla3[[#All],[PERIODO]],Tabla4[[#Headers],[MAYO]],Tabla3[[#All],[ACTIVIDAD]],ACTIVIDADES!$B$16,Tabla3[[#All],[CONCEPTO]],ACTIVIDADES!$B$18,Tabla3[[#All],[DETALLES]],Tabla4[[#This Row],[ACTIVIDADES]])</f>
        <v>2829622.75</v>
      </c>
      <c r="H21" s="119">
        <f>SUMIFS(Tabla3[[#All],[EGRESOS]],Tabla3[[#All],[PERIODO]],Tabla4[[#Headers],[JUNIO]],Tabla3[[#All],[ACTIVIDAD]],ACTIVIDADES!$B$16,Tabla3[[#All],[CONCEPTO]],ACTIVIDADES!$B$18,Tabla3[[#All],[DETALLES]],Tabla4[[#This Row],[ACTIVIDADES]])</f>
        <v>0</v>
      </c>
      <c r="I21" s="119">
        <f>SUMIFS(Tabla3[[#All],[EGRESOS]],Tabla3[[#All],[PERIODO]],Tabla4[[#Headers],[JULIO]],Tabla3[[#All],[ACTIVIDAD]],ACTIVIDADES!$B$16,Tabla3[[#All],[CONCEPTO]],ACTIVIDADES!$B$18,Tabla3[[#All],[DETALLES]],Tabla4[[#This Row],[ACTIVIDADES]])</f>
        <v>1473622.75</v>
      </c>
      <c r="J21" s="119">
        <f>SUMIFS(Tabla3[[#All],[EGRESOS]],Tabla3[[#All],[PERIODO]],Tabla4[[#Headers],[AGOSTO]],Tabla3[[#All],[ACTIVIDAD]],ACTIVIDADES!B16,Tabla3[[#All],[CONCEPTO]],ACTIVIDADES!B18,Tabla3[[#All],[DETALLES]],Tabla4[[#This Row],[ACTIVIDADES]])</f>
        <v>1051273.08</v>
      </c>
      <c r="K21" s="119">
        <f>SUMIFS(Tabla3[[#All],[EGRESOS]],Tabla3[[#All],[PERIODO]],Tabla4[[#Headers],[SEPTIEMBRE]],Tabla3[[#All],[ACTIVIDAD]],ACTIVIDADES!B16,Tabla3[[#All],[CONCEPTO]],ACTIVIDADES!B18,Tabla3[[#All],[DETALLES]],B21)</f>
        <v>2000000</v>
      </c>
      <c r="L21" s="119">
        <f>SUMIFS(Tabla3[[#All],[EGRESOS]],Tabla3[[#All],[PERIODO]],Tabla4[[#Headers],[OCTUBRE]],Tabla3[[#All],[ACTIVIDAD]],$B$16,Tabla3[[#All],[CONCEPTO]],$B$18,Tabla3[[#All],[DETALLES]],B21)</f>
        <v>2608129.88</v>
      </c>
      <c r="M21" s="119">
        <f>SUMIFS(Tabla3[[#All],[EGRESOS]],Tabla3[[#All],[PERIODO]],Tabla4[[#Headers],[NOVIEMBRE]],Tabla3[[#All],[ACTIVIDAD]],$B$16,Tabla3[[#All],[CONCEPTO]],$B$18,Tabla3[[#All],[DETALLES]],B21)</f>
        <v>812000</v>
      </c>
      <c r="N21" s="119"/>
      <c r="O21" s="238">
        <f>SUM(Tabla4[[#This Row],[ENERO]:[DICIEMBRE]])</f>
        <v>18679744.510000002</v>
      </c>
      <c r="P21" s="255">
        <f>Tabla4[[#This Row],[USD]]*1140</f>
        <v>17912683.199999999</v>
      </c>
      <c r="Q21" s="241">
        <f>Tabla4[[#This Row],[TOTAL]]/Tabla4[[#This Row],[ESTIMADO]]</f>
        <v>1.0428222450782807</v>
      </c>
      <c r="R21" s="99">
        <v>15712.88</v>
      </c>
      <c r="S21" s="99">
        <f>Tabla4[[#This Row],[USD]]/(350)</f>
        <v>44.893942857142854</v>
      </c>
    </row>
    <row r="22" spans="1:19" x14ac:dyDescent="0.25">
      <c r="A22" s="7"/>
      <c r="B22" s="243" t="s">
        <v>41</v>
      </c>
      <c r="C22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2" s="119">
        <f>SUMIFS(Tabla3[EGRESOS],Tabla3[ACTIVIDAD],ACTIVIDADES!$B$16,Tabla3[PERIODO],Tabla4[[#Headers],[FEBRERO]],Tabla3[CONCEPTO],ACTIVIDADES!B18,Tabla3[DETALLES],Tabla4[[#This Row],[ACTIVIDADES]])</f>
        <v>0</v>
      </c>
      <c r="E22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2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2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2" s="119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2" s="119">
        <f>SUMIFS(Tabla3[[#All],[EGRESOS]],Tabla3[[#All],[PERIODO]],Tabla4[[#Headers],[JULIO]],Tabla3[[#All],[ACTIVIDAD]],ACTIVIDADES!B16,Tabla3[[#All],[CONCEPTO]],ACTIVIDADES!B18,Tabla3[[#All],[DETALLES]],Tabla4[[#This Row],[ACTIVIDADES]])</f>
        <v>6384674.7599999998</v>
      </c>
      <c r="J22" s="119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2" s="119">
        <f>SUMIFS(Tabla3[[#All],[EGRESOS]],Tabla3[[#All],[PERIODO]],Tabla4[[#Headers],[SEPTIEMBRE]],Tabla3[[#All],[ACTIVIDAD]],ACTIVIDADES!B16,Tabla3[[#All],[CONCEPTO]],ACTIVIDADES!B18,Tabla3[[#All],[DETALLES]],B22)</f>
        <v>0</v>
      </c>
      <c r="L22" s="119">
        <f>SUMIFS(Tabla3[[#All],[EGRESOS]],Tabla3[[#All],[PERIODO]],Tabla4[[#Headers],[OCTUBRE]],Tabla3[[#All],[ACTIVIDAD]],$B$16,Tabla3[[#All],[CONCEPTO]],$B$18,Tabla3[[#All],[DETALLES]],B22)</f>
        <v>0</v>
      </c>
      <c r="M22" s="119">
        <f>SUMIFS(Tabla3[[#All],[EGRESOS]],Tabla3[[#All],[PERIODO]],Tabla4[[#Headers],[NOVIEMBRE]],Tabla3[[#All],[ACTIVIDAD]],$B$16,Tabla3[[#All],[CONCEPTO]],$B$18,Tabla3[[#All],[DETALLES]],B22)</f>
        <v>0</v>
      </c>
      <c r="N22" s="119"/>
      <c r="O22" s="238">
        <f>SUM(Tabla4[[#This Row],[ENERO]:[DICIEMBRE]])</f>
        <v>6384674.7599999998</v>
      </c>
      <c r="P22" s="255">
        <v>52777452</v>
      </c>
      <c r="Q22" s="241">
        <f>Tabla4[[#This Row],[TOTAL]]/Tabla4[[#This Row],[ESTIMADO]]</f>
        <v>0.12097353165135748</v>
      </c>
      <c r="R22" s="99">
        <v>47589.805368997557</v>
      </c>
      <c r="S22" s="99">
        <f>Tabla4[[#This Row],[USD]]/(350)</f>
        <v>135.97087248285015</v>
      </c>
    </row>
    <row r="23" spans="1:19" x14ac:dyDescent="0.25">
      <c r="A23" s="7"/>
      <c r="B23" s="243" t="s">
        <v>291</v>
      </c>
      <c r="C23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3" s="119">
        <f>SUMIFS(Tabla3[EGRESOS],Tabla3[ACTIVIDAD],ACTIVIDADES!$B$16,Tabla3[PERIODO],Tabla4[[#Headers],[FEBRERO]],Tabla3[CONCEPTO],ACTIVIDADES!B18,Tabla3[DETALLES],Tabla4[[#This Row],[ACTIVIDADES]])</f>
        <v>0</v>
      </c>
      <c r="E23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3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3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3" s="119">
        <f>SUMIFS(Tabla3[[#All],[EGRESOS]],Tabla3[[#All],[PERIODO]],Tabla4[[#Headers],[JUNIO]],Tabla3[[#All],[ACTIVIDAD]],ACTIVIDADES!B16,Tabla3[[#All],[CONCEPTO]],ACTIVIDADES!B18,Tabla3[[#All],[DETALLES]],Tabla4[[#This Row],[ACTIVIDADES]])</f>
        <v>3146510.5</v>
      </c>
      <c r="I23" s="119">
        <f>SUMIFS(Tabla3[[#All],[EGRESOS]],Tabla3[[#All],[PERIODO]],Tabla4[[#Headers],[JULIO]],Tabla3[[#All],[ACTIVIDAD]],ACTIVIDADES!B16,Tabla3[[#All],[CONCEPTO]],ACTIVIDADES!B18,Tabla3[[#All],[DETALLES]],Tabla4[[#This Row],[ACTIVIDADES]])</f>
        <v>7097621</v>
      </c>
      <c r="J23" s="119">
        <f>SUMIFS(Tabla3[[#All],[EGRESOS]],Tabla3[[#All],[PERIODO]],Tabla4[[#Headers],[AGOSTO]],Tabla3[[#All],[ACTIVIDAD]],ACTIVIDADES!B16,Tabla3[[#All],[CONCEPTO]],ACTIVIDADES!B18,Tabla3[[#All],[DETALLES]],Tabla4[[#This Row],[ACTIVIDADES]])</f>
        <v>3569742</v>
      </c>
      <c r="K23" s="119">
        <f>SUMIFS(Tabla3[[#All],[EGRESOS]],Tabla3[[#All],[PERIODO]],Tabla4[[#Headers],[SEPTIEMBRE]],Tabla3[[#All],[ACTIVIDAD]],ACTIVIDADES!B16,Tabla3[[#All],[CONCEPTO]],ACTIVIDADES!B18,Tabla3[[#All],[DETALLES]],B23)</f>
        <v>7071603</v>
      </c>
      <c r="L23" s="119">
        <f>SUMIFS(Tabla3[[#All],[EGRESOS]],Tabla3[[#All],[PERIODO]],Tabla4[[#Headers],[OCTUBRE]],Tabla3[[#All],[ACTIVIDAD]],$B$16,Tabla3[[#All],[CONCEPTO]],$B$18,Tabla3[[#All],[DETALLES]],B23)</f>
        <v>3316005</v>
      </c>
      <c r="M23" s="119">
        <f>SUMIFS(Tabla3[[#All],[EGRESOS]],Tabla3[[#All],[PERIODO]],Tabla4[[#Headers],[NOVIEMBRE]],Tabla3[[#All],[ACTIVIDAD]],$B$16,Tabla3[[#All],[CONCEPTO]],$B$18,Tabla3[[#All],[DETALLES]],B23)</f>
        <v>0</v>
      </c>
      <c r="N23" s="119"/>
      <c r="O23" s="238">
        <f>SUM(Tabla4[[#This Row],[ENERO]:[DICIEMBRE]])</f>
        <v>24201481.5</v>
      </c>
      <c r="P23" s="255">
        <v>37735800.480000012</v>
      </c>
      <c r="Q23" s="241">
        <f>Tabla4[[#This Row],[TOTAL]]/Tabla4[[#This Row],[ESTIMADO]]</f>
        <v>0.6413400853342649</v>
      </c>
      <c r="R23" s="99">
        <f>Tabla4[[#This Row],[ESTIMADO]]/1140</f>
        <v>33101.579368421066</v>
      </c>
      <c r="S23" s="99">
        <f>Tabla4[[#This Row],[USD]]/(350)</f>
        <v>94.57594105263162</v>
      </c>
    </row>
    <row r="24" spans="1:19" x14ac:dyDescent="0.25">
      <c r="A24" s="7"/>
      <c r="B24" s="243" t="s">
        <v>330</v>
      </c>
      <c r="C24" s="119">
        <f>SUMIFS(Tabla3[[#All],[EGRESOS]],Tabla3[[#All],[PERIODO]],Tabla4[[#Headers],[ENERO]],Tabla3[[#All],[ACTIVIDAD]],ACTIVIDADES!$B$16,Tabla3[[#All],[CONCEPTO]],ACTIVIDADES!$B$18,Tabla3[[#All],[DETALLES]],Tabla4[[#This Row],[ACTIVIDADES]])</f>
        <v>1100000</v>
      </c>
      <c r="D24" s="119">
        <f>SUMIFS(Tabla3[EGRESOS],Tabla3[ACTIVIDAD],ACTIVIDADES!$B$16,Tabla3[PERIODO],Tabla4[[#Headers],[FEBRERO]],Tabla3[CONCEPTO],ACTIVIDADES!B18,Tabla3[DETALLES],Tabla4[[#This Row],[ACTIVIDADES]])</f>
        <v>0</v>
      </c>
      <c r="E24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4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4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4" s="119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4" s="119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24" s="119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4" s="119">
        <f>SUMIFS(Tabla3[[#All],[EGRESOS]],Tabla3[[#All],[PERIODO]],Tabla4[[#Headers],[SEPTIEMBRE]],Tabla3[[#All],[ACTIVIDAD]],ACTIVIDADES!B16,Tabla3[[#All],[CONCEPTO]],ACTIVIDADES!B18,Tabla3[[#All],[DETALLES]],B24)</f>
        <v>0</v>
      </c>
      <c r="L24" s="119">
        <f>SUMIFS(Tabla3[[#All],[EGRESOS]],Tabla3[[#All],[PERIODO]],Tabla4[[#Headers],[OCTUBRE]],Tabla3[[#All],[ACTIVIDAD]],$B$16,Tabla3[[#All],[CONCEPTO]],$B$18,Tabla3[[#All],[DETALLES]],B24)</f>
        <v>0</v>
      </c>
      <c r="M24" s="119">
        <f>SUMIFS(Tabla3[[#All],[EGRESOS]],Tabla3[[#All],[PERIODO]],Tabla4[[#Headers],[NOVIEMBRE]],Tabla3[[#All],[ACTIVIDAD]],$B$16,Tabla3[[#All],[CONCEPTO]],$B$18,Tabla3[[#All],[DETALLES]],B24)</f>
        <v>0</v>
      </c>
      <c r="N24" s="119"/>
      <c r="O24" s="238">
        <f>SUM(Tabla4[[#This Row],[ENERO]:[DICIEMBRE]])</f>
        <v>1100000</v>
      </c>
      <c r="P24" s="255">
        <v>1100000</v>
      </c>
      <c r="Q24" s="241">
        <f>Tabla4[[#This Row],[TOTAL]]/Tabla4[[#This Row],[ESTIMADO]]</f>
        <v>1</v>
      </c>
      <c r="R24" s="99">
        <f>Tabla4[[#This Row],[ESTIMADO]]/1140</f>
        <v>964.91228070175441</v>
      </c>
      <c r="S24" s="99">
        <f>Tabla4[[#This Row],[USD]]/(350)</f>
        <v>2.7568922305764412</v>
      </c>
    </row>
    <row r="25" spans="1:19" x14ac:dyDescent="0.25">
      <c r="A25" s="7"/>
      <c r="B25" s="243" t="s">
        <v>331</v>
      </c>
      <c r="C25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5" s="119">
        <f>SUMIFS(Tabla3[EGRESOS],Tabla3[ACTIVIDAD],ACTIVIDADES!$B$16,Tabla3[PERIODO],Tabla4[[#Headers],[FEBRERO]],Tabla3[CONCEPTO],ACTIVIDADES!B18,Tabla3[DETALLES],Tabla4[[#This Row],[ACTIVIDADES]])</f>
        <v>0</v>
      </c>
      <c r="E25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5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5" s="119">
        <f>SUMIFS(Tabla3[[#All],[EGRESOS]],Tabla3[[#All],[PERIODO]],Tabla4[[#Headers],[MAYO]],Tabla3[[#All],[ACTIVIDAD]],ACTIVIDADES!$B$16,Tabla3[[#All],[CONCEPTO]],ACTIVIDADES!$B$18,Tabla3[[#All],[DETALLES]],Tabla4[[#This Row],[ACTIVIDADES]])</f>
        <v>500000</v>
      </c>
      <c r="H25" s="119">
        <f>SUMIFS(Tabla3[[#All],[EGRESOS]],Tabla3[[#All],[PERIODO]],Tabla4[[#Headers],[JUNIO]],Tabla3[[#All],[ACTIVIDAD]],ACTIVIDADES!$B$16,Tabla3[[#All],[CONCEPTO]],ACTIVIDADES!$B$18,Tabla3[[#All],[DETALLES]],Tabla4[[#This Row],[ACTIVIDADES]])</f>
        <v>2800000</v>
      </c>
      <c r="I25" s="119">
        <f>SUMIFS(Tabla3[[#All],[EGRESOS]],Tabla3[[#All],[PERIODO]],Tabla4[[#Headers],[JULIO]],Tabla3[[#All],[ACTIVIDAD]],ACTIVIDADES!B16,Tabla3[[#All],[CONCEPTO]],ACTIVIDADES!B18,Tabla3[[#All],[DETALLES]],Tabla4[[#This Row],[ACTIVIDADES]])</f>
        <v>4200000</v>
      </c>
      <c r="J25" s="119">
        <f>SUMIFS(Tabla3[[#All],[EGRESOS]],Tabla3[[#All],[PERIODO]],Tabla4[[#Headers],[AGOSTO]],Tabla3[[#All],[ACTIVIDAD]],ACTIVIDADES!B16,Tabla3[[#All],[CONCEPTO]],ACTIVIDADES!B18,Tabla3[[#All],[DETALLES]],Tabla4[[#This Row],[ACTIVIDADES]])</f>
        <v>2955510</v>
      </c>
      <c r="K25" s="119">
        <f>SUMIFS(Tabla3[[#All],[EGRESOS]],Tabla3[[#All],[PERIODO]],Tabla4[[#Headers],[SEPTIEMBRE]],Tabla3[[#All],[ACTIVIDAD]],ACTIVIDADES!B16,Tabla3[[#All],[CONCEPTO]],ACTIVIDADES!B18,Tabla3[[#All],[DETALLES]],B25)</f>
        <v>0</v>
      </c>
      <c r="L25" s="119">
        <f>SUMIFS(Tabla3[[#All],[EGRESOS]],Tabla3[[#All],[PERIODO]],Tabla4[[#Headers],[OCTUBRE]],Tabla3[[#All],[ACTIVIDAD]],$B$16,Tabla3[[#All],[CONCEPTO]],$B$18,Tabla3[[#All],[DETALLES]],B25)</f>
        <v>0</v>
      </c>
      <c r="M25" s="119">
        <f>SUMIFS(Tabla3[[#All],[EGRESOS]],Tabla3[[#All],[PERIODO]],Tabla4[[#Headers],[NOVIEMBRE]],Tabla3[[#All],[ACTIVIDAD]],$B$16,Tabla3[[#All],[CONCEPTO]],$B$18,Tabla3[[#All],[DETALLES]],B25)</f>
        <v>0</v>
      </c>
      <c r="N25" s="119"/>
      <c r="O25" s="238">
        <f>SUM(Tabla4[[#This Row],[ENERO]:[DICIEMBRE]])</f>
        <v>10455510</v>
      </c>
      <c r="P25" s="255">
        <f>Tabla4[[#This Row],[USD]]*1360</f>
        <v>37095360.000000007</v>
      </c>
      <c r="Q25" s="241">
        <f>Tabla4[[#This Row],[TOTAL]]/Tabla4[[#This Row],[ESTIMADO]]</f>
        <v>0.28185492740871088</v>
      </c>
      <c r="R25" s="99">
        <v>27276.000000000004</v>
      </c>
      <c r="S25" s="99">
        <f>Tabla4[[#This Row],[USD]]/(350)</f>
        <v>77.931428571428583</v>
      </c>
    </row>
    <row r="26" spans="1:19" x14ac:dyDescent="0.25">
      <c r="A26" s="7"/>
      <c r="B26" s="243" t="s">
        <v>332</v>
      </c>
      <c r="C26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6" s="119">
        <f>SUMIFS(Tabla3[EGRESOS],Tabla3[ACTIVIDAD],ACTIVIDADES!$B$16,Tabla3[PERIODO],Tabla4[[#Headers],[FEBRERO]],Tabla3[CONCEPTO],ACTIVIDADES!B19,Tabla3[DETALLES],Tabla4[[#This Row],[ACTIVIDADES]])</f>
        <v>0</v>
      </c>
      <c r="E26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6" s="119">
        <f>SUMIFS(Tabla3[[#All],[EGRESOS]],Tabla3[[#All],[PERIODO]],Tabla4[[#Headers],[ABRIL]],Tabla3[[#All],[ACTIVIDAD]],ACTIVIDADES!B17,Tabla3[[#All],[CONCEPTO]],ACTIVIDADES!B19,Tabla3[[#All],[DETALLES]],Tabla4[[#This Row],[ACTIVIDADES]])</f>
        <v>0</v>
      </c>
      <c r="G26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6" s="119">
        <f>SUMIFS(Tabla3[[#All],[EGRESOS]],Tabla3[[#All],[PERIODO]],Tabla4[[#Headers],[JUNIO]],Tabla3[[#All],[ACTIVIDAD]],ACTIVIDADES!$B$16,Tabla3[[#All],[CONCEPTO]],ACTIVIDADES!$B$18,Tabla3[[#All],[DETALLES]],Tabla4[[#This Row],[ACTIVIDADES]])</f>
        <v>2583932</v>
      </c>
      <c r="I26" s="119">
        <f>SUMIFS(Tabla3[[#All],[EGRESOS]],Tabla3[[#All],[PERIODO]],Tabla4[[#Headers],[JULIO]],Tabla3[[#All],[ACTIVIDAD]],ACTIVIDADES!B17,Tabla3[[#All],[CONCEPTO]],ACTIVIDADES!B19,Tabla3[[#All],[DETALLES]],Tabla4[[#This Row],[ACTIVIDADES]])</f>
        <v>0</v>
      </c>
      <c r="J26" s="119">
        <f>SUMIFS(Tabla3[[#All],[EGRESOS]],Tabla3[[#All],[PERIODO]],Tabla4[[#Headers],[AGOSTO]],Tabla3[[#All],[ACTIVIDAD]],ACTIVIDADES!B17,Tabla3[[#All],[CONCEPTO]],ACTIVIDADES!B19,Tabla3[[#All],[DETALLES]],Tabla4[[#This Row],[ACTIVIDADES]])</f>
        <v>0</v>
      </c>
      <c r="K26" s="119">
        <f>SUMIFS(Tabla3[[#All],[EGRESOS]],Tabla3[[#All],[PERIODO]],Tabla4[[#Headers],[SEPTIEMBRE]],Tabla3[[#All],[ACTIVIDAD]],ACTIVIDADES!B17,Tabla3[[#All],[CONCEPTO]],ACTIVIDADES!B19,Tabla3[[#All],[DETALLES]],B26)</f>
        <v>0</v>
      </c>
      <c r="L26" s="119">
        <f>SUMIFS(Tabla3[[#All],[EGRESOS]],Tabla3[[#All],[PERIODO]],Tabla4[[#Headers],[OCTUBRE]],Tabla3[[#All],[ACTIVIDAD]],$B$16,Tabla3[[#All],[CONCEPTO]],$B$18,Tabla3[[#All],[DETALLES]],B26)</f>
        <v>921226</v>
      </c>
      <c r="M26" s="119">
        <f>SUMIFS(Tabla3[[#All],[EGRESOS]],Tabla3[[#All],[PERIODO]],Tabla4[[#Headers],[NOVIEMBRE]],Tabla3[[#All],[ACTIVIDAD]],$B$16,Tabla3[[#All],[CONCEPTO]],$B$18,Tabla3[[#All],[DETALLES]],B26)</f>
        <v>0</v>
      </c>
      <c r="N26" s="119"/>
      <c r="O26" s="238">
        <f>SUM(Tabla4[[#This Row],[ENERO]:[DICIEMBRE]])</f>
        <v>3505158</v>
      </c>
      <c r="P26" s="255">
        <v>3550000</v>
      </c>
      <c r="Q26" s="241">
        <f>Tabla4[[#This Row],[TOTAL]]/Tabla4[[#This Row],[ESTIMADO]]</f>
        <v>0.9873684507042253</v>
      </c>
      <c r="R26" s="99">
        <f>Tabla4[[#This Row],[ESTIMADO]]/1140</f>
        <v>3114.0350877192982</v>
      </c>
      <c r="S26" s="99">
        <f>Tabla4[[#This Row],[USD]]/(350)</f>
        <v>8.8972431077694232</v>
      </c>
    </row>
    <row r="27" spans="1:19" x14ac:dyDescent="0.25">
      <c r="A27" s="7"/>
      <c r="B27" s="243" t="s">
        <v>333</v>
      </c>
      <c r="C27" s="119">
        <f>SUMIFS(Tabla3[[#All],[FACTURA]],Tabla3[[#All],[RUBRO]],Tabla4[[#Headers],[ENERO]],Tabla3[[#All],[EGRESOS]],$B$16,Tabla3[[#All],[SALDO]],$B$18,Tabla3[[#All],[SALDO BANCO]],#REF!)</f>
        <v>0</v>
      </c>
      <c r="D27" s="119">
        <f>SUMIFS(Tabla3[[#All],[RDS]],Tabla3[[#All],[CONCEPTO]],Tabla4[[#Headers],[FEBRERO]],Tabla3[[#All],[INGRESOS]],$B$16,Tabla3[[#All],[SALDO BANCO]],$B$18,Tabla3[[#All],[TC]],#REF!)</f>
        <v>0</v>
      </c>
      <c r="E27" s="119">
        <f>SUMIFS(Tabla3[[#All],[SOCIO]],Tabla3[[#All],[DETALLES]],Tabla4[[#Headers],[MARZO]],Tabla3[[#All],[SALDO]],$B$16,Tabla3[[#All],[TC]],$B$18,Tabla3[[#All],[EGRES USD]],#REF!)</f>
        <v>0</v>
      </c>
      <c r="F27" s="119">
        <f>SUMIFS(Tabla3[[#All],[CAMPAÑA]],Tabla3[[#All],[PROVEEDOR CLIENTE]],Tabla4[[#Headers],[ABRIL]],Tabla3[[#All],[SALDO BANCO]],$B$16,Tabla3[[#All],[EGRES USD]],$B$18,Tabla3[[#All],[INGRES USD]],#REF!)</f>
        <v>0</v>
      </c>
      <c r="G27" s="119">
        <f>SUMIFS(Tabla3[[#All],[DEBITO]],Tabla3[[#All],[FACTURA]],Tabla4[[#Headers],[MAYO]],Tabla3[[#All],[TC]],$B$16,Tabla3[[#All],[INGRES USD]],$B$18,Tabla3[[#All],[MONEDA]],#REF!)</f>
        <v>0</v>
      </c>
      <c r="H27" s="119">
        <f>SUMIFS(Tabla3[[#All],[CREDITO]],Tabla3[[#All],[RDS]],Tabla4[[#Headers],[JUNIO]],Tabla3[[#All],[EGRES USD]],$B$16,Tabla3[[#All],[MONEDA]],$B$18,Tabla3[[#All],[CUENTA]],#REF!)</f>
        <v>0</v>
      </c>
      <c r="I27" s="119">
        <f>SUMIFS(Tabla3[[#All],[PERIODO]],Tabla3[[#All],[SOCIO]],Tabla4[[#Headers],[JULIO]],Tabla3[[#All],[INGRES USD]],$B$16,Tabla3[[#All],[CUENTA]],$B$18,Tabla3[[#All],[BANCO]],#REF!)</f>
        <v>0</v>
      </c>
      <c r="J27" s="119">
        <f>SUMIFS(Tabla3[[#All],[FECHA]],Tabla3[[#All],[CAMPAÑA]],Tabla4[[#Headers],[AGOSTO]],Tabla3[[#All],[MONEDA]],$B$16,Tabla3[[#All],[BANCO]],$B$18,Tabla3[[#All],[ACTIVIDAD]],#REF!)</f>
        <v>0</v>
      </c>
      <c r="K27" s="119">
        <f>SUMIFS(Tabla3[[#All],[DESCRIPCION]],Tabla3[[#All],[DEBITO]],Tabla4[[#Headers],[SEPTIEMBRE]],Tabla3[[#All],[CUENTA]],$B$16,Tabla3[[#All],[ACTIVIDAD]],$B$18,Tabla3[[#All],[RUBRO]],#REF!)</f>
        <v>0</v>
      </c>
      <c r="L27" s="119">
        <f>SUMIFS(Tabla3[[#All],[N DE REFERENCIA]],Tabla3[[#All],[CREDITO]],Tabla4[[#Headers],[OCTUBRE]],Tabla3[[#All],[BANCO]],$B$16,Tabla3[[#All],[RUBRO]],$B$18,Tabla3[[#All],[CONCEPTO]],A27)</f>
        <v>0</v>
      </c>
      <c r="M27" s="119">
        <f>SUMIFS(Tabla3[[#All],[EGRESOS]],Tabla3[[#All],[PERIODO]],Tabla4[[#Headers],[NOVIEMBRE]],Tabla3[[#All],[ACTIVIDAD]],$B$16,Tabla3[[#All],[CONCEPTO]],$B$18,Tabla3[[#All],[DETALLES]],B27)</f>
        <v>14000000</v>
      </c>
      <c r="N27" s="119"/>
      <c r="O27" s="238"/>
      <c r="P27" s="255"/>
      <c r="Q27" s="241"/>
      <c r="R27" s="99"/>
      <c r="S27" s="99"/>
    </row>
    <row r="28" spans="1:19" x14ac:dyDescent="0.25">
      <c r="A28" s="7"/>
      <c r="B28" s="366" t="s">
        <v>219</v>
      </c>
      <c r="C28" s="379">
        <f>SUBTOTAL(109,C29:C37)</f>
        <v>326700</v>
      </c>
      <c r="D28" s="379">
        <f t="shared" ref="D28:N28" si="4">SUBTOTAL(109,D29:D37)</f>
        <v>0</v>
      </c>
      <c r="E28" s="379">
        <f t="shared" si="4"/>
        <v>0</v>
      </c>
      <c r="F28" s="379">
        <f t="shared" si="4"/>
        <v>8508500</v>
      </c>
      <c r="G28" s="379">
        <f t="shared" si="4"/>
        <v>0</v>
      </c>
      <c r="H28" s="379">
        <f t="shared" si="4"/>
        <v>8184079.3300000001</v>
      </c>
      <c r="I28" s="379">
        <f t="shared" si="4"/>
        <v>8184079.3300000001</v>
      </c>
      <c r="J28" s="379">
        <f t="shared" si="4"/>
        <v>8184079.3300000001</v>
      </c>
      <c r="K28" s="379">
        <f t="shared" si="4"/>
        <v>2155200</v>
      </c>
      <c r="L28" s="379">
        <f t="shared" si="4"/>
        <v>48838749.890000001</v>
      </c>
      <c r="M28" s="379">
        <f>SUBTOTAL(109,M29:M37)</f>
        <v>600000</v>
      </c>
      <c r="N28" s="379">
        <f t="shared" si="4"/>
        <v>0</v>
      </c>
      <c r="O28" s="379"/>
      <c r="P28" s="379"/>
      <c r="Q28" s="385"/>
      <c r="R28" s="386"/>
      <c r="S28" s="386"/>
    </row>
    <row r="29" spans="1:19" x14ac:dyDescent="0.25">
      <c r="A29" s="7"/>
      <c r="B29" s="243" t="s">
        <v>327</v>
      </c>
      <c r="C29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29" s="119">
        <f>SUMIFS(Tabla3[EGRESOS],Tabla3[ACTIVIDAD],ACTIVIDADES!$B$16,Tabla3[PERIODO],Tabla4[[#Headers],[FEBRERO]],Tabla3[CONCEPTO],ACTIVIDADES!B28,Tabla3[DETALLES],Tabla4[[#This Row],[ACTIVIDADES]])</f>
        <v>0</v>
      </c>
      <c r="E29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29" s="119">
        <f>SUMIFS(Tabla3[[#All],[EGRESOS]],Tabla3[[#All],[PERIODO]],Tabla4[[#Headers],[ABRIL]],Tabla3[[#All],[ACTIVIDAD]],ACTIVIDADES!B16,Tabla3[[#All],[CONCEPTO]],ACTIVIDADES!B28,Tabla3[[#All],[DETALLES]],Tabla4[[#This Row],[ACTIVIDADES]])</f>
        <v>8508500</v>
      </c>
      <c r="G29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29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29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29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29" s="119">
        <f>SUMIFS(Tabla3[[#All],[EGRESOS]],Tabla3[[#All],[PERIODO]],Tabla4[[#Headers],[SEPTIEMBRE]],Tabla3[[#All],[ACTIVIDAD]],ACTIVIDADES!B16,Tabla3[[#All],[CONCEPTO]],ACTIVIDADES!B28,Tabla3[[#All],[DETALLES]],B29)</f>
        <v>0</v>
      </c>
      <c r="L29" s="119">
        <f>SUMIFS(Tabla3[[#All],[EGRESOS]],Tabla3[[#All],[PERIODO]],Tabla4[[#Headers],[OCTUBRE]],Tabla3[[#All],[ACTIVIDAD]],$B$16,Tabla3[[#All],[CONCEPTO]],$B$28,Tabla3[[#All],[DETALLES]],B29)</f>
        <v>0</v>
      </c>
      <c r="M29" s="119">
        <f>SUMIFS(Tabla3[[#All],[EGRESOS]],Tabla3[[#All],[PERIODO]],Tabla4[[#Headers],[NOVIEMBRE]],Tabla3[[#All],[ACTIVIDAD]],$B$16,Tabla3[[#All],[CONCEPTO]],$B$28,Tabla3[[#All],[DETALLES]],B29)</f>
        <v>0</v>
      </c>
      <c r="N29" s="119"/>
      <c r="O29" s="238">
        <f>SUM(Tabla4[[#This Row],[ENERO]:[DICIEMBRE]])</f>
        <v>8508500</v>
      </c>
      <c r="P29" s="255">
        <f>Tabla4[[#This Row],[USD]]*1140</f>
        <v>8508500</v>
      </c>
      <c r="Q29" s="241">
        <f>Tabla4[[#This Row],[TOTAL]]/Tabla4[[#This Row],[ESTIMADO]]</f>
        <v>1</v>
      </c>
      <c r="R29" s="99">
        <v>7463.5964912280706</v>
      </c>
      <c r="S29" s="99">
        <f>Tabla4[[#This Row],[USD]]/140</f>
        <v>53.311403508771932</v>
      </c>
    </row>
    <row r="30" spans="1:19" x14ac:dyDescent="0.25">
      <c r="A30" s="7"/>
      <c r="B30" s="243" t="s">
        <v>328</v>
      </c>
      <c r="C30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0" s="119">
        <f>SUMIFS(Tabla3[EGRESOS],Tabla3[ACTIVIDAD],ACTIVIDADES!$B$16,Tabla3[PERIODO],Tabla4[[#Headers],[FEBRERO]],Tabla3[CONCEPTO],ACTIVIDADES!B28,Tabla3[DETALLES],Tabla4[[#This Row],[ACTIVIDADES]])</f>
        <v>0</v>
      </c>
      <c r="E30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0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0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0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0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0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0" s="119">
        <f>SUMIFS(Tabla3[[#All],[EGRESOS]],Tabla3[[#All],[PERIODO]],Tabla4[[#Headers],[SEPTIEMBRE]],Tabla3[[#All],[ACTIVIDAD]],ACTIVIDADES!B16,Tabla3[[#All],[CONCEPTO]],ACTIVIDADES!B28,Tabla3[[#All],[DETALLES]],B30)</f>
        <v>0</v>
      </c>
      <c r="L30" s="119">
        <f>SUMIFS(Tabla3[[#All],[EGRESOS]],Tabla3[[#All],[PERIODO]],Tabla4[[#Headers],[OCTUBRE]],Tabla3[[#All],[ACTIVIDAD]],$B$16,Tabla3[[#All],[CONCEPTO]],$B$28,Tabla3[[#All],[DETALLES]],B30)</f>
        <v>34348253.549999997</v>
      </c>
      <c r="M30" s="119">
        <f>SUMIFS(Tabla3[[#All],[EGRESOS]],Tabla3[[#All],[PERIODO]],Tabla4[[#Headers],[NOVIEMBRE]],Tabla3[[#All],[ACTIVIDAD]],$B$16,Tabla3[[#All],[CONCEPTO]],$B$28,Tabla3[[#All],[DETALLES]],B30)</f>
        <v>0</v>
      </c>
      <c r="N30" s="119"/>
      <c r="O30" s="238">
        <f>SUM(Tabla4[[#This Row],[ENERO]:[DICIEMBRE]])</f>
        <v>34348253.549999997</v>
      </c>
      <c r="P30" s="255">
        <f>Tabla4[[#This Row],[USD]]*1140</f>
        <v>31920000</v>
      </c>
      <c r="Q30" s="241">
        <f>Tabla4[[#This Row],[TOTAL]]/Tabla4[[#This Row],[ESTIMADO]]</f>
        <v>1.0760731062030073</v>
      </c>
      <c r="R30" s="99">
        <v>28000</v>
      </c>
      <c r="S30" s="99">
        <f>Tabla4[[#This Row],[USD]]/140</f>
        <v>200</v>
      </c>
    </row>
    <row r="31" spans="1:19" x14ac:dyDescent="0.25">
      <c r="A31" s="7"/>
      <c r="B31" s="243" t="s">
        <v>329</v>
      </c>
      <c r="C31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1" s="119">
        <f>SUMIFS(Tabla3[EGRESOS],Tabla3[ACTIVIDAD],ACTIVIDADES!$B$16,Tabla3[PERIODO],Tabla4[[#Headers],[FEBRERO]],Tabla3[CONCEPTO],ACTIVIDADES!B28,Tabla3[DETALLES],Tabla4[[#This Row],[ACTIVIDADES]])</f>
        <v>0</v>
      </c>
      <c r="E31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1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1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1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1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1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1" s="119">
        <f>SUMIFS(Tabla3[[#All],[EGRESOS]],Tabla3[[#All],[PERIODO]],Tabla4[[#Headers],[SEPTIEMBRE]],Tabla3[[#All],[ACTIVIDAD]],ACTIVIDADES!B16,Tabla3[[#All],[CONCEPTO]],ACTIVIDADES!B28,Tabla3[[#All],[DETALLES]],B31)</f>
        <v>0</v>
      </c>
      <c r="L31" s="307">
        <f>SUMIFS(Tabla3[[#All],[EGRESOS]],Tabla3[[#All],[PERIODO]],Tabla4[[#Headers],[OCTUBRE]],Tabla3[[#All],[ACTIVIDAD]],$B$16,Tabla3[[#All],[CONCEPTO]],$B$28,Tabla3[[#All],[DETALLES]],B31)</f>
        <v>0</v>
      </c>
      <c r="M31" s="119">
        <f>SUMIFS(Tabla3[[#All],[EGRESOS]],Tabla3[[#All],[PERIODO]],Tabla4[[#Headers],[NOVIEMBRE]],Tabla3[[#All],[ACTIVIDAD]],$B$16,Tabla3[[#All],[CONCEPTO]],$B$28,Tabla3[[#All],[DETALLES]],B31)</f>
        <v>600000</v>
      </c>
      <c r="N31" s="119"/>
      <c r="O31" s="238">
        <f>SUM(Tabla4[[#This Row],[ENERO]:[DICIEMBRE]])</f>
        <v>600000</v>
      </c>
      <c r="P31" s="255">
        <f>Tabla4[[#This Row],[USD]]*1140</f>
        <v>5432942.6666666698</v>
      </c>
      <c r="Q31" s="241">
        <f>Tabla4[[#This Row],[TOTAL]]/Tabla4[[#This Row],[ESTIMADO]]</f>
        <v>0.11043738850425312</v>
      </c>
      <c r="R31" s="99">
        <v>4765.7391812865526</v>
      </c>
      <c r="S31" s="99">
        <f>Tabla4[[#This Row],[USD]]/140</f>
        <v>34.040994152046807</v>
      </c>
    </row>
    <row r="32" spans="1:19" x14ac:dyDescent="0.25">
      <c r="A32" s="7"/>
      <c r="B32" s="243" t="s">
        <v>334</v>
      </c>
      <c r="C32" s="119">
        <f>SUMIFS(Tabla3[[#All],[EGRESOS]],Tabla3[[#All],[PERIODO]],Tabla4[[#Headers],[ENERO]],Tabla3[[#All],[ACTIVIDAD]],ACTIVIDADES!$B$16,Tabla3[[#All],[CONCEPTO]],ACTIVIDADES!$B$28,Tabla3[[#All],[DETALLES]],Tabla4[[#This Row],[ACTIVIDADES]])</f>
        <v>326700</v>
      </c>
      <c r="D32" s="119">
        <f>SUMIFS(Tabla3[EGRESOS],Tabla3[ACTIVIDAD],ACTIVIDADES!$B$16,Tabla3[PERIODO],Tabla4[[#Headers],[FEBRERO]],Tabla3[CONCEPTO],ACTIVIDADES!B28,Tabla3[DETALLES],Tabla4[[#This Row],[ACTIVIDADES]])</f>
        <v>0</v>
      </c>
      <c r="E32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2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2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2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2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2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2" s="119">
        <f>SUMIFS(Tabla3[[#All],[EGRESOS]],Tabla3[[#All],[PERIODO]],Tabla4[[#Headers],[SEPTIEMBRE]],Tabla3[[#All],[ACTIVIDAD]],ACTIVIDADES!B16,Tabla3[[#All],[CONCEPTO]],ACTIVIDADES!B28,Tabla3[[#All],[DETALLES]],B32)</f>
        <v>0</v>
      </c>
      <c r="L32" s="307">
        <f>SUMIFS(Tabla3[[#All],[EGRESOS]],Tabla3[[#All],[PERIODO]],Tabla4[[#Headers],[OCTUBRE]],Tabla3[[#All],[ACTIVIDAD]],$B$16,Tabla3[[#All],[CONCEPTO]],$B$28,Tabla3[[#All],[DETALLES]],B32)</f>
        <v>0</v>
      </c>
      <c r="M32" s="119">
        <f>SUMIFS(Tabla3[[#All],[EGRESOS]],Tabla3[[#All],[PERIODO]],Tabla4[[#Headers],[NOVIEMBRE]],Tabla3[[#All],[ACTIVIDAD]],$B$16,Tabla3[[#All],[CONCEPTO]],$B$28,Tabla3[[#All],[DETALLES]],B32)</f>
        <v>0</v>
      </c>
      <c r="N32" s="119"/>
      <c r="O32" s="238">
        <f>SUM(Tabla4[[#This Row],[ENERO]:[DICIEMBRE]])</f>
        <v>326700</v>
      </c>
      <c r="P32" s="255">
        <f>Tabla4[[#This Row],[USD]]*1140</f>
        <v>500000</v>
      </c>
      <c r="Q32" s="241">
        <f>Tabla4[[#This Row],[TOTAL]]/Tabla4[[#This Row],[ESTIMADO]]</f>
        <v>0.65339999999999998</v>
      </c>
      <c r="R32" s="99">
        <v>438.59649122807019</v>
      </c>
      <c r="S32" s="99">
        <f>Tabla4[[#This Row],[USD]]/140</f>
        <v>3.1328320802005014</v>
      </c>
    </row>
    <row r="33" spans="1:19" x14ac:dyDescent="0.25">
      <c r="A33" s="7"/>
      <c r="B33" s="243" t="s">
        <v>41</v>
      </c>
      <c r="C33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3" s="119">
        <f>SUMIFS(Tabla3[EGRESOS],Tabla3[ACTIVIDAD],ACTIVIDADES!$B$16,Tabla3[PERIODO],Tabla4[[#Headers],[FEBRERO]],Tabla3[CONCEPTO],ACTIVIDADES!B28,Tabla3[DETALLES],Tabla4[[#This Row],[ACTIVIDADES]])</f>
        <v>0</v>
      </c>
      <c r="E33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3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3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3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3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3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3" s="119">
        <f>SUMIFS(Tabla3[[#All],[EGRESOS]],Tabla3[[#All],[PERIODO]],Tabla4[[#Headers],[SEPTIEMBRE]],Tabla3[[#All],[ACTIVIDAD]],ACTIVIDADES!B16,Tabla3[[#All],[CONCEPTO]],ACTIVIDADES!B28,Tabla3[[#All],[DETALLES]],B33)</f>
        <v>0</v>
      </c>
      <c r="L33" s="307">
        <f>SUMIFS(Tabla3[[#All],[EGRESOS]],Tabla3[[#All],[PERIODO]],Tabla4[[#Headers],[OCTUBRE]],Tabla3[[#All],[ACTIVIDAD]],$B$16,Tabla3[[#All],[CONCEPTO]],$B$28,Tabla3[[#All],[DETALLES]],B33)</f>
        <v>14490496.34</v>
      </c>
      <c r="M33" s="119">
        <f>SUMIFS(Tabla3[[#All],[EGRESOS]],Tabla3[[#All],[PERIODO]],Tabla4[[#Headers],[NOVIEMBRE]],Tabla3[[#All],[ACTIVIDAD]],$B$16,Tabla3[[#All],[CONCEPTO]],$B$28,Tabla3[[#All],[DETALLES]],B33)</f>
        <v>0</v>
      </c>
      <c r="N33" s="119"/>
      <c r="O33" s="238">
        <f>SUM(Tabla4[[#This Row],[ENERO]:[DICIEMBRE]])</f>
        <v>14490496.34</v>
      </c>
      <c r="P33" s="255">
        <f>Tabla4[[#This Row],[USD]]*1140</f>
        <v>56517052.342599966</v>
      </c>
      <c r="Q33" s="241">
        <f>Tabla4[[#This Row],[TOTAL]]/Tabla4[[#This Row],[ESTIMADO]]</f>
        <v>0.25639157987504824</v>
      </c>
      <c r="R33" s="99">
        <v>49576.361704035058</v>
      </c>
      <c r="S33" s="99">
        <f>Tabla4[[#This Row],[USD]]/140</f>
        <v>354.11686931453613</v>
      </c>
    </row>
    <row r="34" spans="1:19" x14ac:dyDescent="0.25">
      <c r="A34" s="7"/>
      <c r="B34" s="243" t="s">
        <v>291</v>
      </c>
      <c r="C34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4" s="119">
        <f>SUMIFS(Tabla3[EGRESOS],Tabla3[ACTIVIDAD],ACTIVIDADES!$B$16,Tabla3[PERIODO],Tabla4[[#Headers],[FEBRERO]],Tabla3[CONCEPTO],ACTIVIDADES!B28,Tabla3[DETALLES],Tabla4[[#This Row],[ACTIVIDADES]])</f>
        <v>0</v>
      </c>
      <c r="E34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4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4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4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4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4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4" s="119">
        <f>SUMIFS(Tabla3[[#All],[EGRESOS]],Tabla3[[#All],[PERIODO]],Tabla4[[#Headers],[SEPTIEMBRE]],Tabla3[[#All],[ACTIVIDAD]],ACTIVIDADES!B16,Tabla3[[#All],[CONCEPTO]],ACTIVIDADES!B28,Tabla3[[#All],[DETALLES]],B34)</f>
        <v>0</v>
      </c>
      <c r="L34" s="307">
        <f>SUMIFS(Tabla3[[#All],[EGRESOS]],Tabla3[[#All],[PERIODO]],Tabla4[[#Headers],[OCTUBRE]],Tabla3[[#All],[ACTIVIDAD]],$B$16,Tabla3[[#All],[CONCEPTO]],$B$28,Tabla3[[#All],[DETALLES]],B34)</f>
        <v>0</v>
      </c>
      <c r="M34" s="119">
        <f>SUMIFS(Tabla3[[#All],[EGRESOS]],Tabla3[[#All],[PERIODO]],Tabla4[[#Headers],[NOVIEMBRE]],Tabla3[[#All],[ACTIVIDAD]],$B$16,Tabla3[[#All],[CONCEPTO]],$B$28,Tabla3[[#All],[DETALLES]],B34)</f>
        <v>0</v>
      </c>
      <c r="N34" s="119"/>
      <c r="O34" s="238">
        <f>SUM(Tabla4[[#This Row],[ENERO]:[DICIEMBRE]])</f>
        <v>0</v>
      </c>
      <c r="P34" s="255">
        <f>Tabla4[[#This Row],[USD]]*1140</f>
        <v>38818659.384615369</v>
      </c>
      <c r="Q34" s="241">
        <f>Tabla4[[#This Row],[TOTAL]]/Tabla4[[#This Row],[ESTIMADO]]</f>
        <v>0</v>
      </c>
      <c r="R34" s="99">
        <v>34051.455600539797</v>
      </c>
      <c r="S34" s="99">
        <f>Tabla4[[#This Row],[USD]]/140</f>
        <v>243.22468286099854</v>
      </c>
    </row>
    <row r="35" spans="1:19" x14ac:dyDescent="0.25">
      <c r="A35" s="7"/>
      <c r="B35" s="243" t="s">
        <v>335</v>
      </c>
      <c r="C35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5" s="119">
        <f>SUMIFS(Tabla3[EGRESOS],Tabla3[ACTIVIDAD],ACTIVIDADES!$B$16,Tabla3[PERIODO],Tabla4[[#Headers],[FEBRERO]],Tabla3[CONCEPTO],ACTIVIDADES!B28,Tabla3[DETALLES],Tabla4[[#This Row],[ACTIVIDADES]])</f>
        <v>0</v>
      </c>
      <c r="E35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5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5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5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5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5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5" s="119">
        <f>SUMIFS(Tabla3[[#All],[EGRESOS]],Tabla3[[#All],[PERIODO]],Tabla4[[#Headers],[SEPTIEMBRE]],Tabla3[[#All],[ACTIVIDAD]],ACTIVIDADES!B16,Tabla3[[#All],[CONCEPTO]],ACTIVIDADES!B28,Tabla3[[#All],[DETALLES]],B35)</f>
        <v>2000000</v>
      </c>
      <c r="L35" s="307">
        <f>SUMIFS(Tabla3[[#All],[EGRESOS]],Tabla3[[#All],[PERIODO]],Tabla4[[#Headers],[OCTUBRE]],Tabla3[[#All],[ACTIVIDAD]],$B$16,Tabla3[[#All],[CONCEPTO]],$B$28,Tabla3[[#All],[DETALLES]],B35)</f>
        <v>0</v>
      </c>
      <c r="M35" s="119">
        <f>SUMIFS(Tabla3[[#All],[EGRESOS]],Tabla3[[#All],[PERIODO]],Tabla4[[#Headers],[NOVIEMBRE]],Tabla3[[#All],[ACTIVIDAD]],$B$16,Tabla3[[#All],[CONCEPTO]],$B$28,Tabla3[[#All],[DETALLES]],B35)</f>
        <v>0</v>
      </c>
      <c r="N35" s="119"/>
      <c r="O35" s="238">
        <f>SUM(Tabla4[[#This Row],[ENERO]:[DICIEMBRE]])</f>
        <v>2000000</v>
      </c>
      <c r="P35" s="255">
        <f>Tabla4[[#This Row],[USD]]*1140</f>
        <v>13740125.165477982</v>
      </c>
      <c r="Q35" s="241">
        <f>Tabla4[[#This Row],[TOTAL]]/Tabla4[[#This Row],[ESTIMADO]]</f>
        <v>0.14555908158864472</v>
      </c>
      <c r="R35" s="99">
        <v>12052.741373226299</v>
      </c>
      <c r="S35" s="99">
        <f>Tabla4[[#This Row],[USD]]/140</f>
        <v>86.091009808759281</v>
      </c>
    </row>
    <row r="36" spans="1:19" x14ac:dyDescent="0.25">
      <c r="A36" s="7"/>
      <c r="B36" s="243" t="s">
        <v>336</v>
      </c>
      <c r="C36" s="119">
        <f>SUMIFS(Tabla3[[#All],[EGRESOS]],Tabla3[[#All],[PERIODO]],Tabla4[[#Headers],[ENERO]],Tabla3[[#All],[ACTIVIDAD]],ACTIVIDADES!$B$15,Tabla3[[#All],[CONCEPTO]],ACTIVIDADES!$B$28,Tabla3[[#All],[DETALLES]],Tabla4[[#This Row],[ACTIVIDADES]])</f>
        <v>0</v>
      </c>
      <c r="D36" s="119">
        <f>SUMIFS(Tabla3[[#All],[INGRESOS]],Tabla3[[#All],[FECHA]],Tabla4[[#Headers],[FEBRERO]],Tabla3[[#All],[RUBRO]],ACTIVIDADES!$B$15,Tabla3[[#All],[DETALLES]],ACTIVIDADES!$B$28,Tabla3[[#All],[PROVEEDOR CLIENTE]],Tabla4[[#This Row],[ACTIVIDADES]])</f>
        <v>0</v>
      </c>
      <c r="E36" s="119">
        <f>SUMIFS(Tabla3[[#All],[EGRESOS]],Tabla3[[#All],[PERIODO]],Tabla4[[#Headers],[MARZO]],Tabla3[[#All],[ACTIVIDAD]],ACTIVIDADES!B16,Tabla3[[#All],[CONCEPTO]],ACTIVIDADES!B28,Tabla3[[#All],[DETALLES]],Tabla4[[#This Row],[ACTIVIDADES]])</f>
        <v>0</v>
      </c>
      <c r="F36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6" s="119">
        <f>SUMIFS(Tabla3[[#All],[EGRESOS]],Tabla3[[#All],[PERIODO]],Tabla4[[#Headers],[MAYO]],Tabla3[[#All],[ACTIVIDAD]],ACTIVIDADES!B16,Tabla3[[#All],[CONCEPTO]],ACTIVIDADES!B28,Tabla3[[#All],[DETALLES]],Tabla4[[#This Row],[ACTIVIDADES]])</f>
        <v>0</v>
      </c>
      <c r="H36" s="119">
        <f>SUMIFS(Tabla3[[#All],[EGRESOS]],Tabla3[[#All],[PERIODO]],Tabla4[[#Headers],[JUNIO]],Tabla3[[#All],[ACTIVIDAD]],ACTIVIDADES!B16,Tabla3[[#All],[CONCEPTO]],ACTIVIDADES!B28,Tabla3[[#All],[DETALLES]],Tabla4[[#This Row],[ACTIVIDADES]])</f>
        <v>8184079.3300000001</v>
      </c>
      <c r="I36" s="119">
        <f>SUMIFS(Tabla3[[#All],[EGRESOS]],Tabla3[[#All],[PERIODO]],Tabla4[[#Headers],[JULIO]],Tabla3[[#All],[ACTIVIDAD]],ACTIVIDADES!B16,Tabla3[[#All],[CONCEPTO]],ACTIVIDADES!B28,Tabla3[[#All],[DETALLES]],Tabla4[[#This Row],[ACTIVIDADES]])</f>
        <v>8184079.3300000001</v>
      </c>
      <c r="J36" s="119">
        <f>SUMIFS(Tabla3[[#All],[EGRESOS]],Tabla3[[#All],[PERIODO]],Tabla4[[#Headers],[AGOSTO]],Tabla3[[#All],[ACTIVIDAD]],ACTIVIDADES!B16,Tabla3[[#All],[CONCEPTO]],ACTIVIDADES!B28,Tabla3[[#All],[DETALLES]],Tabla4[[#This Row],[ACTIVIDADES]])</f>
        <v>8184079.3300000001</v>
      </c>
      <c r="K36" s="119">
        <f>SUMIFS(Tabla3[[#All],[EGRESOS]],Tabla3[[#All],[PERIODO]],Tabla4[[#Headers],[SEPTIEMBRE]],Tabla3[[#All],[ACTIVIDAD]],ACTIVIDADES!B16,Tabla3[[#All],[CONCEPTO]],ACTIVIDADES!B28,Tabla3[[#All],[DETALLES]],B36)</f>
        <v>0</v>
      </c>
      <c r="L36" s="307">
        <f>SUMIFS(Tabla3[[#All],[EGRESOS]],Tabla3[[#All],[PERIODO]],Tabla4[[#Headers],[OCTUBRE]],Tabla3[[#All],[ACTIVIDAD]],$B$16,Tabla3[[#All],[CONCEPTO]],$B$28,Tabla3[[#All],[DETALLES]],B36)</f>
        <v>0</v>
      </c>
      <c r="M36" s="119">
        <f>SUMIFS(Tabla3[[#All],[EGRESOS]],Tabla3[[#All],[PERIODO]],Tabla4[[#Headers],[NOVIEMBRE]],Tabla3[[#All],[ACTIVIDAD]],$B$16,Tabla3[[#All],[CONCEPTO]],$B$28,Tabla3[[#All],[DETALLES]],B36)</f>
        <v>0</v>
      </c>
      <c r="N36" s="119"/>
      <c r="O36" s="238">
        <f>SUM(Tabla4[[#This Row],[ENERO]:[DICIEMBRE]])</f>
        <v>24552237.990000002</v>
      </c>
      <c r="P36" s="255">
        <f>Tabla4[[#This Row],[USD]]*1400</f>
        <v>29400000</v>
      </c>
      <c r="Q36" s="241">
        <f>Tabla4[[#This Row],[TOTAL]]/Tabla4[[#This Row],[ESTIMADO]]</f>
        <v>0.83511013571428583</v>
      </c>
      <c r="R36" s="99">
        <v>21000</v>
      </c>
      <c r="S36" s="99">
        <f>Tabla4[[#This Row],[USD]]/140</f>
        <v>150</v>
      </c>
    </row>
    <row r="37" spans="1:19" x14ac:dyDescent="0.25">
      <c r="A37" s="7"/>
      <c r="B37" s="377" t="s">
        <v>337</v>
      </c>
      <c r="C37" s="367"/>
      <c r="D37" s="367"/>
      <c r="E37" s="367"/>
      <c r="F37" s="367"/>
      <c r="G37" s="367"/>
      <c r="H37" s="367"/>
      <c r="I37" s="367"/>
      <c r="J37" s="367"/>
      <c r="K37" s="367">
        <f>SUMIFS(Tabla3[[#All],[EGRESOS]],Tabla3[[#All],[PERIODO]],Tabla4[[#Headers],[SEPTIEMBRE]],Tabla3[[#All],[ACTIVIDAD]],ACTIVIDADES!B16,Tabla3[[#All],[CONCEPTO]],ACTIVIDADES!B28,Tabla3[[#All],[DETALLES]],B37)</f>
        <v>155200</v>
      </c>
      <c r="L37" s="367">
        <f>SUMIFS(Tabla3[[#All],[EGRESOS]],Tabla3[[#All],[PERIODO]],Tabla4[[#Headers],[OCTUBRE]],Tabla3[[#All],[ACTIVIDAD]],$B$16,Tabla3[[#All],[CONCEPTO]],$B$28,Tabla3[[#All],[DETALLES]],B37)</f>
        <v>0</v>
      </c>
      <c r="M37" s="367">
        <f>SUMIFS(Tabla3[[#All],[EGRESOS]],Tabla3[[#All],[PERIODO]],Tabla4[[#Headers],[NOVIEMBRE]],Tabla3[[#All],[ACTIVIDAD]],$B$16,Tabla3[[#All],[CONCEPTO]],$B$28,Tabla3[[#All],[DETALLES]],B37)</f>
        <v>0</v>
      </c>
      <c r="N37" s="367"/>
      <c r="O37" s="302">
        <f>SUM(Tabla4[[#This Row],[ENERO]:[DICIEMBRE]])</f>
        <v>155200</v>
      </c>
      <c r="P37" s="302">
        <f>Tabla4[[#This Row],[USD]]*1400</f>
        <v>280000</v>
      </c>
      <c r="Q37" s="368">
        <f>Tabla4[[#This Row],[TOTAL]]/Tabla4[[#This Row],[ESTIMADO]]</f>
        <v>0.55428571428571427</v>
      </c>
      <c r="R37" s="369">
        <v>200</v>
      </c>
      <c r="S37" s="369">
        <f>Tabla4[[#This Row],[USD]]/140</f>
        <v>1.4285714285714286</v>
      </c>
    </row>
    <row r="38" spans="1:19" x14ac:dyDescent="0.25">
      <c r="A38" s="7"/>
      <c r="B38" s="242" t="s">
        <v>286</v>
      </c>
      <c r="C38" s="302">
        <f>SUBTOTAL(109,C39:C43)</f>
        <v>1436637</v>
      </c>
      <c r="D38" s="302">
        <f t="shared" ref="D38:N38" si="5">SUBTOTAL(109,D39:D43)</f>
        <v>2697602.6399999997</v>
      </c>
      <c r="E38" s="302">
        <f t="shared" si="5"/>
        <v>1525425.44</v>
      </c>
      <c r="F38" s="302">
        <f t="shared" si="5"/>
        <v>2951393.42</v>
      </c>
      <c r="G38" s="302">
        <f t="shared" si="5"/>
        <v>6698423.46</v>
      </c>
      <c r="H38" s="302">
        <f t="shared" si="5"/>
        <v>35932866.769999996</v>
      </c>
      <c r="I38" s="302">
        <f t="shared" si="5"/>
        <v>163178745.45000002</v>
      </c>
      <c r="J38" s="302">
        <f t="shared" si="5"/>
        <v>141824736.24000001</v>
      </c>
      <c r="K38" s="302">
        <f t="shared" si="5"/>
        <v>2279014.4699999997</v>
      </c>
      <c r="L38" s="302">
        <f t="shared" si="5"/>
        <v>2376278.35</v>
      </c>
      <c r="M38" s="302">
        <f t="shared" si="5"/>
        <v>5199242.12</v>
      </c>
      <c r="N38" s="302">
        <f t="shared" si="5"/>
        <v>0</v>
      </c>
      <c r="O38" s="302">
        <f>SUBTOTAL(109,O39:O43)</f>
        <v>366100365.36000001</v>
      </c>
      <c r="P38" s="302">
        <f>SUBTOTAL(109,P39:P43)</f>
        <v>448600000</v>
      </c>
      <c r="Q38" s="370">
        <f>Tabla4[[#This Row],[TOTAL]]/Tabla4[[#This Row],[ESTIMADO]]</f>
        <v>0.81609533071778873</v>
      </c>
      <c r="R38" s="371">
        <f>SUBTOTAL(109,R39:R43)</f>
        <v>383418.80341880344</v>
      </c>
      <c r="S38" s="264"/>
    </row>
    <row r="39" spans="1:19" x14ac:dyDescent="0.25">
      <c r="A39" s="7"/>
      <c r="B39" s="243" t="s">
        <v>289</v>
      </c>
      <c r="C39" s="119">
        <f>SUMIFS(Tabla3[[#All],[EGRESOS]],Tabla3[[#All],[PERIODO]],Tabla4[[#Headers],[ENERO]],Tabla3[[#All],[ACTIVIDAD]],ACTIVIDADES!B38,Tabla3[[#All],[CONCEPTO]],Tabla4[[#This Row],[ACTIVIDADES]])</f>
        <v>1004637</v>
      </c>
      <c r="D39" s="119">
        <f>SUMIFS(Tabla3[EGRESOS],Tabla3[ACTIVIDAD],ACTIVIDADES!$B$38,Tabla3[CONCEPTO],ACTIVIDADES!B39,Tabla3[PERIODO],Tabla4[[#Headers],[FEBRERO]])</f>
        <v>611250.24</v>
      </c>
      <c r="E39" s="119">
        <f>SUMIFS(Tabla3[[#All],[EGRESOS]],Tabla3[[#All],[PERIODO]],Tabla4[[#Headers],[MARZO]],Tabla3[[#All],[ACTIVIDAD]],ACTIVIDADES!B38,Tabla3[[#All],[CONCEPTO]],Tabla4[[#This Row],[ACTIVIDADES]])</f>
        <v>133425.44</v>
      </c>
      <c r="F39" s="119">
        <f>SUMIFS(Tabla3[[#All],[EGRESOS]],Tabla3[[#All],[PERIODO]],Tabla4[[#Headers],[ABRIL]],Tabla3[[#All],[ACTIVIDAD]],ACTIVIDADES!B38,Tabla3[[#All],[CONCEPTO]],Tabla4[[#This Row],[ACTIVIDADES]])</f>
        <v>0</v>
      </c>
      <c r="G39" s="119">
        <f>SUMIFS(Tabla3[[#All],[EGRESOS]],Tabla3[[#All],[PERIODO]],Tabla4[[#Headers],[MAYO]],Tabla3[[#All],[ACTIVIDAD]],ACTIVIDADES!B38,Tabla3[[#All],[CONCEPTO]],Tabla4[[#This Row],[ACTIVIDADES]])</f>
        <v>345300</v>
      </c>
      <c r="H39" s="119">
        <f>SUMIFS(Tabla3[[#All],[EGRESOS]],Tabla3[[#All],[PERIODO]],Tabla4[[#Headers],[JUNIO]],Tabla3[[#All],[ACTIVIDAD]],ACTIVIDADES!B38,Tabla3[[#All],[CONCEPTO]],Tabla4[[#This Row],[ACTIVIDADES]])</f>
        <v>546566.77</v>
      </c>
      <c r="I39" s="119">
        <f>SUMIFS(Tabla3[[#All],[EGRESOS]],Tabla3[[#All],[PERIODO]],Tabla4[[#Headers],[JULIO]],Tabla3[[#All],[ACTIVIDAD]],ACTIVIDADES!B38,Tabla3[[#All],[CONCEPTO]],Tabla4[[#This Row],[ACTIVIDADES]])</f>
        <v>109290</v>
      </c>
      <c r="J39" s="119">
        <f>SUMIFS(Tabla3[[#All],[EGRESOS]],Tabla3[[#All],[PERIODO]],Tabla4[[#Headers],[AGOSTO]],Tabla3[[#All],[ACTIVIDAD]],ACTIVIDADES!B38,Tabla3[[#All],[CONCEPTO]],Tabla4[[#This Row],[ACTIVIDADES]])</f>
        <v>3008463.66</v>
      </c>
      <c r="K39" s="119">
        <f>SUMIFS(Tabla3[[#All],[EGRESOS]],Tabla3[[#All],[PERIODO]],Tabla4[[#Headers],[SEPTIEMBRE]],Tabla3[[#All],[ACTIVIDAD]],ACTIVIDADES!B38,Tabla3[[#All],[CONCEPTO]],Tabla4[[#This Row],[ACTIVIDADES]])</f>
        <v>1380529.47</v>
      </c>
      <c r="L39" s="119">
        <f>SUMIFS(Tabla3[[#All],[EGRESOS]],Tabla3[[#All],[PERIODO]],Tabla4[[#Headers],[OCTUBRE]],Tabla3[[#All],[ACTIVIDAD]],$B$38,Tabla3[[#All],[CONCEPTO]],Tabla4[[#This Row],[ACTIVIDADES]])</f>
        <v>84137.35</v>
      </c>
      <c r="M39" s="119">
        <f>SUMIFS(Tabla3[[#All],[EGRESOS]],Tabla3[[#All],[PERIODO]],Tabla4[[#Headers],[NOVIEMBRE]],Tabla3[[#All],[ACTIVIDAD]],$B$38,Tabla3[[#All],[CONCEPTO]],Tabla4[[#This Row],[ACTIVIDADES]])</f>
        <v>591600.02</v>
      </c>
      <c r="N39" s="119"/>
      <c r="O39" s="238">
        <f>SUM(Tabla4[[#This Row],[ENERO]:[DICIEMBRE]])</f>
        <v>7815199.9499999993</v>
      </c>
      <c r="P39" s="255">
        <v>8000000</v>
      </c>
      <c r="Q39" s="241">
        <f>Tabla4[[#This Row],[TOTAL]]/Tabla4[[#This Row],[ESTIMADO]]</f>
        <v>0.97689999374999992</v>
      </c>
      <c r="R39" s="99">
        <f>Tabla4[[#This Row],[ESTIMADO]]/1170</f>
        <v>6837.6068376068379</v>
      </c>
      <c r="S39" s="7"/>
    </row>
    <row r="40" spans="1:19" x14ac:dyDescent="0.25">
      <c r="A40" s="7"/>
      <c r="B40" s="243" t="s">
        <v>218</v>
      </c>
      <c r="C40" s="119">
        <f>SUMIFS(Tabla3[[#All],[EGRESOS]],Tabla3[[#All],[PERIODO]],Tabla4[[#Headers],[ENERO]],Tabla3[[#All],[ACTIVIDAD]],ACTIVIDADES!B38,Tabla3[[#All],[CONCEPTO]],Tabla4[[#This Row],[ACTIVIDADES]])</f>
        <v>40000</v>
      </c>
      <c r="D40" s="119">
        <f>SUMIFS(Tabla3[EGRESOS],Tabla3[ACTIVIDAD],ACTIVIDADES!$B$38,Tabla3[CONCEPTO],ACTIVIDADES!B40,Tabla3[PERIODO],Tabla4[[#Headers],[FEBRERO]])</f>
        <v>0</v>
      </c>
      <c r="E40" s="119">
        <f>SUMIFS(Tabla3[[#All],[EGRESOS]],Tabla3[[#All],[PERIODO]],Tabla4[[#Headers],[MARZO]],Tabla3[[#All],[ACTIVIDAD]],ACTIVIDADES!B38,Tabla3[[#All],[CONCEPTO]],Tabla4[[#This Row],[ACTIVIDADES]])</f>
        <v>0</v>
      </c>
      <c r="F40" s="119">
        <f>SUMIFS(Tabla3[[#All],[EGRESOS]],Tabla3[[#All],[PERIODO]],Tabla4[[#Headers],[ABRIL]],Tabla3[[#All],[ACTIVIDAD]],ACTIVIDADES!B38,Tabla3[[#All],[CONCEPTO]],Tabla4[[#This Row],[ACTIVIDADES]])</f>
        <v>0</v>
      </c>
      <c r="G40" s="119">
        <f>SUMIFS(Tabla3[[#All],[EGRESOS]],Tabla3[[#All],[PERIODO]],Tabla4[[#Headers],[MAYO]],Tabla3[[#All],[ACTIVIDAD]],ACTIVIDADES!B38,Tabla3[[#All],[CONCEPTO]],Tabla4[[#This Row],[ACTIVIDADES]])</f>
        <v>0</v>
      </c>
      <c r="H40" s="119">
        <f>SUMIFS(Tabla3[[#All],[EGRESOS]],Tabla3[[#All],[PERIODO]],Tabla4[[#Headers],[JUNIO]],Tabla3[[#All],[ACTIVIDAD]],ACTIVIDADES!B38,Tabla3[[#All],[CONCEPTO]],Tabla4[[#This Row],[ACTIVIDADES]])</f>
        <v>0</v>
      </c>
      <c r="I40" s="119">
        <f>SUMIFS(Tabla3[[#All],[EGRESOS]],Tabla3[[#All],[PERIODO]],Tabla4[[#Headers],[JULIO]],Tabla3[[#All],[ACTIVIDAD]],ACTIVIDADES!B38,Tabla3[[#All],[CONCEPTO]],Tabla4[[#This Row],[ACTIVIDADES]])</f>
        <v>0</v>
      </c>
      <c r="J40" s="119">
        <f>SUMIFS(Tabla3[[#All],[EGRESOS]],Tabla3[[#All],[PERIODO]],Tabla4[[#Headers],[AGOSTO]],Tabla3[[#All],[ACTIVIDAD]],ACTIVIDADES!B38,Tabla3[[#All],[CONCEPTO]],Tabla4[[#This Row],[ACTIVIDADES]])</f>
        <v>0</v>
      </c>
      <c r="K40" s="119">
        <f>SUMIFS(Tabla3[[#All],[EGRESOS]],Tabla3[[#All],[PERIODO]],Tabla4[[#Headers],[SEPTIEMBRE]],Tabla3[[#All],[ACTIVIDAD]],ACTIVIDADES!B38,Tabla3[[#All],[CONCEPTO]],Tabla4[[#This Row],[ACTIVIDADES]])</f>
        <v>0</v>
      </c>
      <c r="L40" s="119">
        <f>SUMIFS(Tabla3[[#All],[EGRESOS]],Tabla3[[#All],[PERIODO]],Tabla4[[#Headers],[OCTUBRE]],Tabla3[[#All],[ACTIVIDAD]],$B$38,Tabla3[[#All],[CONCEPTO]],Tabla4[[#This Row],[ACTIVIDADES]])</f>
        <v>0</v>
      </c>
      <c r="M40" s="119">
        <f>SUMIFS(Tabla3[[#All],[EGRESOS]],Tabla3[[#All],[PERIODO]],Tabla4[[#Headers],[NOVIEMBRE]],Tabla3[[#All],[ACTIVIDAD]],$B$38,Tabla3[[#All],[CONCEPTO]],Tabla4[[#This Row],[ACTIVIDADES]])</f>
        <v>55000</v>
      </c>
      <c r="N40" s="119"/>
      <c r="O40" s="238">
        <f>SUM(Tabla4[[#This Row],[ENERO]:[DICIEMBRE]])</f>
        <v>95000</v>
      </c>
      <c r="P40" s="255">
        <v>100000</v>
      </c>
      <c r="Q40" s="241">
        <f>Tabla4[[#This Row],[TOTAL]]/Tabla4[[#This Row],[ESTIMADO]]</f>
        <v>0.95</v>
      </c>
      <c r="R40" s="99">
        <f>Tabla4[[#This Row],[ESTIMADO]]/1170</f>
        <v>85.470085470085465</v>
      </c>
      <c r="S40" s="7"/>
    </row>
    <row r="41" spans="1:19" x14ac:dyDescent="0.25">
      <c r="A41" s="7"/>
      <c r="B41" s="243" t="s">
        <v>217</v>
      </c>
      <c r="C41" s="119">
        <f>SUMIFS(Tabla3[[#All],[EGRESOS]],Tabla3[[#All],[PERIODO]],Tabla4[[#Headers],[ENERO]],Tabla3[[#All],[ACTIVIDAD]],ACTIVIDADES!B38,Tabla3[[#All],[CONCEPTO]],Tabla4[[#This Row],[ACTIVIDADES]])</f>
        <v>392000</v>
      </c>
      <c r="D41" s="119">
        <f>SUMIFS(Tabla3[[#All],[EGRESOS]],Tabla3[[#All],[PERIODO]],Tabla4[[#Headers],[FEBRERO]],Tabla3[[#All],[ACTIVIDAD]],ACTIVIDADES!B38,Tabla3[[#All],[CONCEPTO]],Tabla4[[#This Row],[ACTIVIDADES]])</f>
        <v>392000</v>
      </c>
      <c r="E41" s="119">
        <f>SUMIFS(Tabla3[[#All],[EGRESOS]],Tabla3[[#All],[PERIODO]],Tabla4[[#Headers],[MARZO]],Tabla3[[#All],[ACTIVIDAD]],ACTIVIDADES!B38,Tabla3[[#All],[CONCEPTO]],Tabla4[[#This Row],[ACTIVIDADES]])</f>
        <v>392000</v>
      </c>
      <c r="F41" s="119">
        <f>SUMIFS(Tabla3[[#All],[EGRESOS]],Tabla3[[#All],[PERIODO]],Tabla4[[#Headers],[ABRIL]],Tabla3[[#All],[ACTIVIDAD]],ACTIVIDADES!B38,Tabla3[[#All],[CONCEPTO]],Tabla4[[#This Row],[ACTIVIDADES]])</f>
        <v>440000</v>
      </c>
      <c r="G41" s="119">
        <f>SUMIFS(Tabla3[[#All],[EGRESOS]],Tabla3[[#All],[PERIODO]],Tabla4[[#Headers],[MAYO]],Tabla3[[#All],[ACTIVIDAD]],ACTIVIDADES!B38,Tabla3[[#All],[CONCEPTO]],Tabla4[[#This Row],[ACTIVIDADES]])</f>
        <v>497090</v>
      </c>
      <c r="H41" s="119">
        <f>SUMIFS(Tabla3[[#All],[EGRESOS]],Tabla3[[#All],[PERIODO]],Tabla4[[#Headers],[JUNIO]],Tabla3[[#All],[ACTIVIDAD]],ACTIVIDADES!B38,Tabla3[[#All],[CONCEPTO]],Tabla4[[#This Row],[ACTIVIDADES]])</f>
        <v>440000</v>
      </c>
      <c r="I41" s="119">
        <f>SUMIFS(Tabla3[[#All],[EGRESOS]],Tabla3[[#All],[PERIODO]],Tabla4[[#Headers],[JULIO]],Tabla3[[#All],[ACTIVIDAD]],ACTIVIDADES!B38,Tabla3[[#All],[CONCEPTO]],Tabla4[[#This Row],[ACTIVIDADES]])</f>
        <v>440000</v>
      </c>
      <c r="J41" s="119">
        <f>SUMIFS(Tabla3[[#All],[EGRESOS]],Tabla3[[#All],[PERIODO]],Tabla4[[#Headers],[AGOSTO]],Tabla3[[#All],[ACTIVIDAD]],ACTIVIDADES!B38,Tabla3[[#All],[CONCEPTO]],Tabla4[[#This Row],[ACTIVIDADES]])</f>
        <v>440000</v>
      </c>
      <c r="K41" s="119">
        <f>SUMIFS(Tabla3[[#All],[EGRESOS]],Tabla3[[#All],[PERIODO]],Tabla4[[#Headers],[SEPTIEMBRE]],Tabla3[[#All],[ACTIVIDAD]],ACTIVIDADES!B38,Tabla3[[#All],[CONCEPTO]],Tabla4[[#This Row],[ACTIVIDADES]])</f>
        <v>465000</v>
      </c>
      <c r="L41" s="119">
        <f>SUMIFS(Tabla3[[#All],[EGRESOS]],Tabla3[[#All],[PERIODO]],Tabla4[[#Headers],[OCTUBRE]],Tabla3[[#All],[ACTIVIDAD]],$B$38,Tabla3[[#All],[CONCEPTO]],Tabla4[[#This Row],[ACTIVIDADES]])</f>
        <v>490000</v>
      </c>
      <c r="M41" s="119">
        <f>SUMIFS(Tabla3[[#All],[EGRESOS]],Tabla3[[#All],[PERIODO]],Tabla4[[#Headers],[NOVIEMBRE]],Tabla3[[#All],[ACTIVIDAD]],$B$38,Tabla3[[#All],[CONCEPTO]],Tabla4[[#This Row],[ACTIVIDADES]])</f>
        <v>529000</v>
      </c>
      <c r="N41" s="7"/>
      <c r="O41" s="238">
        <f>SUM(Tabla4[[#This Row],[ENERO]:[DICIEMBRE]])</f>
        <v>4917090</v>
      </c>
      <c r="P41" s="255">
        <v>5500000</v>
      </c>
      <c r="Q41" s="241">
        <f>Tabla4[[#This Row],[TOTAL]]/Tabla4[[#This Row],[ESTIMADO]]</f>
        <v>0.89401636363636361</v>
      </c>
      <c r="R41" s="99">
        <f>Tabla4[[#This Row],[ESTIMADO]]/1170</f>
        <v>4700.8547008547012</v>
      </c>
      <c r="S41" s="7"/>
    </row>
    <row r="42" spans="1:19" x14ac:dyDescent="0.25">
      <c r="A42" s="7"/>
      <c r="B42" s="243" t="s">
        <v>288</v>
      </c>
      <c r="C42" s="119">
        <f>SUMIFS(Tabla3[[#All],[EGRESOS]],Tabla3[[#All],[PERIODO]],Tabla4[[#Headers],[ENERO]],Tabla3[[#All],[ACTIVIDAD]],ACTIVIDADES!B38,Tabla3[[#All],[CONCEPTO]],Tabla4[[#This Row],[ACTIVIDADES]])</f>
        <v>0</v>
      </c>
      <c r="D42" s="119">
        <f>SUMIFS(Tabla3[[#All],[EGRESOS]],Tabla3[[#All],[PERIODO]],Tabla4[[#Headers],[FEBRERO]],Tabla3[[#All],[ACTIVIDAD]],ACTIVIDADES!B38,Tabla3[[#All],[CONCEPTO]],Tabla4[[#This Row],[ACTIVIDADES]])</f>
        <v>1694352.4</v>
      </c>
      <c r="E42" s="119">
        <f>SUMIFS(Tabla3[[#All],[EGRESOS]],Tabla3[[#All],[PERIODO]],Tabla4[[#Headers],[MARZO]],Tabla3[[#All],[ACTIVIDAD]],ACTIVIDADES!B38,Tabla3[[#All],[CONCEPTO]],Tabla4[[#This Row],[ACTIVIDADES]])</f>
        <v>1000000</v>
      </c>
      <c r="F42" s="119">
        <f>SUMIFS(Tabla3[[#All],[EGRESOS]],Tabla3[[#All],[PERIODO]],Tabla4[[#Headers],[ABRIL]],Tabla3[[#All],[ACTIVIDAD]],ACTIVIDADES!B38,Tabla3[[#All],[CONCEPTO]],Tabla4[[#This Row],[ACTIVIDADES]])</f>
        <v>2511393.42</v>
      </c>
      <c r="G42" s="119">
        <f>SUMIFS(Tabla3[[#All],[EGRESOS]],Tabla3[[#All],[PERIODO]],Tabla4[[#Headers],[MAYO]],Tabla3[[#All],[ACTIVIDAD]],ACTIVIDADES!B38,Tabla3[[#All],[CONCEPTO]],Tabla4[[#This Row],[ACTIVIDADES]])</f>
        <v>5856033.46</v>
      </c>
      <c r="H42" s="119">
        <f>SUMIFS(Tabla3[[#All],[EGRESOS]],Tabla3[[#All],[PERIODO]],Tabla4[[#Headers],[JUNIO]],Tabla3[[#All],[ACTIVIDAD]],ACTIVIDADES!B38,Tabla3[[#All],[CONCEPTO]],Tabla4[[#This Row],[ACTIVIDADES]])</f>
        <v>9944076.5</v>
      </c>
      <c r="I42" s="119">
        <f>SUMIFS(Tabla3[EGRESOS],Tabla3[PERIODO],Tabla4[[#Headers],[JULIO]],Tabla3[ACTIVIDAD],ACTIVIDADES!B38,Tabla3[RUBRO],Tabla4[[#This Row],[ACTIVIDADES]])</f>
        <v>0</v>
      </c>
      <c r="J42" s="119">
        <f>SUMIFS(Tabla3[[#All],[EGRESOS]],Tabla3[[#All],[PERIODO]],Tabla4[[#Headers],[AGOSTO]],Tabla3[[#All],[ACTIVIDAD]],ACTIVIDADES!B38,Tabla3[[#All],[CONCEPTO]],Tabla4[[#This Row],[ACTIVIDADES]])</f>
        <v>5146254.62</v>
      </c>
      <c r="K42" s="119">
        <f>SUMIFS(Tabla3[[#All],[EGRESOS]],Tabla3[[#All],[PERIODO]],Tabla4[[#Headers],[SEPTIEMBRE]],Tabla3[[#All],[ACTIVIDAD]],ACTIVIDADES!B38,Tabla3[[#All],[CONCEPTO]],Tabla4[[#This Row],[ACTIVIDADES]])</f>
        <v>433485</v>
      </c>
      <c r="L42" s="119">
        <f>SUMIFS(Tabla3[[#All],[EGRESOS]],Tabla3[[#All],[PERIODO]],Tabla4[[#Headers],[OCTUBRE]],Tabla3[[#All],[ACTIVIDAD]],$B$38,Tabla3[[#All],[CONCEPTO]],Tabla4[[#This Row],[ACTIVIDADES]])</f>
        <v>1802141</v>
      </c>
      <c r="M42" s="119">
        <f>SUMIFS(Tabla3[[#All],[EGRESOS]],Tabla3[[#All],[PERIODO]],Tabla4[[#Headers],[NOVIEMBRE]],Tabla3[[#All],[ACTIVIDAD]],$B$38,Tabla3[[#All],[CONCEPTO]],Tabla4[[#This Row],[ACTIVIDADES]])</f>
        <v>4023642.1</v>
      </c>
      <c r="N42" s="7"/>
      <c r="O42" s="238">
        <f>SUM(Tabla4[[#This Row],[ENERO]:[DICIEMBRE]])</f>
        <v>32411378.500000004</v>
      </c>
      <c r="P42" s="255">
        <v>35000000</v>
      </c>
      <c r="Q42" s="241">
        <f>Tabla4[[#This Row],[TOTAL]]/Tabla4[[#This Row],[ESTIMADO]]</f>
        <v>0.92603938571428579</v>
      </c>
      <c r="R42" s="99">
        <f>Tabla4[[#This Row],[ESTIMADO]]/1170</f>
        <v>29914.529914529914</v>
      </c>
      <c r="S42" s="7"/>
    </row>
    <row r="43" spans="1:19" x14ac:dyDescent="0.25">
      <c r="A43" s="7"/>
      <c r="B43" s="243" t="s">
        <v>294</v>
      </c>
      <c r="C43" s="119">
        <f>SUMIFS(Tabla3[[#All],[EGRESOS]],Tabla3[[#All],[PERIODO]],Tabla4[[#Headers],[ENERO]],Tabla3[[#All],[ACTIVIDAD]],ACTIVIDADES!B38,Tabla3[[#All],[CONCEPTO]],Tabla4[[#This Row],[ACTIVIDADES]])</f>
        <v>0</v>
      </c>
      <c r="D43" s="119">
        <f>SUMIFS(Tabla3[[#All],[EGRESOS]],Tabla3[[#All],[PERIODO]],Tabla4[[#Headers],[FEBRERO]],Tabla3[[#All],[ACTIVIDAD]],ACTIVIDADES!B38,Tabla3[[#All],[CONCEPTO]],Tabla4[[#This Row],[ACTIVIDADES]])</f>
        <v>0</v>
      </c>
      <c r="E43" s="119">
        <f>SUMIFS(Tabla3[[#All],[EGRESOS]],Tabla3[[#All],[PERIODO]],Tabla4[[#Headers],[MARZO]],Tabla3[[#All],[ACTIVIDAD]],ACTIVIDADES!B38,Tabla3[[#All],[CONCEPTO]],Tabla4[[#This Row],[ACTIVIDADES]])</f>
        <v>0</v>
      </c>
      <c r="F43" s="119">
        <f>SUMIFS(Tabla3[[#All],[EGRESOS]],Tabla3[[#All],[PERIODO]],Tabla4[[#Headers],[ABRIL]],Tabla3[[#All],[ACTIVIDAD]],ACTIVIDADES!B38,Tabla3[[#All],[CONCEPTO]],Tabla4[[#This Row],[ACTIVIDADES]])</f>
        <v>0</v>
      </c>
      <c r="G43" s="119">
        <f>SUMIFS(Tabla3[EGRESOS],Tabla3[PERIODO],Tabla4[[#Headers],[MAYO]],Tabla3[ACTIVIDAD],ACTIVIDADES!B38,Tabla3[RUBRO],Tabla4[[#This Row],[ACTIVIDADES]])</f>
        <v>0</v>
      </c>
      <c r="H43" s="119">
        <f>SUMIFS(Tabla3[EGRESOS],Tabla3[PERIODO],Tabla4[[#Headers],[JUNIO]],Tabla3[ACTIVIDAD],ACTIVIDADES!B38,Tabla3[RUBRO],Tabla4[[#This Row],[ACTIVIDADES]])</f>
        <v>25002223.5</v>
      </c>
      <c r="I43" s="119">
        <f>SUMIFS(Tabla3[EGRESOS],Tabla3[PERIODO],Tabla4[[#Headers],[JULIO]],Tabla3[ACTIVIDAD],ACTIVIDADES!B38,Tabla3[RUBRO],Tabla4[[#This Row],[ACTIVIDADES]])</f>
        <v>162629455.45000002</v>
      </c>
      <c r="J43" s="119">
        <f>SUMIFS(Tabla3[EGRESOS],Tabla3[PERIODO],Tabla4[[#Headers],[AGOSTO]],Tabla3[ACTIVIDAD],ACTIVIDADES!B38,Tabla3[RUBRO],Tabla4[[#This Row],[ACTIVIDADES]])</f>
        <v>133230017.96000001</v>
      </c>
      <c r="K43" s="119">
        <f>SUMIFS(Tabla3[[#All],[EGRESOS]],Tabla3[[#All],[PERIODO]],Tabla4[[#Headers],[SEPTIEMBRE]],Tabla3[[#All],[ACTIVIDAD]],ACTIVIDADES!B38,Tabla3[[#All],[CONCEPTO]],Tabla4[[#This Row],[ACTIVIDADES]])</f>
        <v>0</v>
      </c>
      <c r="L43" s="119">
        <f>SUMIFS(Tabla3[[#All],[EGRESOS]],Tabla3[[#All],[PERIODO]],Tabla4[[#Headers],[OCTUBRE]],Tabla3[[#All],[ACTIVIDAD]],$B$38,Tabla3[[#All],[CONCEPTO]],Tabla4[[#This Row],[ACTIVIDADES]])</f>
        <v>0</v>
      </c>
      <c r="M43" s="119">
        <f>SUMIFS(Tabla3[[#All],[EGRESOS]],Tabla3[[#All],[PERIODO]],Tabla4[[#Headers],[NOVIEMBRE]],Tabla3[[#All],[ACTIVIDAD]],$B$38,Tabla3[[#All],[CONCEPTO]],Tabla4[[#This Row],[ACTIVIDADES]])</f>
        <v>0</v>
      </c>
      <c r="N43" s="7"/>
      <c r="O43" s="238">
        <f>SUM(Tabla4[[#This Row],[ENERO]:[DICIEMBRE]])</f>
        <v>320861696.91000003</v>
      </c>
      <c r="P43" s="255">
        <v>400000000</v>
      </c>
      <c r="Q43" s="241">
        <f>Tabla4[[#This Row],[TOTAL]]/Tabla4[[#This Row],[ESTIMADO]]</f>
        <v>0.8021542422750001</v>
      </c>
      <c r="R43" s="99">
        <f>Tabla4[[#This Row],[ESTIMADO]]/1170</f>
        <v>341880.34188034188</v>
      </c>
      <c r="S43" s="7"/>
    </row>
    <row r="44" spans="1:19" x14ac:dyDescent="0.25">
      <c r="A44" s="7"/>
      <c r="B44" s="235" t="s">
        <v>151</v>
      </c>
      <c r="C44" s="236">
        <f t="shared" ref="C44:N44" si="6">C16+C38</f>
        <v>12167678.789999999</v>
      </c>
      <c r="D44" s="236">
        <f t="shared" si="6"/>
        <v>4464565.91</v>
      </c>
      <c r="E44" s="236">
        <f t="shared" si="6"/>
        <v>6281610.2200000007</v>
      </c>
      <c r="F44" s="236">
        <f t="shared" si="6"/>
        <v>14461919.42</v>
      </c>
      <c r="G44" s="236">
        <f t="shared" si="6"/>
        <v>13953604.210000001</v>
      </c>
      <c r="H44" s="236">
        <f t="shared" si="6"/>
        <v>52647388.599999994</v>
      </c>
      <c r="I44" s="236">
        <f t="shared" si="6"/>
        <v>191452995.29000002</v>
      </c>
      <c r="J44" s="236">
        <f t="shared" si="6"/>
        <v>162724559.65000001</v>
      </c>
      <c r="K44" s="236">
        <f t="shared" si="6"/>
        <v>18243474.469999999</v>
      </c>
      <c r="L44" s="236">
        <f t="shared" si="6"/>
        <v>58060389.120000005</v>
      </c>
      <c r="M44" s="236">
        <f t="shared" si="6"/>
        <v>20611242.120000001</v>
      </c>
      <c r="N44" s="236">
        <f t="shared" si="6"/>
        <v>0</v>
      </c>
      <c r="O44" s="235"/>
      <c r="P44" s="235"/>
      <c r="Q44" s="235"/>
      <c r="R44" s="235"/>
      <c r="S44" s="235"/>
    </row>
    <row r="45" spans="1:19" x14ac:dyDescent="0.25">
      <c r="A45" s="7"/>
      <c r="B45" s="229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x14ac:dyDescent="0.25">
      <c r="A46" s="7"/>
      <c r="B46" s="229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x14ac:dyDescent="0.25">
      <c r="A47" s="7"/>
      <c r="B47" s="234"/>
      <c r="C47" s="264"/>
      <c r="D47" s="264"/>
      <c r="E47" s="264"/>
      <c r="F47" s="264"/>
      <c r="G47" s="264"/>
      <c r="H47" s="264"/>
      <c r="I47" s="264"/>
      <c r="J47" s="264"/>
      <c r="K47" s="264"/>
      <c r="L47" s="264"/>
      <c r="M47" s="264"/>
      <c r="N47" s="264"/>
      <c r="O47" s="264"/>
      <c r="P47" s="7"/>
      <c r="Q47" s="7"/>
      <c r="R47" s="7"/>
      <c r="S47" s="7"/>
    </row>
    <row r="48" spans="1:19" x14ac:dyDescent="0.25">
      <c r="A48" s="7"/>
      <c r="B48" s="373" t="s">
        <v>310</v>
      </c>
      <c r="C48" s="373" t="s">
        <v>311</v>
      </c>
      <c r="D48" s="373" t="s">
        <v>312</v>
      </c>
      <c r="E48" s="373" t="s">
        <v>313</v>
      </c>
      <c r="F48" s="373" t="s">
        <v>314</v>
      </c>
      <c r="G48" s="373" t="s">
        <v>315</v>
      </c>
      <c r="H48" s="373" t="s">
        <v>316</v>
      </c>
      <c r="I48" s="373" t="s">
        <v>317</v>
      </c>
      <c r="J48" s="373" t="s">
        <v>318</v>
      </c>
      <c r="K48" s="373" t="s">
        <v>319</v>
      </c>
      <c r="L48" s="373" t="s">
        <v>320</v>
      </c>
      <c r="M48" s="373" t="s">
        <v>321</v>
      </c>
      <c r="N48" s="373" t="s">
        <v>322</v>
      </c>
      <c r="O48" s="374" t="s">
        <v>151</v>
      </c>
      <c r="P48" s="7"/>
      <c r="Q48" s="7"/>
      <c r="R48" s="7"/>
      <c r="S48" s="7"/>
    </row>
    <row r="49" spans="1:19" x14ac:dyDescent="0.25">
      <c r="A49" s="7"/>
      <c r="B49" s="372" t="s">
        <v>220</v>
      </c>
      <c r="C49" s="376"/>
      <c r="D49" s="376"/>
      <c r="E49" s="376"/>
      <c r="F49" s="376"/>
      <c r="G49" s="376"/>
      <c r="H49" s="376"/>
      <c r="I49" s="376"/>
      <c r="J49" s="376"/>
      <c r="K49" s="376"/>
      <c r="L49" s="376"/>
      <c r="M49" s="376"/>
      <c r="N49" s="376"/>
      <c r="O49" s="375"/>
      <c r="P49" s="7"/>
      <c r="Q49" s="7"/>
      <c r="R49" s="7"/>
      <c r="S49" s="7"/>
    </row>
    <row r="50" spans="1:19" x14ac:dyDescent="0.25">
      <c r="A50" s="7"/>
      <c r="B50" s="243" t="s">
        <v>217</v>
      </c>
      <c r="C50" s="239">
        <f t="shared" ref="C50:N50" si="7">C17/$P$17</f>
        <v>3.9250806124437376E-2</v>
      </c>
      <c r="D50" s="239">
        <f t="shared" si="7"/>
        <v>5.2492804456924176E-2</v>
      </c>
      <c r="E50" s="239">
        <f t="shared" si="7"/>
        <v>0</v>
      </c>
      <c r="F50" s="239">
        <f t="shared" si="7"/>
        <v>5.3235199223104962E-2</v>
      </c>
      <c r="G50" s="239">
        <f t="shared" si="7"/>
        <v>0.1182666807223335</v>
      </c>
      <c r="H50" s="239">
        <f t="shared" si="7"/>
        <v>0</v>
      </c>
      <c r="I50" s="239">
        <f t="shared" si="7"/>
        <v>0.11937758951702812</v>
      </c>
      <c r="J50" s="239">
        <f t="shared" si="7"/>
        <v>0</v>
      </c>
      <c r="K50" s="239">
        <f t="shared" si="7"/>
        <v>0.60537207586226727</v>
      </c>
      <c r="L50" s="239">
        <f t="shared" si="7"/>
        <v>0</v>
      </c>
      <c r="M50" s="239">
        <f t="shared" si="7"/>
        <v>0</v>
      </c>
      <c r="N50" s="239">
        <f t="shared" si="7"/>
        <v>0</v>
      </c>
      <c r="O50" s="240">
        <f>SUM(C50:N50)</f>
        <v>0.98799515590609543</v>
      </c>
      <c r="P50" s="7"/>
      <c r="Q50" s="7"/>
      <c r="R50" s="126"/>
      <c r="S50" s="7"/>
    </row>
    <row r="51" spans="1:19" x14ac:dyDescent="0.25">
      <c r="A51" s="7"/>
      <c r="B51" s="243" t="s">
        <v>327</v>
      </c>
      <c r="C51" s="239">
        <f t="shared" ref="C51:M51" si="8">C19/$P$19</f>
        <v>0.33114092213885488</v>
      </c>
      <c r="D51" s="239">
        <f t="shared" si="8"/>
        <v>0</v>
      </c>
      <c r="E51" s="239">
        <f t="shared" si="8"/>
        <v>0.14130920064830946</v>
      </c>
      <c r="F51" s="239">
        <f t="shared" si="8"/>
        <v>6.7851106087173499E-2</v>
      </c>
      <c r="G51" s="239">
        <f t="shared" si="8"/>
        <v>0.16557046106942744</v>
      </c>
      <c r="H51" s="239">
        <f t="shared" si="8"/>
        <v>0</v>
      </c>
      <c r="I51" s="239">
        <f t="shared" si="8"/>
        <v>0</v>
      </c>
      <c r="J51" s="239">
        <f t="shared" si="8"/>
        <v>0.28363428645558725</v>
      </c>
      <c r="K51" s="239">
        <f t="shared" si="8"/>
        <v>0</v>
      </c>
      <c r="L51" s="239">
        <f t="shared" si="8"/>
        <v>0</v>
      </c>
      <c r="M51" s="239">
        <f t="shared" si="8"/>
        <v>0</v>
      </c>
      <c r="N51" s="239">
        <f>N19/$P$19</f>
        <v>0</v>
      </c>
      <c r="O51" s="240">
        <f t="shared" ref="O51:O57" si="9">SUM(C51:N51)</f>
        <v>0.98950597639935256</v>
      </c>
      <c r="P51" s="7"/>
      <c r="Q51" s="7"/>
      <c r="R51" s="7"/>
      <c r="S51" s="7"/>
    </row>
    <row r="52" spans="1:19" x14ac:dyDescent="0.25">
      <c r="A52" s="7"/>
      <c r="B52" s="245" t="s">
        <v>328</v>
      </c>
      <c r="C52" s="239">
        <f t="shared" ref="C52:M52" si="10">C20/$P$20</f>
        <v>0</v>
      </c>
      <c r="D52" s="239">
        <f t="shared" si="10"/>
        <v>0</v>
      </c>
      <c r="E52" s="239">
        <f t="shared" si="10"/>
        <v>0</v>
      </c>
      <c r="F52" s="239">
        <f t="shared" si="10"/>
        <v>0</v>
      </c>
      <c r="G52" s="239">
        <f t="shared" si="10"/>
        <v>0</v>
      </c>
      <c r="H52" s="239">
        <f t="shared" si="10"/>
        <v>0</v>
      </c>
      <c r="I52" s="239">
        <f t="shared" si="10"/>
        <v>0</v>
      </c>
      <c r="J52" s="239">
        <f t="shared" si="10"/>
        <v>0</v>
      </c>
      <c r="K52" s="239">
        <f t="shared" si="10"/>
        <v>0</v>
      </c>
      <c r="L52" s="239">
        <f t="shared" si="10"/>
        <v>0</v>
      </c>
      <c r="M52" s="239">
        <f t="shared" si="10"/>
        <v>0</v>
      </c>
      <c r="N52" s="239">
        <f>N20/$P$20</f>
        <v>0</v>
      </c>
      <c r="O52" s="240">
        <f t="shared" si="9"/>
        <v>0</v>
      </c>
      <c r="P52" s="7"/>
      <c r="Q52" s="7"/>
      <c r="R52" s="7"/>
      <c r="S52" s="7"/>
    </row>
    <row r="53" spans="1:19" x14ac:dyDescent="0.25">
      <c r="A53" s="7"/>
      <c r="B53" s="245" t="s">
        <v>329</v>
      </c>
      <c r="C53" s="239">
        <f t="shared" ref="C53:M53" si="11">C21/$P$21</f>
        <v>0.16732077302634371</v>
      </c>
      <c r="D53" s="239">
        <f t="shared" si="11"/>
        <v>7.5709108169791123E-2</v>
      </c>
      <c r="E53" s="239">
        <f t="shared" si="11"/>
        <v>0.12258234880188136</v>
      </c>
      <c r="F53" s="239">
        <f t="shared" si="11"/>
        <v>7.5700551662745877E-2</v>
      </c>
      <c r="G53" s="239">
        <f t="shared" si="11"/>
        <v>0.15796755396198825</v>
      </c>
      <c r="H53" s="239">
        <f t="shared" si="11"/>
        <v>0</v>
      </c>
      <c r="I53" s="239">
        <f t="shared" si="11"/>
        <v>8.2267002299242359E-2</v>
      </c>
      <c r="J53" s="239">
        <f t="shared" si="11"/>
        <v>5.8688755239081104E-2</v>
      </c>
      <c r="K53" s="239">
        <f t="shared" si="11"/>
        <v>0.11165273106599687</v>
      </c>
      <c r="L53" s="239">
        <f t="shared" si="11"/>
        <v>0.14560241203841534</v>
      </c>
      <c r="M53" s="239">
        <f t="shared" si="11"/>
        <v>4.5331008812794726E-2</v>
      </c>
      <c r="N53" s="239">
        <f>N21/$P$21</f>
        <v>0</v>
      </c>
      <c r="O53" s="240">
        <f t="shared" si="9"/>
        <v>1.0428222450782807</v>
      </c>
      <c r="P53" s="7"/>
      <c r="Q53" s="7"/>
      <c r="R53" s="7"/>
      <c r="S53" s="7"/>
    </row>
    <row r="54" spans="1:19" x14ac:dyDescent="0.25">
      <c r="A54" s="7"/>
      <c r="B54" s="245" t="s">
        <v>41</v>
      </c>
      <c r="C54" s="239">
        <f t="shared" ref="C54:M54" si="12">C22/$P$22</f>
        <v>0</v>
      </c>
      <c r="D54" s="239">
        <f t="shared" si="12"/>
        <v>0</v>
      </c>
      <c r="E54" s="239">
        <f t="shared" si="12"/>
        <v>0</v>
      </c>
      <c r="F54" s="239">
        <f t="shared" si="12"/>
        <v>0</v>
      </c>
      <c r="G54" s="239">
        <f t="shared" si="12"/>
        <v>0</v>
      </c>
      <c r="H54" s="239">
        <f t="shared" si="12"/>
        <v>0</v>
      </c>
      <c r="I54" s="239">
        <f t="shared" si="12"/>
        <v>0.12097353165135748</v>
      </c>
      <c r="J54" s="239">
        <f t="shared" si="12"/>
        <v>0</v>
      </c>
      <c r="K54" s="239">
        <f t="shared" si="12"/>
        <v>0</v>
      </c>
      <c r="L54" s="239">
        <f t="shared" si="12"/>
        <v>0</v>
      </c>
      <c r="M54" s="239">
        <f t="shared" si="12"/>
        <v>0</v>
      </c>
      <c r="N54" s="239">
        <f>N22/$P$22</f>
        <v>0</v>
      </c>
      <c r="O54" s="240">
        <f t="shared" si="9"/>
        <v>0.12097353165135748</v>
      </c>
      <c r="P54" s="7"/>
      <c r="Q54" s="7"/>
      <c r="R54" s="7"/>
      <c r="S54" s="7"/>
    </row>
    <row r="55" spans="1:19" x14ac:dyDescent="0.25">
      <c r="A55" s="7"/>
      <c r="B55" s="245" t="s">
        <v>291</v>
      </c>
      <c r="C55" s="239">
        <f t="shared" ref="C55:M55" si="13">C23/$P$23</f>
        <v>0</v>
      </c>
      <c r="D55" s="239">
        <f t="shared" si="13"/>
        <v>0</v>
      </c>
      <c r="E55" s="239">
        <f t="shared" si="13"/>
        <v>0</v>
      </c>
      <c r="F55" s="239">
        <f t="shared" si="13"/>
        <v>0</v>
      </c>
      <c r="G55" s="239">
        <f t="shared" si="13"/>
        <v>0</v>
      </c>
      <c r="H55" s="239">
        <f t="shared" si="13"/>
        <v>8.3382635586799106E-2</v>
      </c>
      <c r="I55" s="239">
        <f t="shared" si="13"/>
        <v>0.18808719862088899</v>
      </c>
      <c r="J55" s="239">
        <f t="shared" si="13"/>
        <v>9.4598284774479999E-2</v>
      </c>
      <c r="K55" s="239">
        <f t="shared" si="13"/>
        <v>0.18739772073333788</v>
      </c>
      <c r="L55" s="239">
        <f t="shared" si="13"/>
        <v>8.7874245618758867E-2</v>
      </c>
      <c r="M55" s="239">
        <f t="shared" si="13"/>
        <v>0</v>
      </c>
      <c r="N55" s="239">
        <f>N23/$P$23</f>
        <v>0</v>
      </c>
      <c r="O55" s="240">
        <f t="shared" si="9"/>
        <v>0.6413400853342649</v>
      </c>
      <c r="P55" s="7"/>
      <c r="Q55" s="7"/>
      <c r="R55" s="7"/>
      <c r="S55" s="7"/>
    </row>
    <row r="56" spans="1:19" x14ac:dyDescent="0.25">
      <c r="A56" s="7"/>
      <c r="B56" s="245" t="s">
        <v>330</v>
      </c>
      <c r="C56" s="239">
        <f t="shared" ref="C56:N56" si="14">C24/$P$24</f>
        <v>1</v>
      </c>
      <c r="D56" s="239">
        <f t="shared" si="14"/>
        <v>0</v>
      </c>
      <c r="E56" s="239">
        <f t="shared" si="14"/>
        <v>0</v>
      </c>
      <c r="F56" s="239">
        <f t="shared" si="14"/>
        <v>0</v>
      </c>
      <c r="G56" s="239">
        <f t="shared" si="14"/>
        <v>0</v>
      </c>
      <c r="H56" s="239">
        <f t="shared" si="14"/>
        <v>0</v>
      </c>
      <c r="I56" s="239">
        <f t="shared" si="14"/>
        <v>0</v>
      </c>
      <c r="J56" s="239">
        <f t="shared" si="14"/>
        <v>0</v>
      </c>
      <c r="K56" s="239">
        <f t="shared" si="14"/>
        <v>0</v>
      </c>
      <c r="L56" s="239">
        <f t="shared" si="14"/>
        <v>0</v>
      </c>
      <c r="M56" s="239">
        <f t="shared" si="14"/>
        <v>0</v>
      </c>
      <c r="N56" s="239">
        <f t="shared" si="14"/>
        <v>0</v>
      </c>
      <c r="O56" s="240">
        <f t="shared" si="9"/>
        <v>1</v>
      </c>
      <c r="P56" s="7"/>
      <c r="Q56" s="7"/>
      <c r="R56" s="7"/>
      <c r="S56" s="7"/>
    </row>
    <row r="57" spans="1:19" x14ac:dyDescent="0.25">
      <c r="A57" s="7"/>
      <c r="B57" s="245" t="s">
        <v>331</v>
      </c>
      <c r="C57" s="239">
        <f t="shared" ref="C57:N57" si="15">C25/$P$25</f>
        <v>0</v>
      </c>
      <c r="D57" s="239">
        <f t="shared" si="15"/>
        <v>0</v>
      </c>
      <c r="E57" s="239">
        <f t="shared" si="15"/>
        <v>0</v>
      </c>
      <c r="F57" s="239">
        <f t="shared" si="15"/>
        <v>0</v>
      </c>
      <c r="G57" s="239">
        <f t="shared" si="15"/>
        <v>1.3478774703898275E-2</v>
      </c>
      <c r="H57" s="239">
        <f t="shared" si="15"/>
        <v>7.5481138341830331E-2</v>
      </c>
      <c r="I57" s="239">
        <f t="shared" si="15"/>
        <v>0.1132217075127455</v>
      </c>
      <c r="J57" s="239">
        <f t="shared" si="15"/>
        <v>7.9673306850236783E-2</v>
      </c>
      <c r="K57" s="239">
        <f t="shared" si="15"/>
        <v>0</v>
      </c>
      <c r="L57" s="239">
        <f t="shared" si="15"/>
        <v>0</v>
      </c>
      <c r="M57" s="239">
        <f t="shared" si="15"/>
        <v>0</v>
      </c>
      <c r="N57" s="239">
        <f t="shared" si="15"/>
        <v>0</v>
      </c>
      <c r="O57" s="240">
        <f t="shared" si="9"/>
        <v>0.28185492740871088</v>
      </c>
      <c r="P57" s="7"/>
      <c r="Q57" s="7"/>
      <c r="R57" s="7"/>
      <c r="S57" s="7"/>
    </row>
    <row r="58" spans="1:19" x14ac:dyDescent="0.25">
      <c r="A58" s="7"/>
      <c r="B58" s="372" t="s">
        <v>219</v>
      </c>
      <c r="C58" s="376"/>
      <c r="D58" s="376"/>
      <c r="E58" s="376"/>
      <c r="F58" s="376"/>
      <c r="G58" s="376"/>
      <c r="H58" s="376"/>
      <c r="I58" s="376"/>
      <c r="J58" s="376"/>
      <c r="K58" s="376"/>
      <c r="L58" s="376"/>
      <c r="M58" s="376"/>
      <c r="N58" s="376"/>
      <c r="O58" s="376"/>
      <c r="P58" s="7"/>
      <c r="Q58" s="7"/>
      <c r="R58" s="7"/>
      <c r="S58" s="7"/>
    </row>
    <row r="59" spans="1:19" x14ac:dyDescent="0.25">
      <c r="A59" s="7"/>
      <c r="B59" s="243" t="s">
        <v>327</v>
      </c>
      <c r="C59" s="239">
        <f>C29/$P$29</f>
        <v>0</v>
      </c>
      <c r="D59" s="239">
        <f t="shared" ref="D59:N59" si="16">D29/$P$29</f>
        <v>0</v>
      </c>
      <c r="E59" s="239">
        <f t="shared" si="16"/>
        <v>0</v>
      </c>
      <c r="F59" s="239">
        <f t="shared" si="16"/>
        <v>1</v>
      </c>
      <c r="G59" s="239">
        <f t="shared" si="16"/>
        <v>0</v>
      </c>
      <c r="H59" s="239">
        <f t="shared" si="16"/>
        <v>0</v>
      </c>
      <c r="I59" s="239">
        <f t="shared" si="16"/>
        <v>0</v>
      </c>
      <c r="J59" s="239">
        <f t="shared" si="16"/>
        <v>0</v>
      </c>
      <c r="K59" s="239">
        <f t="shared" si="16"/>
        <v>0</v>
      </c>
      <c r="L59" s="239">
        <f t="shared" si="16"/>
        <v>0</v>
      </c>
      <c r="M59" s="239">
        <f t="shared" si="16"/>
        <v>0</v>
      </c>
      <c r="N59" s="239">
        <f t="shared" si="16"/>
        <v>0</v>
      </c>
      <c r="O59" s="240">
        <f t="shared" ref="O59:O67" si="17">SUM(C59:N59)</f>
        <v>1</v>
      </c>
      <c r="P59" s="7"/>
      <c r="Q59" s="7"/>
      <c r="R59" s="7"/>
      <c r="S59" s="7"/>
    </row>
    <row r="60" spans="1:19" x14ac:dyDescent="0.25">
      <c r="A60" s="7"/>
      <c r="B60" s="245" t="s">
        <v>328</v>
      </c>
      <c r="C60" s="239">
        <f>C30/$P$30</f>
        <v>0</v>
      </c>
      <c r="D60" s="239">
        <f t="shared" ref="D60:N60" si="18">D30/$P$30</f>
        <v>0</v>
      </c>
      <c r="E60" s="239">
        <f t="shared" si="18"/>
        <v>0</v>
      </c>
      <c r="F60" s="239">
        <f t="shared" si="18"/>
        <v>0</v>
      </c>
      <c r="G60" s="239">
        <f t="shared" si="18"/>
        <v>0</v>
      </c>
      <c r="H60" s="239">
        <f t="shared" si="18"/>
        <v>0</v>
      </c>
      <c r="I60" s="239">
        <f t="shared" si="18"/>
        <v>0</v>
      </c>
      <c r="J60" s="239">
        <f t="shared" si="18"/>
        <v>0</v>
      </c>
      <c r="K60" s="239">
        <f t="shared" si="18"/>
        <v>0</v>
      </c>
      <c r="L60" s="239">
        <f t="shared" si="18"/>
        <v>1.0760731062030073</v>
      </c>
      <c r="M60" s="239">
        <f t="shared" si="18"/>
        <v>0</v>
      </c>
      <c r="N60" s="239">
        <f t="shared" si="18"/>
        <v>0</v>
      </c>
      <c r="O60" s="240">
        <f t="shared" si="17"/>
        <v>1.0760731062030073</v>
      </c>
      <c r="P60" s="7"/>
      <c r="Q60" s="7"/>
      <c r="R60" s="7"/>
      <c r="S60" s="7"/>
    </row>
    <row r="61" spans="1:19" x14ac:dyDescent="0.25">
      <c r="A61" s="7"/>
      <c r="B61" s="245" t="s">
        <v>329</v>
      </c>
      <c r="C61" s="239">
        <f>C31/$P$31</f>
        <v>0</v>
      </c>
      <c r="D61" s="239">
        <f t="shared" ref="D61:N61" si="19">D31/$P$31</f>
        <v>0</v>
      </c>
      <c r="E61" s="239">
        <f t="shared" si="19"/>
        <v>0</v>
      </c>
      <c r="F61" s="239">
        <f t="shared" si="19"/>
        <v>0</v>
      </c>
      <c r="G61" s="239">
        <f t="shared" si="19"/>
        <v>0</v>
      </c>
      <c r="H61" s="239">
        <f t="shared" si="19"/>
        <v>0</v>
      </c>
      <c r="I61" s="239">
        <f t="shared" si="19"/>
        <v>0</v>
      </c>
      <c r="J61" s="239">
        <f t="shared" si="19"/>
        <v>0</v>
      </c>
      <c r="K61" s="239">
        <f t="shared" si="19"/>
        <v>0</v>
      </c>
      <c r="L61" s="239">
        <f t="shared" si="19"/>
        <v>0</v>
      </c>
      <c r="M61" s="239">
        <f t="shared" si="19"/>
        <v>0.11043738850425312</v>
      </c>
      <c r="N61" s="239">
        <f t="shared" si="19"/>
        <v>0</v>
      </c>
      <c r="O61" s="240">
        <f t="shared" si="17"/>
        <v>0.11043738850425312</v>
      </c>
      <c r="P61" s="7"/>
      <c r="Q61" s="7"/>
      <c r="R61" s="7"/>
      <c r="S61" s="7"/>
    </row>
    <row r="62" spans="1:19" x14ac:dyDescent="0.25">
      <c r="A62" s="7"/>
      <c r="B62" s="245" t="s">
        <v>334</v>
      </c>
      <c r="C62" s="239">
        <f>C32/$P$32</f>
        <v>0.65339999999999998</v>
      </c>
      <c r="D62" s="239">
        <f t="shared" ref="D62:N62" si="20">D32/$P$32</f>
        <v>0</v>
      </c>
      <c r="E62" s="239">
        <f t="shared" si="20"/>
        <v>0</v>
      </c>
      <c r="F62" s="239">
        <f t="shared" si="20"/>
        <v>0</v>
      </c>
      <c r="G62" s="239">
        <f t="shared" si="20"/>
        <v>0</v>
      </c>
      <c r="H62" s="239">
        <f t="shared" si="20"/>
        <v>0</v>
      </c>
      <c r="I62" s="239">
        <f t="shared" si="20"/>
        <v>0</v>
      </c>
      <c r="J62" s="239">
        <f t="shared" si="20"/>
        <v>0</v>
      </c>
      <c r="K62" s="239">
        <f t="shared" si="20"/>
        <v>0</v>
      </c>
      <c r="L62" s="239">
        <f t="shared" si="20"/>
        <v>0</v>
      </c>
      <c r="M62" s="239">
        <f t="shared" si="20"/>
        <v>0</v>
      </c>
      <c r="N62" s="239">
        <f t="shared" si="20"/>
        <v>0</v>
      </c>
      <c r="O62" s="240">
        <f t="shared" si="17"/>
        <v>0.65339999999999998</v>
      </c>
      <c r="P62" s="7"/>
      <c r="Q62" s="7"/>
      <c r="R62" s="7"/>
      <c r="S62" s="7"/>
    </row>
    <row r="63" spans="1:19" x14ac:dyDescent="0.25">
      <c r="A63" s="7"/>
      <c r="B63" s="245" t="s">
        <v>41</v>
      </c>
      <c r="C63" s="239">
        <f>C33/$P$33</f>
        <v>0</v>
      </c>
      <c r="D63" s="239">
        <f t="shared" ref="D63:N63" si="21">D33/$P$33</f>
        <v>0</v>
      </c>
      <c r="E63" s="239">
        <f t="shared" si="21"/>
        <v>0</v>
      </c>
      <c r="F63" s="239">
        <f t="shared" si="21"/>
        <v>0</v>
      </c>
      <c r="G63" s="239">
        <f t="shared" si="21"/>
        <v>0</v>
      </c>
      <c r="H63" s="239">
        <f t="shared" si="21"/>
        <v>0</v>
      </c>
      <c r="I63" s="239">
        <f t="shared" si="21"/>
        <v>0</v>
      </c>
      <c r="J63" s="239">
        <f t="shared" si="21"/>
        <v>0</v>
      </c>
      <c r="K63" s="239">
        <f t="shared" si="21"/>
        <v>0</v>
      </c>
      <c r="L63" s="239">
        <f t="shared" si="21"/>
        <v>0.25639157987504824</v>
      </c>
      <c r="M63" s="239">
        <f t="shared" si="21"/>
        <v>0</v>
      </c>
      <c r="N63" s="239">
        <f t="shared" si="21"/>
        <v>0</v>
      </c>
      <c r="O63" s="240">
        <f t="shared" si="17"/>
        <v>0.25639157987504824</v>
      </c>
      <c r="P63" s="7"/>
      <c r="Q63" s="7"/>
      <c r="R63" s="7"/>
      <c r="S63" s="7"/>
    </row>
    <row r="64" spans="1:19" x14ac:dyDescent="0.25">
      <c r="A64" s="7"/>
      <c r="B64" s="245" t="s">
        <v>291</v>
      </c>
      <c r="C64" s="239">
        <f>C34/$P$34</f>
        <v>0</v>
      </c>
      <c r="D64" s="239">
        <f t="shared" ref="D64:N64" si="22">D34/$P$34</f>
        <v>0</v>
      </c>
      <c r="E64" s="239">
        <f t="shared" si="22"/>
        <v>0</v>
      </c>
      <c r="F64" s="239">
        <f t="shared" si="22"/>
        <v>0</v>
      </c>
      <c r="G64" s="239">
        <f t="shared" si="22"/>
        <v>0</v>
      </c>
      <c r="H64" s="239">
        <f t="shared" si="22"/>
        <v>0</v>
      </c>
      <c r="I64" s="239">
        <f t="shared" si="22"/>
        <v>0</v>
      </c>
      <c r="J64" s="239">
        <f t="shared" si="22"/>
        <v>0</v>
      </c>
      <c r="K64" s="239">
        <f t="shared" si="22"/>
        <v>0</v>
      </c>
      <c r="L64" s="239">
        <f t="shared" si="22"/>
        <v>0</v>
      </c>
      <c r="M64" s="239">
        <f t="shared" si="22"/>
        <v>0</v>
      </c>
      <c r="N64" s="239">
        <f t="shared" si="22"/>
        <v>0</v>
      </c>
      <c r="O64" s="240">
        <f t="shared" si="17"/>
        <v>0</v>
      </c>
      <c r="P64" s="7"/>
      <c r="Q64" s="7"/>
      <c r="R64" s="7"/>
      <c r="S64" s="7"/>
    </row>
    <row r="65" spans="1:19" x14ac:dyDescent="0.25">
      <c r="A65" s="7"/>
      <c r="B65" s="245" t="s">
        <v>335</v>
      </c>
      <c r="C65" s="239">
        <f>C35/$P$35</f>
        <v>0</v>
      </c>
      <c r="D65" s="239">
        <f t="shared" ref="D65:N65" si="23">D35/$P$35</f>
        <v>0</v>
      </c>
      <c r="E65" s="239">
        <f t="shared" si="23"/>
        <v>0</v>
      </c>
      <c r="F65" s="239">
        <f t="shared" si="23"/>
        <v>0</v>
      </c>
      <c r="G65" s="239">
        <f t="shared" si="23"/>
        <v>0</v>
      </c>
      <c r="H65" s="239">
        <f t="shared" si="23"/>
        <v>0</v>
      </c>
      <c r="I65" s="239">
        <f t="shared" si="23"/>
        <v>0</v>
      </c>
      <c r="J65" s="239">
        <f t="shared" si="23"/>
        <v>0</v>
      </c>
      <c r="K65" s="239">
        <f t="shared" si="23"/>
        <v>0.14555908158864472</v>
      </c>
      <c r="L65" s="239">
        <f t="shared" si="23"/>
        <v>0</v>
      </c>
      <c r="M65" s="239">
        <f t="shared" si="23"/>
        <v>0</v>
      </c>
      <c r="N65" s="239">
        <f t="shared" si="23"/>
        <v>0</v>
      </c>
      <c r="O65" s="240">
        <f t="shared" si="17"/>
        <v>0.14555908158864472</v>
      </c>
      <c r="P65" s="7"/>
      <c r="Q65" s="7"/>
      <c r="R65" s="7"/>
      <c r="S65" s="7"/>
    </row>
    <row r="66" spans="1:19" x14ac:dyDescent="0.25">
      <c r="A66" s="7"/>
      <c r="B66" s="245" t="s">
        <v>336</v>
      </c>
      <c r="C66" s="239">
        <f>C36/$P$36</f>
        <v>0</v>
      </c>
      <c r="D66" s="239">
        <f t="shared" ref="D66:N66" si="24">D36/$P$36</f>
        <v>0</v>
      </c>
      <c r="E66" s="239">
        <f t="shared" si="24"/>
        <v>0</v>
      </c>
      <c r="F66" s="239">
        <f t="shared" si="24"/>
        <v>0</v>
      </c>
      <c r="G66" s="239">
        <f t="shared" si="24"/>
        <v>0</v>
      </c>
      <c r="H66" s="239">
        <f t="shared" si="24"/>
        <v>0.27837004523809522</v>
      </c>
      <c r="I66" s="239">
        <f t="shared" si="24"/>
        <v>0.27837004523809522</v>
      </c>
      <c r="J66" s="239">
        <f t="shared" si="24"/>
        <v>0.27837004523809522</v>
      </c>
      <c r="K66" s="239">
        <f t="shared" si="24"/>
        <v>0</v>
      </c>
      <c r="L66" s="239">
        <f t="shared" si="24"/>
        <v>0</v>
      </c>
      <c r="M66" s="239">
        <f t="shared" si="24"/>
        <v>0</v>
      </c>
      <c r="N66" s="239">
        <f t="shared" si="24"/>
        <v>0</v>
      </c>
      <c r="O66" s="240">
        <f t="shared" si="17"/>
        <v>0.83511013571428561</v>
      </c>
      <c r="P66" s="7"/>
      <c r="Q66" s="7"/>
      <c r="R66" s="7"/>
      <c r="S66" s="7"/>
    </row>
    <row r="67" spans="1:19" x14ac:dyDescent="0.25">
      <c r="B67" s="245" t="s">
        <v>337</v>
      </c>
      <c r="C67" s="239">
        <f>C37/$P$37</f>
        <v>0</v>
      </c>
      <c r="D67" s="239">
        <f t="shared" ref="D67:N67" si="25">D37/$P$37</f>
        <v>0</v>
      </c>
      <c r="E67" s="239">
        <f t="shared" si="25"/>
        <v>0</v>
      </c>
      <c r="F67" s="239">
        <f t="shared" si="25"/>
        <v>0</v>
      </c>
      <c r="G67" s="239">
        <f t="shared" si="25"/>
        <v>0</v>
      </c>
      <c r="H67" s="239">
        <f t="shared" si="25"/>
        <v>0</v>
      </c>
      <c r="I67" s="239">
        <f t="shared" si="25"/>
        <v>0</v>
      </c>
      <c r="J67" s="239">
        <f t="shared" si="25"/>
        <v>0</v>
      </c>
      <c r="K67" s="239">
        <f t="shared" si="25"/>
        <v>0.55428571428571427</v>
      </c>
      <c r="L67" s="239">
        <f t="shared" si="25"/>
        <v>0</v>
      </c>
      <c r="M67" s="239">
        <f t="shared" si="25"/>
        <v>0</v>
      </c>
      <c r="N67" s="239">
        <f t="shared" si="25"/>
        <v>0</v>
      </c>
      <c r="O67" s="240">
        <f t="shared" si="17"/>
        <v>0.55428571428571427</v>
      </c>
      <c r="P67" s="7"/>
      <c r="Q67" s="7"/>
      <c r="R67" s="7"/>
      <c r="S67" s="7"/>
    </row>
    <row r="68" spans="1:19" x14ac:dyDescent="0.25">
      <c r="A68" s="7"/>
      <c r="B68" s="23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x14ac:dyDescent="0.25">
      <c r="A100" s="7"/>
      <c r="B100" s="7"/>
      <c r="C100" s="229" t="s">
        <v>338</v>
      </c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x14ac:dyDescent="0.25">
      <c r="C101" s="1" t="s">
        <v>222</v>
      </c>
    </row>
    <row r="102" spans="1:19" x14ac:dyDescent="0.25">
      <c r="C102" t="s">
        <v>339</v>
      </c>
      <c r="D102" t="s">
        <v>340</v>
      </c>
      <c r="E102">
        <v>230</v>
      </c>
      <c r="F102" s="11">
        <f>12*230+1.21</f>
        <v>2761.21</v>
      </c>
      <c r="G102" s="362">
        <f>F102*1500</f>
        <v>4141815</v>
      </c>
      <c r="H102" t="s">
        <v>341</v>
      </c>
    </row>
    <row r="103" spans="1:19" x14ac:dyDescent="0.25">
      <c r="C103" s="1" t="s">
        <v>219</v>
      </c>
      <c r="G103" s="362"/>
    </row>
    <row r="104" spans="1:19" x14ac:dyDescent="0.25">
      <c r="C104" t="s">
        <v>342</v>
      </c>
      <c r="F104" s="11">
        <v>28300</v>
      </c>
      <c r="G104" s="362">
        <f t="shared" ref="G104:G105" si="26">F104*1500</f>
        <v>42450000</v>
      </c>
    </row>
    <row r="105" spans="1:19" x14ac:dyDescent="0.25">
      <c r="C105" t="s">
        <v>343</v>
      </c>
      <c r="F105" s="11">
        <v>70000</v>
      </c>
      <c r="G105" s="362">
        <f t="shared" si="26"/>
        <v>105000000</v>
      </c>
    </row>
  </sheetData>
  <phoneticPr fontId="18" type="noConversion"/>
  <conditionalFormatting sqref="C50:N57">
    <cfRule type="colorScale" priority="2">
      <colorScale>
        <cfvo type="min"/>
        <cfvo type="max"/>
        <color rgb="FFFFEF9C"/>
        <color rgb="FF63BE7B"/>
      </colorScale>
    </cfRule>
  </conditionalFormatting>
  <conditionalFormatting sqref="C59:N67">
    <cfRule type="colorScale" priority="37">
      <colorScale>
        <cfvo type="min"/>
        <cfvo type="max"/>
        <color rgb="FFFFEF9C"/>
        <color rgb="FF63BE7B"/>
      </colorScale>
    </cfRule>
  </conditionalFormatting>
  <conditionalFormatting sqref="K56:K5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57">
    <cfRule type="colorScale" priority="35">
      <colorScale>
        <cfvo type="min"/>
        <cfvo type="max"/>
        <color rgb="FFFFEF9C"/>
        <color rgb="FF63BE7B"/>
      </colorScale>
    </cfRule>
  </conditionalFormatting>
  <conditionalFormatting sqref="M56:M57 C56:L56">
    <cfRule type="colorScale" priority="36">
      <colorScale>
        <cfvo type="min"/>
        <cfvo type="max"/>
        <color rgb="FFFFEF9C"/>
        <color rgb="FF63BE7B"/>
      </colorScale>
    </cfRule>
  </conditionalFormatting>
  <pageMargins left="0.25" right="0.25" top="0.75" bottom="0.75" header="0.3" footer="0.3"/>
  <pageSetup paperSize="5" orientation="landscape" r:id="rId1"/>
  <ignoredErrors>
    <ignoredError sqref="Q16 Q38 H21" formula="1"/>
  </ignoredError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F1D6-46AB-4663-89AB-0323D3BAF154}">
  <sheetPr codeName="Hoja5">
    <tabColor theme="0" tint="-0.499984740745262"/>
  </sheetPr>
  <dimension ref="A1:Y2513"/>
  <sheetViews>
    <sheetView tabSelected="1" zoomScaleNormal="100" workbookViewId="0">
      <selection activeCell="C21" sqref="C21"/>
    </sheetView>
  </sheetViews>
  <sheetFormatPr baseColWidth="10" defaultColWidth="11.42578125" defaultRowHeight="15" x14ac:dyDescent="0.25"/>
  <cols>
    <col min="1" max="1" width="10.85546875" customWidth="1"/>
    <col min="2" max="2" width="11.28515625" customWidth="1"/>
    <col min="3" max="3" width="27" customWidth="1"/>
    <col min="4" max="4" width="15.140625" customWidth="1"/>
    <col min="5" max="6" width="20.28515625" bestFit="1" customWidth="1"/>
    <col min="7" max="7" width="18.5703125" customWidth="1"/>
    <col min="8" max="8" width="15.85546875" customWidth="1"/>
    <col min="9" max="9" width="13" customWidth="1"/>
    <col min="10" max="11" width="17.42578125" customWidth="1"/>
    <col min="12" max="12" width="5.85546875" customWidth="1"/>
    <col min="13" max="13" width="5.7109375" customWidth="1"/>
    <col min="14" max="14" width="7.7109375" customWidth="1"/>
    <col min="15" max="15" width="15.140625" customWidth="1"/>
    <col min="16" max="16" width="12" customWidth="1"/>
    <col min="17" max="17" width="14.28515625" customWidth="1"/>
    <col min="18" max="18" width="17.140625" customWidth="1"/>
    <col min="19" max="19" width="22.140625" customWidth="1"/>
    <col min="20" max="20" width="11.42578125" customWidth="1"/>
    <col min="21" max="21" width="17.5703125" customWidth="1"/>
    <col min="22" max="22" width="11.42578125" customWidth="1"/>
    <col min="23" max="23" width="6.7109375" customWidth="1"/>
    <col min="24" max="24" width="18.85546875" customWidth="1"/>
    <col min="25" max="25" width="26.28515625" customWidth="1"/>
  </cols>
  <sheetData>
    <row r="1" spans="1:25" ht="30.75" customHeight="1" x14ac:dyDescent="0.25">
      <c r="A1" s="13">
        <v>2025</v>
      </c>
      <c r="B1" s="7"/>
      <c r="C1" s="120" t="s">
        <v>344</v>
      </c>
      <c r="D1" s="138">
        <v>-5367763.6099999994</v>
      </c>
      <c r="E1" s="331" t="s">
        <v>345</v>
      </c>
      <c r="F1" s="332"/>
      <c r="G1" s="332">
        <f>G7+D1</f>
        <v>-12212116.499999998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5" ht="30.75" customHeight="1" x14ac:dyDescent="0.25">
      <c r="A2" s="13"/>
      <c r="B2" s="7"/>
      <c r="C2" s="120" t="s">
        <v>346</v>
      </c>
      <c r="D2" s="413" t="s">
        <v>347</v>
      </c>
      <c r="E2" s="410">
        <v>-6082480.96</v>
      </c>
      <c r="F2" s="332"/>
      <c r="G2" s="332"/>
      <c r="H2" s="7"/>
      <c r="I2" s="7"/>
      <c r="J2" s="403"/>
      <c r="K2" s="404"/>
      <c r="L2" s="7"/>
      <c r="M2" s="405"/>
      <c r="N2" s="406"/>
      <c r="O2" s="407"/>
      <c r="P2" s="7"/>
      <c r="Q2" s="408"/>
      <c r="R2" s="409"/>
      <c r="S2" s="7"/>
      <c r="T2" s="7"/>
      <c r="U2" s="7"/>
      <c r="V2" s="7"/>
      <c r="W2" s="7"/>
    </row>
    <row r="3" spans="1:25" ht="30.75" customHeight="1" x14ac:dyDescent="0.25">
      <c r="A3" s="13"/>
      <c r="B3" s="7"/>
      <c r="C3" s="120"/>
      <c r="D3" s="405" t="s">
        <v>348</v>
      </c>
      <c r="E3" s="407">
        <v>-8688635.8100000005</v>
      </c>
      <c r="G3" s="332"/>
      <c r="H3" s="7"/>
      <c r="I3" s="7"/>
      <c r="J3" s="403"/>
      <c r="K3" s="404"/>
      <c r="L3" s="7"/>
      <c r="M3" s="405"/>
      <c r="N3" s="406"/>
      <c r="O3" s="407"/>
      <c r="P3" s="7"/>
      <c r="Q3" s="408"/>
      <c r="R3" s="409"/>
      <c r="S3" s="7"/>
      <c r="T3" s="7"/>
      <c r="U3" s="7"/>
      <c r="V3" s="7"/>
      <c r="W3" s="7"/>
    </row>
    <row r="4" spans="1:25" ht="30.75" customHeight="1" x14ac:dyDescent="0.25">
      <c r="A4" s="13"/>
      <c r="B4" s="7"/>
      <c r="C4" s="120"/>
      <c r="D4" s="411" t="s">
        <v>349</v>
      </c>
      <c r="E4" s="412">
        <v>-19987633.390000001</v>
      </c>
      <c r="F4" s="332"/>
      <c r="G4" s="332"/>
      <c r="H4" s="7"/>
      <c r="I4" s="7"/>
      <c r="J4" s="403"/>
      <c r="K4" s="404"/>
      <c r="L4" s="7"/>
      <c r="M4" s="405"/>
      <c r="N4" s="406"/>
      <c r="O4" s="407"/>
      <c r="P4" s="7"/>
      <c r="Q4" s="408"/>
      <c r="R4" s="409"/>
      <c r="S4" s="7"/>
      <c r="T4" s="7"/>
      <c r="U4" s="7"/>
      <c r="V4" s="7"/>
      <c r="W4" s="7"/>
    </row>
    <row r="5" spans="1:25" ht="30.75" customHeight="1" x14ac:dyDescent="0.25">
      <c r="A5" s="13"/>
      <c r="B5" s="7"/>
      <c r="C5" s="120"/>
      <c r="D5" s="414" t="s">
        <v>350</v>
      </c>
      <c r="E5" s="415">
        <v>-1962733.83</v>
      </c>
      <c r="F5" s="332"/>
      <c r="G5" s="332"/>
      <c r="H5" s="7"/>
      <c r="I5" s="7"/>
      <c r="J5" s="403"/>
      <c r="K5" s="404"/>
      <c r="L5" s="7"/>
      <c r="M5" s="405"/>
      <c r="N5" s="406"/>
      <c r="O5" s="407"/>
      <c r="P5" s="7"/>
      <c r="Q5" s="408"/>
      <c r="R5" s="409"/>
      <c r="S5" s="7"/>
      <c r="T5" s="7"/>
      <c r="U5" s="7"/>
      <c r="V5" s="7"/>
      <c r="W5" s="7"/>
    </row>
    <row r="6" spans="1:25" ht="30.75" customHeight="1" x14ac:dyDescent="0.25">
      <c r="A6" s="13"/>
      <c r="B6" s="7"/>
      <c r="C6" s="120"/>
      <c r="D6" s="14" t="s">
        <v>351</v>
      </c>
      <c r="E6" s="416">
        <f>SUM(E2:E5)</f>
        <v>-36721483.989999995</v>
      </c>
      <c r="F6" s="332"/>
      <c r="G6" s="332"/>
      <c r="H6" s="7"/>
      <c r="I6" s="7"/>
      <c r="J6" s="403"/>
      <c r="K6" s="404"/>
      <c r="L6" s="7"/>
      <c r="M6" s="405"/>
      <c r="N6" s="406"/>
      <c r="O6" s="407"/>
      <c r="P6" s="7"/>
      <c r="Q6" s="408"/>
      <c r="R6" s="409"/>
      <c r="S6" s="7"/>
      <c r="T6" s="7"/>
      <c r="U6" s="7"/>
      <c r="V6" s="7"/>
      <c r="W6" s="7"/>
    </row>
    <row r="7" spans="1:25" ht="30.75" customHeight="1" x14ac:dyDescent="0.25">
      <c r="A7" s="13"/>
      <c r="B7" s="7"/>
      <c r="C7" s="7"/>
      <c r="E7" s="301">
        <f>SUBTOTAL(9,Tabla3[EGRESOS])</f>
        <v>6844352.8899999987</v>
      </c>
      <c r="F7" s="300">
        <f>SUBTOTAL(9,Tabla3[INGRESOS])</f>
        <v>0</v>
      </c>
      <c r="G7" s="118">
        <f>F7-E7</f>
        <v>-6844352.8899999987</v>
      </c>
      <c r="H7" s="118"/>
      <c r="I7" s="7"/>
      <c r="J7" s="254">
        <f>SUBTOTAL(9,Tabla3[EGRES USD])</f>
        <v>6003.8183245614027</v>
      </c>
      <c r="K7" s="254">
        <f>SUBTOTAL(9,Tabla3[INGRES USD])</f>
        <v>0</v>
      </c>
      <c r="L7" s="7"/>
      <c r="M7" s="7"/>
      <c r="N7" s="7"/>
      <c r="O7" s="7"/>
      <c r="P7" s="126"/>
      <c r="Q7" s="7"/>
      <c r="R7" s="7"/>
      <c r="S7" s="7"/>
      <c r="T7" s="7"/>
      <c r="U7" s="7"/>
      <c r="V7" s="7"/>
      <c r="W7" s="7"/>
    </row>
    <row r="8" spans="1:25" x14ac:dyDescent="0.25">
      <c r="A8" s="12" t="s">
        <v>352</v>
      </c>
      <c r="B8" s="12" t="s">
        <v>353</v>
      </c>
      <c r="C8" s="12" t="s">
        <v>354</v>
      </c>
      <c r="D8" s="12" t="s">
        <v>355</v>
      </c>
      <c r="E8" s="12" t="s">
        <v>99</v>
      </c>
      <c r="F8" s="12" t="s">
        <v>97</v>
      </c>
      <c r="G8" s="12" t="s">
        <v>356</v>
      </c>
      <c r="H8" s="12" t="s">
        <v>357</v>
      </c>
      <c r="I8" s="12" t="s">
        <v>358</v>
      </c>
      <c r="J8" s="12" t="s">
        <v>359</v>
      </c>
      <c r="K8" s="12" t="s">
        <v>360</v>
      </c>
      <c r="L8" s="12" t="s">
        <v>361</v>
      </c>
      <c r="M8" s="12" t="s">
        <v>362</v>
      </c>
      <c r="N8" s="12" t="s">
        <v>363</v>
      </c>
      <c r="O8" s="12" t="s">
        <v>364</v>
      </c>
      <c r="P8" s="12" t="s">
        <v>365</v>
      </c>
      <c r="Q8" s="12" t="s">
        <v>366</v>
      </c>
      <c r="R8" s="12" t="s">
        <v>367</v>
      </c>
      <c r="S8" s="12" t="s">
        <v>368</v>
      </c>
      <c r="T8" s="12" t="s">
        <v>369</v>
      </c>
      <c r="U8" s="12" t="s">
        <v>370</v>
      </c>
      <c r="V8" s="12" t="s">
        <v>371</v>
      </c>
      <c r="W8" s="12" t="s">
        <v>372</v>
      </c>
      <c r="X8" s="12" t="s">
        <v>373</v>
      </c>
      <c r="Y8" s="12" t="s">
        <v>374</v>
      </c>
    </row>
    <row r="9" spans="1:25" hidden="1" x14ac:dyDescent="0.25">
      <c r="A9" s="247" t="s">
        <v>311</v>
      </c>
      <c r="B9" s="248">
        <v>45660</v>
      </c>
      <c r="C9" s="244" t="s">
        <v>375</v>
      </c>
      <c r="D9" s="244"/>
      <c r="E9" s="253">
        <v>3100000</v>
      </c>
      <c r="F9" s="249">
        <v>0</v>
      </c>
      <c r="G9" s="266">
        <f>Tabla3[[#This Row],[INGRESOS]]-Tabla3[[#This Row],[EGRESOS]]</f>
        <v>-3100000</v>
      </c>
      <c r="H9" s="137"/>
      <c r="I9" s="119">
        <v>1140</v>
      </c>
      <c r="J9" s="99">
        <f>Tabla3[[#This Row],[EGRESOS]]/Tabla3[[#This Row],[TC]]</f>
        <v>2719.2982456140353</v>
      </c>
      <c r="K9" s="99">
        <f>Tabla3[[#This Row],[INGRESOS]]/Tabla3[[#This Row],[TC]]</f>
        <v>0</v>
      </c>
      <c r="L9" s="7" t="s">
        <v>376</v>
      </c>
      <c r="M9" s="7" t="s">
        <v>377</v>
      </c>
      <c r="N9" s="7" t="s">
        <v>25</v>
      </c>
      <c r="O9" s="7" t="s">
        <v>244</v>
      </c>
      <c r="P9" s="7" t="s">
        <v>259</v>
      </c>
      <c r="Q9" s="7" t="s">
        <v>260</v>
      </c>
      <c r="R9" s="7" t="s">
        <v>378</v>
      </c>
      <c r="S9" s="7"/>
      <c r="T9" s="7"/>
      <c r="U9" s="7" t="s">
        <v>379</v>
      </c>
      <c r="V9" s="7"/>
      <c r="W9" s="7" t="s">
        <v>380</v>
      </c>
      <c r="X9" s="7"/>
      <c r="Y9" s="7"/>
    </row>
    <row r="10" spans="1:25" hidden="1" x14ac:dyDescent="0.25">
      <c r="A10" s="247" t="s">
        <v>311</v>
      </c>
      <c r="B10" s="248">
        <v>45660</v>
      </c>
      <c r="C10" s="244" t="s">
        <v>375</v>
      </c>
      <c r="D10" s="244"/>
      <c r="E10" s="253">
        <v>1000000</v>
      </c>
      <c r="F10" s="249">
        <v>0</v>
      </c>
      <c r="G10" s="266">
        <f>Tabla3[[#This Row],[INGRESOS]]-Tabla3[[#This Row],[EGRESOS]]</f>
        <v>-1000000</v>
      </c>
      <c r="H10" s="137">
        <v>-4370577.21</v>
      </c>
      <c r="I10" s="119">
        <v>1140</v>
      </c>
      <c r="J10" s="99">
        <f>Tabla3[[#This Row],[EGRESOS]]/Tabla3[[#This Row],[TC]]</f>
        <v>877.19298245614038</v>
      </c>
      <c r="K10" s="99">
        <f>Tabla3[[#This Row],[INGRESOS]]/Tabla3[[#This Row],[TC]]</f>
        <v>0</v>
      </c>
      <c r="L10" s="7" t="s">
        <v>376</v>
      </c>
      <c r="M10" s="7" t="s">
        <v>377</v>
      </c>
      <c r="N10" s="7" t="s">
        <v>25</v>
      </c>
      <c r="O10" s="7" t="s">
        <v>244</v>
      </c>
      <c r="P10" s="7" t="s">
        <v>259</v>
      </c>
      <c r="Q10" s="7" t="s">
        <v>260</v>
      </c>
      <c r="R10" s="7" t="s">
        <v>378</v>
      </c>
      <c r="S10" s="7"/>
      <c r="T10" s="7"/>
      <c r="U10" s="7" t="s">
        <v>379</v>
      </c>
      <c r="V10" s="7"/>
      <c r="W10" s="7" t="s">
        <v>380</v>
      </c>
      <c r="X10" s="7"/>
      <c r="Y10" s="7"/>
    </row>
    <row r="11" spans="1:25" s="7" customFormat="1" x14ac:dyDescent="0.25">
      <c r="A11" s="247" t="s">
        <v>311</v>
      </c>
      <c r="B11" s="248">
        <v>45665</v>
      </c>
      <c r="C11" s="244" t="s">
        <v>381</v>
      </c>
      <c r="D11" s="244"/>
      <c r="E11" s="253">
        <v>8728.74</v>
      </c>
      <c r="F11" s="249">
        <v>0</v>
      </c>
      <c r="G11" s="266">
        <f>Tabla3[[#This Row],[INGRESOS]]-Tabla3[[#This Row],[EGRESOS]]</f>
        <v>-8728.74</v>
      </c>
      <c r="H11" s="137">
        <f>Tabla3[[#This Row],[SALDO]]+H10</f>
        <v>-4379305.95</v>
      </c>
      <c r="I11" s="119">
        <v>1140</v>
      </c>
      <c r="J11" s="99">
        <f>Tabla3[[#This Row],[EGRESOS]]/Tabla3[[#This Row],[TC]]</f>
        <v>7.6567894736842099</v>
      </c>
      <c r="K11" s="99">
        <f>Tabla3[[#This Row],[INGRESOS]]/Tabla3[[#This Row],[TC]]</f>
        <v>0</v>
      </c>
      <c r="L11" s="7" t="s">
        <v>376</v>
      </c>
      <c r="M11" s="7" t="s">
        <v>377</v>
      </c>
      <c r="N11" s="7" t="s">
        <v>25</v>
      </c>
      <c r="O11" s="7" t="s">
        <v>184</v>
      </c>
      <c r="P11" s="7" t="s">
        <v>195</v>
      </c>
      <c r="Q11" s="7" t="s">
        <v>196</v>
      </c>
      <c r="R11" s="7" t="s">
        <v>382</v>
      </c>
      <c r="S11" s="7" t="s">
        <v>383</v>
      </c>
      <c r="U11" s="7" t="s">
        <v>384</v>
      </c>
      <c r="W11" s="7" t="s">
        <v>380</v>
      </c>
      <c r="X11" s="7" t="s">
        <v>99</v>
      </c>
      <c r="Y11" s="7" t="s">
        <v>23</v>
      </c>
    </row>
    <row r="12" spans="1:25" s="7" customFormat="1" x14ac:dyDescent="0.25">
      <c r="A12" s="247" t="s">
        <v>311</v>
      </c>
      <c r="B12" s="248">
        <v>45665</v>
      </c>
      <c r="C12" s="244" t="s">
        <v>375</v>
      </c>
      <c r="D12" s="244"/>
      <c r="E12" s="253">
        <v>200000</v>
      </c>
      <c r="F12" s="249">
        <v>0</v>
      </c>
      <c r="G12" s="266">
        <f>Tabla3[[#This Row],[INGRESOS]]-Tabla3[[#This Row],[EGRESOS]]</f>
        <v>-200000</v>
      </c>
      <c r="H12" s="137">
        <f>Tabla3[[#This Row],[SALDO]]+H11</f>
        <v>-4579305.95</v>
      </c>
      <c r="I12" s="119">
        <v>1140</v>
      </c>
      <c r="J12" s="99">
        <f>Tabla3[[#This Row],[EGRESOS]]/Tabla3[[#This Row],[TC]]</f>
        <v>175.43859649122808</v>
      </c>
      <c r="K12" s="99">
        <f>Tabla3[[#This Row],[INGRESOS]]/Tabla3[[#This Row],[TC]]</f>
        <v>0</v>
      </c>
      <c r="L12" s="7" t="s">
        <v>376</v>
      </c>
      <c r="M12" s="7" t="s">
        <v>377</v>
      </c>
      <c r="N12" s="7" t="s">
        <v>25</v>
      </c>
      <c r="O12" s="7" t="s">
        <v>184</v>
      </c>
      <c r="P12" s="7" t="s">
        <v>203</v>
      </c>
      <c r="Q12" s="7" t="s">
        <v>208</v>
      </c>
      <c r="R12" s="7" t="s">
        <v>385</v>
      </c>
      <c r="S12" s="7" t="s">
        <v>386</v>
      </c>
      <c r="U12" s="7" t="s">
        <v>387</v>
      </c>
      <c r="V12" s="7" t="s">
        <v>386</v>
      </c>
      <c r="W12" s="7" t="s">
        <v>380</v>
      </c>
      <c r="X12" s="44" t="s">
        <v>104</v>
      </c>
      <c r="Y12" s="7" t="s">
        <v>23</v>
      </c>
    </row>
    <row r="13" spans="1:25" s="7" customFormat="1" x14ac:dyDescent="0.25">
      <c r="A13" s="247" t="s">
        <v>311</v>
      </c>
      <c r="B13" s="248">
        <v>45665</v>
      </c>
      <c r="C13" s="244" t="s">
        <v>375</v>
      </c>
      <c r="D13" s="244"/>
      <c r="E13" s="253">
        <v>812400</v>
      </c>
      <c r="F13" s="249">
        <v>0</v>
      </c>
      <c r="G13" s="266">
        <f>Tabla3[[#This Row],[INGRESOS]]-Tabla3[[#This Row],[EGRESOS]]</f>
        <v>-812400</v>
      </c>
      <c r="H13" s="137">
        <f>Tabla3[[#This Row],[SALDO]]+H12</f>
        <v>-5391705.9500000002</v>
      </c>
      <c r="I13" s="119">
        <v>1140</v>
      </c>
      <c r="J13" s="99">
        <f>Tabla3[[#This Row],[EGRESOS]]/Tabla3[[#This Row],[TC]]</f>
        <v>712.63157894736844</v>
      </c>
      <c r="K13" s="99">
        <f>Tabla3[[#This Row],[INGRESOS]]/Tabla3[[#This Row],[TC]]</f>
        <v>0</v>
      </c>
      <c r="L13" s="7" t="s">
        <v>376</v>
      </c>
      <c r="M13" s="7" t="s">
        <v>377</v>
      </c>
      <c r="N13" s="7" t="s">
        <v>25</v>
      </c>
      <c r="O13" s="7" t="s">
        <v>184</v>
      </c>
      <c r="P13" s="7" t="s">
        <v>199</v>
      </c>
      <c r="Q13" s="7" t="s">
        <v>201</v>
      </c>
      <c r="R13" s="7" t="s">
        <v>388</v>
      </c>
      <c r="S13" s="7" t="s">
        <v>389</v>
      </c>
      <c r="U13" s="7" t="s">
        <v>390</v>
      </c>
      <c r="W13" s="7" t="s">
        <v>380</v>
      </c>
      <c r="X13" s="7" t="s">
        <v>99</v>
      </c>
      <c r="Y13" s="7" t="s">
        <v>23</v>
      </c>
    </row>
    <row r="14" spans="1:25" s="7" customFormat="1" x14ac:dyDescent="0.25">
      <c r="A14" s="247" t="s">
        <v>311</v>
      </c>
      <c r="B14" s="248">
        <v>45665</v>
      </c>
      <c r="C14" s="244" t="s">
        <v>375</v>
      </c>
      <c r="D14" s="244"/>
      <c r="E14" s="253">
        <v>442389.74</v>
      </c>
      <c r="F14" s="249">
        <v>0</v>
      </c>
      <c r="G14" s="266">
        <f>Tabla3[[#This Row],[INGRESOS]]-Tabla3[[#This Row],[EGRESOS]]</f>
        <v>-442389.74</v>
      </c>
      <c r="H14" s="137">
        <f>Tabla3[[#This Row],[SALDO]]+H13</f>
        <v>-5834095.6900000004</v>
      </c>
      <c r="I14" s="119">
        <v>1140</v>
      </c>
      <c r="J14" s="99">
        <f>Tabla3[[#This Row],[EGRESOS]]/Tabla3[[#This Row],[TC]]</f>
        <v>388.06117543859648</v>
      </c>
      <c r="K14" s="99">
        <f>Tabla3[[#This Row],[INGRESOS]]/Tabla3[[#This Row],[TC]]</f>
        <v>0</v>
      </c>
      <c r="L14" s="7" t="s">
        <v>376</v>
      </c>
      <c r="M14" s="7" t="s">
        <v>377</v>
      </c>
      <c r="N14" s="7" t="s">
        <v>25</v>
      </c>
      <c r="O14" s="7" t="s">
        <v>184</v>
      </c>
      <c r="P14" s="7" t="s">
        <v>199</v>
      </c>
      <c r="Q14" s="7" t="s">
        <v>201</v>
      </c>
      <c r="R14" s="7" t="s">
        <v>391</v>
      </c>
      <c r="S14" s="7" t="s">
        <v>392</v>
      </c>
      <c r="U14" s="7" t="s">
        <v>390</v>
      </c>
      <c r="W14" s="7" t="s">
        <v>380</v>
      </c>
      <c r="X14" s="7" t="s">
        <v>99</v>
      </c>
      <c r="Y14" s="7" t="s">
        <v>23</v>
      </c>
    </row>
    <row r="15" spans="1:25" s="7" customFormat="1" hidden="1" x14ac:dyDescent="0.25">
      <c r="A15" s="247" t="s">
        <v>311</v>
      </c>
      <c r="B15" s="248">
        <v>45666</v>
      </c>
      <c r="C15" s="244" t="s">
        <v>375</v>
      </c>
      <c r="D15" s="244"/>
      <c r="E15" s="253">
        <v>500000</v>
      </c>
      <c r="F15" s="249">
        <v>0</v>
      </c>
      <c r="G15" s="266">
        <f>Tabla3[[#This Row],[INGRESOS]]-Tabla3[[#This Row],[EGRESOS]]</f>
        <v>-500000</v>
      </c>
      <c r="H15" s="137">
        <f>Tabla3[[#This Row],[SALDO]]+H14</f>
        <v>-6334095.6900000004</v>
      </c>
      <c r="I15" s="119">
        <v>1140</v>
      </c>
      <c r="J15" s="99">
        <f>Tabla3[[#This Row],[EGRESOS]]/Tabla3[[#This Row],[TC]]</f>
        <v>438.59649122807019</v>
      </c>
      <c r="K15" s="99">
        <f>Tabla3[[#This Row],[INGRESOS]]/Tabla3[[#This Row],[TC]]</f>
        <v>0</v>
      </c>
      <c r="L15" s="7" t="s">
        <v>376</v>
      </c>
      <c r="M15" s="7" t="s">
        <v>377</v>
      </c>
      <c r="N15" s="7" t="s">
        <v>25</v>
      </c>
      <c r="O15" s="7" t="s">
        <v>244</v>
      </c>
      <c r="P15" s="7" t="s">
        <v>259</v>
      </c>
      <c r="Q15" s="7" t="s">
        <v>260</v>
      </c>
      <c r="R15" s="7" t="s">
        <v>393</v>
      </c>
      <c r="U15" s="7" t="s">
        <v>379</v>
      </c>
      <c r="W15" s="7" t="s">
        <v>380</v>
      </c>
    </row>
    <row r="16" spans="1:25" s="7" customFormat="1" x14ac:dyDescent="0.25">
      <c r="A16" s="247" t="s">
        <v>311</v>
      </c>
      <c r="B16" s="248">
        <v>45667</v>
      </c>
      <c r="C16" s="244" t="s">
        <v>381</v>
      </c>
      <c r="D16" s="244"/>
      <c r="E16" s="253">
        <v>1800</v>
      </c>
      <c r="F16" s="249">
        <v>0</v>
      </c>
      <c r="G16" s="266">
        <f>Tabla3[[#This Row],[INGRESOS]]-Tabla3[[#This Row],[EGRESOS]]</f>
        <v>-1800</v>
      </c>
      <c r="H16" s="137">
        <f>Tabla3[[#This Row],[SALDO]]+H15</f>
        <v>-6335895.6900000004</v>
      </c>
      <c r="I16" s="119">
        <v>1140</v>
      </c>
      <c r="J16" s="99">
        <f>Tabla3[[#This Row],[EGRESOS]]/Tabla3[[#This Row],[TC]]</f>
        <v>1.5789473684210527</v>
      </c>
      <c r="K16" s="99">
        <f>Tabla3[[#This Row],[INGRESOS]]/Tabla3[[#This Row],[TC]]</f>
        <v>0</v>
      </c>
      <c r="L16" s="7" t="s">
        <v>376</v>
      </c>
      <c r="M16" s="7" t="s">
        <v>377</v>
      </c>
      <c r="N16" s="7" t="s">
        <v>25</v>
      </c>
      <c r="O16" s="7" t="s">
        <v>184</v>
      </c>
      <c r="P16" s="7" t="s">
        <v>195</v>
      </c>
      <c r="Q16" s="7" t="s">
        <v>196</v>
      </c>
      <c r="R16" s="7" t="s">
        <v>394</v>
      </c>
      <c r="S16" s="7" t="s">
        <v>383</v>
      </c>
      <c r="U16" s="7" t="s">
        <v>384</v>
      </c>
      <c r="W16" s="7" t="s">
        <v>380</v>
      </c>
      <c r="X16" s="7" t="s">
        <v>99</v>
      </c>
      <c r="Y16" s="7" t="s">
        <v>23</v>
      </c>
    </row>
    <row r="17" spans="1:25" s="7" customFormat="1" x14ac:dyDescent="0.25">
      <c r="A17" s="247" t="s">
        <v>311</v>
      </c>
      <c r="B17" s="248">
        <v>45667</v>
      </c>
      <c r="C17" s="244" t="s">
        <v>375</v>
      </c>
      <c r="D17" s="244"/>
      <c r="E17" s="253">
        <v>300000</v>
      </c>
      <c r="F17" s="249">
        <v>0</v>
      </c>
      <c r="G17" s="266">
        <f>Tabla3[[#This Row],[INGRESOS]]-Tabla3[[#This Row],[EGRESOS]]</f>
        <v>-300000</v>
      </c>
      <c r="H17" s="137">
        <f>Tabla3[[#This Row],[SALDO]]+H16</f>
        <v>-6635895.6900000004</v>
      </c>
      <c r="I17" s="119">
        <v>1140</v>
      </c>
      <c r="J17" s="99">
        <f>Tabla3[[#This Row],[EGRESOS]]/Tabla3[[#This Row],[TC]]</f>
        <v>263.15789473684208</v>
      </c>
      <c r="K17" s="99">
        <f>Tabla3[[#This Row],[INGRESOS]]/Tabla3[[#This Row],[TC]]</f>
        <v>0</v>
      </c>
      <c r="L17" s="7" t="s">
        <v>376</v>
      </c>
      <c r="M17" s="7" t="s">
        <v>377</v>
      </c>
      <c r="N17" s="7" t="s">
        <v>25</v>
      </c>
      <c r="O17" s="7" t="s">
        <v>184</v>
      </c>
      <c r="P17" s="7" t="s">
        <v>203</v>
      </c>
      <c r="Q17" s="7" t="s">
        <v>208</v>
      </c>
      <c r="R17" s="7" t="s">
        <v>395</v>
      </c>
      <c r="S17" s="7" t="s">
        <v>386</v>
      </c>
      <c r="U17" s="7" t="s">
        <v>387</v>
      </c>
      <c r="V17" s="7" t="s">
        <v>386</v>
      </c>
      <c r="W17" s="7" t="s">
        <v>380</v>
      </c>
      <c r="X17" s="7" t="s">
        <v>104</v>
      </c>
      <c r="Y17" s="7" t="s">
        <v>23</v>
      </c>
    </row>
    <row r="18" spans="1:25" s="7" customFormat="1" hidden="1" x14ac:dyDescent="0.25">
      <c r="A18" s="247" t="s">
        <v>311</v>
      </c>
      <c r="B18" s="248">
        <v>45673</v>
      </c>
      <c r="C18" s="244" t="s">
        <v>375</v>
      </c>
      <c r="D18" s="244"/>
      <c r="E18" s="253">
        <v>500000</v>
      </c>
      <c r="F18" s="249">
        <v>0</v>
      </c>
      <c r="G18" s="266">
        <f>Tabla3[[#This Row],[INGRESOS]]-Tabla3[[#This Row],[EGRESOS]]</f>
        <v>-500000</v>
      </c>
      <c r="H18" s="137">
        <f>Tabla3[[#This Row],[SALDO]]+H17</f>
        <v>-7135895.6900000004</v>
      </c>
      <c r="I18" s="119">
        <v>1140</v>
      </c>
      <c r="J18" s="99">
        <f>Tabla3[[#This Row],[EGRESOS]]/Tabla3[[#This Row],[TC]]</f>
        <v>438.59649122807019</v>
      </c>
      <c r="K18" s="99">
        <f>Tabla3[[#This Row],[INGRESOS]]/Tabla3[[#This Row],[TC]]</f>
        <v>0</v>
      </c>
      <c r="L18" s="7" t="s">
        <v>376</v>
      </c>
      <c r="M18" s="7" t="s">
        <v>377</v>
      </c>
      <c r="N18" s="7" t="s">
        <v>25</v>
      </c>
      <c r="O18" s="7" t="s">
        <v>244</v>
      </c>
      <c r="P18" s="7" t="s">
        <v>259</v>
      </c>
      <c r="Q18" s="7" t="s">
        <v>260</v>
      </c>
      <c r="R18" s="7" t="s">
        <v>393</v>
      </c>
      <c r="U18" s="7" t="s">
        <v>379</v>
      </c>
      <c r="W18" s="7" t="s">
        <v>380</v>
      </c>
    </row>
    <row r="19" spans="1:25" s="7" customFormat="1" hidden="1" x14ac:dyDescent="0.25">
      <c r="A19" s="247" t="s">
        <v>311</v>
      </c>
      <c r="B19" s="248">
        <v>45674</v>
      </c>
      <c r="C19" s="244" t="s">
        <v>375</v>
      </c>
      <c r="D19" s="244"/>
      <c r="E19" s="253">
        <v>600000</v>
      </c>
      <c r="F19" s="249">
        <v>0</v>
      </c>
      <c r="G19" s="266">
        <f>Tabla3[[#This Row],[INGRESOS]]-Tabla3[[#This Row],[EGRESOS]]</f>
        <v>-600000</v>
      </c>
      <c r="H19" s="137">
        <f>Tabla3[[#This Row],[SALDO]]+H18</f>
        <v>-7735895.6900000004</v>
      </c>
      <c r="I19" s="119">
        <v>1140</v>
      </c>
      <c r="J19" s="99">
        <f>Tabla3[[#This Row],[EGRESOS]]/Tabla3[[#This Row],[TC]]</f>
        <v>526.31578947368416</v>
      </c>
      <c r="K19" s="99">
        <f>Tabla3[[#This Row],[INGRESOS]]/Tabla3[[#This Row],[TC]]</f>
        <v>0</v>
      </c>
      <c r="L19" s="7" t="s">
        <v>376</v>
      </c>
      <c r="M19" s="7" t="s">
        <v>377</v>
      </c>
      <c r="N19" s="7" t="s">
        <v>25</v>
      </c>
      <c r="O19" s="7" t="s">
        <v>244</v>
      </c>
      <c r="P19" s="7" t="s">
        <v>259</v>
      </c>
      <c r="Q19" s="7" t="s">
        <v>260</v>
      </c>
      <c r="R19" s="7" t="s">
        <v>393</v>
      </c>
      <c r="U19" s="7" t="s">
        <v>379</v>
      </c>
      <c r="W19" s="7" t="s">
        <v>380</v>
      </c>
    </row>
    <row r="20" spans="1:25" s="7" customFormat="1" hidden="1" x14ac:dyDescent="0.25">
      <c r="A20" s="247" t="s">
        <v>311</v>
      </c>
      <c r="B20" s="250">
        <v>45677</v>
      </c>
      <c r="C20" s="244" t="s">
        <v>375</v>
      </c>
      <c r="D20" s="244"/>
      <c r="E20" s="253">
        <f>907177.79-E21-E22</f>
        <v>307177.79000000004</v>
      </c>
      <c r="F20" s="249">
        <v>0</v>
      </c>
      <c r="G20" s="266">
        <f>Tabla3[[#This Row],[INGRESOS]]-Tabla3[[#This Row],[EGRESOS]]</f>
        <v>-307177.79000000004</v>
      </c>
      <c r="H20" s="137">
        <f>Tabla3[[#This Row],[SALDO]]+H19</f>
        <v>-8043073.4800000004</v>
      </c>
      <c r="I20" s="119">
        <v>1140</v>
      </c>
      <c r="J20" s="99">
        <f>Tabla3[[#This Row],[EGRESOS]]/Tabla3[[#This Row],[TC]]</f>
        <v>269.45420175438602</v>
      </c>
      <c r="K20" s="99">
        <f>Tabla3[[#This Row],[INGRESOS]]/Tabla3[[#This Row],[TC]]</f>
        <v>0</v>
      </c>
      <c r="L20" s="7" t="s">
        <v>376</v>
      </c>
      <c r="M20" s="7" t="s">
        <v>377</v>
      </c>
      <c r="N20" s="7" t="s">
        <v>25</v>
      </c>
      <c r="O20" s="7" t="s">
        <v>215</v>
      </c>
      <c r="P20" s="7" t="s">
        <v>216</v>
      </c>
      <c r="Q20" s="7" t="s">
        <v>217</v>
      </c>
      <c r="R20" s="7" t="s">
        <v>188</v>
      </c>
      <c r="S20" s="7" t="s">
        <v>396</v>
      </c>
      <c r="T20" s="7" t="s">
        <v>397</v>
      </c>
      <c r="U20" s="7" t="s">
        <v>398</v>
      </c>
      <c r="W20" s="7" t="s">
        <v>399</v>
      </c>
      <c r="X20" s="7" t="s">
        <v>400</v>
      </c>
      <c r="Y20" s="7" t="s">
        <v>23</v>
      </c>
    </row>
    <row r="21" spans="1:25" s="7" customFormat="1" x14ac:dyDescent="0.25">
      <c r="A21" s="247" t="s">
        <v>311</v>
      </c>
      <c r="B21" s="248">
        <v>45667</v>
      </c>
      <c r="C21" s="244" t="s">
        <v>800</v>
      </c>
      <c r="D21" s="244"/>
      <c r="E21" s="253">
        <v>200000</v>
      </c>
      <c r="F21" s="249">
        <v>0</v>
      </c>
      <c r="G21" s="266">
        <f>Tabla3[[#This Row],[INGRESOS]]-Tabla3[[#This Row],[EGRESOS]]</f>
        <v>-200000</v>
      </c>
      <c r="H21" s="137">
        <v>-5979705.7400000002</v>
      </c>
      <c r="I21" s="119">
        <v>1140</v>
      </c>
      <c r="J21" s="99">
        <f>Tabla3[[#This Row],[EGRESOS]]/Tabla3[[#This Row],[TC]]</f>
        <v>175.43859649122808</v>
      </c>
      <c r="K21" s="99">
        <f>Tabla3[[#This Row],[INGRESOS]]/Tabla3[[#This Row],[TC]]</f>
        <v>0</v>
      </c>
      <c r="L21" s="7" t="s">
        <v>376</v>
      </c>
      <c r="M21" s="7" t="s">
        <v>377</v>
      </c>
      <c r="N21" s="7" t="s">
        <v>20</v>
      </c>
      <c r="O21" s="7" t="s">
        <v>184</v>
      </c>
      <c r="P21" s="7" t="s">
        <v>203</v>
      </c>
      <c r="Q21" s="7" t="s">
        <v>208</v>
      </c>
      <c r="R21" s="7" t="s">
        <v>395</v>
      </c>
      <c r="S21" s="7" t="s">
        <v>386</v>
      </c>
      <c r="U21" s="7" t="s">
        <v>387</v>
      </c>
      <c r="V21" s="7" t="s">
        <v>386</v>
      </c>
      <c r="W21" s="7" t="s">
        <v>380</v>
      </c>
      <c r="X21" s="7" t="s">
        <v>104</v>
      </c>
      <c r="Y21" s="7" t="s">
        <v>23</v>
      </c>
    </row>
    <row r="22" spans="1:25" s="7" customFormat="1" hidden="1" x14ac:dyDescent="0.25">
      <c r="A22" s="247" t="s">
        <v>311</v>
      </c>
      <c r="B22" s="250">
        <v>45677</v>
      </c>
      <c r="C22" s="244" t="s">
        <v>375</v>
      </c>
      <c r="D22" s="244"/>
      <c r="E22" s="253">
        <v>400000</v>
      </c>
      <c r="F22" s="249">
        <v>0</v>
      </c>
      <c r="G22" s="266">
        <f>Tabla3[[#This Row],[INGRESOS]]-Tabla3[[#This Row],[EGRESOS]]</f>
        <v>-400000</v>
      </c>
      <c r="H22" s="137">
        <f>Tabla3[[#This Row],[SALDO]]+H21</f>
        <v>-6379705.7400000002</v>
      </c>
      <c r="I22" s="119">
        <v>1140</v>
      </c>
      <c r="J22" s="99">
        <f>Tabla3[[#This Row],[EGRESOS]]/Tabla3[[#This Row],[TC]]</f>
        <v>350.87719298245617</v>
      </c>
      <c r="K22" s="99">
        <f>Tabla3[[#This Row],[INGRESOS]]/Tabla3[[#This Row],[TC]]</f>
        <v>0</v>
      </c>
      <c r="L22" s="7" t="s">
        <v>376</v>
      </c>
      <c r="M22" s="7" t="s">
        <v>377</v>
      </c>
      <c r="N22" s="7" t="s">
        <v>25</v>
      </c>
      <c r="O22" s="7" t="s">
        <v>215</v>
      </c>
      <c r="P22" s="7" t="s">
        <v>216</v>
      </c>
      <c r="Q22" s="7" t="s">
        <v>220</v>
      </c>
      <c r="R22" s="7" t="s">
        <v>330</v>
      </c>
      <c r="S22" s="7" t="s">
        <v>402</v>
      </c>
      <c r="U22" s="7" t="s">
        <v>403</v>
      </c>
      <c r="W22" s="7" t="s">
        <v>380</v>
      </c>
      <c r="X22" s="7" t="s">
        <v>29</v>
      </c>
      <c r="Y22" s="7" t="s">
        <v>23</v>
      </c>
    </row>
    <row r="23" spans="1:25" s="7" customFormat="1" hidden="1" x14ac:dyDescent="0.25">
      <c r="A23" s="247" t="s">
        <v>311</v>
      </c>
      <c r="B23" s="250">
        <v>45677</v>
      </c>
      <c r="C23" s="244" t="s">
        <v>375</v>
      </c>
      <c r="D23" s="244"/>
      <c r="E23" s="253">
        <v>200000</v>
      </c>
      <c r="F23" s="249">
        <v>0</v>
      </c>
      <c r="G23" s="266">
        <f>Tabla3[[#This Row],[INGRESOS]]-Tabla3[[#This Row],[EGRESOS]]</f>
        <v>-200000</v>
      </c>
      <c r="H23" s="137">
        <f>Tabla3[[#This Row],[SALDO]]+H22</f>
        <v>-6579705.7400000002</v>
      </c>
      <c r="I23" s="119">
        <v>1140</v>
      </c>
      <c r="J23" s="99">
        <f>Tabla3[[#This Row],[EGRESOS]]/Tabla3[[#This Row],[TC]]</f>
        <v>175.43859649122808</v>
      </c>
      <c r="K23" s="99">
        <f>Tabla3[[#This Row],[INGRESOS]]/Tabla3[[#This Row],[TC]]</f>
        <v>0</v>
      </c>
      <c r="L23" s="7" t="s">
        <v>376</v>
      </c>
      <c r="M23" s="7" t="s">
        <v>377</v>
      </c>
      <c r="N23" s="7" t="s">
        <v>25</v>
      </c>
      <c r="O23" s="7" t="s">
        <v>244</v>
      </c>
      <c r="P23" s="7" t="s">
        <v>259</v>
      </c>
      <c r="Q23" s="7" t="s">
        <v>260</v>
      </c>
      <c r="R23" s="7" t="s">
        <v>393</v>
      </c>
      <c r="U23" s="7" t="s">
        <v>379</v>
      </c>
      <c r="W23" s="7" t="s">
        <v>380</v>
      </c>
    </row>
    <row r="24" spans="1:25" s="7" customFormat="1" hidden="1" x14ac:dyDescent="0.25">
      <c r="A24" s="247" t="s">
        <v>311</v>
      </c>
      <c r="B24" s="250">
        <v>45677</v>
      </c>
      <c r="C24" s="244" t="s">
        <v>375</v>
      </c>
      <c r="D24" s="244"/>
      <c r="E24" s="253">
        <v>1100000</v>
      </c>
      <c r="F24" s="249">
        <v>0</v>
      </c>
      <c r="G24" s="266">
        <f>Tabla3[[#This Row],[INGRESOS]]-Tabla3[[#This Row],[EGRESOS]]</f>
        <v>-1100000</v>
      </c>
      <c r="H24" s="137">
        <f>Tabla3[[#This Row],[SALDO]]+H23</f>
        <v>-7679705.7400000002</v>
      </c>
      <c r="I24" s="119">
        <v>1140</v>
      </c>
      <c r="J24" s="99">
        <f>Tabla3[[#This Row],[EGRESOS]]/Tabla3[[#This Row],[TC]]</f>
        <v>964.91228070175441</v>
      </c>
      <c r="K24" s="99">
        <f>Tabla3[[#This Row],[INGRESOS]]/Tabla3[[#This Row],[TC]]</f>
        <v>0</v>
      </c>
      <c r="L24" s="7" t="s">
        <v>376</v>
      </c>
      <c r="M24" s="7" t="s">
        <v>377</v>
      </c>
      <c r="N24" s="7" t="s">
        <v>25</v>
      </c>
      <c r="O24" s="7" t="s">
        <v>244</v>
      </c>
      <c r="P24" s="7" t="s">
        <v>259</v>
      </c>
      <c r="Q24" s="7" t="s">
        <v>260</v>
      </c>
      <c r="R24" s="7" t="s">
        <v>393</v>
      </c>
      <c r="U24" s="7" t="s">
        <v>379</v>
      </c>
      <c r="W24" s="7" t="s">
        <v>380</v>
      </c>
    </row>
    <row r="25" spans="1:25" s="7" customFormat="1" x14ac:dyDescent="0.25">
      <c r="A25" s="247" t="s">
        <v>311</v>
      </c>
      <c r="B25" s="250">
        <v>45677</v>
      </c>
      <c r="C25" s="244" t="s">
        <v>381</v>
      </c>
      <c r="D25" s="244"/>
      <c r="E25" s="253">
        <v>5443.07</v>
      </c>
      <c r="F25" s="249">
        <v>0</v>
      </c>
      <c r="G25" s="266">
        <f>Tabla3[[#This Row],[INGRESOS]]-Tabla3[[#This Row],[EGRESOS]]</f>
        <v>-5443.07</v>
      </c>
      <c r="H25" s="137">
        <f>Tabla3[[#This Row],[SALDO]]+H24</f>
        <v>-7685148.8100000005</v>
      </c>
      <c r="I25" s="119">
        <v>1140</v>
      </c>
      <c r="J25" s="99">
        <f>Tabla3[[#This Row],[EGRESOS]]/Tabla3[[#This Row],[TC]]</f>
        <v>4.7746228070175434</v>
      </c>
      <c r="K25" s="99">
        <f>Tabla3[[#This Row],[INGRESOS]]/Tabla3[[#This Row],[TC]]</f>
        <v>0</v>
      </c>
      <c r="L25" s="7" t="s">
        <v>376</v>
      </c>
      <c r="M25" s="7" t="s">
        <v>377</v>
      </c>
      <c r="N25" s="7" t="s">
        <v>25</v>
      </c>
      <c r="O25" s="7" t="s">
        <v>184</v>
      </c>
      <c r="P25" s="7" t="s">
        <v>195</v>
      </c>
      <c r="Q25" s="7" t="s">
        <v>196</v>
      </c>
      <c r="R25" s="7" t="s">
        <v>394</v>
      </c>
      <c r="S25" s="7" t="s">
        <v>383</v>
      </c>
      <c r="U25" s="7" t="s">
        <v>384</v>
      </c>
      <c r="W25" s="7" t="s">
        <v>380</v>
      </c>
      <c r="X25" s="7" t="s">
        <v>99</v>
      </c>
      <c r="Y25" s="7" t="s">
        <v>23</v>
      </c>
    </row>
    <row r="26" spans="1:25" s="7" customFormat="1" hidden="1" x14ac:dyDescent="0.25">
      <c r="A26" s="247" t="s">
        <v>311</v>
      </c>
      <c r="B26" s="248">
        <v>45680</v>
      </c>
      <c r="C26" s="244" t="s">
        <v>404</v>
      </c>
      <c r="D26" s="244"/>
      <c r="E26" s="253">
        <v>0</v>
      </c>
      <c r="F26" s="249">
        <v>10000000</v>
      </c>
      <c r="G26" s="266">
        <f>Tabla3[[#This Row],[INGRESOS]]-Tabla3[[#This Row],[EGRESOS]]</f>
        <v>10000000</v>
      </c>
      <c r="H26" s="137">
        <f>Tabla3[[#This Row],[SALDO]]+H25</f>
        <v>2314851.1899999995</v>
      </c>
      <c r="I26" s="119">
        <v>1140</v>
      </c>
      <c r="J26" s="99">
        <f>Tabla3[[#This Row],[EGRESOS]]/Tabla3[[#This Row],[TC]]</f>
        <v>0</v>
      </c>
      <c r="K26" s="99">
        <f>Tabla3[[#This Row],[INGRESOS]]/Tabla3[[#This Row],[TC]]</f>
        <v>8771.9298245614027</v>
      </c>
      <c r="L26" s="7" t="s">
        <v>376</v>
      </c>
      <c r="M26" s="7" t="s">
        <v>377</v>
      </c>
      <c r="N26" s="7" t="s">
        <v>25</v>
      </c>
      <c r="O26" s="7" t="s">
        <v>244</v>
      </c>
      <c r="P26" s="7" t="s">
        <v>259</v>
      </c>
      <c r="Q26" s="7" t="s">
        <v>260</v>
      </c>
      <c r="R26" s="7" t="s">
        <v>405</v>
      </c>
      <c r="U26" s="7" t="s">
        <v>379</v>
      </c>
      <c r="W26" s="7" t="s">
        <v>380</v>
      </c>
    </row>
    <row r="27" spans="1:25" s="7" customFormat="1" hidden="1" x14ac:dyDescent="0.25">
      <c r="A27" s="247" t="s">
        <v>311</v>
      </c>
      <c r="B27" s="248">
        <v>45686</v>
      </c>
      <c r="C27" s="244" t="s">
        <v>375</v>
      </c>
      <c r="D27" s="244"/>
      <c r="E27" s="253">
        <v>236100</v>
      </c>
      <c r="F27" s="249">
        <v>0</v>
      </c>
      <c r="G27" s="266">
        <f>Tabla3[[#This Row],[INGRESOS]]-Tabla3[[#This Row],[EGRESOS]]</f>
        <v>-236100</v>
      </c>
      <c r="H27" s="137">
        <f>Tabla3[[#This Row],[SALDO]]+H26</f>
        <v>2078751.1899999995</v>
      </c>
      <c r="I27" s="119">
        <v>1140</v>
      </c>
      <c r="J27" s="99">
        <f>Tabla3[[#This Row],[EGRESOS]]/Tabla3[[#This Row],[TC]]</f>
        <v>207.10526315789474</v>
      </c>
      <c r="K27" s="99">
        <f>Tabla3[[#This Row],[INGRESOS]]/Tabla3[[#This Row],[TC]]</f>
        <v>0</v>
      </c>
      <c r="L27" s="7" t="s">
        <v>376</v>
      </c>
      <c r="M27" s="7" t="s">
        <v>377</v>
      </c>
      <c r="N27" s="7" t="s">
        <v>25</v>
      </c>
      <c r="O27" s="7" t="s">
        <v>225</v>
      </c>
      <c r="P27" s="7" t="s">
        <v>236</v>
      </c>
      <c r="Q27" s="7" t="s">
        <v>33</v>
      </c>
      <c r="R27" s="7" t="s">
        <v>406</v>
      </c>
      <c r="S27" s="7" t="s">
        <v>407</v>
      </c>
      <c r="T27" s="7" t="s">
        <v>408</v>
      </c>
      <c r="U27" s="7" t="s">
        <v>398</v>
      </c>
      <c r="W27" s="7" t="s">
        <v>399</v>
      </c>
      <c r="X27" s="7" t="s">
        <v>29</v>
      </c>
      <c r="Y27" s="7" t="s">
        <v>23</v>
      </c>
    </row>
    <row r="28" spans="1:25" s="7" customFormat="1" hidden="1" x14ac:dyDescent="0.25">
      <c r="A28" s="247" t="s">
        <v>311</v>
      </c>
      <c r="B28" s="248">
        <v>45686</v>
      </c>
      <c r="C28" s="244" t="s">
        <v>375</v>
      </c>
      <c r="D28" s="244"/>
      <c r="E28" s="253">
        <v>750000</v>
      </c>
      <c r="F28" s="249">
        <v>0</v>
      </c>
      <c r="G28" s="266">
        <f>Tabla3[[#This Row],[INGRESOS]]-Tabla3[[#This Row],[EGRESOS]]</f>
        <v>-750000</v>
      </c>
      <c r="H28" s="137">
        <f>Tabla3[[#This Row],[SALDO]]+H27</f>
        <v>1328751.1899999995</v>
      </c>
      <c r="I28" s="119">
        <v>1140</v>
      </c>
      <c r="J28" s="99">
        <f>Tabla3[[#This Row],[EGRESOS]]/Tabla3[[#This Row],[TC]]</f>
        <v>657.89473684210532</v>
      </c>
      <c r="K28" s="99">
        <f>Tabla3[[#This Row],[INGRESOS]]/Tabla3[[#This Row],[TC]]</f>
        <v>0</v>
      </c>
      <c r="L28" s="7" t="s">
        <v>376</v>
      </c>
      <c r="M28" s="7" t="s">
        <v>377</v>
      </c>
      <c r="N28" s="7" t="s">
        <v>25</v>
      </c>
      <c r="O28" s="7" t="s">
        <v>225</v>
      </c>
      <c r="P28" s="7" t="s">
        <v>236</v>
      </c>
      <c r="Q28" s="7" t="s">
        <v>227</v>
      </c>
      <c r="R28" s="7" t="s">
        <v>409</v>
      </c>
      <c r="S28" s="7" t="s">
        <v>410</v>
      </c>
      <c r="T28" s="7" t="s">
        <v>411</v>
      </c>
      <c r="U28" s="7" t="s">
        <v>412</v>
      </c>
      <c r="W28" s="7" t="s">
        <v>380</v>
      </c>
      <c r="X28" s="7" t="s">
        <v>29</v>
      </c>
      <c r="Y28" s="7" t="s">
        <v>23</v>
      </c>
    </row>
    <row r="29" spans="1:25" s="7" customFormat="1" x14ac:dyDescent="0.25">
      <c r="A29" s="247" t="s">
        <v>311</v>
      </c>
      <c r="B29" s="248">
        <v>45686</v>
      </c>
      <c r="C29" s="244" t="s">
        <v>375</v>
      </c>
      <c r="D29" s="244"/>
      <c r="E29" s="253">
        <v>1000000</v>
      </c>
      <c r="F29" s="249">
        <v>0</v>
      </c>
      <c r="G29" s="266">
        <f>Tabla3[[#This Row],[INGRESOS]]-Tabla3[[#This Row],[EGRESOS]]</f>
        <v>-1000000</v>
      </c>
      <c r="H29" s="137">
        <f>Tabla3[[#This Row],[SALDO]]+H28</f>
        <v>328751.18999999948</v>
      </c>
      <c r="I29" s="119">
        <v>1140</v>
      </c>
      <c r="J29" s="99">
        <f>Tabla3[[#This Row],[EGRESOS]]/Tabla3[[#This Row],[TC]]</f>
        <v>877.19298245614038</v>
      </c>
      <c r="K29" s="99">
        <f>Tabla3[[#This Row],[INGRESOS]]/Tabla3[[#This Row],[TC]]</f>
        <v>0</v>
      </c>
      <c r="L29" s="7" t="s">
        <v>376</v>
      </c>
      <c r="M29" s="7" t="s">
        <v>377</v>
      </c>
      <c r="N29" s="7" t="s">
        <v>25</v>
      </c>
      <c r="O29" s="7" t="s">
        <v>184</v>
      </c>
      <c r="P29" s="7" t="s">
        <v>203</v>
      </c>
      <c r="Q29" s="7" t="s">
        <v>208</v>
      </c>
      <c r="R29" s="7" t="s">
        <v>413</v>
      </c>
      <c r="S29" s="8" t="s">
        <v>414</v>
      </c>
      <c r="U29" s="7" t="s">
        <v>387</v>
      </c>
      <c r="V29" s="7" t="s">
        <v>415</v>
      </c>
      <c r="W29" s="7" t="s">
        <v>380</v>
      </c>
      <c r="X29" s="7" t="s">
        <v>102</v>
      </c>
      <c r="Y29" s="7" t="s">
        <v>23</v>
      </c>
    </row>
    <row r="30" spans="1:25" s="7" customFormat="1" x14ac:dyDescent="0.25">
      <c r="A30" s="247" t="s">
        <v>311</v>
      </c>
      <c r="B30" s="248">
        <v>45686</v>
      </c>
      <c r="C30" s="244" t="s">
        <v>381</v>
      </c>
      <c r="D30" s="244"/>
      <c r="E30" s="253">
        <v>11916.6</v>
      </c>
      <c r="F30" s="249">
        <v>0</v>
      </c>
      <c r="G30" s="266">
        <f>Tabla3[[#This Row],[INGRESOS]]-Tabla3[[#This Row],[EGRESOS]]</f>
        <v>-11916.6</v>
      </c>
      <c r="H30" s="137">
        <f>Tabla3[[#This Row],[SALDO]]+H29</f>
        <v>316834.5899999995</v>
      </c>
      <c r="I30" s="119">
        <v>1140</v>
      </c>
      <c r="J30" s="99">
        <f>Tabla3[[#This Row],[EGRESOS]]/Tabla3[[#This Row],[TC]]</f>
        <v>10.453157894736842</v>
      </c>
      <c r="K30" s="99">
        <f>Tabla3[[#This Row],[INGRESOS]]/Tabla3[[#This Row],[TC]]</f>
        <v>0</v>
      </c>
      <c r="L30" s="7" t="s">
        <v>376</v>
      </c>
      <c r="M30" s="7" t="s">
        <v>377</v>
      </c>
      <c r="N30" s="7" t="s">
        <v>25</v>
      </c>
      <c r="O30" s="7" t="s">
        <v>184</v>
      </c>
      <c r="P30" s="7" t="s">
        <v>195</v>
      </c>
      <c r="Q30" s="7" t="s">
        <v>196</v>
      </c>
      <c r="R30" s="7" t="s">
        <v>394</v>
      </c>
      <c r="S30" s="7" t="s">
        <v>383</v>
      </c>
      <c r="U30" s="7" t="s">
        <v>384</v>
      </c>
      <c r="W30" s="7" t="s">
        <v>380</v>
      </c>
      <c r="X30" s="7" t="s">
        <v>99</v>
      </c>
      <c r="Y30" s="7" t="s">
        <v>23</v>
      </c>
    </row>
    <row r="31" spans="1:25" s="7" customFormat="1" x14ac:dyDescent="0.25">
      <c r="A31" s="247" t="s">
        <v>311</v>
      </c>
      <c r="B31" s="248">
        <v>45688</v>
      </c>
      <c r="C31" s="244" t="s">
        <v>416</v>
      </c>
      <c r="D31" s="244"/>
      <c r="E31" s="253">
        <v>2827.37</v>
      </c>
      <c r="F31" s="249">
        <v>0</v>
      </c>
      <c r="G31" s="266">
        <f>Tabla3[[#This Row],[INGRESOS]]-Tabla3[[#This Row],[EGRESOS]]</f>
        <v>-2827.37</v>
      </c>
      <c r="H31" s="137">
        <f>Tabla3[[#This Row],[SALDO]]+H30</f>
        <v>314007.21999999951</v>
      </c>
      <c r="I31" s="119">
        <v>1140</v>
      </c>
      <c r="J31" s="99">
        <f>Tabla3[[#This Row],[EGRESOS]]/Tabla3[[#This Row],[TC]]</f>
        <v>2.4801491228070174</v>
      </c>
      <c r="K31" s="99">
        <f>Tabla3[[#This Row],[INGRESOS]]/Tabla3[[#This Row],[TC]]</f>
        <v>0</v>
      </c>
      <c r="L31" s="7" t="s">
        <v>376</v>
      </c>
      <c r="M31" s="7" t="s">
        <v>377</v>
      </c>
      <c r="N31" s="7" t="s">
        <v>25</v>
      </c>
      <c r="O31" s="7" t="s">
        <v>184</v>
      </c>
      <c r="P31" s="7" t="s">
        <v>195</v>
      </c>
      <c r="Q31" s="7" t="s">
        <v>196</v>
      </c>
      <c r="R31" s="7" t="s">
        <v>417</v>
      </c>
      <c r="S31" s="7" t="s">
        <v>383</v>
      </c>
      <c r="U31" s="7" t="s">
        <v>384</v>
      </c>
      <c r="W31" s="7" t="s">
        <v>380</v>
      </c>
      <c r="X31" s="7" t="s">
        <v>99</v>
      </c>
      <c r="Y31" s="7" t="s">
        <v>23</v>
      </c>
    </row>
    <row r="32" spans="1:25" s="7" customFormat="1" x14ac:dyDescent="0.25">
      <c r="A32" s="247" t="s">
        <v>311</v>
      </c>
      <c r="B32" s="248">
        <v>45688</v>
      </c>
      <c r="C32" s="244" t="s">
        <v>418</v>
      </c>
      <c r="D32" s="244"/>
      <c r="E32" s="253">
        <v>188491.31</v>
      </c>
      <c r="F32" s="249">
        <v>0</v>
      </c>
      <c r="G32" s="266">
        <f>Tabla3[[#This Row],[INGRESOS]]-Tabla3[[#This Row],[EGRESOS]]</f>
        <v>-188491.31</v>
      </c>
      <c r="H32" s="137">
        <f>Tabla3[[#This Row],[SALDO]]+H31</f>
        <v>125515.90999999951</v>
      </c>
      <c r="I32" s="119">
        <v>1140</v>
      </c>
      <c r="J32" s="99">
        <f>Tabla3[[#This Row],[EGRESOS]]/Tabla3[[#This Row],[TC]]</f>
        <v>165.34325438596491</v>
      </c>
      <c r="K32" s="99">
        <f>Tabla3[[#This Row],[INGRESOS]]/Tabla3[[#This Row],[TC]]</f>
        <v>0</v>
      </c>
      <c r="L32" s="7" t="s">
        <v>376</v>
      </c>
      <c r="M32" s="7" t="s">
        <v>377</v>
      </c>
      <c r="N32" s="7" t="s">
        <v>25</v>
      </c>
      <c r="O32" s="7" t="s">
        <v>184</v>
      </c>
      <c r="P32" s="7" t="s">
        <v>197</v>
      </c>
      <c r="Q32" s="7" t="s">
        <v>198</v>
      </c>
      <c r="R32" s="7" t="s">
        <v>419</v>
      </c>
      <c r="U32" s="7" t="s">
        <v>384</v>
      </c>
      <c r="W32" s="7" t="s">
        <v>380</v>
      </c>
      <c r="X32" s="7" t="s">
        <v>99</v>
      </c>
      <c r="Y32" s="7" t="s">
        <v>23</v>
      </c>
    </row>
    <row r="33" spans="1:25" s="7" customFormat="1" x14ac:dyDescent="0.25">
      <c r="A33" s="247" t="s">
        <v>311</v>
      </c>
      <c r="B33" s="248">
        <v>45688</v>
      </c>
      <c r="C33" s="244" t="s">
        <v>381</v>
      </c>
      <c r="D33" s="244"/>
      <c r="E33" s="253">
        <v>1528.72</v>
      </c>
      <c r="F33" s="249">
        <v>0</v>
      </c>
      <c r="G33" s="266">
        <f>Tabla3[[#This Row],[INGRESOS]]-Tabla3[[#This Row],[EGRESOS]]</f>
        <v>-1528.72</v>
      </c>
      <c r="H33" s="137">
        <f>Tabla3[[#This Row],[SALDO]]+H32</f>
        <v>123987.18999999951</v>
      </c>
      <c r="I33" s="119">
        <v>1140</v>
      </c>
      <c r="J33" s="99">
        <f>Tabla3[[#This Row],[EGRESOS]]/Tabla3[[#This Row],[TC]]</f>
        <v>1.3409824561403509</v>
      </c>
      <c r="K33" s="99">
        <f>Tabla3[[#This Row],[INGRESOS]]/Tabla3[[#This Row],[TC]]</f>
        <v>0</v>
      </c>
      <c r="L33" s="7" t="s">
        <v>376</v>
      </c>
      <c r="M33" s="7" t="s">
        <v>377</v>
      </c>
      <c r="N33" s="7" t="s">
        <v>25</v>
      </c>
      <c r="O33" s="7" t="s">
        <v>184</v>
      </c>
      <c r="P33" s="7" t="s">
        <v>195</v>
      </c>
      <c r="Q33" s="7" t="s">
        <v>196</v>
      </c>
      <c r="R33" s="7" t="s">
        <v>382</v>
      </c>
      <c r="S33" s="7" t="s">
        <v>383</v>
      </c>
      <c r="U33" s="7" t="s">
        <v>384</v>
      </c>
      <c r="W33" s="7" t="s">
        <v>380</v>
      </c>
      <c r="X33" s="7" t="s">
        <v>99</v>
      </c>
      <c r="Y33" s="7" t="s">
        <v>23</v>
      </c>
    </row>
    <row r="34" spans="1:25" s="7" customFormat="1" x14ac:dyDescent="0.25">
      <c r="A34" s="247" t="s">
        <v>311</v>
      </c>
      <c r="B34" s="248">
        <v>45688</v>
      </c>
      <c r="C34" s="244" t="s">
        <v>420</v>
      </c>
      <c r="D34" s="244"/>
      <c r="E34" s="253">
        <v>19791.59</v>
      </c>
      <c r="F34" s="249">
        <v>0</v>
      </c>
      <c r="G34" s="266">
        <f>Tabla3[[#This Row],[INGRESOS]]-Tabla3[[#This Row],[EGRESOS]]</f>
        <v>-19791.59</v>
      </c>
      <c r="H34" s="137">
        <f>Tabla3[[#This Row],[SALDO]]+H33</f>
        <v>104195.59999999951</v>
      </c>
      <c r="I34" s="119">
        <v>1140</v>
      </c>
      <c r="J34" s="99">
        <f>Tabla3[[#This Row],[EGRESOS]]/Tabla3[[#This Row],[TC]]</f>
        <v>17.361043859649122</v>
      </c>
      <c r="K34" s="99">
        <f>Tabla3[[#This Row],[INGRESOS]]/Tabla3[[#This Row],[TC]]</f>
        <v>0</v>
      </c>
      <c r="L34" s="7" t="s">
        <v>376</v>
      </c>
      <c r="M34" s="7" t="s">
        <v>377</v>
      </c>
      <c r="N34" s="7" t="s">
        <v>25</v>
      </c>
      <c r="O34" s="7" t="s">
        <v>184</v>
      </c>
      <c r="P34" s="7" t="s">
        <v>195</v>
      </c>
      <c r="Q34" s="7" t="s">
        <v>196</v>
      </c>
      <c r="R34" s="7" t="s">
        <v>421</v>
      </c>
      <c r="S34" s="7" t="s">
        <v>383</v>
      </c>
      <c r="U34" s="7" t="s">
        <v>384</v>
      </c>
      <c r="W34" s="7" t="s">
        <v>380</v>
      </c>
      <c r="X34" s="7" t="s">
        <v>99</v>
      </c>
      <c r="Y34" s="7" t="s">
        <v>23</v>
      </c>
    </row>
    <row r="35" spans="1:25" s="7" customFormat="1" x14ac:dyDescent="0.25">
      <c r="A35" s="247" t="s">
        <v>311</v>
      </c>
      <c r="B35" s="248">
        <v>45688</v>
      </c>
      <c r="C35" s="244" t="s">
        <v>273</v>
      </c>
      <c r="D35" s="244"/>
      <c r="E35" s="253">
        <v>6615</v>
      </c>
      <c r="F35" s="249">
        <v>0</v>
      </c>
      <c r="G35" s="266">
        <f>Tabla3[[#This Row],[INGRESOS]]-Tabla3[[#This Row],[EGRESOS]]</f>
        <v>-6615</v>
      </c>
      <c r="H35" s="137">
        <f>Tabla3[[#This Row],[SALDO]]+H34</f>
        <v>97580.599999999511</v>
      </c>
      <c r="I35" s="119">
        <v>1140</v>
      </c>
      <c r="J35" s="99">
        <f>Tabla3[[#This Row],[EGRESOS]]/Tabla3[[#This Row],[TC]]</f>
        <v>5.8026315789473681</v>
      </c>
      <c r="K35" s="99">
        <f>Tabla3[[#This Row],[INGRESOS]]/Tabla3[[#This Row],[TC]]</f>
        <v>0</v>
      </c>
      <c r="L35" s="7" t="s">
        <v>376</v>
      </c>
      <c r="M35" s="7" t="s">
        <v>377</v>
      </c>
      <c r="N35" s="7" t="s">
        <v>25</v>
      </c>
      <c r="O35" s="7" t="s">
        <v>184</v>
      </c>
      <c r="P35" s="7" t="s">
        <v>195</v>
      </c>
      <c r="Q35" s="7" t="s">
        <v>196</v>
      </c>
      <c r="R35" s="7" t="s">
        <v>382</v>
      </c>
      <c r="S35" s="7" t="s">
        <v>383</v>
      </c>
      <c r="U35" s="7" t="s">
        <v>384</v>
      </c>
      <c r="W35" s="7" t="s">
        <v>380</v>
      </c>
      <c r="X35" s="7" t="s">
        <v>99</v>
      </c>
      <c r="Y35" s="7" t="s">
        <v>23</v>
      </c>
    </row>
    <row r="36" spans="1:25" s="7" customFormat="1" x14ac:dyDescent="0.25">
      <c r="A36" s="247" t="s">
        <v>311</v>
      </c>
      <c r="B36" s="248">
        <v>45688</v>
      </c>
      <c r="C36" s="244" t="s">
        <v>422</v>
      </c>
      <c r="D36" s="244"/>
      <c r="E36" s="253">
        <v>4616.1000000000004</v>
      </c>
      <c r="F36" s="249">
        <v>0</v>
      </c>
      <c r="G36" s="266">
        <f>Tabla3[[#This Row],[INGRESOS]]-Tabla3[[#This Row],[EGRESOS]]</f>
        <v>-4616.1000000000004</v>
      </c>
      <c r="H36" s="137">
        <f>Tabla3[[#This Row],[SALDO]]+H35</f>
        <v>92964.499999999505</v>
      </c>
      <c r="I36" s="119">
        <v>1140</v>
      </c>
      <c r="J36" s="99">
        <f>Tabla3[[#This Row],[EGRESOS]]/Tabla3[[#This Row],[TC]]</f>
        <v>4.0492105263157896</v>
      </c>
      <c r="K36" s="99">
        <f>Tabla3[[#This Row],[INGRESOS]]/Tabla3[[#This Row],[TC]]</f>
        <v>0</v>
      </c>
      <c r="L36" s="7" t="s">
        <v>376</v>
      </c>
      <c r="M36" s="7" t="s">
        <v>377</v>
      </c>
      <c r="N36" s="7" t="s">
        <v>25</v>
      </c>
      <c r="O36" s="7" t="s">
        <v>184</v>
      </c>
      <c r="P36" s="7" t="s">
        <v>195</v>
      </c>
      <c r="Q36" s="7" t="s">
        <v>196</v>
      </c>
      <c r="R36" s="7" t="s">
        <v>423</v>
      </c>
      <c r="S36" s="7" t="s">
        <v>69</v>
      </c>
      <c r="U36" s="7" t="s">
        <v>384</v>
      </c>
      <c r="W36" s="7" t="s">
        <v>380</v>
      </c>
      <c r="X36" s="7" t="s">
        <v>99</v>
      </c>
      <c r="Y36" s="7" t="s">
        <v>23</v>
      </c>
    </row>
    <row r="37" spans="1:25" s="7" customFormat="1" x14ac:dyDescent="0.25">
      <c r="A37" s="247" t="s">
        <v>311</v>
      </c>
      <c r="B37" s="248">
        <v>45688</v>
      </c>
      <c r="C37" s="244" t="s">
        <v>424</v>
      </c>
      <c r="D37" s="244"/>
      <c r="E37" s="253">
        <v>31500</v>
      </c>
      <c r="F37" s="249">
        <v>0</v>
      </c>
      <c r="G37" s="266">
        <f>Tabla3[[#This Row],[INGRESOS]]-Tabla3[[#This Row],[EGRESOS]]</f>
        <v>-31500</v>
      </c>
      <c r="H37" s="137">
        <f>Tabla3[[#This Row],[SALDO]]+H36</f>
        <v>61464.499999999505</v>
      </c>
      <c r="I37" s="119">
        <v>1140</v>
      </c>
      <c r="J37" s="99">
        <f>Tabla3[[#This Row],[EGRESOS]]/Tabla3[[#This Row],[TC]]</f>
        <v>27.631578947368421</v>
      </c>
      <c r="K37" s="99">
        <f>Tabla3[[#This Row],[INGRESOS]]/Tabla3[[#This Row],[TC]]</f>
        <v>0</v>
      </c>
      <c r="L37" s="7" t="s">
        <v>376</v>
      </c>
      <c r="M37" s="7" t="s">
        <v>377</v>
      </c>
      <c r="N37" s="7" t="s">
        <v>25</v>
      </c>
      <c r="O37" s="7" t="s">
        <v>184</v>
      </c>
      <c r="P37" s="7" t="s">
        <v>185</v>
      </c>
      <c r="Q37" s="7" t="s">
        <v>186</v>
      </c>
      <c r="R37" s="7" t="s">
        <v>227</v>
      </c>
      <c r="U37" s="7" t="s">
        <v>384</v>
      </c>
      <c r="W37" s="7" t="s">
        <v>380</v>
      </c>
      <c r="X37" s="7" t="s">
        <v>99</v>
      </c>
      <c r="Y37" s="7" t="s">
        <v>23</v>
      </c>
    </row>
    <row r="38" spans="1:25" s="7" customFormat="1" x14ac:dyDescent="0.25">
      <c r="A38" s="247" t="s">
        <v>311</v>
      </c>
      <c r="B38" s="248">
        <v>45688</v>
      </c>
      <c r="C38" s="244" t="s">
        <v>417</v>
      </c>
      <c r="D38" s="244"/>
      <c r="E38" s="253">
        <v>945</v>
      </c>
      <c r="F38" s="249">
        <v>0</v>
      </c>
      <c r="G38" s="266">
        <f>Tabla3[[#This Row],[INGRESOS]]-Tabla3[[#This Row],[EGRESOS]]</f>
        <v>-945</v>
      </c>
      <c r="H38" s="137">
        <f>Tabla3[[#This Row],[SALDO]]+H37</f>
        <v>60519.499999999505</v>
      </c>
      <c r="I38" s="119">
        <v>1140</v>
      </c>
      <c r="J38" s="99">
        <f>Tabla3[[#This Row],[EGRESOS]]/Tabla3[[#This Row],[TC]]</f>
        <v>0.82894736842105265</v>
      </c>
      <c r="K38" s="99">
        <f>Tabla3[[#This Row],[INGRESOS]]/Tabla3[[#This Row],[TC]]</f>
        <v>0</v>
      </c>
      <c r="L38" s="7" t="s">
        <v>376</v>
      </c>
      <c r="M38" s="7" t="s">
        <v>377</v>
      </c>
      <c r="N38" s="7" t="s">
        <v>25</v>
      </c>
      <c r="O38" s="7" t="s">
        <v>184</v>
      </c>
      <c r="P38" s="7" t="s">
        <v>195</v>
      </c>
      <c r="Q38" s="7" t="s">
        <v>196</v>
      </c>
      <c r="R38" s="7" t="s">
        <v>417</v>
      </c>
      <c r="S38" s="7" t="s">
        <v>383</v>
      </c>
      <c r="U38" s="7" t="s">
        <v>384</v>
      </c>
      <c r="W38" s="7" t="s">
        <v>380</v>
      </c>
      <c r="X38" s="7" t="s">
        <v>99</v>
      </c>
      <c r="Y38" s="7" t="s">
        <v>23</v>
      </c>
    </row>
    <row r="39" spans="1:25" s="7" customFormat="1" hidden="1" x14ac:dyDescent="0.25">
      <c r="A39" s="247" t="s">
        <v>312</v>
      </c>
      <c r="B39" s="248">
        <v>45693</v>
      </c>
      <c r="C39" s="244" t="s">
        <v>381</v>
      </c>
      <c r="D39" s="244"/>
      <c r="E39" s="253">
        <v>2681.47</v>
      </c>
      <c r="F39" s="249">
        <v>0</v>
      </c>
      <c r="G39" s="266">
        <f>Tabla3[[#This Row],[INGRESOS]]-Tabla3[[#This Row],[EGRESOS]]</f>
        <v>-2681.47</v>
      </c>
      <c r="H39" s="137">
        <f>Tabla3[[#This Row],[SALDO]]+H38</f>
        <v>57838.029999999504</v>
      </c>
      <c r="I39" s="119">
        <v>1140</v>
      </c>
      <c r="J39" s="99">
        <f>Tabla3[[#This Row],[EGRESOS]]/Tabla3[[#This Row],[TC]]</f>
        <v>2.3521666666666663</v>
      </c>
      <c r="K39" s="99">
        <f>Tabla3[[#This Row],[INGRESOS]]/Tabla3[[#This Row],[TC]]</f>
        <v>0</v>
      </c>
      <c r="L39" s="7" t="s">
        <v>376</v>
      </c>
      <c r="M39" s="7" t="s">
        <v>377</v>
      </c>
      <c r="N39" s="7" t="s">
        <v>25</v>
      </c>
      <c r="O39" s="7" t="s">
        <v>184</v>
      </c>
      <c r="P39" s="7" t="s">
        <v>195</v>
      </c>
      <c r="Q39" s="7" t="s">
        <v>196</v>
      </c>
      <c r="R39" s="7" t="s">
        <v>382</v>
      </c>
      <c r="S39" s="7" t="s">
        <v>383</v>
      </c>
      <c r="U39" s="7" t="s">
        <v>384</v>
      </c>
      <c r="W39" s="7" t="s">
        <v>380</v>
      </c>
      <c r="X39" s="7" t="s">
        <v>99</v>
      </c>
      <c r="Y39" s="7" t="s">
        <v>23</v>
      </c>
    </row>
    <row r="40" spans="1:25" s="7" customFormat="1" hidden="1" x14ac:dyDescent="0.25">
      <c r="A40" s="247" t="s">
        <v>312</v>
      </c>
      <c r="B40" s="248">
        <v>45693</v>
      </c>
      <c r="C40" s="244" t="s">
        <v>375</v>
      </c>
      <c r="D40" s="244"/>
      <c r="E40" s="253">
        <v>446912.35</v>
      </c>
      <c r="F40" s="249">
        <v>0</v>
      </c>
      <c r="G40" s="266">
        <f>Tabla3[[#This Row],[INGRESOS]]-Tabla3[[#This Row],[EGRESOS]]</f>
        <v>-446912.35</v>
      </c>
      <c r="H40" s="137">
        <f>Tabla3[[#This Row],[SALDO]]+H39</f>
        <v>-389074.32000000047</v>
      </c>
      <c r="I40" s="119">
        <v>1140</v>
      </c>
      <c r="J40" s="99">
        <f>Tabla3[[#This Row],[EGRESOS]]/Tabla3[[#This Row],[TC]]</f>
        <v>392.02837719298242</v>
      </c>
      <c r="K40" s="99">
        <f>Tabla3[[#This Row],[INGRESOS]]/Tabla3[[#This Row],[TC]]</f>
        <v>0</v>
      </c>
      <c r="L40" s="7" t="s">
        <v>376</v>
      </c>
      <c r="M40" s="7" t="s">
        <v>377</v>
      </c>
      <c r="N40" s="7" t="s">
        <v>25</v>
      </c>
      <c r="O40" s="7" t="s">
        <v>184</v>
      </c>
      <c r="P40" s="7" t="s">
        <v>199</v>
      </c>
      <c r="Q40" s="7" t="s">
        <v>201</v>
      </c>
      <c r="R40" s="7" t="s">
        <v>425</v>
      </c>
      <c r="S40" s="7" t="s">
        <v>392</v>
      </c>
      <c r="U40" s="7" t="s">
        <v>390</v>
      </c>
      <c r="W40" s="7" t="s">
        <v>380</v>
      </c>
      <c r="X40" s="7" t="s">
        <v>99</v>
      </c>
      <c r="Y40" s="7" t="s">
        <v>23</v>
      </c>
    </row>
    <row r="41" spans="1:25" s="7" customFormat="1" hidden="1" x14ac:dyDescent="0.25">
      <c r="A41" s="247" t="s">
        <v>312</v>
      </c>
      <c r="B41" s="248">
        <v>45698</v>
      </c>
      <c r="C41" s="244" t="s">
        <v>381</v>
      </c>
      <c r="D41" s="244"/>
      <c r="E41" s="253">
        <v>1566.61</v>
      </c>
      <c r="F41" s="249">
        <v>0</v>
      </c>
      <c r="G41" s="266">
        <f>Tabla3[[#This Row],[INGRESOS]]-Tabla3[[#This Row],[EGRESOS]]</f>
        <v>-1566.61</v>
      </c>
      <c r="H41" s="137">
        <f>Tabla3[[#This Row],[SALDO]]+H40</f>
        <v>-390640.93000000046</v>
      </c>
      <c r="I41" s="119">
        <v>1140</v>
      </c>
      <c r="J41" s="99">
        <f>Tabla3[[#This Row],[EGRESOS]]/Tabla3[[#This Row],[TC]]</f>
        <v>1.3742192982456138</v>
      </c>
      <c r="K41" s="99">
        <f>Tabla3[[#This Row],[INGRESOS]]/Tabla3[[#This Row],[TC]]</f>
        <v>0</v>
      </c>
      <c r="L41" s="7" t="s">
        <v>376</v>
      </c>
      <c r="M41" s="7" t="s">
        <v>377</v>
      </c>
      <c r="N41" s="7" t="s">
        <v>25</v>
      </c>
      <c r="O41" s="7" t="s">
        <v>184</v>
      </c>
      <c r="P41" s="7" t="s">
        <v>195</v>
      </c>
      <c r="Q41" s="7" t="s">
        <v>196</v>
      </c>
      <c r="R41" s="7" t="s">
        <v>382</v>
      </c>
      <c r="S41" s="7" t="s">
        <v>383</v>
      </c>
      <c r="U41" s="7" t="s">
        <v>384</v>
      </c>
      <c r="W41" s="7" t="s">
        <v>380</v>
      </c>
      <c r="X41" s="7" t="s">
        <v>99</v>
      </c>
      <c r="Y41" s="7" t="s">
        <v>23</v>
      </c>
    </row>
    <row r="42" spans="1:25" s="7" customFormat="1" hidden="1" x14ac:dyDescent="0.25">
      <c r="A42" s="247" t="s">
        <v>312</v>
      </c>
      <c r="B42" s="248">
        <v>45698</v>
      </c>
      <c r="C42" s="244" t="s">
        <v>375</v>
      </c>
      <c r="D42" s="244"/>
      <c r="E42" s="253">
        <v>3000000</v>
      </c>
      <c r="F42" s="249">
        <v>0</v>
      </c>
      <c r="G42" s="266">
        <f>Tabla3[[#This Row],[INGRESOS]]-Tabla3[[#This Row],[EGRESOS]]</f>
        <v>-3000000</v>
      </c>
      <c r="H42" s="137">
        <f>Tabla3[[#This Row],[SALDO]]+H41</f>
        <v>-3390640.9300000006</v>
      </c>
      <c r="I42" s="119">
        <v>1140</v>
      </c>
      <c r="J42" s="99">
        <f>Tabla3[[#This Row],[EGRESOS]]/Tabla3[[#This Row],[TC]]</f>
        <v>2631.5789473684213</v>
      </c>
      <c r="K42" s="99">
        <f>Tabla3[[#This Row],[INGRESOS]]/Tabla3[[#This Row],[TC]]</f>
        <v>0</v>
      </c>
      <c r="L42" s="7" t="s">
        <v>376</v>
      </c>
      <c r="M42" s="7" t="s">
        <v>377</v>
      </c>
      <c r="N42" s="7" t="s">
        <v>25</v>
      </c>
      <c r="O42" s="7" t="s">
        <v>244</v>
      </c>
      <c r="P42" s="7" t="s">
        <v>259</v>
      </c>
      <c r="Q42" s="7" t="s">
        <v>260</v>
      </c>
      <c r="U42" s="7" t="s">
        <v>379</v>
      </c>
      <c r="W42" s="7" t="s">
        <v>380</v>
      </c>
    </row>
    <row r="43" spans="1:25" s="7" customFormat="1" hidden="1" x14ac:dyDescent="0.25">
      <c r="A43" s="247" t="s">
        <v>312</v>
      </c>
      <c r="B43" s="248">
        <v>45698</v>
      </c>
      <c r="C43" s="244" t="s">
        <v>375</v>
      </c>
      <c r="D43" s="244"/>
      <c r="E43" s="253">
        <v>3100</v>
      </c>
      <c r="F43" s="249">
        <v>0</v>
      </c>
      <c r="G43" s="266">
        <f>Tabla3[[#This Row],[INGRESOS]]-Tabla3[[#This Row],[EGRESOS]]</f>
        <v>-3100</v>
      </c>
      <c r="H43" s="137">
        <f>Tabla3[[#This Row],[SALDO]]+H42</f>
        <v>-3393740.9300000006</v>
      </c>
      <c r="I43" s="119">
        <v>1140</v>
      </c>
      <c r="J43" s="99">
        <f>Tabla3[[#This Row],[EGRESOS]]/Tabla3[[#This Row],[TC]]</f>
        <v>2.7192982456140351</v>
      </c>
      <c r="K43" s="99">
        <f>Tabla3[[#This Row],[INGRESOS]]/Tabla3[[#This Row],[TC]]</f>
        <v>0</v>
      </c>
      <c r="L43" s="7" t="s">
        <v>376</v>
      </c>
      <c r="M43" s="7" t="s">
        <v>377</v>
      </c>
      <c r="N43" s="7" t="s">
        <v>25</v>
      </c>
      <c r="O43" s="7" t="s">
        <v>184</v>
      </c>
      <c r="P43" s="7" t="s">
        <v>199</v>
      </c>
      <c r="Q43" s="7" t="s">
        <v>202</v>
      </c>
      <c r="R43" s="7" t="s">
        <v>426</v>
      </c>
      <c r="S43" s="7" t="s">
        <v>427</v>
      </c>
      <c r="U43" s="7" t="s">
        <v>390</v>
      </c>
      <c r="W43" s="7" t="s">
        <v>380</v>
      </c>
      <c r="X43" s="7" t="s">
        <v>99</v>
      </c>
      <c r="Y43" s="7" t="s">
        <v>23</v>
      </c>
    </row>
    <row r="44" spans="1:25" s="7" customFormat="1" hidden="1" x14ac:dyDescent="0.25">
      <c r="A44" s="247" t="s">
        <v>312</v>
      </c>
      <c r="B44" s="248">
        <v>45698</v>
      </c>
      <c r="C44" s="244" t="s">
        <v>375</v>
      </c>
      <c r="D44" s="244"/>
      <c r="E44" s="253">
        <v>80000</v>
      </c>
      <c r="F44" s="249">
        <v>0</v>
      </c>
      <c r="G44" s="266">
        <f>Tabla3[[#This Row],[INGRESOS]]-Tabla3[[#This Row],[EGRESOS]]</f>
        <v>-80000</v>
      </c>
      <c r="H44" s="137">
        <f>Tabla3[[#This Row],[SALDO]]+H43</f>
        <v>-3473740.9300000006</v>
      </c>
      <c r="I44" s="119">
        <v>1140</v>
      </c>
      <c r="J44" s="99">
        <f>Tabla3[[#This Row],[EGRESOS]]/Tabla3[[#This Row],[TC]]</f>
        <v>70.175438596491233</v>
      </c>
      <c r="K44" s="99">
        <f>Tabla3[[#This Row],[INGRESOS]]/Tabla3[[#This Row],[TC]]</f>
        <v>0</v>
      </c>
      <c r="L44" s="7" t="s">
        <v>376</v>
      </c>
      <c r="M44" s="7" t="s">
        <v>377</v>
      </c>
      <c r="N44" s="7" t="s">
        <v>25</v>
      </c>
      <c r="O44" s="7" t="s">
        <v>225</v>
      </c>
      <c r="P44" s="7" t="s">
        <v>233</v>
      </c>
      <c r="Q44" s="7" t="s">
        <v>234</v>
      </c>
      <c r="R44" s="7" t="s">
        <v>428</v>
      </c>
      <c r="U44" s="7" t="s">
        <v>429</v>
      </c>
      <c r="W44" s="7" t="s">
        <v>399</v>
      </c>
      <c r="X44" s="7" t="s">
        <v>99</v>
      </c>
      <c r="Y44" s="7" t="s">
        <v>23</v>
      </c>
    </row>
    <row r="45" spans="1:25" s="7" customFormat="1" hidden="1" x14ac:dyDescent="0.25">
      <c r="A45" s="247" t="s">
        <v>312</v>
      </c>
      <c r="B45" s="248">
        <v>45698</v>
      </c>
      <c r="C45" s="244" t="s">
        <v>375</v>
      </c>
      <c r="D45" s="244"/>
      <c r="E45" s="253">
        <v>40000</v>
      </c>
      <c r="F45" s="249">
        <v>0</v>
      </c>
      <c r="G45" s="266">
        <f>Tabla3[[#This Row],[INGRESOS]]-Tabla3[[#This Row],[EGRESOS]]</f>
        <v>-40000</v>
      </c>
      <c r="H45" s="137">
        <f>Tabla3[[#This Row],[SALDO]]+H44</f>
        <v>-3513740.9300000006</v>
      </c>
      <c r="I45" s="119">
        <v>1140</v>
      </c>
      <c r="J45" s="99">
        <f>Tabla3[[#This Row],[EGRESOS]]/Tabla3[[#This Row],[TC]]</f>
        <v>35.087719298245617</v>
      </c>
      <c r="K45" s="99">
        <f>Tabla3[[#This Row],[INGRESOS]]/Tabla3[[#This Row],[TC]]</f>
        <v>0</v>
      </c>
      <c r="L45" s="7" t="s">
        <v>376</v>
      </c>
      <c r="M45" s="7" t="s">
        <v>377</v>
      </c>
      <c r="N45" s="7" t="s">
        <v>25</v>
      </c>
      <c r="O45" s="7" t="s">
        <v>225</v>
      </c>
      <c r="P45" s="7" t="s">
        <v>233</v>
      </c>
      <c r="Q45" s="7" t="s">
        <v>234</v>
      </c>
      <c r="R45" s="7" t="s">
        <v>430</v>
      </c>
      <c r="U45" s="7" t="s">
        <v>403</v>
      </c>
      <c r="W45" s="7" t="s">
        <v>380</v>
      </c>
      <c r="X45" s="7" t="s">
        <v>29</v>
      </c>
      <c r="Y45" s="7" t="s">
        <v>23</v>
      </c>
    </row>
    <row r="46" spans="1:25" s="7" customFormat="1" hidden="1" x14ac:dyDescent="0.25">
      <c r="A46" s="247" t="s">
        <v>312</v>
      </c>
      <c r="B46" s="248">
        <v>45698</v>
      </c>
      <c r="C46" s="244" t="s">
        <v>375</v>
      </c>
      <c r="D46" s="244"/>
      <c r="E46" s="253">
        <v>30000</v>
      </c>
      <c r="F46" s="249">
        <v>0</v>
      </c>
      <c r="G46" s="266">
        <f>Tabla3[[#This Row],[INGRESOS]]-Tabla3[[#This Row],[EGRESOS]]</f>
        <v>-30000</v>
      </c>
      <c r="H46" s="137">
        <f>Tabla3[[#This Row],[SALDO]]+H45</f>
        <v>-3543740.9300000006</v>
      </c>
      <c r="I46" s="119">
        <v>1140</v>
      </c>
      <c r="J46" s="99">
        <f>Tabla3[[#This Row],[EGRESOS]]/Tabla3[[#This Row],[TC]]</f>
        <v>26.315789473684209</v>
      </c>
      <c r="K46" s="99">
        <f>Tabla3[[#This Row],[INGRESOS]]/Tabla3[[#This Row],[TC]]</f>
        <v>0</v>
      </c>
      <c r="L46" s="7" t="s">
        <v>376</v>
      </c>
      <c r="M46" s="7" t="s">
        <v>377</v>
      </c>
      <c r="N46" s="7" t="s">
        <v>25</v>
      </c>
      <c r="O46" s="7" t="s">
        <v>276</v>
      </c>
      <c r="P46" s="7" t="s">
        <v>279</v>
      </c>
      <c r="Q46" s="7" t="s">
        <v>280</v>
      </c>
      <c r="S46" s="7" t="s">
        <v>431</v>
      </c>
      <c r="U46" s="7" t="s">
        <v>384</v>
      </c>
      <c r="W46" s="7" t="s">
        <v>380</v>
      </c>
      <c r="X46" s="7" t="s">
        <v>99</v>
      </c>
      <c r="Y46" s="7" t="s">
        <v>23</v>
      </c>
    </row>
    <row r="47" spans="1:25" s="7" customFormat="1" hidden="1" x14ac:dyDescent="0.25">
      <c r="A47" s="247" t="s">
        <v>312</v>
      </c>
      <c r="B47" s="248">
        <v>45698</v>
      </c>
      <c r="C47" s="244" t="s">
        <v>375</v>
      </c>
      <c r="D47" s="244"/>
      <c r="E47" s="253">
        <f>2501.35+5500</f>
        <v>8001.35</v>
      </c>
      <c r="F47" s="249">
        <v>0</v>
      </c>
      <c r="G47" s="266">
        <f>Tabla3[[#This Row],[INGRESOS]]-Tabla3[[#This Row],[EGRESOS]]</f>
        <v>-8001.35</v>
      </c>
      <c r="H47" s="137">
        <f>Tabla3[[#This Row],[SALDO]]+H46</f>
        <v>-3551742.2800000007</v>
      </c>
      <c r="I47" s="119">
        <v>1140</v>
      </c>
      <c r="J47" s="99">
        <f>Tabla3[[#This Row],[EGRESOS]]/Tabla3[[#This Row],[TC]]</f>
        <v>7.0187280701754391</v>
      </c>
      <c r="K47" s="99">
        <f>Tabla3[[#This Row],[INGRESOS]]/Tabla3[[#This Row],[TC]]</f>
        <v>0</v>
      </c>
      <c r="L47" s="7" t="s">
        <v>376</v>
      </c>
      <c r="M47" s="7" t="s">
        <v>377</v>
      </c>
      <c r="N47" s="7" t="s">
        <v>25</v>
      </c>
      <c r="O47" s="7" t="s">
        <v>184</v>
      </c>
      <c r="P47" s="7" t="s">
        <v>199</v>
      </c>
      <c r="Q47" s="7" t="s">
        <v>201</v>
      </c>
      <c r="R47" s="7" t="s">
        <v>432</v>
      </c>
      <c r="S47" s="7" t="s">
        <v>389</v>
      </c>
      <c r="U47" s="7" t="s">
        <v>390</v>
      </c>
      <c r="W47" s="7" t="s">
        <v>380</v>
      </c>
      <c r="X47" s="7" t="s">
        <v>99</v>
      </c>
      <c r="Y47" s="7" t="s">
        <v>23</v>
      </c>
    </row>
    <row r="48" spans="1:25" s="7" customFormat="1" hidden="1" x14ac:dyDescent="0.25">
      <c r="A48" s="247" t="s">
        <v>312</v>
      </c>
      <c r="B48" s="248">
        <v>45698</v>
      </c>
      <c r="C48" s="244" t="s">
        <v>375</v>
      </c>
      <c r="D48" s="244"/>
      <c r="E48" s="253">
        <v>100000</v>
      </c>
      <c r="F48" s="249">
        <v>0</v>
      </c>
      <c r="G48" s="266">
        <f>Tabla3[[#This Row],[INGRESOS]]-Tabla3[[#This Row],[EGRESOS]]</f>
        <v>-100000</v>
      </c>
      <c r="H48" s="137">
        <f>Tabla3[[#This Row],[SALDO]]+H47</f>
        <v>-3651742.2800000007</v>
      </c>
      <c r="I48" s="119">
        <v>1140</v>
      </c>
      <c r="J48" s="99">
        <f>Tabla3[[#This Row],[EGRESOS]]/Tabla3[[#This Row],[TC]]</f>
        <v>87.719298245614041</v>
      </c>
      <c r="K48" s="99">
        <f>Tabla3[[#This Row],[INGRESOS]]/Tabla3[[#This Row],[TC]]</f>
        <v>0</v>
      </c>
      <c r="L48" s="7" t="s">
        <v>376</v>
      </c>
      <c r="M48" s="7" t="s">
        <v>377</v>
      </c>
      <c r="N48" s="7" t="s">
        <v>25</v>
      </c>
      <c r="O48" s="7" t="s">
        <v>184</v>
      </c>
      <c r="P48" s="7" t="s">
        <v>199</v>
      </c>
      <c r="Q48" s="7" t="s">
        <v>200</v>
      </c>
      <c r="R48" s="7" t="s">
        <v>200</v>
      </c>
      <c r="S48" s="7" t="s">
        <v>427</v>
      </c>
      <c r="U48" s="7" t="s">
        <v>390</v>
      </c>
      <c r="W48" s="7" t="s">
        <v>380</v>
      </c>
      <c r="X48" s="7" t="s">
        <v>99</v>
      </c>
      <c r="Y48" s="7" t="s">
        <v>23</v>
      </c>
    </row>
    <row r="49" spans="1:25" s="7" customFormat="1" hidden="1" x14ac:dyDescent="0.25">
      <c r="A49" s="247" t="s">
        <v>312</v>
      </c>
      <c r="B49" s="248">
        <v>45700</v>
      </c>
      <c r="C49" s="244" t="s">
        <v>381</v>
      </c>
      <c r="D49" s="244"/>
      <c r="E49" s="253">
        <v>2880.44</v>
      </c>
      <c r="F49" s="249">
        <v>0</v>
      </c>
      <c r="G49" s="266">
        <f>Tabla3[[#This Row],[INGRESOS]]-Tabla3[[#This Row],[EGRESOS]]</f>
        <v>-2880.44</v>
      </c>
      <c r="H49" s="137">
        <f>Tabla3[[#This Row],[SALDO]]+H48</f>
        <v>-3654622.7200000007</v>
      </c>
      <c r="I49" s="119">
        <v>1140</v>
      </c>
      <c r="J49" s="99">
        <f>Tabla3[[#This Row],[EGRESOS]]/Tabla3[[#This Row],[TC]]</f>
        <v>2.5267017543859649</v>
      </c>
      <c r="K49" s="99">
        <f>Tabla3[[#This Row],[INGRESOS]]/Tabla3[[#This Row],[TC]]</f>
        <v>0</v>
      </c>
      <c r="L49" s="7" t="s">
        <v>376</v>
      </c>
      <c r="M49" s="7" t="s">
        <v>377</v>
      </c>
      <c r="N49" s="7" t="s">
        <v>25</v>
      </c>
      <c r="O49" s="7" t="s">
        <v>184</v>
      </c>
      <c r="P49" s="7" t="s">
        <v>195</v>
      </c>
      <c r="Q49" s="7" t="s">
        <v>196</v>
      </c>
      <c r="R49" s="7" t="s">
        <v>382</v>
      </c>
      <c r="S49" s="7" t="s">
        <v>383</v>
      </c>
      <c r="U49" s="7" t="s">
        <v>384</v>
      </c>
      <c r="W49" s="7" t="s">
        <v>380</v>
      </c>
      <c r="X49" s="7" t="s">
        <v>99</v>
      </c>
      <c r="Y49" s="7" t="s">
        <v>23</v>
      </c>
    </row>
    <row r="50" spans="1:25" s="7" customFormat="1" hidden="1" x14ac:dyDescent="0.25">
      <c r="A50" s="247" t="s">
        <v>312</v>
      </c>
      <c r="B50" s="248">
        <v>45700</v>
      </c>
      <c r="C50" s="244" t="s">
        <v>375</v>
      </c>
      <c r="D50" s="244"/>
      <c r="E50" s="253">
        <v>476800</v>
      </c>
      <c r="F50" s="249">
        <v>0</v>
      </c>
      <c r="G50" s="266">
        <f>Tabla3[[#This Row],[INGRESOS]]-Tabla3[[#This Row],[EGRESOS]]</f>
        <v>-476800</v>
      </c>
      <c r="H50" s="137">
        <f>Tabla3[[#This Row],[SALDO]]+H49</f>
        <v>-4131422.7200000007</v>
      </c>
      <c r="I50" s="119">
        <v>1140</v>
      </c>
      <c r="J50" s="99">
        <f>Tabla3[[#This Row],[EGRESOS]]/Tabla3[[#This Row],[TC]]</f>
        <v>418.24561403508773</v>
      </c>
      <c r="K50" s="99">
        <f>Tabla3[[#This Row],[INGRESOS]]/Tabla3[[#This Row],[TC]]</f>
        <v>0</v>
      </c>
      <c r="L50" s="7" t="s">
        <v>376</v>
      </c>
      <c r="M50" s="7" t="s">
        <v>377</v>
      </c>
      <c r="N50" s="7" t="s">
        <v>25</v>
      </c>
      <c r="O50" s="7" t="s">
        <v>184</v>
      </c>
      <c r="P50" s="7" t="s">
        <v>199</v>
      </c>
      <c r="Q50" s="7" t="s">
        <v>201</v>
      </c>
      <c r="R50" s="7" t="s">
        <v>433</v>
      </c>
      <c r="S50" s="7" t="s">
        <v>389</v>
      </c>
      <c r="U50" s="7" t="s">
        <v>390</v>
      </c>
      <c r="W50" s="7" t="s">
        <v>380</v>
      </c>
      <c r="X50" s="7" t="s">
        <v>99</v>
      </c>
      <c r="Y50" s="7" t="s">
        <v>23</v>
      </c>
    </row>
    <row r="51" spans="1:25" s="7" customFormat="1" hidden="1" x14ac:dyDescent="0.25">
      <c r="A51" s="247" t="s">
        <v>312</v>
      </c>
      <c r="B51" s="248">
        <v>45700</v>
      </c>
      <c r="C51" s="244" t="s">
        <v>375</v>
      </c>
      <c r="D51" s="244"/>
      <c r="E51" s="253">
        <v>3273</v>
      </c>
      <c r="F51" s="249">
        <v>0</v>
      </c>
      <c r="G51" s="266">
        <f>Tabla3[[#This Row],[INGRESOS]]-Tabla3[[#This Row],[EGRESOS]]</f>
        <v>-3273</v>
      </c>
      <c r="H51" s="137">
        <f>Tabla3[[#This Row],[SALDO]]+H50</f>
        <v>-4134695.7200000007</v>
      </c>
      <c r="I51" s="119">
        <v>1140</v>
      </c>
      <c r="J51" s="99">
        <f>Tabla3[[#This Row],[EGRESOS]]/Tabla3[[#This Row],[TC]]</f>
        <v>2.8710526315789475</v>
      </c>
      <c r="K51" s="99">
        <f>Tabla3[[#This Row],[INGRESOS]]/Tabla3[[#This Row],[TC]]</f>
        <v>0</v>
      </c>
      <c r="L51" s="7" t="s">
        <v>376</v>
      </c>
      <c r="M51" s="7" t="s">
        <v>377</v>
      </c>
      <c r="N51" s="7" t="s">
        <v>25</v>
      </c>
      <c r="O51" s="7" t="s">
        <v>184</v>
      </c>
      <c r="P51" s="7" t="s">
        <v>199</v>
      </c>
      <c r="Q51" s="7" t="s">
        <v>201</v>
      </c>
      <c r="R51" s="7" t="s">
        <v>434</v>
      </c>
      <c r="S51" s="7" t="s">
        <v>435</v>
      </c>
      <c r="U51" s="7" t="s">
        <v>390</v>
      </c>
      <c r="W51" s="7" t="s">
        <v>380</v>
      </c>
      <c r="X51" s="7" t="s">
        <v>29</v>
      </c>
      <c r="Y51" s="7" t="s">
        <v>23</v>
      </c>
    </row>
    <row r="52" spans="1:25" s="7" customFormat="1" hidden="1" x14ac:dyDescent="0.25">
      <c r="A52" s="247" t="s">
        <v>312</v>
      </c>
      <c r="B52" s="248">
        <v>45702</v>
      </c>
      <c r="C52" s="244" t="s">
        <v>375</v>
      </c>
      <c r="D52" s="244"/>
      <c r="E52" s="253">
        <v>2000000</v>
      </c>
      <c r="F52" s="249">
        <v>0</v>
      </c>
      <c r="G52" s="266">
        <f>Tabla3[[#This Row],[INGRESOS]]-Tabla3[[#This Row],[EGRESOS]]</f>
        <v>-2000000</v>
      </c>
      <c r="H52" s="137">
        <f>Tabla3[[#This Row],[SALDO]]+H51</f>
        <v>-6134695.7200000007</v>
      </c>
      <c r="I52" s="119">
        <v>1140</v>
      </c>
      <c r="J52" s="99">
        <f>Tabla3[[#This Row],[EGRESOS]]/Tabla3[[#This Row],[TC]]</f>
        <v>1754.3859649122808</v>
      </c>
      <c r="K52" s="99">
        <f>Tabla3[[#This Row],[INGRESOS]]/Tabla3[[#This Row],[TC]]</f>
        <v>0</v>
      </c>
      <c r="L52" s="7" t="s">
        <v>376</v>
      </c>
      <c r="M52" s="7" t="s">
        <v>377</v>
      </c>
      <c r="N52" s="7" t="s">
        <v>25</v>
      </c>
      <c r="O52" s="7" t="s">
        <v>244</v>
      </c>
      <c r="P52" s="7" t="s">
        <v>259</v>
      </c>
      <c r="Q52" s="7" t="s">
        <v>260</v>
      </c>
      <c r="R52" s="7" t="s">
        <v>393</v>
      </c>
      <c r="U52" s="7" t="s">
        <v>379</v>
      </c>
      <c r="W52" s="7" t="s">
        <v>380</v>
      </c>
    </row>
    <row r="53" spans="1:25" s="7" customFormat="1" hidden="1" x14ac:dyDescent="0.25">
      <c r="A53" s="247" t="s">
        <v>312</v>
      </c>
      <c r="B53" s="248">
        <v>45712</v>
      </c>
      <c r="C53" s="244" t="s">
        <v>375</v>
      </c>
      <c r="D53" s="244"/>
      <c r="E53" s="253">
        <v>500000</v>
      </c>
      <c r="F53" s="249">
        <v>0</v>
      </c>
      <c r="G53" s="266">
        <f>Tabla3[[#This Row],[INGRESOS]]-Tabla3[[#This Row],[EGRESOS]]</f>
        <v>-500000</v>
      </c>
      <c r="H53" s="137">
        <f>Tabla3[[#This Row],[SALDO]]+H52</f>
        <v>-6634695.7200000007</v>
      </c>
      <c r="I53" s="135">
        <v>1140</v>
      </c>
      <c r="J53" s="136">
        <f>Tabla3[[#This Row],[EGRESOS]]/Tabla3[[#This Row],[TC]]</f>
        <v>438.59649122807019</v>
      </c>
      <c r="K53" s="136">
        <f>Tabla3[[#This Row],[INGRESOS]]/Tabla3[[#This Row],[TC]]</f>
        <v>0</v>
      </c>
      <c r="L53" s="8" t="s">
        <v>376</v>
      </c>
      <c r="M53" s="8" t="s">
        <v>377</v>
      </c>
      <c r="N53" s="8" t="s">
        <v>25</v>
      </c>
      <c r="O53" s="7" t="s">
        <v>244</v>
      </c>
      <c r="P53" s="7" t="s">
        <v>259</v>
      </c>
      <c r="Q53" s="7" t="s">
        <v>260</v>
      </c>
      <c r="R53" s="7" t="s">
        <v>393</v>
      </c>
      <c r="U53" s="7" t="s">
        <v>379</v>
      </c>
      <c r="W53" s="7" t="s">
        <v>380</v>
      </c>
    </row>
    <row r="54" spans="1:25" s="7" customFormat="1" hidden="1" x14ac:dyDescent="0.25">
      <c r="A54" s="273" t="s">
        <v>312</v>
      </c>
      <c r="B54" s="251">
        <v>45713</v>
      </c>
      <c r="C54" s="252" t="s">
        <v>381</v>
      </c>
      <c r="D54" s="252"/>
      <c r="E54" s="253">
        <v>4804.8599999999997</v>
      </c>
      <c r="F54" s="253">
        <v>0</v>
      </c>
      <c r="G54" s="274">
        <f>Tabla3[[#This Row],[INGRESOS]]-Tabla3[[#This Row],[EGRESOS]]</f>
        <v>-4804.8599999999997</v>
      </c>
      <c r="H54" s="137">
        <f>Tabla3[[#This Row],[SALDO]]+H53</f>
        <v>-6639500.580000001</v>
      </c>
      <c r="I54" s="135">
        <v>1140</v>
      </c>
      <c r="J54" s="136">
        <f>Tabla3[[#This Row],[EGRESOS]]/Tabla3[[#This Row],[TC]]</f>
        <v>4.2147894736842106</v>
      </c>
      <c r="K54" s="136">
        <f>Tabla3[[#This Row],[INGRESOS]]/Tabla3[[#This Row],[TC]]</f>
        <v>0</v>
      </c>
      <c r="L54" s="8" t="s">
        <v>376</v>
      </c>
      <c r="M54" s="8" t="s">
        <v>377</v>
      </c>
      <c r="N54" s="8" t="s">
        <v>25</v>
      </c>
      <c r="O54" s="8" t="s">
        <v>184</v>
      </c>
      <c r="P54" s="8" t="s">
        <v>195</v>
      </c>
      <c r="Q54" s="8" t="s">
        <v>196</v>
      </c>
      <c r="R54" s="8" t="s">
        <v>394</v>
      </c>
      <c r="S54" s="8" t="s">
        <v>383</v>
      </c>
      <c r="T54" s="8"/>
      <c r="U54" s="8" t="s">
        <v>384</v>
      </c>
      <c r="V54" s="8"/>
      <c r="W54" s="8" t="s">
        <v>380</v>
      </c>
      <c r="X54" s="8" t="s">
        <v>99</v>
      </c>
      <c r="Y54" s="8" t="s">
        <v>23</v>
      </c>
    </row>
    <row r="55" spans="1:25" s="7" customFormat="1" hidden="1" x14ac:dyDescent="0.25">
      <c r="A55" s="273" t="s">
        <v>312</v>
      </c>
      <c r="B55" s="251">
        <v>45713</v>
      </c>
      <c r="C55" s="252" t="s">
        <v>375</v>
      </c>
      <c r="D55" s="252"/>
      <c r="E55" s="253">
        <v>390000</v>
      </c>
      <c r="F55" s="253">
        <v>0</v>
      </c>
      <c r="G55" s="274">
        <f>Tabla3[[#This Row],[INGRESOS]]-Tabla3[[#This Row],[EGRESOS]]</f>
        <v>-390000</v>
      </c>
      <c r="H55" s="137">
        <f>Tabla3[[#This Row],[SALDO]]+H54</f>
        <v>-7029500.580000001</v>
      </c>
      <c r="I55" s="135">
        <v>1140</v>
      </c>
      <c r="J55" s="136">
        <f>Tabla3[[#This Row],[EGRESOS]]/Tabla3[[#This Row],[TC]]</f>
        <v>342.10526315789474</v>
      </c>
      <c r="K55" s="136">
        <f>Tabla3[[#This Row],[INGRESOS]]/Tabla3[[#This Row],[TC]]</f>
        <v>0</v>
      </c>
      <c r="L55" s="8" t="s">
        <v>376</v>
      </c>
      <c r="M55" s="8" t="s">
        <v>377</v>
      </c>
      <c r="N55" s="8" t="s">
        <v>25</v>
      </c>
      <c r="O55" s="8" t="s">
        <v>184</v>
      </c>
      <c r="P55" s="8" t="s">
        <v>199</v>
      </c>
      <c r="Q55" s="8" t="s">
        <v>200</v>
      </c>
      <c r="R55" s="8" t="s">
        <v>436</v>
      </c>
      <c r="S55" s="8" t="s">
        <v>435</v>
      </c>
      <c r="T55" s="8"/>
      <c r="U55" s="8" t="s">
        <v>390</v>
      </c>
      <c r="V55" s="8"/>
      <c r="W55" s="8" t="s">
        <v>380</v>
      </c>
      <c r="X55" s="8" t="s">
        <v>29</v>
      </c>
      <c r="Y55" s="8" t="s">
        <v>23</v>
      </c>
    </row>
    <row r="56" spans="1:25" s="7" customFormat="1" hidden="1" x14ac:dyDescent="0.25">
      <c r="A56" s="273" t="s">
        <v>312</v>
      </c>
      <c r="B56" s="251">
        <v>45713</v>
      </c>
      <c r="C56" s="252" t="s">
        <v>375</v>
      </c>
      <c r="D56" s="252"/>
      <c r="E56" s="253">
        <v>410810</v>
      </c>
      <c r="F56" s="253">
        <v>0</v>
      </c>
      <c r="G56" s="274">
        <f>Tabla3[[#This Row],[INGRESOS]]-Tabla3[[#This Row],[EGRESOS]]</f>
        <v>-410810</v>
      </c>
      <c r="H56" s="137">
        <f>Tabla3[[#This Row],[SALDO]]+H55</f>
        <v>-7440310.580000001</v>
      </c>
      <c r="I56" s="135">
        <v>1140</v>
      </c>
      <c r="J56" s="136">
        <f>Tabla3[[#This Row],[EGRESOS]]/Tabla3[[#This Row],[TC]]</f>
        <v>360.35964912280701</v>
      </c>
      <c r="K56" s="136">
        <f>Tabla3[[#This Row],[INGRESOS]]/Tabla3[[#This Row],[TC]]</f>
        <v>0</v>
      </c>
      <c r="L56" s="8" t="s">
        <v>376</v>
      </c>
      <c r="M56" s="8" t="s">
        <v>377</v>
      </c>
      <c r="N56" s="8" t="s">
        <v>25</v>
      </c>
      <c r="O56" s="8" t="s">
        <v>215</v>
      </c>
      <c r="P56" s="8" t="s">
        <v>216</v>
      </c>
      <c r="Q56" s="8" t="s">
        <v>217</v>
      </c>
      <c r="R56" s="8" t="s">
        <v>188</v>
      </c>
      <c r="S56" s="8" t="s">
        <v>396</v>
      </c>
      <c r="T56" s="8" t="s">
        <v>437</v>
      </c>
      <c r="U56" s="8" t="s">
        <v>412</v>
      </c>
      <c r="V56" s="8"/>
      <c r="W56" s="8" t="s">
        <v>380</v>
      </c>
      <c r="X56" s="8" t="s">
        <v>29</v>
      </c>
      <c r="Y56" s="8" t="s">
        <v>23</v>
      </c>
    </row>
    <row r="57" spans="1:25" s="7" customFormat="1" hidden="1" x14ac:dyDescent="0.25">
      <c r="A57" s="273" t="s">
        <v>312</v>
      </c>
      <c r="B57" s="251">
        <v>45716</v>
      </c>
      <c r="C57" s="252" t="s">
        <v>416</v>
      </c>
      <c r="D57" s="252"/>
      <c r="E57" s="253">
        <v>3422.05</v>
      </c>
      <c r="F57" s="253">
        <v>0</v>
      </c>
      <c r="G57" s="274">
        <f>Tabla3[[#This Row],[INGRESOS]]-Tabla3[[#This Row],[EGRESOS]]</f>
        <v>-3422.05</v>
      </c>
      <c r="H57" s="137">
        <f>Tabla3[[#This Row],[SALDO]]+H56</f>
        <v>-7443732.6300000008</v>
      </c>
      <c r="I57" s="135">
        <v>1140</v>
      </c>
      <c r="J57" s="136">
        <f>Tabla3[[#This Row],[EGRESOS]]/Tabla3[[#This Row],[TC]]</f>
        <v>3.0017982456140353</v>
      </c>
      <c r="K57" s="136">
        <f>Tabla3[[#This Row],[INGRESOS]]/Tabla3[[#This Row],[TC]]</f>
        <v>0</v>
      </c>
      <c r="L57" s="8" t="s">
        <v>376</v>
      </c>
      <c r="M57" s="8" t="s">
        <v>377</v>
      </c>
      <c r="N57" s="8" t="s">
        <v>25</v>
      </c>
      <c r="O57" s="8" t="s">
        <v>184</v>
      </c>
      <c r="P57" s="8" t="s">
        <v>195</v>
      </c>
      <c r="Q57" s="8" t="s">
        <v>196</v>
      </c>
      <c r="R57" s="8" t="s">
        <v>417</v>
      </c>
      <c r="S57" s="8" t="s">
        <v>383</v>
      </c>
      <c r="T57" s="8"/>
      <c r="U57" s="8" t="s">
        <v>384</v>
      </c>
      <c r="V57" s="8"/>
      <c r="W57" s="8" t="s">
        <v>380</v>
      </c>
      <c r="X57" s="8" t="s">
        <v>99</v>
      </c>
      <c r="Y57" s="8" t="s">
        <v>23</v>
      </c>
    </row>
    <row r="58" spans="1:25" s="7" customFormat="1" hidden="1" x14ac:dyDescent="0.25">
      <c r="A58" s="273" t="s">
        <v>312</v>
      </c>
      <c r="B58" s="251">
        <v>45716</v>
      </c>
      <c r="C58" s="252" t="s">
        <v>418</v>
      </c>
      <c r="D58" s="252"/>
      <c r="E58" s="253">
        <v>228136.62</v>
      </c>
      <c r="F58" s="253">
        <v>0</v>
      </c>
      <c r="G58" s="274">
        <f>Tabla3[[#This Row],[INGRESOS]]-Tabla3[[#This Row],[EGRESOS]]</f>
        <v>-228136.62</v>
      </c>
      <c r="H58" s="137">
        <f>Tabla3[[#This Row],[SALDO]]+H57</f>
        <v>-7671869.2500000009</v>
      </c>
      <c r="I58" s="135">
        <v>1140</v>
      </c>
      <c r="J58" s="136">
        <f>Tabla3[[#This Row],[EGRESOS]]/Tabla3[[#This Row],[TC]]</f>
        <v>200.11984210526316</v>
      </c>
      <c r="K58" s="136">
        <f>Tabla3[[#This Row],[INGRESOS]]/Tabla3[[#This Row],[TC]]</f>
        <v>0</v>
      </c>
      <c r="L58" s="8" t="s">
        <v>376</v>
      </c>
      <c r="M58" s="8" t="s">
        <v>377</v>
      </c>
      <c r="N58" s="8" t="s">
        <v>25</v>
      </c>
      <c r="O58" s="8" t="s">
        <v>184</v>
      </c>
      <c r="P58" s="8" t="s">
        <v>197</v>
      </c>
      <c r="Q58" s="8" t="s">
        <v>198</v>
      </c>
      <c r="R58" s="8" t="s">
        <v>419</v>
      </c>
      <c r="S58" s="8"/>
      <c r="T58" s="8"/>
      <c r="U58" s="8" t="s">
        <v>384</v>
      </c>
      <c r="V58" s="8"/>
      <c r="W58" s="8" t="s">
        <v>380</v>
      </c>
      <c r="X58" s="8" t="s">
        <v>99</v>
      </c>
      <c r="Y58" s="8" t="s">
        <v>23</v>
      </c>
    </row>
    <row r="59" spans="1:25" s="7" customFormat="1" hidden="1" x14ac:dyDescent="0.25">
      <c r="A59" s="273" t="s">
        <v>312</v>
      </c>
      <c r="B59" s="251">
        <v>45716</v>
      </c>
      <c r="C59" s="252" t="s">
        <v>381</v>
      </c>
      <c r="D59" s="252"/>
      <c r="E59" s="253">
        <v>1802.63</v>
      </c>
      <c r="F59" s="253">
        <v>0</v>
      </c>
      <c r="G59" s="274">
        <f>Tabla3[[#This Row],[INGRESOS]]-Tabla3[[#This Row],[EGRESOS]]</f>
        <v>-1802.63</v>
      </c>
      <c r="H59" s="137">
        <f>Tabla3[[#This Row],[SALDO]]+H58</f>
        <v>-7673671.8800000008</v>
      </c>
      <c r="I59" s="135">
        <v>1140</v>
      </c>
      <c r="J59" s="136">
        <f>Tabla3[[#This Row],[EGRESOS]]/Tabla3[[#This Row],[TC]]</f>
        <v>1.5812543859649124</v>
      </c>
      <c r="K59" s="136">
        <f>Tabla3[[#This Row],[INGRESOS]]/Tabla3[[#This Row],[TC]]</f>
        <v>0</v>
      </c>
      <c r="L59" s="8" t="s">
        <v>376</v>
      </c>
      <c r="M59" s="8" t="s">
        <v>377</v>
      </c>
      <c r="N59" s="8" t="s">
        <v>25</v>
      </c>
      <c r="O59" s="8" t="s">
        <v>184</v>
      </c>
      <c r="P59" s="8" t="s">
        <v>195</v>
      </c>
      <c r="Q59" s="8" t="s">
        <v>196</v>
      </c>
      <c r="R59" s="8" t="s">
        <v>382</v>
      </c>
      <c r="S59" s="8" t="s">
        <v>383</v>
      </c>
      <c r="T59" s="8"/>
      <c r="U59" s="8" t="s">
        <v>384</v>
      </c>
      <c r="V59" s="8"/>
      <c r="W59" s="8" t="s">
        <v>380</v>
      </c>
      <c r="X59" s="8" t="s">
        <v>99</v>
      </c>
      <c r="Y59" s="8" t="s">
        <v>23</v>
      </c>
    </row>
    <row r="60" spans="1:25" s="7" customFormat="1" hidden="1" x14ac:dyDescent="0.25">
      <c r="A60" s="273" t="s">
        <v>312</v>
      </c>
      <c r="B60" s="251">
        <v>45716</v>
      </c>
      <c r="C60" s="252" t="s">
        <v>420</v>
      </c>
      <c r="D60" s="252"/>
      <c r="E60" s="253">
        <v>23954.35</v>
      </c>
      <c r="F60" s="253">
        <v>0</v>
      </c>
      <c r="G60" s="274">
        <f>Tabla3[[#This Row],[INGRESOS]]-Tabla3[[#This Row],[EGRESOS]]</f>
        <v>-23954.35</v>
      </c>
      <c r="H60" s="137">
        <f>Tabla3[[#This Row],[SALDO]]+H59</f>
        <v>-7697626.2300000004</v>
      </c>
      <c r="I60" s="135">
        <v>1140</v>
      </c>
      <c r="J60" s="136">
        <f>Tabla3[[#This Row],[EGRESOS]]/Tabla3[[#This Row],[TC]]</f>
        <v>21.012587719298246</v>
      </c>
      <c r="K60" s="136">
        <f>Tabla3[[#This Row],[INGRESOS]]/Tabla3[[#This Row],[TC]]</f>
        <v>0</v>
      </c>
      <c r="L60" s="8" t="s">
        <v>376</v>
      </c>
      <c r="M60" s="8" t="s">
        <v>377</v>
      </c>
      <c r="N60" s="8" t="s">
        <v>25</v>
      </c>
      <c r="O60" s="8" t="s">
        <v>184</v>
      </c>
      <c r="P60" s="8" t="s">
        <v>195</v>
      </c>
      <c r="Q60" s="8" t="s">
        <v>196</v>
      </c>
      <c r="R60" s="8" t="s">
        <v>421</v>
      </c>
      <c r="S60" s="8" t="s">
        <v>383</v>
      </c>
      <c r="T60" s="8"/>
      <c r="U60" s="8" t="s">
        <v>384</v>
      </c>
      <c r="V60" s="8"/>
      <c r="W60" s="8" t="s">
        <v>380</v>
      </c>
      <c r="X60" s="8" t="s">
        <v>99</v>
      </c>
      <c r="Y60" s="8" t="s">
        <v>23</v>
      </c>
    </row>
    <row r="61" spans="1:25" s="7" customFormat="1" hidden="1" x14ac:dyDescent="0.25">
      <c r="A61" s="273" t="s">
        <v>312</v>
      </c>
      <c r="B61" s="251">
        <v>45716</v>
      </c>
      <c r="C61" s="252" t="s">
        <v>273</v>
      </c>
      <c r="D61" s="252"/>
      <c r="E61" s="253">
        <v>6615</v>
      </c>
      <c r="F61" s="253">
        <v>0</v>
      </c>
      <c r="G61" s="274">
        <f>Tabla3[[#This Row],[INGRESOS]]-Tabla3[[#This Row],[EGRESOS]]</f>
        <v>-6615</v>
      </c>
      <c r="H61" s="137">
        <f>Tabla3[[#This Row],[SALDO]]+H60</f>
        <v>-7704241.2300000004</v>
      </c>
      <c r="I61" s="135">
        <v>1140</v>
      </c>
      <c r="J61" s="136">
        <f>Tabla3[[#This Row],[EGRESOS]]/Tabla3[[#This Row],[TC]]</f>
        <v>5.8026315789473681</v>
      </c>
      <c r="K61" s="136">
        <f>Tabla3[[#This Row],[INGRESOS]]/Tabla3[[#This Row],[TC]]</f>
        <v>0</v>
      </c>
      <c r="L61" s="8" t="s">
        <v>376</v>
      </c>
      <c r="M61" s="8" t="s">
        <v>377</v>
      </c>
      <c r="N61" s="8" t="s">
        <v>25</v>
      </c>
      <c r="O61" s="8" t="s">
        <v>184</v>
      </c>
      <c r="P61" s="8" t="s">
        <v>195</v>
      </c>
      <c r="Q61" s="8" t="s">
        <v>196</v>
      </c>
      <c r="R61" s="8" t="s">
        <v>382</v>
      </c>
      <c r="S61" s="8" t="s">
        <v>383</v>
      </c>
      <c r="T61" s="8"/>
      <c r="U61" s="8" t="s">
        <v>384</v>
      </c>
      <c r="V61" s="8"/>
      <c r="W61" s="8" t="s">
        <v>380</v>
      </c>
      <c r="X61" s="8" t="s">
        <v>99</v>
      </c>
      <c r="Y61" s="8" t="s">
        <v>23</v>
      </c>
    </row>
    <row r="62" spans="1:25" s="7" customFormat="1" hidden="1" x14ac:dyDescent="0.25">
      <c r="A62" s="273" t="s">
        <v>312</v>
      </c>
      <c r="B62" s="251">
        <v>45716</v>
      </c>
      <c r="C62" s="252" t="s">
        <v>422</v>
      </c>
      <c r="D62" s="252"/>
      <c r="E62" s="253">
        <v>5864.99</v>
      </c>
      <c r="F62" s="253">
        <v>0</v>
      </c>
      <c r="G62" s="274">
        <f>Tabla3[[#This Row],[INGRESOS]]-Tabla3[[#This Row],[EGRESOS]]</f>
        <v>-5864.99</v>
      </c>
      <c r="H62" s="137">
        <f>Tabla3[[#This Row],[SALDO]]+H61</f>
        <v>-7710106.2200000007</v>
      </c>
      <c r="I62" s="135">
        <v>1140</v>
      </c>
      <c r="J62" s="136">
        <f>Tabla3[[#This Row],[EGRESOS]]/Tabla3[[#This Row],[TC]]</f>
        <v>5.1447280701754385</v>
      </c>
      <c r="K62" s="136">
        <f>Tabla3[[#This Row],[INGRESOS]]/Tabla3[[#This Row],[TC]]</f>
        <v>0</v>
      </c>
      <c r="L62" s="8" t="s">
        <v>376</v>
      </c>
      <c r="M62" s="8" t="s">
        <v>377</v>
      </c>
      <c r="N62" s="8" t="s">
        <v>25</v>
      </c>
      <c r="O62" s="8" t="s">
        <v>184</v>
      </c>
      <c r="P62" s="8" t="s">
        <v>195</v>
      </c>
      <c r="Q62" s="8" t="s">
        <v>196</v>
      </c>
      <c r="R62" s="8" t="s">
        <v>423</v>
      </c>
      <c r="S62" s="8" t="s">
        <v>69</v>
      </c>
      <c r="T62" s="8"/>
      <c r="U62" s="8" t="s">
        <v>384</v>
      </c>
      <c r="V62" s="8"/>
      <c r="W62" s="8" t="s">
        <v>380</v>
      </c>
      <c r="X62" s="8" t="s">
        <v>99</v>
      </c>
      <c r="Y62" s="8" t="s">
        <v>23</v>
      </c>
    </row>
    <row r="63" spans="1:25" s="7" customFormat="1" hidden="1" x14ac:dyDescent="0.25">
      <c r="A63" s="273" t="s">
        <v>312</v>
      </c>
      <c r="B63" s="251">
        <v>45716</v>
      </c>
      <c r="C63" s="252" t="s">
        <v>424</v>
      </c>
      <c r="D63" s="252"/>
      <c r="E63" s="253">
        <v>31500</v>
      </c>
      <c r="F63" s="253">
        <v>0</v>
      </c>
      <c r="G63" s="274">
        <f>Tabla3[[#This Row],[INGRESOS]]-Tabla3[[#This Row],[EGRESOS]]</f>
        <v>-31500</v>
      </c>
      <c r="H63" s="137">
        <f>Tabla3[[#This Row],[SALDO]]+H62</f>
        <v>-7741606.2200000007</v>
      </c>
      <c r="I63" s="135">
        <v>1140</v>
      </c>
      <c r="J63" s="136">
        <f>Tabla3[[#This Row],[EGRESOS]]/Tabla3[[#This Row],[TC]]</f>
        <v>27.631578947368421</v>
      </c>
      <c r="K63" s="136">
        <f>Tabla3[[#This Row],[INGRESOS]]/Tabla3[[#This Row],[TC]]</f>
        <v>0</v>
      </c>
      <c r="L63" s="8" t="s">
        <v>376</v>
      </c>
      <c r="M63" s="8" t="s">
        <v>377</v>
      </c>
      <c r="N63" s="8" t="s">
        <v>25</v>
      </c>
      <c r="O63" s="8" t="s">
        <v>184</v>
      </c>
      <c r="P63" s="8" t="s">
        <v>185</v>
      </c>
      <c r="Q63" s="8" t="s">
        <v>186</v>
      </c>
      <c r="R63" s="8" t="s">
        <v>227</v>
      </c>
      <c r="S63" s="8"/>
      <c r="T63" s="8"/>
      <c r="U63" s="8" t="s">
        <v>384</v>
      </c>
      <c r="V63" s="8"/>
      <c r="W63" s="8" t="s">
        <v>380</v>
      </c>
      <c r="X63" s="8" t="s">
        <v>99</v>
      </c>
      <c r="Y63" s="8" t="s">
        <v>23</v>
      </c>
    </row>
    <row r="64" spans="1:25" s="7" customFormat="1" hidden="1" x14ac:dyDescent="0.25">
      <c r="A64" s="273" t="s">
        <v>312</v>
      </c>
      <c r="B64" s="251">
        <v>45716</v>
      </c>
      <c r="C64" s="252" t="s">
        <v>417</v>
      </c>
      <c r="D64" s="252"/>
      <c r="E64" s="253">
        <v>945</v>
      </c>
      <c r="F64" s="253">
        <v>0</v>
      </c>
      <c r="G64" s="274">
        <f>Tabla3[[#This Row],[INGRESOS]]-Tabla3[[#This Row],[EGRESOS]]</f>
        <v>-945</v>
      </c>
      <c r="H64" s="137">
        <f>Tabla3[[#This Row],[SALDO]]+H63</f>
        <v>-7742551.2200000007</v>
      </c>
      <c r="I64" s="135">
        <v>1140</v>
      </c>
      <c r="J64" s="136">
        <f>Tabla3[[#This Row],[EGRESOS]]/Tabla3[[#This Row],[TC]]</f>
        <v>0.82894736842105265</v>
      </c>
      <c r="K64" s="136">
        <f>Tabla3[[#This Row],[INGRESOS]]/Tabla3[[#This Row],[TC]]</f>
        <v>0</v>
      </c>
      <c r="L64" s="8" t="s">
        <v>376</v>
      </c>
      <c r="M64" s="8" t="s">
        <v>377</v>
      </c>
      <c r="N64" s="8" t="s">
        <v>25</v>
      </c>
      <c r="O64" s="8" t="s">
        <v>184</v>
      </c>
      <c r="P64" s="8" t="s">
        <v>195</v>
      </c>
      <c r="Q64" s="8" t="s">
        <v>196</v>
      </c>
      <c r="R64" s="8" t="s">
        <v>417</v>
      </c>
      <c r="S64" s="8" t="s">
        <v>383</v>
      </c>
      <c r="T64" s="8"/>
      <c r="U64" s="8" t="s">
        <v>384</v>
      </c>
      <c r="V64" s="8"/>
      <c r="W64" s="8" t="s">
        <v>380</v>
      </c>
      <c r="X64" s="8" t="s">
        <v>99</v>
      </c>
      <c r="Y64" s="8" t="s">
        <v>23</v>
      </c>
    </row>
    <row r="65" spans="1:25" s="7" customFormat="1" hidden="1" x14ac:dyDescent="0.25">
      <c r="A65" s="273" t="str">
        <f>"MARZO"</f>
        <v>MARZO</v>
      </c>
      <c r="B65" s="251">
        <v>45721</v>
      </c>
      <c r="C65" s="252" t="s">
        <v>375</v>
      </c>
      <c r="D65" s="252"/>
      <c r="E65" s="253">
        <v>290000</v>
      </c>
      <c r="F65" s="253">
        <v>0</v>
      </c>
      <c r="G65" s="274">
        <f>Tabla3[[#This Row],[INGRESOS]]-Tabla3[[#This Row],[EGRESOS]]</f>
        <v>-290000</v>
      </c>
      <c r="H65" s="137">
        <f>Tabla3[[#This Row],[SALDO]]+H64</f>
        <v>-8032551.2200000007</v>
      </c>
      <c r="I65" s="135">
        <v>1140</v>
      </c>
      <c r="J65" s="136">
        <f>Tabla3[[#This Row],[EGRESOS]]/Tabla3[[#This Row],[TC]]</f>
        <v>254.38596491228071</v>
      </c>
      <c r="K65" s="136">
        <f>Tabla3[[#This Row],[INGRESOS]]/Tabla3[[#This Row],[TC]]</f>
        <v>0</v>
      </c>
      <c r="L65" s="8" t="s">
        <v>376</v>
      </c>
      <c r="M65" s="8" t="s">
        <v>377</v>
      </c>
      <c r="N65" s="8" t="s">
        <v>25</v>
      </c>
      <c r="O65" s="8" t="s">
        <v>244</v>
      </c>
      <c r="P65" s="8" t="s">
        <v>259</v>
      </c>
      <c r="Q65" s="8" t="s">
        <v>260</v>
      </c>
      <c r="R65" s="8" t="s">
        <v>393</v>
      </c>
      <c r="S65" s="8"/>
      <c r="T65" s="8"/>
      <c r="U65" s="8" t="s">
        <v>379</v>
      </c>
      <c r="V65" s="8"/>
      <c r="W65" s="8" t="s">
        <v>380</v>
      </c>
      <c r="X65" s="8"/>
      <c r="Y65" s="8"/>
    </row>
    <row r="66" spans="1:25" s="7" customFormat="1" x14ac:dyDescent="0.25">
      <c r="A66" s="247" t="s">
        <v>311</v>
      </c>
      <c r="B66" s="248">
        <v>45673</v>
      </c>
      <c r="C66" s="244" t="s">
        <v>800</v>
      </c>
      <c r="D66" s="244"/>
      <c r="E66" s="253">
        <v>200000</v>
      </c>
      <c r="F66" s="249">
        <v>0</v>
      </c>
      <c r="G66" s="266">
        <f>Tabla3[[#This Row],[INGRESOS]]-Tabla3[[#This Row],[EGRESOS]]</f>
        <v>-200000</v>
      </c>
      <c r="H66" s="137">
        <v>-5879527.3300000001</v>
      </c>
      <c r="I66" s="119">
        <v>1140</v>
      </c>
      <c r="J66" s="99">
        <f>Tabla3[[#This Row],[EGRESOS]]/Tabla3[[#This Row],[TC]]</f>
        <v>175.43859649122808</v>
      </c>
      <c r="K66" s="99">
        <f>Tabla3[[#This Row],[INGRESOS]]/Tabla3[[#This Row],[TC]]</f>
        <v>0</v>
      </c>
      <c r="L66" s="7" t="s">
        <v>376</v>
      </c>
      <c r="M66" s="7" t="s">
        <v>377</v>
      </c>
      <c r="N66" s="7" t="s">
        <v>20</v>
      </c>
      <c r="O66" s="7" t="s">
        <v>184</v>
      </c>
      <c r="P66" s="7" t="s">
        <v>203</v>
      </c>
      <c r="Q66" s="7" t="s">
        <v>208</v>
      </c>
      <c r="S66" s="7" t="s">
        <v>386</v>
      </c>
      <c r="U66" s="7" t="s">
        <v>387</v>
      </c>
      <c r="V66" s="7" t="s">
        <v>386</v>
      </c>
      <c r="W66" s="7" t="s">
        <v>380</v>
      </c>
      <c r="X66" s="7" t="s">
        <v>104</v>
      </c>
      <c r="Y66" s="7" t="s">
        <v>23</v>
      </c>
    </row>
    <row r="67" spans="1:25" s="7" customFormat="1" hidden="1" x14ac:dyDescent="0.25">
      <c r="A67" s="273" t="s">
        <v>313</v>
      </c>
      <c r="B67" s="251">
        <v>45727</v>
      </c>
      <c r="C67" s="252" t="s">
        <v>440</v>
      </c>
      <c r="D67" s="252"/>
      <c r="E67" s="253">
        <v>1860</v>
      </c>
      <c r="F67" s="253">
        <v>0</v>
      </c>
      <c r="G67" s="274">
        <f>Tabla3[[#This Row],[INGRESOS]]-Tabla3[[#This Row],[EGRESOS]]</f>
        <v>-1860</v>
      </c>
      <c r="H67" s="137">
        <f>Tabla3[[#This Row],[SALDO]]+H66</f>
        <v>-5881387.3300000001</v>
      </c>
      <c r="I67" s="135">
        <v>1140</v>
      </c>
      <c r="J67" s="136">
        <f>Tabla3[[#This Row],[EGRESOS]]/Tabla3[[#This Row],[TC]]</f>
        <v>1.631578947368421</v>
      </c>
      <c r="K67" s="136">
        <f>Tabla3[[#This Row],[INGRESOS]]/Tabla3[[#This Row],[TC]]</f>
        <v>0</v>
      </c>
      <c r="L67" s="8" t="s">
        <v>376</v>
      </c>
      <c r="M67" s="8" t="s">
        <v>377</v>
      </c>
      <c r="N67" s="8" t="s">
        <v>25</v>
      </c>
      <c r="O67" s="8" t="s">
        <v>184</v>
      </c>
      <c r="P67" s="8" t="s">
        <v>195</v>
      </c>
      <c r="Q67" s="8" t="s">
        <v>196</v>
      </c>
      <c r="R67" s="8" t="s">
        <v>394</v>
      </c>
      <c r="S67" s="8" t="s">
        <v>383</v>
      </c>
      <c r="T67" s="8"/>
      <c r="U67" s="8" t="s">
        <v>384</v>
      </c>
      <c r="V67" s="8"/>
      <c r="W67" s="8" t="s">
        <v>380</v>
      </c>
      <c r="X67" s="8" t="s">
        <v>99</v>
      </c>
      <c r="Y67" s="8" t="s">
        <v>23</v>
      </c>
    </row>
    <row r="68" spans="1:25" s="7" customFormat="1" hidden="1" x14ac:dyDescent="0.25">
      <c r="A68" s="273" t="s">
        <v>313</v>
      </c>
      <c r="B68" s="251">
        <v>45742</v>
      </c>
      <c r="C68" s="252" t="s">
        <v>441</v>
      </c>
      <c r="D68" s="252"/>
      <c r="E68" s="253">
        <v>0</v>
      </c>
      <c r="F68" s="253">
        <v>19664000</v>
      </c>
      <c r="G68" s="274">
        <f>Tabla3[[#This Row],[INGRESOS]]-Tabla3[[#This Row],[EGRESOS]]</f>
        <v>19664000</v>
      </c>
      <c r="H68" s="137">
        <f>Tabla3[[#This Row],[SALDO]]+H67</f>
        <v>13782612.67</v>
      </c>
      <c r="I68" s="135">
        <v>1140</v>
      </c>
      <c r="J68" s="136">
        <f>Tabla3[[#This Row],[EGRESOS]]/Tabla3[[#This Row],[TC]]</f>
        <v>0</v>
      </c>
      <c r="K68" s="136">
        <f>Tabla3[[#This Row],[INGRESOS]]/Tabla3[[#This Row],[TC]]</f>
        <v>17249.122807017542</v>
      </c>
      <c r="L68" s="8" t="s">
        <v>376</v>
      </c>
      <c r="M68" s="8" t="s">
        <v>377</v>
      </c>
      <c r="N68" s="8" t="s">
        <v>25</v>
      </c>
      <c r="O68" s="8" t="s">
        <v>244</v>
      </c>
      <c r="P68" s="8" t="s">
        <v>261</v>
      </c>
      <c r="Q68" s="8" t="s">
        <v>265</v>
      </c>
      <c r="R68" s="8"/>
      <c r="S68" s="8" t="s">
        <v>25</v>
      </c>
      <c r="T68" s="8"/>
      <c r="U68" s="8" t="s">
        <v>442</v>
      </c>
      <c r="V68" s="8"/>
      <c r="W68" s="8" t="s">
        <v>380</v>
      </c>
      <c r="X68" s="8" t="s">
        <v>23</v>
      </c>
      <c r="Y68" s="8" t="s">
        <v>92</v>
      </c>
    </row>
    <row r="69" spans="1:25" s="7" customFormat="1" hidden="1" x14ac:dyDescent="0.25">
      <c r="A69" s="273" t="s">
        <v>313</v>
      </c>
      <c r="B69" s="251">
        <v>45747</v>
      </c>
      <c r="C69" s="252" t="s">
        <v>416</v>
      </c>
      <c r="D69" s="252"/>
      <c r="E69" s="253">
        <v>4722.55</v>
      </c>
      <c r="F69" s="253">
        <v>0</v>
      </c>
      <c r="G69" s="274">
        <f>Tabla3[[#This Row],[INGRESOS]]-Tabla3[[#This Row],[EGRESOS]]</f>
        <v>-4722.55</v>
      </c>
      <c r="H69" s="137">
        <f>Tabla3[[#This Row],[SALDO]]+H68</f>
        <v>13777890.119999999</v>
      </c>
      <c r="I69" s="135">
        <v>1140</v>
      </c>
      <c r="J69" s="136">
        <f>Tabla3[[#This Row],[EGRESOS]]/Tabla3[[#This Row],[TC]]</f>
        <v>4.1425877192982457</v>
      </c>
      <c r="K69" s="136">
        <f>Tabla3[[#This Row],[INGRESOS]]/Tabla3[[#This Row],[TC]]</f>
        <v>0</v>
      </c>
      <c r="L69" s="8" t="s">
        <v>376</v>
      </c>
      <c r="M69" s="8" t="s">
        <v>377</v>
      </c>
      <c r="N69" s="8" t="s">
        <v>25</v>
      </c>
      <c r="O69" s="8" t="s">
        <v>184</v>
      </c>
      <c r="P69" s="8" t="s">
        <v>195</v>
      </c>
      <c r="Q69" s="8" t="s">
        <v>196</v>
      </c>
      <c r="R69" s="8" t="s">
        <v>417</v>
      </c>
      <c r="S69" s="8" t="s">
        <v>383</v>
      </c>
      <c r="T69" s="8"/>
      <c r="U69" s="8" t="s">
        <v>384</v>
      </c>
      <c r="V69" s="8"/>
      <c r="W69" s="8" t="s">
        <v>380</v>
      </c>
      <c r="X69" s="8" t="s">
        <v>99</v>
      </c>
      <c r="Y69" s="8" t="s">
        <v>23</v>
      </c>
    </row>
    <row r="70" spans="1:25" s="7" customFormat="1" hidden="1" x14ac:dyDescent="0.25">
      <c r="A70" s="273" t="s">
        <v>313</v>
      </c>
      <c r="B70" s="251">
        <v>45747</v>
      </c>
      <c r="C70" s="252" t="s">
        <v>418</v>
      </c>
      <c r="D70" s="252"/>
      <c r="E70" s="253">
        <v>314836.5</v>
      </c>
      <c r="F70" s="253">
        <v>0</v>
      </c>
      <c r="G70" s="274">
        <f>Tabla3[[#This Row],[INGRESOS]]-Tabla3[[#This Row],[EGRESOS]]</f>
        <v>-314836.5</v>
      </c>
      <c r="H70" s="137">
        <f>Tabla3[[#This Row],[SALDO]]+H69</f>
        <v>13463053.619999999</v>
      </c>
      <c r="I70" s="135">
        <v>1140</v>
      </c>
      <c r="J70" s="136">
        <f>Tabla3[[#This Row],[EGRESOS]]/Tabla3[[#This Row],[TC]]</f>
        <v>276.17236842105262</v>
      </c>
      <c r="K70" s="136">
        <f>Tabla3[[#This Row],[INGRESOS]]/Tabla3[[#This Row],[TC]]</f>
        <v>0</v>
      </c>
      <c r="L70" s="8" t="s">
        <v>376</v>
      </c>
      <c r="M70" s="8" t="s">
        <v>377</v>
      </c>
      <c r="N70" s="8" t="s">
        <v>25</v>
      </c>
      <c r="O70" s="8" t="s">
        <v>184</v>
      </c>
      <c r="P70" s="8" t="s">
        <v>197</v>
      </c>
      <c r="Q70" s="8" t="s">
        <v>198</v>
      </c>
      <c r="R70" s="8" t="s">
        <v>419</v>
      </c>
      <c r="S70" s="8"/>
      <c r="T70" s="8"/>
      <c r="U70" s="8" t="s">
        <v>384</v>
      </c>
      <c r="V70" s="8"/>
      <c r="W70" s="8" t="s">
        <v>380</v>
      </c>
      <c r="X70" s="8" t="s">
        <v>99</v>
      </c>
      <c r="Y70" s="8" t="s">
        <v>23</v>
      </c>
    </row>
    <row r="71" spans="1:25" s="7" customFormat="1" hidden="1" x14ac:dyDescent="0.25">
      <c r="A71" s="273" t="s">
        <v>313</v>
      </c>
      <c r="B71" s="251">
        <v>45747</v>
      </c>
      <c r="C71" s="252" t="s">
        <v>381</v>
      </c>
      <c r="D71" s="252"/>
      <c r="E71" s="253">
        <v>2422.2399999999998</v>
      </c>
      <c r="F71" s="253">
        <v>0</v>
      </c>
      <c r="G71" s="274">
        <f>Tabla3[[#This Row],[INGRESOS]]-Tabla3[[#This Row],[EGRESOS]]</f>
        <v>-2422.2399999999998</v>
      </c>
      <c r="H71" s="137">
        <f>Tabla3[[#This Row],[SALDO]]+H70</f>
        <v>13460631.379999999</v>
      </c>
      <c r="I71" s="135">
        <v>1140</v>
      </c>
      <c r="J71" s="136">
        <f>Tabla3[[#This Row],[EGRESOS]]/Tabla3[[#This Row],[TC]]</f>
        <v>2.1247719298245613</v>
      </c>
      <c r="K71" s="136">
        <f>Tabla3[[#This Row],[INGRESOS]]/Tabla3[[#This Row],[TC]]</f>
        <v>0</v>
      </c>
      <c r="L71" s="8" t="s">
        <v>376</v>
      </c>
      <c r="M71" s="8" t="s">
        <v>377</v>
      </c>
      <c r="N71" s="8" t="s">
        <v>25</v>
      </c>
      <c r="O71" s="8" t="s">
        <v>184</v>
      </c>
      <c r="P71" s="8" t="s">
        <v>195</v>
      </c>
      <c r="Q71" s="8" t="s">
        <v>196</v>
      </c>
      <c r="R71" s="8" t="s">
        <v>382</v>
      </c>
      <c r="S71" s="8" t="s">
        <v>383</v>
      </c>
      <c r="T71" s="8"/>
      <c r="U71" s="8" t="s">
        <v>384</v>
      </c>
      <c r="V71" s="8"/>
      <c r="W71" s="8" t="s">
        <v>380</v>
      </c>
      <c r="X71" s="8" t="s">
        <v>99</v>
      </c>
      <c r="Y71" s="8" t="s">
        <v>23</v>
      </c>
    </row>
    <row r="72" spans="1:25" s="7" customFormat="1" hidden="1" x14ac:dyDescent="0.25">
      <c r="A72" s="273" t="s">
        <v>313</v>
      </c>
      <c r="B72" s="251">
        <v>45747</v>
      </c>
      <c r="C72" s="252" t="s">
        <v>420</v>
      </c>
      <c r="D72" s="252"/>
      <c r="E72" s="253">
        <v>33057.83</v>
      </c>
      <c r="F72" s="253">
        <v>0</v>
      </c>
      <c r="G72" s="274">
        <f>Tabla3[[#This Row],[INGRESOS]]-Tabla3[[#This Row],[EGRESOS]]</f>
        <v>-33057.83</v>
      </c>
      <c r="H72" s="137">
        <f>Tabla3[[#This Row],[SALDO]]+H71</f>
        <v>13427573.549999999</v>
      </c>
      <c r="I72" s="135">
        <v>1140</v>
      </c>
      <c r="J72" s="136">
        <f>Tabla3[[#This Row],[EGRESOS]]/Tabla3[[#This Row],[TC]]</f>
        <v>28.998096491228072</v>
      </c>
      <c r="K72" s="136">
        <f>Tabla3[[#This Row],[INGRESOS]]/Tabla3[[#This Row],[TC]]</f>
        <v>0</v>
      </c>
      <c r="L72" s="8" t="s">
        <v>376</v>
      </c>
      <c r="M72" s="8" t="s">
        <v>377</v>
      </c>
      <c r="N72" s="8" t="s">
        <v>25</v>
      </c>
      <c r="O72" s="8" t="s">
        <v>184</v>
      </c>
      <c r="P72" s="8" t="s">
        <v>195</v>
      </c>
      <c r="Q72" s="8" t="s">
        <v>196</v>
      </c>
      <c r="R72" s="8" t="s">
        <v>382</v>
      </c>
      <c r="S72" s="8" t="s">
        <v>383</v>
      </c>
      <c r="T72" s="8"/>
      <c r="U72" s="8" t="s">
        <v>384</v>
      </c>
      <c r="V72" s="8"/>
      <c r="W72" s="8" t="s">
        <v>380</v>
      </c>
      <c r="X72" s="8" t="s">
        <v>99</v>
      </c>
      <c r="Y72" s="8" t="s">
        <v>23</v>
      </c>
    </row>
    <row r="73" spans="1:25" s="7" customFormat="1" hidden="1" x14ac:dyDescent="0.25">
      <c r="A73" s="273" t="s">
        <v>313</v>
      </c>
      <c r="B73" s="251">
        <v>45747</v>
      </c>
      <c r="C73" s="252" t="s">
        <v>420</v>
      </c>
      <c r="D73" s="252"/>
      <c r="E73" s="253">
        <v>238.09</v>
      </c>
      <c r="F73" s="253">
        <v>0</v>
      </c>
      <c r="G73" s="274">
        <f>Tabla3[[#This Row],[INGRESOS]]-Tabla3[[#This Row],[EGRESOS]]</f>
        <v>-238.09</v>
      </c>
      <c r="H73" s="137">
        <f>Tabla3[[#This Row],[SALDO]]+H72</f>
        <v>13427335.459999999</v>
      </c>
      <c r="I73" s="135">
        <v>1140</v>
      </c>
      <c r="J73" s="136">
        <f>Tabla3[[#This Row],[EGRESOS]]/Tabla3[[#This Row],[TC]]</f>
        <v>0.20885087719298245</v>
      </c>
      <c r="K73" s="136">
        <f>Tabla3[[#This Row],[INGRESOS]]/Tabla3[[#This Row],[TC]]</f>
        <v>0</v>
      </c>
      <c r="L73" s="8" t="s">
        <v>376</v>
      </c>
      <c r="M73" s="8" t="s">
        <v>377</v>
      </c>
      <c r="N73" s="8" t="s">
        <v>25</v>
      </c>
      <c r="O73" s="8" t="s">
        <v>184</v>
      </c>
      <c r="P73" s="8" t="s">
        <v>195</v>
      </c>
      <c r="Q73" s="8" t="s">
        <v>196</v>
      </c>
      <c r="R73" s="8" t="s">
        <v>421</v>
      </c>
      <c r="S73" s="8" t="s">
        <v>383</v>
      </c>
      <c r="T73" s="8"/>
      <c r="U73" s="8" t="s">
        <v>384</v>
      </c>
      <c r="V73" s="8"/>
      <c r="W73" s="8" t="s">
        <v>380</v>
      </c>
      <c r="X73" s="8" t="s">
        <v>99</v>
      </c>
      <c r="Y73" s="8" t="s">
        <v>23</v>
      </c>
    </row>
    <row r="74" spans="1:25" s="7" customFormat="1" hidden="1" x14ac:dyDescent="0.25">
      <c r="A74" s="273" t="s">
        <v>313</v>
      </c>
      <c r="B74" s="251">
        <v>45747</v>
      </c>
      <c r="C74" s="252" t="s">
        <v>420</v>
      </c>
      <c r="D74" s="252"/>
      <c r="E74" s="253">
        <v>119.04</v>
      </c>
      <c r="F74" s="253">
        <v>0</v>
      </c>
      <c r="G74" s="274">
        <f>Tabla3[[#This Row],[INGRESOS]]-Tabla3[[#This Row],[EGRESOS]]</f>
        <v>-119.04</v>
      </c>
      <c r="H74" s="137">
        <f>Tabla3[[#This Row],[SALDO]]+H73</f>
        <v>13427216.42</v>
      </c>
      <c r="I74" s="135">
        <v>1140</v>
      </c>
      <c r="J74" s="136">
        <f>Tabla3[[#This Row],[EGRESOS]]/Tabla3[[#This Row],[TC]]</f>
        <v>0.10442105263157896</v>
      </c>
      <c r="K74" s="136">
        <f>Tabla3[[#This Row],[INGRESOS]]/Tabla3[[#This Row],[TC]]</f>
        <v>0</v>
      </c>
      <c r="L74" s="8" t="s">
        <v>376</v>
      </c>
      <c r="M74" s="8" t="s">
        <v>377</v>
      </c>
      <c r="N74" s="8" t="s">
        <v>25</v>
      </c>
      <c r="O74" s="8" t="s">
        <v>184</v>
      </c>
      <c r="P74" s="8" t="s">
        <v>195</v>
      </c>
      <c r="Q74" s="8" t="s">
        <v>196</v>
      </c>
      <c r="R74" s="8" t="s">
        <v>421</v>
      </c>
      <c r="S74" s="8" t="s">
        <v>383</v>
      </c>
      <c r="T74" s="8"/>
      <c r="U74" s="8" t="s">
        <v>384</v>
      </c>
      <c r="V74" s="8"/>
      <c r="W74" s="8" t="s">
        <v>380</v>
      </c>
      <c r="X74" s="8" t="s">
        <v>99</v>
      </c>
      <c r="Y74" s="8" t="s">
        <v>23</v>
      </c>
    </row>
    <row r="75" spans="1:25" s="7" customFormat="1" hidden="1" x14ac:dyDescent="0.25">
      <c r="A75" s="273" t="s">
        <v>313</v>
      </c>
      <c r="B75" s="251">
        <v>45747</v>
      </c>
      <c r="C75" s="252" t="s">
        <v>443</v>
      </c>
      <c r="D75" s="252"/>
      <c r="E75" s="253">
        <v>1133.74</v>
      </c>
      <c r="F75" s="253">
        <v>0</v>
      </c>
      <c r="G75" s="274">
        <f>Tabla3[[#This Row],[INGRESOS]]-Tabla3[[#This Row],[EGRESOS]]</f>
        <v>-1133.74</v>
      </c>
      <c r="H75" s="137">
        <f>Tabla3[[#This Row],[SALDO]]+H74</f>
        <v>13426082.68</v>
      </c>
      <c r="I75" s="135">
        <v>1140</v>
      </c>
      <c r="J75" s="136">
        <f>Tabla3[[#This Row],[EGRESOS]]/Tabla3[[#This Row],[TC]]</f>
        <v>0.99450877192982456</v>
      </c>
      <c r="K75" s="136">
        <f>Tabla3[[#This Row],[INGRESOS]]/Tabla3[[#This Row],[TC]]</f>
        <v>0</v>
      </c>
      <c r="L75" s="8" t="s">
        <v>376</v>
      </c>
      <c r="M75" s="8" t="s">
        <v>377</v>
      </c>
      <c r="N75" s="8" t="s">
        <v>25</v>
      </c>
      <c r="O75" s="8" t="s">
        <v>184</v>
      </c>
      <c r="P75" s="8" t="s">
        <v>197</v>
      </c>
      <c r="Q75" s="8" t="s">
        <v>198</v>
      </c>
      <c r="R75" s="8" t="s">
        <v>419</v>
      </c>
      <c r="S75" s="8"/>
      <c r="T75" s="8"/>
      <c r="U75" s="8" t="s">
        <v>384</v>
      </c>
      <c r="V75" s="8"/>
      <c r="W75" s="8" t="s">
        <v>380</v>
      </c>
      <c r="X75" s="8" t="s">
        <v>99</v>
      </c>
      <c r="Y75" s="8" t="s">
        <v>23</v>
      </c>
    </row>
    <row r="76" spans="1:25" s="7" customFormat="1" hidden="1" x14ac:dyDescent="0.25">
      <c r="A76" s="273" t="s">
        <v>313</v>
      </c>
      <c r="B76" s="251">
        <v>45747</v>
      </c>
      <c r="C76" s="252" t="s">
        <v>273</v>
      </c>
      <c r="D76" s="252"/>
      <c r="E76" s="253">
        <v>6615</v>
      </c>
      <c r="F76" s="253">
        <v>0</v>
      </c>
      <c r="G76" s="274">
        <f>Tabla3[[#This Row],[INGRESOS]]-Tabla3[[#This Row],[EGRESOS]]</f>
        <v>-6615</v>
      </c>
      <c r="H76" s="137">
        <f>Tabla3[[#This Row],[SALDO]]+H75</f>
        <v>13419467.68</v>
      </c>
      <c r="I76" s="135">
        <v>1140</v>
      </c>
      <c r="J76" s="136">
        <f>Tabla3[[#This Row],[EGRESOS]]/Tabla3[[#This Row],[TC]]</f>
        <v>5.8026315789473681</v>
      </c>
      <c r="K76" s="136">
        <f>Tabla3[[#This Row],[INGRESOS]]/Tabla3[[#This Row],[TC]]</f>
        <v>0</v>
      </c>
      <c r="L76" s="8" t="s">
        <v>376</v>
      </c>
      <c r="M76" s="8" t="s">
        <v>377</v>
      </c>
      <c r="N76" s="8" t="s">
        <v>25</v>
      </c>
      <c r="O76" s="8" t="s">
        <v>184</v>
      </c>
      <c r="P76" s="8" t="s">
        <v>195</v>
      </c>
      <c r="Q76" s="8" t="s">
        <v>196</v>
      </c>
      <c r="R76" s="8" t="s">
        <v>273</v>
      </c>
      <c r="S76" s="8" t="s">
        <v>383</v>
      </c>
      <c r="T76" s="8"/>
      <c r="U76" s="8" t="s">
        <v>384</v>
      </c>
      <c r="V76" s="8"/>
      <c r="W76" s="8" t="s">
        <v>380</v>
      </c>
      <c r="X76" s="8" t="s">
        <v>99</v>
      </c>
      <c r="Y76" s="8" t="s">
        <v>23</v>
      </c>
    </row>
    <row r="77" spans="1:25" s="7" customFormat="1" hidden="1" x14ac:dyDescent="0.25">
      <c r="A77" s="273" t="s">
        <v>313</v>
      </c>
      <c r="B77" s="251">
        <v>45747</v>
      </c>
      <c r="C77" s="252" t="s">
        <v>443</v>
      </c>
      <c r="D77" s="252"/>
      <c r="E77" s="253">
        <v>2267.48</v>
      </c>
      <c r="F77" s="253">
        <v>0</v>
      </c>
      <c r="G77" s="274">
        <f>Tabla3[[#This Row],[INGRESOS]]-Tabla3[[#This Row],[EGRESOS]]</f>
        <v>-2267.48</v>
      </c>
      <c r="H77" s="137">
        <f>Tabla3[[#This Row],[SALDO]]+H76</f>
        <v>13417200.199999999</v>
      </c>
      <c r="I77" s="135">
        <v>1140</v>
      </c>
      <c r="J77" s="136">
        <f>Tabla3[[#This Row],[EGRESOS]]/Tabla3[[#This Row],[TC]]</f>
        <v>1.9890175438596491</v>
      </c>
      <c r="K77" s="136">
        <f>Tabla3[[#This Row],[INGRESOS]]/Tabla3[[#This Row],[TC]]</f>
        <v>0</v>
      </c>
      <c r="L77" s="8" t="s">
        <v>376</v>
      </c>
      <c r="M77" s="8" t="s">
        <v>377</v>
      </c>
      <c r="N77" s="8" t="s">
        <v>25</v>
      </c>
      <c r="O77" s="8" t="s">
        <v>184</v>
      </c>
      <c r="P77" s="8" t="s">
        <v>197</v>
      </c>
      <c r="Q77" s="8" t="s">
        <v>198</v>
      </c>
      <c r="R77" s="8" t="s">
        <v>419</v>
      </c>
      <c r="S77" s="8"/>
      <c r="T77" s="8"/>
      <c r="U77" s="8" t="s">
        <v>384</v>
      </c>
      <c r="V77" s="8"/>
      <c r="W77" s="8" t="s">
        <v>380</v>
      </c>
      <c r="X77" s="8" t="s">
        <v>99</v>
      </c>
      <c r="Y77" s="8" t="s">
        <v>23</v>
      </c>
    </row>
    <row r="78" spans="1:25" s="7" customFormat="1" hidden="1" x14ac:dyDescent="0.25">
      <c r="A78" s="273" t="s">
        <v>313</v>
      </c>
      <c r="B78" s="251">
        <v>45747</v>
      </c>
      <c r="C78" s="252" t="s">
        <v>422</v>
      </c>
      <c r="D78" s="252"/>
      <c r="E78" s="253">
        <v>8213.15</v>
      </c>
      <c r="F78" s="253">
        <v>0</v>
      </c>
      <c r="G78" s="274">
        <f>Tabla3[[#This Row],[INGRESOS]]-Tabla3[[#This Row],[EGRESOS]]</f>
        <v>-8213.15</v>
      </c>
      <c r="H78" s="137">
        <f>Tabla3[[#This Row],[SALDO]]+H77</f>
        <v>13408987.049999999</v>
      </c>
      <c r="I78" s="135">
        <v>1140</v>
      </c>
      <c r="J78" s="136">
        <f>Tabla3[[#This Row],[EGRESOS]]/Tabla3[[#This Row],[TC]]</f>
        <v>7.2045175438596489</v>
      </c>
      <c r="K78" s="136">
        <f>Tabla3[[#This Row],[INGRESOS]]/Tabla3[[#This Row],[TC]]</f>
        <v>0</v>
      </c>
      <c r="L78" s="8" t="s">
        <v>376</v>
      </c>
      <c r="M78" s="8" t="s">
        <v>377</v>
      </c>
      <c r="N78" s="8" t="s">
        <v>25</v>
      </c>
      <c r="O78" s="8" t="s">
        <v>184</v>
      </c>
      <c r="P78" s="8" t="s">
        <v>195</v>
      </c>
      <c r="Q78" s="8" t="s">
        <v>196</v>
      </c>
      <c r="R78" s="8" t="s">
        <v>423</v>
      </c>
      <c r="S78" s="8" t="s">
        <v>69</v>
      </c>
      <c r="T78" s="8"/>
      <c r="U78" s="8" t="s">
        <v>384</v>
      </c>
      <c r="V78" s="8"/>
      <c r="W78" s="8" t="s">
        <v>380</v>
      </c>
      <c r="X78" s="8" t="s">
        <v>99</v>
      </c>
      <c r="Y78" s="8" t="s">
        <v>23</v>
      </c>
    </row>
    <row r="79" spans="1:25" s="7" customFormat="1" hidden="1" x14ac:dyDescent="0.25">
      <c r="A79" s="273" t="s">
        <v>313</v>
      </c>
      <c r="B79" s="251">
        <v>45747</v>
      </c>
      <c r="C79" s="252" t="s">
        <v>422</v>
      </c>
      <c r="D79" s="252"/>
      <c r="E79" s="253">
        <v>59.15</v>
      </c>
      <c r="F79" s="253">
        <v>0</v>
      </c>
      <c r="G79" s="274">
        <f>Tabla3[[#This Row],[INGRESOS]]-Tabla3[[#This Row],[EGRESOS]]</f>
        <v>-59.15</v>
      </c>
      <c r="H79" s="137">
        <f>Tabla3[[#This Row],[SALDO]]+H78</f>
        <v>13408927.899999999</v>
      </c>
      <c r="I79" s="135">
        <v>1140</v>
      </c>
      <c r="J79" s="136">
        <f>Tabla3[[#This Row],[EGRESOS]]/Tabla3[[#This Row],[TC]]</f>
        <v>5.1885964912280702E-2</v>
      </c>
      <c r="K79" s="136">
        <f>Tabla3[[#This Row],[INGRESOS]]/Tabla3[[#This Row],[TC]]</f>
        <v>0</v>
      </c>
      <c r="L79" s="8" t="s">
        <v>376</v>
      </c>
      <c r="M79" s="8" t="s">
        <v>377</v>
      </c>
      <c r="N79" s="8" t="s">
        <v>25</v>
      </c>
      <c r="O79" s="8" t="s">
        <v>184</v>
      </c>
      <c r="P79" s="8" t="s">
        <v>195</v>
      </c>
      <c r="Q79" s="8" t="s">
        <v>196</v>
      </c>
      <c r="R79" s="8" t="s">
        <v>423</v>
      </c>
      <c r="S79" s="8" t="s">
        <v>69</v>
      </c>
      <c r="T79" s="8"/>
      <c r="U79" s="8" t="s">
        <v>384</v>
      </c>
      <c r="V79" s="8"/>
      <c r="W79" s="8" t="s">
        <v>380</v>
      </c>
      <c r="X79" s="8" t="s">
        <v>99</v>
      </c>
      <c r="Y79" s="8" t="s">
        <v>23</v>
      </c>
    </row>
    <row r="80" spans="1:25" s="7" customFormat="1" hidden="1" x14ac:dyDescent="0.25">
      <c r="A80" s="273" t="s">
        <v>313</v>
      </c>
      <c r="B80" s="251">
        <v>45747</v>
      </c>
      <c r="C80" s="252" t="s">
        <v>424</v>
      </c>
      <c r="D80" s="252"/>
      <c r="E80" s="253">
        <v>31500</v>
      </c>
      <c r="F80" s="253">
        <v>0</v>
      </c>
      <c r="G80" s="274">
        <f>Tabla3[[#This Row],[INGRESOS]]-Tabla3[[#This Row],[EGRESOS]]</f>
        <v>-31500</v>
      </c>
      <c r="H80" s="137">
        <f>Tabla3[[#This Row],[SALDO]]+H79</f>
        <v>13377427.899999999</v>
      </c>
      <c r="I80" s="135">
        <v>1140</v>
      </c>
      <c r="J80" s="136">
        <f>Tabla3[[#This Row],[EGRESOS]]/Tabla3[[#This Row],[TC]]</f>
        <v>27.631578947368421</v>
      </c>
      <c r="K80" s="136">
        <f>Tabla3[[#This Row],[INGRESOS]]/Tabla3[[#This Row],[TC]]</f>
        <v>0</v>
      </c>
      <c r="L80" s="8" t="s">
        <v>376</v>
      </c>
      <c r="M80" s="8" t="s">
        <v>377</v>
      </c>
      <c r="N80" s="8" t="s">
        <v>25</v>
      </c>
      <c r="O80" s="8" t="s">
        <v>184</v>
      </c>
      <c r="P80" s="8" t="s">
        <v>185</v>
      </c>
      <c r="Q80" s="8" t="s">
        <v>186</v>
      </c>
      <c r="R80" s="8" t="s">
        <v>227</v>
      </c>
      <c r="S80" s="8"/>
      <c r="T80" s="8"/>
      <c r="U80" s="8" t="s">
        <v>384</v>
      </c>
      <c r="V80" s="8"/>
      <c r="W80" s="8" t="s">
        <v>380</v>
      </c>
      <c r="X80" s="8" t="s">
        <v>99</v>
      </c>
      <c r="Y80" s="8" t="s">
        <v>23</v>
      </c>
    </row>
    <row r="81" spans="1:25" s="7" customFormat="1" hidden="1" x14ac:dyDescent="0.25">
      <c r="A81" s="273" t="s">
        <v>313</v>
      </c>
      <c r="B81" s="251">
        <v>45747</v>
      </c>
      <c r="C81" s="252" t="s">
        <v>417</v>
      </c>
      <c r="D81" s="252"/>
      <c r="E81" s="253">
        <v>945</v>
      </c>
      <c r="F81" s="253">
        <v>0</v>
      </c>
      <c r="G81" s="274">
        <f>Tabla3[[#This Row],[INGRESOS]]-Tabla3[[#This Row],[EGRESOS]]</f>
        <v>-945</v>
      </c>
      <c r="H81" s="137">
        <f>Tabla3[[#This Row],[SALDO]]+H80</f>
        <v>13376482.899999999</v>
      </c>
      <c r="I81" s="135">
        <v>1140</v>
      </c>
      <c r="J81" s="136">
        <f>Tabla3[[#This Row],[EGRESOS]]/Tabla3[[#This Row],[TC]]</f>
        <v>0.82894736842105265</v>
      </c>
      <c r="K81" s="136">
        <f>Tabla3[[#This Row],[INGRESOS]]/Tabla3[[#This Row],[TC]]</f>
        <v>0</v>
      </c>
      <c r="L81" s="8" t="s">
        <v>376</v>
      </c>
      <c r="M81" s="8" t="s">
        <v>377</v>
      </c>
      <c r="N81" s="8" t="s">
        <v>25</v>
      </c>
      <c r="O81" s="8" t="s">
        <v>184</v>
      </c>
      <c r="P81" s="8" t="s">
        <v>195</v>
      </c>
      <c r="Q81" s="8" t="s">
        <v>196</v>
      </c>
      <c r="R81" s="8" t="s">
        <v>417</v>
      </c>
      <c r="S81" s="8" t="s">
        <v>383</v>
      </c>
      <c r="T81" s="8"/>
      <c r="U81" s="8" t="s">
        <v>384</v>
      </c>
      <c r="V81" s="8"/>
      <c r="W81" s="8" t="s">
        <v>380</v>
      </c>
      <c r="X81" s="8" t="s">
        <v>99</v>
      </c>
      <c r="Y81" s="8" t="s">
        <v>23</v>
      </c>
    </row>
    <row r="82" spans="1:25" s="7" customFormat="1" hidden="1" x14ac:dyDescent="0.25">
      <c r="A82" s="273" t="s">
        <v>314</v>
      </c>
      <c r="B82" s="251">
        <v>45748</v>
      </c>
      <c r="C82" s="252" t="s">
        <v>381</v>
      </c>
      <c r="D82" s="252"/>
      <c r="E82" s="253">
        <v>44.64</v>
      </c>
      <c r="F82" s="253">
        <v>0</v>
      </c>
      <c r="G82" s="274">
        <f>Tabla3[[#This Row],[INGRESOS]]-Tabla3[[#This Row],[EGRESOS]]</f>
        <v>-44.64</v>
      </c>
      <c r="H82" s="137">
        <f>Tabla3[[#This Row],[SALDO]]+H81</f>
        <v>13376438.259999998</v>
      </c>
      <c r="I82" s="135">
        <v>1140</v>
      </c>
      <c r="J82" s="136">
        <f>Tabla3[[#This Row],[EGRESOS]]/Tabla3[[#This Row],[TC]]</f>
        <v>3.9157894736842107E-2</v>
      </c>
      <c r="K82" s="136">
        <f>Tabla3[[#This Row],[INGRESOS]]/Tabla3[[#This Row],[TC]]</f>
        <v>0</v>
      </c>
      <c r="L82" s="8" t="s">
        <v>376</v>
      </c>
      <c r="M82" s="8" t="s">
        <v>377</v>
      </c>
      <c r="N82" s="8" t="s">
        <v>25</v>
      </c>
      <c r="O82" s="8" t="s">
        <v>184</v>
      </c>
      <c r="P82" s="8" t="s">
        <v>195</v>
      </c>
      <c r="Q82" s="8" t="s">
        <v>196</v>
      </c>
      <c r="R82" s="8" t="s">
        <v>382</v>
      </c>
      <c r="S82" s="8" t="s">
        <v>383</v>
      </c>
      <c r="T82" s="8"/>
      <c r="U82" s="8" t="s">
        <v>384</v>
      </c>
      <c r="V82" s="8"/>
      <c r="W82" s="8" t="s">
        <v>380</v>
      </c>
      <c r="X82" s="8" t="s">
        <v>99</v>
      </c>
      <c r="Y82" s="8" t="s">
        <v>23</v>
      </c>
    </row>
    <row r="83" spans="1:25" s="7" customFormat="1" hidden="1" x14ac:dyDescent="0.25">
      <c r="A83" s="273" t="s">
        <v>314</v>
      </c>
      <c r="B83" s="251">
        <v>45748</v>
      </c>
      <c r="C83" s="252" t="s">
        <v>375</v>
      </c>
      <c r="D83" s="252"/>
      <c r="E83" s="253">
        <v>19600000</v>
      </c>
      <c r="F83" s="253">
        <v>0</v>
      </c>
      <c r="G83" s="274">
        <f>Tabla3[[#This Row],[INGRESOS]]-Tabla3[[#This Row],[EGRESOS]]</f>
        <v>-19600000</v>
      </c>
      <c r="H83" s="137">
        <f>Tabla3[[#This Row],[SALDO]]+H82</f>
        <v>-6223561.7400000021</v>
      </c>
      <c r="I83" s="135">
        <v>1140</v>
      </c>
      <c r="J83" s="136">
        <f>Tabla3[[#This Row],[EGRESOS]]/Tabla3[[#This Row],[TC]]</f>
        <v>17192.982456140351</v>
      </c>
      <c r="K83" s="136">
        <f>Tabla3[[#This Row],[INGRESOS]]/Tabla3[[#This Row],[TC]]</f>
        <v>0</v>
      </c>
      <c r="L83" s="8" t="s">
        <v>376</v>
      </c>
      <c r="M83" s="8" t="s">
        <v>377</v>
      </c>
      <c r="N83" s="8" t="s">
        <v>25</v>
      </c>
      <c r="O83" s="8" t="s">
        <v>244</v>
      </c>
      <c r="P83" s="8" t="s">
        <v>259</v>
      </c>
      <c r="Q83" s="8" t="s">
        <v>260</v>
      </c>
      <c r="R83" s="8" t="s">
        <v>444</v>
      </c>
      <c r="S83" s="8"/>
      <c r="T83" s="8"/>
      <c r="U83" s="8" t="s">
        <v>379</v>
      </c>
      <c r="V83" s="8"/>
      <c r="W83" s="8" t="s">
        <v>380</v>
      </c>
      <c r="X83" s="8"/>
      <c r="Y83" s="8"/>
    </row>
    <row r="84" spans="1:25" s="7" customFormat="1" hidden="1" x14ac:dyDescent="0.25">
      <c r="A84" s="273" t="s">
        <v>314</v>
      </c>
      <c r="B84" s="251">
        <v>45748</v>
      </c>
      <c r="C84" s="252" t="s">
        <v>445</v>
      </c>
      <c r="D84" s="252"/>
      <c r="E84" s="253">
        <v>6000</v>
      </c>
      <c r="F84" s="253">
        <v>0</v>
      </c>
      <c r="G84" s="274">
        <f>Tabla3[[#This Row],[INGRESOS]]-Tabla3[[#This Row],[EGRESOS]]</f>
        <v>-6000</v>
      </c>
      <c r="H84" s="137">
        <f>Tabla3[[#This Row],[SALDO]]+H83</f>
        <v>-6229561.7400000021</v>
      </c>
      <c r="I84" s="135">
        <v>1140</v>
      </c>
      <c r="J84" s="136">
        <f>Tabla3[[#This Row],[EGRESOS]]/Tabla3[[#This Row],[TC]]</f>
        <v>5.2631578947368425</v>
      </c>
      <c r="K84" s="136">
        <f>Tabla3[[#This Row],[INGRESOS]]/Tabla3[[#This Row],[TC]]</f>
        <v>0</v>
      </c>
      <c r="L84" s="8" t="s">
        <v>376</v>
      </c>
      <c r="M84" s="8" t="s">
        <v>377</v>
      </c>
      <c r="N84" s="8" t="s">
        <v>25</v>
      </c>
      <c r="O84" s="8" t="s">
        <v>184</v>
      </c>
      <c r="P84" s="8" t="s">
        <v>185</v>
      </c>
      <c r="Q84" s="8" t="s">
        <v>186</v>
      </c>
      <c r="R84" s="8" t="s">
        <v>227</v>
      </c>
      <c r="S84" s="8"/>
      <c r="T84" s="8"/>
      <c r="U84" s="8" t="s">
        <v>384</v>
      </c>
      <c r="V84" s="8"/>
      <c r="W84" s="8" t="s">
        <v>380</v>
      </c>
      <c r="X84" s="8" t="s">
        <v>99</v>
      </c>
      <c r="Y84" s="8" t="s">
        <v>23</v>
      </c>
    </row>
    <row r="85" spans="1:25" s="7" customFormat="1" hidden="1" x14ac:dyDescent="0.25">
      <c r="A85" s="273" t="s">
        <v>314</v>
      </c>
      <c r="B85" s="251">
        <v>45748</v>
      </c>
      <c r="C85" s="252" t="s">
        <v>273</v>
      </c>
      <c r="D85" s="252"/>
      <c r="E85" s="253">
        <v>1260</v>
      </c>
      <c r="F85" s="253">
        <v>0</v>
      </c>
      <c r="G85" s="274">
        <f>Tabla3[[#This Row],[INGRESOS]]-Tabla3[[#This Row],[EGRESOS]]</f>
        <v>-1260</v>
      </c>
      <c r="H85" s="137">
        <f>Tabla3[[#This Row],[SALDO]]+H84</f>
        <v>-6230821.7400000021</v>
      </c>
      <c r="I85" s="135">
        <v>1140</v>
      </c>
      <c r="J85" s="136">
        <f>Tabla3[[#This Row],[EGRESOS]]/Tabla3[[#This Row],[TC]]</f>
        <v>1.1052631578947369</v>
      </c>
      <c r="K85" s="136">
        <f>Tabla3[[#This Row],[INGRESOS]]/Tabla3[[#This Row],[TC]]</f>
        <v>0</v>
      </c>
      <c r="L85" s="8" t="s">
        <v>376</v>
      </c>
      <c r="M85" s="8" t="s">
        <v>377</v>
      </c>
      <c r="N85" s="8" t="s">
        <v>25</v>
      </c>
      <c r="O85" s="8" t="s">
        <v>184</v>
      </c>
      <c r="P85" s="8" t="s">
        <v>195</v>
      </c>
      <c r="Q85" s="8" t="s">
        <v>196</v>
      </c>
      <c r="R85" s="8" t="s">
        <v>273</v>
      </c>
      <c r="S85" s="8" t="s">
        <v>383</v>
      </c>
      <c r="T85" s="8"/>
      <c r="U85" s="8" t="s">
        <v>384</v>
      </c>
      <c r="V85" s="8"/>
      <c r="W85" s="8" t="s">
        <v>380</v>
      </c>
      <c r="X85" s="8" t="s">
        <v>99</v>
      </c>
      <c r="Y85" s="8" t="s">
        <v>23</v>
      </c>
    </row>
    <row r="86" spans="1:25" s="7" customFormat="1" hidden="1" x14ac:dyDescent="0.25">
      <c r="A86" s="273" t="s">
        <v>314</v>
      </c>
      <c r="B86" s="251">
        <v>45748</v>
      </c>
      <c r="C86" s="252" t="s">
        <v>417</v>
      </c>
      <c r="D86" s="252"/>
      <c r="E86" s="253">
        <v>180</v>
      </c>
      <c r="F86" s="253">
        <v>0</v>
      </c>
      <c r="G86" s="274">
        <f>Tabla3[[#This Row],[INGRESOS]]-Tabla3[[#This Row],[EGRESOS]]</f>
        <v>-180</v>
      </c>
      <c r="H86" s="137">
        <f>Tabla3[[#This Row],[SALDO]]+H85</f>
        <v>-6231001.7400000021</v>
      </c>
      <c r="I86" s="135">
        <v>1140</v>
      </c>
      <c r="J86" s="136">
        <f>Tabla3[[#This Row],[EGRESOS]]/Tabla3[[#This Row],[TC]]</f>
        <v>0.15789473684210525</v>
      </c>
      <c r="K86" s="136">
        <f>Tabla3[[#This Row],[INGRESOS]]/Tabla3[[#This Row],[TC]]</f>
        <v>0</v>
      </c>
      <c r="L86" s="8" t="s">
        <v>376</v>
      </c>
      <c r="M86" s="8" t="s">
        <v>377</v>
      </c>
      <c r="N86" s="8" t="s">
        <v>25</v>
      </c>
      <c r="O86" s="8" t="s">
        <v>184</v>
      </c>
      <c r="P86" s="8" t="s">
        <v>195</v>
      </c>
      <c r="Q86" s="8" t="s">
        <v>196</v>
      </c>
      <c r="R86" s="8" t="s">
        <v>417</v>
      </c>
      <c r="S86" s="8" t="s">
        <v>383</v>
      </c>
      <c r="T86" s="8"/>
      <c r="U86" s="8" t="s">
        <v>384</v>
      </c>
      <c r="V86" s="8"/>
      <c r="W86" s="8" t="s">
        <v>380</v>
      </c>
      <c r="X86" s="8" t="s">
        <v>99</v>
      </c>
      <c r="Y86" s="8" t="s">
        <v>23</v>
      </c>
    </row>
    <row r="87" spans="1:25" s="7" customFormat="1" hidden="1" x14ac:dyDescent="0.25">
      <c r="A87" s="273" t="s">
        <v>314</v>
      </c>
      <c r="B87" s="251">
        <v>45756</v>
      </c>
      <c r="C87" s="252" t="s">
        <v>446</v>
      </c>
      <c r="D87" s="252"/>
      <c r="E87" s="253">
        <v>0</v>
      </c>
      <c r="F87" s="253">
        <v>350000</v>
      </c>
      <c r="G87" s="274">
        <f>Tabla3[[#This Row],[INGRESOS]]-Tabla3[[#This Row],[EGRESOS]]</f>
        <v>350000</v>
      </c>
      <c r="H87" s="137">
        <f>Tabla3[[#This Row],[SALDO]]+H86</f>
        <v>-5881001.7400000021</v>
      </c>
      <c r="I87" s="135">
        <v>1140</v>
      </c>
      <c r="J87" s="136">
        <f>Tabla3[[#This Row],[EGRESOS]]/Tabla3[[#This Row],[TC]]</f>
        <v>0</v>
      </c>
      <c r="K87" s="136">
        <f>Tabla3[[#This Row],[INGRESOS]]/Tabla3[[#This Row],[TC]]</f>
        <v>307.01754385964909</v>
      </c>
      <c r="L87" s="8" t="s">
        <v>376</v>
      </c>
      <c r="M87" s="8" t="s">
        <v>377</v>
      </c>
      <c r="N87" s="8" t="s">
        <v>25</v>
      </c>
      <c r="O87" s="8" t="s">
        <v>244</v>
      </c>
      <c r="P87" s="8" t="s">
        <v>259</v>
      </c>
      <c r="Q87" s="8" t="s">
        <v>260</v>
      </c>
      <c r="R87" s="8" t="s">
        <v>447</v>
      </c>
      <c r="S87" s="8"/>
      <c r="T87" s="8"/>
      <c r="U87" s="8" t="s">
        <v>379</v>
      </c>
      <c r="V87" s="8"/>
      <c r="W87" s="8" t="s">
        <v>380</v>
      </c>
      <c r="X87" s="8"/>
      <c r="Y87" s="8"/>
    </row>
    <row r="88" spans="1:25" s="7" customFormat="1" x14ac:dyDescent="0.25">
      <c r="A88" s="247" t="s">
        <v>311</v>
      </c>
      <c r="B88" s="250">
        <v>45677</v>
      </c>
      <c r="C88" s="244" t="s">
        <v>375</v>
      </c>
      <c r="D88" s="244"/>
      <c r="E88" s="253">
        <v>106049.79</v>
      </c>
      <c r="F88" s="249">
        <v>0</v>
      </c>
      <c r="G88" s="266">
        <f>Tabla3[[#This Row],[INGRESOS]]-Tabla3[[#This Row],[EGRESOS]]</f>
        <v>-106049.79</v>
      </c>
      <c r="H88" s="137">
        <f>Tabla3[[#This Row],[SALDO]]+H87</f>
        <v>-5987051.5300000021</v>
      </c>
      <c r="I88" s="119">
        <v>1140</v>
      </c>
      <c r="J88" s="99">
        <f>Tabla3[[#This Row],[EGRESOS]]/Tabla3[[#This Row],[TC]]</f>
        <v>93.026131578947357</v>
      </c>
      <c r="K88" s="99">
        <f>Tabla3[[#This Row],[INGRESOS]]/Tabla3[[#This Row],[TC]]</f>
        <v>0</v>
      </c>
      <c r="L88" s="7" t="s">
        <v>376</v>
      </c>
      <c r="M88" s="7" t="s">
        <v>377</v>
      </c>
      <c r="N88" s="7" t="s">
        <v>25</v>
      </c>
      <c r="O88" s="7" t="s">
        <v>184</v>
      </c>
      <c r="P88" s="7" t="s">
        <v>203</v>
      </c>
      <c r="Q88" s="7" t="s">
        <v>208</v>
      </c>
      <c r="R88" s="7" t="s">
        <v>401</v>
      </c>
      <c r="S88" s="7" t="s">
        <v>386</v>
      </c>
      <c r="U88" s="7" t="s">
        <v>387</v>
      </c>
      <c r="V88" s="7" t="s">
        <v>386</v>
      </c>
      <c r="W88" s="7" t="s">
        <v>380</v>
      </c>
      <c r="X88" s="7" t="s">
        <v>104</v>
      </c>
      <c r="Y88" s="7" t="s">
        <v>23</v>
      </c>
    </row>
    <row r="89" spans="1:25" s="7" customFormat="1" hidden="1" x14ac:dyDescent="0.25">
      <c r="A89" s="273" t="s">
        <v>314</v>
      </c>
      <c r="B89" s="251">
        <v>45772</v>
      </c>
      <c r="C89" s="252" t="s">
        <v>449</v>
      </c>
      <c r="D89" s="252"/>
      <c r="E89" s="253">
        <v>22331.49</v>
      </c>
      <c r="F89" s="253">
        <v>0</v>
      </c>
      <c r="G89" s="274">
        <f>Tabla3[[#This Row],[INGRESOS]]-Tabla3[[#This Row],[EGRESOS]]</f>
        <v>-22331.49</v>
      </c>
      <c r="H89" s="137">
        <f>Tabla3[[#This Row],[SALDO]]+H88</f>
        <v>-6009383.0200000023</v>
      </c>
      <c r="I89" s="135">
        <v>1140</v>
      </c>
      <c r="J89" s="136">
        <f>Tabla3[[#This Row],[EGRESOS]]/Tabla3[[#This Row],[TC]]</f>
        <v>19.589026315789475</v>
      </c>
      <c r="K89" s="136">
        <f>Tabla3[[#This Row],[INGRESOS]]/Tabla3[[#This Row],[TC]]</f>
        <v>0</v>
      </c>
      <c r="L89" s="8" t="s">
        <v>376</v>
      </c>
      <c r="M89" s="8" t="s">
        <v>377</v>
      </c>
      <c r="N89" s="8" t="s">
        <v>25</v>
      </c>
      <c r="O89" s="8" t="s">
        <v>184</v>
      </c>
      <c r="P89" s="8" t="s">
        <v>195</v>
      </c>
      <c r="Q89" s="8" t="s">
        <v>196</v>
      </c>
      <c r="R89" s="8" t="s">
        <v>394</v>
      </c>
      <c r="S89" s="8" t="s">
        <v>383</v>
      </c>
      <c r="T89" s="8"/>
      <c r="U89" s="8" t="s">
        <v>384</v>
      </c>
      <c r="V89" s="8"/>
      <c r="W89" s="8" t="s">
        <v>380</v>
      </c>
      <c r="X89" s="8" t="s">
        <v>99</v>
      </c>
      <c r="Y89" s="8" t="s">
        <v>23</v>
      </c>
    </row>
    <row r="90" spans="1:25" s="7" customFormat="1" hidden="1" x14ac:dyDescent="0.25">
      <c r="A90" s="273" t="s">
        <v>314</v>
      </c>
      <c r="B90" s="251">
        <v>45772</v>
      </c>
      <c r="C90" s="252" t="s">
        <v>450</v>
      </c>
      <c r="D90" s="252"/>
      <c r="E90" s="253">
        <v>8400</v>
      </c>
      <c r="F90" s="253">
        <v>0</v>
      </c>
      <c r="G90" s="274">
        <f>Tabla3[[#This Row],[INGRESOS]]-Tabla3[[#This Row],[EGRESOS]]</f>
        <v>-8400</v>
      </c>
      <c r="H90" s="137">
        <f>Tabla3[[#This Row],[SALDO]]+H89</f>
        <v>-6017783.0200000023</v>
      </c>
      <c r="I90" s="135">
        <v>1140</v>
      </c>
      <c r="J90" s="136">
        <f>Tabla3[[#This Row],[EGRESOS]]/Tabla3[[#This Row],[TC]]</f>
        <v>7.3684210526315788</v>
      </c>
      <c r="K90" s="136">
        <f>Tabla3[[#This Row],[INGRESOS]]/Tabla3[[#This Row],[TC]]</f>
        <v>0</v>
      </c>
      <c r="L90" s="8" t="s">
        <v>376</v>
      </c>
      <c r="M90" s="8" t="s">
        <v>377</v>
      </c>
      <c r="N90" s="8" t="s">
        <v>25</v>
      </c>
      <c r="O90" s="8" t="s">
        <v>184</v>
      </c>
      <c r="P90" s="8" t="s">
        <v>195</v>
      </c>
      <c r="Q90" s="8" t="s">
        <v>196</v>
      </c>
      <c r="R90" s="8" t="s">
        <v>394</v>
      </c>
      <c r="S90" s="8" t="s">
        <v>383</v>
      </c>
      <c r="T90" s="8"/>
      <c r="U90" s="8" t="s">
        <v>384</v>
      </c>
      <c r="V90" s="8"/>
      <c r="W90" s="8" t="s">
        <v>380</v>
      </c>
      <c r="X90" s="8" t="s">
        <v>99</v>
      </c>
      <c r="Y90" s="8" t="s">
        <v>23</v>
      </c>
    </row>
    <row r="91" spans="1:25" s="7" customFormat="1" hidden="1" x14ac:dyDescent="0.25">
      <c r="A91" s="273" t="s">
        <v>314</v>
      </c>
      <c r="B91" s="251">
        <v>45772</v>
      </c>
      <c r="C91" s="252" t="s">
        <v>446</v>
      </c>
      <c r="D91" s="252"/>
      <c r="E91" s="253">
        <v>0</v>
      </c>
      <c r="F91" s="253">
        <v>2340000</v>
      </c>
      <c r="G91" s="274">
        <f>Tabla3[[#This Row],[INGRESOS]]-Tabla3[[#This Row],[EGRESOS]]</f>
        <v>2340000</v>
      </c>
      <c r="H91" s="137">
        <f>Tabla3[[#This Row],[SALDO]]+H90</f>
        <v>-3677783.0200000023</v>
      </c>
      <c r="I91" s="135">
        <v>1140</v>
      </c>
      <c r="J91" s="136">
        <f>Tabla3[[#This Row],[EGRESOS]]/Tabla3[[#This Row],[TC]]</f>
        <v>0</v>
      </c>
      <c r="K91" s="136">
        <f>Tabla3[[#This Row],[INGRESOS]]/Tabla3[[#This Row],[TC]]</f>
        <v>2052.6315789473683</v>
      </c>
      <c r="L91" s="8" t="s">
        <v>376</v>
      </c>
      <c r="M91" s="8" t="s">
        <v>377</v>
      </c>
      <c r="N91" s="8" t="s">
        <v>25</v>
      </c>
      <c r="O91" s="8" t="s">
        <v>244</v>
      </c>
      <c r="P91" s="8" t="s">
        <v>259</v>
      </c>
      <c r="Q91" s="8" t="s">
        <v>260</v>
      </c>
      <c r="R91" s="8" t="s">
        <v>447</v>
      </c>
      <c r="S91" s="8"/>
      <c r="T91" s="8"/>
      <c r="U91" s="8" t="s">
        <v>379</v>
      </c>
      <c r="V91" s="8"/>
      <c r="W91" s="8" t="s">
        <v>380</v>
      </c>
      <c r="X91" s="8"/>
      <c r="Y91" s="8"/>
    </row>
    <row r="92" spans="1:25" s="7" customFormat="1" hidden="1" x14ac:dyDescent="0.25">
      <c r="A92" s="273" t="s">
        <v>314</v>
      </c>
      <c r="B92" s="251">
        <v>45772</v>
      </c>
      <c r="C92" s="252" t="s">
        <v>446</v>
      </c>
      <c r="D92" s="252"/>
      <c r="E92" s="253">
        <v>0</v>
      </c>
      <c r="F92" s="253">
        <v>1350000</v>
      </c>
      <c r="G92" s="274">
        <f>Tabla3[[#This Row],[INGRESOS]]-Tabla3[[#This Row],[EGRESOS]]</f>
        <v>1350000</v>
      </c>
      <c r="H92" s="137">
        <f>Tabla3[[#This Row],[SALDO]]+H91</f>
        <v>-2327783.0200000023</v>
      </c>
      <c r="I92" s="135">
        <v>1140</v>
      </c>
      <c r="J92" s="136">
        <f>Tabla3[[#This Row],[EGRESOS]]/Tabla3[[#This Row],[TC]]</f>
        <v>0</v>
      </c>
      <c r="K92" s="136">
        <f>Tabla3[[#This Row],[INGRESOS]]/Tabla3[[#This Row],[TC]]</f>
        <v>1184.2105263157894</v>
      </c>
      <c r="L92" s="8" t="s">
        <v>376</v>
      </c>
      <c r="M92" s="8" t="s">
        <v>377</v>
      </c>
      <c r="N92" s="8" t="s">
        <v>25</v>
      </c>
      <c r="O92" s="8" t="s">
        <v>184</v>
      </c>
      <c r="P92" s="8" t="s">
        <v>210</v>
      </c>
      <c r="Q92" s="8" t="s">
        <v>204</v>
      </c>
      <c r="R92" s="8" t="s">
        <v>451</v>
      </c>
      <c r="S92" s="8" t="s">
        <v>452</v>
      </c>
      <c r="T92" s="8"/>
      <c r="U92" s="8" t="s">
        <v>453</v>
      </c>
      <c r="V92" s="8"/>
      <c r="W92" s="8" t="s">
        <v>380</v>
      </c>
      <c r="X92" s="8" t="s">
        <v>23</v>
      </c>
      <c r="Y92" s="8" t="s">
        <v>45</v>
      </c>
    </row>
    <row r="93" spans="1:25" s="7" customFormat="1" hidden="1" x14ac:dyDescent="0.25">
      <c r="A93" s="273" t="s">
        <v>314</v>
      </c>
      <c r="B93" s="251">
        <v>45772</v>
      </c>
      <c r="C93" s="252" t="s">
        <v>454</v>
      </c>
      <c r="D93" s="252"/>
      <c r="E93" s="253">
        <v>3721914.98</v>
      </c>
      <c r="F93" s="253">
        <v>0</v>
      </c>
      <c r="G93" s="274">
        <f>Tabla3[[#This Row],[INGRESOS]]-Tabla3[[#This Row],[EGRESOS]]</f>
        <v>-3721914.98</v>
      </c>
      <c r="H93" s="137">
        <f>Tabla3[[#This Row],[SALDO]]+H92</f>
        <v>-6049698.0000000019</v>
      </c>
      <c r="I93" s="135">
        <v>1140</v>
      </c>
      <c r="J93" s="136">
        <f>Tabla3[[#This Row],[EGRESOS]]/Tabla3[[#This Row],[TC]]</f>
        <v>3264.8377017543858</v>
      </c>
      <c r="K93" s="136">
        <f>Tabla3[[#This Row],[INGRESOS]]/Tabla3[[#This Row],[TC]]</f>
        <v>0</v>
      </c>
      <c r="L93" s="8" t="s">
        <v>376</v>
      </c>
      <c r="M93" s="8" t="s">
        <v>377</v>
      </c>
      <c r="N93" s="8" t="s">
        <v>25</v>
      </c>
      <c r="O93" s="8" t="s">
        <v>244</v>
      </c>
      <c r="P93" s="8" t="s">
        <v>38</v>
      </c>
      <c r="Q93" s="8" t="s">
        <v>247</v>
      </c>
      <c r="R93" s="8" t="s">
        <v>455</v>
      </c>
      <c r="S93" s="8" t="s">
        <v>456</v>
      </c>
      <c r="T93" s="8"/>
      <c r="U93" s="8" t="s">
        <v>457</v>
      </c>
      <c r="V93" s="8"/>
      <c r="W93" s="8" t="s">
        <v>380</v>
      </c>
      <c r="X93" s="8" t="s">
        <v>92</v>
      </c>
      <c r="Y93" s="8" t="s">
        <v>23</v>
      </c>
    </row>
    <row r="94" spans="1:25" s="7" customFormat="1" x14ac:dyDescent="0.25">
      <c r="A94" s="247" t="s">
        <v>311</v>
      </c>
      <c r="B94" s="248">
        <v>45681</v>
      </c>
      <c r="C94" s="244" t="s">
        <v>504</v>
      </c>
      <c r="D94" s="244"/>
      <c r="E94" s="249">
        <v>26628.560000000001</v>
      </c>
      <c r="F94" s="249">
        <v>0</v>
      </c>
      <c r="G94" s="266">
        <f>Tabla3[[#This Row],[INGRESOS]]-Tabla3[[#This Row],[EGRESOS]]</f>
        <v>-26628.560000000001</v>
      </c>
      <c r="H94" s="137">
        <v>-1741347.52</v>
      </c>
      <c r="I94" s="119">
        <v>1140</v>
      </c>
      <c r="J94" s="99">
        <f>Tabla3[[#This Row],[EGRESOS]]/Tabla3[[#This Row],[TC]]</f>
        <v>23.358385964912284</v>
      </c>
      <c r="K94" s="99">
        <f>Tabla3[[#This Row],[INGRESOS]]/Tabla3[[#This Row],[TC]]</f>
        <v>0</v>
      </c>
      <c r="L94" s="7" t="s">
        <v>376</v>
      </c>
      <c r="M94" s="7" t="s">
        <v>377</v>
      </c>
      <c r="N94" s="7" t="s">
        <v>30</v>
      </c>
      <c r="O94" s="7" t="s">
        <v>184</v>
      </c>
      <c r="P94" s="7" t="s">
        <v>203</v>
      </c>
      <c r="Q94" s="7" t="s">
        <v>208</v>
      </c>
      <c r="R94" s="7" t="s">
        <v>507</v>
      </c>
      <c r="S94" s="7" t="s">
        <v>386</v>
      </c>
      <c r="U94" s="7" t="s">
        <v>387</v>
      </c>
      <c r="V94" s="7" t="s">
        <v>386</v>
      </c>
      <c r="W94" s="7" t="s">
        <v>380</v>
      </c>
      <c r="X94" s="7" t="s">
        <v>104</v>
      </c>
      <c r="Y94" s="7" t="s">
        <v>23</v>
      </c>
    </row>
    <row r="95" spans="1:25" s="7" customFormat="1" hidden="1" x14ac:dyDescent="0.25">
      <c r="A95" s="273" t="s">
        <v>314</v>
      </c>
      <c r="B95" s="251">
        <v>45776</v>
      </c>
      <c r="C95" s="252" t="s">
        <v>450</v>
      </c>
      <c r="D95" s="252"/>
      <c r="E95" s="253">
        <v>6</v>
      </c>
      <c r="F95" s="253">
        <v>0</v>
      </c>
      <c r="G95" s="274">
        <f>Tabla3[[#This Row],[INGRESOS]]-Tabla3[[#This Row],[EGRESOS]]</f>
        <v>-6</v>
      </c>
      <c r="H95" s="137">
        <f>Tabla3[[#This Row],[SALDO]]+H94</f>
        <v>-1741353.52</v>
      </c>
      <c r="I95" s="135">
        <v>1140</v>
      </c>
      <c r="J95" s="136">
        <f>Tabla3[[#This Row],[EGRESOS]]/Tabla3[[#This Row],[TC]]</f>
        <v>5.263157894736842E-3</v>
      </c>
      <c r="K95" s="136">
        <f>Tabla3[[#This Row],[INGRESOS]]/Tabla3[[#This Row],[TC]]</f>
        <v>0</v>
      </c>
      <c r="L95" s="8" t="s">
        <v>376</v>
      </c>
      <c r="M95" s="8" t="s">
        <v>377</v>
      </c>
      <c r="N95" s="8" t="s">
        <v>25</v>
      </c>
      <c r="O95" s="8" t="s">
        <v>184</v>
      </c>
      <c r="P95" s="8" t="s">
        <v>195</v>
      </c>
      <c r="Q95" s="8" t="s">
        <v>196</v>
      </c>
      <c r="R95" s="8" t="s">
        <v>394</v>
      </c>
      <c r="S95" s="8" t="s">
        <v>383</v>
      </c>
      <c r="T95" s="8"/>
      <c r="U95" s="8" t="s">
        <v>384</v>
      </c>
      <c r="V95" s="8"/>
      <c r="W95" s="8" t="s">
        <v>380</v>
      </c>
      <c r="X95" s="8" t="s">
        <v>99</v>
      </c>
      <c r="Y95" s="8" t="s">
        <v>23</v>
      </c>
    </row>
    <row r="96" spans="1:25" s="7" customFormat="1" hidden="1" x14ac:dyDescent="0.25">
      <c r="A96" s="273" t="s">
        <v>314</v>
      </c>
      <c r="B96" s="251">
        <v>45777</v>
      </c>
      <c r="C96" s="252" t="s">
        <v>458</v>
      </c>
      <c r="D96" s="252"/>
      <c r="E96" s="253">
        <v>6283.35</v>
      </c>
      <c r="F96" s="253">
        <v>0</v>
      </c>
      <c r="G96" s="274">
        <f>Tabla3[[#This Row],[INGRESOS]]-Tabla3[[#This Row],[EGRESOS]]</f>
        <v>-6283.35</v>
      </c>
      <c r="H96" s="137">
        <f>Tabla3[[#This Row],[SALDO]]+H95</f>
        <v>-1747636.87</v>
      </c>
      <c r="I96" s="135">
        <v>1141</v>
      </c>
      <c r="J96" s="136">
        <f>Tabla3[[#This Row],[EGRESOS]]/Tabla3[[#This Row],[TC]]</f>
        <v>5.5068799298860656</v>
      </c>
      <c r="K96" s="136">
        <f>Tabla3[[#This Row],[INGRESOS]]/Tabla3[[#This Row],[TC]]</f>
        <v>0</v>
      </c>
      <c r="L96" s="8" t="s">
        <v>376</v>
      </c>
      <c r="M96" s="8" t="s">
        <v>377</v>
      </c>
      <c r="N96" s="8" t="s">
        <v>25</v>
      </c>
      <c r="O96" s="8" t="s">
        <v>184</v>
      </c>
      <c r="P96" s="8" t="s">
        <v>195</v>
      </c>
      <c r="Q96" s="8" t="s">
        <v>196</v>
      </c>
      <c r="R96" s="8" t="s">
        <v>417</v>
      </c>
      <c r="S96" s="8" t="s">
        <v>383</v>
      </c>
      <c r="T96" s="8"/>
      <c r="U96" s="8" t="s">
        <v>384</v>
      </c>
      <c r="V96" s="8"/>
      <c r="W96" s="8" t="s">
        <v>380</v>
      </c>
      <c r="X96" s="8" t="s">
        <v>99</v>
      </c>
      <c r="Y96" s="8" t="s">
        <v>23</v>
      </c>
    </row>
    <row r="97" spans="1:25" s="7" customFormat="1" hidden="1" x14ac:dyDescent="0.25">
      <c r="A97" s="273" t="s">
        <v>314</v>
      </c>
      <c r="B97" s="251">
        <v>45777</v>
      </c>
      <c r="C97" s="252" t="s">
        <v>459</v>
      </c>
      <c r="D97" s="252"/>
      <c r="E97" s="253">
        <v>418889.79</v>
      </c>
      <c r="F97" s="253">
        <v>0</v>
      </c>
      <c r="G97" s="274">
        <f>Tabla3[[#This Row],[INGRESOS]]-Tabla3[[#This Row],[EGRESOS]]</f>
        <v>-418889.79</v>
      </c>
      <c r="H97" s="137">
        <f>Tabla3[[#This Row],[SALDO]]+H96</f>
        <v>-2166526.66</v>
      </c>
      <c r="I97" s="135">
        <v>1142</v>
      </c>
      <c r="J97" s="136">
        <f>Tabla3[[#This Row],[EGRESOS]]/Tabla3[[#This Row],[TC]]</f>
        <v>366.8036690017513</v>
      </c>
      <c r="K97" s="136">
        <f>Tabla3[[#This Row],[INGRESOS]]/Tabla3[[#This Row],[TC]]</f>
        <v>0</v>
      </c>
      <c r="L97" s="8" t="s">
        <v>376</v>
      </c>
      <c r="M97" s="8" t="s">
        <v>377</v>
      </c>
      <c r="N97" s="8" t="s">
        <v>25</v>
      </c>
      <c r="O97" s="8" t="s">
        <v>184</v>
      </c>
      <c r="P97" s="8" t="s">
        <v>197</v>
      </c>
      <c r="Q97" s="8" t="s">
        <v>198</v>
      </c>
      <c r="R97" s="8" t="s">
        <v>419</v>
      </c>
      <c r="S97" s="8"/>
      <c r="T97" s="8"/>
      <c r="U97" s="8" t="s">
        <v>384</v>
      </c>
      <c r="V97" s="8"/>
      <c r="W97" s="8" t="s">
        <v>380</v>
      </c>
      <c r="X97" s="8" t="s">
        <v>99</v>
      </c>
      <c r="Y97" s="8" t="s">
        <v>23</v>
      </c>
    </row>
    <row r="98" spans="1:25" s="7" customFormat="1" hidden="1" x14ac:dyDescent="0.25">
      <c r="A98" s="273" t="s">
        <v>314</v>
      </c>
      <c r="B98" s="251">
        <v>45777</v>
      </c>
      <c r="C98" s="252" t="s">
        <v>449</v>
      </c>
      <c r="D98" s="252"/>
      <c r="E98" s="253">
        <v>3191.16</v>
      </c>
      <c r="F98" s="253">
        <v>0</v>
      </c>
      <c r="G98" s="274">
        <f>Tabla3[[#This Row],[INGRESOS]]-Tabla3[[#This Row],[EGRESOS]]</f>
        <v>-3191.16</v>
      </c>
      <c r="H98" s="137">
        <f>Tabla3[[#This Row],[SALDO]]+H97</f>
        <v>-2169717.8200000003</v>
      </c>
      <c r="I98" s="135">
        <v>1143</v>
      </c>
      <c r="J98" s="136">
        <f>Tabla3[[#This Row],[EGRESOS]]/Tabla3[[#This Row],[TC]]</f>
        <v>2.7919160104986873</v>
      </c>
      <c r="K98" s="136">
        <f>Tabla3[[#This Row],[INGRESOS]]/Tabla3[[#This Row],[TC]]</f>
        <v>0</v>
      </c>
      <c r="L98" s="8" t="s">
        <v>376</v>
      </c>
      <c r="M98" s="8" t="s">
        <v>377</v>
      </c>
      <c r="N98" s="8" t="s">
        <v>25</v>
      </c>
      <c r="O98" s="8" t="s">
        <v>184</v>
      </c>
      <c r="P98" s="8" t="s">
        <v>195</v>
      </c>
      <c r="Q98" s="8" t="s">
        <v>196</v>
      </c>
      <c r="R98" s="8" t="s">
        <v>382</v>
      </c>
      <c r="S98" s="8" t="s">
        <v>383</v>
      </c>
      <c r="T98" s="8"/>
      <c r="U98" s="8" t="s">
        <v>384</v>
      </c>
      <c r="V98" s="8"/>
      <c r="W98" s="8" t="s">
        <v>380</v>
      </c>
      <c r="X98" s="8" t="s">
        <v>99</v>
      </c>
      <c r="Y98" s="8" t="s">
        <v>23</v>
      </c>
    </row>
    <row r="99" spans="1:25" s="7" customFormat="1" hidden="1" x14ac:dyDescent="0.25">
      <c r="A99" s="273" t="s">
        <v>314</v>
      </c>
      <c r="B99" s="251">
        <v>45777</v>
      </c>
      <c r="C99" s="252" t="s">
        <v>460</v>
      </c>
      <c r="D99" s="252"/>
      <c r="E99" s="253">
        <v>43983.43</v>
      </c>
      <c r="F99" s="253">
        <v>0</v>
      </c>
      <c r="G99" s="274">
        <f>Tabla3[[#This Row],[INGRESOS]]-Tabla3[[#This Row],[EGRESOS]]</f>
        <v>-43983.43</v>
      </c>
      <c r="H99" s="137">
        <f>Tabla3[[#This Row],[SALDO]]+H98</f>
        <v>-2213701.2500000005</v>
      </c>
      <c r="I99" s="135">
        <v>1144</v>
      </c>
      <c r="J99" s="136">
        <f>Tabla3[[#This Row],[EGRESOS]]/Tabla3[[#This Row],[TC]]</f>
        <v>38.447054195804199</v>
      </c>
      <c r="K99" s="136">
        <f>Tabla3[[#This Row],[INGRESOS]]/Tabla3[[#This Row],[TC]]</f>
        <v>0</v>
      </c>
      <c r="L99" s="8" t="s">
        <v>376</v>
      </c>
      <c r="M99" s="8" t="s">
        <v>377</v>
      </c>
      <c r="N99" s="8" t="s">
        <v>25</v>
      </c>
      <c r="O99" s="8" t="s">
        <v>184</v>
      </c>
      <c r="P99" s="8" t="s">
        <v>195</v>
      </c>
      <c r="Q99" s="8" t="s">
        <v>196</v>
      </c>
      <c r="R99" s="8" t="s">
        <v>421</v>
      </c>
      <c r="S99" s="8" t="s">
        <v>383</v>
      </c>
      <c r="T99" s="8"/>
      <c r="U99" s="8" t="s">
        <v>384</v>
      </c>
      <c r="V99" s="8"/>
      <c r="W99" s="8" t="s">
        <v>380</v>
      </c>
      <c r="X99" s="8" t="s">
        <v>99</v>
      </c>
      <c r="Y99" s="8" t="s">
        <v>23</v>
      </c>
    </row>
    <row r="100" spans="1:25" s="7" customFormat="1" hidden="1" x14ac:dyDescent="0.25">
      <c r="A100" s="273" t="s">
        <v>314</v>
      </c>
      <c r="B100" s="251">
        <v>45777</v>
      </c>
      <c r="C100" s="252" t="s">
        <v>460</v>
      </c>
      <c r="D100" s="252"/>
      <c r="E100" s="253">
        <v>357.2</v>
      </c>
      <c r="F100" s="253">
        <v>0</v>
      </c>
      <c r="G100" s="274">
        <f>Tabla3[[#This Row],[INGRESOS]]-Tabla3[[#This Row],[EGRESOS]]</f>
        <v>-357.2</v>
      </c>
      <c r="H100" s="137">
        <f>Tabla3[[#This Row],[SALDO]]+H99</f>
        <v>-2214058.4500000007</v>
      </c>
      <c r="I100" s="135">
        <v>1145</v>
      </c>
      <c r="J100" s="136">
        <f>Tabla3[[#This Row],[EGRESOS]]/Tabla3[[#This Row],[TC]]</f>
        <v>0.31196506550218339</v>
      </c>
      <c r="K100" s="136">
        <f>Tabla3[[#This Row],[INGRESOS]]/Tabla3[[#This Row],[TC]]</f>
        <v>0</v>
      </c>
      <c r="L100" s="8" t="s">
        <v>376</v>
      </c>
      <c r="M100" s="8" t="s">
        <v>377</v>
      </c>
      <c r="N100" s="8" t="s">
        <v>25</v>
      </c>
      <c r="O100" s="8" t="s">
        <v>184</v>
      </c>
      <c r="P100" s="8" t="s">
        <v>195</v>
      </c>
      <c r="Q100" s="8" t="s">
        <v>196</v>
      </c>
      <c r="R100" s="8" t="s">
        <v>421</v>
      </c>
      <c r="S100" s="8" t="s">
        <v>383</v>
      </c>
      <c r="T100" s="8"/>
      <c r="U100" s="8" t="s">
        <v>384</v>
      </c>
      <c r="V100" s="8"/>
      <c r="W100" s="8" t="s">
        <v>380</v>
      </c>
      <c r="X100" s="8" t="s">
        <v>99</v>
      </c>
      <c r="Y100" s="8" t="s">
        <v>23</v>
      </c>
    </row>
    <row r="101" spans="1:25" s="7" customFormat="1" hidden="1" x14ac:dyDescent="0.25">
      <c r="A101" s="273" t="s">
        <v>314</v>
      </c>
      <c r="B101" s="251">
        <v>45777</v>
      </c>
      <c r="C101" s="252" t="s">
        <v>460</v>
      </c>
      <c r="D101" s="252"/>
      <c r="E101" s="253">
        <v>178.6</v>
      </c>
      <c r="F101" s="253">
        <v>0</v>
      </c>
      <c r="G101" s="274">
        <f>Tabla3[[#This Row],[INGRESOS]]-Tabla3[[#This Row],[EGRESOS]]</f>
        <v>-178.6</v>
      </c>
      <c r="H101" s="137">
        <f>Tabla3[[#This Row],[SALDO]]+H100</f>
        <v>-2214237.0500000007</v>
      </c>
      <c r="I101" s="135">
        <v>1146</v>
      </c>
      <c r="J101" s="136">
        <f>Tabla3[[#This Row],[EGRESOS]]/Tabla3[[#This Row],[TC]]</f>
        <v>0.15584642233856894</v>
      </c>
      <c r="K101" s="136">
        <f>Tabla3[[#This Row],[INGRESOS]]/Tabla3[[#This Row],[TC]]</f>
        <v>0</v>
      </c>
      <c r="L101" s="8" t="s">
        <v>376</v>
      </c>
      <c r="M101" s="8" t="s">
        <v>377</v>
      </c>
      <c r="N101" s="8" t="s">
        <v>25</v>
      </c>
      <c r="O101" s="8" t="s">
        <v>184</v>
      </c>
      <c r="P101" s="8" t="s">
        <v>195</v>
      </c>
      <c r="Q101" s="8" t="s">
        <v>196</v>
      </c>
      <c r="R101" s="8" t="s">
        <v>421</v>
      </c>
      <c r="S101" s="8" t="s">
        <v>383</v>
      </c>
      <c r="T101" s="8"/>
      <c r="U101" s="8" t="s">
        <v>384</v>
      </c>
      <c r="V101" s="8"/>
      <c r="W101" s="8" t="s">
        <v>380</v>
      </c>
      <c r="X101" s="8" t="s">
        <v>99</v>
      </c>
      <c r="Y101" s="8" t="s">
        <v>23</v>
      </c>
    </row>
    <row r="102" spans="1:25" s="7" customFormat="1" hidden="1" x14ac:dyDescent="0.25">
      <c r="A102" s="273" t="s">
        <v>314</v>
      </c>
      <c r="B102" s="251">
        <v>45777</v>
      </c>
      <c r="C102" s="252" t="s">
        <v>461</v>
      </c>
      <c r="D102" s="252"/>
      <c r="E102" s="253">
        <v>1700.96</v>
      </c>
      <c r="F102" s="253">
        <v>0</v>
      </c>
      <c r="G102" s="274">
        <f>Tabla3[[#This Row],[INGRESOS]]-Tabla3[[#This Row],[EGRESOS]]</f>
        <v>-1700.96</v>
      </c>
      <c r="H102" s="137">
        <f>Tabla3[[#This Row],[SALDO]]+H101</f>
        <v>-2215938.0100000007</v>
      </c>
      <c r="I102" s="135">
        <v>1147</v>
      </c>
      <c r="J102" s="136">
        <f>Tabla3[[#This Row],[EGRESOS]]/Tabla3[[#This Row],[TC]]</f>
        <v>1.4829642545771577</v>
      </c>
      <c r="K102" s="136">
        <f>Tabla3[[#This Row],[INGRESOS]]/Tabla3[[#This Row],[TC]]</f>
        <v>0</v>
      </c>
      <c r="L102" s="8" t="s">
        <v>376</v>
      </c>
      <c r="M102" s="8" t="s">
        <v>377</v>
      </c>
      <c r="N102" s="8" t="s">
        <v>25</v>
      </c>
      <c r="O102" s="8" t="s">
        <v>184</v>
      </c>
      <c r="P102" s="8" t="s">
        <v>197</v>
      </c>
      <c r="Q102" s="8" t="s">
        <v>198</v>
      </c>
      <c r="R102" s="8" t="s">
        <v>419</v>
      </c>
      <c r="S102" s="8"/>
      <c r="T102" s="8"/>
      <c r="U102" s="8" t="s">
        <v>384</v>
      </c>
      <c r="V102" s="8"/>
      <c r="W102" s="8" t="s">
        <v>380</v>
      </c>
      <c r="X102" s="8" t="s">
        <v>99</v>
      </c>
      <c r="Y102" s="8" t="s">
        <v>23</v>
      </c>
    </row>
    <row r="103" spans="1:25" s="7" customFormat="1" hidden="1" x14ac:dyDescent="0.25">
      <c r="A103" s="273" t="s">
        <v>314</v>
      </c>
      <c r="B103" s="251">
        <v>45777</v>
      </c>
      <c r="C103" s="252" t="s">
        <v>273</v>
      </c>
      <c r="D103" s="252"/>
      <c r="E103" s="253">
        <v>7980</v>
      </c>
      <c r="F103" s="253">
        <v>0</v>
      </c>
      <c r="G103" s="274">
        <f>Tabla3[[#This Row],[INGRESOS]]-Tabla3[[#This Row],[EGRESOS]]</f>
        <v>-7980</v>
      </c>
      <c r="H103" s="137">
        <f>Tabla3[[#This Row],[SALDO]]+H102</f>
        <v>-2223918.0100000007</v>
      </c>
      <c r="I103" s="135">
        <v>1148</v>
      </c>
      <c r="J103" s="136">
        <f>Tabla3[[#This Row],[EGRESOS]]/Tabla3[[#This Row],[TC]]</f>
        <v>6.9512195121951219</v>
      </c>
      <c r="K103" s="136">
        <f>Tabla3[[#This Row],[INGRESOS]]/Tabla3[[#This Row],[TC]]</f>
        <v>0</v>
      </c>
      <c r="L103" s="8" t="s">
        <v>376</v>
      </c>
      <c r="M103" s="8" t="s">
        <v>377</v>
      </c>
      <c r="N103" s="8" t="s">
        <v>25</v>
      </c>
      <c r="O103" s="8" t="s">
        <v>184</v>
      </c>
      <c r="P103" s="8" t="s">
        <v>195</v>
      </c>
      <c r="Q103" s="8" t="s">
        <v>196</v>
      </c>
      <c r="R103" s="8" t="s">
        <v>382</v>
      </c>
      <c r="S103" s="8" t="s">
        <v>383</v>
      </c>
      <c r="T103" s="8"/>
      <c r="U103" s="8" t="s">
        <v>384</v>
      </c>
      <c r="V103" s="8"/>
      <c r="W103" s="8" t="s">
        <v>380</v>
      </c>
      <c r="X103" s="8" t="s">
        <v>99</v>
      </c>
      <c r="Y103" s="8" t="s">
        <v>23</v>
      </c>
    </row>
    <row r="104" spans="1:25" s="7" customFormat="1" hidden="1" x14ac:dyDescent="0.25">
      <c r="A104" s="273" t="s">
        <v>314</v>
      </c>
      <c r="B104" s="251">
        <v>45777</v>
      </c>
      <c r="C104" s="252" t="s">
        <v>462</v>
      </c>
      <c r="D104" s="252"/>
      <c r="E104" s="253">
        <v>3401.92</v>
      </c>
      <c r="F104" s="253">
        <v>0</v>
      </c>
      <c r="G104" s="274">
        <f>Tabla3[[#This Row],[INGRESOS]]-Tabla3[[#This Row],[EGRESOS]]</f>
        <v>-3401.92</v>
      </c>
      <c r="H104" s="137">
        <f>Tabla3[[#This Row],[SALDO]]+H103</f>
        <v>-2227319.9300000006</v>
      </c>
      <c r="I104" s="135">
        <v>1149</v>
      </c>
      <c r="J104" s="136">
        <f>Tabla3[[#This Row],[EGRESOS]]/Tabla3[[#This Row],[TC]]</f>
        <v>2.9607658833768493</v>
      </c>
      <c r="K104" s="136">
        <f>Tabla3[[#This Row],[INGRESOS]]/Tabla3[[#This Row],[TC]]</f>
        <v>0</v>
      </c>
      <c r="L104" s="8" t="s">
        <v>376</v>
      </c>
      <c r="M104" s="8" t="s">
        <v>377</v>
      </c>
      <c r="N104" s="8" t="s">
        <v>25</v>
      </c>
      <c r="O104" s="8" t="s">
        <v>184</v>
      </c>
      <c r="P104" s="8" t="s">
        <v>197</v>
      </c>
      <c r="Q104" s="8" t="s">
        <v>198</v>
      </c>
      <c r="R104" s="8" t="s">
        <v>419</v>
      </c>
      <c r="S104" s="8"/>
      <c r="T104" s="8"/>
      <c r="U104" s="8" t="s">
        <v>384</v>
      </c>
      <c r="V104" s="8"/>
      <c r="W104" s="8" t="s">
        <v>380</v>
      </c>
      <c r="X104" s="8" t="s">
        <v>99</v>
      </c>
      <c r="Y104" s="8" t="s">
        <v>23</v>
      </c>
    </row>
    <row r="105" spans="1:25" s="7" customFormat="1" hidden="1" x14ac:dyDescent="0.25">
      <c r="A105" s="273" t="s">
        <v>314</v>
      </c>
      <c r="B105" s="251">
        <v>45777</v>
      </c>
      <c r="C105" s="252" t="s">
        <v>463</v>
      </c>
      <c r="D105" s="252"/>
      <c r="E105" s="253">
        <v>9856.32</v>
      </c>
      <c r="F105" s="253">
        <v>0</v>
      </c>
      <c r="G105" s="274">
        <f>Tabla3[[#This Row],[INGRESOS]]-Tabla3[[#This Row],[EGRESOS]]</f>
        <v>-9856.32</v>
      </c>
      <c r="H105" s="137">
        <f>Tabla3[[#This Row],[SALDO]]+H104</f>
        <v>-2237176.2500000005</v>
      </c>
      <c r="I105" s="135">
        <v>1150</v>
      </c>
      <c r="J105" s="136">
        <f>Tabla3[[#This Row],[EGRESOS]]/Tabla3[[#This Row],[TC]]</f>
        <v>8.5707130434782606</v>
      </c>
      <c r="K105" s="136">
        <f>Tabla3[[#This Row],[INGRESOS]]/Tabla3[[#This Row],[TC]]</f>
        <v>0</v>
      </c>
      <c r="L105" s="8" t="s">
        <v>376</v>
      </c>
      <c r="M105" s="8" t="s">
        <v>377</v>
      </c>
      <c r="N105" s="8" t="s">
        <v>25</v>
      </c>
      <c r="O105" s="8" t="s">
        <v>184</v>
      </c>
      <c r="P105" s="8" t="s">
        <v>195</v>
      </c>
      <c r="Q105" s="8" t="s">
        <v>196</v>
      </c>
      <c r="R105" s="8" t="s">
        <v>423</v>
      </c>
      <c r="S105" s="8" t="s">
        <v>69</v>
      </c>
      <c r="T105" s="8"/>
      <c r="U105" s="8" t="s">
        <v>384</v>
      </c>
      <c r="V105" s="8"/>
      <c r="W105" s="8" t="s">
        <v>380</v>
      </c>
      <c r="X105" s="8" t="s">
        <v>99</v>
      </c>
      <c r="Y105" s="8" t="s">
        <v>23</v>
      </c>
    </row>
    <row r="106" spans="1:25" s="7" customFormat="1" hidden="1" x14ac:dyDescent="0.25">
      <c r="A106" s="273" t="s">
        <v>314</v>
      </c>
      <c r="B106" s="251">
        <v>45777</v>
      </c>
      <c r="C106" s="252" t="s">
        <v>463</v>
      </c>
      <c r="D106" s="252"/>
      <c r="E106" s="253">
        <v>88.74</v>
      </c>
      <c r="F106" s="253">
        <v>0</v>
      </c>
      <c r="G106" s="274">
        <f>Tabla3[[#This Row],[INGRESOS]]-Tabla3[[#This Row],[EGRESOS]]</f>
        <v>-88.74</v>
      </c>
      <c r="H106" s="137">
        <f>Tabla3[[#This Row],[SALDO]]+H105</f>
        <v>-2237264.9900000007</v>
      </c>
      <c r="I106" s="135">
        <v>1151</v>
      </c>
      <c r="J106" s="136">
        <f>Tabla3[[#This Row],[EGRESOS]]/Tabla3[[#This Row],[TC]]</f>
        <v>7.7098175499565588E-2</v>
      </c>
      <c r="K106" s="136">
        <f>Tabla3[[#This Row],[INGRESOS]]/Tabla3[[#This Row],[TC]]</f>
        <v>0</v>
      </c>
      <c r="L106" s="8" t="s">
        <v>376</v>
      </c>
      <c r="M106" s="8" t="s">
        <v>377</v>
      </c>
      <c r="N106" s="8" t="s">
        <v>25</v>
      </c>
      <c r="O106" s="8" t="s">
        <v>184</v>
      </c>
      <c r="P106" s="8" t="s">
        <v>195</v>
      </c>
      <c r="Q106" s="8" t="s">
        <v>196</v>
      </c>
      <c r="R106" s="8" t="s">
        <v>423</v>
      </c>
      <c r="S106" s="8" t="s">
        <v>69</v>
      </c>
      <c r="T106" s="8"/>
      <c r="U106" s="8" t="s">
        <v>384</v>
      </c>
      <c r="V106" s="8"/>
      <c r="W106" s="8" t="s">
        <v>380</v>
      </c>
      <c r="X106" s="8" t="s">
        <v>99</v>
      </c>
      <c r="Y106" s="8" t="s">
        <v>23</v>
      </c>
    </row>
    <row r="107" spans="1:25" s="7" customFormat="1" hidden="1" x14ac:dyDescent="0.25">
      <c r="A107" s="273" t="s">
        <v>314</v>
      </c>
      <c r="B107" s="251">
        <v>45777</v>
      </c>
      <c r="C107" s="252" t="s">
        <v>424</v>
      </c>
      <c r="D107" s="252"/>
      <c r="E107" s="253">
        <v>38000</v>
      </c>
      <c r="F107" s="253">
        <v>0</v>
      </c>
      <c r="G107" s="274">
        <f>Tabla3[[#This Row],[INGRESOS]]-Tabla3[[#This Row],[EGRESOS]]</f>
        <v>-38000</v>
      </c>
      <c r="H107" s="137">
        <f>Tabla3[[#This Row],[SALDO]]+H106</f>
        <v>-2275264.9900000007</v>
      </c>
      <c r="I107" s="135">
        <v>1152</v>
      </c>
      <c r="J107" s="136">
        <f>Tabla3[[#This Row],[EGRESOS]]/Tabla3[[#This Row],[TC]]</f>
        <v>32.986111111111114</v>
      </c>
      <c r="K107" s="136">
        <f>Tabla3[[#This Row],[INGRESOS]]/Tabla3[[#This Row],[TC]]</f>
        <v>0</v>
      </c>
      <c r="L107" s="8" t="s">
        <v>376</v>
      </c>
      <c r="M107" s="8" t="s">
        <v>377</v>
      </c>
      <c r="N107" s="8" t="s">
        <v>25</v>
      </c>
      <c r="O107" s="8" t="s">
        <v>184</v>
      </c>
      <c r="P107" s="8" t="s">
        <v>185</v>
      </c>
      <c r="Q107" s="8" t="s">
        <v>186</v>
      </c>
      <c r="R107" s="8" t="s">
        <v>227</v>
      </c>
      <c r="S107" s="8"/>
      <c r="T107" s="8"/>
      <c r="U107" s="8" t="s">
        <v>384</v>
      </c>
      <c r="V107" s="8"/>
      <c r="W107" s="8" t="s">
        <v>380</v>
      </c>
      <c r="X107" s="8" t="s">
        <v>99</v>
      </c>
      <c r="Y107" s="8" t="s">
        <v>23</v>
      </c>
    </row>
    <row r="108" spans="1:25" s="7" customFormat="1" hidden="1" x14ac:dyDescent="0.25">
      <c r="A108" s="273" t="s">
        <v>314</v>
      </c>
      <c r="B108" s="251">
        <v>45777</v>
      </c>
      <c r="C108" s="252" t="s">
        <v>417</v>
      </c>
      <c r="D108" s="252"/>
      <c r="E108" s="253">
        <v>1140</v>
      </c>
      <c r="F108" s="253">
        <v>0</v>
      </c>
      <c r="G108" s="274">
        <f>Tabla3[[#This Row],[INGRESOS]]-Tabla3[[#This Row],[EGRESOS]]</f>
        <v>-1140</v>
      </c>
      <c r="H108" s="137">
        <f>Tabla3[[#This Row],[SALDO]]+H107</f>
        <v>-2276404.9900000007</v>
      </c>
      <c r="I108" s="135">
        <v>1153</v>
      </c>
      <c r="J108" s="136">
        <f>Tabla3[[#This Row],[EGRESOS]]/Tabla3[[#This Row],[TC]]</f>
        <v>0.98872506504770163</v>
      </c>
      <c r="K108" s="136">
        <f>Tabla3[[#This Row],[INGRESOS]]/Tabla3[[#This Row],[TC]]</f>
        <v>0</v>
      </c>
      <c r="L108" s="8" t="s">
        <v>376</v>
      </c>
      <c r="M108" s="8" t="s">
        <v>377</v>
      </c>
      <c r="N108" s="8" t="s">
        <v>25</v>
      </c>
      <c r="O108" s="8" t="s">
        <v>184</v>
      </c>
      <c r="P108" s="8" t="s">
        <v>195</v>
      </c>
      <c r="Q108" s="8" t="s">
        <v>196</v>
      </c>
      <c r="R108" s="8" t="s">
        <v>417</v>
      </c>
      <c r="S108" s="8" t="s">
        <v>383</v>
      </c>
      <c r="T108" s="8"/>
      <c r="U108" s="8" t="s">
        <v>384</v>
      </c>
      <c r="V108" s="8"/>
      <c r="W108" s="8" t="s">
        <v>380</v>
      </c>
      <c r="X108" s="8" t="s">
        <v>99</v>
      </c>
      <c r="Y108" s="8" t="s">
        <v>23</v>
      </c>
    </row>
    <row r="109" spans="1:25" s="7" customFormat="1" hidden="1" x14ac:dyDescent="0.25">
      <c r="A109" s="273" t="s">
        <v>315</v>
      </c>
      <c r="B109" s="251">
        <v>45789</v>
      </c>
      <c r="C109" s="252" t="s">
        <v>446</v>
      </c>
      <c r="D109" s="252"/>
      <c r="E109" s="253">
        <v>0</v>
      </c>
      <c r="F109" s="253">
        <v>550000</v>
      </c>
      <c r="G109" s="274">
        <f>Tabla3[[#This Row],[INGRESOS]]-Tabla3[[#This Row],[EGRESOS]]</f>
        <v>550000</v>
      </c>
      <c r="H109" s="137">
        <f>Tabla3[[#This Row],[SALDO]]+H108</f>
        <v>-1726404.9900000007</v>
      </c>
      <c r="I109" s="135">
        <v>1154</v>
      </c>
      <c r="J109" s="136">
        <f>Tabla3[[#This Row],[EGRESOS]]/Tabla3[[#This Row],[TC]]</f>
        <v>0</v>
      </c>
      <c r="K109" s="136">
        <f>Tabla3[[#This Row],[INGRESOS]]/Tabla3[[#This Row],[TC]]</f>
        <v>476.60311958405543</v>
      </c>
      <c r="L109" s="8" t="s">
        <v>376</v>
      </c>
      <c r="M109" s="8" t="s">
        <v>377</v>
      </c>
      <c r="N109" s="8" t="s">
        <v>25</v>
      </c>
      <c r="O109" s="8" t="s">
        <v>244</v>
      </c>
      <c r="P109" s="8" t="s">
        <v>259</v>
      </c>
      <c r="Q109" s="8" t="s">
        <v>260</v>
      </c>
      <c r="R109" s="8" t="s">
        <v>405</v>
      </c>
      <c r="S109" s="8"/>
      <c r="T109" s="8"/>
      <c r="U109" s="8" t="s">
        <v>379</v>
      </c>
      <c r="V109" s="8"/>
      <c r="W109" s="8"/>
      <c r="X109" s="8"/>
      <c r="Y109" s="8"/>
    </row>
    <row r="110" spans="1:25" s="7" customFormat="1" hidden="1" x14ac:dyDescent="0.25">
      <c r="A110" s="273" t="s">
        <v>315</v>
      </c>
      <c r="B110" s="251">
        <v>45796</v>
      </c>
      <c r="C110" s="252" t="s">
        <v>458</v>
      </c>
      <c r="D110" s="252"/>
      <c r="E110" s="253">
        <v>4369.68</v>
      </c>
      <c r="F110" s="253">
        <v>0</v>
      </c>
      <c r="G110" s="274">
        <f>Tabla3[[#This Row],[INGRESOS]]-Tabla3[[#This Row],[EGRESOS]]</f>
        <v>-4369.68</v>
      </c>
      <c r="H110" s="137">
        <f>Tabla3[[#This Row],[SALDO]]+H109</f>
        <v>-1730774.6700000006</v>
      </c>
      <c r="I110" s="135">
        <v>1155</v>
      </c>
      <c r="J110" s="136">
        <f>Tabla3[[#This Row],[EGRESOS]]/Tabla3[[#This Row],[TC]]</f>
        <v>3.7832727272727276</v>
      </c>
      <c r="K110" s="136">
        <f>Tabla3[[#This Row],[INGRESOS]]/Tabla3[[#This Row],[TC]]</f>
        <v>0</v>
      </c>
      <c r="L110" s="8" t="s">
        <v>376</v>
      </c>
      <c r="M110" s="8" t="s">
        <v>377</v>
      </c>
      <c r="N110" s="8" t="s">
        <v>25</v>
      </c>
      <c r="O110" s="8" t="s">
        <v>184</v>
      </c>
      <c r="P110" s="8" t="s">
        <v>195</v>
      </c>
      <c r="Q110" s="8" t="s">
        <v>196</v>
      </c>
      <c r="R110" s="8" t="s">
        <v>417</v>
      </c>
      <c r="S110" s="8" t="s">
        <v>383</v>
      </c>
      <c r="T110" s="8"/>
      <c r="U110" s="8" t="s">
        <v>384</v>
      </c>
      <c r="V110" s="8"/>
      <c r="W110" s="8" t="s">
        <v>380</v>
      </c>
      <c r="X110" s="8" t="s">
        <v>99</v>
      </c>
      <c r="Y110" s="8" t="s">
        <v>23</v>
      </c>
    </row>
    <row r="111" spans="1:25" s="7" customFormat="1" hidden="1" x14ac:dyDescent="0.25">
      <c r="A111" s="273" t="s">
        <v>315</v>
      </c>
      <c r="B111" s="251">
        <v>45796</v>
      </c>
      <c r="C111" s="252" t="s">
        <v>459</v>
      </c>
      <c r="D111" s="252"/>
      <c r="E111" s="253">
        <v>291312.3</v>
      </c>
      <c r="F111" s="253">
        <v>0</v>
      </c>
      <c r="G111" s="274">
        <f>Tabla3[[#This Row],[INGRESOS]]-Tabla3[[#This Row],[EGRESOS]]</f>
        <v>-291312.3</v>
      </c>
      <c r="H111" s="137">
        <f>Tabla3[[#This Row],[SALDO]]+H110</f>
        <v>-2022086.9700000007</v>
      </c>
      <c r="I111" s="135">
        <v>1156</v>
      </c>
      <c r="J111" s="136">
        <f>Tabla3[[#This Row],[EGRESOS]]/Tabla3[[#This Row],[TC]]</f>
        <v>252.00025951557092</v>
      </c>
      <c r="K111" s="136">
        <f>Tabla3[[#This Row],[INGRESOS]]/Tabla3[[#This Row],[TC]]</f>
        <v>0</v>
      </c>
      <c r="L111" s="8" t="s">
        <v>376</v>
      </c>
      <c r="M111" s="8" t="s">
        <v>377</v>
      </c>
      <c r="N111" s="8" t="s">
        <v>25</v>
      </c>
      <c r="O111" s="8" t="s">
        <v>184</v>
      </c>
      <c r="P111" s="8" t="s">
        <v>197</v>
      </c>
      <c r="Q111" s="8" t="s">
        <v>198</v>
      </c>
      <c r="R111" s="8" t="s">
        <v>419</v>
      </c>
      <c r="S111" s="8"/>
      <c r="T111" s="8"/>
      <c r="U111" s="8" t="s">
        <v>384</v>
      </c>
      <c r="V111" s="8"/>
      <c r="W111" s="8" t="s">
        <v>380</v>
      </c>
      <c r="X111" s="8" t="s">
        <v>99</v>
      </c>
      <c r="Y111" s="8" t="s">
        <v>23</v>
      </c>
    </row>
    <row r="112" spans="1:25" s="7" customFormat="1" hidden="1" x14ac:dyDescent="0.25">
      <c r="A112" s="273" t="s">
        <v>315</v>
      </c>
      <c r="B112" s="251">
        <v>45796</v>
      </c>
      <c r="C112" s="252" t="s">
        <v>449</v>
      </c>
      <c r="D112" s="252"/>
      <c r="E112" s="253">
        <v>1995.07</v>
      </c>
      <c r="F112" s="253">
        <v>0</v>
      </c>
      <c r="G112" s="274">
        <f>Tabla3[[#This Row],[INGRESOS]]-Tabla3[[#This Row],[EGRESOS]]</f>
        <v>-1995.07</v>
      </c>
      <c r="H112" s="137">
        <f>Tabla3[[#This Row],[SALDO]]+H111</f>
        <v>-2024082.0400000007</v>
      </c>
      <c r="I112" s="135">
        <v>1157</v>
      </c>
      <c r="J112" s="136">
        <f>Tabla3[[#This Row],[EGRESOS]]/Tabla3[[#This Row],[TC]]</f>
        <v>1.7243474503025065</v>
      </c>
      <c r="K112" s="136">
        <f>Tabla3[[#This Row],[INGRESOS]]/Tabla3[[#This Row],[TC]]</f>
        <v>0</v>
      </c>
      <c r="L112" s="8" t="s">
        <v>376</v>
      </c>
      <c r="M112" s="8" t="s">
        <v>377</v>
      </c>
      <c r="N112" s="8" t="s">
        <v>25</v>
      </c>
      <c r="O112" s="8" t="s">
        <v>184</v>
      </c>
      <c r="P112" s="8" t="s">
        <v>195</v>
      </c>
      <c r="Q112" s="8" t="s">
        <v>196</v>
      </c>
      <c r="R112" s="8" t="s">
        <v>382</v>
      </c>
      <c r="S112" s="8" t="s">
        <v>383</v>
      </c>
      <c r="T112" s="8"/>
      <c r="U112" s="8" t="s">
        <v>384</v>
      </c>
      <c r="V112" s="8"/>
      <c r="W112" s="8" t="s">
        <v>380</v>
      </c>
      <c r="X112" s="8" t="s">
        <v>99</v>
      </c>
      <c r="Y112" s="8" t="s">
        <v>23</v>
      </c>
    </row>
    <row r="113" spans="1:25" s="7" customFormat="1" hidden="1" x14ac:dyDescent="0.25">
      <c r="A113" s="273" t="s">
        <v>315</v>
      </c>
      <c r="B113" s="251">
        <v>45796</v>
      </c>
      <c r="C113" s="252" t="s">
        <v>460</v>
      </c>
      <c r="D113" s="252"/>
      <c r="E113" s="253">
        <v>30587.79</v>
      </c>
      <c r="F113" s="253">
        <v>0</v>
      </c>
      <c r="G113" s="274">
        <f>Tabla3[[#This Row],[INGRESOS]]-Tabla3[[#This Row],[EGRESOS]]</f>
        <v>-30587.79</v>
      </c>
      <c r="H113" s="137">
        <f>Tabla3[[#This Row],[SALDO]]+H112</f>
        <v>-2054669.8300000008</v>
      </c>
      <c r="I113" s="135">
        <v>1158</v>
      </c>
      <c r="J113" s="136">
        <f>Tabla3[[#This Row],[EGRESOS]]/Tabla3[[#This Row],[TC]]</f>
        <v>26.414326424870467</v>
      </c>
      <c r="K113" s="136">
        <f>Tabla3[[#This Row],[INGRESOS]]/Tabla3[[#This Row],[TC]]</f>
        <v>0</v>
      </c>
      <c r="L113" s="8" t="s">
        <v>376</v>
      </c>
      <c r="M113" s="8" t="s">
        <v>377</v>
      </c>
      <c r="N113" s="8" t="s">
        <v>25</v>
      </c>
      <c r="O113" s="8" t="s">
        <v>184</v>
      </c>
      <c r="P113" s="8" t="s">
        <v>195</v>
      </c>
      <c r="Q113" s="8" t="s">
        <v>196</v>
      </c>
      <c r="R113" s="8" t="s">
        <v>382</v>
      </c>
      <c r="S113" s="8" t="s">
        <v>383</v>
      </c>
      <c r="T113" s="8"/>
      <c r="U113" s="8" t="s">
        <v>384</v>
      </c>
      <c r="V113" s="8"/>
      <c r="W113" s="8" t="s">
        <v>380</v>
      </c>
      <c r="X113" s="8" t="s">
        <v>99</v>
      </c>
      <c r="Y113" s="8" t="s">
        <v>23</v>
      </c>
    </row>
    <row r="114" spans="1:25" s="7" customFormat="1" hidden="1" x14ac:dyDescent="0.25">
      <c r="A114" s="273" t="s">
        <v>315</v>
      </c>
      <c r="B114" s="251">
        <v>45796</v>
      </c>
      <c r="C114" s="252" t="s">
        <v>463</v>
      </c>
      <c r="D114" s="252"/>
      <c r="E114" s="253">
        <v>6242.39</v>
      </c>
      <c r="F114" s="253">
        <v>0</v>
      </c>
      <c r="G114" s="274">
        <f>Tabla3[[#This Row],[INGRESOS]]-Tabla3[[#This Row],[EGRESOS]]</f>
        <v>-6242.39</v>
      </c>
      <c r="H114" s="137">
        <f>Tabla3[[#This Row],[SALDO]]+H113</f>
        <v>-2060912.2200000007</v>
      </c>
      <c r="I114" s="135">
        <v>1159</v>
      </c>
      <c r="J114" s="136">
        <f>Tabla3[[#This Row],[EGRESOS]]/Tabla3[[#This Row],[TC]]</f>
        <v>5.386013805004314</v>
      </c>
      <c r="K114" s="136">
        <f>Tabla3[[#This Row],[INGRESOS]]/Tabla3[[#This Row],[TC]]</f>
        <v>0</v>
      </c>
      <c r="L114" s="8" t="s">
        <v>376</v>
      </c>
      <c r="M114" s="8" t="s">
        <v>377</v>
      </c>
      <c r="N114" s="8" t="s">
        <v>25</v>
      </c>
      <c r="O114" s="8" t="s">
        <v>184</v>
      </c>
      <c r="P114" s="8" t="s">
        <v>195</v>
      </c>
      <c r="Q114" s="8" t="s">
        <v>196</v>
      </c>
      <c r="R114" s="8" t="s">
        <v>423</v>
      </c>
      <c r="S114" s="8" t="s">
        <v>69</v>
      </c>
      <c r="T114" s="8"/>
      <c r="U114" s="8" t="s">
        <v>384</v>
      </c>
      <c r="V114" s="8"/>
      <c r="W114" s="8" t="s">
        <v>380</v>
      </c>
      <c r="X114" s="8" t="s">
        <v>99</v>
      </c>
      <c r="Y114" s="8" t="s">
        <v>23</v>
      </c>
    </row>
    <row r="115" spans="1:25" s="7" customFormat="1" hidden="1" x14ac:dyDescent="0.25">
      <c r="A115" s="273" t="s">
        <v>315</v>
      </c>
      <c r="B115" s="251">
        <v>45797</v>
      </c>
      <c r="C115" s="252" t="s">
        <v>458</v>
      </c>
      <c r="D115" s="252"/>
      <c r="E115" s="253">
        <v>375</v>
      </c>
      <c r="F115" s="253">
        <v>0</v>
      </c>
      <c r="G115" s="274">
        <f>Tabla3[[#This Row],[INGRESOS]]-Tabla3[[#This Row],[EGRESOS]]</f>
        <v>-375</v>
      </c>
      <c r="H115" s="137">
        <f>Tabla3[[#This Row],[SALDO]]+H114</f>
        <v>-2061287.2200000007</v>
      </c>
      <c r="I115" s="135">
        <v>1160</v>
      </c>
      <c r="J115" s="136">
        <f>Tabla3[[#This Row],[EGRESOS]]/Tabla3[[#This Row],[TC]]</f>
        <v>0.32327586206896552</v>
      </c>
      <c r="K115" s="136">
        <f>Tabla3[[#This Row],[INGRESOS]]/Tabla3[[#This Row],[TC]]</f>
        <v>0</v>
      </c>
      <c r="L115" s="8" t="s">
        <v>376</v>
      </c>
      <c r="M115" s="8" t="s">
        <v>377</v>
      </c>
      <c r="N115" s="8" t="s">
        <v>25</v>
      </c>
      <c r="O115" s="8" t="s">
        <v>184</v>
      </c>
      <c r="P115" s="8" t="s">
        <v>195</v>
      </c>
      <c r="Q115" s="8" t="s">
        <v>196</v>
      </c>
      <c r="R115" s="8" t="s">
        <v>417</v>
      </c>
      <c r="S115" s="8" t="s">
        <v>383</v>
      </c>
      <c r="T115" s="8"/>
      <c r="U115" s="8" t="s">
        <v>384</v>
      </c>
      <c r="V115" s="8"/>
      <c r="W115" s="8" t="s">
        <v>380</v>
      </c>
      <c r="X115" s="8" t="s">
        <v>99</v>
      </c>
      <c r="Y115" s="8" t="s">
        <v>23</v>
      </c>
    </row>
    <row r="116" spans="1:25" s="7" customFormat="1" hidden="1" x14ac:dyDescent="0.25">
      <c r="A116" s="273" t="s">
        <v>315</v>
      </c>
      <c r="B116" s="251">
        <v>45797</v>
      </c>
      <c r="C116" s="252" t="s">
        <v>449</v>
      </c>
      <c r="D116" s="252"/>
      <c r="E116" s="253">
        <v>168</v>
      </c>
      <c r="F116" s="253">
        <v>0</v>
      </c>
      <c r="G116" s="274">
        <f>Tabla3[[#This Row],[INGRESOS]]-Tabla3[[#This Row],[EGRESOS]]</f>
        <v>-168</v>
      </c>
      <c r="H116" s="137">
        <f>Tabla3[[#This Row],[SALDO]]+H115</f>
        <v>-2061455.2200000007</v>
      </c>
      <c r="I116" s="135">
        <v>1161</v>
      </c>
      <c r="J116" s="136">
        <f>Tabla3[[#This Row],[EGRESOS]]/Tabla3[[#This Row],[TC]]</f>
        <v>0.14470284237726097</v>
      </c>
      <c r="K116" s="136">
        <f>Tabla3[[#This Row],[INGRESOS]]/Tabla3[[#This Row],[TC]]</f>
        <v>0</v>
      </c>
      <c r="L116" s="8" t="s">
        <v>376</v>
      </c>
      <c r="M116" s="8" t="s">
        <v>377</v>
      </c>
      <c r="N116" s="8" t="s">
        <v>25</v>
      </c>
      <c r="O116" s="8" t="s">
        <v>184</v>
      </c>
      <c r="P116" s="8" t="s">
        <v>195</v>
      </c>
      <c r="Q116" s="8" t="s">
        <v>196</v>
      </c>
      <c r="R116" s="8" t="s">
        <v>382</v>
      </c>
      <c r="S116" s="8" t="s">
        <v>383</v>
      </c>
      <c r="T116" s="8"/>
      <c r="U116" s="8" t="s">
        <v>384</v>
      </c>
      <c r="V116" s="8"/>
      <c r="W116" s="8" t="s">
        <v>380</v>
      </c>
      <c r="X116" s="8" t="s">
        <v>99</v>
      </c>
      <c r="Y116" s="8" t="s">
        <v>23</v>
      </c>
    </row>
    <row r="117" spans="1:25" s="7" customFormat="1" hidden="1" x14ac:dyDescent="0.25">
      <c r="A117" s="273" t="s">
        <v>315</v>
      </c>
      <c r="B117" s="251">
        <v>45797</v>
      </c>
      <c r="C117" s="252" t="s">
        <v>460</v>
      </c>
      <c r="D117" s="252"/>
      <c r="E117" s="253">
        <v>2625</v>
      </c>
      <c r="F117" s="253">
        <v>0</v>
      </c>
      <c r="G117" s="274">
        <f>Tabla3[[#This Row],[INGRESOS]]-Tabla3[[#This Row],[EGRESOS]]</f>
        <v>-2625</v>
      </c>
      <c r="H117" s="137">
        <f>Tabla3[[#This Row],[SALDO]]+H116</f>
        <v>-2064080.2200000007</v>
      </c>
      <c r="I117" s="135">
        <v>1162</v>
      </c>
      <c r="J117" s="136">
        <f>Tabla3[[#This Row],[EGRESOS]]/Tabla3[[#This Row],[TC]]</f>
        <v>2.2590361445783134</v>
      </c>
      <c r="K117" s="136">
        <f>Tabla3[[#This Row],[INGRESOS]]/Tabla3[[#This Row],[TC]]</f>
        <v>0</v>
      </c>
      <c r="L117" s="8" t="s">
        <v>376</v>
      </c>
      <c r="M117" s="8" t="s">
        <v>377</v>
      </c>
      <c r="N117" s="8" t="s">
        <v>25</v>
      </c>
      <c r="O117" s="8" t="s">
        <v>184</v>
      </c>
      <c r="P117" s="8" t="s">
        <v>195</v>
      </c>
      <c r="Q117" s="8" t="s">
        <v>196</v>
      </c>
      <c r="R117" s="8" t="s">
        <v>382</v>
      </c>
      <c r="S117" s="8" t="s">
        <v>383</v>
      </c>
      <c r="T117" s="8"/>
      <c r="U117" s="8" t="s">
        <v>384</v>
      </c>
      <c r="V117" s="8"/>
      <c r="W117" s="8" t="s">
        <v>380</v>
      </c>
      <c r="X117" s="8" t="s">
        <v>99</v>
      </c>
      <c r="Y117" s="8" t="s">
        <v>23</v>
      </c>
    </row>
    <row r="118" spans="1:25" s="7" customFormat="1" hidden="1" x14ac:dyDescent="0.25">
      <c r="A118" s="273" t="s">
        <v>315</v>
      </c>
      <c r="B118" s="251">
        <v>45797</v>
      </c>
      <c r="C118" s="252" t="s">
        <v>464</v>
      </c>
      <c r="D118" s="252"/>
      <c r="E118" s="253">
        <v>25000</v>
      </c>
      <c r="F118" s="253">
        <v>0</v>
      </c>
      <c r="G118" s="274">
        <f>Tabla3[[#This Row],[INGRESOS]]-Tabla3[[#This Row],[EGRESOS]]</f>
        <v>-25000</v>
      </c>
      <c r="H118" s="137">
        <f>Tabla3[[#This Row],[SALDO]]+H117</f>
        <v>-2089080.2200000007</v>
      </c>
      <c r="I118" s="135">
        <v>1163</v>
      </c>
      <c r="J118" s="136">
        <f>Tabla3[[#This Row],[EGRESOS]]/Tabla3[[#This Row],[TC]]</f>
        <v>21.496130696474633</v>
      </c>
      <c r="K118" s="136">
        <f>Tabla3[[#This Row],[INGRESOS]]/Tabla3[[#This Row],[TC]]</f>
        <v>0</v>
      </c>
      <c r="L118" s="8" t="s">
        <v>376</v>
      </c>
      <c r="M118" s="8" t="s">
        <v>377</v>
      </c>
      <c r="N118" s="8" t="s">
        <v>25</v>
      </c>
      <c r="O118" s="8" t="s">
        <v>184</v>
      </c>
      <c r="P118" s="8" t="s">
        <v>185</v>
      </c>
      <c r="Q118" s="8" t="s">
        <v>186</v>
      </c>
      <c r="R118" s="8" t="s">
        <v>227</v>
      </c>
      <c r="S118" s="8"/>
      <c r="T118" s="8"/>
      <c r="U118" s="8" t="s">
        <v>384</v>
      </c>
      <c r="V118" s="8"/>
      <c r="W118" s="8" t="s">
        <v>380</v>
      </c>
      <c r="X118" s="8" t="s">
        <v>99</v>
      </c>
      <c r="Y118" s="8" t="s">
        <v>23</v>
      </c>
    </row>
    <row r="119" spans="1:25" s="7" customFormat="1" hidden="1" x14ac:dyDescent="0.25">
      <c r="A119" s="273" t="s">
        <v>315</v>
      </c>
      <c r="B119" s="251">
        <v>45798</v>
      </c>
      <c r="C119" s="252" t="s">
        <v>446</v>
      </c>
      <c r="D119" s="252"/>
      <c r="E119" s="253">
        <v>0</v>
      </c>
      <c r="F119" s="253">
        <v>350000</v>
      </c>
      <c r="G119" s="274">
        <f>Tabla3[[#This Row],[INGRESOS]]-Tabla3[[#This Row],[EGRESOS]]</f>
        <v>350000</v>
      </c>
      <c r="H119" s="137">
        <f>Tabla3[[#This Row],[SALDO]]+H118</f>
        <v>-1739080.2200000007</v>
      </c>
      <c r="I119" s="135">
        <v>1164</v>
      </c>
      <c r="J119" s="136">
        <f>Tabla3[[#This Row],[EGRESOS]]/Tabla3[[#This Row],[TC]]</f>
        <v>0</v>
      </c>
      <c r="K119" s="136">
        <f>Tabla3[[#This Row],[INGRESOS]]/Tabla3[[#This Row],[TC]]</f>
        <v>300.68728522336772</v>
      </c>
      <c r="L119" s="8" t="s">
        <v>376</v>
      </c>
      <c r="M119" s="8" t="s">
        <v>377</v>
      </c>
      <c r="N119" s="8" t="s">
        <v>25</v>
      </c>
      <c r="O119" s="8" t="s">
        <v>244</v>
      </c>
      <c r="P119" s="8" t="s">
        <v>259</v>
      </c>
      <c r="Q119" s="8" t="s">
        <v>260</v>
      </c>
      <c r="R119" s="8" t="s">
        <v>405</v>
      </c>
      <c r="S119" s="8"/>
      <c r="T119" s="8"/>
      <c r="U119" s="8" t="s">
        <v>379</v>
      </c>
      <c r="V119" s="8"/>
      <c r="W119" s="8"/>
      <c r="X119" s="8"/>
      <c r="Y119" s="8"/>
    </row>
    <row r="120" spans="1:25" s="7" customFormat="1" hidden="1" x14ac:dyDescent="0.25">
      <c r="A120" s="273" t="s">
        <v>315</v>
      </c>
      <c r="B120" s="251">
        <v>45800</v>
      </c>
      <c r="C120" s="252" t="s">
        <v>449</v>
      </c>
      <c r="D120" s="252"/>
      <c r="E120" s="253">
        <v>22062.85</v>
      </c>
      <c r="F120" s="253">
        <v>0</v>
      </c>
      <c r="G120" s="274">
        <f>Tabla3[[#This Row],[INGRESOS]]-Tabla3[[#This Row],[EGRESOS]]</f>
        <v>-22062.85</v>
      </c>
      <c r="H120" s="137">
        <f>Tabla3[[#This Row],[SALDO]]+H119</f>
        <v>-1761143.0700000008</v>
      </c>
      <c r="I120" s="135">
        <v>1165</v>
      </c>
      <c r="J120" s="136">
        <f>Tabla3[[#This Row],[EGRESOS]]/Tabla3[[#This Row],[TC]]</f>
        <v>18.938068669527897</v>
      </c>
      <c r="K120" s="136">
        <f>Tabla3[[#This Row],[INGRESOS]]/Tabla3[[#This Row],[TC]]</f>
        <v>0</v>
      </c>
      <c r="L120" s="8" t="s">
        <v>376</v>
      </c>
      <c r="M120" s="8" t="s">
        <v>377</v>
      </c>
      <c r="N120" s="8" t="s">
        <v>25</v>
      </c>
      <c r="O120" s="8" t="s">
        <v>184</v>
      </c>
      <c r="P120" s="8" t="s">
        <v>195</v>
      </c>
      <c r="Q120" s="8" t="s">
        <v>196</v>
      </c>
      <c r="R120" s="8" t="s">
        <v>394</v>
      </c>
      <c r="S120" s="8" t="s">
        <v>383</v>
      </c>
      <c r="T120" s="8"/>
      <c r="U120" s="8" t="s">
        <v>384</v>
      </c>
      <c r="V120" s="8"/>
      <c r="W120" s="8" t="s">
        <v>380</v>
      </c>
      <c r="X120" s="8" t="s">
        <v>99</v>
      </c>
      <c r="Y120" s="8" t="s">
        <v>23</v>
      </c>
    </row>
    <row r="121" spans="1:25" s="7" customFormat="1" hidden="1" x14ac:dyDescent="0.25">
      <c r="A121" s="273" t="s">
        <v>315</v>
      </c>
      <c r="B121" s="251">
        <v>45800</v>
      </c>
      <c r="C121" s="252" t="s">
        <v>446</v>
      </c>
      <c r="D121" s="252"/>
      <c r="E121" s="253">
        <v>0</v>
      </c>
      <c r="F121" s="253">
        <v>4000000</v>
      </c>
      <c r="G121" s="274">
        <f>Tabla3[[#This Row],[INGRESOS]]-Tabla3[[#This Row],[EGRESOS]]</f>
        <v>4000000</v>
      </c>
      <c r="H121" s="137">
        <f>Tabla3[[#This Row],[SALDO]]+H120</f>
        <v>2238856.9299999992</v>
      </c>
      <c r="I121" s="135">
        <v>1166</v>
      </c>
      <c r="J121" s="136">
        <f>Tabla3[[#This Row],[EGRESOS]]/Tabla3[[#This Row],[TC]]</f>
        <v>0</v>
      </c>
      <c r="K121" s="136">
        <f>Tabla3[[#This Row],[INGRESOS]]/Tabla3[[#This Row],[TC]]</f>
        <v>3430.5317324185248</v>
      </c>
      <c r="L121" s="8" t="s">
        <v>376</v>
      </c>
      <c r="M121" s="8" t="s">
        <v>377</v>
      </c>
      <c r="N121" s="8" t="s">
        <v>25</v>
      </c>
      <c r="O121" s="8" t="s">
        <v>244</v>
      </c>
      <c r="P121" s="8" t="s">
        <v>259</v>
      </c>
      <c r="Q121" s="8" t="s">
        <v>260</v>
      </c>
      <c r="R121" s="8" t="s">
        <v>405</v>
      </c>
      <c r="S121" s="8"/>
      <c r="T121" s="8"/>
      <c r="U121" s="8" t="s">
        <v>379</v>
      </c>
      <c r="V121" s="8"/>
      <c r="W121" s="8"/>
      <c r="X121" s="8"/>
      <c r="Y121" s="8"/>
    </row>
    <row r="122" spans="1:25" s="7" customFormat="1" hidden="1" x14ac:dyDescent="0.25">
      <c r="A122" s="273" t="s">
        <v>315</v>
      </c>
      <c r="B122" s="251">
        <v>45800</v>
      </c>
      <c r="C122" s="252" t="s">
        <v>454</v>
      </c>
      <c r="D122" s="252"/>
      <c r="E122" s="253">
        <v>3677142.48</v>
      </c>
      <c r="F122" s="253">
        <v>0</v>
      </c>
      <c r="G122" s="274">
        <f>Tabla3[[#This Row],[INGRESOS]]-Tabla3[[#This Row],[EGRESOS]]</f>
        <v>-3677142.48</v>
      </c>
      <c r="H122" s="137">
        <f>Tabla3[[#This Row],[SALDO]]+H121</f>
        <v>-1438285.5500000007</v>
      </c>
      <c r="I122" s="135">
        <v>1167</v>
      </c>
      <c r="J122" s="136">
        <f>Tabla3[[#This Row],[EGRESOS]]/Tabla3[[#This Row],[TC]]</f>
        <v>3150.9361439588688</v>
      </c>
      <c r="K122" s="136">
        <f>Tabla3[[#This Row],[INGRESOS]]/Tabla3[[#This Row],[TC]]</f>
        <v>0</v>
      </c>
      <c r="L122" s="8" t="s">
        <v>376</v>
      </c>
      <c r="M122" s="8" t="s">
        <v>377</v>
      </c>
      <c r="N122" s="8" t="s">
        <v>25</v>
      </c>
      <c r="O122" s="8" t="s">
        <v>244</v>
      </c>
      <c r="P122" s="8" t="s">
        <v>38</v>
      </c>
      <c r="Q122" s="8" t="s">
        <v>249</v>
      </c>
      <c r="R122" s="8" t="s">
        <v>455</v>
      </c>
      <c r="S122" s="8" t="s">
        <v>456</v>
      </c>
      <c r="T122" s="8"/>
      <c r="U122" s="8" t="s">
        <v>457</v>
      </c>
      <c r="V122" s="8"/>
      <c r="W122" s="8" t="s">
        <v>380</v>
      </c>
      <c r="X122" s="8" t="s">
        <v>92</v>
      </c>
      <c r="Y122" s="8" t="s">
        <v>23</v>
      </c>
    </row>
    <row r="123" spans="1:25" s="7" customFormat="1" hidden="1" x14ac:dyDescent="0.25">
      <c r="A123" s="273" t="s">
        <v>315</v>
      </c>
      <c r="B123" s="251">
        <v>45808</v>
      </c>
      <c r="C123" s="252" t="s">
        <v>458</v>
      </c>
      <c r="D123" s="252"/>
      <c r="E123" s="253">
        <v>2698.53</v>
      </c>
      <c r="F123" s="253">
        <v>0</v>
      </c>
      <c r="G123" s="274">
        <f>Tabla3[[#This Row],[INGRESOS]]-Tabla3[[#This Row],[EGRESOS]]</f>
        <v>-2698.53</v>
      </c>
      <c r="H123" s="137">
        <f>Tabla3[[#This Row],[SALDO]]+H122</f>
        <v>-1440984.0800000008</v>
      </c>
      <c r="I123" s="135">
        <v>1168</v>
      </c>
      <c r="J123" s="136">
        <f>Tabla3[[#This Row],[EGRESOS]]/Tabla3[[#This Row],[TC]]</f>
        <v>2.310385273972603</v>
      </c>
      <c r="K123" s="136">
        <f>Tabla3[[#This Row],[INGRESOS]]/Tabla3[[#This Row],[TC]]</f>
        <v>0</v>
      </c>
      <c r="L123" s="8" t="s">
        <v>376</v>
      </c>
      <c r="M123" s="8" t="s">
        <v>377</v>
      </c>
      <c r="N123" s="8" t="s">
        <v>25</v>
      </c>
      <c r="O123" s="8" t="s">
        <v>184</v>
      </c>
      <c r="P123" s="8" t="s">
        <v>195</v>
      </c>
      <c r="Q123" s="8" t="s">
        <v>196</v>
      </c>
      <c r="R123" s="8" t="s">
        <v>417</v>
      </c>
      <c r="S123" s="8" t="s">
        <v>383</v>
      </c>
      <c r="T123" s="8"/>
      <c r="U123" s="8" t="s">
        <v>384</v>
      </c>
      <c r="V123" s="8"/>
      <c r="W123" s="8" t="s">
        <v>380</v>
      </c>
      <c r="X123" s="8" t="s">
        <v>99</v>
      </c>
      <c r="Y123" s="8" t="s">
        <v>23</v>
      </c>
    </row>
    <row r="124" spans="1:25" s="7" customFormat="1" hidden="1" x14ac:dyDescent="0.25">
      <c r="A124" s="273" t="s">
        <v>315</v>
      </c>
      <c r="B124" s="251">
        <v>45808</v>
      </c>
      <c r="C124" s="252" t="s">
        <v>458</v>
      </c>
      <c r="D124" s="252"/>
      <c r="E124" s="253">
        <v>150.88999999999999</v>
      </c>
      <c r="F124" s="253">
        <v>0</v>
      </c>
      <c r="G124" s="274">
        <f>Tabla3[[#This Row],[INGRESOS]]-Tabla3[[#This Row],[EGRESOS]]</f>
        <v>-150.88999999999999</v>
      </c>
      <c r="H124" s="137">
        <f>Tabla3[[#This Row],[SALDO]]+H123</f>
        <v>-1441134.9700000007</v>
      </c>
      <c r="I124" s="135">
        <v>1169</v>
      </c>
      <c r="J124" s="136">
        <f>Tabla3[[#This Row],[EGRESOS]]/Tabla3[[#This Row],[TC]]</f>
        <v>0.12907613344739091</v>
      </c>
      <c r="K124" s="136">
        <f>Tabla3[[#This Row],[INGRESOS]]/Tabla3[[#This Row],[TC]]</f>
        <v>0</v>
      </c>
      <c r="L124" s="8" t="s">
        <v>376</v>
      </c>
      <c r="M124" s="8" t="s">
        <v>377</v>
      </c>
      <c r="N124" s="8" t="s">
        <v>25</v>
      </c>
      <c r="O124" s="8" t="s">
        <v>184</v>
      </c>
      <c r="P124" s="8" t="s">
        <v>195</v>
      </c>
      <c r="Q124" s="8" t="s">
        <v>196</v>
      </c>
      <c r="R124" s="8" t="s">
        <v>417</v>
      </c>
      <c r="S124" s="8" t="s">
        <v>383</v>
      </c>
      <c r="T124" s="8"/>
      <c r="U124" s="8" t="s">
        <v>384</v>
      </c>
      <c r="V124" s="8"/>
      <c r="W124" s="8" t="s">
        <v>380</v>
      </c>
      <c r="X124" s="8" t="s">
        <v>99</v>
      </c>
      <c r="Y124" s="8" t="s">
        <v>23</v>
      </c>
    </row>
    <row r="125" spans="1:25" s="7" customFormat="1" hidden="1" x14ac:dyDescent="0.25">
      <c r="A125" s="273" t="s">
        <v>315</v>
      </c>
      <c r="B125" s="251">
        <v>45808</v>
      </c>
      <c r="C125" s="252" t="s">
        <v>458</v>
      </c>
      <c r="D125" s="252"/>
      <c r="E125" s="253">
        <v>75.44</v>
      </c>
      <c r="F125" s="253">
        <v>0</v>
      </c>
      <c r="G125" s="274">
        <f>Tabla3[[#This Row],[INGRESOS]]-Tabla3[[#This Row],[EGRESOS]]</f>
        <v>-75.44</v>
      </c>
      <c r="H125" s="137">
        <f>Tabla3[[#This Row],[SALDO]]+H124</f>
        <v>-1441210.4100000006</v>
      </c>
      <c r="I125" s="135">
        <v>1170</v>
      </c>
      <c r="J125" s="136">
        <f>Tabla3[[#This Row],[EGRESOS]]/Tabla3[[#This Row],[TC]]</f>
        <v>6.4478632478632475E-2</v>
      </c>
      <c r="K125" s="136">
        <f>Tabla3[[#This Row],[INGRESOS]]/Tabla3[[#This Row],[TC]]</f>
        <v>0</v>
      </c>
      <c r="L125" s="8" t="s">
        <v>376</v>
      </c>
      <c r="M125" s="8" t="s">
        <v>377</v>
      </c>
      <c r="N125" s="8" t="s">
        <v>25</v>
      </c>
      <c r="O125" s="8" t="s">
        <v>184</v>
      </c>
      <c r="P125" s="8" t="s">
        <v>195</v>
      </c>
      <c r="Q125" s="8" t="s">
        <v>196</v>
      </c>
      <c r="R125" s="8" t="s">
        <v>417</v>
      </c>
      <c r="S125" s="8" t="s">
        <v>383</v>
      </c>
      <c r="T125" s="8"/>
      <c r="U125" s="8" t="s">
        <v>384</v>
      </c>
      <c r="V125" s="8"/>
      <c r="W125" s="8" t="s">
        <v>380</v>
      </c>
      <c r="X125" s="8" t="s">
        <v>99</v>
      </c>
      <c r="Y125" s="8" t="s">
        <v>23</v>
      </c>
    </row>
    <row r="126" spans="1:25" s="7" customFormat="1" hidden="1" x14ac:dyDescent="0.25">
      <c r="A126" s="273" t="s">
        <v>315</v>
      </c>
      <c r="B126" s="251">
        <v>45808</v>
      </c>
      <c r="C126" s="252" t="s">
        <v>459</v>
      </c>
      <c r="D126" s="252"/>
      <c r="E126" s="253">
        <v>179902.05</v>
      </c>
      <c r="F126" s="253">
        <v>0</v>
      </c>
      <c r="G126" s="274">
        <f>Tabla3[[#This Row],[INGRESOS]]-Tabla3[[#This Row],[EGRESOS]]</f>
        <v>-179902.05</v>
      </c>
      <c r="H126" s="137">
        <f>Tabla3[[#This Row],[SALDO]]+H125</f>
        <v>-1621112.4600000007</v>
      </c>
      <c r="I126" s="135">
        <v>1171</v>
      </c>
      <c r="J126" s="136">
        <f>Tabla3[[#This Row],[EGRESOS]]/Tabla3[[#This Row],[TC]]</f>
        <v>153.63112724167377</v>
      </c>
      <c r="K126" s="136">
        <f>Tabla3[[#This Row],[INGRESOS]]/Tabla3[[#This Row],[TC]]</f>
        <v>0</v>
      </c>
      <c r="L126" s="8" t="s">
        <v>376</v>
      </c>
      <c r="M126" s="8" t="s">
        <v>377</v>
      </c>
      <c r="N126" s="8" t="s">
        <v>25</v>
      </c>
      <c r="O126" s="8" t="s">
        <v>184</v>
      </c>
      <c r="P126" s="8" t="s">
        <v>197</v>
      </c>
      <c r="Q126" s="8" t="s">
        <v>198</v>
      </c>
      <c r="R126" s="8" t="s">
        <v>419</v>
      </c>
      <c r="S126" s="8"/>
      <c r="T126" s="8"/>
      <c r="U126" s="8" t="s">
        <v>384</v>
      </c>
      <c r="V126" s="8"/>
      <c r="W126" s="8" t="s">
        <v>399</v>
      </c>
      <c r="X126" s="8" t="s">
        <v>99</v>
      </c>
      <c r="Y126" s="8" t="s">
        <v>23</v>
      </c>
    </row>
    <row r="127" spans="1:25" s="7" customFormat="1" hidden="1" x14ac:dyDescent="0.25">
      <c r="A127" s="273" t="s">
        <v>315</v>
      </c>
      <c r="B127" s="251">
        <v>45808</v>
      </c>
      <c r="C127" s="252" t="s">
        <v>449</v>
      </c>
      <c r="D127" s="252"/>
      <c r="E127" s="253">
        <v>1617.48</v>
      </c>
      <c r="F127" s="253">
        <v>0</v>
      </c>
      <c r="G127" s="274">
        <f>Tabla3[[#This Row],[INGRESOS]]-Tabla3[[#This Row],[EGRESOS]]</f>
        <v>-1617.48</v>
      </c>
      <c r="H127" s="137">
        <f>Tabla3[[#This Row],[SALDO]]+H126</f>
        <v>-1622729.9400000006</v>
      </c>
      <c r="I127" s="135">
        <v>1172</v>
      </c>
      <c r="J127" s="136">
        <f>Tabla3[[#This Row],[EGRESOS]]/Tabla3[[#This Row],[TC]]</f>
        <v>1.3801023890784982</v>
      </c>
      <c r="K127" s="136">
        <f>Tabla3[[#This Row],[INGRESOS]]/Tabla3[[#This Row],[TC]]</f>
        <v>0</v>
      </c>
      <c r="L127" s="8" t="s">
        <v>376</v>
      </c>
      <c r="M127" s="8" t="s">
        <v>377</v>
      </c>
      <c r="N127" s="8" t="s">
        <v>25</v>
      </c>
      <c r="O127" s="8" t="s">
        <v>184</v>
      </c>
      <c r="P127" s="8" t="s">
        <v>195</v>
      </c>
      <c r="Q127" s="8" t="s">
        <v>196</v>
      </c>
      <c r="R127" s="8" t="s">
        <v>382</v>
      </c>
      <c r="S127" s="8" t="s">
        <v>383</v>
      </c>
      <c r="T127" s="8"/>
      <c r="U127" s="8" t="s">
        <v>384</v>
      </c>
      <c r="V127" s="8"/>
      <c r="W127" s="8" t="s">
        <v>399</v>
      </c>
      <c r="X127" s="8" t="s">
        <v>99</v>
      </c>
      <c r="Y127" s="8" t="s">
        <v>23</v>
      </c>
    </row>
    <row r="128" spans="1:25" s="7" customFormat="1" hidden="1" x14ac:dyDescent="0.25">
      <c r="A128" s="273" t="s">
        <v>315</v>
      </c>
      <c r="B128" s="251">
        <v>45808</v>
      </c>
      <c r="C128" s="252" t="s">
        <v>460</v>
      </c>
      <c r="D128" s="252"/>
      <c r="E128" s="253">
        <v>18889.72</v>
      </c>
      <c r="F128" s="253">
        <v>0</v>
      </c>
      <c r="G128" s="274">
        <f>Tabla3[[#This Row],[INGRESOS]]-Tabla3[[#This Row],[EGRESOS]]</f>
        <v>-18889.72</v>
      </c>
      <c r="H128" s="137">
        <f>Tabla3[[#This Row],[SALDO]]+H127</f>
        <v>-1641619.6600000006</v>
      </c>
      <c r="I128" s="135">
        <v>1173</v>
      </c>
      <c r="J128" s="136">
        <f>Tabla3[[#This Row],[EGRESOS]]/Tabla3[[#This Row],[TC]]</f>
        <v>16.103768115942032</v>
      </c>
      <c r="K128" s="136">
        <f>Tabla3[[#This Row],[INGRESOS]]/Tabla3[[#This Row],[TC]]</f>
        <v>0</v>
      </c>
      <c r="L128" s="8" t="s">
        <v>376</v>
      </c>
      <c r="M128" s="8" t="s">
        <v>377</v>
      </c>
      <c r="N128" s="8" t="s">
        <v>25</v>
      </c>
      <c r="O128" s="8" t="s">
        <v>184</v>
      </c>
      <c r="P128" s="8" t="s">
        <v>195</v>
      </c>
      <c r="Q128" s="8" t="s">
        <v>196</v>
      </c>
      <c r="R128" s="8" t="s">
        <v>273</v>
      </c>
      <c r="S128" s="8" t="s">
        <v>383</v>
      </c>
      <c r="T128" s="8"/>
      <c r="U128" s="8" t="s">
        <v>384</v>
      </c>
      <c r="V128" s="8"/>
      <c r="W128" s="8" t="s">
        <v>399</v>
      </c>
      <c r="X128" s="8" t="s">
        <v>99</v>
      </c>
      <c r="Y128" s="8" t="s">
        <v>23</v>
      </c>
    </row>
    <row r="129" spans="1:25" s="7" customFormat="1" hidden="1" x14ac:dyDescent="0.25">
      <c r="A129" s="273" t="s">
        <v>315</v>
      </c>
      <c r="B129" s="251">
        <v>45808</v>
      </c>
      <c r="C129" s="252" t="s">
        <v>460</v>
      </c>
      <c r="D129" s="252"/>
      <c r="E129" s="253">
        <v>1056.21</v>
      </c>
      <c r="F129" s="253">
        <v>0</v>
      </c>
      <c r="G129" s="274">
        <f>Tabla3[[#This Row],[INGRESOS]]-Tabla3[[#This Row],[EGRESOS]]</f>
        <v>-1056.21</v>
      </c>
      <c r="H129" s="137">
        <f>Tabla3[[#This Row],[SALDO]]+H128</f>
        <v>-1642675.8700000006</v>
      </c>
      <c r="I129" s="135">
        <v>1174</v>
      </c>
      <c r="J129" s="136">
        <f>Tabla3[[#This Row],[EGRESOS]]/Tabla3[[#This Row],[TC]]</f>
        <v>0.89966780238500854</v>
      </c>
      <c r="K129" s="136">
        <f>Tabla3[[#This Row],[INGRESOS]]/Tabla3[[#This Row],[TC]]</f>
        <v>0</v>
      </c>
      <c r="L129" s="8" t="s">
        <v>376</v>
      </c>
      <c r="M129" s="8" t="s">
        <v>377</v>
      </c>
      <c r="N129" s="8" t="s">
        <v>25</v>
      </c>
      <c r="O129" s="8" t="s">
        <v>184</v>
      </c>
      <c r="P129" s="8" t="s">
        <v>195</v>
      </c>
      <c r="Q129" s="8" t="s">
        <v>196</v>
      </c>
      <c r="R129" s="8" t="s">
        <v>273</v>
      </c>
      <c r="S129" s="8" t="s">
        <v>383</v>
      </c>
      <c r="T129" s="8"/>
      <c r="U129" s="8" t="s">
        <v>384</v>
      </c>
      <c r="V129" s="8"/>
      <c r="W129" s="8" t="s">
        <v>399</v>
      </c>
      <c r="X129" s="8" t="s">
        <v>99</v>
      </c>
      <c r="Y129" s="8" t="s">
        <v>23</v>
      </c>
    </row>
    <row r="130" spans="1:25" s="7" customFormat="1" hidden="1" x14ac:dyDescent="0.25">
      <c r="A130" s="273" t="s">
        <v>315</v>
      </c>
      <c r="B130" s="251">
        <v>45808</v>
      </c>
      <c r="C130" s="252" t="s">
        <v>460</v>
      </c>
      <c r="D130" s="252"/>
      <c r="E130" s="253">
        <v>528.1</v>
      </c>
      <c r="F130" s="253">
        <v>0</v>
      </c>
      <c r="G130" s="274">
        <f>Tabla3[[#This Row],[INGRESOS]]-Tabla3[[#This Row],[EGRESOS]]</f>
        <v>-528.1</v>
      </c>
      <c r="H130" s="137">
        <f>Tabla3[[#This Row],[SALDO]]+H129</f>
        <v>-1643203.9700000007</v>
      </c>
      <c r="I130" s="135">
        <v>1175</v>
      </c>
      <c r="J130" s="136">
        <f>Tabla3[[#This Row],[EGRESOS]]/Tabla3[[#This Row],[TC]]</f>
        <v>0.44944680851063834</v>
      </c>
      <c r="K130" s="136">
        <f>Tabla3[[#This Row],[INGRESOS]]/Tabla3[[#This Row],[TC]]</f>
        <v>0</v>
      </c>
      <c r="L130" s="8" t="s">
        <v>376</v>
      </c>
      <c r="M130" s="8" t="s">
        <v>377</v>
      </c>
      <c r="N130" s="8" t="s">
        <v>25</v>
      </c>
      <c r="O130" s="8" t="s">
        <v>184</v>
      </c>
      <c r="P130" s="8" t="s">
        <v>195</v>
      </c>
      <c r="Q130" s="8" t="s">
        <v>196</v>
      </c>
      <c r="R130" s="8" t="s">
        <v>273</v>
      </c>
      <c r="S130" s="8" t="s">
        <v>383</v>
      </c>
      <c r="T130" s="8"/>
      <c r="U130" s="8" t="s">
        <v>384</v>
      </c>
      <c r="V130" s="8"/>
      <c r="W130" s="8" t="s">
        <v>399</v>
      </c>
      <c r="X130" s="8" t="s">
        <v>99</v>
      </c>
      <c r="Y130" s="8" t="s">
        <v>23</v>
      </c>
    </row>
    <row r="131" spans="1:25" s="7" customFormat="1" hidden="1" x14ac:dyDescent="0.25">
      <c r="A131" s="273" t="s">
        <v>315</v>
      </c>
      <c r="B131" s="251">
        <v>45808</v>
      </c>
      <c r="C131" s="252" t="s">
        <v>461</v>
      </c>
      <c r="D131" s="252"/>
      <c r="E131" s="253">
        <v>5029.55</v>
      </c>
      <c r="F131" s="253">
        <v>0</v>
      </c>
      <c r="G131" s="274">
        <f>Tabla3[[#This Row],[INGRESOS]]-Tabla3[[#This Row],[EGRESOS]]</f>
        <v>-5029.55</v>
      </c>
      <c r="H131" s="137">
        <f>Tabla3[[#This Row],[SALDO]]+H130</f>
        <v>-1648233.5200000007</v>
      </c>
      <c r="I131" s="135">
        <v>1176</v>
      </c>
      <c r="J131" s="136">
        <f>Tabla3[[#This Row],[EGRESOS]]/Tabla3[[#This Row],[TC]]</f>
        <v>4.2768282312925168</v>
      </c>
      <c r="K131" s="136">
        <f>Tabla3[[#This Row],[INGRESOS]]/Tabla3[[#This Row],[TC]]</f>
        <v>0</v>
      </c>
      <c r="L131" s="8" t="s">
        <v>376</v>
      </c>
      <c r="M131" s="8" t="s">
        <v>377</v>
      </c>
      <c r="N131" s="8" t="s">
        <v>25</v>
      </c>
      <c r="O131" s="8" t="s">
        <v>184</v>
      </c>
      <c r="P131" s="8" t="s">
        <v>197</v>
      </c>
      <c r="Q131" s="8" t="s">
        <v>198</v>
      </c>
      <c r="R131" s="8" t="s">
        <v>419</v>
      </c>
      <c r="S131" s="8"/>
      <c r="T131" s="8"/>
      <c r="U131" s="8" t="s">
        <v>384</v>
      </c>
      <c r="V131" s="8"/>
      <c r="W131" s="8" t="s">
        <v>399</v>
      </c>
      <c r="X131" s="8" t="s">
        <v>99</v>
      </c>
      <c r="Y131" s="8" t="s">
        <v>23</v>
      </c>
    </row>
    <row r="132" spans="1:25" s="7" customFormat="1" hidden="1" x14ac:dyDescent="0.25">
      <c r="A132" s="273" t="s">
        <v>315</v>
      </c>
      <c r="B132" s="251">
        <v>45808</v>
      </c>
      <c r="C132" s="252" t="s">
        <v>273</v>
      </c>
      <c r="D132" s="252"/>
      <c r="E132" s="253">
        <v>7980</v>
      </c>
      <c r="F132" s="253">
        <v>0</v>
      </c>
      <c r="G132" s="274">
        <f>Tabla3[[#This Row],[INGRESOS]]-Tabla3[[#This Row],[EGRESOS]]</f>
        <v>-7980</v>
      </c>
      <c r="H132" s="137">
        <f>Tabla3[[#This Row],[SALDO]]+H131</f>
        <v>-1656213.5200000007</v>
      </c>
      <c r="I132" s="135">
        <v>1177</v>
      </c>
      <c r="J132" s="136">
        <f>Tabla3[[#This Row],[EGRESOS]]/Tabla3[[#This Row],[TC]]</f>
        <v>6.7799490229396771</v>
      </c>
      <c r="K132" s="136">
        <f>Tabla3[[#This Row],[INGRESOS]]/Tabla3[[#This Row],[TC]]</f>
        <v>0</v>
      </c>
      <c r="L132" s="8" t="s">
        <v>376</v>
      </c>
      <c r="M132" s="8" t="s">
        <v>377</v>
      </c>
      <c r="N132" s="8" t="s">
        <v>25</v>
      </c>
      <c r="O132" s="8" t="s">
        <v>184</v>
      </c>
      <c r="P132" s="8" t="s">
        <v>195</v>
      </c>
      <c r="Q132" s="8" t="s">
        <v>196</v>
      </c>
      <c r="R132" s="8" t="s">
        <v>273</v>
      </c>
      <c r="S132" s="8" t="s">
        <v>383</v>
      </c>
      <c r="T132" s="8"/>
      <c r="U132" s="8" t="s">
        <v>384</v>
      </c>
      <c r="V132" s="8"/>
      <c r="W132" s="8" t="s">
        <v>399</v>
      </c>
      <c r="X132" s="8" t="s">
        <v>99</v>
      </c>
      <c r="Y132" s="8" t="s">
        <v>23</v>
      </c>
    </row>
    <row r="133" spans="1:25" s="7" customFormat="1" hidden="1" x14ac:dyDescent="0.25">
      <c r="A133" s="273" t="s">
        <v>315</v>
      </c>
      <c r="B133" s="251">
        <v>45808</v>
      </c>
      <c r="C133" s="252" t="s">
        <v>462</v>
      </c>
      <c r="D133" s="252"/>
      <c r="E133" s="253">
        <v>10059.1</v>
      </c>
      <c r="F133" s="253">
        <v>0</v>
      </c>
      <c r="G133" s="274">
        <f>Tabla3[[#This Row],[INGRESOS]]-Tabla3[[#This Row],[EGRESOS]]</f>
        <v>-10059.1</v>
      </c>
      <c r="H133" s="137">
        <f>Tabla3[[#This Row],[SALDO]]+H132</f>
        <v>-1666272.6200000008</v>
      </c>
      <c r="I133" s="135">
        <v>1178</v>
      </c>
      <c r="J133" s="136">
        <f>Tabla3[[#This Row],[EGRESOS]]/Tabla3[[#This Row],[TC]]</f>
        <v>8.5391341256366733</v>
      </c>
      <c r="K133" s="136">
        <f>Tabla3[[#This Row],[INGRESOS]]/Tabla3[[#This Row],[TC]]</f>
        <v>0</v>
      </c>
      <c r="L133" s="8" t="s">
        <v>376</v>
      </c>
      <c r="M133" s="8" t="s">
        <v>377</v>
      </c>
      <c r="N133" s="8" t="s">
        <v>25</v>
      </c>
      <c r="O133" s="8" t="s">
        <v>184</v>
      </c>
      <c r="P133" s="8" t="s">
        <v>197</v>
      </c>
      <c r="Q133" s="8" t="s">
        <v>198</v>
      </c>
      <c r="R133" s="8" t="s">
        <v>419</v>
      </c>
      <c r="S133" s="8"/>
      <c r="T133" s="8"/>
      <c r="U133" s="8" t="s">
        <v>384</v>
      </c>
      <c r="V133" s="8"/>
      <c r="W133" s="8" t="s">
        <v>399</v>
      </c>
      <c r="X133" s="8" t="s">
        <v>99</v>
      </c>
      <c r="Y133" s="8" t="s">
        <v>23</v>
      </c>
    </row>
    <row r="134" spans="1:25" s="7" customFormat="1" hidden="1" x14ac:dyDescent="0.25">
      <c r="A134" s="273" t="s">
        <v>315</v>
      </c>
      <c r="B134" s="251">
        <v>45808</v>
      </c>
      <c r="C134" s="252" t="s">
        <v>463</v>
      </c>
      <c r="D134" s="252"/>
      <c r="E134" s="253">
        <v>3855.04</v>
      </c>
      <c r="F134" s="253">
        <v>0</v>
      </c>
      <c r="G134" s="274">
        <f>Tabla3[[#This Row],[INGRESOS]]-Tabla3[[#This Row],[EGRESOS]]</f>
        <v>-3855.04</v>
      </c>
      <c r="H134" s="137">
        <f>Tabla3[[#This Row],[SALDO]]+H133</f>
        <v>-1670127.6600000008</v>
      </c>
      <c r="I134" s="135">
        <v>1179</v>
      </c>
      <c r="J134" s="136">
        <f>Tabla3[[#This Row],[EGRESOS]]/Tabla3[[#This Row],[TC]]</f>
        <v>3.2697540288379985</v>
      </c>
      <c r="K134" s="136">
        <f>Tabla3[[#This Row],[INGRESOS]]/Tabla3[[#This Row],[TC]]</f>
        <v>0</v>
      </c>
      <c r="L134" s="8" t="s">
        <v>376</v>
      </c>
      <c r="M134" s="8" t="s">
        <v>377</v>
      </c>
      <c r="N134" s="8" t="s">
        <v>25</v>
      </c>
      <c r="O134" s="8" t="s">
        <v>184</v>
      </c>
      <c r="P134" s="8" t="s">
        <v>195</v>
      </c>
      <c r="Q134" s="8" t="s">
        <v>196</v>
      </c>
      <c r="R134" s="8" t="s">
        <v>423</v>
      </c>
      <c r="S134" s="8" t="s">
        <v>69</v>
      </c>
      <c r="T134" s="8"/>
      <c r="U134" s="8" t="s">
        <v>384</v>
      </c>
      <c r="V134" s="8"/>
      <c r="W134" s="8" t="s">
        <v>399</v>
      </c>
      <c r="X134" s="8" t="s">
        <v>99</v>
      </c>
      <c r="Y134" s="8" t="s">
        <v>23</v>
      </c>
    </row>
    <row r="135" spans="1:25" s="7" customFormat="1" hidden="1" x14ac:dyDescent="0.25">
      <c r="A135" s="273" t="s">
        <v>315</v>
      </c>
      <c r="B135" s="251">
        <v>45808</v>
      </c>
      <c r="C135" s="252" t="s">
        <v>463</v>
      </c>
      <c r="D135" s="252"/>
      <c r="E135" s="253">
        <v>215.55</v>
      </c>
      <c r="F135" s="253">
        <v>0</v>
      </c>
      <c r="G135" s="274">
        <f>Tabla3[[#This Row],[INGRESOS]]-Tabla3[[#This Row],[EGRESOS]]</f>
        <v>-215.55</v>
      </c>
      <c r="H135" s="137">
        <f>Tabla3[[#This Row],[SALDO]]+H134</f>
        <v>-1670343.2100000009</v>
      </c>
      <c r="I135" s="135">
        <v>1180</v>
      </c>
      <c r="J135" s="136">
        <f>Tabla3[[#This Row],[EGRESOS]]/Tabla3[[#This Row],[TC]]</f>
        <v>0.18266949152542375</v>
      </c>
      <c r="K135" s="136">
        <f>Tabla3[[#This Row],[INGRESOS]]/Tabla3[[#This Row],[TC]]</f>
        <v>0</v>
      </c>
      <c r="L135" s="8" t="s">
        <v>376</v>
      </c>
      <c r="M135" s="8" t="s">
        <v>377</v>
      </c>
      <c r="N135" s="8" t="s">
        <v>25</v>
      </c>
      <c r="O135" s="8" t="s">
        <v>184</v>
      </c>
      <c r="P135" s="8" t="s">
        <v>195</v>
      </c>
      <c r="Q135" s="8" t="s">
        <v>196</v>
      </c>
      <c r="R135" s="8" t="s">
        <v>423</v>
      </c>
      <c r="S135" s="8" t="s">
        <v>69</v>
      </c>
      <c r="T135" s="8"/>
      <c r="U135" s="8" t="s">
        <v>384</v>
      </c>
      <c r="V135" s="8"/>
      <c r="W135" s="8" t="s">
        <v>399</v>
      </c>
      <c r="X135" s="8" t="s">
        <v>99</v>
      </c>
      <c r="Y135" s="8" t="s">
        <v>23</v>
      </c>
    </row>
    <row r="136" spans="1:25" s="7" customFormat="1" hidden="1" x14ac:dyDescent="0.25">
      <c r="A136" s="273" t="s">
        <v>315</v>
      </c>
      <c r="B136" s="251">
        <v>45808</v>
      </c>
      <c r="C136" s="252" t="s">
        <v>424</v>
      </c>
      <c r="D136" s="252"/>
      <c r="E136" s="253">
        <v>38000</v>
      </c>
      <c r="F136" s="253">
        <v>0</v>
      </c>
      <c r="G136" s="274">
        <f>Tabla3[[#This Row],[INGRESOS]]-Tabla3[[#This Row],[EGRESOS]]</f>
        <v>-38000</v>
      </c>
      <c r="H136" s="137">
        <f>Tabla3[[#This Row],[SALDO]]+H135</f>
        <v>-1708343.2100000009</v>
      </c>
      <c r="I136" s="135">
        <v>1181</v>
      </c>
      <c r="J136" s="136">
        <f>Tabla3[[#This Row],[EGRESOS]]/Tabla3[[#This Row],[TC]]</f>
        <v>32.176121930567312</v>
      </c>
      <c r="K136" s="136">
        <f>Tabla3[[#This Row],[INGRESOS]]/Tabla3[[#This Row],[TC]]</f>
        <v>0</v>
      </c>
      <c r="L136" s="8" t="s">
        <v>376</v>
      </c>
      <c r="M136" s="8" t="s">
        <v>377</v>
      </c>
      <c r="N136" s="8" t="s">
        <v>25</v>
      </c>
      <c r="O136" s="8" t="s">
        <v>184</v>
      </c>
      <c r="P136" s="8" t="s">
        <v>185</v>
      </c>
      <c r="Q136" s="8" t="s">
        <v>186</v>
      </c>
      <c r="R136" s="8" t="s">
        <v>227</v>
      </c>
      <c r="S136" s="8"/>
      <c r="T136" s="8"/>
      <c r="U136" s="8" t="s">
        <v>384</v>
      </c>
      <c r="V136" s="8"/>
      <c r="W136" s="8" t="s">
        <v>399</v>
      </c>
      <c r="X136" s="8" t="s">
        <v>99</v>
      </c>
      <c r="Y136" s="8" t="s">
        <v>23</v>
      </c>
    </row>
    <row r="137" spans="1:25" s="7" customFormat="1" hidden="1" x14ac:dyDescent="0.25">
      <c r="A137" s="273" t="s">
        <v>315</v>
      </c>
      <c r="B137" s="251">
        <v>45808</v>
      </c>
      <c r="C137" s="252" t="s">
        <v>417</v>
      </c>
      <c r="D137" s="252"/>
      <c r="E137" s="253">
        <v>1140</v>
      </c>
      <c r="F137" s="253">
        <v>0</v>
      </c>
      <c r="G137" s="274">
        <f>Tabla3[[#This Row],[INGRESOS]]-Tabla3[[#This Row],[EGRESOS]]</f>
        <v>-1140</v>
      </c>
      <c r="H137" s="137">
        <f>Tabla3[[#This Row],[SALDO]]+H136</f>
        <v>-1709483.2100000009</v>
      </c>
      <c r="I137" s="135">
        <v>1182</v>
      </c>
      <c r="J137" s="136">
        <f>Tabla3[[#This Row],[EGRESOS]]/Tabla3[[#This Row],[TC]]</f>
        <v>0.96446700507614214</v>
      </c>
      <c r="K137" s="136">
        <f>Tabla3[[#This Row],[INGRESOS]]/Tabla3[[#This Row],[TC]]</f>
        <v>0</v>
      </c>
      <c r="L137" s="8" t="s">
        <v>376</v>
      </c>
      <c r="M137" s="8" t="s">
        <v>377</v>
      </c>
      <c r="N137" s="8" t="s">
        <v>25</v>
      </c>
      <c r="O137" s="8" t="s">
        <v>184</v>
      </c>
      <c r="P137" s="8" t="s">
        <v>195</v>
      </c>
      <c r="Q137" s="8" t="s">
        <v>196</v>
      </c>
      <c r="R137" s="8" t="s">
        <v>417</v>
      </c>
      <c r="S137" s="8" t="s">
        <v>383</v>
      </c>
      <c r="T137" s="8"/>
      <c r="U137" s="8" t="s">
        <v>384</v>
      </c>
      <c r="V137" s="8"/>
      <c r="W137" s="8" t="s">
        <v>380</v>
      </c>
      <c r="X137" s="8" t="s">
        <v>99</v>
      </c>
      <c r="Y137" s="8" t="s">
        <v>23</v>
      </c>
    </row>
    <row r="138" spans="1:25" s="7" customFormat="1" hidden="1" x14ac:dyDescent="0.25">
      <c r="A138" s="273" t="s">
        <v>316</v>
      </c>
      <c r="B138" s="251">
        <v>45820</v>
      </c>
      <c r="C138" s="252" t="s">
        <v>446</v>
      </c>
      <c r="D138" s="252"/>
      <c r="E138" s="253">
        <v>0</v>
      </c>
      <c r="F138" s="253">
        <v>10000000</v>
      </c>
      <c r="G138" s="274">
        <f>Tabla3[[#This Row],[INGRESOS]]-Tabla3[[#This Row],[EGRESOS]]</f>
        <v>10000000</v>
      </c>
      <c r="H138" s="137">
        <f>Tabla3[[#This Row],[SALDO]]+H137</f>
        <v>8290516.7899999991</v>
      </c>
      <c r="I138" s="135">
        <v>1183</v>
      </c>
      <c r="J138" s="136">
        <f>Tabla3[[#This Row],[EGRESOS]]/Tabla3[[#This Row],[TC]]</f>
        <v>0</v>
      </c>
      <c r="K138" s="136">
        <f>Tabla3[[#This Row],[INGRESOS]]/Tabla3[[#This Row],[TC]]</f>
        <v>8453.0853761622984</v>
      </c>
      <c r="L138" s="8" t="s">
        <v>376</v>
      </c>
      <c r="M138" s="8" t="s">
        <v>377</v>
      </c>
      <c r="N138" s="8" t="s">
        <v>25</v>
      </c>
      <c r="O138" s="8" t="s">
        <v>244</v>
      </c>
      <c r="P138" s="8" t="s">
        <v>259</v>
      </c>
      <c r="Q138" s="8" t="s">
        <v>260</v>
      </c>
      <c r="R138" s="8" t="s">
        <v>405</v>
      </c>
      <c r="S138" s="8"/>
      <c r="T138" s="8"/>
      <c r="U138" s="8" t="s">
        <v>379</v>
      </c>
      <c r="V138" s="8"/>
      <c r="W138" s="8"/>
      <c r="X138" s="8"/>
      <c r="Y138" s="8"/>
    </row>
    <row r="139" spans="1:25" s="7" customFormat="1" hidden="1" x14ac:dyDescent="0.25">
      <c r="A139" s="273" t="s">
        <v>316</v>
      </c>
      <c r="B139" s="251">
        <v>45832</v>
      </c>
      <c r="C139" s="252" t="s">
        <v>465</v>
      </c>
      <c r="D139" s="252"/>
      <c r="E139" s="253">
        <v>4700000</v>
      </c>
      <c r="F139" s="253">
        <v>0</v>
      </c>
      <c r="G139" s="274">
        <f>Tabla3[[#This Row],[INGRESOS]]-Tabla3[[#This Row],[EGRESOS]]</f>
        <v>-4700000</v>
      </c>
      <c r="H139" s="137">
        <f>Tabla3[[#This Row],[SALDO]]+H138</f>
        <v>3590516.7899999991</v>
      </c>
      <c r="I139" s="135">
        <v>1184</v>
      </c>
      <c r="J139" s="136">
        <f>Tabla3[[#This Row],[EGRESOS]]/Tabla3[[#This Row],[TC]]</f>
        <v>3969.5945945945946</v>
      </c>
      <c r="K139" s="136">
        <f>Tabla3[[#This Row],[INGRESOS]]/Tabla3[[#This Row],[TC]]</f>
        <v>0</v>
      </c>
      <c r="L139" s="8" t="s">
        <v>376</v>
      </c>
      <c r="M139" s="8" t="s">
        <v>377</v>
      </c>
      <c r="N139" s="8" t="s">
        <v>25</v>
      </c>
      <c r="O139" s="8" t="s">
        <v>244</v>
      </c>
      <c r="P139" s="8" t="s">
        <v>259</v>
      </c>
      <c r="Q139" s="8" t="s">
        <v>260</v>
      </c>
      <c r="R139" s="8" t="s">
        <v>378</v>
      </c>
      <c r="S139" s="8"/>
      <c r="T139" s="8"/>
      <c r="U139" s="8" t="s">
        <v>379</v>
      </c>
      <c r="V139" s="8"/>
      <c r="W139" s="8"/>
      <c r="X139" s="8"/>
      <c r="Y139" s="8"/>
    </row>
    <row r="140" spans="1:25" s="7" customFormat="1" hidden="1" x14ac:dyDescent="0.25">
      <c r="A140" s="273" t="s">
        <v>316</v>
      </c>
      <c r="B140" s="251">
        <v>45832</v>
      </c>
      <c r="C140" s="252" t="s">
        <v>465</v>
      </c>
      <c r="D140" s="252"/>
      <c r="E140" s="253">
        <v>5000000</v>
      </c>
      <c r="F140" s="253">
        <v>0</v>
      </c>
      <c r="G140" s="274">
        <f>Tabla3[[#This Row],[INGRESOS]]-Tabla3[[#This Row],[EGRESOS]]</f>
        <v>-5000000</v>
      </c>
      <c r="H140" s="137">
        <f>Tabla3[[#This Row],[SALDO]]+H139</f>
        <v>-1409483.2100000009</v>
      </c>
      <c r="I140" s="135">
        <v>1185</v>
      </c>
      <c r="J140" s="136">
        <f>Tabla3[[#This Row],[EGRESOS]]/Tabla3[[#This Row],[TC]]</f>
        <v>4219.4092827004215</v>
      </c>
      <c r="K140" s="136">
        <f>Tabla3[[#This Row],[INGRESOS]]/Tabla3[[#This Row],[TC]]</f>
        <v>0</v>
      </c>
      <c r="L140" s="8" t="s">
        <v>376</v>
      </c>
      <c r="M140" s="8" t="s">
        <v>377</v>
      </c>
      <c r="N140" s="8" t="s">
        <v>25</v>
      </c>
      <c r="O140" s="8" t="s">
        <v>244</v>
      </c>
      <c r="P140" s="8" t="s">
        <v>259</v>
      </c>
      <c r="Q140" s="8" t="s">
        <v>260</v>
      </c>
      <c r="R140" s="8" t="s">
        <v>466</v>
      </c>
      <c r="S140" s="8"/>
      <c r="T140" s="8"/>
      <c r="U140" s="8" t="s">
        <v>379</v>
      </c>
      <c r="V140" s="8"/>
      <c r="W140" s="8"/>
      <c r="X140" s="8"/>
      <c r="Y140" s="8"/>
    </row>
    <row r="141" spans="1:25" s="7" customFormat="1" hidden="1" x14ac:dyDescent="0.25">
      <c r="A141" s="273" t="s">
        <v>316</v>
      </c>
      <c r="B141" s="251">
        <v>45833</v>
      </c>
      <c r="C141" s="252" t="s">
        <v>449</v>
      </c>
      <c r="D141" s="252"/>
      <c r="E141" s="253">
        <v>22461.29</v>
      </c>
      <c r="F141" s="253">
        <v>0</v>
      </c>
      <c r="G141" s="274">
        <f>Tabla3[[#This Row],[INGRESOS]]-Tabla3[[#This Row],[EGRESOS]]</f>
        <v>-22461.29</v>
      </c>
      <c r="H141" s="137">
        <f>Tabla3[[#This Row],[SALDO]]+H140</f>
        <v>-1431944.5000000009</v>
      </c>
      <c r="I141" s="135">
        <v>1186</v>
      </c>
      <c r="J141" s="136">
        <f>Tabla3[[#This Row],[EGRESOS]]/Tabla3[[#This Row],[TC]]</f>
        <v>18.938693086003372</v>
      </c>
      <c r="K141" s="136">
        <f>Tabla3[[#This Row],[INGRESOS]]/Tabla3[[#This Row],[TC]]</f>
        <v>0</v>
      </c>
      <c r="L141" s="8" t="s">
        <v>376</v>
      </c>
      <c r="M141" s="8" t="s">
        <v>377</v>
      </c>
      <c r="N141" s="8" t="s">
        <v>25</v>
      </c>
      <c r="O141" s="8" t="s">
        <v>184</v>
      </c>
      <c r="P141" s="8" t="s">
        <v>195</v>
      </c>
      <c r="Q141" s="8" t="s">
        <v>196</v>
      </c>
      <c r="R141" s="8"/>
      <c r="S141" s="8"/>
      <c r="T141" s="8"/>
      <c r="U141" s="8" t="s">
        <v>384</v>
      </c>
      <c r="V141" s="8"/>
      <c r="W141" s="8" t="s">
        <v>399</v>
      </c>
      <c r="X141" s="8" t="s">
        <v>99</v>
      </c>
      <c r="Y141" s="8" t="s">
        <v>23</v>
      </c>
    </row>
    <row r="142" spans="1:25" s="7" customFormat="1" hidden="1" x14ac:dyDescent="0.25">
      <c r="A142" s="273" t="s">
        <v>316</v>
      </c>
      <c r="B142" s="251">
        <v>45833</v>
      </c>
      <c r="C142" s="252" t="s">
        <v>446</v>
      </c>
      <c r="D142" s="252"/>
      <c r="E142" s="253">
        <v>0</v>
      </c>
      <c r="F142" s="253">
        <v>14000000</v>
      </c>
      <c r="G142" s="274">
        <f>Tabla3[[#This Row],[INGRESOS]]-Tabla3[[#This Row],[EGRESOS]]</f>
        <v>14000000</v>
      </c>
      <c r="H142" s="137">
        <f>Tabla3[[#This Row],[SALDO]]+H141</f>
        <v>12568055.5</v>
      </c>
      <c r="I142" s="135">
        <v>1187</v>
      </c>
      <c r="J142" s="136">
        <f>Tabla3[[#This Row],[EGRESOS]]/Tabla3[[#This Row],[TC]]</f>
        <v>0</v>
      </c>
      <c r="K142" s="136">
        <f>Tabla3[[#This Row],[INGRESOS]]/Tabla3[[#This Row],[TC]]</f>
        <v>11794.439764111205</v>
      </c>
      <c r="L142" s="8" t="s">
        <v>376</v>
      </c>
      <c r="M142" s="8" t="s">
        <v>377</v>
      </c>
      <c r="N142" s="8" t="s">
        <v>25</v>
      </c>
      <c r="O142" s="8" t="s">
        <v>244</v>
      </c>
      <c r="P142" s="8" t="s">
        <v>259</v>
      </c>
      <c r="Q142" s="8" t="s">
        <v>260</v>
      </c>
      <c r="R142" s="8" t="s">
        <v>467</v>
      </c>
      <c r="S142" s="8"/>
      <c r="T142" s="8"/>
      <c r="U142" s="8" t="s">
        <v>379</v>
      </c>
      <c r="V142" s="8"/>
      <c r="W142" s="8"/>
      <c r="X142" s="8"/>
      <c r="Y142" s="8"/>
    </row>
    <row r="143" spans="1:25" s="7" customFormat="1" hidden="1" x14ac:dyDescent="0.25">
      <c r="A143" s="273" t="s">
        <v>316</v>
      </c>
      <c r="B143" s="251">
        <v>45833</v>
      </c>
      <c r="C143" s="252" t="s">
        <v>454</v>
      </c>
      <c r="D143" s="252"/>
      <c r="E143" s="253">
        <v>3743547.5</v>
      </c>
      <c r="F143" s="253">
        <v>0</v>
      </c>
      <c r="G143" s="274">
        <f>Tabla3[[#This Row],[INGRESOS]]-Tabla3[[#This Row],[EGRESOS]]</f>
        <v>-3743547.5</v>
      </c>
      <c r="H143" s="137">
        <f>Tabla3[[#This Row],[SALDO]]+H142</f>
        <v>8824508</v>
      </c>
      <c r="I143" s="135">
        <v>1188</v>
      </c>
      <c r="J143" s="136">
        <f>Tabla3[[#This Row],[EGRESOS]]/Tabla3[[#This Row],[TC]]</f>
        <v>3151.1342592592591</v>
      </c>
      <c r="K143" s="136">
        <f>Tabla3[[#This Row],[INGRESOS]]/Tabla3[[#This Row],[TC]]</f>
        <v>0</v>
      </c>
      <c r="L143" s="8" t="s">
        <v>376</v>
      </c>
      <c r="M143" s="8" t="s">
        <v>377</v>
      </c>
      <c r="N143" s="8" t="s">
        <v>25</v>
      </c>
      <c r="O143" s="8" t="s">
        <v>244</v>
      </c>
      <c r="P143" s="8" t="s">
        <v>38</v>
      </c>
      <c r="Q143" s="8" t="s">
        <v>250</v>
      </c>
      <c r="R143" s="8" t="s">
        <v>455</v>
      </c>
      <c r="S143" s="8" t="s">
        <v>456</v>
      </c>
      <c r="T143" s="8"/>
      <c r="U143" s="8" t="s">
        <v>457</v>
      </c>
      <c r="V143" s="8"/>
      <c r="W143" s="8" t="s">
        <v>380</v>
      </c>
      <c r="X143" s="8" t="s">
        <v>92</v>
      </c>
      <c r="Y143" s="8" t="s">
        <v>23</v>
      </c>
    </row>
    <row r="144" spans="1:25" s="7" customFormat="1" hidden="1" x14ac:dyDescent="0.25">
      <c r="A144" s="273" t="s">
        <v>316</v>
      </c>
      <c r="B144" s="251">
        <v>45838</v>
      </c>
      <c r="C144" s="252" t="s">
        <v>449</v>
      </c>
      <c r="D144" s="252"/>
      <c r="E144" s="253">
        <v>930</v>
      </c>
      <c r="F144" s="253">
        <v>0</v>
      </c>
      <c r="G144" s="274">
        <f>Tabla3[[#This Row],[INGRESOS]]-Tabla3[[#This Row],[EGRESOS]]</f>
        <v>-930</v>
      </c>
      <c r="H144" s="137">
        <f>Tabla3[[#This Row],[SALDO]]+H143</f>
        <v>8823578</v>
      </c>
      <c r="I144" s="135">
        <v>1189</v>
      </c>
      <c r="J144" s="136">
        <f>Tabla3[[#This Row],[EGRESOS]]/Tabla3[[#This Row],[TC]]</f>
        <v>0.78216989066442388</v>
      </c>
      <c r="K144" s="136">
        <f>Tabla3[[#This Row],[INGRESOS]]/Tabla3[[#This Row],[TC]]</f>
        <v>0</v>
      </c>
      <c r="L144" s="8" t="s">
        <v>376</v>
      </c>
      <c r="M144" s="8" t="s">
        <v>377</v>
      </c>
      <c r="N144" s="8" t="s">
        <v>25</v>
      </c>
      <c r="O144" s="8" t="s">
        <v>184</v>
      </c>
      <c r="P144" s="8" t="s">
        <v>195</v>
      </c>
      <c r="Q144" s="8" t="s">
        <v>196</v>
      </c>
      <c r="R144" s="8"/>
      <c r="S144" s="8"/>
      <c r="T144" s="8"/>
      <c r="U144" s="8" t="s">
        <v>384</v>
      </c>
      <c r="V144" s="8"/>
      <c r="W144" s="8" t="s">
        <v>399</v>
      </c>
      <c r="X144" s="8" t="s">
        <v>99</v>
      </c>
      <c r="Y144" s="8" t="s">
        <v>23</v>
      </c>
    </row>
    <row r="145" spans="1:25" s="7" customFormat="1" hidden="1" x14ac:dyDescent="0.25">
      <c r="A145" s="273" t="s">
        <v>316</v>
      </c>
      <c r="B145" s="251">
        <v>45838</v>
      </c>
      <c r="C145" s="252" t="s">
        <v>468</v>
      </c>
      <c r="D145" s="252"/>
      <c r="E145" s="253">
        <v>155000</v>
      </c>
      <c r="F145" s="253">
        <v>0</v>
      </c>
      <c r="G145" s="274">
        <f>Tabla3[[#This Row],[INGRESOS]]-Tabla3[[#This Row],[EGRESOS]]</f>
        <v>-155000</v>
      </c>
      <c r="H145" s="137">
        <f>Tabla3[[#This Row],[SALDO]]+H144</f>
        <v>8668578</v>
      </c>
      <c r="I145" s="135">
        <v>1190</v>
      </c>
      <c r="J145" s="136">
        <f>Tabla3[[#This Row],[EGRESOS]]/Tabla3[[#This Row],[TC]]</f>
        <v>130.25210084033614</v>
      </c>
      <c r="K145" s="136">
        <f>Tabla3[[#This Row],[INGRESOS]]/Tabla3[[#This Row],[TC]]</f>
        <v>0</v>
      </c>
      <c r="L145" s="8" t="s">
        <v>376</v>
      </c>
      <c r="M145" s="8" t="s">
        <v>377</v>
      </c>
      <c r="N145" s="8" t="s">
        <v>25</v>
      </c>
      <c r="O145" s="8" t="s">
        <v>184</v>
      </c>
      <c r="P145" s="8" t="s">
        <v>199</v>
      </c>
      <c r="Q145" s="8" t="s">
        <v>200</v>
      </c>
      <c r="R145" s="8" t="s">
        <v>469</v>
      </c>
      <c r="S145" s="8" t="s">
        <v>470</v>
      </c>
      <c r="T145" s="8"/>
      <c r="U145" s="8" t="s">
        <v>390</v>
      </c>
      <c r="V145" s="8"/>
      <c r="W145" s="8" t="s">
        <v>380</v>
      </c>
      <c r="X145" s="8" t="s">
        <v>99</v>
      </c>
      <c r="Y145" s="8" t="s">
        <v>23</v>
      </c>
    </row>
    <row r="146" spans="1:25" s="7" customFormat="1" hidden="1" x14ac:dyDescent="0.25">
      <c r="A146" s="273" t="s">
        <v>316</v>
      </c>
      <c r="B146" s="251">
        <v>45838</v>
      </c>
      <c r="C146" s="252" t="s">
        <v>417</v>
      </c>
      <c r="D146" s="252"/>
      <c r="E146" s="253">
        <v>1140</v>
      </c>
      <c r="F146" s="253">
        <v>0</v>
      </c>
      <c r="G146" s="274">
        <f>Tabla3[[#This Row],[INGRESOS]]-Tabla3[[#This Row],[EGRESOS]]</f>
        <v>-1140</v>
      </c>
      <c r="H146" s="137">
        <f>Tabla3[[#This Row],[SALDO]]+H145</f>
        <v>8667438</v>
      </c>
      <c r="I146" s="135">
        <v>1191</v>
      </c>
      <c r="J146" s="136">
        <f>Tabla3[[#This Row],[EGRESOS]]/Tabla3[[#This Row],[TC]]</f>
        <v>0.95717884130982367</v>
      </c>
      <c r="K146" s="136">
        <f>Tabla3[[#This Row],[INGRESOS]]/Tabla3[[#This Row],[TC]]</f>
        <v>0</v>
      </c>
      <c r="L146" s="8" t="s">
        <v>376</v>
      </c>
      <c r="M146" s="8" t="s">
        <v>377</v>
      </c>
      <c r="N146" s="8" t="s">
        <v>25</v>
      </c>
      <c r="O146" s="8" t="s">
        <v>184</v>
      </c>
      <c r="P146" s="8" t="s">
        <v>195</v>
      </c>
      <c r="Q146" s="8" t="s">
        <v>196</v>
      </c>
      <c r="R146" s="272" t="s">
        <v>417</v>
      </c>
      <c r="S146" s="8" t="s">
        <v>383</v>
      </c>
      <c r="T146" s="8"/>
      <c r="U146" s="8" t="s">
        <v>384</v>
      </c>
      <c r="V146" s="8"/>
      <c r="W146" s="8" t="s">
        <v>380</v>
      </c>
      <c r="X146" s="8" t="s">
        <v>99</v>
      </c>
      <c r="Y146" s="8" t="s">
        <v>23</v>
      </c>
    </row>
    <row r="147" spans="1:25" s="7" customFormat="1" hidden="1" x14ac:dyDescent="0.25">
      <c r="A147" s="273" t="s">
        <v>316</v>
      </c>
      <c r="B147" s="251">
        <v>45838</v>
      </c>
      <c r="C147" s="252" t="s">
        <v>424</v>
      </c>
      <c r="D147" s="252"/>
      <c r="E147" s="253">
        <v>38000</v>
      </c>
      <c r="F147" s="253">
        <v>0</v>
      </c>
      <c r="G147" s="274">
        <f>Tabla3[[#This Row],[INGRESOS]]-Tabla3[[#This Row],[EGRESOS]]</f>
        <v>-38000</v>
      </c>
      <c r="H147" s="137">
        <f>Tabla3[[#This Row],[SALDO]]+H146</f>
        <v>8629438</v>
      </c>
      <c r="I147" s="135">
        <v>1192</v>
      </c>
      <c r="J147" s="136">
        <f>Tabla3[[#This Row],[EGRESOS]]/Tabla3[[#This Row],[TC]]</f>
        <v>31.879194630872483</v>
      </c>
      <c r="K147" s="136">
        <f>Tabla3[[#This Row],[INGRESOS]]/Tabla3[[#This Row],[TC]]</f>
        <v>0</v>
      </c>
      <c r="L147" s="8" t="s">
        <v>376</v>
      </c>
      <c r="M147" s="8" t="s">
        <v>377</v>
      </c>
      <c r="N147" s="8" t="s">
        <v>25</v>
      </c>
      <c r="O147" s="8" t="s">
        <v>184</v>
      </c>
      <c r="P147" s="8" t="s">
        <v>185</v>
      </c>
      <c r="Q147" s="8" t="s">
        <v>186</v>
      </c>
      <c r="R147" s="8" t="s">
        <v>227</v>
      </c>
      <c r="S147" s="8"/>
      <c r="T147" s="8"/>
      <c r="U147" s="8" t="s">
        <v>384</v>
      </c>
      <c r="V147" s="8"/>
      <c r="W147" s="8" t="s">
        <v>399</v>
      </c>
      <c r="X147" s="8" t="s">
        <v>99</v>
      </c>
      <c r="Y147" s="8" t="s">
        <v>23</v>
      </c>
    </row>
    <row r="148" spans="1:25" s="7" customFormat="1" hidden="1" x14ac:dyDescent="0.25">
      <c r="A148" s="273" t="s">
        <v>316</v>
      </c>
      <c r="B148" s="251">
        <v>45838</v>
      </c>
      <c r="C148" s="252" t="s">
        <v>463</v>
      </c>
      <c r="D148" s="252"/>
      <c r="E148" s="253">
        <v>3922.39</v>
      </c>
      <c r="F148" s="253">
        <v>0</v>
      </c>
      <c r="G148" s="274">
        <f>Tabla3[[#This Row],[INGRESOS]]-Tabla3[[#This Row],[EGRESOS]]</f>
        <v>-3922.39</v>
      </c>
      <c r="H148" s="137">
        <f>Tabla3[[#This Row],[SALDO]]+H147</f>
        <v>8625515.6099999994</v>
      </c>
      <c r="I148" s="135">
        <v>1193</v>
      </c>
      <c r="J148" s="136">
        <f>Tabla3[[#This Row],[EGRESOS]]/Tabla3[[#This Row],[TC]]</f>
        <v>3.2878373847443418</v>
      </c>
      <c r="K148" s="136">
        <f>Tabla3[[#This Row],[INGRESOS]]/Tabla3[[#This Row],[TC]]</f>
        <v>0</v>
      </c>
      <c r="L148" s="8" t="s">
        <v>376</v>
      </c>
      <c r="M148" s="8" t="s">
        <v>377</v>
      </c>
      <c r="N148" s="8" t="s">
        <v>25</v>
      </c>
      <c r="O148" s="8" t="s">
        <v>184</v>
      </c>
      <c r="P148" s="8" t="s">
        <v>195</v>
      </c>
      <c r="Q148" s="8" t="s">
        <v>196</v>
      </c>
      <c r="R148" s="8" t="s">
        <v>423</v>
      </c>
      <c r="S148" s="8" t="s">
        <v>69</v>
      </c>
      <c r="T148" s="8"/>
      <c r="U148" s="8" t="s">
        <v>384</v>
      </c>
      <c r="V148" s="8"/>
      <c r="W148" s="8" t="s">
        <v>399</v>
      </c>
      <c r="X148" s="8" t="s">
        <v>99</v>
      </c>
      <c r="Y148" s="8" t="s">
        <v>23</v>
      </c>
    </row>
    <row r="149" spans="1:25" s="7" customFormat="1" hidden="1" x14ac:dyDescent="0.25">
      <c r="A149" s="273" t="s">
        <v>316</v>
      </c>
      <c r="B149" s="251">
        <v>45838</v>
      </c>
      <c r="C149" s="252" t="s">
        <v>273</v>
      </c>
      <c r="D149" s="252"/>
      <c r="E149" s="253">
        <v>7980</v>
      </c>
      <c r="F149" s="253">
        <v>0</v>
      </c>
      <c r="G149" s="274">
        <f>Tabla3[[#This Row],[INGRESOS]]-Tabla3[[#This Row],[EGRESOS]]</f>
        <v>-7980</v>
      </c>
      <c r="H149" s="137">
        <f>Tabla3[[#This Row],[SALDO]]+H148</f>
        <v>8617535.6099999994</v>
      </c>
      <c r="I149" s="135">
        <v>1194</v>
      </c>
      <c r="J149" s="136">
        <f>Tabla3[[#This Row],[EGRESOS]]/Tabla3[[#This Row],[TC]]</f>
        <v>6.683417085427136</v>
      </c>
      <c r="K149" s="136">
        <f>Tabla3[[#This Row],[INGRESOS]]/Tabla3[[#This Row],[TC]]</f>
        <v>0</v>
      </c>
      <c r="L149" s="8" t="s">
        <v>376</v>
      </c>
      <c r="M149" s="8" t="s">
        <v>377</v>
      </c>
      <c r="N149" s="8" t="s">
        <v>25</v>
      </c>
      <c r="O149" s="8" t="s">
        <v>184</v>
      </c>
      <c r="P149" s="8" t="s">
        <v>195</v>
      </c>
      <c r="Q149" s="8" t="s">
        <v>196</v>
      </c>
      <c r="R149" s="8" t="s">
        <v>382</v>
      </c>
      <c r="S149" s="8" t="s">
        <v>383</v>
      </c>
      <c r="T149" s="8"/>
      <c r="U149" s="8" t="s">
        <v>384</v>
      </c>
      <c r="V149" s="8"/>
      <c r="W149" s="8" t="s">
        <v>399</v>
      </c>
      <c r="X149" s="8" t="s">
        <v>99</v>
      </c>
      <c r="Y149" s="8" t="s">
        <v>23</v>
      </c>
    </row>
    <row r="150" spans="1:25" s="7" customFormat="1" hidden="1" x14ac:dyDescent="0.25">
      <c r="A150" s="273" t="s">
        <v>316</v>
      </c>
      <c r="B150" s="251">
        <v>45838</v>
      </c>
      <c r="C150" s="252" t="s">
        <v>460</v>
      </c>
      <c r="D150" s="252"/>
      <c r="E150" s="253">
        <v>19219.77</v>
      </c>
      <c r="F150" s="253">
        <v>0</v>
      </c>
      <c r="G150" s="274">
        <f>Tabla3[[#This Row],[INGRESOS]]-Tabla3[[#This Row],[EGRESOS]]</f>
        <v>-19219.77</v>
      </c>
      <c r="H150" s="137">
        <f>Tabla3[[#This Row],[SALDO]]+H149</f>
        <v>8598315.8399999999</v>
      </c>
      <c r="I150" s="135">
        <v>1195</v>
      </c>
      <c r="J150" s="136">
        <f>Tabla3[[#This Row],[EGRESOS]]/Tabla3[[#This Row],[TC]]</f>
        <v>16.083489539748953</v>
      </c>
      <c r="K150" s="136">
        <f>Tabla3[[#This Row],[INGRESOS]]/Tabla3[[#This Row],[TC]]</f>
        <v>0</v>
      </c>
      <c r="L150" s="8" t="s">
        <v>376</v>
      </c>
      <c r="M150" s="8" t="s">
        <v>377</v>
      </c>
      <c r="N150" s="8" t="s">
        <v>25</v>
      </c>
      <c r="O150" s="8" t="s">
        <v>184</v>
      </c>
      <c r="P150" s="8" t="s">
        <v>195</v>
      </c>
      <c r="Q150" s="8" t="s">
        <v>196</v>
      </c>
      <c r="R150" s="8" t="s">
        <v>273</v>
      </c>
      <c r="S150" s="8" t="s">
        <v>383</v>
      </c>
      <c r="T150" s="8"/>
      <c r="U150" s="8" t="s">
        <v>384</v>
      </c>
      <c r="V150" s="8"/>
      <c r="W150" s="8" t="s">
        <v>399</v>
      </c>
      <c r="X150" s="8" t="s">
        <v>99</v>
      </c>
      <c r="Y150" s="8" t="s">
        <v>23</v>
      </c>
    </row>
    <row r="151" spans="1:25" s="7" customFormat="1" hidden="1" x14ac:dyDescent="0.25">
      <c r="A151" s="273" t="s">
        <v>316</v>
      </c>
      <c r="B151" s="251">
        <v>45838</v>
      </c>
      <c r="C151" s="252" t="s">
        <v>449</v>
      </c>
      <c r="D151" s="252"/>
      <c r="E151" s="253">
        <v>930</v>
      </c>
      <c r="F151" s="253">
        <v>0</v>
      </c>
      <c r="G151" s="274">
        <f>Tabla3[[#This Row],[INGRESOS]]-Tabla3[[#This Row],[EGRESOS]]</f>
        <v>-930</v>
      </c>
      <c r="H151" s="137">
        <f>Tabla3[[#This Row],[SALDO]]+H150</f>
        <v>8597385.8399999999</v>
      </c>
      <c r="I151" s="135">
        <v>1196</v>
      </c>
      <c r="J151" s="136">
        <f>Tabla3[[#This Row],[EGRESOS]]/Tabla3[[#This Row],[TC]]</f>
        <v>0.77759197324414719</v>
      </c>
      <c r="K151" s="136">
        <f>Tabla3[[#This Row],[INGRESOS]]/Tabla3[[#This Row],[TC]]</f>
        <v>0</v>
      </c>
      <c r="L151" s="8" t="s">
        <v>376</v>
      </c>
      <c r="M151" s="8" t="s">
        <v>377</v>
      </c>
      <c r="N151" s="8" t="s">
        <v>25</v>
      </c>
      <c r="O151" s="8" t="s">
        <v>184</v>
      </c>
      <c r="P151" s="8" t="s">
        <v>195</v>
      </c>
      <c r="Q151" s="8" t="s">
        <v>196</v>
      </c>
      <c r="R151" s="8" t="s">
        <v>382</v>
      </c>
      <c r="S151" s="8" t="s">
        <v>383</v>
      </c>
      <c r="T151" s="8"/>
      <c r="U151" s="8" t="s">
        <v>384</v>
      </c>
      <c r="V151" s="8"/>
      <c r="W151" s="8" t="s">
        <v>399</v>
      </c>
      <c r="X151" s="8" t="s">
        <v>99</v>
      </c>
      <c r="Y151" s="8" t="s">
        <v>23</v>
      </c>
    </row>
    <row r="152" spans="1:25" s="7" customFormat="1" hidden="1" x14ac:dyDescent="0.25">
      <c r="A152" s="273" t="s">
        <v>316</v>
      </c>
      <c r="B152" s="251">
        <v>45838</v>
      </c>
      <c r="C152" s="252" t="s">
        <v>449</v>
      </c>
      <c r="D152" s="252"/>
      <c r="E152" s="253">
        <v>1536.31</v>
      </c>
      <c r="F152" s="253">
        <v>0</v>
      </c>
      <c r="G152" s="274">
        <f>Tabla3[[#This Row],[INGRESOS]]-Tabla3[[#This Row],[EGRESOS]]</f>
        <v>-1536.31</v>
      </c>
      <c r="H152" s="137">
        <f>Tabla3[[#This Row],[SALDO]]+H151</f>
        <v>8595849.5299999993</v>
      </c>
      <c r="I152" s="135">
        <v>1197</v>
      </c>
      <c r="J152" s="136">
        <f>Tabla3[[#This Row],[EGRESOS]]/Tabla3[[#This Row],[TC]]</f>
        <v>1.2834670008354219</v>
      </c>
      <c r="K152" s="136">
        <f>Tabla3[[#This Row],[INGRESOS]]/Tabla3[[#This Row],[TC]]</f>
        <v>0</v>
      </c>
      <c r="L152" s="8" t="s">
        <v>376</v>
      </c>
      <c r="M152" s="8" t="s">
        <v>377</v>
      </c>
      <c r="N152" s="8" t="s">
        <v>25</v>
      </c>
      <c r="O152" s="8" t="s">
        <v>184</v>
      </c>
      <c r="P152" s="8" t="s">
        <v>195</v>
      </c>
      <c r="Q152" s="8" t="s">
        <v>196</v>
      </c>
      <c r="R152" s="8" t="s">
        <v>382</v>
      </c>
      <c r="S152" s="8" t="s">
        <v>383</v>
      </c>
      <c r="T152" s="8"/>
      <c r="U152" s="8" t="s">
        <v>384</v>
      </c>
      <c r="V152" s="8"/>
      <c r="W152" s="8" t="s">
        <v>399</v>
      </c>
      <c r="X152" s="8" t="s">
        <v>99</v>
      </c>
      <c r="Y152" s="8" t="s">
        <v>23</v>
      </c>
    </row>
    <row r="153" spans="1:25" s="7" customFormat="1" hidden="1" x14ac:dyDescent="0.25">
      <c r="A153" s="273" t="s">
        <v>316</v>
      </c>
      <c r="B153" s="251">
        <v>45838</v>
      </c>
      <c r="C153" s="252" t="s">
        <v>459</v>
      </c>
      <c r="D153" s="252"/>
      <c r="E153" s="253">
        <v>183045.4</v>
      </c>
      <c r="F153" s="253">
        <v>0</v>
      </c>
      <c r="G153" s="274">
        <f>Tabla3[[#This Row],[INGRESOS]]-Tabla3[[#This Row],[EGRESOS]]</f>
        <v>-183045.4</v>
      </c>
      <c r="H153" s="137">
        <f>Tabla3[[#This Row],[SALDO]]+H152</f>
        <v>8412804.129999999</v>
      </c>
      <c r="I153" s="135">
        <v>1198</v>
      </c>
      <c r="J153" s="136">
        <f>Tabla3[[#This Row],[EGRESOS]]/Tabla3[[#This Row],[TC]]</f>
        <v>152.79248747913189</v>
      </c>
      <c r="K153" s="136">
        <f>Tabla3[[#This Row],[INGRESOS]]/Tabla3[[#This Row],[TC]]</f>
        <v>0</v>
      </c>
      <c r="L153" s="8" t="s">
        <v>376</v>
      </c>
      <c r="M153" s="8" t="s">
        <v>377</v>
      </c>
      <c r="N153" s="8" t="s">
        <v>25</v>
      </c>
      <c r="O153" s="8" t="s">
        <v>184</v>
      </c>
      <c r="P153" s="8" t="s">
        <v>197</v>
      </c>
      <c r="Q153" s="8" t="s">
        <v>198</v>
      </c>
      <c r="R153" s="8" t="s">
        <v>419</v>
      </c>
      <c r="S153" s="8"/>
      <c r="T153" s="8"/>
      <c r="U153" s="8" t="s">
        <v>384</v>
      </c>
      <c r="V153" s="8"/>
      <c r="W153" s="8" t="s">
        <v>399</v>
      </c>
      <c r="X153" s="8" t="s">
        <v>99</v>
      </c>
      <c r="Y153" s="8" t="s">
        <v>23</v>
      </c>
    </row>
    <row r="154" spans="1:25" s="7" customFormat="1" hidden="1" x14ac:dyDescent="0.25">
      <c r="A154" s="273" t="str">
        <f>"JUNIO"</f>
        <v>JUNIO</v>
      </c>
      <c r="B154" s="251">
        <v>45838</v>
      </c>
      <c r="C154" s="252" t="s">
        <v>458</v>
      </c>
      <c r="D154" s="252"/>
      <c r="E154" s="253">
        <v>2745.68</v>
      </c>
      <c r="F154" s="253">
        <v>0</v>
      </c>
      <c r="G154" s="274">
        <f>Tabla3[[#This Row],[INGRESOS]]-Tabla3[[#This Row],[EGRESOS]]</f>
        <v>-2745.68</v>
      </c>
      <c r="H154" s="137">
        <f>Tabla3[[#This Row],[SALDO]]+H153</f>
        <v>8410058.4499999993</v>
      </c>
      <c r="I154" s="135">
        <v>1199</v>
      </c>
      <c r="J154" s="136">
        <f>Tabla3[[#This Row],[EGRESOS]]/Tabla3[[#This Row],[TC]]</f>
        <v>2.2899749791492909</v>
      </c>
      <c r="K154" s="136">
        <f>Tabla3[[#This Row],[INGRESOS]]/Tabla3[[#This Row],[TC]]</f>
        <v>0</v>
      </c>
      <c r="L154" s="8" t="s">
        <v>376</v>
      </c>
      <c r="M154" s="8" t="s">
        <v>377</v>
      </c>
      <c r="N154" s="8" t="s">
        <v>25</v>
      </c>
      <c r="O154" s="8" t="s">
        <v>184</v>
      </c>
      <c r="P154" s="8" t="s">
        <v>195</v>
      </c>
      <c r="Q154" s="8" t="s">
        <v>196</v>
      </c>
      <c r="R154" s="8" t="s">
        <v>417</v>
      </c>
      <c r="S154" s="8" t="s">
        <v>383</v>
      </c>
      <c r="T154" s="8"/>
      <c r="U154" s="8" t="s">
        <v>384</v>
      </c>
      <c r="V154" s="8"/>
      <c r="W154" s="8" t="s">
        <v>380</v>
      </c>
      <c r="X154" s="8" t="s">
        <v>99</v>
      </c>
      <c r="Y154" s="8" t="s">
        <v>23</v>
      </c>
    </row>
    <row r="155" spans="1:25" s="7" customFormat="1" hidden="1" x14ac:dyDescent="0.25">
      <c r="A155" s="273" t="s">
        <v>317</v>
      </c>
      <c r="B155" s="251">
        <v>45863</v>
      </c>
      <c r="C155" s="252" t="s">
        <v>449</v>
      </c>
      <c r="D155" s="252"/>
      <c r="E155" s="253">
        <v>22144</v>
      </c>
      <c r="F155" s="253">
        <v>0</v>
      </c>
      <c r="G155" s="274">
        <f>Tabla3[[#This Row],[INGRESOS]]-Tabla3[[#This Row],[EGRESOS]]</f>
        <v>-22144</v>
      </c>
      <c r="H155" s="137">
        <f>Tabla3[[#This Row],[SALDO]]+H154</f>
        <v>8387914.4499999993</v>
      </c>
      <c r="I155" s="135">
        <v>1200</v>
      </c>
      <c r="J155" s="136">
        <f>Tabla3[[#This Row],[EGRESOS]]/Tabla3[[#This Row],[TC]]</f>
        <v>18.453333333333333</v>
      </c>
      <c r="K155" s="136">
        <f>Tabla3[[#This Row],[INGRESOS]]/Tabla3[[#This Row],[TC]]</f>
        <v>0</v>
      </c>
      <c r="L155" s="8" t="s">
        <v>376</v>
      </c>
      <c r="M155" s="8" t="s">
        <v>377</v>
      </c>
      <c r="N155" s="8" t="s">
        <v>25</v>
      </c>
      <c r="O155" s="8" t="s">
        <v>184</v>
      </c>
      <c r="P155" s="8" t="s">
        <v>195</v>
      </c>
      <c r="Q155" s="8" t="s">
        <v>196</v>
      </c>
      <c r="R155" s="8" t="s">
        <v>382</v>
      </c>
      <c r="S155" s="8" t="s">
        <v>383</v>
      </c>
      <c r="T155" s="8"/>
      <c r="U155" s="8" t="s">
        <v>384</v>
      </c>
      <c r="V155" s="8"/>
      <c r="W155" s="8" t="s">
        <v>399</v>
      </c>
      <c r="X155" s="8" t="s">
        <v>99</v>
      </c>
      <c r="Y155" s="8" t="s">
        <v>23</v>
      </c>
    </row>
    <row r="156" spans="1:25" s="7" customFormat="1" hidden="1" x14ac:dyDescent="0.25">
      <c r="A156" s="273" t="s">
        <v>317</v>
      </c>
      <c r="B156" s="251">
        <v>45863</v>
      </c>
      <c r="C156" s="252" t="s">
        <v>471</v>
      </c>
      <c r="D156" s="252"/>
      <c r="E156" s="253">
        <v>0</v>
      </c>
      <c r="F156" s="253">
        <v>3600000</v>
      </c>
      <c r="G156" s="274">
        <f>Tabla3[[#This Row],[INGRESOS]]-Tabla3[[#This Row],[EGRESOS]]</f>
        <v>3600000</v>
      </c>
      <c r="H156" s="137">
        <f>Tabla3[[#This Row],[SALDO]]+H155</f>
        <v>11987914.449999999</v>
      </c>
      <c r="I156" s="135">
        <v>1201</v>
      </c>
      <c r="J156" s="136">
        <f>Tabla3[[#This Row],[EGRESOS]]/Tabla3[[#This Row],[TC]]</f>
        <v>0</v>
      </c>
      <c r="K156" s="136">
        <f>Tabla3[[#This Row],[INGRESOS]]/Tabla3[[#This Row],[TC]]</f>
        <v>2997.5020815986677</v>
      </c>
      <c r="L156" s="8" t="s">
        <v>376</v>
      </c>
      <c r="M156" s="8" t="s">
        <v>377</v>
      </c>
      <c r="N156" s="8" t="s">
        <v>25</v>
      </c>
      <c r="O156" s="8" t="s">
        <v>244</v>
      </c>
      <c r="P156" s="8" t="s">
        <v>259</v>
      </c>
      <c r="Q156" s="8" t="s">
        <v>260</v>
      </c>
      <c r="R156" s="8" t="s">
        <v>405</v>
      </c>
      <c r="S156" s="8"/>
      <c r="T156" s="8"/>
      <c r="U156" s="8" t="s">
        <v>379</v>
      </c>
      <c r="V156" s="8"/>
      <c r="W156" s="8" t="s">
        <v>380</v>
      </c>
      <c r="X156" s="8"/>
      <c r="Y156" s="8"/>
    </row>
    <row r="157" spans="1:25" s="7" customFormat="1" hidden="1" x14ac:dyDescent="0.25">
      <c r="A157" s="273" t="s">
        <v>317</v>
      </c>
      <c r="B157" s="251">
        <v>45863</v>
      </c>
      <c r="C157" s="252" t="s">
        <v>454</v>
      </c>
      <c r="D157" s="252"/>
      <c r="E157" s="253">
        <v>3690666.26</v>
      </c>
      <c r="F157" s="253">
        <v>0</v>
      </c>
      <c r="G157" s="274">
        <f>Tabla3[[#This Row],[INGRESOS]]-Tabla3[[#This Row],[EGRESOS]]</f>
        <v>-3690666.26</v>
      </c>
      <c r="H157" s="137">
        <f>Tabla3[[#This Row],[SALDO]]+H156</f>
        <v>8297248.1899999995</v>
      </c>
      <c r="I157" s="135">
        <v>1202</v>
      </c>
      <c r="J157" s="136">
        <f>Tabla3[[#This Row],[EGRESOS]]/Tabla3[[#This Row],[TC]]</f>
        <v>3070.4378202995008</v>
      </c>
      <c r="K157" s="136">
        <f>Tabla3[[#This Row],[INGRESOS]]/Tabla3[[#This Row],[TC]]</f>
        <v>0</v>
      </c>
      <c r="L157" s="8" t="s">
        <v>376</v>
      </c>
      <c r="M157" s="8" t="s">
        <v>377</v>
      </c>
      <c r="N157" s="8" t="s">
        <v>25</v>
      </c>
      <c r="O157" s="8" t="s">
        <v>244</v>
      </c>
      <c r="P157" s="8" t="s">
        <v>38</v>
      </c>
      <c r="Q157" s="8" t="s">
        <v>252</v>
      </c>
      <c r="R157" s="8" t="s">
        <v>455</v>
      </c>
      <c r="S157" s="8" t="s">
        <v>456</v>
      </c>
      <c r="T157" s="8"/>
      <c r="U157" s="8" t="s">
        <v>457</v>
      </c>
      <c r="V157" s="8"/>
      <c r="W157" s="8" t="s">
        <v>380</v>
      </c>
      <c r="X157" s="8" t="s">
        <v>92</v>
      </c>
      <c r="Y157" s="8" t="s">
        <v>23</v>
      </c>
    </row>
    <row r="158" spans="1:25" s="7" customFormat="1" hidden="1" x14ac:dyDescent="0.25">
      <c r="A158" s="273" t="s">
        <v>317</v>
      </c>
      <c r="B158" s="251">
        <v>45869</v>
      </c>
      <c r="C158" s="252" t="s">
        <v>471</v>
      </c>
      <c r="D158" s="252"/>
      <c r="E158" s="253">
        <v>0</v>
      </c>
      <c r="F158" s="253">
        <v>8000000</v>
      </c>
      <c r="G158" s="274">
        <f>Tabla3[[#This Row],[INGRESOS]]-Tabla3[[#This Row],[EGRESOS]]</f>
        <v>8000000</v>
      </c>
      <c r="H158" s="137">
        <f>Tabla3[[#This Row],[SALDO]]+H157</f>
        <v>16297248.189999999</v>
      </c>
      <c r="I158" s="135">
        <v>1203</v>
      </c>
      <c r="J158" s="136">
        <f>Tabla3[[#This Row],[EGRESOS]]/Tabla3[[#This Row],[TC]]</f>
        <v>0</v>
      </c>
      <c r="K158" s="136">
        <f>Tabla3[[#This Row],[INGRESOS]]/Tabla3[[#This Row],[TC]]</f>
        <v>6650.0415627597677</v>
      </c>
      <c r="L158" s="8" t="s">
        <v>376</v>
      </c>
      <c r="M158" s="8" t="s">
        <v>377</v>
      </c>
      <c r="N158" s="8" t="s">
        <v>25</v>
      </c>
      <c r="O158" s="8" t="s">
        <v>244</v>
      </c>
      <c r="P158" s="8" t="s">
        <v>259</v>
      </c>
      <c r="Q158" s="8" t="s">
        <v>260</v>
      </c>
      <c r="R158" s="8" t="s">
        <v>405</v>
      </c>
      <c r="S158" s="8"/>
      <c r="T158" s="8"/>
      <c r="U158" s="8" t="s">
        <v>379</v>
      </c>
      <c r="V158" s="8"/>
      <c r="W158" s="8" t="s">
        <v>380</v>
      </c>
      <c r="X158" s="8"/>
      <c r="Y158" s="8"/>
    </row>
    <row r="159" spans="1:25" s="7" customFormat="1" hidden="1" x14ac:dyDescent="0.25">
      <c r="A159" s="273" t="s">
        <v>317</v>
      </c>
      <c r="B159" s="251">
        <v>45869</v>
      </c>
      <c r="C159" s="252" t="s">
        <v>465</v>
      </c>
      <c r="D159" s="252"/>
      <c r="E159" s="253">
        <v>8000000</v>
      </c>
      <c r="F159" s="253">
        <v>0</v>
      </c>
      <c r="G159" s="274">
        <f>Tabla3[[#This Row],[INGRESOS]]-Tabla3[[#This Row],[EGRESOS]]</f>
        <v>-8000000</v>
      </c>
      <c r="H159" s="137">
        <f>Tabla3[[#This Row],[SALDO]]+H158</f>
        <v>8297248.1899999995</v>
      </c>
      <c r="I159" s="135">
        <v>1204</v>
      </c>
      <c r="J159" s="136">
        <f>Tabla3[[#This Row],[EGRESOS]]/Tabla3[[#This Row],[TC]]</f>
        <v>6644.5182724252491</v>
      </c>
      <c r="K159" s="136">
        <f>Tabla3[[#This Row],[INGRESOS]]/Tabla3[[#This Row],[TC]]</f>
        <v>0</v>
      </c>
      <c r="L159" s="8" t="s">
        <v>376</v>
      </c>
      <c r="M159" s="8" t="s">
        <v>377</v>
      </c>
      <c r="N159" s="8" t="s">
        <v>25</v>
      </c>
      <c r="O159" s="8" t="s">
        <v>244</v>
      </c>
      <c r="P159" s="8" t="s">
        <v>259</v>
      </c>
      <c r="Q159" s="8" t="s">
        <v>260</v>
      </c>
      <c r="R159" s="8" t="s">
        <v>378</v>
      </c>
      <c r="S159" s="8"/>
      <c r="T159" s="8"/>
      <c r="U159" s="8" t="s">
        <v>379</v>
      </c>
      <c r="V159" s="8"/>
      <c r="W159" s="8" t="s">
        <v>380</v>
      </c>
      <c r="X159" s="8"/>
      <c r="Y159" s="8"/>
    </row>
    <row r="160" spans="1:25" s="7" customFormat="1" hidden="1" x14ac:dyDescent="0.25">
      <c r="A160" s="273" t="s">
        <v>317</v>
      </c>
      <c r="B160" s="251">
        <v>45869</v>
      </c>
      <c r="C160" s="252" t="s">
        <v>273</v>
      </c>
      <c r="D160" s="252"/>
      <c r="E160" s="253">
        <v>7980</v>
      </c>
      <c r="F160" s="253">
        <v>0</v>
      </c>
      <c r="G160" s="274">
        <f>Tabla3[[#This Row],[INGRESOS]]-Tabla3[[#This Row],[EGRESOS]]</f>
        <v>-7980</v>
      </c>
      <c r="H160" s="137">
        <f>Tabla3[[#This Row],[SALDO]]+H159</f>
        <v>8289268.1899999995</v>
      </c>
      <c r="I160" s="135">
        <v>1250</v>
      </c>
      <c r="J160" s="136">
        <f>Tabla3[[#This Row],[EGRESOS]]/Tabla3[[#This Row],[TC]]</f>
        <v>6.3840000000000003</v>
      </c>
      <c r="K160" s="136">
        <f>Tabla3[[#This Row],[INGRESOS]]/Tabla3[[#This Row],[TC]]</f>
        <v>0</v>
      </c>
      <c r="L160" s="8" t="s">
        <v>376</v>
      </c>
      <c r="M160" s="8" t="s">
        <v>377</v>
      </c>
      <c r="N160" s="8" t="s">
        <v>25</v>
      </c>
      <c r="O160" s="8" t="s">
        <v>184</v>
      </c>
      <c r="P160" s="8" t="s">
        <v>195</v>
      </c>
      <c r="Q160" s="8" t="s">
        <v>196</v>
      </c>
      <c r="R160" s="8" t="s">
        <v>273</v>
      </c>
      <c r="S160" s="8" t="s">
        <v>383</v>
      </c>
      <c r="T160" s="8"/>
      <c r="U160" s="8" t="s">
        <v>384</v>
      </c>
      <c r="V160" s="8"/>
      <c r="W160" s="8" t="s">
        <v>380</v>
      </c>
      <c r="X160" s="8" t="s">
        <v>99</v>
      </c>
      <c r="Y160" s="8" t="s">
        <v>23</v>
      </c>
    </row>
    <row r="161" spans="1:25" s="7" customFormat="1" hidden="1" x14ac:dyDescent="0.25">
      <c r="A161" s="273" t="s">
        <v>317</v>
      </c>
      <c r="B161" s="251">
        <v>45869</v>
      </c>
      <c r="C161" s="252" t="s">
        <v>424</v>
      </c>
      <c r="D161" s="252"/>
      <c r="E161" s="253">
        <v>38000</v>
      </c>
      <c r="F161" s="253">
        <v>0</v>
      </c>
      <c r="G161" s="274">
        <f>Tabla3[[#This Row],[INGRESOS]]-Tabla3[[#This Row],[EGRESOS]]</f>
        <v>-38000</v>
      </c>
      <c r="H161" s="137">
        <f>Tabla3[[#This Row],[SALDO]]+H160</f>
        <v>8251268.1899999995</v>
      </c>
      <c r="I161" s="135">
        <v>1250</v>
      </c>
      <c r="J161" s="136">
        <f>Tabla3[[#This Row],[EGRESOS]]/Tabla3[[#This Row],[TC]]</f>
        <v>30.4</v>
      </c>
      <c r="K161" s="136">
        <f>Tabla3[[#This Row],[INGRESOS]]/Tabla3[[#This Row],[TC]]</f>
        <v>0</v>
      </c>
      <c r="L161" s="8" t="s">
        <v>376</v>
      </c>
      <c r="M161" s="8" t="s">
        <v>377</v>
      </c>
      <c r="N161" s="8" t="s">
        <v>25</v>
      </c>
      <c r="O161" s="8" t="s">
        <v>184</v>
      </c>
      <c r="P161" s="8" t="s">
        <v>185</v>
      </c>
      <c r="Q161" s="8" t="s">
        <v>186</v>
      </c>
      <c r="R161" s="8" t="s">
        <v>227</v>
      </c>
      <c r="S161" s="8"/>
      <c r="T161" s="8"/>
      <c r="U161" s="8" t="s">
        <v>384</v>
      </c>
      <c r="V161" s="8"/>
      <c r="W161" s="8" t="s">
        <v>380</v>
      </c>
      <c r="X161" s="8" t="s">
        <v>99</v>
      </c>
      <c r="Y161" s="8" t="s">
        <v>23</v>
      </c>
    </row>
    <row r="162" spans="1:25" s="7" customFormat="1" hidden="1" x14ac:dyDescent="0.25">
      <c r="A162" s="273" t="s">
        <v>317</v>
      </c>
      <c r="B162" s="251">
        <v>45869</v>
      </c>
      <c r="C162" s="252" t="s">
        <v>417</v>
      </c>
      <c r="D162" s="252"/>
      <c r="E162" s="253">
        <v>1140</v>
      </c>
      <c r="F162" s="253">
        <v>0</v>
      </c>
      <c r="G162" s="274">
        <f>Tabla3[[#This Row],[INGRESOS]]-Tabla3[[#This Row],[EGRESOS]]</f>
        <v>-1140</v>
      </c>
      <c r="H162" s="137">
        <f>Tabla3[[#This Row],[SALDO]]+H161</f>
        <v>8250128.1899999995</v>
      </c>
      <c r="I162" s="135">
        <v>1250</v>
      </c>
      <c r="J162" s="136">
        <f>Tabla3[[#This Row],[EGRESOS]]/Tabla3[[#This Row],[TC]]</f>
        <v>0.91200000000000003</v>
      </c>
      <c r="K162" s="136">
        <f>Tabla3[[#This Row],[INGRESOS]]/Tabla3[[#This Row],[TC]]</f>
        <v>0</v>
      </c>
      <c r="L162" s="8" t="s">
        <v>376</v>
      </c>
      <c r="M162" s="8" t="s">
        <v>377</v>
      </c>
      <c r="N162" s="8" t="s">
        <v>25</v>
      </c>
      <c r="O162" s="8" t="s">
        <v>184</v>
      </c>
      <c r="P162" s="8" t="s">
        <v>195</v>
      </c>
      <c r="Q162" s="8" t="s">
        <v>196</v>
      </c>
      <c r="R162" s="8" t="s">
        <v>417</v>
      </c>
      <c r="S162" s="8" t="s">
        <v>383</v>
      </c>
      <c r="T162" s="8"/>
      <c r="U162" s="8" t="s">
        <v>384</v>
      </c>
      <c r="V162" s="8"/>
      <c r="W162" s="8" t="s">
        <v>380</v>
      </c>
      <c r="X162" s="8" t="s">
        <v>99</v>
      </c>
      <c r="Y162" s="8" t="s">
        <v>23</v>
      </c>
    </row>
    <row r="163" spans="1:25" s="7" customFormat="1" hidden="1" x14ac:dyDescent="0.25">
      <c r="A163" s="273" t="str">
        <f>"AGOSTO"</f>
        <v>AGOSTO</v>
      </c>
      <c r="B163" s="251">
        <v>45875</v>
      </c>
      <c r="C163" s="252" t="s">
        <v>471</v>
      </c>
      <c r="D163" s="252"/>
      <c r="E163" s="253">
        <v>0</v>
      </c>
      <c r="F163" s="253">
        <v>20000</v>
      </c>
      <c r="G163" s="274">
        <f>Tabla3[[#This Row],[INGRESOS]]-Tabla3[[#This Row],[EGRESOS]]</f>
        <v>20000</v>
      </c>
      <c r="H163" s="137">
        <f>Tabla3[[#This Row],[SALDO]]+H162</f>
        <v>8270128.1899999995</v>
      </c>
      <c r="I163" s="135">
        <v>1290</v>
      </c>
      <c r="J163" s="136">
        <f>Tabla3[[#This Row],[EGRESOS]]/Tabla3[[#This Row],[TC]]</f>
        <v>0</v>
      </c>
      <c r="K163" s="136">
        <f>Tabla3[[#This Row],[INGRESOS]]/Tabla3[[#This Row],[TC]]</f>
        <v>15.503875968992247</v>
      </c>
      <c r="L163" s="8" t="s">
        <v>376</v>
      </c>
      <c r="M163" s="8" t="s">
        <v>377</v>
      </c>
      <c r="N163" s="8" t="s">
        <v>25</v>
      </c>
      <c r="O163" s="8" t="s">
        <v>244</v>
      </c>
      <c r="P163" s="8" t="s">
        <v>259</v>
      </c>
      <c r="Q163" s="8" t="s">
        <v>260</v>
      </c>
      <c r="R163" s="8" t="s">
        <v>405</v>
      </c>
      <c r="S163" s="8"/>
      <c r="T163" s="8"/>
      <c r="U163" s="8" t="s">
        <v>379</v>
      </c>
      <c r="V163" s="8"/>
      <c r="W163" s="8" t="s">
        <v>380</v>
      </c>
      <c r="X163" s="8"/>
      <c r="Y163" s="8"/>
    </row>
    <row r="164" spans="1:25" s="7" customFormat="1" hidden="1" x14ac:dyDescent="0.25">
      <c r="A164" s="273" t="str">
        <f>"AGOSTO"</f>
        <v>AGOSTO</v>
      </c>
      <c r="B164" s="251">
        <v>45894</v>
      </c>
      <c r="C164" s="252" t="s">
        <v>449</v>
      </c>
      <c r="D164" s="252"/>
      <c r="E164" s="253">
        <v>22121.43</v>
      </c>
      <c r="F164" s="253">
        <v>0</v>
      </c>
      <c r="G164" s="274">
        <f>Tabla3[[#This Row],[INGRESOS]]-Tabla3[[#This Row],[EGRESOS]]</f>
        <v>-22121.43</v>
      </c>
      <c r="H164" s="137">
        <f>Tabla3[[#This Row],[SALDO]]+H163</f>
        <v>8248006.7599999998</v>
      </c>
      <c r="I164" s="135">
        <v>1370</v>
      </c>
      <c r="J164" s="136">
        <f>Tabla3[[#This Row],[EGRESOS]]/Tabla3[[#This Row],[TC]]</f>
        <v>16.147029197080293</v>
      </c>
      <c r="K164" s="136">
        <f>Tabla3[[#This Row],[INGRESOS]]/Tabla3[[#This Row],[TC]]</f>
        <v>0</v>
      </c>
      <c r="L164" s="8" t="s">
        <v>376</v>
      </c>
      <c r="M164" s="8" t="s">
        <v>377</v>
      </c>
      <c r="N164" s="8" t="s">
        <v>25</v>
      </c>
      <c r="O164" s="8" t="s">
        <v>184</v>
      </c>
      <c r="P164" s="8" t="s">
        <v>195</v>
      </c>
      <c r="Q164" s="8" t="s">
        <v>196</v>
      </c>
      <c r="R164" s="8" t="s">
        <v>382</v>
      </c>
      <c r="S164" s="8" t="s">
        <v>383</v>
      </c>
      <c r="T164" s="8"/>
      <c r="U164" s="8" t="s">
        <v>384</v>
      </c>
      <c r="V164" s="8"/>
      <c r="W164" s="8" t="s">
        <v>380</v>
      </c>
      <c r="X164" s="8" t="s">
        <v>99</v>
      </c>
      <c r="Y164" s="8" t="s">
        <v>23</v>
      </c>
    </row>
    <row r="165" spans="1:25" s="7" customFormat="1" hidden="1" x14ac:dyDescent="0.25">
      <c r="A165" s="273" t="s">
        <v>318</v>
      </c>
      <c r="B165" s="251">
        <v>45894</v>
      </c>
      <c r="C165" s="252" t="s">
        <v>471</v>
      </c>
      <c r="D165" s="252"/>
      <c r="E165" s="253">
        <v>0</v>
      </c>
      <c r="F165" s="253">
        <v>3700000</v>
      </c>
      <c r="G165" s="274">
        <f>Tabla3[[#This Row],[INGRESOS]]-Tabla3[[#This Row],[EGRESOS]]</f>
        <v>3700000</v>
      </c>
      <c r="H165" s="137">
        <f>Tabla3[[#This Row],[SALDO]]+H164</f>
        <v>11948006.76</v>
      </c>
      <c r="I165" s="135">
        <v>1370</v>
      </c>
      <c r="J165" s="136">
        <f>Tabla3[[#This Row],[EGRESOS]]/Tabla3[[#This Row],[TC]]</f>
        <v>0</v>
      </c>
      <c r="K165" s="136">
        <f>Tabla3[[#This Row],[INGRESOS]]/Tabla3[[#This Row],[TC]]</f>
        <v>2700.7299270072995</v>
      </c>
      <c r="L165" s="8" t="s">
        <v>376</v>
      </c>
      <c r="M165" s="8" t="s">
        <v>377</v>
      </c>
      <c r="N165" s="8" t="s">
        <v>25</v>
      </c>
      <c r="O165" s="8" t="s">
        <v>244</v>
      </c>
      <c r="P165" s="8" t="s">
        <v>259</v>
      </c>
      <c r="Q165" s="8" t="s">
        <v>260</v>
      </c>
      <c r="R165" s="8" t="s">
        <v>405</v>
      </c>
      <c r="S165" s="8"/>
      <c r="T165" s="8"/>
      <c r="U165" s="8" t="s">
        <v>379</v>
      </c>
      <c r="V165" s="8"/>
      <c r="W165" s="8" t="s">
        <v>380</v>
      </c>
      <c r="X165" s="8"/>
      <c r="Y165" s="8"/>
    </row>
    <row r="166" spans="1:25" s="7" customFormat="1" hidden="1" x14ac:dyDescent="0.25">
      <c r="A166" s="273" t="s">
        <v>318</v>
      </c>
      <c r="B166" s="251">
        <v>45894</v>
      </c>
      <c r="C166" s="252" t="s">
        <v>454</v>
      </c>
      <c r="D166" s="252"/>
      <c r="E166" s="253">
        <v>3686904.33</v>
      </c>
      <c r="F166" s="253">
        <v>0</v>
      </c>
      <c r="G166" s="274">
        <f>Tabla3[[#This Row],[INGRESOS]]-Tabla3[[#This Row],[EGRESOS]]</f>
        <v>-3686904.33</v>
      </c>
      <c r="H166" s="137">
        <f>Tabla3[[#This Row],[SALDO]]+H165</f>
        <v>8261102.4299999997</v>
      </c>
      <c r="I166" s="135">
        <v>1370</v>
      </c>
      <c r="J166" s="136">
        <f>Tabla3[[#This Row],[EGRESOS]]/Tabla3[[#This Row],[TC]]</f>
        <v>2691.1710437956203</v>
      </c>
      <c r="K166" s="136">
        <f>Tabla3[[#This Row],[INGRESOS]]/Tabla3[[#This Row],[TC]]</f>
        <v>0</v>
      </c>
      <c r="L166" s="8" t="s">
        <v>376</v>
      </c>
      <c r="M166" s="8" t="s">
        <v>377</v>
      </c>
      <c r="N166" s="8" t="s">
        <v>25</v>
      </c>
      <c r="O166" s="8" t="s">
        <v>244</v>
      </c>
      <c r="P166" s="8" t="s">
        <v>38</v>
      </c>
      <c r="Q166" s="8" t="s">
        <v>255</v>
      </c>
      <c r="R166" s="8" t="s">
        <v>455</v>
      </c>
      <c r="S166" s="8" t="s">
        <v>456</v>
      </c>
      <c r="T166" s="8"/>
      <c r="U166" s="8" t="s">
        <v>457</v>
      </c>
      <c r="V166" s="8"/>
      <c r="W166" s="8" t="s">
        <v>380</v>
      </c>
      <c r="X166" s="8" t="s">
        <v>92</v>
      </c>
      <c r="Y166" s="8" t="s">
        <v>23</v>
      </c>
    </row>
    <row r="167" spans="1:25" s="7" customFormat="1" hidden="1" x14ac:dyDescent="0.25">
      <c r="A167" s="273" t="s">
        <v>318</v>
      </c>
      <c r="B167" s="251">
        <v>45898</v>
      </c>
      <c r="C167" s="252" t="s">
        <v>465</v>
      </c>
      <c r="D167" s="252"/>
      <c r="E167" s="253">
        <v>6000000</v>
      </c>
      <c r="F167" s="253">
        <v>0</v>
      </c>
      <c r="G167" s="274">
        <f>Tabla3[[#This Row],[INGRESOS]]-Tabla3[[#This Row],[EGRESOS]]</f>
        <v>-6000000</v>
      </c>
      <c r="H167" s="137">
        <f>Tabla3[[#This Row],[SALDO]]+H166</f>
        <v>2261102.4299999997</v>
      </c>
      <c r="I167" s="135">
        <v>1370</v>
      </c>
      <c r="J167" s="136">
        <f>Tabla3[[#This Row],[EGRESOS]]/Tabla3[[#This Row],[TC]]</f>
        <v>4379.5620437956204</v>
      </c>
      <c r="K167" s="136">
        <f>Tabla3[[#This Row],[INGRESOS]]/Tabla3[[#This Row],[TC]]</f>
        <v>0</v>
      </c>
      <c r="L167" s="8" t="s">
        <v>376</v>
      </c>
      <c r="M167" s="8" t="s">
        <v>377</v>
      </c>
      <c r="N167" s="8" t="s">
        <v>25</v>
      </c>
      <c r="O167" s="8" t="s">
        <v>244</v>
      </c>
      <c r="P167" s="8" t="s">
        <v>259</v>
      </c>
      <c r="Q167" s="8" t="s">
        <v>260</v>
      </c>
      <c r="R167" s="8" t="s">
        <v>472</v>
      </c>
      <c r="S167" s="8"/>
      <c r="T167" s="8"/>
      <c r="U167" s="8" t="s">
        <v>379</v>
      </c>
      <c r="V167" s="8"/>
      <c r="W167" s="8" t="s">
        <v>380</v>
      </c>
      <c r="X167" s="8"/>
      <c r="Y167" s="8"/>
    </row>
    <row r="168" spans="1:25" s="7" customFormat="1" hidden="1" x14ac:dyDescent="0.25">
      <c r="A168" s="273" t="s">
        <v>318</v>
      </c>
      <c r="B168" s="251">
        <v>45898</v>
      </c>
      <c r="C168" s="252" t="s">
        <v>473</v>
      </c>
      <c r="D168" s="252"/>
      <c r="E168" s="253">
        <v>0</v>
      </c>
      <c r="F168" s="253">
        <v>2000000</v>
      </c>
      <c r="G168" s="274">
        <f>Tabla3[[#This Row],[INGRESOS]]-Tabla3[[#This Row],[EGRESOS]]</f>
        <v>2000000</v>
      </c>
      <c r="H168" s="137">
        <f>Tabla3[[#This Row],[SALDO]]+H167</f>
        <v>4261102.43</v>
      </c>
      <c r="I168" s="135">
        <v>1370</v>
      </c>
      <c r="J168" s="136">
        <f>Tabla3[[#This Row],[EGRESOS]]/Tabla3[[#This Row],[TC]]</f>
        <v>0</v>
      </c>
      <c r="K168" s="136">
        <f>Tabla3[[#This Row],[INGRESOS]]/Tabla3[[#This Row],[TC]]</f>
        <v>1459.8540145985401</v>
      </c>
      <c r="L168" s="8" t="s">
        <v>376</v>
      </c>
      <c r="M168" s="8" t="s">
        <v>377</v>
      </c>
      <c r="N168" s="8" t="s">
        <v>25</v>
      </c>
      <c r="O168" s="8" t="s">
        <v>244</v>
      </c>
      <c r="P168" s="8" t="s">
        <v>259</v>
      </c>
      <c r="Q168" s="8" t="s">
        <v>260</v>
      </c>
      <c r="R168" s="8" t="s">
        <v>474</v>
      </c>
      <c r="S168" s="8"/>
      <c r="T168" s="8"/>
      <c r="U168" s="8" t="s">
        <v>379</v>
      </c>
      <c r="V168" s="8"/>
      <c r="W168" s="8"/>
      <c r="X168" s="8"/>
      <c r="Y168" s="8"/>
    </row>
    <row r="169" spans="1:25" s="7" customFormat="1" hidden="1" x14ac:dyDescent="0.25">
      <c r="A169" s="273" t="s">
        <v>318</v>
      </c>
      <c r="B169" s="251">
        <v>45900</v>
      </c>
      <c r="C169" s="252" t="s">
        <v>458</v>
      </c>
      <c r="D169" s="252"/>
      <c r="E169" s="253">
        <v>424.47</v>
      </c>
      <c r="F169" s="253">
        <v>0</v>
      </c>
      <c r="G169" s="274">
        <f>Tabla3[[#This Row],[INGRESOS]]-Tabla3[[#This Row],[EGRESOS]]</f>
        <v>-424.47</v>
      </c>
      <c r="H169" s="137">
        <f>Tabla3[[#This Row],[SALDO]]+H168</f>
        <v>4260677.96</v>
      </c>
      <c r="I169" s="135">
        <v>1370</v>
      </c>
      <c r="J169" s="136">
        <f>Tabla3[[#This Row],[EGRESOS]]/Tabla3[[#This Row],[TC]]</f>
        <v>0.30983211678832118</v>
      </c>
      <c r="K169" s="136">
        <f>Tabla3[[#This Row],[INGRESOS]]/Tabla3[[#This Row],[TC]]</f>
        <v>0</v>
      </c>
      <c r="L169" s="8" t="s">
        <v>376</v>
      </c>
      <c r="M169" s="8" t="s">
        <v>377</v>
      </c>
      <c r="N169" s="8" t="s">
        <v>25</v>
      </c>
      <c r="O169" s="8" t="s">
        <v>184</v>
      </c>
      <c r="P169" s="8" t="s">
        <v>195</v>
      </c>
      <c r="Q169" s="8" t="s">
        <v>196</v>
      </c>
      <c r="R169" s="8" t="s">
        <v>417</v>
      </c>
      <c r="S169" s="8" t="s">
        <v>383</v>
      </c>
      <c r="T169" s="8"/>
      <c r="U169" s="8" t="s">
        <v>384</v>
      </c>
      <c r="V169" s="8"/>
      <c r="W169" s="8" t="s">
        <v>380</v>
      </c>
      <c r="X169" s="8" t="s">
        <v>99</v>
      </c>
      <c r="Y169" s="8" t="s">
        <v>23</v>
      </c>
    </row>
    <row r="170" spans="1:25" s="7" customFormat="1" hidden="1" x14ac:dyDescent="0.25">
      <c r="A170" s="273" t="s">
        <v>318</v>
      </c>
      <c r="B170" s="251">
        <v>45900</v>
      </c>
      <c r="C170" s="252" t="s">
        <v>459</v>
      </c>
      <c r="D170" s="252"/>
      <c r="E170" s="253">
        <v>28298.29</v>
      </c>
      <c r="F170" s="253">
        <v>0</v>
      </c>
      <c r="G170" s="274">
        <f>Tabla3[[#This Row],[INGRESOS]]-Tabla3[[#This Row],[EGRESOS]]</f>
        <v>-28298.29</v>
      </c>
      <c r="H170" s="137">
        <f>Tabla3[[#This Row],[SALDO]]+H169</f>
        <v>4232379.67</v>
      </c>
      <c r="I170" s="135">
        <v>1370</v>
      </c>
      <c r="J170" s="136">
        <f>Tabla3[[#This Row],[EGRESOS]]/Tabla3[[#This Row],[TC]]</f>
        <v>20.655686131386862</v>
      </c>
      <c r="K170" s="136">
        <f>Tabla3[[#This Row],[INGRESOS]]/Tabla3[[#This Row],[TC]]</f>
        <v>0</v>
      </c>
      <c r="L170" s="8" t="s">
        <v>376</v>
      </c>
      <c r="M170" s="8" t="s">
        <v>377</v>
      </c>
      <c r="N170" s="8" t="s">
        <v>25</v>
      </c>
      <c r="O170" s="8" t="s">
        <v>184</v>
      </c>
      <c r="P170" s="8" t="s">
        <v>197</v>
      </c>
      <c r="Q170" s="8" t="s">
        <v>198</v>
      </c>
      <c r="R170" s="8"/>
      <c r="S170" s="8"/>
      <c r="T170" s="8"/>
      <c r="U170" s="8" t="s">
        <v>384</v>
      </c>
      <c r="V170" s="8"/>
      <c r="W170" s="8" t="s">
        <v>380</v>
      </c>
      <c r="X170" s="8" t="s">
        <v>99</v>
      </c>
      <c r="Y170" s="8" t="s">
        <v>23</v>
      </c>
    </row>
    <row r="171" spans="1:25" s="7" customFormat="1" hidden="1" x14ac:dyDescent="0.25">
      <c r="A171" s="273" t="s">
        <v>318</v>
      </c>
      <c r="B171" s="251">
        <v>45900</v>
      </c>
      <c r="C171" s="252" t="s">
        <v>449</v>
      </c>
      <c r="D171" s="252"/>
      <c r="E171" s="253">
        <v>475.26</v>
      </c>
      <c r="F171" s="253">
        <v>0</v>
      </c>
      <c r="G171" s="274">
        <f>Tabla3[[#This Row],[INGRESOS]]-Tabla3[[#This Row],[EGRESOS]]</f>
        <v>-475.26</v>
      </c>
      <c r="H171" s="137">
        <f>Tabla3[[#This Row],[SALDO]]+H170</f>
        <v>4231904.41</v>
      </c>
      <c r="I171" s="135">
        <v>1370</v>
      </c>
      <c r="J171" s="136">
        <f>Tabla3[[#This Row],[EGRESOS]]/Tabla3[[#This Row],[TC]]</f>
        <v>0.34690510948905107</v>
      </c>
      <c r="K171" s="136">
        <f>Tabla3[[#This Row],[INGRESOS]]/Tabla3[[#This Row],[TC]]</f>
        <v>0</v>
      </c>
      <c r="L171" s="8" t="s">
        <v>376</v>
      </c>
      <c r="M171" s="8" t="s">
        <v>377</v>
      </c>
      <c r="N171" s="8" t="s">
        <v>25</v>
      </c>
      <c r="O171" s="8" t="s">
        <v>184</v>
      </c>
      <c r="P171" s="8" t="s">
        <v>195</v>
      </c>
      <c r="Q171" s="8" t="s">
        <v>196</v>
      </c>
      <c r="R171" s="8" t="s">
        <v>382</v>
      </c>
      <c r="S171" s="8"/>
      <c r="T171" s="8"/>
      <c r="U171" s="8" t="s">
        <v>384</v>
      </c>
      <c r="V171" s="8"/>
      <c r="W171" s="8" t="s">
        <v>380</v>
      </c>
      <c r="X171" s="8" t="s">
        <v>99</v>
      </c>
      <c r="Y171" s="8" t="s">
        <v>23</v>
      </c>
    </row>
    <row r="172" spans="1:25" s="7" customFormat="1" hidden="1" x14ac:dyDescent="0.25">
      <c r="A172" s="273" t="s">
        <v>318</v>
      </c>
      <c r="B172" s="251">
        <v>45900</v>
      </c>
      <c r="C172" s="252" t="s">
        <v>460</v>
      </c>
      <c r="D172" s="252"/>
      <c r="E172" s="253">
        <v>2971.32</v>
      </c>
      <c r="F172" s="253">
        <v>0</v>
      </c>
      <c r="G172" s="274">
        <f>Tabla3[[#This Row],[INGRESOS]]-Tabla3[[#This Row],[EGRESOS]]</f>
        <v>-2971.32</v>
      </c>
      <c r="H172" s="137">
        <f>Tabla3[[#This Row],[SALDO]]+H171</f>
        <v>4228933.09</v>
      </c>
      <c r="I172" s="135">
        <v>1370</v>
      </c>
      <c r="J172" s="136">
        <f>Tabla3[[#This Row],[EGRESOS]]/Tabla3[[#This Row],[TC]]</f>
        <v>2.1688467153284674</v>
      </c>
      <c r="K172" s="136">
        <f>Tabla3[[#This Row],[INGRESOS]]/Tabla3[[#This Row],[TC]]</f>
        <v>0</v>
      </c>
      <c r="L172" s="8" t="s">
        <v>376</v>
      </c>
      <c r="M172" s="8" t="s">
        <v>377</v>
      </c>
      <c r="N172" s="8" t="s">
        <v>25</v>
      </c>
      <c r="O172" s="8" t="s">
        <v>184</v>
      </c>
      <c r="P172" s="8" t="s">
        <v>195</v>
      </c>
      <c r="Q172" s="8" t="s">
        <v>196</v>
      </c>
      <c r="R172" s="8" t="s">
        <v>273</v>
      </c>
      <c r="S172" s="8"/>
      <c r="T172" s="8"/>
      <c r="U172" s="8" t="s">
        <v>384</v>
      </c>
      <c r="V172" s="8"/>
      <c r="W172" s="8" t="s">
        <v>380</v>
      </c>
      <c r="X172" s="8" t="s">
        <v>99</v>
      </c>
      <c r="Y172" s="8" t="s">
        <v>23</v>
      </c>
    </row>
    <row r="173" spans="1:25" s="7" customFormat="1" hidden="1" x14ac:dyDescent="0.25">
      <c r="A173" s="273" t="s">
        <v>318</v>
      </c>
      <c r="B173" s="251">
        <v>45900</v>
      </c>
      <c r="C173" s="252" t="s">
        <v>273</v>
      </c>
      <c r="D173" s="252"/>
      <c r="E173" s="253">
        <v>7980</v>
      </c>
      <c r="F173" s="253">
        <v>0</v>
      </c>
      <c r="G173" s="274">
        <f>Tabla3[[#This Row],[INGRESOS]]-Tabla3[[#This Row],[EGRESOS]]</f>
        <v>-7980</v>
      </c>
      <c r="H173" s="137">
        <f>Tabla3[[#This Row],[SALDO]]+H172</f>
        <v>4220953.09</v>
      </c>
      <c r="I173" s="135">
        <v>1370</v>
      </c>
      <c r="J173" s="136">
        <f>Tabla3[[#This Row],[EGRESOS]]/Tabla3[[#This Row],[TC]]</f>
        <v>5.8248175182481754</v>
      </c>
      <c r="K173" s="136">
        <f>Tabla3[[#This Row],[INGRESOS]]/Tabla3[[#This Row],[TC]]</f>
        <v>0</v>
      </c>
      <c r="L173" s="8" t="s">
        <v>376</v>
      </c>
      <c r="M173" s="8" t="s">
        <v>377</v>
      </c>
      <c r="N173" s="8" t="s">
        <v>25</v>
      </c>
      <c r="O173" s="8" t="s">
        <v>184</v>
      </c>
      <c r="P173" s="8" t="s">
        <v>195</v>
      </c>
      <c r="Q173" s="8" t="s">
        <v>196</v>
      </c>
      <c r="R173" s="8" t="s">
        <v>273</v>
      </c>
      <c r="S173" s="8"/>
      <c r="T173" s="8"/>
      <c r="U173" s="8" t="s">
        <v>384</v>
      </c>
      <c r="V173" s="8"/>
      <c r="W173" s="8" t="s">
        <v>380</v>
      </c>
      <c r="X173" s="8" t="s">
        <v>99</v>
      </c>
      <c r="Y173" s="8" t="s">
        <v>23</v>
      </c>
    </row>
    <row r="174" spans="1:25" s="7" customFormat="1" hidden="1" x14ac:dyDescent="0.25">
      <c r="A174" s="273" t="s">
        <v>318</v>
      </c>
      <c r="B174" s="251">
        <v>45900</v>
      </c>
      <c r="C174" s="252" t="s">
        <v>463</v>
      </c>
      <c r="D174" s="252"/>
      <c r="E174" s="253">
        <v>395.26</v>
      </c>
      <c r="F174" s="253">
        <v>0</v>
      </c>
      <c r="G174" s="274">
        <f>Tabla3[[#This Row],[INGRESOS]]-Tabla3[[#This Row],[EGRESOS]]</f>
        <v>-395.26</v>
      </c>
      <c r="H174" s="137">
        <f>Tabla3[[#This Row],[SALDO]]+H173</f>
        <v>4220557.83</v>
      </c>
      <c r="I174" s="135">
        <v>1370</v>
      </c>
      <c r="J174" s="136">
        <f>Tabla3[[#This Row],[EGRESOS]]/Tabla3[[#This Row],[TC]]</f>
        <v>0.28851094890510948</v>
      </c>
      <c r="K174" s="136">
        <f>Tabla3[[#This Row],[INGRESOS]]/Tabla3[[#This Row],[TC]]</f>
        <v>0</v>
      </c>
      <c r="L174" s="8" t="s">
        <v>376</v>
      </c>
      <c r="M174" s="8" t="s">
        <v>377</v>
      </c>
      <c r="N174" s="8" t="s">
        <v>25</v>
      </c>
      <c r="O174" s="8" t="s">
        <v>184</v>
      </c>
      <c r="P174" s="8" t="s">
        <v>195</v>
      </c>
      <c r="Q174" s="8" t="s">
        <v>196</v>
      </c>
      <c r="R174" s="8" t="s">
        <v>423</v>
      </c>
      <c r="S174" s="8"/>
      <c r="T174" s="8"/>
      <c r="U174" s="8" t="s">
        <v>384</v>
      </c>
      <c r="V174" s="8"/>
      <c r="W174" s="8" t="s">
        <v>380</v>
      </c>
      <c r="X174" s="8" t="s">
        <v>99</v>
      </c>
      <c r="Y174" s="8" t="s">
        <v>23</v>
      </c>
    </row>
    <row r="175" spans="1:25" s="7" customFormat="1" hidden="1" x14ac:dyDescent="0.25">
      <c r="A175" s="273" t="s">
        <v>318</v>
      </c>
      <c r="B175" s="251">
        <v>45900</v>
      </c>
      <c r="C175" s="252" t="s">
        <v>424</v>
      </c>
      <c r="D175" s="252"/>
      <c r="E175" s="253">
        <v>38000</v>
      </c>
      <c r="F175" s="253">
        <v>0</v>
      </c>
      <c r="G175" s="274">
        <f>Tabla3[[#This Row],[INGRESOS]]-Tabla3[[#This Row],[EGRESOS]]</f>
        <v>-38000</v>
      </c>
      <c r="H175" s="137">
        <f>Tabla3[[#This Row],[SALDO]]+H174</f>
        <v>4182557.83</v>
      </c>
      <c r="I175" s="135">
        <v>1370</v>
      </c>
      <c r="J175" s="136">
        <f>Tabla3[[#This Row],[EGRESOS]]/Tabla3[[#This Row],[TC]]</f>
        <v>27.737226277372262</v>
      </c>
      <c r="K175" s="136">
        <f>Tabla3[[#This Row],[INGRESOS]]/Tabla3[[#This Row],[TC]]</f>
        <v>0</v>
      </c>
      <c r="L175" s="8" t="s">
        <v>376</v>
      </c>
      <c r="M175" s="8" t="s">
        <v>377</v>
      </c>
      <c r="N175" s="8" t="s">
        <v>25</v>
      </c>
      <c r="O175" s="8" t="s">
        <v>184</v>
      </c>
      <c r="P175" s="8" t="s">
        <v>185</v>
      </c>
      <c r="Q175" s="8" t="s">
        <v>186</v>
      </c>
      <c r="R175" s="8"/>
      <c r="S175" s="8"/>
      <c r="T175" s="8"/>
      <c r="U175" s="8" t="s">
        <v>384</v>
      </c>
      <c r="V175" s="8"/>
      <c r="W175" s="8" t="s">
        <v>380</v>
      </c>
      <c r="X175" s="8" t="s">
        <v>99</v>
      </c>
      <c r="Y175" s="8" t="s">
        <v>23</v>
      </c>
    </row>
    <row r="176" spans="1:25" s="7" customFormat="1" hidden="1" x14ac:dyDescent="0.25">
      <c r="A176" s="273" t="s">
        <v>318</v>
      </c>
      <c r="B176" s="251">
        <v>45900</v>
      </c>
      <c r="C176" s="252" t="s">
        <v>417</v>
      </c>
      <c r="D176" s="252"/>
      <c r="E176" s="253">
        <v>1140</v>
      </c>
      <c r="F176" s="253">
        <v>0</v>
      </c>
      <c r="G176" s="274">
        <f>Tabla3[[#This Row],[INGRESOS]]-Tabla3[[#This Row],[EGRESOS]]</f>
        <v>-1140</v>
      </c>
      <c r="H176" s="137">
        <f>Tabla3[[#This Row],[SALDO]]+H175</f>
        <v>4181417.83</v>
      </c>
      <c r="I176" s="135">
        <v>1370</v>
      </c>
      <c r="J176" s="136">
        <f>Tabla3[[#This Row],[EGRESOS]]/Tabla3[[#This Row],[TC]]</f>
        <v>0.83211678832116787</v>
      </c>
      <c r="K176" s="136">
        <f>Tabla3[[#This Row],[INGRESOS]]/Tabla3[[#This Row],[TC]]</f>
        <v>0</v>
      </c>
      <c r="L176" s="8" t="s">
        <v>376</v>
      </c>
      <c r="M176" s="8" t="s">
        <v>377</v>
      </c>
      <c r="N176" s="8" t="s">
        <v>25</v>
      </c>
      <c r="O176" s="8" t="s">
        <v>184</v>
      </c>
      <c r="P176" s="8" t="s">
        <v>195</v>
      </c>
      <c r="Q176" s="8" t="s">
        <v>196</v>
      </c>
      <c r="R176" s="8" t="s">
        <v>417</v>
      </c>
      <c r="S176" s="8" t="s">
        <v>383</v>
      </c>
      <c r="T176" s="8"/>
      <c r="U176" s="8" t="s">
        <v>384</v>
      </c>
      <c r="V176" s="8"/>
      <c r="W176" s="8" t="s">
        <v>380</v>
      </c>
      <c r="X176" s="8" t="s">
        <v>99</v>
      </c>
      <c r="Y176" s="8" t="s">
        <v>23</v>
      </c>
    </row>
    <row r="177" spans="1:25" s="7" customFormat="1" hidden="1" x14ac:dyDescent="0.25">
      <c r="A177" s="273" t="s">
        <v>319</v>
      </c>
      <c r="B177" s="251">
        <v>45903</v>
      </c>
      <c r="C177" s="252" t="s">
        <v>465</v>
      </c>
      <c r="D177" s="252"/>
      <c r="E177" s="253">
        <v>250000</v>
      </c>
      <c r="F177" s="253">
        <v>0</v>
      </c>
      <c r="G177" s="274">
        <f>Tabla3[[#This Row],[INGRESOS]]-Tabla3[[#This Row],[EGRESOS]]</f>
        <v>-250000</v>
      </c>
      <c r="H177" s="137">
        <f>Tabla3[[#This Row],[SALDO]]+H176</f>
        <v>3931417.83</v>
      </c>
      <c r="I177" s="135">
        <v>1370</v>
      </c>
      <c r="J177" s="136">
        <f>Tabla3[[#This Row],[EGRESOS]]/Tabla3[[#This Row],[TC]]</f>
        <v>182.48175182481751</v>
      </c>
      <c r="K177" s="136">
        <f>Tabla3[[#This Row],[INGRESOS]]/Tabla3[[#This Row],[TC]]</f>
        <v>0</v>
      </c>
      <c r="L177" s="8" t="s">
        <v>376</v>
      </c>
      <c r="M177" s="8" t="s">
        <v>377</v>
      </c>
      <c r="N177" s="8" t="s">
        <v>25</v>
      </c>
      <c r="O177" s="8" t="s">
        <v>244</v>
      </c>
      <c r="P177" s="8" t="s">
        <v>259</v>
      </c>
      <c r="Q177" s="8" t="s">
        <v>260</v>
      </c>
      <c r="R177" s="8" t="s">
        <v>378</v>
      </c>
      <c r="S177" s="8"/>
      <c r="T177" s="8"/>
      <c r="U177" s="8" t="s">
        <v>379</v>
      </c>
      <c r="V177" s="8"/>
      <c r="W177" s="8" t="s">
        <v>475</v>
      </c>
      <c r="X177" s="8"/>
      <c r="Y177" s="8"/>
    </row>
    <row r="178" spans="1:25" s="7" customFormat="1" hidden="1" x14ac:dyDescent="0.25">
      <c r="A178" s="273" t="s">
        <v>319</v>
      </c>
      <c r="B178" s="251">
        <v>45904</v>
      </c>
      <c r="C178" s="252" t="s">
        <v>465</v>
      </c>
      <c r="D178" s="252"/>
      <c r="E178" s="253">
        <v>20000</v>
      </c>
      <c r="F178" s="253">
        <v>0</v>
      </c>
      <c r="G178" s="274">
        <f>Tabla3[[#This Row],[INGRESOS]]-Tabla3[[#This Row],[EGRESOS]]</f>
        <v>-20000</v>
      </c>
      <c r="H178" s="137">
        <f>Tabla3[[#This Row],[SALDO]]+H177</f>
        <v>3911417.83</v>
      </c>
      <c r="I178" s="135">
        <v>1371</v>
      </c>
      <c r="J178" s="136">
        <f>Tabla3[[#This Row],[EGRESOS]]/Tabla3[[#This Row],[TC]]</f>
        <v>14.587892049598834</v>
      </c>
      <c r="K178" s="136">
        <f>Tabla3[[#This Row],[INGRESOS]]/Tabla3[[#This Row],[TC]]</f>
        <v>0</v>
      </c>
      <c r="L178" s="8" t="s">
        <v>376</v>
      </c>
      <c r="M178" s="8" t="s">
        <v>377</v>
      </c>
      <c r="N178" s="8" t="s">
        <v>25</v>
      </c>
      <c r="O178" s="8" t="s">
        <v>244</v>
      </c>
      <c r="P178" s="8" t="s">
        <v>259</v>
      </c>
      <c r="Q178" s="8" t="s">
        <v>260</v>
      </c>
      <c r="R178" s="8" t="s">
        <v>378</v>
      </c>
      <c r="S178" s="8"/>
      <c r="T178" s="8"/>
      <c r="U178" s="8" t="s">
        <v>379</v>
      </c>
      <c r="V178" s="8"/>
      <c r="W178" s="8" t="s">
        <v>475</v>
      </c>
      <c r="X178" s="8"/>
      <c r="Y178" s="8"/>
    </row>
    <row r="179" spans="1:25" s="7" customFormat="1" hidden="1" x14ac:dyDescent="0.25">
      <c r="A179" s="273" t="s">
        <v>319</v>
      </c>
      <c r="B179" s="251">
        <v>45909</v>
      </c>
      <c r="C179" s="252" t="s">
        <v>465</v>
      </c>
      <c r="D179" s="252"/>
      <c r="E179" s="253">
        <v>2500000</v>
      </c>
      <c r="F179" s="253">
        <v>0</v>
      </c>
      <c r="G179" s="274">
        <f>Tabla3[[#This Row],[INGRESOS]]-Tabla3[[#This Row],[EGRESOS]]</f>
        <v>-2500000</v>
      </c>
      <c r="H179" s="137">
        <f>Tabla3[[#This Row],[SALDO]]+H178</f>
        <v>1411417.83</v>
      </c>
      <c r="I179" s="135">
        <v>1410</v>
      </c>
      <c r="J179" s="136">
        <f>Tabla3[[#This Row],[EGRESOS]]/Tabla3[[#This Row],[TC]]</f>
        <v>1773.049645390071</v>
      </c>
      <c r="K179" s="136">
        <f>Tabla3[[#This Row],[INGRESOS]]/Tabla3[[#This Row],[TC]]</f>
        <v>0</v>
      </c>
      <c r="L179" s="8" t="s">
        <v>376</v>
      </c>
      <c r="M179" s="8" t="s">
        <v>377</v>
      </c>
      <c r="N179" s="8" t="s">
        <v>25</v>
      </c>
      <c r="O179" s="8" t="s">
        <v>244</v>
      </c>
      <c r="P179" s="8" t="s">
        <v>259</v>
      </c>
      <c r="Q179" s="8" t="s">
        <v>260</v>
      </c>
      <c r="R179" s="8" t="s">
        <v>378</v>
      </c>
      <c r="S179" s="8"/>
      <c r="T179" s="8"/>
      <c r="U179" s="8" t="s">
        <v>379</v>
      </c>
      <c r="V179" s="8"/>
      <c r="W179" s="8" t="s">
        <v>475</v>
      </c>
      <c r="X179" s="8"/>
      <c r="Y179" s="8"/>
    </row>
    <row r="180" spans="1:25" s="7" customFormat="1" hidden="1" x14ac:dyDescent="0.25">
      <c r="A180" s="273" t="s">
        <v>319</v>
      </c>
      <c r="B180" s="251">
        <v>45910</v>
      </c>
      <c r="C180" s="252" t="s">
        <v>476</v>
      </c>
      <c r="D180" s="252"/>
      <c r="E180" s="253">
        <v>0</v>
      </c>
      <c r="F180" s="253">
        <v>7000000</v>
      </c>
      <c r="G180" s="274">
        <f>Tabla3[[#This Row],[INGRESOS]]-Tabla3[[#This Row],[EGRESOS]]</f>
        <v>7000000</v>
      </c>
      <c r="H180" s="137">
        <f>Tabla3[[#This Row],[SALDO]]+H179</f>
        <v>8411417.8300000001</v>
      </c>
      <c r="I180" s="135">
        <v>1449</v>
      </c>
      <c r="J180" s="136">
        <f>Tabla3[[#This Row],[EGRESOS]]/Tabla3[[#This Row],[TC]]</f>
        <v>0</v>
      </c>
      <c r="K180" s="136">
        <f>Tabla3[[#This Row],[INGRESOS]]/Tabla3[[#This Row],[TC]]</f>
        <v>4830.9178743961356</v>
      </c>
      <c r="L180" s="8" t="s">
        <v>376</v>
      </c>
      <c r="M180" s="8" t="s">
        <v>377</v>
      </c>
      <c r="N180" s="8" t="s">
        <v>25</v>
      </c>
      <c r="O180" s="8" t="s">
        <v>244</v>
      </c>
      <c r="P180" s="8" t="s">
        <v>259</v>
      </c>
      <c r="Q180" s="8" t="s">
        <v>260</v>
      </c>
      <c r="R180" s="8" t="s">
        <v>447</v>
      </c>
      <c r="S180" s="8"/>
      <c r="T180" s="8"/>
      <c r="U180" s="8" t="s">
        <v>379</v>
      </c>
      <c r="V180" s="8"/>
      <c r="W180" s="8" t="s">
        <v>475</v>
      </c>
      <c r="X180" s="8"/>
      <c r="Y180" s="8"/>
    </row>
    <row r="181" spans="1:25" s="7" customFormat="1" hidden="1" x14ac:dyDescent="0.25">
      <c r="A181" s="273" t="s">
        <v>319</v>
      </c>
      <c r="B181" s="251">
        <v>45916</v>
      </c>
      <c r="C181" s="252" t="s">
        <v>465</v>
      </c>
      <c r="D181" s="252"/>
      <c r="E181" s="253">
        <v>3400000</v>
      </c>
      <c r="F181" s="253">
        <v>0</v>
      </c>
      <c r="G181" s="274">
        <f>Tabla3[[#This Row],[INGRESOS]]-Tabla3[[#This Row],[EGRESOS]]</f>
        <v>-3400000</v>
      </c>
      <c r="H181" s="137">
        <f>Tabla3[[#This Row],[SALDO]]+H180</f>
        <v>5011417.83</v>
      </c>
      <c r="I181" s="135">
        <v>1488</v>
      </c>
      <c r="J181" s="136">
        <f>Tabla3[[#This Row],[EGRESOS]]/Tabla3[[#This Row],[TC]]</f>
        <v>2284.9462365591398</v>
      </c>
      <c r="K181" s="136">
        <f>Tabla3[[#This Row],[INGRESOS]]/Tabla3[[#This Row],[TC]]</f>
        <v>0</v>
      </c>
      <c r="L181" s="8" t="s">
        <v>376</v>
      </c>
      <c r="M181" s="8" t="s">
        <v>377</v>
      </c>
      <c r="N181" s="8" t="s">
        <v>25</v>
      </c>
      <c r="O181" s="8" t="s">
        <v>244</v>
      </c>
      <c r="P181" s="8" t="s">
        <v>259</v>
      </c>
      <c r="Q181" s="8" t="s">
        <v>260</v>
      </c>
      <c r="R181" s="8" t="s">
        <v>378</v>
      </c>
      <c r="S181" s="8"/>
      <c r="T181" s="8"/>
      <c r="U181" s="8" t="s">
        <v>379</v>
      </c>
      <c r="V181" s="8"/>
      <c r="W181" s="8" t="s">
        <v>475</v>
      </c>
      <c r="X181" s="8"/>
      <c r="Y181" s="8"/>
    </row>
    <row r="182" spans="1:25" s="7" customFormat="1" hidden="1" x14ac:dyDescent="0.25">
      <c r="A182" s="273" t="s">
        <v>319</v>
      </c>
      <c r="B182" s="251">
        <v>45917</v>
      </c>
      <c r="C182" s="252" t="s">
        <v>465</v>
      </c>
      <c r="D182" s="252"/>
      <c r="E182" s="253">
        <v>1200000</v>
      </c>
      <c r="F182" s="253">
        <v>0</v>
      </c>
      <c r="G182" s="274">
        <f>Tabla3[[#This Row],[INGRESOS]]-Tabla3[[#This Row],[EGRESOS]]</f>
        <v>-1200000</v>
      </c>
      <c r="H182" s="137">
        <f>Tabla3[[#This Row],[SALDO]]+H181</f>
        <v>3811417.83</v>
      </c>
      <c r="I182" s="135">
        <v>1488</v>
      </c>
      <c r="J182" s="136">
        <f>Tabla3[[#This Row],[EGRESOS]]/Tabla3[[#This Row],[TC]]</f>
        <v>806.45161290322585</v>
      </c>
      <c r="K182" s="136">
        <f>Tabla3[[#This Row],[INGRESOS]]/Tabla3[[#This Row],[TC]]</f>
        <v>0</v>
      </c>
      <c r="L182" s="8" t="s">
        <v>376</v>
      </c>
      <c r="M182" s="8" t="s">
        <v>377</v>
      </c>
      <c r="N182" s="8" t="s">
        <v>25</v>
      </c>
      <c r="O182" s="8" t="s">
        <v>244</v>
      </c>
      <c r="P182" s="8" t="s">
        <v>259</v>
      </c>
      <c r="Q182" s="8" t="s">
        <v>260</v>
      </c>
      <c r="R182" s="8" t="s">
        <v>378</v>
      </c>
      <c r="S182" s="8"/>
      <c r="T182" s="8"/>
      <c r="U182" s="8" t="s">
        <v>379</v>
      </c>
      <c r="V182" s="8"/>
      <c r="W182" s="8" t="s">
        <v>475</v>
      </c>
      <c r="X182" s="8"/>
      <c r="Y182" s="8"/>
    </row>
    <row r="183" spans="1:25" s="7" customFormat="1" hidden="1" x14ac:dyDescent="0.25">
      <c r="A183" s="273" t="s">
        <v>319</v>
      </c>
      <c r="B183" s="251">
        <v>45918</v>
      </c>
      <c r="C183" s="252" t="s">
        <v>449</v>
      </c>
      <c r="D183" s="252"/>
      <c r="E183" s="253">
        <v>961.03</v>
      </c>
      <c r="F183" s="253">
        <v>0</v>
      </c>
      <c r="G183" s="274">
        <f>Tabla3[[#This Row],[INGRESOS]]-Tabla3[[#This Row],[EGRESOS]]</f>
        <v>-961.03</v>
      </c>
      <c r="H183" s="137">
        <f>Tabla3[[#This Row],[SALDO]]+H182</f>
        <v>3810456.8000000003</v>
      </c>
      <c r="I183" s="135">
        <v>1488</v>
      </c>
      <c r="J183" s="136">
        <f>Tabla3[[#This Row],[EGRESOS]]/Tabla3[[#This Row],[TC]]</f>
        <v>0.64585349462365593</v>
      </c>
      <c r="K183" s="136">
        <f>Tabla3[[#This Row],[INGRESOS]]/Tabla3[[#This Row],[TC]]</f>
        <v>0</v>
      </c>
      <c r="L183" s="8" t="s">
        <v>376</v>
      </c>
      <c r="M183" s="8" t="s">
        <v>377</v>
      </c>
      <c r="N183" s="8" t="s">
        <v>25</v>
      </c>
      <c r="O183" s="8" t="s">
        <v>184</v>
      </c>
      <c r="P183" s="8" t="s">
        <v>195</v>
      </c>
      <c r="Q183" s="8" t="s">
        <v>196</v>
      </c>
      <c r="R183" s="8" t="s">
        <v>382</v>
      </c>
      <c r="S183" s="8"/>
      <c r="T183" s="8"/>
      <c r="U183" s="8" t="s">
        <v>384</v>
      </c>
      <c r="V183" s="8"/>
      <c r="W183" s="8" t="s">
        <v>380</v>
      </c>
      <c r="X183" s="8" t="s">
        <v>99</v>
      </c>
      <c r="Y183" s="8" t="s">
        <v>23</v>
      </c>
    </row>
    <row r="184" spans="1:25" s="7" customFormat="1" hidden="1" x14ac:dyDescent="0.25">
      <c r="A184" s="247" t="s">
        <v>312</v>
      </c>
      <c r="B184" s="248">
        <v>45698</v>
      </c>
      <c r="C184" s="244" t="s">
        <v>800</v>
      </c>
      <c r="D184" s="244"/>
      <c r="E184" s="253">
        <v>1000000</v>
      </c>
      <c r="F184" s="249">
        <v>0</v>
      </c>
      <c r="G184" s="266">
        <f>Tabla3[[#This Row],[INGRESOS]]-Tabla3[[#This Row],[EGRESOS]]</f>
        <v>-1000000</v>
      </c>
      <c r="H184" s="132">
        <v>-2992544.01</v>
      </c>
      <c r="I184" s="119">
        <v>1140</v>
      </c>
      <c r="J184" s="99">
        <f>Tabla3[[#This Row],[EGRESOS]]/Tabla3[[#This Row],[TC]]</f>
        <v>877.19298245614038</v>
      </c>
      <c r="K184" s="99">
        <f>Tabla3[[#This Row],[INGRESOS]]/Tabla3[[#This Row],[TC]]</f>
        <v>0</v>
      </c>
      <c r="L184" s="7" t="s">
        <v>376</v>
      </c>
      <c r="M184" s="7" t="s">
        <v>377</v>
      </c>
      <c r="N184" s="7" t="s">
        <v>20</v>
      </c>
      <c r="O184" s="7" t="s">
        <v>184</v>
      </c>
      <c r="P184" s="7" t="s">
        <v>203</v>
      </c>
      <c r="Q184" s="7" t="s">
        <v>208</v>
      </c>
      <c r="R184" s="272"/>
      <c r="S184" s="7" t="s">
        <v>386</v>
      </c>
      <c r="U184" s="7" t="s">
        <v>387</v>
      </c>
      <c r="V184" s="7" t="s">
        <v>386</v>
      </c>
      <c r="W184" s="7" t="s">
        <v>380</v>
      </c>
      <c r="X184" s="7" t="s">
        <v>104</v>
      </c>
      <c r="Y184" s="7" t="s">
        <v>23</v>
      </c>
    </row>
    <row r="185" spans="1:25" s="7" customFormat="1" hidden="1" x14ac:dyDescent="0.25">
      <c r="A185" s="273" t="s">
        <v>319</v>
      </c>
      <c r="B185" s="251">
        <v>45923</v>
      </c>
      <c r="C185" s="252" t="s">
        <v>465</v>
      </c>
      <c r="D185" s="252"/>
      <c r="E185" s="253">
        <v>3000000</v>
      </c>
      <c r="F185" s="253">
        <v>0</v>
      </c>
      <c r="G185" s="274">
        <f>Tabla3[[#This Row],[INGRESOS]]-Tabla3[[#This Row],[EGRESOS]]</f>
        <v>-3000000</v>
      </c>
      <c r="H185" s="137">
        <f>Tabla3[[#This Row],[SALDO]]+H184</f>
        <v>-5992544.0099999998</v>
      </c>
      <c r="I185" s="135">
        <v>1488</v>
      </c>
      <c r="J185" s="136">
        <f>Tabla3[[#This Row],[EGRESOS]]/Tabla3[[#This Row],[TC]]</f>
        <v>2016.1290322580646</v>
      </c>
      <c r="K185" s="136">
        <f>Tabla3[[#This Row],[INGRESOS]]/Tabla3[[#This Row],[TC]]</f>
        <v>0</v>
      </c>
      <c r="L185" s="8" t="s">
        <v>376</v>
      </c>
      <c r="M185" s="8" t="s">
        <v>377</v>
      </c>
      <c r="N185" s="8" t="s">
        <v>25</v>
      </c>
      <c r="O185" s="8" t="s">
        <v>244</v>
      </c>
      <c r="P185" s="8" t="s">
        <v>259</v>
      </c>
      <c r="Q185" s="8" t="s">
        <v>260</v>
      </c>
      <c r="R185" s="8" t="s">
        <v>378</v>
      </c>
      <c r="S185" s="8"/>
      <c r="T185" s="8"/>
      <c r="U185" s="8" t="s">
        <v>379</v>
      </c>
      <c r="V185" s="8"/>
      <c r="W185" s="8" t="s">
        <v>475</v>
      </c>
      <c r="X185" s="8"/>
      <c r="Y185" s="8"/>
    </row>
    <row r="186" spans="1:25" s="7" customFormat="1" hidden="1" x14ac:dyDescent="0.25">
      <c r="A186" s="273" t="s">
        <v>319</v>
      </c>
      <c r="B186" s="251">
        <v>45924</v>
      </c>
      <c r="C186" s="252" t="s">
        <v>465</v>
      </c>
      <c r="D186" s="252"/>
      <c r="E186" s="253">
        <v>2350000</v>
      </c>
      <c r="F186" s="253">
        <v>0</v>
      </c>
      <c r="G186" s="274">
        <f>Tabla3[[#This Row],[INGRESOS]]-Tabla3[[#This Row],[EGRESOS]]</f>
        <v>-2350000</v>
      </c>
      <c r="H186" s="137">
        <f>Tabla3[[#This Row],[SALDO]]+H185</f>
        <v>-8342544.0099999998</v>
      </c>
      <c r="I186" s="135">
        <v>1488</v>
      </c>
      <c r="J186" s="136">
        <f>Tabla3[[#This Row],[EGRESOS]]/Tabla3[[#This Row],[TC]]</f>
        <v>1579.3010752688172</v>
      </c>
      <c r="K186" s="136">
        <f>Tabla3[[#This Row],[INGRESOS]]/Tabla3[[#This Row],[TC]]</f>
        <v>0</v>
      </c>
      <c r="L186" s="8" t="s">
        <v>376</v>
      </c>
      <c r="M186" s="8" t="s">
        <v>377</v>
      </c>
      <c r="N186" s="8" t="s">
        <v>25</v>
      </c>
      <c r="O186" s="8" t="s">
        <v>244</v>
      </c>
      <c r="P186" s="8" t="s">
        <v>259</v>
      </c>
      <c r="Q186" s="8" t="s">
        <v>260</v>
      </c>
      <c r="R186" s="8" t="s">
        <v>378</v>
      </c>
      <c r="S186" s="8"/>
      <c r="T186" s="8"/>
      <c r="U186" s="8" t="s">
        <v>379</v>
      </c>
      <c r="V186" s="8"/>
      <c r="W186" s="8" t="s">
        <v>475</v>
      </c>
      <c r="X186" s="8"/>
      <c r="Y186" s="8"/>
    </row>
    <row r="187" spans="1:25" s="7" customFormat="1" hidden="1" x14ac:dyDescent="0.25">
      <c r="A187" s="273" t="s">
        <v>319</v>
      </c>
      <c r="B187" s="251">
        <v>45925</v>
      </c>
      <c r="C187" s="252" t="s">
        <v>478</v>
      </c>
      <c r="D187" s="252"/>
      <c r="E187" s="253">
        <v>0</v>
      </c>
      <c r="F187" s="253">
        <v>600000</v>
      </c>
      <c r="G187" s="274">
        <f>Tabla3[[#This Row],[INGRESOS]]-Tabla3[[#This Row],[EGRESOS]]</f>
        <v>600000</v>
      </c>
      <c r="H187" s="137">
        <f>Tabla3[[#This Row],[SALDO]]+H186</f>
        <v>-7742544.0099999998</v>
      </c>
      <c r="I187" s="135">
        <v>1488</v>
      </c>
      <c r="J187" s="136">
        <f>Tabla3[[#This Row],[EGRESOS]]/Tabla3[[#This Row],[TC]]</f>
        <v>0</v>
      </c>
      <c r="K187" s="136">
        <f>Tabla3[[#This Row],[INGRESOS]]/Tabla3[[#This Row],[TC]]</f>
        <v>403.22580645161293</v>
      </c>
      <c r="L187" s="8" t="s">
        <v>376</v>
      </c>
      <c r="M187" s="8" t="s">
        <v>377</v>
      </c>
      <c r="N187" s="8" t="s">
        <v>25</v>
      </c>
      <c r="O187" s="8" t="s">
        <v>184</v>
      </c>
      <c r="P187" s="8" t="s">
        <v>210</v>
      </c>
      <c r="Q187" s="8" t="s">
        <v>204</v>
      </c>
      <c r="R187" s="8" t="s">
        <v>479</v>
      </c>
      <c r="S187" s="8" t="s">
        <v>452</v>
      </c>
      <c r="T187" s="8"/>
      <c r="U187" s="8" t="s">
        <v>453</v>
      </c>
      <c r="V187" s="8"/>
      <c r="W187" s="8" t="s">
        <v>380</v>
      </c>
      <c r="X187" s="8" t="s">
        <v>23</v>
      </c>
      <c r="Y187" s="8" t="s">
        <v>45</v>
      </c>
    </row>
    <row r="188" spans="1:25" s="7" customFormat="1" hidden="1" x14ac:dyDescent="0.25">
      <c r="A188" s="273" t="s">
        <v>319</v>
      </c>
      <c r="B188" s="251">
        <v>45925</v>
      </c>
      <c r="C188" s="252" t="s">
        <v>449</v>
      </c>
      <c r="D188" s="252"/>
      <c r="E188" s="253">
        <v>22032.65</v>
      </c>
      <c r="F188" s="253">
        <v>0</v>
      </c>
      <c r="G188" s="274">
        <f>Tabla3[[#This Row],[INGRESOS]]-Tabla3[[#This Row],[EGRESOS]]</f>
        <v>-22032.65</v>
      </c>
      <c r="H188" s="137">
        <f>Tabla3[[#This Row],[SALDO]]+H187</f>
        <v>-7764576.6600000001</v>
      </c>
      <c r="I188" s="135">
        <v>1488</v>
      </c>
      <c r="J188" s="136">
        <f>Tabla3[[#This Row],[EGRESOS]]/Tabla3[[#This Row],[TC]]</f>
        <v>14.806888440860217</v>
      </c>
      <c r="K188" s="136">
        <f>Tabla3[[#This Row],[INGRESOS]]/Tabla3[[#This Row],[TC]]</f>
        <v>0</v>
      </c>
      <c r="L188" s="8" t="s">
        <v>376</v>
      </c>
      <c r="M188" s="8" t="s">
        <v>377</v>
      </c>
      <c r="N188" s="8" t="s">
        <v>25</v>
      </c>
      <c r="O188" s="8" t="s">
        <v>184</v>
      </c>
      <c r="P188" s="8" t="s">
        <v>195</v>
      </c>
      <c r="Q188" s="8" t="s">
        <v>196</v>
      </c>
      <c r="R188" s="8" t="s">
        <v>382</v>
      </c>
      <c r="S188" s="8"/>
      <c r="T188" s="8"/>
      <c r="U188" s="8" t="s">
        <v>384</v>
      </c>
      <c r="V188" s="8"/>
      <c r="W188" s="8" t="s">
        <v>380</v>
      </c>
      <c r="X188" s="8" t="s">
        <v>99</v>
      </c>
      <c r="Y188" s="8" t="s">
        <v>23</v>
      </c>
    </row>
    <row r="189" spans="1:25" s="7" customFormat="1" hidden="1" x14ac:dyDescent="0.25">
      <c r="A189" s="273" t="s">
        <v>319</v>
      </c>
      <c r="B189" s="251">
        <v>45925</v>
      </c>
      <c r="C189" s="252" t="s">
        <v>450</v>
      </c>
      <c r="D189" s="252"/>
      <c r="E189" s="253">
        <v>3600</v>
      </c>
      <c r="F189" s="253">
        <v>0</v>
      </c>
      <c r="G189" s="274">
        <f>Tabla3[[#This Row],[INGRESOS]]-Tabla3[[#This Row],[EGRESOS]]</f>
        <v>-3600</v>
      </c>
      <c r="H189" s="137">
        <f>Tabla3[[#This Row],[SALDO]]+H188</f>
        <v>-7768176.6600000001</v>
      </c>
      <c r="I189" s="135">
        <v>1488</v>
      </c>
      <c r="J189" s="136">
        <f>Tabla3[[#This Row],[EGRESOS]]/Tabla3[[#This Row],[TC]]</f>
        <v>2.4193548387096775</v>
      </c>
      <c r="K189" s="136">
        <f>Tabla3[[#This Row],[INGRESOS]]/Tabla3[[#This Row],[TC]]</f>
        <v>0</v>
      </c>
      <c r="L189" s="8" t="s">
        <v>376</v>
      </c>
      <c r="M189" s="8" t="s">
        <v>377</v>
      </c>
      <c r="N189" s="8" t="s">
        <v>25</v>
      </c>
      <c r="O189" s="8" t="s">
        <v>184</v>
      </c>
      <c r="P189" s="8" t="s">
        <v>195</v>
      </c>
      <c r="Q189" s="8" t="s">
        <v>196</v>
      </c>
      <c r="R189" s="8" t="s">
        <v>382</v>
      </c>
      <c r="S189" s="8"/>
      <c r="T189" s="8"/>
      <c r="U189" s="8" t="s">
        <v>384</v>
      </c>
      <c r="V189" s="8"/>
      <c r="W189" s="8" t="s">
        <v>380</v>
      </c>
      <c r="X189" s="8" t="s">
        <v>99</v>
      </c>
      <c r="Y189" s="8" t="s">
        <v>23</v>
      </c>
    </row>
    <row r="190" spans="1:25" s="7" customFormat="1" hidden="1" x14ac:dyDescent="0.25">
      <c r="A190" s="273" t="s">
        <v>319</v>
      </c>
      <c r="B190" s="251">
        <v>45925</v>
      </c>
      <c r="C190" s="252" t="s">
        <v>476</v>
      </c>
      <c r="D190" s="252"/>
      <c r="E190" s="253">
        <v>0</v>
      </c>
      <c r="F190" s="253">
        <v>100000</v>
      </c>
      <c r="G190" s="274">
        <f>Tabla3[[#This Row],[INGRESOS]]-Tabla3[[#This Row],[EGRESOS]]</f>
        <v>100000</v>
      </c>
      <c r="H190" s="137">
        <f>Tabla3[[#This Row],[SALDO]]+H189</f>
        <v>-7668176.6600000001</v>
      </c>
      <c r="I190" s="135">
        <v>1488</v>
      </c>
      <c r="J190" s="136">
        <f>Tabla3[[#This Row],[EGRESOS]]/Tabla3[[#This Row],[TC]]</f>
        <v>0</v>
      </c>
      <c r="K190" s="136">
        <f>Tabla3[[#This Row],[INGRESOS]]/Tabla3[[#This Row],[TC]]</f>
        <v>67.204301075268816</v>
      </c>
      <c r="L190" s="8" t="s">
        <v>376</v>
      </c>
      <c r="M190" s="8" t="s">
        <v>377</v>
      </c>
      <c r="N190" s="8" t="s">
        <v>25</v>
      </c>
      <c r="O190" s="8" t="s">
        <v>244</v>
      </c>
      <c r="P190" s="8" t="s">
        <v>259</v>
      </c>
      <c r="Q190" s="8" t="s">
        <v>260</v>
      </c>
      <c r="R190" s="8" t="s">
        <v>447</v>
      </c>
      <c r="S190" s="8"/>
      <c r="T190" s="8"/>
      <c r="U190" s="8" t="s">
        <v>379</v>
      </c>
      <c r="V190" s="8"/>
      <c r="W190" s="8" t="s">
        <v>475</v>
      </c>
      <c r="X190" s="8"/>
      <c r="Y190" s="8"/>
    </row>
    <row r="191" spans="1:25" s="7" customFormat="1" hidden="1" x14ac:dyDescent="0.25">
      <c r="A191" s="273" t="s">
        <v>319</v>
      </c>
      <c r="B191" s="251">
        <v>45925</v>
      </c>
      <c r="C191" s="252" t="s">
        <v>473</v>
      </c>
      <c r="D191" s="252"/>
      <c r="E191" s="253">
        <v>0</v>
      </c>
      <c r="F191" s="253">
        <v>3000000</v>
      </c>
      <c r="G191" s="274">
        <f>Tabla3[[#This Row],[INGRESOS]]-Tabla3[[#This Row],[EGRESOS]]</f>
        <v>3000000</v>
      </c>
      <c r="H191" s="137">
        <f>Tabla3[[#This Row],[SALDO]]+H190</f>
        <v>-4668176.66</v>
      </c>
      <c r="I191" s="135">
        <v>1488</v>
      </c>
      <c r="J191" s="136">
        <f>Tabla3[[#This Row],[EGRESOS]]/Tabla3[[#This Row],[TC]]</f>
        <v>0</v>
      </c>
      <c r="K191" s="136">
        <f>Tabla3[[#This Row],[INGRESOS]]/Tabla3[[#This Row],[TC]]</f>
        <v>2016.1290322580646</v>
      </c>
      <c r="L191" s="8" t="s">
        <v>376</v>
      </c>
      <c r="M191" s="8" t="s">
        <v>377</v>
      </c>
      <c r="N191" s="8" t="s">
        <v>25</v>
      </c>
      <c r="O191" s="8" t="s">
        <v>244</v>
      </c>
      <c r="P191" s="8" t="s">
        <v>259</v>
      </c>
      <c r="Q191" s="8" t="s">
        <v>260</v>
      </c>
      <c r="R191" s="8" t="s">
        <v>474</v>
      </c>
      <c r="S191" s="8"/>
      <c r="T191" s="8"/>
      <c r="U191" s="8" t="s">
        <v>379</v>
      </c>
      <c r="V191" s="8"/>
      <c r="W191" s="8" t="s">
        <v>475</v>
      </c>
      <c r="X191" s="8"/>
      <c r="Y191" s="8"/>
    </row>
    <row r="192" spans="1:25" s="7" customFormat="1" hidden="1" x14ac:dyDescent="0.25">
      <c r="A192" s="273" t="s">
        <v>319</v>
      </c>
      <c r="B192" s="251">
        <v>45925</v>
      </c>
      <c r="C192" s="252" t="s">
        <v>454</v>
      </c>
      <c r="D192" s="252"/>
      <c r="E192" s="253">
        <v>3672109.11</v>
      </c>
      <c r="F192" s="253">
        <v>0</v>
      </c>
      <c r="G192" s="274">
        <f>Tabla3[[#This Row],[INGRESOS]]-Tabla3[[#This Row],[EGRESOS]]</f>
        <v>-3672109.11</v>
      </c>
      <c r="H192" s="137">
        <f>Tabla3[[#This Row],[SALDO]]+H191</f>
        <v>-8340285.7699999996</v>
      </c>
      <c r="I192" s="135">
        <v>1488</v>
      </c>
      <c r="J192" s="136">
        <f>Tabla3[[#This Row],[EGRESOS]]/Tabla3[[#This Row],[TC]]</f>
        <v>2467.8152620967739</v>
      </c>
      <c r="K192" s="136">
        <f>Tabla3[[#This Row],[INGRESOS]]/Tabla3[[#This Row],[TC]]</f>
        <v>0</v>
      </c>
      <c r="L192" s="8" t="s">
        <v>376</v>
      </c>
      <c r="M192" s="8" t="s">
        <v>377</v>
      </c>
      <c r="N192" s="8" t="s">
        <v>25</v>
      </c>
      <c r="O192" s="8" t="s">
        <v>244</v>
      </c>
      <c r="P192" s="8" t="s">
        <v>38</v>
      </c>
      <c r="Q192" s="8" t="s">
        <v>256</v>
      </c>
      <c r="R192" s="8" t="s">
        <v>455</v>
      </c>
      <c r="S192" s="8" t="s">
        <v>456</v>
      </c>
      <c r="T192" s="8"/>
      <c r="U192" s="8" t="s">
        <v>457</v>
      </c>
      <c r="V192" s="8"/>
      <c r="W192" s="8" t="s">
        <v>380</v>
      </c>
      <c r="X192" s="8" t="s">
        <v>92</v>
      </c>
      <c r="Y192" s="8" t="s">
        <v>23</v>
      </c>
    </row>
    <row r="193" spans="1:25" s="7" customFormat="1" hidden="1" x14ac:dyDescent="0.25">
      <c r="A193" s="273" t="s">
        <v>319</v>
      </c>
      <c r="B193" s="251">
        <v>45930</v>
      </c>
      <c r="C193" s="252" t="s">
        <v>458</v>
      </c>
      <c r="D193" s="252"/>
      <c r="E193" s="253">
        <v>5145.63</v>
      </c>
      <c r="F193" s="253">
        <v>0</v>
      </c>
      <c r="G193" s="274">
        <f>Tabla3[[#This Row],[INGRESOS]]-Tabla3[[#This Row],[EGRESOS]]</f>
        <v>-5145.63</v>
      </c>
      <c r="H193" s="137">
        <f>Tabla3[[#This Row],[SALDO]]+H192</f>
        <v>-8345431.3999999994</v>
      </c>
      <c r="I193" s="135">
        <v>1488</v>
      </c>
      <c r="J193" s="136">
        <f>Tabla3[[#This Row],[EGRESOS]]/Tabla3[[#This Row],[TC]]</f>
        <v>3.4580846774193548</v>
      </c>
      <c r="K193" s="136">
        <f>Tabla3[[#This Row],[INGRESOS]]/Tabla3[[#This Row],[TC]]</f>
        <v>0</v>
      </c>
      <c r="L193" s="8" t="s">
        <v>376</v>
      </c>
      <c r="M193" s="8" t="s">
        <v>377</v>
      </c>
      <c r="N193" s="8" t="s">
        <v>25</v>
      </c>
      <c r="O193" s="8" t="s">
        <v>184</v>
      </c>
      <c r="P193" s="8" t="s">
        <v>195</v>
      </c>
      <c r="Q193" s="8" t="s">
        <v>196</v>
      </c>
      <c r="R193" s="8" t="s">
        <v>417</v>
      </c>
      <c r="S193" s="8" t="s">
        <v>383</v>
      </c>
      <c r="T193" s="8"/>
      <c r="U193" s="8" t="s">
        <v>384</v>
      </c>
      <c r="V193" s="8"/>
      <c r="W193" s="8" t="s">
        <v>380</v>
      </c>
      <c r="X193" s="8" t="s">
        <v>99</v>
      </c>
      <c r="Y193" s="8" t="s">
        <v>23</v>
      </c>
    </row>
    <row r="194" spans="1:25" s="7" customFormat="1" hidden="1" x14ac:dyDescent="0.25">
      <c r="A194" s="273" t="s">
        <v>319</v>
      </c>
      <c r="B194" s="251">
        <v>45930</v>
      </c>
      <c r="C194" s="252" t="s">
        <v>459</v>
      </c>
      <c r="D194" s="252"/>
      <c r="E194" s="253">
        <v>343042.26</v>
      </c>
      <c r="F194" s="253">
        <v>0</v>
      </c>
      <c r="G194" s="274">
        <f>Tabla3[[#This Row],[INGRESOS]]-Tabla3[[#This Row],[EGRESOS]]</f>
        <v>-343042.26</v>
      </c>
      <c r="H194" s="137">
        <f>Tabla3[[#This Row],[SALDO]]+H193</f>
        <v>-8688473.6600000001</v>
      </c>
      <c r="I194" s="135">
        <v>1488</v>
      </c>
      <c r="J194" s="136">
        <f>Tabla3[[#This Row],[EGRESOS]]/Tabla3[[#This Row],[TC]]</f>
        <v>230.53915322580644</v>
      </c>
      <c r="K194" s="136">
        <f>Tabla3[[#This Row],[INGRESOS]]/Tabla3[[#This Row],[TC]]</f>
        <v>0</v>
      </c>
      <c r="L194" s="8" t="s">
        <v>376</v>
      </c>
      <c r="M194" s="8" t="s">
        <v>377</v>
      </c>
      <c r="N194" s="8" t="s">
        <v>25</v>
      </c>
      <c r="O194" s="8" t="s">
        <v>184</v>
      </c>
      <c r="P194" s="8" t="s">
        <v>197</v>
      </c>
      <c r="Q194" s="8" t="s">
        <v>198</v>
      </c>
      <c r="R194" s="8"/>
      <c r="S194" s="8"/>
      <c r="T194" s="8"/>
      <c r="U194" s="8" t="s">
        <v>384</v>
      </c>
      <c r="V194" s="8"/>
      <c r="W194" s="8" t="s">
        <v>380</v>
      </c>
      <c r="X194" s="8" t="s">
        <v>99</v>
      </c>
      <c r="Y194" s="8" t="s">
        <v>23</v>
      </c>
    </row>
    <row r="195" spans="1:25" s="7" customFormat="1" hidden="1" x14ac:dyDescent="0.25">
      <c r="A195" s="273" t="s">
        <v>319</v>
      </c>
      <c r="B195" s="251">
        <v>45930</v>
      </c>
      <c r="C195" s="252" t="s">
        <v>449</v>
      </c>
      <c r="D195" s="252"/>
      <c r="E195" s="253">
        <v>2706.64</v>
      </c>
      <c r="F195" s="253">
        <v>0</v>
      </c>
      <c r="G195" s="274">
        <f>Tabla3[[#This Row],[INGRESOS]]-Tabla3[[#This Row],[EGRESOS]]</f>
        <v>-2706.64</v>
      </c>
      <c r="H195" s="137">
        <f>Tabla3[[#This Row],[SALDO]]+H194</f>
        <v>-8691180.3000000007</v>
      </c>
      <c r="I195" s="135">
        <v>1488</v>
      </c>
      <c r="J195" s="136">
        <f>Tabla3[[#This Row],[EGRESOS]]/Tabla3[[#This Row],[TC]]</f>
        <v>1.8189784946236558</v>
      </c>
      <c r="K195" s="136">
        <f>Tabla3[[#This Row],[INGRESOS]]/Tabla3[[#This Row],[TC]]</f>
        <v>0</v>
      </c>
      <c r="L195" s="8" t="s">
        <v>376</v>
      </c>
      <c r="M195" s="8" t="s">
        <v>377</v>
      </c>
      <c r="N195" s="8" t="s">
        <v>25</v>
      </c>
      <c r="O195" s="8" t="s">
        <v>184</v>
      </c>
      <c r="P195" s="8" t="s">
        <v>195</v>
      </c>
      <c r="Q195" s="8" t="s">
        <v>196</v>
      </c>
      <c r="R195" s="8" t="s">
        <v>382</v>
      </c>
      <c r="S195" s="8"/>
      <c r="T195" s="8"/>
      <c r="U195" s="8" t="s">
        <v>384</v>
      </c>
      <c r="V195" s="8"/>
      <c r="W195" s="8" t="s">
        <v>380</v>
      </c>
      <c r="X195" s="8" t="s">
        <v>99</v>
      </c>
      <c r="Y195" s="8" t="s">
        <v>23</v>
      </c>
    </row>
    <row r="196" spans="1:25" s="7" customFormat="1" hidden="1" x14ac:dyDescent="0.25">
      <c r="A196" s="273" t="s">
        <v>319</v>
      </c>
      <c r="B196" s="251">
        <v>45930</v>
      </c>
      <c r="C196" s="252" t="s">
        <v>460</v>
      </c>
      <c r="D196" s="252"/>
      <c r="E196" s="253">
        <v>36019.440000000002</v>
      </c>
      <c r="F196" s="253">
        <v>0</v>
      </c>
      <c r="G196" s="274">
        <f>Tabla3[[#This Row],[INGRESOS]]-Tabla3[[#This Row],[EGRESOS]]</f>
        <v>-36019.440000000002</v>
      </c>
      <c r="H196" s="137">
        <f>Tabla3[[#This Row],[SALDO]]+H195</f>
        <v>-8727199.7400000002</v>
      </c>
      <c r="I196" s="135">
        <v>1488</v>
      </c>
      <c r="J196" s="136">
        <f>Tabla3[[#This Row],[EGRESOS]]/Tabla3[[#This Row],[TC]]</f>
        <v>24.206612903225807</v>
      </c>
      <c r="K196" s="136">
        <f>Tabla3[[#This Row],[INGRESOS]]/Tabla3[[#This Row],[TC]]</f>
        <v>0</v>
      </c>
      <c r="L196" s="8" t="s">
        <v>376</v>
      </c>
      <c r="M196" s="8" t="s">
        <v>377</v>
      </c>
      <c r="N196" s="8" t="s">
        <v>25</v>
      </c>
      <c r="O196" s="8" t="s">
        <v>184</v>
      </c>
      <c r="P196" s="8" t="s">
        <v>195</v>
      </c>
      <c r="Q196" s="8" t="s">
        <v>196</v>
      </c>
      <c r="R196" s="8" t="s">
        <v>421</v>
      </c>
      <c r="S196" s="8"/>
      <c r="T196" s="8"/>
      <c r="U196" s="8" t="s">
        <v>384</v>
      </c>
      <c r="V196" s="8"/>
      <c r="W196" s="8" t="s">
        <v>380</v>
      </c>
      <c r="X196" s="8" t="s">
        <v>99</v>
      </c>
      <c r="Y196" s="8" t="s">
        <v>23</v>
      </c>
    </row>
    <row r="197" spans="1:25" s="7" customFormat="1" hidden="1" x14ac:dyDescent="0.25">
      <c r="A197" s="273" t="s">
        <v>319</v>
      </c>
      <c r="B197" s="251">
        <v>45930</v>
      </c>
      <c r="C197" s="252" t="s">
        <v>273</v>
      </c>
      <c r="D197" s="252"/>
      <c r="E197" s="253">
        <v>10500</v>
      </c>
      <c r="F197" s="253">
        <v>0</v>
      </c>
      <c r="G197" s="274">
        <f>Tabla3[[#This Row],[INGRESOS]]-Tabla3[[#This Row],[EGRESOS]]</f>
        <v>-10500</v>
      </c>
      <c r="H197" s="137">
        <f>Tabla3[[#This Row],[SALDO]]+H196</f>
        <v>-8737699.7400000002</v>
      </c>
      <c r="I197" s="135">
        <v>1488</v>
      </c>
      <c r="J197" s="136">
        <f>Tabla3[[#This Row],[EGRESOS]]/Tabla3[[#This Row],[TC]]</f>
        <v>7.056451612903226</v>
      </c>
      <c r="K197" s="136">
        <f>Tabla3[[#This Row],[INGRESOS]]/Tabla3[[#This Row],[TC]]</f>
        <v>0</v>
      </c>
      <c r="L197" s="8" t="s">
        <v>376</v>
      </c>
      <c r="M197" s="8" t="s">
        <v>377</v>
      </c>
      <c r="N197" s="8" t="s">
        <v>25</v>
      </c>
      <c r="O197" s="8" t="s">
        <v>184</v>
      </c>
      <c r="P197" s="8" t="s">
        <v>195</v>
      </c>
      <c r="Q197" s="8" t="s">
        <v>196</v>
      </c>
      <c r="R197" s="8" t="s">
        <v>273</v>
      </c>
      <c r="S197" s="8"/>
      <c r="T197" s="8"/>
      <c r="U197" s="8" t="s">
        <v>384</v>
      </c>
      <c r="V197" s="8"/>
      <c r="W197" s="8" t="s">
        <v>380</v>
      </c>
      <c r="X197" s="8" t="s">
        <v>99</v>
      </c>
      <c r="Y197" s="8" t="s">
        <v>23</v>
      </c>
    </row>
    <row r="198" spans="1:25" s="7" customFormat="1" hidden="1" x14ac:dyDescent="0.25">
      <c r="A198" s="273" t="s">
        <v>319</v>
      </c>
      <c r="B198" s="251">
        <v>45930</v>
      </c>
      <c r="C198" s="252" t="s">
        <v>463</v>
      </c>
      <c r="D198" s="252"/>
      <c r="E198" s="253">
        <v>4900.8100000000004</v>
      </c>
      <c r="F198" s="253">
        <v>0</v>
      </c>
      <c r="G198" s="274">
        <f>Tabla3[[#This Row],[INGRESOS]]-Tabla3[[#This Row],[EGRESOS]]</f>
        <v>-4900.8100000000004</v>
      </c>
      <c r="H198" s="137">
        <f>Tabla3[[#This Row],[SALDO]]+H197</f>
        <v>-8742600.5500000007</v>
      </c>
      <c r="I198" s="135">
        <v>1488</v>
      </c>
      <c r="J198" s="136">
        <f>Tabla3[[#This Row],[EGRESOS]]/Tabla3[[#This Row],[TC]]</f>
        <v>3.2935551075268821</v>
      </c>
      <c r="K198" s="136">
        <f>Tabla3[[#This Row],[INGRESOS]]/Tabla3[[#This Row],[TC]]</f>
        <v>0</v>
      </c>
      <c r="L198" s="8" t="s">
        <v>376</v>
      </c>
      <c r="M198" s="8" t="s">
        <v>377</v>
      </c>
      <c r="N198" s="8" t="s">
        <v>25</v>
      </c>
      <c r="O198" s="8" t="s">
        <v>184</v>
      </c>
      <c r="P198" s="8" t="s">
        <v>195</v>
      </c>
      <c r="Q198" s="8" t="s">
        <v>196</v>
      </c>
      <c r="R198" s="8" t="s">
        <v>423</v>
      </c>
      <c r="S198" s="8"/>
      <c r="T198" s="8"/>
      <c r="U198" s="8" t="s">
        <v>384</v>
      </c>
      <c r="V198" s="8"/>
      <c r="W198" s="8" t="s">
        <v>380</v>
      </c>
      <c r="X198" s="8" t="s">
        <v>99</v>
      </c>
      <c r="Y198" s="8" t="s">
        <v>23</v>
      </c>
    </row>
    <row r="199" spans="1:25" s="7" customFormat="1" hidden="1" x14ac:dyDescent="0.25">
      <c r="A199" s="273" t="s">
        <v>319</v>
      </c>
      <c r="B199" s="251">
        <v>45930</v>
      </c>
      <c r="C199" s="252" t="s">
        <v>424</v>
      </c>
      <c r="D199" s="252"/>
      <c r="E199" s="253">
        <v>50000</v>
      </c>
      <c r="F199" s="253">
        <v>0</v>
      </c>
      <c r="G199" s="274">
        <f>Tabla3[[#This Row],[INGRESOS]]-Tabla3[[#This Row],[EGRESOS]]</f>
        <v>-50000</v>
      </c>
      <c r="H199" s="137">
        <f>Tabla3[[#This Row],[SALDO]]+H198</f>
        <v>-8792600.5500000007</v>
      </c>
      <c r="I199" s="135">
        <v>1488</v>
      </c>
      <c r="J199" s="136">
        <f>Tabla3[[#This Row],[EGRESOS]]/Tabla3[[#This Row],[TC]]</f>
        <v>33.602150537634408</v>
      </c>
      <c r="K199" s="136">
        <f>Tabla3[[#This Row],[INGRESOS]]/Tabla3[[#This Row],[TC]]</f>
        <v>0</v>
      </c>
      <c r="L199" s="8" t="s">
        <v>376</v>
      </c>
      <c r="M199" s="8" t="s">
        <v>377</v>
      </c>
      <c r="N199" s="8" t="s">
        <v>25</v>
      </c>
      <c r="O199" s="8" t="s">
        <v>184</v>
      </c>
      <c r="P199" s="8" t="s">
        <v>185</v>
      </c>
      <c r="Q199" s="8" t="s">
        <v>186</v>
      </c>
      <c r="R199" s="8" t="s">
        <v>227</v>
      </c>
      <c r="S199" s="8"/>
      <c r="T199" s="8"/>
      <c r="U199" s="8" t="s">
        <v>384</v>
      </c>
      <c r="V199" s="8"/>
      <c r="W199" s="8" t="s">
        <v>380</v>
      </c>
      <c r="X199" s="8" t="s">
        <v>99</v>
      </c>
      <c r="Y199" s="8" t="s">
        <v>23</v>
      </c>
    </row>
    <row r="200" spans="1:25" s="7" customFormat="1" hidden="1" x14ac:dyDescent="0.25">
      <c r="A200" s="273" t="s">
        <v>319</v>
      </c>
      <c r="B200" s="251">
        <v>45930</v>
      </c>
      <c r="C200" s="252" t="s">
        <v>417</v>
      </c>
      <c r="D200" s="252"/>
      <c r="E200" s="253">
        <v>1500</v>
      </c>
      <c r="F200" s="253">
        <v>0</v>
      </c>
      <c r="G200" s="274">
        <f>Tabla3[[#This Row],[INGRESOS]]-Tabla3[[#This Row],[EGRESOS]]</f>
        <v>-1500</v>
      </c>
      <c r="H200" s="137">
        <f>Tabla3[[#This Row],[SALDO]]+H199</f>
        <v>-8794100.5500000007</v>
      </c>
      <c r="I200" s="135">
        <v>1488</v>
      </c>
      <c r="J200" s="136">
        <f>Tabla3[[#This Row],[EGRESOS]]/Tabla3[[#This Row],[TC]]</f>
        <v>1.0080645161290323</v>
      </c>
      <c r="K200" s="136">
        <f>Tabla3[[#This Row],[INGRESOS]]/Tabla3[[#This Row],[TC]]</f>
        <v>0</v>
      </c>
      <c r="L200" s="8" t="s">
        <v>376</v>
      </c>
      <c r="M200" s="8" t="s">
        <v>377</v>
      </c>
      <c r="N200" s="8" t="s">
        <v>25</v>
      </c>
      <c r="O200" s="8" t="s">
        <v>184</v>
      </c>
      <c r="P200" s="8" t="s">
        <v>195</v>
      </c>
      <c r="Q200" s="8" t="s">
        <v>196</v>
      </c>
      <c r="R200" s="8" t="s">
        <v>417</v>
      </c>
      <c r="S200" s="8" t="s">
        <v>383</v>
      </c>
      <c r="T200" s="8"/>
      <c r="U200" s="8" t="s">
        <v>384</v>
      </c>
      <c r="V200" s="8"/>
      <c r="W200" s="8" t="s">
        <v>380</v>
      </c>
      <c r="X200" s="8" t="s">
        <v>99</v>
      </c>
      <c r="Y200" s="8" t="s">
        <v>23</v>
      </c>
    </row>
    <row r="201" spans="1:25" s="7" customFormat="1" hidden="1" x14ac:dyDescent="0.25">
      <c r="A201" s="273" t="str">
        <f t="shared" ref="A201:A229" si="0">"OCTUBRE"</f>
        <v>OCTUBRE</v>
      </c>
      <c r="B201" s="251">
        <v>45943</v>
      </c>
      <c r="C201" s="252" t="s">
        <v>471</v>
      </c>
      <c r="D201" s="252"/>
      <c r="E201" s="253">
        <v>0</v>
      </c>
      <c r="F201" s="253">
        <v>500000</v>
      </c>
      <c r="G201" s="274">
        <f>Tabla3[[#This Row],[INGRESOS]]-Tabla3[[#This Row],[EGRESOS]]</f>
        <v>500000</v>
      </c>
      <c r="H201" s="137">
        <f>Tabla3[[#This Row],[SALDO]]+H200</f>
        <v>-8294100.5500000007</v>
      </c>
      <c r="I201" s="135">
        <v>1488</v>
      </c>
      <c r="J201" s="136">
        <f>Tabla3[[#This Row],[EGRESOS]]/Tabla3[[#This Row],[TC]]</f>
        <v>0</v>
      </c>
      <c r="K201" s="136">
        <f>Tabla3[[#This Row],[INGRESOS]]/Tabla3[[#This Row],[TC]]</f>
        <v>336.02150537634407</v>
      </c>
      <c r="L201" s="8" t="s">
        <v>376</v>
      </c>
      <c r="M201" s="8" t="s">
        <v>377</v>
      </c>
      <c r="N201" s="8" t="s">
        <v>25</v>
      </c>
      <c r="O201" s="8" t="s">
        <v>244</v>
      </c>
      <c r="P201" s="8" t="s">
        <v>259</v>
      </c>
      <c r="Q201" s="8" t="s">
        <v>260</v>
      </c>
      <c r="R201" s="8" t="s">
        <v>466</v>
      </c>
      <c r="S201" s="8"/>
      <c r="T201" s="8"/>
      <c r="U201" s="8" t="s">
        <v>379</v>
      </c>
      <c r="V201" s="8"/>
      <c r="W201" s="8" t="s">
        <v>380</v>
      </c>
      <c r="X201" s="8"/>
      <c r="Y201" s="8"/>
    </row>
    <row r="202" spans="1:25" s="7" customFormat="1" hidden="1" x14ac:dyDescent="0.25">
      <c r="A202" s="273" t="str">
        <f t="shared" si="0"/>
        <v>OCTUBRE</v>
      </c>
      <c r="B202" s="251">
        <v>45947</v>
      </c>
      <c r="C202" s="252" t="s">
        <v>471</v>
      </c>
      <c r="D202" s="252"/>
      <c r="E202" s="253">
        <v>0</v>
      </c>
      <c r="F202" s="253">
        <v>9000000</v>
      </c>
      <c r="G202" s="274">
        <f>Tabla3[[#This Row],[INGRESOS]]-Tabla3[[#This Row],[EGRESOS]]</f>
        <v>9000000</v>
      </c>
      <c r="H202" s="137">
        <f>Tabla3[[#This Row],[SALDO]]+H201</f>
        <v>705899.44999999925</v>
      </c>
      <c r="I202" s="135">
        <v>1488</v>
      </c>
      <c r="J202" s="136">
        <f>Tabla3[[#This Row],[EGRESOS]]/Tabla3[[#This Row],[TC]]</f>
        <v>0</v>
      </c>
      <c r="K202" s="136">
        <f>Tabla3[[#This Row],[INGRESOS]]/Tabla3[[#This Row],[TC]]</f>
        <v>6048.3870967741932</v>
      </c>
      <c r="L202" s="8" t="s">
        <v>376</v>
      </c>
      <c r="M202" s="8" t="s">
        <v>377</v>
      </c>
      <c r="N202" s="8" t="s">
        <v>25</v>
      </c>
      <c r="O202" s="8" t="s">
        <v>244</v>
      </c>
      <c r="P202" s="8" t="s">
        <v>259</v>
      </c>
      <c r="Q202" s="8" t="s">
        <v>260</v>
      </c>
      <c r="R202" s="8" t="s">
        <v>378</v>
      </c>
      <c r="S202" s="8"/>
      <c r="T202" s="8"/>
      <c r="U202" s="8" t="s">
        <v>379</v>
      </c>
      <c r="V202" s="8"/>
      <c r="W202" s="8" t="s">
        <v>380</v>
      </c>
      <c r="X202" s="8"/>
      <c r="Y202" s="8"/>
    </row>
    <row r="203" spans="1:25" s="7" customFormat="1" hidden="1" x14ac:dyDescent="0.25">
      <c r="A203" s="273" t="str">
        <f t="shared" si="0"/>
        <v>OCTUBRE</v>
      </c>
      <c r="B203" s="251">
        <v>45950</v>
      </c>
      <c r="C203" s="252" t="s">
        <v>458</v>
      </c>
      <c r="D203" s="252"/>
      <c r="E203" s="253">
        <v>715.5</v>
      </c>
      <c r="F203" s="253">
        <v>0</v>
      </c>
      <c r="G203" s="274">
        <f>Tabla3[[#This Row],[INGRESOS]]-Tabla3[[#This Row],[EGRESOS]]</f>
        <v>-715.5</v>
      </c>
      <c r="H203" s="137">
        <f>Tabla3[[#This Row],[SALDO]]+H202</f>
        <v>705183.94999999925</v>
      </c>
      <c r="I203" s="135">
        <v>1488</v>
      </c>
      <c r="J203" s="136">
        <f>Tabla3[[#This Row],[EGRESOS]]/Tabla3[[#This Row],[TC]]</f>
        <v>0.48084677419354838</v>
      </c>
      <c r="K203" s="136">
        <f>Tabla3[[#This Row],[INGRESOS]]/Tabla3[[#This Row],[TC]]</f>
        <v>0</v>
      </c>
      <c r="L203" s="8" t="s">
        <v>376</v>
      </c>
      <c r="M203" s="8" t="s">
        <v>377</v>
      </c>
      <c r="N203" s="8" t="s">
        <v>25</v>
      </c>
      <c r="O203" s="8" t="s">
        <v>184</v>
      </c>
      <c r="P203" s="8" t="s">
        <v>195</v>
      </c>
      <c r="Q203" s="8" t="s">
        <v>196</v>
      </c>
      <c r="R203" s="8" t="s">
        <v>417</v>
      </c>
      <c r="S203" s="8" t="s">
        <v>383</v>
      </c>
      <c r="T203" s="8"/>
      <c r="U203" s="8" t="s">
        <v>384</v>
      </c>
      <c r="V203" s="8"/>
      <c r="W203" s="8" t="s">
        <v>380</v>
      </c>
      <c r="X203" s="8" t="s">
        <v>99</v>
      </c>
      <c r="Y203" s="8" t="s">
        <v>23</v>
      </c>
    </row>
    <row r="204" spans="1:25" s="7" customFormat="1" hidden="1" x14ac:dyDescent="0.25">
      <c r="A204" s="273" t="str">
        <f t="shared" si="0"/>
        <v>OCTUBRE</v>
      </c>
      <c r="B204" s="251">
        <v>45950</v>
      </c>
      <c r="C204" s="252" t="s">
        <v>449</v>
      </c>
      <c r="D204" s="252"/>
      <c r="E204" s="253">
        <v>320.54000000000002</v>
      </c>
      <c r="F204" s="253">
        <v>0</v>
      </c>
      <c r="G204" s="274">
        <f>Tabla3[[#This Row],[INGRESOS]]-Tabla3[[#This Row],[EGRESOS]]</f>
        <v>-320.54000000000002</v>
      </c>
      <c r="H204" s="137">
        <f>Tabla3[[#This Row],[SALDO]]+H203</f>
        <v>704863.40999999922</v>
      </c>
      <c r="I204" s="135">
        <v>1488</v>
      </c>
      <c r="J204" s="136">
        <f>Tabla3[[#This Row],[EGRESOS]]/Tabla3[[#This Row],[TC]]</f>
        <v>0.21541666666666667</v>
      </c>
      <c r="K204" s="136">
        <f>Tabla3[[#This Row],[INGRESOS]]/Tabla3[[#This Row],[TC]]</f>
        <v>0</v>
      </c>
      <c r="L204" s="8" t="s">
        <v>376</v>
      </c>
      <c r="M204" s="8" t="s">
        <v>377</v>
      </c>
      <c r="N204" s="8" t="s">
        <v>25</v>
      </c>
      <c r="O204" s="8" t="s">
        <v>184</v>
      </c>
      <c r="P204" s="8" t="s">
        <v>195</v>
      </c>
      <c r="Q204" s="8" t="s">
        <v>196</v>
      </c>
      <c r="R204" s="8" t="s">
        <v>382</v>
      </c>
      <c r="S204" s="8"/>
      <c r="T204" s="8"/>
      <c r="U204" s="8" t="s">
        <v>384</v>
      </c>
      <c r="V204" s="8"/>
      <c r="W204" s="8" t="s">
        <v>380</v>
      </c>
      <c r="X204" s="8" t="s">
        <v>99</v>
      </c>
      <c r="Y204" s="8" t="s">
        <v>23</v>
      </c>
    </row>
    <row r="205" spans="1:25" s="7" customFormat="1" hidden="1" x14ac:dyDescent="0.25">
      <c r="A205" s="273" t="str">
        <f t="shared" si="0"/>
        <v>OCTUBRE</v>
      </c>
      <c r="B205" s="251">
        <v>45950</v>
      </c>
      <c r="C205" s="252" t="s">
        <v>460</v>
      </c>
      <c r="D205" s="252"/>
      <c r="E205" s="253">
        <v>5008.5</v>
      </c>
      <c r="F205" s="253">
        <v>0</v>
      </c>
      <c r="G205" s="274">
        <f>Tabla3[[#This Row],[INGRESOS]]-Tabla3[[#This Row],[EGRESOS]]</f>
        <v>-5008.5</v>
      </c>
      <c r="H205" s="137">
        <f>Tabla3[[#This Row],[SALDO]]+H204</f>
        <v>699854.90999999922</v>
      </c>
      <c r="I205" s="135">
        <v>1488</v>
      </c>
      <c r="J205" s="136">
        <f>Tabla3[[#This Row],[EGRESOS]]/Tabla3[[#This Row],[TC]]</f>
        <v>3.3659274193548385</v>
      </c>
      <c r="K205" s="136">
        <f>Tabla3[[#This Row],[INGRESOS]]/Tabla3[[#This Row],[TC]]</f>
        <v>0</v>
      </c>
      <c r="L205" s="8" t="s">
        <v>376</v>
      </c>
      <c r="M205" s="8" t="s">
        <v>377</v>
      </c>
      <c r="N205" s="8" t="s">
        <v>25</v>
      </c>
      <c r="O205" s="8" t="s">
        <v>184</v>
      </c>
      <c r="P205" s="8" t="s">
        <v>195</v>
      </c>
      <c r="Q205" s="8" t="s">
        <v>196</v>
      </c>
      <c r="R205" s="8" t="s">
        <v>421</v>
      </c>
      <c r="S205" s="8"/>
      <c r="T205" s="8"/>
      <c r="U205" s="8" t="s">
        <v>384</v>
      </c>
      <c r="V205" s="8"/>
      <c r="W205" s="8" t="s">
        <v>380</v>
      </c>
      <c r="X205" s="8" t="s">
        <v>99</v>
      </c>
      <c r="Y205" s="8" t="s">
        <v>23</v>
      </c>
    </row>
    <row r="206" spans="1:25" s="7" customFormat="1" hidden="1" x14ac:dyDescent="0.25">
      <c r="A206" s="273" t="str">
        <f t="shared" si="0"/>
        <v>OCTUBRE</v>
      </c>
      <c r="B206" s="251">
        <v>45950</v>
      </c>
      <c r="C206" s="252" t="s">
        <v>463</v>
      </c>
      <c r="D206" s="252"/>
      <c r="E206" s="253">
        <v>5369.43</v>
      </c>
      <c r="F206" s="253">
        <v>0</v>
      </c>
      <c r="G206" s="274">
        <f>Tabla3[[#This Row],[INGRESOS]]-Tabla3[[#This Row],[EGRESOS]]</f>
        <v>-5369.43</v>
      </c>
      <c r="H206" s="137">
        <f>Tabla3[[#This Row],[SALDO]]+H205</f>
        <v>694485.47999999917</v>
      </c>
      <c r="I206" s="135">
        <v>1488</v>
      </c>
      <c r="J206" s="136">
        <f>Tabla3[[#This Row],[EGRESOS]]/Tabla3[[#This Row],[TC]]</f>
        <v>3.6084879032258068</v>
      </c>
      <c r="K206" s="136">
        <f>Tabla3[[#This Row],[INGRESOS]]/Tabla3[[#This Row],[TC]]</f>
        <v>0</v>
      </c>
      <c r="L206" s="8" t="s">
        <v>376</v>
      </c>
      <c r="M206" s="8" t="s">
        <v>377</v>
      </c>
      <c r="N206" s="8" t="s">
        <v>25</v>
      </c>
      <c r="O206" s="8" t="s">
        <v>184</v>
      </c>
      <c r="P206" s="8" t="s">
        <v>195</v>
      </c>
      <c r="Q206" s="8" t="s">
        <v>196</v>
      </c>
      <c r="R206" s="8" t="s">
        <v>423</v>
      </c>
      <c r="S206" s="8"/>
      <c r="T206" s="8"/>
      <c r="U206" s="8" t="s">
        <v>384</v>
      </c>
      <c r="V206" s="8"/>
      <c r="W206" s="8" t="s">
        <v>380</v>
      </c>
      <c r="X206" s="8" t="s">
        <v>99</v>
      </c>
      <c r="Y206" s="8" t="s">
        <v>23</v>
      </c>
    </row>
    <row r="207" spans="1:25" s="7" customFormat="1" hidden="1" x14ac:dyDescent="0.25">
      <c r="A207" s="273" t="str">
        <f t="shared" si="0"/>
        <v>OCTUBRE</v>
      </c>
      <c r="B207" s="251">
        <v>45950</v>
      </c>
      <c r="C207" s="252" t="s">
        <v>464</v>
      </c>
      <c r="D207" s="252"/>
      <c r="E207" s="253">
        <v>47700</v>
      </c>
      <c r="F207" s="253">
        <v>0</v>
      </c>
      <c r="G207" s="274">
        <f>Tabla3[[#This Row],[INGRESOS]]-Tabla3[[#This Row],[EGRESOS]]</f>
        <v>-47700</v>
      </c>
      <c r="H207" s="137">
        <f>Tabla3[[#This Row],[SALDO]]+H206</f>
        <v>646785.47999999917</v>
      </c>
      <c r="I207" s="135">
        <v>1488</v>
      </c>
      <c r="J207" s="136">
        <f>Tabla3[[#This Row],[EGRESOS]]/Tabla3[[#This Row],[TC]]</f>
        <v>32.056451612903224</v>
      </c>
      <c r="K207" s="136">
        <f>Tabla3[[#This Row],[INGRESOS]]/Tabla3[[#This Row],[TC]]</f>
        <v>0</v>
      </c>
      <c r="L207" s="8" t="s">
        <v>376</v>
      </c>
      <c r="M207" s="8" t="s">
        <v>377</v>
      </c>
      <c r="N207" s="8" t="s">
        <v>25</v>
      </c>
      <c r="O207" s="8" t="s">
        <v>184</v>
      </c>
      <c r="P207" s="8" t="s">
        <v>185</v>
      </c>
      <c r="Q207" s="8" t="s">
        <v>186</v>
      </c>
      <c r="R207" s="8" t="s">
        <v>227</v>
      </c>
      <c r="S207" s="8"/>
      <c r="T207" s="8"/>
      <c r="U207" s="8" t="s">
        <v>384</v>
      </c>
      <c r="V207" s="8"/>
      <c r="W207" s="8" t="s">
        <v>380</v>
      </c>
      <c r="X207" s="8" t="s">
        <v>99</v>
      </c>
      <c r="Y207" s="8" t="s">
        <v>23</v>
      </c>
    </row>
    <row r="208" spans="1:25" s="7" customFormat="1" hidden="1" x14ac:dyDescent="0.25">
      <c r="A208" s="273" t="str">
        <f t="shared" si="0"/>
        <v>OCTUBRE</v>
      </c>
      <c r="B208" s="251">
        <v>45953</v>
      </c>
      <c r="C208" s="252" t="s">
        <v>471</v>
      </c>
      <c r="D208" s="252"/>
      <c r="E208" s="253">
        <v>0</v>
      </c>
      <c r="F208" s="253">
        <v>1400000</v>
      </c>
      <c r="G208" s="274">
        <f>Tabla3[[#This Row],[INGRESOS]]-Tabla3[[#This Row],[EGRESOS]]</f>
        <v>1400000</v>
      </c>
      <c r="H208" s="137">
        <f>Tabla3[[#This Row],[SALDO]]+H207</f>
        <v>2046785.4799999991</v>
      </c>
      <c r="I208" s="135">
        <v>1488</v>
      </c>
      <c r="J208" s="136">
        <f>Tabla3[[#This Row],[EGRESOS]]/Tabla3[[#This Row],[TC]]</f>
        <v>0</v>
      </c>
      <c r="K208" s="136">
        <f>Tabla3[[#This Row],[INGRESOS]]/Tabla3[[#This Row],[TC]]</f>
        <v>940.86021505376345</v>
      </c>
      <c r="L208" s="8" t="s">
        <v>376</v>
      </c>
      <c r="M208" s="8" t="s">
        <v>377</v>
      </c>
      <c r="N208" s="8" t="s">
        <v>25</v>
      </c>
      <c r="O208" s="8" t="s">
        <v>244</v>
      </c>
      <c r="P208" s="8" t="s">
        <v>259</v>
      </c>
      <c r="Q208" s="8" t="s">
        <v>260</v>
      </c>
      <c r="R208" s="8" t="s">
        <v>405</v>
      </c>
      <c r="S208" s="8"/>
      <c r="T208" s="8"/>
      <c r="U208" s="8" t="s">
        <v>379</v>
      </c>
      <c r="V208" s="8"/>
      <c r="W208" s="8" t="s">
        <v>380</v>
      </c>
      <c r="X208" s="8"/>
      <c r="Y208" s="8"/>
    </row>
    <row r="209" spans="1:25" s="7" customFormat="1" hidden="1" x14ac:dyDescent="0.25">
      <c r="A209" s="273" t="str">
        <f t="shared" si="0"/>
        <v>OCTUBRE</v>
      </c>
      <c r="B209" s="251">
        <v>45954</v>
      </c>
      <c r="C209" s="252" t="s">
        <v>465</v>
      </c>
      <c r="D209" s="252"/>
      <c r="E209" s="253">
        <v>14000000</v>
      </c>
      <c r="F209" s="253">
        <v>0</v>
      </c>
      <c r="G209" s="274">
        <f>Tabla3[[#This Row],[INGRESOS]]-Tabla3[[#This Row],[EGRESOS]]</f>
        <v>-14000000</v>
      </c>
      <c r="H209" s="137">
        <f>Tabla3[[#This Row],[SALDO]]+H208</f>
        <v>-11953214.520000001</v>
      </c>
      <c r="I209" s="135">
        <v>1488</v>
      </c>
      <c r="J209" s="136">
        <f>Tabla3[[#This Row],[EGRESOS]]/Tabla3[[#This Row],[TC]]</f>
        <v>9408.6021505376339</v>
      </c>
      <c r="K209" s="136">
        <f>Tabla3[[#This Row],[INGRESOS]]/Tabla3[[#This Row],[TC]]</f>
        <v>0</v>
      </c>
      <c r="L209" s="8" t="s">
        <v>376</v>
      </c>
      <c r="M209" s="8" t="s">
        <v>377</v>
      </c>
      <c r="N209" s="8" t="s">
        <v>25</v>
      </c>
      <c r="O209" s="8" t="s">
        <v>244</v>
      </c>
      <c r="P209" s="8" t="s">
        <v>259</v>
      </c>
      <c r="Q209" s="8" t="s">
        <v>260</v>
      </c>
      <c r="R209" s="8" t="s">
        <v>378</v>
      </c>
      <c r="S209" s="8"/>
      <c r="T209" s="8"/>
      <c r="U209" s="8" t="s">
        <v>379</v>
      </c>
      <c r="V209" s="8"/>
      <c r="W209" s="8" t="s">
        <v>380</v>
      </c>
      <c r="X209" s="8"/>
      <c r="Y209" s="8"/>
    </row>
    <row r="210" spans="1:25" s="7" customFormat="1" hidden="1" x14ac:dyDescent="0.25">
      <c r="A210" s="273" t="str">
        <f t="shared" si="0"/>
        <v>OCTUBRE</v>
      </c>
      <c r="B210" s="251">
        <v>45954</v>
      </c>
      <c r="C210" s="252" t="s">
        <v>449</v>
      </c>
      <c r="D210" s="252"/>
      <c r="E210" s="253">
        <v>49.11</v>
      </c>
      <c r="F210" s="253">
        <v>0</v>
      </c>
      <c r="G210" s="274">
        <f>Tabla3[[#This Row],[INGRESOS]]-Tabla3[[#This Row],[EGRESOS]]</f>
        <v>-49.11</v>
      </c>
      <c r="H210" s="137">
        <f>Tabla3[[#This Row],[SALDO]]+H209</f>
        <v>-11953263.630000001</v>
      </c>
      <c r="I210" s="135">
        <v>1488</v>
      </c>
      <c r="J210" s="136">
        <f>Tabla3[[#This Row],[EGRESOS]]/Tabla3[[#This Row],[TC]]</f>
        <v>3.3004032258064517E-2</v>
      </c>
      <c r="K210" s="136">
        <f>Tabla3[[#This Row],[INGRESOS]]/Tabla3[[#This Row],[TC]]</f>
        <v>0</v>
      </c>
      <c r="L210" s="8" t="s">
        <v>376</v>
      </c>
      <c r="M210" s="8" t="s">
        <v>377</v>
      </c>
      <c r="N210" s="8" t="s">
        <v>25</v>
      </c>
      <c r="O210" s="8" t="s">
        <v>184</v>
      </c>
      <c r="P210" s="8" t="s">
        <v>195</v>
      </c>
      <c r="Q210" s="8" t="s">
        <v>196</v>
      </c>
      <c r="R210" s="8" t="s">
        <v>382</v>
      </c>
      <c r="S210" s="8"/>
      <c r="T210" s="8"/>
      <c r="U210" s="8" t="s">
        <v>384</v>
      </c>
      <c r="V210" s="8"/>
      <c r="W210" s="8" t="s">
        <v>380</v>
      </c>
      <c r="X210" s="8" t="s">
        <v>99</v>
      </c>
      <c r="Y210" s="8" t="s">
        <v>23</v>
      </c>
    </row>
    <row r="211" spans="1:25" s="7" customFormat="1" hidden="1" x14ac:dyDescent="0.25">
      <c r="A211" s="273" t="str">
        <f t="shared" si="0"/>
        <v>OCTUBRE</v>
      </c>
      <c r="B211" s="251">
        <v>45954</v>
      </c>
      <c r="C211" s="252" t="s">
        <v>480</v>
      </c>
      <c r="D211" s="252"/>
      <c r="E211" s="253">
        <v>6600</v>
      </c>
      <c r="F211" s="253">
        <v>0</v>
      </c>
      <c r="G211" s="274">
        <f>Tabla3[[#This Row],[INGRESOS]]-Tabla3[[#This Row],[EGRESOS]]</f>
        <v>-6600</v>
      </c>
      <c r="H211" s="137">
        <f>Tabla3[[#This Row],[SALDO]]+H210</f>
        <v>-11959863.630000001</v>
      </c>
      <c r="I211" s="135">
        <v>1488</v>
      </c>
      <c r="J211" s="136">
        <f>Tabla3[[#This Row],[EGRESOS]]/Tabla3[[#This Row],[TC]]</f>
        <v>4.435483870967742</v>
      </c>
      <c r="K211" s="136">
        <f>Tabla3[[#This Row],[INGRESOS]]/Tabla3[[#This Row],[TC]]</f>
        <v>0</v>
      </c>
      <c r="L211" s="8" t="s">
        <v>376</v>
      </c>
      <c r="M211" s="8" t="s">
        <v>377</v>
      </c>
      <c r="N211" s="8" t="s">
        <v>25</v>
      </c>
      <c r="O211" s="8" t="s">
        <v>184</v>
      </c>
      <c r="P211" s="8" t="s">
        <v>185</v>
      </c>
      <c r="Q211" s="8" t="s">
        <v>186</v>
      </c>
      <c r="R211" s="8" t="s">
        <v>227</v>
      </c>
      <c r="S211" s="8"/>
      <c r="T211" s="8"/>
      <c r="U211" s="8" t="s">
        <v>384</v>
      </c>
      <c r="V211" s="8"/>
      <c r="W211" s="8" t="s">
        <v>380</v>
      </c>
      <c r="X211" s="8" t="s">
        <v>99</v>
      </c>
      <c r="Y211" s="8" t="s">
        <v>23</v>
      </c>
    </row>
    <row r="212" spans="1:25" s="7" customFormat="1" hidden="1" x14ac:dyDescent="0.25">
      <c r="A212" s="273" t="str">
        <f t="shared" si="0"/>
        <v>OCTUBRE</v>
      </c>
      <c r="B212" s="251">
        <v>45954</v>
      </c>
      <c r="C212" s="252" t="s">
        <v>273</v>
      </c>
      <c r="D212" s="252"/>
      <c r="E212" s="253">
        <v>1386</v>
      </c>
      <c r="F212" s="253">
        <v>0</v>
      </c>
      <c r="G212" s="274">
        <f>Tabla3[[#This Row],[INGRESOS]]-Tabla3[[#This Row],[EGRESOS]]</f>
        <v>-1386</v>
      </c>
      <c r="H212" s="137">
        <f>Tabla3[[#This Row],[SALDO]]+H211</f>
        <v>-11961249.630000001</v>
      </c>
      <c r="I212" s="135">
        <v>1488</v>
      </c>
      <c r="J212" s="136">
        <f>Tabla3[[#This Row],[EGRESOS]]/Tabla3[[#This Row],[TC]]</f>
        <v>0.93145161290322576</v>
      </c>
      <c r="K212" s="136">
        <f>Tabla3[[#This Row],[INGRESOS]]/Tabla3[[#This Row],[TC]]</f>
        <v>0</v>
      </c>
      <c r="L212" s="8" t="s">
        <v>376</v>
      </c>
      <c r="M212" s="8" t="s">
        <v>377</v>
      </c>
      <c r="N212" s="8" t="s">
        <v>25</v>
      </c>
      <c r="O212" s="8" t="s">
        <v>184</v>
      </c>
      <c r="P212" s="8" t="s">
        <v>195</v>
      </c>
      <c r="Q212" s="8" t="s">
        <v>196</v>
      </c>
      <c r="R212" s="8" t="s">
        <v>382</v>
      </c>
      <c r="S212" s="8"/>
      <c r="T212" s="8"/>
      <c r="U212" s="8" t="s">
        <v>384</v>
      </c>
      <c r="V212" s="8"/>
      <c r="W212" s="8" t="s">
        <v>380</v>
      </c>
      <c r="X212" s="8" t="s">
        <v>99</v>
      </c>
      <c r="Y212" s="8" t="s">
        <v>23</v>
      </c>
    </row>
    <row r="213" spans="1:25" s="7" customFormat="1" hidden="1" x14ac:dyDescent="0.25">
      <c r="A213" s="273" t="str">
        <f t="shared" si="0"/>
        <v>OCTUBRE</v>
      </c>
      <c r="B213" s="251">
        <v>45954</v>
      </c>
      <c r="C213" s="252" t="s">
        <v>417</v>
      </c>
      <c r="D213" s="252"/>
      <c r="E213" s="253">
        <v>198</v>
      </c>
      <c r="F213" s="253">
        <v>0</v>
      </c>
      <c r="G213" s="274">
        <f>Tabla3[[#This Row],[INGRESOS]]-Tabla3[[#This Row],[EGRESOS]]</f>
        <v>-198</v>
      </c>
      <c r="H213" s="137">
        <f>Tabla3[[#This Row],[SALDO]]+H212</f>
        <v>-11961447.630000001</v>
      </c>
      <c r="I213" s="135">
        <v>1488</v>
      </c>
      <c r="J213" s="136">
        <f>Tabla3[[#This Row],[EGRESOS]]/Tabla3[[#This Row],[TC]]</f>
        <v>0.13306451612903225</v>
      </c>
      <c r="K213" s="136">
        <f>Tabla3[[#This Row],[INGRESOS]]/Tabla3[[#This Row],[TC]]</f>
        <v>0</v>
      </c>
      <c r="L213" s="8" t="s">
        <v>376</v>
      </c>
      <c r="M213" s="8" t="s">
        <v>377</v>
      </c>
      <c r="N213" s="8" t="s">
        <v>25</v>
      </c>
      <c r="O213" s="8" t="s">
        <v>184</v>
      </c>
      <c r="P213" s="8" t="s">
        <v>195</v>
      </c>
      <c r="Q213" s="8" t="s">
        <v>196</v>
      </c>
      <c r="R213" s="8" t="s">
        <v>417</v>
      </c>
      <c r="S213" s="8" t="s">
        <v>383</v>
      </c>
      <c r="T213" s="8"/>
      <c r="U213" s="8" t="s">
        <v>384</v>
      </c>
      <c r="V213" s="8"/>
      <c r="W213" s="8" t="s">
        <v>380</v>
      </c>
      <c r="X213" s="8" t="s">
        <v>99</v>
      </c>
      <c r="Y213" s="8" t="s">
        <v>23</v>
      </c>
    </row>
    <row r="214" spans="1:25" s="7" customFormat="1" hidden="1" x14ac:dyDescent="0.25">
      <c r="A214" s="273" t="str">
        <f t="shared" si="0"/>
        <v>OCTUBRE</v>
      </c>
      <c r="B214" s="251">
        <v>45958</v>
      </c>
      <c r="C214" s="252" t="s">
        <v>465</v>
      </c>
      <c r="D214" s="252"/>
      <c r="E214" s="253">
        <v>6000000</v>
      </c>
      <c r="F214" s="253">
        <v>0</v>
      </c>
      <c r="G214" s="274">
        <f>Tabla3[[#This Row],[INGRESOS]]-Tabla3[[#This Row],[EGRESOS]]</f>
        <v>-6000000</v>
      </c>
      <c r="H214" s="137">
        <f>Tabla3[[#This Row],[SALDO]]+H213</f>
        <v>-17961447.630000003</v>
      </c>
      <c r="I214" s="135">
        <v>1488</v>
      </c>
      <c r="J214" s="136">
        <f>Tabla3[[#This Row],[EGRESOS]]/Tabla3[[#This Row],[TC]]</f>
        <v>4032.2580645161293</v>
      </c>
      <c r="K214" s="136">
        <f>Tabla3[[#This Row],[INGRESOS]]/Tabla3[[#This Row],[TC]]</f>
        <v>0</v>
      </c>
      <c r="L214" s="8" t="s">
        <v>376</v>
      </c>
      <c r="M214" s="8" t="s">
        <v>377</v>
      </c>
      <c r="N214" s="8" t="s">
        <v>25</v>
      </c>
      <c r="O214" s="8" t="s">
        <v>244</v>
      </c>
      <c r="P214" s="8" t="s">
        <v>259</v>
      </c>
      <c r="Q214" s="8" t="s">
        <v>260</v>
      </c>
      <c r="R214" s="8" t="s">
        <v>472</v>
      </c>
      <c r="S214" s="8"/>
      <c r="T214" s="8"/>
      <c r="U214" s="8" t="s">
        <v>379</v>
      </c>
      <c r="V214" s="8"/>
      <c r="W214" s="8" t="s">
        <v>380</v>
      </c>
      <c r="X214" s="8"/>
      <c r="Y214" s="8"/>
    </row>
    <row r="215" spans="1:25" s="7" customFormat="1" hidden="1" x14ac:dyDescent="0.25">
      <c r="A215" s="273" t="str">
        <f t="shared" si="0"/>
        <v>OCTUBRE</v>
      </c>
      <c r="B215" s="251">
        <v>45961</v>
      </c>
      <c r="C215" s="252" t="s">
        <v>458</v>
      </c>
      <c r="D215" s="252"/>
      <c r="E215" s="253">
        <v>4569.28</v>
      </c>
      <c r="F215" s="253">
        <v>0</v>
      </c>
      <c r="G215" s="274">
        <f>Tabla3[[#This Row],[INGRESOS]]-Tabla3[[#This Row],[EGRESOS]]</f>
        <v>-4569.28</v>
      </c>
      <c r="H215" s="137">
        <f>Tabla3[[#This Row],[SALDO]]+H214</f>
        <v>-17966016.910000004</v>
      </c>
      <c r="I215" s="135">
        <v>1488</v>
      </c>
      <c r="J215" s="136">
        <f>Tabla3[[#This Row],[EGRESOS]]/Tabla3[[#This Row],[TC]]</f>
        <v>3.0707526881720431</v>
      </c>
      <c r="K215" s="136">
        <f>Tabla3[[#This Row],[INGRESOS]]/Tabla3[[#This Row],[TC]]</f>
        <v>0</v>
      </c>
      <c r="L215" s="8" t="s">
        <v>376</v>
      </c>
      <c r="M215" s="8" t="s">
        <v>377</v>
      </c>
      <c r="N215" s="8" t="s">
        <v>25</v>
      </c>
      <c r="O215" s="8" t="s">
        <v>184</v>
      </c>
      <c r="P215" s="8" t="s">
        <v>195</v>
      </c>
      <c r="Q215" s="8" t="s">
        <v>196</v>
      </c>
      <c r="R215" s="8" t="s">
        <v>417</v>
      </c>
      <c r="S215" s="8" t="s">
        <v>383</v>
      </c>
      <c r="T215" s="8"/>
      <c r="U215" s="8" t="s">
        <v>384</v>
      </c>
      <c r="V215" s="8"/>
      <c r="W215" s="8" t="s">
        <v>380</v>
      </c>
      <c r="X215" s="8" t="s">
        <v>99</v>
      </c>
      <c r="Y215" s="8" t="s">
        <v>23</v>
      </c>
    </row>
    <row r="216" spans="1:25" s="7" customFormat="1" hidden="1" x14ac:dyDescent="0.25">
      <c r="A216" s="273" t="str">
        <f t="shared" si="0"/>
        <v>OCTUBRE</v>
      </c>
      <c r="B216" s="251">
        <v>45961</v>
      </c>
      <c r="C216" s="252" t="s">
        <v>458</v>
      </c>
      <c r="D216" s="252"/>
      <c r="E216" s="253">
        <v>161.09</v>
      </c>
      <c r="F216" s="253">
        <v>0</v>
      </c>
      <c r="G216" s="274">
        <f>Tabla3[[#This Row],[INGRESOS]]-Tabla3[[#This Row],[EGRESOS]]</f>
        <v>-161.09</v>
      </c>
      <c r="H216" s="137">
        <f>Tabla3[[#This Row],[SALDO]]+H215</f>
        <v>-17966178.000000004</v>
      </c>
      <c r="I216" s="135">
        <v>1488</v>
      </c>
      <c r="J216" s="136">
        <f>Tabla3[[#This Row],[EGRESOS]]/Tabla3[[#This Row],[TC]]</f>
        <v>0.10825940860215054</v>
      </c>
      <c r="K216" s="136">
        <f>Tabla3[[#This Row],[INGRESOS]]/Tabla3[[#This Row],[TC]]</f>
        <v>0</v>
      </c>
      <c r="L216" s="8" t="s">
        <v>376</v>
      </c>
      <c r="M216" s="8" t="s">
        <v>377</v>
      </c>
      <c r="N216" s="8" t="s">
        <v>25</v>
      </c>
      <c r="O216" s="8" t="s">
        <v>184</v>
      </c>
      <c r="P216" s="8" t="s">
        <v>195</v>
      </c>
      <c r="Q216" s="8" t="s">
        <v>196</v>
      </c>
      <c r="R216" s="8" t="s">
        <v>417</v>
      </c>
      <c r="S216" s="8" t="s">
        <v>383</v>
      </c>
      <c r="T216" s="8"/>
      <c r="U216" s="8" t="s">
        <v>384</v>
      </c>
      <c r="V216" s="8"/>
      <c r="W216" s="8" t="s">
        <v>380</v>
      </c>
      <c r="X216" s="8" t="s">
        <v>99</v>
      </c>
      <c r="Y216" s="8" t="s">
        <v>23</v>
      </c>
    </row>
    <row r="217" spans="1:25" s="7" customFormat="1" hidden="1" x14ac:dyDescent="0.25">
      <c r="A217" s="273" t="str">
        <f t="shared" si="0"/>
        <v>OCTUBRE</v>
      </c>
      <c r="B217" s="251">
        <v>45961</v>
      </c>
      <c r="C217" s="252" t="s">
        <v>458</v>
      </c>
      <c r="D217" s="252"/>
      <c r="E217" s="253">
        <v>80.540000000000006</v>
      </c>
      <c r="F217" s="253">
        <v>0</v>
      </c>
      <c r="G217" s="274">
        <f>Tabla3[[#This Row],[INGRESOS]]-Tabla3[[#This Row],[EGRESOS]]</f>
        <v>-80.540000000000006</v>
      </c>
      <c r="H217" s="137">
        <f>Tabla3[[#This Row],[SALDO]]+H216</f>
        <v>-17966258.540000003</v>
      </c>
      <c r="I217" s="135">
        <v>1488</v>
      </c>
      <c r="J217" s="136">
        <f>Tabla3[[#This Row],[EGRESOS]]/Tabla3[[#This Row],[TC]]</f>
        <v>5.4126344086021509E-2</v>
      </c>
      <c r="K217" s="136">
        <f>Tabla3[[#This Row],[INGRESOS]]/Tabla3[[#This Row],[TC]]</f>
        <v>0</v>
      </c>
      <c r="L217" s="8" t="s">
        <v>376</v>
      </c>
      <c r="M217" s="8" t="s">
        <v>377</v>
      </c>
      <c r="N217" s="8" t="s">
        <v>25</v>
      </c>
      <c r="O217" s="8" t="s">
        <v>184</v>
      </c>
      <c r="P217" s="8" t="s">
        <v>195</v>
      </c>
      <c r="Q217" s="8" t="s">
        <v>196</v>
      </c>
      <c r="R217" s="8" t="s">
        <v>417</v>
      </c>
      <c r="S217" s="8" t="s">
        <v>383</v>
      </c>
      <c r="T217" s="8"/>
      <c r="U217" s="8" t="s">
        <v>384</v>
      </c>
      <c r="V217" s="8"/>
      <c r="W217" s="8" t="s">
        <v>380</v>
      </c>
      <c r="X217" s="8" t="s">
        <v>99</v>
      </c>
      <c r="Y217" s="8" t="s">
        <v>23</v>
      </c>
    </row>
    <row r="218" spans="1:25" s="7" customFormat="1" hidden="1" x14ac:dyDescent="0.25">
      <c r="A218" s="273" t="str">
        <f t="shared" si="0"/>
        <v>OCTUBRE</v>
      </c>
      <c r="B218" s="251">
        <v>45961</v>
      </c>
      <c r="C218" s="252" t="s">
        <v>459</v>
      </c>
      <c r="D218" s="252"/>
      <c r="E218" s="253">
        <v>304618.90999999997</v>
      </c>
      <c r="F218" s="253">
        <v>0</v>
      </c>
      <c r="G218" s="274">
        <f>Tabla3[[#This Row],[INGRESOS]]-Tabla3[[#This Row],[EGRESOS]]</f>
        <v>-304618.90999999997</v>
      </c>
      <c r="H218" s="137">
        <f>Tabla3[[#This Row],[SALDO]]+H217</f>
        <v>-18270877.450000003</v>
      </c>
      <c r="I218" s="135">
        <v>1488</v>
      </c>
      <c r="J218" s="136">
        <f>Tabla3[[#This Row],[EGRESOS]]/Tabla3[[#This Row],[TC]]</f>
        <v>204.71700940860214</v>
      </c>
      <c r="K218" s="136">
        <f>Tabla3[[#This Row],[INGRESOS]]/Tabla3[[#This Row],[TC]]</f>
        <v>0</v>
      </c>
      <c r="L218" s="8" t="s">
        <v>376</v>
      </c>
      <c r="M218" s="8" t="s">
        <v>377</v>
      </c>
      <c r="N218" s="8" t="s">
        <v>25</v>
      </c>
      <c r="O218" s="8" t="s">
        <v>184</v>
      </c>
      <c r="P218" s="8" t="s">
        <v>197</v>
      </c>
      <c r="Q218" s="8" t="s">
        <v>198</v>
      </c>
      <c r="R218" s="8"/>
      <c r="S218" s="8"/>
      <c r="T218" s="8"/>
      <c r="U218" s="8" t="s">
        <v>384</v>
      </c>
      <c r="V218" s="8"/>
      <c r="W218" s="8" t="s">
        <v>380</v>
      </c>
      <c r="X218" s="8" t="s">
        <v>99</v>
      </c>
      <c r="Y218" s="8" t="s">
        <v>23</v>
      </c>
    </row>
    <row r="219" spans="1:25" s="7" customFormat="1" hidden="1" x14ac:dyDescent="0.25">
      <c r="A219" s="273" t="str">
        <f t="shared" si="0"/>
        <v>OCTUBRE</v>
      </c>
      <c r="B219" s="251">
        <v>45961</v>
      </c>
      <c r="C219" s="252" t="s">
        <v>449</v>
      </c>
      <c r="D219" s="252"/>
      <c r="E219" s="253">
        <v>2555.69</v>
      </c>
      <c r="F219" s="253">
        <v>0</v>
      </c>
      <c r="G219" s="274">
        <f>Tabla3[[#This Row],[INGRESOS]]-Tabla3[[#This Row],[EGRESOS]]</f>
        <v>-2555.69</v>
      </c>
      <c r="H219" s="137">
        <f>Tabla3[[#This Row],[SALDO]]+H218</f>
        <v>-18273433.140000004</v>
      </c>
      <c r="I219" s="135">
        <v>1488</v>
      </c>
      <c r="J219" s="136">
        <f>Tabla3[[#This Row],[EGRESOS]]/Tabla3[[#This Row],[TC]]</f>
        <v>1.7175336021505376</v>
      </c>
      <c r="K219" s="136">
        <f>Tabla3[[#This Row],[INGRESOS]]/Tabla3[[#This Row],[TC]]</f>
        <v>0</v>
      </c>
      <c r="L219" s="8" t="s">
        <v>376</v>
      </c>
      <c r="M219" s="8" t="s">
        <v>377</v>
      </c>
      <c r="N219" s="8" t="s">
        <v>25</v>
      </c>
      <c r="O219" s="8" t="s">
        <v>184</v>
      </c>
      <c r="P219" s="8" t="s">
        <v>195</v>
      </c>
      <c r="Q219" s="8" t="s">
        <v>196</v>
      </c>
      <c r="R219" s="8" t="s">
        <v>382</v>
      </c>
      <c r="S219" s="8"/>
      <c r="T219" s="8"/>
      <c r="U219" s="8" t="s">
        <v>384</v>
      </c>
      <c r="V219" s="8"/>
      <c r="W219" s="8" t="s">
        <v>380</v>
      </c>
      <c r="X219" s="8" t="s">
        <v>99</v>
      </c>
      <c r="Y219" s="8" t="s">
        <v>23</v>
      </c>
    </row>
    <row r="220" spans="1:25" s="7" customFormat="1" hidden="1" x14ac:dyDescent="0.25">
      <c r="A220" s="273" t="str">
        <f t="shared" si="0"/>
        <v>OCTUBRE</v>
      </c>
      <c r="B220" s="251">
        <v>45961</v>
      </c>
      <c r="C220" s="252" t="s">
        <v>460</v>
      </c>
      <c r="D220" s="252"/>
      <c r="E220" s="253">
        <v>31984.99</v>
      </c>
      <c r="F220" s="253">
        <v>0</v>
      </c>
      <c r="G220" s="274">
        <f>Tabla3[[#This Row],[INGRESOS]]-Tabla3[[#This Row],[EGRESOS]]</f>
        <v>-31984.99</v>
      </c>
      <c r="H220" s="137">
        <f>Tabla3[[#This Row],[SALDO]]+H219</f>
        <v>-18305418.130000003</v>
      </c>
      <c r="I220" s="135">
        <v>1488</v>
      </c>
      <c r="J220" s="136">
        <f>Tabla3[[#This Row],[EGRESOS]]/Tabla3[[#This Row],[TC]]</f>
        <v>21.495288978494624</v>
      </c>
      <c r="K220" s="136">
        <f>Tabla3[[#This Row],[INGRESOS]]/Tabla3[[#This Row],[TC]]</f>
        <v>0</v>
      </c>
      <c r="L220" s="8" t="s">
        <v>376</v>
      </c>
      <c r="M220" s="8" t="s">
        <v>377</v>
      </c>
      <c r="N220" s="8" t="s">
        <v>25</v>
      </c>
      <c r="O220" s="8" t="s">
        <v>184</v>
      </c>
      <c r="P220" s="8" t="s">
        <v>195</v>
      </c>
      <c r="Q220" s="8" t="s">
        <v>196</v>
      </c>
      <c r="R220" s="8" t="s">
        <v>382</v>
      </c>
      <c r="S220" s="8"/>
      <c r="T220" s="8"/>
      <c r="U220" s="8" t="s">
        <v>384</v>
      </c>
      <c r="V220" s="8"/>
      <c r="W220" s="8" t="s">
        <v>380</v>
      </c>
      <c r="X220" s="8" t="s">
        <v>99</v>
      </c>
      <c r="Y220" s="8" t="s">
        <v>23</v>
      </c>
    </row>
    <row r="221" spans="1:25" s="7" customFormat="1" hidden="1" x14ac:dyDescent="0.25">
      <c r="A221" s="273" t="str">
        <f t="shared" si="0"/>
        <v>OCTUBRE</v>
      </c>
      <c r="B221" s="251">
        <v>45961</v>
      </c>
      <c r="C221" s="252" t="s">
        <v>460</v>
      </c>
      <c r="D221" s="252"/>
      <c r="E221" s="253">
        <v>1127.6199999999999</v>
      </c>
      <c r="F221" s="253">
        <v>0</v>
      </c>
      <c r="G221" s="274">
        <f>Tabla3[[#This Row],[INGRESOS]]-Tabla3[[#This Row],[EGRESOS]]</f>
        <v>-1127.6199999999999</v>
      </c>
      <c r="H221" s="137">
        <f>Tabla3[[#This Row],[SALDO]]+H220</f>
        <v>-18306545.750000004</v>
      </c>
      <c r="I221" s="135">
        <v>1488</v>
      </c>
      <c r="J221" s="136">
        <f>Tabla3[[#This Row],[EGRESOS]]/Tabla3[[#This Row],[TC]]</f>
        <v>0.75780913978494613</v>
      </c>
      <c r="K221" s="136">
        <f>Tabla3[[#This Row],[INGRESOS]]/Tabla3[[#This Row],[TC]]</f>
        <v>0</v>
      </c>
      <c r="L221" s="8" t="s">
        <v>376</v>
      </c>
      <c r="M221" s="8" t="s">
        <v>377</v>
      </c>
      <c r="N221" s="8" t="s">
        <v>25</v>
      </c>
      <c r="O221" s="8" t="s">
        <v>184</v>
      </c>
      <c r="P221" s="8" t="s">
        <v>195</v>
      </c>
      <c r="Q221" s="8" t="s">
        <v>196</v>
      </c>
      <c r="R221" s="8" t="s">
        <v>382</v>
      </c>
      <c r="S221" s="8"/>
      <c r="T221" s="8"/>
      <c r="U221" s="8" t="s">
        <v>384</v>
      </c>
      <c r="V221" s="8"/>
      <c r="W221" s="8" t="s">
        <v>380</v>
      </c>
      <c r="X221" s="8" t="s">
        <v>99</v>
      </c>
      <c r="Y221" s="8" t="s">
        <v>23</v>
      </c>
    </row>
    <row r="222" spans="1:25" s="7" customFormat="1" hidden="1" x14ac:dyDescent="0.25">
      <c r="A222" s="273" t="str">
        <f t="shared" si="0"/>
        <v>OCTUBRE</v>
      </c>
      <c r="B222" s="251">
        <v>45961</v>
      </c>
      <c r="C222" s="252" t="s">
        <v>460</v>
      </c>
      <c r="D222" s="252"/>
      <c r="E222" s="253">
        <v>563.80999999999995</v>
      </c>
      <c r="F222" s="253">
        <v>0</v>
      </c>
      <c r="G222" s="274">
        <f>Tabla3[[#This Row],[INGRESOS]]-Tabla3[[#This Row],[EGRESOS]]</f>
        <v>-563.80999999999995</v>
      </c>
      <c r="H222" s="137">
        <f>Tabla3[[#This Row],[SALDO]]+H221</f>
        <v>-18307109.560000002</v>
      </c>
      <c r="I222" s="135">
        <v>1488</v>
      </c>
      <c r="J222" s="136">
        <f>Tabla3[[#This Row],[EGRESOS]]/Tabla3[[#This Row],[TC]]</f>
        <v>0.37890456989247306</v>
      </c>
      <c r="K222" s="136">
        <f>Tabla3[[#This Row],[INGRESOS]]/Tabla3[[#This Row],[TC]]</f>
        <v>0</v>
      </c>
      <c r="L222" s="8" t="s">
        <v>376</v>
      </c>
      <c r="M222" s="8" t="s">
        <v>377</v>
      </c>
      <c r="N222" s="8" t="s">
        <v>25</v>
      </c>
      <c r="O222" s="8" t="s">
        <v>184</v>
      </c>
      <c r="P222" s="8" t="s">
        <v>195</v>
      </c>
      <c r="Q222" s="8" t="s">
        <v>196</v>
      </c>
      <c r="R222" s="8" t="s">
        <v>382</v>
      </c>
      <c r="S222" s="8"/>
      <c r="T222" s="8"/>
      <c r="U222" s="8" t="s">
        <v>384</v>
      </c>
      <c r="V222" s="8"/>
      <c r="W222" s="8" t="s">
        <v>380</v>
      </c>
      <c r="X222" s="8" t="s">
        <v>99</v>
      </c>
      <c r="Y222" s="8" t="s">
        <v>23</v>
      </c>
    </row>
    <row r="223" spans="1:25" s="7" customFormat="1" hidden="1" x14ac:dyDescent="0.25">
      <c r="A223" s="247" t="str">
        <f t="shared" si="0"/>
        <v>OCTUBRE</v>
      </c>
      <c r="B223" s="248">
        <v>45961</v>
      </c>
      <c r="C223" s="244" t="s">
        <v>461</v>
      </c>
      <c r="D223" s="244"/>
      <c r="E223" s="249">
        <v>5369.64</v>
      </c>
      <c r="F223" s="249">
        <v>0</v>
      </c>
      <c r="G223" s="266">
        <f>Tabla3[[#This Row],[INGRESOS]]-Tabla3[[#This Row],[EGRESOS]]</f>
        <v>-5369.64</v>
      </c>
      <c r="H223" s="132">
        <f>Tabla3[[#This Row],[SALDO]]+H222</f>
        <v>-18312479.200000003</v>
      </c>
      <c r="I223" s="119">
        <v>1488</v>
      </c>
      <c r="J223" s="99">
        <f>Tabla3[[#This Row],[EGRESOS]]/Tabla3[[#This Row],[TC]]</f>
        <v>3.6086290322580648</v>
      </c>
      <c r="K223" s="99">
        <f>Tabla3[[#This Row],[INGRESOS]]/Tabla3[[#This Row],[TC]]</f>
        <v>0</v>
      </c>
      <c r="L223" s="7" t="s">
        <v>376</v>
      </c>
      <c r="M223" s="7" t="s">
        <v>377</v>
      </c>
      <c r="N223" s="7" t="s">
        <v>25</v>
      </c>
      <c r="O223" s="7" t="s">
        <v>184</v>
      </c>
      <c r="P223" s="7" t="s">
        <v>197</v>
      </c>
      <c r="Q223" s="7" t="s">
        <v>198</v>
      </c>
      <c r="U223" s="7" t="s">
        <v>384</v>
      </c>
      <c r="W223" s="7" t="s">
        <v>380</v>
      </c>
      <c r="X223" s="7" t="s">
        <v>99</v>
      </c>
      <c r="Y223" s="7" t="s">
        <v>23</v>
      </c>
    </row>
    <row r="224" spans="1:25" s="7" customFormat="1" hidden="1" x14ac:dyDescent="0.25">
      <c r="A224" s="247" t="str">
        <f t="shared" si="0"/>
        <v>OCTUBRE</v>
      </c>
      <c r="B224" s="248">
        <v>45961</v>
      </c>
      <c r="C224" s="244" t="s">
        <v>273</v>
      </c>
      <c r="D224" s="244"/>
      <c r="E224" s="249">
        <v>10500</v>
      </c>
      <c r="F224" s="249">
        <v>0</v>
      </c>
      <c r="G224" s="266">
        <f>Tabla3[[#This Row],[INGRESOS]]-Tabla3[[#This Row],[EGRESOS]]</f>
        <v>-10500</v>
      </c>
      <c r="H224" s="119">
        <f>Tabla3[[#This Row],[SALDO]]+H223</f>
        <v>-18322979.200000003</v>
      </c>
      <c r="I224" s="119">
        <v>1488</v>
      </c>
      <c r="J224" s="99">
        <f>Tabla3[[#This Row],[EGRESOS]]/Tabla3[[#This Row],[TC]]</f>
        <v>7.056451612903226</v>
      </c>
      <c r="K224" s="99">
        <f>Tabla3[[#This Row],[INGRESOS]]/Tabla3[[#This Row],[TC]]</f>
        <v>0</v>
      </c>
      <c r="L224" s="7" t="s">
        <v>376</v>
      </c>
      <c r="M224" s="7" t="s">
        <v>377</v>
      </c>
      <c r="N224" s="7" t="s">
        <v>25</v>
      </c>
      <c r="O224" s="7" t="s">
        <v>184</v>
      </c>
      <c r="P224" s="7" t="s">
        <v>195</v>
      </c>
      <c r="Q224" s="7" t="s">
        <v>196</v>
      </c>
      <c r="R224" s="7" t="s">
        <v>382</v>
      </c>
      <c r="U224" s="7" t="s">
        <v>384</v>
      </c>
      <c r="W224" s="7" t="s">
        <v>380</v>
      </c>
      <c r="X224" s="7" t="s">
        <v>99</v>
      </c>
      <c r="Y224" s="7" t="s">
        <v>23</v>
      </c>
    </row>
    <row r="225" spans="1:25" s="7" customFormat="1" hidden="1" x14ac:dyDescent="0.25">
      <c r="A225" s="247" t="str">
        <f t="shared" si="0"/>
        <v>OCTUBRE</v>
      </c>
      <c r="B225" s="248">
        <v>45961</v>
      </c>
      <c r="C225" s="244" t="s">
        <v>462</v>
      </c>
      <c r="D225" s="244"/>
      <c r="E225" s="249">
        <v>10739.28</v>
      </c>
      <c r="F225" s="249">
        <v>0</v>
      </c>
      <c r="G225" s="266">
        <f>Tabla3[[#This Row],[INGRESOS]]-Tabla3[[#This Row],[EGRESOS]]</f>
        <v>-10739.28</v>
      </c>
      <c r="H225" s="119">
        <f>Tabla3[[#This Row],[SALDO]]+H224</f>
        <v>-18333718.480000004</v>
      </c>
      <c r="I225" s="119">
        <v>1488</v>
      </c>
      <c r="J225" s="99">
        <f>Tabla3[[#This Row],[EGRESOS]]/Tabla3[[#This Row],[TC]]</f>
        <v>7.2172580645161295</v>
      </c>
      <c r="K225" s="99">
        <f>Tabla3[[#This Row],[INGRESOS]]/Tabla3[[#This Row],[TC]]</f>
        <v>0</v>
      </c>
      <c r="L225" s="7" t="s">
        <v>376</v>
      </c>
      <c r="M225" s="7" t="s">
        <v>377</v>
      </c>
      <c r="N225" s="7" t="s">
        <v>25</v>
      </c>
      <c r="O225" s="7" t="s">
        <v>184</v>
      </c>
      <c r="P225" s="7" t="s">
        <v>197</v>
      </c>
      <c r="Q225" s="7" t="s">
        <v>198</v>
      </c>
      <c r="U225" s="7" t="s">
        <v>384</v>
      </c>
      <c r="W225" s="7" t="s">
        <v>380</v>
      </c>
      <c r="X225" s="7" t="s">
        <v>99</v>
      </c>
      <c r="Y225" s="7" t="s">
        <v>23</v>
      </c>
    </row>
    <row r="226" spans="1:25" s="7" customFormat="1" hidden="1" x14ac:dyDescent="0.25">
      <c r="A226" s="247" t="str">
        <f t="shared" si="0"/>
        <v>OCTUBRE</v>
      </c>
      <c r="B226" s="248">
        <v>45961</v>
      </c>
      <c r="C226" s="244" t="s">
        <v>463</v>
      </c>
      <c r="D226" s="244"/>
      <c r="E226" s="249">
        <v>4569.29</v>
      </c>
      <c r="F226" s="249">
        <v>0</v>
      </c>
      <c r="G226" s="266">
        <f>Tabla3[[#This Row],[INGRESOS]]-Tabla3[[#This Row],[EGRESOS]]</f>
        <v>-4569.29</v>
      </c>
      <c r="H226" s="119">
        <f>Tabla3[[#This Row],[SALDO]]+H225</f>
        <v>-18338287.770000003</v>
      </c>
      <c r="I226" s="119">
        <v>1488</v>
      </c>
      <c r="J226" s="99">
        <f>Tabla3[[#This Row],[EGRESOS]]/Tabla3[[#This Row],[TC]]</f>
        <v>3.0707594086021506</v>
      </c>
      <c r="K226" s="99">
        <f>Tabla3[[#This Row],[INGRESOS]]/Tabla3[[#This Row],[TC]]</f>
        <v>0</v>
      </c>
      <c r="L226" s="7" t="s">
        <v>376</v>
      </c>
      <c r="M226" s="7" t="s">
        <v>377</v>
      </c>
      <c r="N226" s="7" t="s">
        <v>25</v>
      </c>
      <c r="O226" s="7" t="s">
        <v>184</v>
      </c>
      <c r="P226" s="7" t="s">
        <v>195</v>
      </c>
      <c r="Q226" s="7" t="s">
        <v>196</v>
      </c>
      <c r="R226" s="7" t="s">
        <v>423</v>
      </c>
      <c r="U226" s="7" t="s">
        <v>384</v>
      </c>
      <c r="W226" s="7" t="s">
        <v>380</v>
      </c>
      <c r="X226" s="7" t="s">
        <v>99</v>
      </c>
      <c r="Y226" s="7" t="s">
        <v>23</v>
      </c>
    </row>
    <row r="227" spans="1:25" s="7" customFormat="1" hidden="1" x14ac:dyDescent="0.25">
      <c r="A227" s="247" t="str">
        <f t="shared" si="0"/>
        <v>OCTUBRE</v>
      </c>
      <c r="B227" s="248">
        <v>45961</v>
      </c>
      <c r="C227" s="244" t="s">
        <v>463</v>
      </c>
      <c r="D227" s="244"/>
      <c r="E227" s="249">
        <v>161.09</v>
      </c>
      <c r="F227" s="249">
        <v>0</v>
      </c>
      <c r="G227" s="266">
        <f>Tabla3[[#This Row],[INGRESOS]]-Tabla3[[#This Row],[EGRESOS]]</f>
        <v>-161.09</v>
      </c>
      <c r="H227" s="119">
        <f>Tabla3[[#This Row],[SALDO]]+H226</f>
        <v>-18338448.860000003</v>
      </c>
      <c r="I227" s="119">
        <v>1488</v>
      </c>
      <c r="J227" s="99">
        <f>Tabla3[[#This Row],[EGRESOS]]/Tabla3[[#This Row],[TC]]</f>
        <v>0.10825940860215054</v>
      </c>
      <c r="K227" s="99">
        <f>Tabla3[[#This Row],[INGRESOS]]/Tabla3[[#This Row],[TC]]</f>
        <v>0</v>
      </c>
      <c r="L227" s="7" t="s">
        <v>376</v>
      </c>
      <c r="M227" s="7" t="s">
        <v>377</v>
      </c>
      <c r="N227" s="7" t="s">
        <v>25</v>
      </c>
      <c r="O227" s="7" t="s">
        <v>184</v>
      </c>
      <c r="P227" s="7" t="s">
        <v>195</v>
      </c>
      <c r="Q227" s="7" t="s">
        <v>196</v>
      </c>
      <c r="R227" s="7" t="s">
        <v>423</v>
      </c>
      <c r="U227" s="7" t="s">
        <v>384</v>
      </c>
      <c r="W227" s="7" t="s">
        <v>380</v>
      </c>
      <c r="X227" s="7" t="s">
        <v>99</v>
      </c>
      <c r="Y227" s="7" t="s">
        <v>23</v>
      </c>
    </row>
    <row r="228" spans="1:25" s="7" customFormat="1" hidden="1" x14ac:dyDescent="0.25">
      <c r="A228" s="247" t="str">
        <f t="shared" si="0"/>
        <v>OCTUBRE</v>
      </c>
      <c r="B228" s="248">
        <v>45961</v>
      </c>
      <c r="C228" s="244" t="s">
        <v>424</v>
      </c>
      <c r="D228" s="244"/>
      <c r="E228" s="249">
        <v>50000</v>
      </c>
      <c r="F228" s="249">
        <v>0</v>
      </c>
      <c r="G228" s="266">
        <f>Tabla3[[#This Row],[INGRESOS]]-Tabla3[[#This Row],[EGRESOS]]</f>
        <v>-50000</v>
      </c>
      <c r="H228" s="119">
        <f>Tabla3[[#This Row],[SALDO]]+H227</f>
        <v>-18388448.860000003</v>
      </c>
      <c r="I228" s="119">
        <v>1488</v>
      </c>
      <c r="J228" s="99">
        <f>Tabla3[[#This Row],[EGRESOS]]/Tabla3[[#This Row],[TC]]</f>
        <v>33.602150537634408</v>
      </c>
      <c r="K228" s="99">
        <f>Tabla3[[#This Row],[INGRESOS]]/Tabla3[[#This Row],[TC]]</f>
        <v>0</v>
      </c>
      <c r="L228" s="7" t="s">
        <v>376</v>
      </c>
      <c r="M228" s="7" t="s">
        <v>377</v>
      </c>
      <c r="N228" s="7" t="s">
        <v>25</v>
      </c>
      <c r="O228" s="7" t="s">
        <v>184</v>
      </c>
      <c r="P228" s="7" t="s">
        <v>185</v>
      </c>
      <c r="Q228" s="7" t="s">
        <v>186</v>
      </c>
      <c r="R228" s="7" t="s">
        <v>227</v>
      </c>
      <c r="U228" s="7" t="s">
        <v>384</v>
      </c>
      <c r="W228" s="7" t="s">
        <v>380</v>
      </c>
      <c r="X228" s="7" t="s">
        <v>99</v>
      </c>
      <c r="Y228" s="7" t="s">
        <v>23</v>
      </c>
    </row>
    <row r="229" spans="1:25" s="7" customFormat="1" hidden="1" x14ac:dyDescent="0.25">
      <c r="A229" s="273" t="str">
        <f t="shared" si="0"/>
        <v>OCTUBRE</v>
      </c>
      <c r="B229" s="251">
        <v>45961</v>
      </c>
      <c r="C229" s="252" t="s">
        <v>417</v>
      </c>
      <c r="D229" s="252"/>
      <c r="E229" s="253">
        <v>1500</v>
      </c>
      <c r="F229" s="253">
        <v>0</v>
      </c>
      <c r="G229" s="274">
        <f>Tabla3[[#This Row],[INGRESOS]]-Tabla3[[#This Row],[EGRESOS]]</f>
        <v>-1500</v>
      </c>
      <c r="H229" s="135">
        <f>Tabla3[[#This Row],[SALDO]]+H228</f>
        <v>-18389948.860000003</v>
      </c>
      <c r="I229" s="135">
        <v>1488</v>
      </c>
      <c r="J229" s="136">
        <f>Tabla3[[#This Row],[EGRESOS]]/Tabla3[[#This Row],[TC]]</f>
        <v>1.0080645161290323</v>
      </c>
      <c r="K229" s="136">
        <f>Tabla3[[#This Row],[INGRESOS]]/Tabla3[[#This Row],[TC]]</f>
        <v>0</v>
      </c>
      <c r="L229" s="8" t="s">
        <v>376</v>
      </c>
      <c r="M229" s="8" t="s">
        <v>377</v>
      </c>
      <c r="N229" s="8" t="s">
        <v>25</v>
      </c>
      <c r="O229" s="8" t="s">
        <v>184</v>
      </c>
      <c r="P229" s="8" t="s">
        <v>195</v>
      </c>
      <c r="Q229" s="8" t="s">
        <v>196</v>
      </c>
      <c r="R229" s="8" t="s">
        <v>417</v>
      </c>
      <c r="S229" s="8" t="s">
        <v>383</v>
      </c>
      <c r="T229" s="8"/>
      <c r="U229" s="8" t="s">
        <v>384</v>
      </c>
      <c r="V229" s="8"/>
      <c r="W229" s="8" t="s">
        <v>380</v>
      </c>
      <c r="X229" s="8" t="s">
        <v>99</v>
      </c>
      <c r="Y229" s="8" t="s">
        <v>23</v>
      </c>
    </row>
    <row r="230" spans="1:25" s="7" customFormat="1" hidden="1" x14ac:dyDescent="0.25">
      <c r="A230" s="273" t="str">
        <f t="shared" ref="A230:A252" si="1">"NOVIEMBRE"</f>
        <v>NOVIEMBRE</v>
      </c>
      <c r="B230" s="251">
        <v>45972</v>
      </c>
      <c r="C230" s="252" t="s">
        <v>471</v>
      </c>
      <c r="D230" s="252"/>
      <c r="E230" s="253">
        <v>0</v>
      </c>
      <c r="F230" s="253">
        <v>20450000</v>
      </c>
      <c r="G230" s="274">
        <f>Tabla3[[#This Row],[INGRESOS]]-Tabla3[[#This Row],[EGRESOS]]</f>
        <v>20450000</v>
      </c>
      <c r="H230" s="135">
        <f>Tabla3[[#This Row],[SALDO]]+H229</f>
        <v>2060051.1399999969</v>
      </c>
      <c r="I230" s="135">
        <v>1488</v>
      </c>
      <c r="J230" s="136">
        <f>Tabla3[[#This Row],[EGRESOS]]/Tabla3[[#This Row],[TC]]</f>
        <v>0</v>
      </c>
      <c r="K230" s="136">
        <f>Tabla3[[#This Row],[INGRESOS]]/Tabla3[[#This Row],[TC]]</f>
        <v>13743.279569892473</v>
      </c>
      <c r="L230" s="8" t="s">
        <v>376</v>
      </c>
      <c r="M230" s="8" t="s">
        <v>377</v>
      </c>
      <c r="N230" s="8" t="s">
        <v>25</v>
      </c>
      <c r="O230" s="8" t="s">
        <v>244</v>
      </c>
      <c r="P230" s="8" t="s">
        <v>259</v>
      </c>
      <c r="Q230" s="8" t="s">
        <v>260</v>
      </c>
      <c r="R230" s="8" t="s">
        <v>405</v>
      </c>
      <c r="S230" s="8"/>
      <c r="T230" s="8"/>
      <c r="U230" s="8" t="s">
        <v>379</v>
      </c>
      <c r="V230" s="8"/>
      <c r="W230" s="8" t="s">
        <v>380</v>
      </c>
      <c r="X230" s="8"/>
      <c r="Y230" s="8"/>
    </row>
    <row r="231" spans="1:25" s="7" customFormat="1" hidden="1" x14ac:dyDescent="0.25">
      <c r="A231" s="273" t="str">
        <f t="shared" si="1"/>
        <v>NOVIEMBRE</v>
      </c>
      <c r="B231" s="251">
        <v>45974</v>
      </c>
      <c r="C231" s="252" t="s">
        <v>481</v>
      </c>
      <c r="D231" s="252"/>
      <c r="E231" s="253">
        <v>42479.96</v>
      </c>
      <c r="F231" s="253">
        <v>0</v>
      </c>
      <c r="G231" s="274">
        <f>Tabla3[[#This Row],[INGRESOS]]-Tabla3[[#This Row],[EGRESOS]]</f>
        <v>-42479.96</v>
      </c>
      <c r="H231" s="135">
        <f>Tabla3[[#This Row],[SALDO]]+H230</f>
        <v>2017571.1799999969</v>
      </c>
      <c r="I231" s="135">
        <v>1488</v>
      </c>
      <c r="J231" s="136">
        <f>Tabla3[[#This Row],[EGRESOS]]/Tabla3[[#This Row],[TC]]</f>
        <v>28.548360215053762</v>
      </c>
      <c r="K231" s="136">
        <f>Tabla3[[#This Row],[INGRESOS]]/Tabla3[[#This Row],[TC]]</f>
        <v>0</v>
      </c>
      <c r="L231" s="8" t="s">
        <v>376</v>
      </c>
      <c r="M231" s="8" t="s">
        <v>377</v>
      </c>
      <c r="N231" s="8" t="s">
        <v>25</v>
      </c>
      <c r="O231" s="8" t="s">
        <v>184</v>
      </c>
      <c r="P231" s="8" t="s">
        <v>185</v>
      </c>
      <c r="Q231" s="8" t="s">
        <v>192</v>
      </c>
      <c r="R231" s="8" t="s">
        <v>482</v>
      </c>
      <c r="S231" s="8"/>
      <c r="T231" s="8"/>
      <c r="U231" s="8" t="s">
        <v>384</v>
      </c>
      <c r="V231" s="8"/>
      <c r="W231" s="8" t="s">
        <v>380</v>
      </c>
      <c r="X231" s="8" t="s">
        <v>99</v>
      </c>
      <c r="Y231" s="8" t="s">
        <v>23</v>
      </c>
    </row>
    <row r="232" spans="1:25" s="7" customFormat="1" hidden="1" x14ac:dyDescent="0.25">
      <c r="A232" s="273" t="str">
        <f t="shared" si="1"/>
        <v>NOVIEMBRE</v>
      </c>
      <c r="B232" s="251">
        <v>45987</v>
      </c>
      <c r="C232" s="252" t="s">
        <v>449</v>
      </c>
      <c r="D232" s="252"/>
      <c r="E232" s="253">
        <v>84000</v>
      </c>
      <c r="F232" s="253">
        <v>0</v>
      </c>
      <c r="G232" s="274">
        <f>Tabla3[[#This Row],[INGRESOS]]-Tabla3[[#This Row],[EGRESOS]]</f>
        <v>-84000</v>
      </c>
      <c r="H232" s="135">
        <f>Tabla3[[#This Row],[SALDO]]+H231</f>
        <v>1933571.1799999969</v>
      </c>
      <c r="I232" s="135">
        <v>1488</v>
      </c>
      <c r="J232" s="136">
        <f>Tabla3[[#This Row],[EGRESOS]]/Tabla3[[#This Row],[TC]]</f>
        <v>56.451612903225808</v>
      </c>
      <c r="K232" s="136">
        <f>Tabla3[[#This Row],[INGRESOS]]/Tabla3[[#This Row],[TC]]</f>
        <v>0</v>
      </c>
      <c r="L232" s="8" t="s">
        <v>376</v>
      </c>
      <c r="M232" s="8" t="s">
        <v>377</v>
      </c>
      <c r="N232" s="8" t="s">
        <v>25</v>
      </c>
      <c r="O232" s="8" t="s">
        <v>184</v>
      </c>
      <c r="P232" s="8" t="s">
        <v>195</v>
      </c>
      <c r="Q232" s="8" t="s">
        <v>196</v>
      </c>
      <c r="R232" s="8" t="s">
        <v>382</v>
      </c>
      <c r="S232" s="8"/>
      <c r="T232" s="8"/>
      <c r="U232" s="8" t="s">
        <v>384</v>
      </c>
      <c r="V232" s="8"/>
      <c r="W232" s="8" t="s">
        <v>380</v>
      </c>
      <c r="X232" s="8" t="s">
        <v>99</v>
      </c>
      <c r="Y232" s="8" t="s">
        <v>23</v>
      </c>
    </row>
    <row r="233" spans="1:25" s="7" customFormat="1" hidden="1" x14ac:dyDescent="0.25">
      <c r="A233" s="273" t="str">
        <f t="shared" si="1"/>
        <v>NOVIEMBRE</v>
      </c>
      <c r="B233" s="251">
        <v>45987</v>
      </c>
      <c r="C233" s="252" t="s">
        <v>449</v>
      </c>
      <c r="D233" s="252"/>
      <c r="E233" s="253">
        <v>31.99</v>
      </c>
      <c r="F233" s="253">
        <v>0</v>
      </c>
      <c r="G233" s="274">
        <f>Tabla3[[#This Row],[INGRESOS]]-Tabla3[[#This Row],[EGRESOS]]</f>
        <v>-31.99</v>
      </c>
      <c r="H233" s="135">
        <f>Tabla3[[#This Row],[SALDO]]+H232</f>
        <v>1933539.1899999969</v>
      </c>
      <c r="I233" s="135">
        <v>1488</v>
      </c>
      <c r="J233" s="136">
        <f>Tabla3[[#This Row],[EGRESOS]]/Tabla3[[#This Row],[TC]]</f>
        <v>2.1498655913978492E-2</v>
      </c>
      <c r="K233" s="136">
        <f>Tabla3[[#This Row],[INGRESOS]]/Tabla3[[#This Row],[TC]]</f>
        <v>0</v>
      </c>
      <c r="L233" s="8" t="s">
        <v>376</v>
      </c>
      <c r="M233" s="8" t="s">
        <v>377</v>
      </c>
      <c r="N233" s="8" t="s">
        <v>25</v>
      </c>
      <c r="O233" s="8" t="s">
        <v>184</v>
      </c>
      <c r="P233" s="8" t="s">
        <v>195</v>
      </c>
      <c r="Q233" s="8" t="s">
        <v>196</v>
      </c>
      <c r="R233" s="8" t="s">
        <v>382</v>
      </c>
      <c r="S233" s="8"/>
      <c r="T233" s="8"/>
      <c r="U233" s="8" t="s">
        <v>384</v>
      </c>
      <c r="V233" s="8"/>
      <c r="W233" s="8" t="s">
        <v>380</v>
      </c>
      <c r="X233" s="8" t="s">
        <v>99</v>
      </c>
      <c r="Y233" s="8" t="s">
        <v>23</v>
      </c>
    </row>
    <row r="234" spans="1:25" s="7" customFormat="1" hidden="1" x14ac:dyDescent="0.25">
      <c r="A234" s="273" t="str">
        <f t="shared" si="1"/>
        <v>NOVIEMBRE</v>
      </c>
      <c r="B234" s="251">
        <v>45987</v>
      </c>
      <c r="C234" s="252" t="s">
        <v>483</v>
      </c>
      <c r="D234" s="252"/>
      <c r="E234" s="253">
        <v>4300</v>
      </c>
      <c r="F234" s="253">
        <v>0</v>
      </c>
      <c r="G234" s="274">
        <f>Tabla3[[#This Row],[INGRESOS]]-Tabla3[[#This Row],[EGRESOS]]</f>
        <v>-4300</v>
      </c>
      <c r="H234" s="135">
        <f>Tabla3[[#This Row],[SALDO]]+H233</f>
        <v>1929239.1899999969</v>
      </c>
      <c r="I234" s="135">
        <v>1488</v>
      </c>
      <c r="J234" s="136">
        <f>Tabla3[[#This Row],[EGRESOS]]/Tabla3[[#This Row],[TC]]</f>
        <v>2.889784946236559</v>
      </c>
      <c r="K234" s="136">
        <f>Tabla3[[#This Row],[INGRESOS]]/Tabla3[[#This Row],[TC]]</f>
        <v>0</v>
      </c>
      <c r="L234" s="8" t="s">
        <v>376</v>
      </c>
      <c r="M234" s="8" t="s">
        <v>377</v>
      </c>
      <c r="N234" s="8" t="s">
        <v>25</v>
      </c>
      <c r="O234" s="8" t="s">
        <v>184</v>
      </c>
      <c r="P234" s="8" t="s">
        <v>185</v>
      </c>
      <c r="Q234" s="8" t="s">
        <v>186</v>
      </c>
      <c r="R234" s="8" t="s">
        <v>227</v>
      </c>
      <c r="S234" s="8"/>
      <c r="T234" s="8"/>
      <c r="U234" s="8" t="s">
        <v>384</v>
      </c>
      <c r="V234" s="8"/>
      <c r="W234" s="8" t="s">
        <v>380</v>
      </c>
      <c r="X234" s="8" t="s">
        <v>99</v>
      </c>
      <c r="Y234" s="8" t="s">
        <v>23</v>
      </c>
    </row>
    <row r="235" spans="1:25" s="7" customFormat="1" hidden="1" x14ac:dyDescent="0.25">
      <c r="A235" s="273" t="str">
        <f t="shared" si="1"/>
        <v>NOVIEMBRE</v>
      </c>
      <c r="B235" s="251">
        <v>45987</v>
      </c>
      <c r="C235" s="252" t="s">
        <v>273</v>
      </c>
      <c r="D235" s="252"/>
      <c r="E235" s="253">
        <v>903</v>
      </c>
      <c r="F235" s="253">
        <v>0</v>
      </c>
      <c r="G235" s="274">
        <f>Tabla3[[#This Row],[INGRESOS]]-Tabla3[[#This Row],[EGRESOS]]</f>
        <v>-903</v>
      </c>
      <c r="H235" s="135">
        <f>Tabla3[[#This Row],[SALDO]]+H234</f>
        <v>1928336.1899999969</v>
      </c>
      <c r="I235" s="135">
        <v>1488</v>
      </c>
      <c r="J235" s="136">
        <f>Tabla3[[#This Row],[EGRESOS]]/Tabla3[[#This Row],[TC]]</f>
        <v>0.60685483870967738</v>
      </c>
      <c r="K235" s="136">
        <f>Tabla3[[#This Row],[INGRESOS]]/Tabla3[[#This Row],[TC]]</f>
        <v>0</v>
      </c>
      <c r="L235" s="8" t="s">
        <v>376</v>
      </c>
      <c r="M235" s="8" t="s">
        <v>377</v>
      </c>
      <c r="N235" s="8" t="s">
        <v>25</v>
      </c>
      <c r="O235" s="8" t="s">
        <v>184</v>
      </c>
      <c r="P235" s="8" t="s">
        <v>195</v>
      </c>
      <c r="Q235" s="8" t="s">
        <v>196</v>
      </c>
      <c r="R235" s="8" t="s">
        <v>382</v>
      </c>
      <c r="S235" s="8"/>
      <c r="T235" s="8"/>
      <c r="U235" s="8" t="s">
        <v>384</v>
      </c>
      <c r="V235" s="8"/>
      <c r="W235" s="8" t="s">
        <v>380</v>
      </c>
      <c r="X235" s="8" t="s">
        <v>99</v>
      </c>
      <c r="Y235" s="8" t="s">
        <v>23</v>
      </c>
    </row>
    <row r="236" spans="1:25" s="7" customFormat="1" hidden="1" x14ac:dyDescent="0.25">
      <c r="A236" s="273" t="str">
        <f t="shared" si="1"/>
        <v>NOVIEMBRE</v>
      </c>
      <c r="B236" s="251">
        <v>45987</v>
      </c>
      <c r="C236" s="252" t="s">
        <v>417</v>
      </c>
      <c r="D236" s="252"/>
      <c r="E236" s="253">
        <v>129</v>
      </c>
      <c r="F236" s="253">
        <v>0</v>
      </c>
      <c r="G236" s="274">
        <f>Tabla3[[#This Row],[INGRESOS]]-Tabla3[[#This Row],[EGRESOS]]</f>
        <v>-129</v>
      </c>
      <c r="H236" s="135">
        <f>Tabla3[[#This Row],[SALDO]]+H235</f>
        <v>1928207.1899999969</v>
      </c>
      <c r="I236" s="135">
        <v>1488</v>
      </c>
      <c r="J236" s="136">
        <f>Tabla3[[#This Row],[EGRESOS]]/Tabla3[[#This Row],[TC]]</f>
        <v>8.669354838709678E-2</v>
      </c>
      <c r="K236" s="136">
        <f>Tabla3[[#This Row],[INGRESOS]]/Tabla3[[#This Row],[TC]]</f>
        <v>0</v>
      </c>
      <c r="L236" s="8" t="s">
        <v>376</v>
      </c>
      <c r="M236" s="8" t="s">
        <v>377</v>
      </c>
      <c r="N236" s="8" t="s">
        <v>25</v>
      </c>
      <c r="O236" s="8" t="s">
        <v>184</v>
      </c>
      <c r="P236" s="8" t="s">
        <v>195</v>
      </c>
      <c r="Q236" s="8" t="s">
        <v>196</v>
      </c>
      <c r="R236" s="8" t="s">
        <v>417</v>
      </c>
      <c r="S236" s="8" t="s">
        <v>383</v>
      </c>
      <c r="T236" s="8"/>
      <c r="U236" s="8" t="s">
        <v>384</v>
      </c>
      <c r="V236" s="8"/>
      <c r="W236" s="8" t="s">
        <v>380</v>
      </c>
      <c r="X236" s="8" t="s">
        <v>99</v>
      </c>
      <c r="Y236" s="8" t="s">
        <v>23</v>
      </c>
    </row>
    <row r="237" spans="1:25" s="7" customFormat="1" hidden="1" x14ac:dyDescent="0.25">
      <c r="A237" s="273" t="str">
        <f t="shared" si="1"/>
        <v>NOVIEMBRE</v>
      </c>
      <c r="B237" s="251">
        <v>45987</v>
      </c>
      <c r="C237" s="252" t="s">
        <v>484</v>
      </c>
      <c r="D237" s="252"/>
      <c r="E237" s="253">
        <v>14000000</v>
      </c>
      <c r="F237" s="253">
        <v>0</v>
      </c>
      <c r="G237" s="274">
        <f>Tabla3[[#This Row],[INGRESOS]]-Tabla3[[#This Row],[EGRESOS]]</f>
        <v>-14000000</v>
      </c>
      <c r="H237" s="135">
        <f>Tabla3[[#This Row],[SALDO]]+H236</f>
        <v>-12071792.810000002</v>
      </c>
      <c r="I237" s="135">
        <v>1488</v>
      </c>
      <c r="J237" s="136">
        <f>Tabla3[[#This Row],[EGRESOS]]/Tabla3[[#This Row],[TC]]</f>
        <v>9408.6021505376339</v>
      </c>
      <c r="K237" s="136">
        <f>Tabla3[[#This Row],[INGRESOS]]/Tabla3[[#This Row],[TC]]</f>
        <v>0</v>
      </c>
      <c r="L237" s="8" t="s">
        <v>376</v>
      </c>
      <c r="M237" s="8" t="s">
        <v>377</v>
      </c>
      <c r="N237" s="8" t="s">
        <v>25</v>
      </c>
      <c r="O237" s="8" t="s">
        <v>215</v>
      </c>
      <c r="P237" s="8" t="s">
        <v>216</v>
      </c>
      <c r="Q237" s="8" t="s">
        <v>220</v>
      </c>
      <c r="R237" s="8" t="s">
        <v>333</v>
      </c>
      <c r="S237" s="8" t="s">
        <v>485</v>
      </c>
      <c r="T237" s="8"/>
      <c r="U237" s="8" t="s">
        <v>403</v>
      </c>
      <c r="V237" s="8"/>
      <c r="W237" s="8" t="s">
        <v>380</v>
      </c>
      <c r="X237" s="8" t="s">
        <v>29</v>
      </c>
      <c r="Y237" s="8" t="s">
        <v>23</v>
      </c>
    </row>
    <row r="238" spans="1:25" s="7" customFormat="1" hidden="1" x14ac:dyDescent="0.25">
      <c r="A238" s="273" t="str">
        <f t="shared" si="1"/>
        <v>NOVIEMBRE</v>
      </c>
      <c r="B238" s="251">
        <v>45991</v>
      </c>
      <c r="C238" s="252" t="s">
        <v>458</v>
      </c>
      <c r="D238" s="252"/>
      <c r="E238" s="253">
        <v>8404.6299999999992</v>
      </c>
      <c r="F238" s="253">
        <v>0</v>
      </c>
      <c r="G238" s="274">
        <f>Tabla3[[#This Row],[INGRESOS]]-Tabla3[[#This Row],[EGRESOS]]</f>
        <v>-8404.6299999999992</v>
      </c>
      <c r="H238" s="135">
        <f>Tabla3[[#This Row],[SALDO]]+H237</f>
        <v>-12080197.440000003</v>
      </c>
      <c r="I238" s="135">
        <v>1488</v>
      </c>
      <c r="J238" s="136">
        <f>Tabla3[[#This Row],[EGRESOS]]/Tabla3[[#This Row],[TC]]</f>
        <v>5.6482728494623649</v>
      </c>
      <c r="K238" s="136">
        <f>Tabla3[[#This Row],[INGRESOS]]/Tabla3[[#This Row],[TC]]</f>
        <v>0</v>
      </c>
      <c r="L238" s="8" t="s">
        <v>376</v>
      </c>
      <c r="M238" s="8" t="s">
        <v>377</v>
      </c>
      <c r="N238" s="8" t="s">
        <v>25</v>
      </c>
      <c r="O238" s="8" t="s">
        <v>184</v>
      </c>
      <c r="P238" s="8" t="s">
        <v>195</v>
      </c>
      <c r="Q238" s="8" t="s">
        <v>196</v>
      </c>
      <c r="R238" s="8" t="s">
        <v>417</v>
      </c>
      <c r="S238" s="8" t="s">
        <v>383</v>
      </c>
      <c r="T238" s="8"/>
      <c r="U238" s="8" t="s">
        <v>384</v>
      </c>
      <c r="V238" s="8"/>
      <c r="W238" s="8" t="s">
        <v>380</v>
      </c>
      <c r="X238" s="8" t="s">
        <v>99</v>
      </c>
      <c r="Y238" s="8" t="s">
        <v>23</v>
      </c>
    </row>
    <row r="239" spans="1:25" s="7" customFormat="1" hidden="1" x14ac:dyDescent="0.25">
      <c r="A239" s="273" t="str">
        <f t="shared" si="1"/>
        <v>NOVIEMBRE</v>
      </c>
      <c r="B239" s="251">
        <v>45991</v>
      </c>
      <c r="C239" s="252" t="s">
        <v>458</v>
      </c>
      <c r="D239" s="252"/>
      <c r="E239" s="253">
        <v>129.96</v>
      </c>
      <c r="F239" s="253">
        <v>0</v>
      </c>
      <c r="G239" s="274">
        <f>Tabla3[[#This Row],[INGRESOS]]-Tabla3[[#This Row],[EGRESOS]]</f>
        <v>-129.96</v>
      </c>
      <c r="H239" s="135">
        <f>Tabla3[[#This Row],[SALDO]]+H238</f>
        <v>-12080327.400000004</v>
      </c>
      <c r="I239" s="135">
        <v>1488</v>
      </c>
      <c r="J239" s="136">
        <f>Tabla3[[#This Row],[EGRESOS]]/Tabla3[[#This Row],[TC]]</f>
        <v>8.7338709677419357E-2</v>
      </c>
      <c r="K239" s="136">
        <f>Tabla3[[#This Row],[INGRESOS]]/Tabla3[[#This Row],[TC]]</f>
        <v>0</v>
      </c>
      <c r="L239" s="8" t="s">
        <v>376</v>
      </c>
      <c r="M239" s="8" t="s">
        <v>377</v>
      </c>
      <c r="N239" s="8" t="s">
        <v>25</v>
      </c>
      <c r="O239" s="8" t="s">
        <v>184</v>
      </c>
      <c r="P239" s="8" t="s">
        <v>195</v>
      </c>
      <c r="Q239" s="8" t="s">
        <v>196</v>
      </c>
      <c r="R239" s="8" t="s">
        <v>417</v>
      </c>
      <c r="S239" s="8" t="s">
        <v>383</v>
      </c>
      <c r="T239" s="8"/>
      <c r="U239" s="8" t="s">
        <v>384</v>
      </c>
      <c r="V239" s="8"/>
      <c r="W239" s="8" t="s">
        <v>380</v>
      </c>
      <c r="X239" s="8" t="s">
        <v>99</v>
      </c>
      <c r="Y239" s="8" t="s">
        <v>23</v>
      </c>
    </row>
    <row r="240" spans="1:25" s="7" customFormat="1" hidden="1" x14ac:dyDescent="0.25">
      <c r="A240" s="273" t="str">
        <f t="shared" si="1"/>
        <v>NOVIEMBRE</v>
      </c>
      <c r="B240" s="251">
        <v>45991</v>
      </c>
      <c r="C240" s="252" t="s">
        <v>458</v>
      </c>
      <c r="D240" s="252"/>
      <c r="E240" s="253">
        <v>64.98</v>
      </c>
      <c r="F240" s="253">
        <v>0</v>
      </c>
      <c r="G240" s="274">
        <f>Tabla3[[#This Row],[INGRESOS]]-Tabla3[[#This Row],[EGRESOS]]</f>
        <v>-64.98</v>
      </c>
      <c r="H240" s="135">
        <f>Tabla3[[#This Row],[SALDO]]+H239</f>
        <v>-12080392.380000005</v>
      </c>
      <c r="I240" s="135">
        <v>1488</v>
      </c>
      <c r="J240" s="136">
        <f>Tabla3[[#This Row],[EGRESOS]]/Tabla3[[#This Row],[TC]]</f>
        <v>4.3669354838709679E-2</v>
      </c>
      <c r="K240" s="136">
        <f>Tabla3[[#This Row],[INGRESOS]]/Tabla3[[#This Row],[TC]]</f>
        <v>0</v>
      </c>
      <c r="L240" s="8" t="s">
        <v>376</v>
      </c>
      <c r="M240" s="8" t="s">
        <v>377</v>
      </c>
      <c r="N240" s="8" t="s">
        <v>25</v>
      </c>
      <c r="O240" s="8" t="s">
        <v>184</v>
      </c>
      <c r="P240" s="8" t="s">
        <v>195</v>
      </c>
      <c r="Q240" s="8" t="s">
        <v>196</v>
      </c>
      <c r="R240" s="8" t="s">
        <v>417</v>
      </c>
      <c r="S240" s="8" t="s">
        <v>383</v>
      </c>
      <c r="T240" s="8"/>
      <c r="U240" s="8" t="s">
        <v>384</v>
      </c>
      <c r="V240" s="8"/>
      <c r="W240" s="8" t="s">
        <v>380</v>
      </c>
      <c r="X240" s="8" t="s">
        <v>99</v>
      </c>
      <c r="Y240" s="8" t="s">
        <v>23</v>
      </c>
    </row>
    <row r="241" spans="1:25" s="7" customFormat="1" hidden="1" x14ac:dyDescent="0.25">
      <c r="A241" s="273" t="str">
        <f t="shared" si="1"/>
        <v>NOVIEMBRE</v>
      </c>
      <c r="B241" s="251">
        <v>45991</v>
      </c>
      <c r="C241" s="252" t="s">
        <v>459</v>
      </c>
      <c r="D241" s="252"/>
      <c r="E241" s="253">
        <v>560308.80000000005</v>
      </c>
      <c r="F241" s="253">
        <v>0</v>
      </c>
      <c r="G241" s="274">
        <f>Tabla3[[#This Row],[INGRESOS]]-Tabla3[[#This Row],[EGRESOS]]</f>
        <v>-560308.80000000005</v>
      </c>
      <c r="H241" s="135">
        <f>Tabla3[[#This Row],[SALDO]]+H240</f>
        <v>-12640701.180000005</v>
      </c>
      <c r="I241" s="135">
        <v>1488</v>
      </c>
      <c r="J241" s="136">
        <f>Tabla3[[#This Row],[EGRESOS]]/Tabla3[[#This Row],[TC]]</f>
        <v>376.55161290322582</v>
      </c>
      <c r="K241" s="136">
        <f>Tabla3[[#This Row],[INGRESOS]]/Tabla3[[#This Row],[TC]]</f>
        <v>0</v>
      </c>
      <c r="L241" s="8" t="s">
        <v>376</v>
      </c>
      <c r="M241" s="8" t="s">
        <v>377</v>
      </c>
      <c r="N241" s="8" t="s">
        <v>25</v>
      </c>
      <c r="O241" s="8" t="s">
        <v>184</v>
      </c>
      <c r="P241" s="8" t="s">
        <v>197</v>
      </c>
      <c r="Q241" s="8" t="s">
        <v>198</v>
      </c>
      <c r="R241" s="8"/>
      <c r="S241" s="8"/>
      <c r="T241" s="8"/>
      <c r="U241" s="8" t="s">
        <v>384</v>
      </c>
      <c r="V241" s="8"/>
      <c r="W241" s="8" t="s">
        <v>380</v>
      </c>
      <c r="X241" s="8" t="s">
        <v>99</v>
      </c>
      <c r="Y241" s="8" t="s">
        <v>23</v>
      </c>
    </row>
    <row r="242" spans="1:25" s="7" customFormat="1" hidden="1" x14ac:dyDescent="0.25">
      <c r="A242" s="273" t="str">
        <f t="shared" si="1"/>
        <v>NOVIEMBRE</v>
      </c>
      <c r="B242" s="251">
        <v>45991</v>
      </c>
      <c r="C242" s="252" t="s">
        <v>449</v>
      </c>
      <c r="D242" s="252"/>
      <c r="E242" s="253">
        <v>4278.75</v>
      </c>
      <c r="F242" s="253">
        <v>0</v>
      </c>
      <c r="G242" s="274">
        <f>Tabla3[[#This Row],[INGRESOS]]-Tabla3[[#This Row],[EGRESOS]]</f>
        <v>-4278.75</v>
      </c>
      <c r="H242" s="135">
        <f>Tabla3[[#This Row],[SALDO]]+H241</f>
        <v>-12644979.930000005</v>
      </c>
      <c r="I242" s="135">
        <v>1488</v>
      </c>
      <c r="J242" s="136">
        <f>Tabla3[[#This Row],[EGRESOS]]/Tabla3[[#This Row],[TC]]</f>
        <v>2.8755040322580645</v>
      </c>
      <c r="K242" s="136">
        <f>Tabla3[[#This Row],[INGRESOS]]/Tabla3[[#This Row],[TC]]</f>
        <v>0</v>
      </c>
      <c r="L242" s="8" t="s">
        <v>376</v>
      </c>
      <c r="M242" s="8" t="s">
        <v>377</v>
      </c>
      <c r="N242" s="8" t="s">
        <v>25</v>
      </c>
      <c r="O242" s="8" t="s">
        <v>184</v>
      </c>
      <c r="P242" s="8" t="s">
        <v>195</v>
      </c>
      <c r="Q242" s="8" t="s">
        <v>196</v>
      </c>
      <c r="R242" s="8" t="s">
        <v>382</v>
      </c>
      <c r="S242" s="8"/>
      <c r="T242" s="8"/>
      <c r="U242" s="8" t="s">
        <v>384</v>
      </c>
      <c r="V242" s="8"/>
      <c r="W242" s="8" t="s">
        <v>380</v>
      </c>
      <c r="X242" s="8" t="s">
        <v>99</v>
      </c>
      <c r="Y242" s="8" t="s">
        <v>23</v>
      </c>
    </row>
    <row r="243" spans="1:25" s="7" customFormat="1" hidden="1" x14ac:dyDescent="0.25">
      <c r="A243" s="273" t="str">
        <f t="shared" si="1"/>
        <v>NOVIEMBRE</v>
      </c>
      <c r="B243" s="251">
        <v>45991</v>
      </c>
      <c r="C243" s="252" t="s">
        <v>460</v>
      </c>
      <c r="D243" s="252"/>
      <c r="E243" s="253">
        <v>58832.42</v>
      </c>
      <c r="F243" s="253">
        <v>0</v>
      </c>
      <c r="G243" s="274">
        <f>Tabla3[[#This Row],[INGRESOS]]-Tabla3[[#This Row],[EGRESOS]]</f>
        <v>-58832.42</v>
      </c>
      <c r="H243" s="135">
        <f>Tabla3[[#This Row],[SALDO]]+H242</f>
        <v>-12703812.350000005</v>
      </c>
      <c r="I243" s="135">
        <v>1488</v>
      </c>
      <c r="J243" s="136">
        <f>Tabla3[[#This Row],[EGRESOS]]/Tabla3[[#This Row],[TC]]</f>
        <v>39.537916666666668</v>
      </c>
      <c r="K243" s="136">
        <f>Tabla3[[#This Row],[INGRESOS]]/Tabla3[[#This Row],[TC]]</f>
        <v>0</v>
      </c>
      <c r="L243" s="8" t="s">
        <v>376</v>
      </c>
      <c r="M243" s="8" t="s">
        <v>377</v>
      </c>
      <c r="N243" s="8" t="s">
        <v>25</v>
      </c>
      <c r="O243" s="8" t="s">
        <v>184</v>
      </c>
      <c r="P243" s="8" t="s">
        <v>195</v>
      </c>
      <c r="Q243" s="8" t="s">
        <v>196</v>
      </c>
      <c r="R243" s="8" t="s">
        <v>382</v>
      </c>
      <c r="S243" s="8"/>
      <c r="T243" s="8"/>
      <c r="U243" s="8" t="s">
        <v>384</v>
      </c>
      <c r="V243" s="8"/>
      <c r="W243" s="8" t="s">
        <v>380</v>
      </c>
      <c r="X243" s="8" t="s">
        <v>99</v>
      </c>
      <c r="Y243" s="8" t="s">
        <v>23</v>
      </c>
    </row>
    <row r="244" spans="1:25" s="7" customFormat="1" hidden="1" x14ac:dyDescent="0.25">
      <c r="A244" s="273" t="str">
        <f t="shared" si="1"/>
        <v>NOVIEMBRE</v>
      </c>
      <c r="B244" s="251">
        <v>45991</v>
      </c>
      <c r="C244" s="252" t="s">
        <v>460</v>
      </c>
      <c r="D244" s="252"/>
      <c r="E244" s="253">
        <v>909.71</v>
      </c>
      <c r="F244" s="253">
        <v>0</v>
      </c>
      <c r="G244" s="274">
        <f>Tabla3[[#This Row],[INGRESOS]]-Tabla3[[#This Row],[EGRESOS]]</f>
        <v>-909.71</v>
      </c>
      <c r="H244" s="135">
        <f>Tabla3[[#This Row],[SALDO]]+H243</f>
        <v>-12704722.060000006</v>
      </c>
      <c r="I244" s="135">
        <v>1488</v>
      </c>
      <c r="J244" s="136">
        <f>Tabla3[[#This Row],[EGRESOS]]/Tabla3[[#This Row],[TC]]</f>
        <v>0.61136424731182804</v>
      </c>
      <c r="K244" s="136">
        <f>Tabla3[[#This Row],[INGRESOS]]/Tabla3[[#This Row],[TC]]</f>
        <v>0</v>
      </c>
      <c r="L244" s="8" t="s">
        <v>376</v>
      </c>
      <c r="M244" s="8" t="s">
        <v>377</v>
      </c>
      <c r="N244" s="8" t="s">
        <v>25</v>
      </c>
      <c r="O244" s="8" t="s">
        <v>184</v>
      </c>
      <c r="P244" s="8" t="s">
        <v>195</v>
      </c>
      <c r="Q244" s="8" t="s">
        <v>196</v>
      </c>
      <c r="R244" s="8" t="s">
        <v>382</v>
      </c>
      <c r="S244" s="8"/>
      <c r="T244" s="8"/>
      <c r="U244" s="8" t="s">
        <v>384</v>
      </c>
      <c r="V244" s="8"/>
      <c r="W244" s="8" t="s">
        <v>380</v>
      </c>
      <c r="X244" s="8" t="s">
        <v>99</v>
      </c>
      <c r="Y244" s="8" t="s">
        <v>23</v>
      </c>
    </row>
    <row r="245" spans="1:25" s="7" customFormat="1" hidden="1" x14ac:dyDescent="0.25">
      <c r="A245" s="273" t="str">
        <f t="shared" si="1"/>
        <v>NOVIEMBRE</v>
      </c>
      <c r="B245" s="251">
        <v>45991</v>
      </c>
      <c r="C245" s="252" t="s">
        <v>460</v>
      </c>
      <c r="D245" s="252"/>
      <c r="E245" s="253">
        <v>454.86</v>
      </c>
      <c r="F245" s="253">
        <v>0</v>
      </c>
      <c r="G245" s="274">
        <f>Tabla3[[#This Row],[INGRESOS]]-Tabla3[[#This Row],[EGRESOS]]</f>
        <v>-454.86</v>
      </c>
      <c r="H245" s="135">
        <f>Tabla3[[#This Row],[SALDO]]+H244</f>
        <v>-12705176.920000006</v>
      </c>
      <c r="I245" s="135">
        <v>1488</v>
      </c>
      <c r="J245" s="136">
        <f>Tabla3[[#This Row],[EGRESOS]]/Tabla3[[#This Row],[TC]]</f>
        <v>0.30568548387096778</v>
      </c>
      <c r="K245" s="136">
        <f>Tabla3[[#This Row],[INGRESOS]]/Tabla3[[#This Row],[TC]]</f>
        <v>0</v>
      </c>
      <c r="L245" s="8" t="s">
        <v>376</v>
      </c>
      <c r="M245" s="8" t="s">
        <v>377</v>
      </c>
      <c r="N245" s="8" t="s">
        <v>25</v>
      </c>
      <c r="O245" s="8" t="s">
        <v>184</v>
      </c>
      <c r="P245" s="8" t="s">
        <v>195</v>
      </c>
      <c r="Q245" s="8" t="s">
        <v>196</v>
      </c>
      <c r="R245" s="8" t="s">
        <v>382</v>
      </c>
      <c r="S245" s="8"/>
      <c r="T245" s="8"/>
      <c r="U245" s="8" t="s">
        <v>384</v>
      </c>
      <c r="V245" s="8"/>
      <c r="W245" s="8" t="s">
        <v>380</v>
      </c>
      <c r="X245" s="8" t="s">
        <v>99</v>
      </c>
      <c r="Y245" s="8" t="s">
        <v>23</v>
      </c>
    </row>
    <row r="246" spans="1:25" s="7" customFormat="1" hidden="1" x14ac:dyDescent="0.25">
      <c r="A246" s="273" t="str">
        <f t="shared" si="1"/>
        <v>NOVIEMBRE</v>
      </c>
      <c r="B246" s="251">
        <v>45991</v>
      </c>
      <c r="C246" s="252" t="s">
        <v>461</v>
      </c>
      <c r="D246" s="252"/>
      <c r="E246" s="253">
        <v>4331.97</v>
      </c>
      <c r="F246" s="253">
        <v>0</v>
      </c>
      <c r="G246" s="274">
        <f>Tabla3[[#This Row],[INGRESOS]]-Tabla3[[#This Row],[EGRESOS]]</f>
        <v>-4331.97</v>
      </c>
      <c r="H246" s="135">
        <f>Tabla3[[#This Row],[SALDO]]+H245</f>
        <v>-12709508.890000006</v>
      </c>
      <c r="I246" s="135">
        <v>1488</v>
      </c>
      <c r="J246" s="136">
        <f>Tabla3[[#This Row],[EGRESOS]]/Tabla3[[#This Row],[TC]]</f>
        <v>2.9112701612903229</v>
      </c>
      <c r="K246" s="136">
        <f>Tabla3[[#This Row],[INGRESOS]]/Tabla3[[#This Row],[TC]]</f>
        <v>0</v>
      </c>
      <c r="L246" s="8" t="s">
        <v>376</v>
      </c>
      <c r="M246" s="8" t="s">
        <v>377</v>
      </c>
      <c r="N246" s="8" t="s">
        <v>25</v>
      </c>
      <c r="O246" s="8" t="s">
        <v>184</v>
      </c>
      <c r="P246" s="8" t="s">
        <v>197</v>
      </c>
      <c r="Q246" s="8" t="s">
        <v>198</v>
      </c>
      <c r="R246" s="8"/>
      <c r="S246" s="8"/>
      <c r="T246" s="8"/>
      <c r="U246" s="8" t="s">
        <v>384</v>
      </c>
      <c r="V246" s="8"/>
      <c r="W246" s="8" t="s">
        <v>380</v>
      </c>
      <c r="X246" s="8" t="s">
        <v>99</v>
      </c>
      <c r="Y246" s="8" t="s">
        <v>23</v>
      </c>
    </row>
    <row r="247" spans="1:25" s="7" customFormat="1" hidden="1" x14ac:dyDescent="0.25">
      <c r="A247" s="273" t="str">
        <f t="shared" si="1"/>
        <v>NOVIEMBRE</v>
      </c>
      <c r="B247" s="251">
        <v>45991</v>
      </c>
      <c r="C247" s="252" t="s">
        <v>273</v>
      </c>
      <c r="D247" s="252"/>
      <c r="E247" s="253">
        <v>10500</v>
      </c>
      <c r="F247" s="253">
        <v>0</v>
      </c>
      <c r="G247" s="274">
        <f>Tabla3[[#This Row],[INGRESOS]]-Tabla3[[#This Row],[EGRESOS]]</f>
        <v>-10500</v>
      </c>
      <c r="H247" s="135">
        <f>Tabla3[[#This Row],[SALDO]]+H246</f>
        <v>-12720008.890000006</v>
      </c>
      <c r="I247" s="135">
        <v>1488</v>
      </c>
      <c r="J247" s="136">
        <f>Tabla3[[#This Row],[EGRESOS]]/Tabla3[[#This Row],[TC]]</f>
        <v>7.056451612903226</v>
      </c>
      <c r="K247" s="136">
        <f>Tabla3[[#This Row],[INGRESOS]]/Tabla3[[#This Row],[TC]]</f>
        <v>0</v>
      </c>
      <c r="L247" s="8" t="s">
        <v>376</v>
      </c>
      <c r="M247" s="8" t="s">
        <v>377</v>
      </c>
      <c r="N247" s="8" t="s">
        <v>25</v>
      </c>
      <c r="O247" s="8" t="s">
        <v>184</v>
      </c>
      <c r="P247" s="8" t="s">
        <v>195</v>
      </c>
      <c r="Q247" s="8" t="s">
        <v>196</v>
      </c>
      <c r="R247" s="8" t="s">
        <v>382</v>
      </c>
      <c r="S247" s="8"/>
      <c r="T247" s="8"/>
      <c r="U247" s="8" t="s">
        <v>384</v>
      </c>
      <c r="V247" s="8"/>
      <c r="W247" s="8" t="s">
        <v>380</v>
      </c>
      <c r="X247" s="8" t="s">
        <v>99</v>
      </c>
      <c r="Y247" s="8" t="s">
        <v>23</v>
      </c>
    </row>
    <row r="248" spans="1:25" s="7" customFormat="1" hidden="1" x14ac:dyDescent="0.25">
      <c r="A248" s="273" t="str">
        <f t="shared" si="1"/>
        <v>NOVIEMBRE</v>
      </c>
      <c r="B248" s="251">
        <v>45991</v>
      </c>
      <c r="C248" s="252" t="s">
        <v>462</v>
      </c>
      <c r="D248" s="252"/>
      <c r="E248" s="253">
        <v>8663.94</v>
      </c>
      <c r="F248" s="253">
        <v>0</v>
      </c>
      <c r="G248" s="274">
        <f>Tabla3[[#This Row],[INGRESOS]]-Tabla3[[#This Row],[EGRESOS]]</f>
        <v>-8663.94</v>
      </c>
      <c r="H248" s="135">
        <f>Tabla3[[#This Row],[SALDO]]+H247</f>
        <v>-12728672.830000006</v>
      </c>
      <c r="I248" s="135">
        <v>1488</v>
      </c>
      <c r="J248" s="136">
        <f>Tabla3[[#This Row],[EGRESOS]]/Tabla3[[#This Row],[TC]]</f>
        <v>5.8225403225806458</v>
      </c>
      <c r="K248" s="136">
        <f>Tabla3[[#This Row],[INGRESOS]]/Tabla3[[#This Row],[TC]]</f>
        <v>0</v>
      </c>
      <c r="L248" s="8" t="s">
        <v>376</v>
      </c>
      <c r="M248" s="8" t="s">
        <v>377</v>
      </c>
      <c r="N248" s="8" t="s">
        <v>25</v>
      </c>
      <c r="O248" s="8" t="s">
        <v>184</v>
      </c>
      <c r="P248" s="8" t="s">
        <v>197</v>
      </c>
      <c r="Q248" s="8" t="s">
        <v>198</v>
      </c>
      <c r="R248" s="8"/>
      <c r="S248" s="8"/>
      <c r="T248" s="8"/>
      <c r="U248" s="8" t="s">
        <v>384</v>
      </c>
      <c r="V248" s="8"/>
      <c r="W248" s="8" t="s">
        <v>380</v>
      </c>
      <c r="X248" s="8" t="s">
        <v>99</v>
      </c>
      <c r="Y248" s="8" t="s">
        <v>23</v>
      </c>
    </row>
    <row r="249" spans="1:25" s="7" customFormat="1" hidden="1" x14ac:dyDescent="0.25">
      <c r="A249" s="273" t="str">
        <f t="shared" si="1"/>
        <v>NOVIEMBRE</v>
      </c>
      <c r="B249" s="251">
        <v>45991</v>
      </c>
      <c r="C249" s="252" t="s">
        <v>463</v>
      </c>
      <c r="D249" s="252"/>
      <c r="E249" s="253">
        <v>8891.4</v>
      </c>
      <c r="F249" s="253">
        <v>0</v>
      </c>
      <c r="G249" s="274">
        <f>Tabla3[[#This Row],[INGRESOS]]-Tabla3[[#This Row],[EGRESOS]]</f>
        <v>-8891.4</v>
      </c>
      <c r="H249" s="135">
        <f>Tabla3[[#This Row],[SALDO]]+H248</f>
        <v>-12737564.230000006</v>
      </c>
      <c r="I249" s="135">
        <v>1488</v>
      </c>
      <c r="J249" s="136">
        <f>Tabla3[[#This Row],[EGRESOS]]/Tabla3[[#This Row],[TC]]</f>
        <v>5.9754032258064518</v>
      </c>
      <c r="K249" s="136">
        <f>Tabla3[[#This Row],[INGRESOS]]/Tabla3[[#This Row],[TC]]</f>
        <v>0</v>
      </c>
      <c r="L249" s="8" t="s">
        <v>376</v>
      </c>
      <c r="M249" s="8" t="s">
        <v>377</v>
      </c>
      <c r="N249" s="8" t="s">
        <v>25</v>
      </c>
      <c r="O249" s="8" t="s">
        <v>184</v>
      </c>
      <c r="P249" s="8" t="s">
        <v>195</v>
      </c>
      <c r="Q249" s="8" t="s">
        <v>196</v>
      </c>
      <c r="R249" s="8" t="s">
        <v>423</v>
      </c>
      <c r="S249" s="8"/>
      <c r="T249" s="8"/>
      <c r="U249" s="8" t="s">
        <v>384</v>
      </c>
      <c r="V249" s="8"/>
      <c r="W249" s="8" t="s">
        <v>380</v>
      </c>
      <c r="X249" s="8" t="s">
        <v>99</v>
      </c>
      <c r="Y249" s="8" t="s">
        <v>23</v>
      </c>
    </row>
    <row r="250" spans="1:25" s="7" customFormat="1" hidden="1" x14ac:dyDescent="0.25">
      <c r="A250" s="273" t="str">
        <f t="shared" si="1"/>
        <v>NOVIEMBRE</v>
      </c>
      <c r="B250" s="251">
        <v>45991</v>
      </c>
      <c r="C250" s="252" t="s">
        <v>463</v>
      </c>
      <c r="D250" s="252"/>
      <c r="E250" s="253">
        <v>133.97999999999999</v>
      </c>
      <c r="F250" s="253">
        <v>0</v>
      </c>
      <c r="G250" s="274">
        <f>Tabla3[[#This Row],[INGRESOS]]-Tabla3[[#This Row],[EGRESOS]]</f>
        <v>-133.97999999999999</v>
      </c>
      <c r="H250" s="135">
        <f>Tabla3[[#This Row],[SALDO]]+H249</f>
        <v>-12737698.210000006</v>
      </c>
      <c r="I250" s="135">
        <v>1488</v>
      </c>
      <c r="J250" s="136">
        <f>Tabla3[[#This Row],[EGRESOS]]/Tabla3[[#This Row],[TC]]</f>
        <v>9.0040322580645149E-2</v>
      </c>
      <c r="K250" s="136">
        <f>Tabla3[[#This Row],[INGRESOS]]/Tabla3[[#This Row],[TC]]</f>
        <v>0</v>
      </c>
      <c r="L250" s="8" t="s">
        <v>376</v>
      </c>
      <c r="M250" s="8" t="s">
        <v>377</v>
      </c>
      <c r="N250" s="8" t="s">
        <v>25</v>
      </c>
      <c r="O250" s="8" t="s">
        <v>184</v>
      </c>
      <c r="P250" s="8" t="s">
        <v>195</v>
      </c>
      <c r="Q250" s="8" t="s">
        <v>196</v>
      </c>
      <c r="R250" s="8" t="s">
        <v>423</v>
      </c>
      <c r="S250" s="8"/>
      <c r="T250" s="8"/>
      <c r="U250" s="8" t="s">
        <v>384</v>
      </c>
      <c r="V250" s="8"/>
      <c r="W250" s="8" t="s">
        <v>380</v>
      </c>
      <c r="X250" s="8" t="s">
        <v>99</v>
      </c>
      <c r="Y250" s="8" t="s">
        <v>23</v>
      </c>
    </row>
    <row r="251" spans="1:25" s="7" customFormat="1" hidden="1" x14ac:dyDescent="0.25">
      <c r="A251" s="273" t="str">
        <f t="shared" si="1"/>
        <v>NOVIEMBRE</v>
      </c>
      <c r="B251" s="251">
        <v>45991</v>
      </c>
      <c r="C251" s="252" t="s">
        <v>424</v>
      </c>
      <c r="D251" s="252"/>
      <c r="E251" s="253">
        <v>50000</v>
      </c>
      <c r="F251" s="253">
        <v>0</v>
      </c>
      <c r="G251" s="274">
        <f>Tabla3[[#This Row],[INGRESOS]]-Tabla3[[#This Row],[EGRESOS]]</f>
        <v>-50000</v>
      </c>
      <c r="H251" s="135">
        <f>Tabla3[[#This Row],[SALDO]]+H250</f>
        <v>-12787698.210000006</v>
      </c>
      <c r="I251" s="135">
        <v>1488</v>
      </c>
      <c r="J251" s="136">
        <f>Tabla3[[#This Row],[EGRESOS]]/Tabla3[[#This Row],[TC]]</f>
        <v>33.602150537634408</v>
      </c>
      <c r="K251" s="136">
        <f>Tabla3[[#This Row],[INGRESOS]]/Tabla3[[#This Row],[TC]]</f>
        <v>0</v>
      </c>
      <c r="L251" s="8" t="s">
        <v>376</v>
      </c>
      <c r="M251" s="8" t="s">
        <v>377</v>
      </c>
      <c r="N251" s="8" t="s">
        <v>25</v>
      </c>
      <c r="O251" s="8" t="s">
        <v>184</v>
      </c>
      <c r="P251" s="8" t="s">
        <v>185</v>
      </c>
      <c r="Q251" s="8" t="s">
        <v>186</v>
      </c>
      <c r="R251" s="8" t="s">
        <v>227</v>
      </c>
      <c r="S251" s="8"/>
      <c r="T251" s="8"/>
      <c r="U251" s="8" t="s">
        <v>384</v>
      </c>
      <c r="V251" s="8"/>
      <c r="W251" s="8" t="s">
        <v>380</v>
      </c>
      <c r="X251" s="8" t="s">
        <v>99</v>
      </c>
      <c r="Y251" s="8" t="s">
        <v>23</v>
      </c>
    </row>
    <row r="252" spans="1:25" s="7" customFormat="1" hidden="1" x14ac:dyDescent="0.25">
      <c r="A252" s="273" t="str">
        <f t="shared" si="1"/>
        <v>NOVIEMBRE</v>
      </c>
      <c r="B252" s="251">
        <v>45991</v>
      </c>
      <c r="C252" s="252" t="s">
        <v>417</v>
      </c>
      <c r="D252" s="252"/>
      <c r="E252" s="253">
        <v>1500</v>
      </c>
      <c r="F252" s="253">
        <v>0</v>
      </c>
      <c r="G252" s="274">
        <f>Tabla3[[#This Row],[INGRESOS]]-Tabla3[[#This Row],[EGRESOS]]</f>
        <v>-1500</v>
      </c>
      <c r="H252" s="135">
        <f>Tabla3[[#This Row],[SALDO]]+H251</f>
        <v>-12789198.210000006</v>
      </c>
      <c r="I252" s="135">
        <v>1488</v>
      </c>
      <c r="J252" s="136">
        <f>Tabla3[[#This Row],[EGRESOS]]/Tabla3[[#This Row],[TC]]</f>
        <v>1.0080645161290323</v>
      </c>
      <c r="K252" s="136">
        <f>Tabla3[[#This Row],[INGRESOS]]/Tabla3[[#This Row],[TC]]</f>
        <v>0</v>
      </c>
      <c r="L252" s="8" t="s">
        <v>376</v>
      </c>
      <c r="M252" s="8" t="s">
        <v>377</v>
      </c>
      <c r="N252" s="8" t="s">
        <v>25</v>
      </c>
      <c r="O252" s="8" t="s">
        <v>184</v>
      </c>
      <c r="P252" s="8" t="s">
        <v>195</v>
      </c>
      <c r="Q252" s="8" t="s">
        <v>196</v>
      </c>
      <c r="R252" s="8" t="s">
        <v>417</v>
      </c>
      <c r="S252" s="8" t="s">
        <v>383</v>
      </c>
      <c r="T252" s="8"/>
      <c r="U252" s="8" t="s">
        <v>384</v>
      </c>
      <c r="V252" s="8"/>
      <c r="W252" s="8" t="s">
        <v>380</v>
      </c>
      <c r="X252" s="8" t="s">
        <v>99</v>
      </c>
      <c r="Y252" s="8" t="s">
        <v>23</v>
      </c>
    </row>
    <row r="253" spans="1:25" s="7" customFormat="1" hidden="1" x14ac:dyDescent="0.25">
      <c r="A253" s="273" t="str">
        <f t="shared" ref="A253:A259" si="2">"DICIEMBRE"</f>
        <v>DICIEMBRE</v>
      </c>
      <c r="B253" s="251">
        <v>45993</v>
      </c>
      <c r="C253" s="252" t="s">
        <v>449</v>
      </c>
      <c r="D253" s="252"/>
      <c r="E253" s="253">
        <v>186</v>
      </c>
      <c r="F253" s="253">
        <v>0</v>
      </c>
      <c r="G253" s="274">
        <f>Tabla3[[#This Row],[INGRESOS]]-Tabla3[[#This Row],[EGRESOS]]</f>
        <v>-186</v>
      </c>
      <c r="H253" s="135">
        <f>Tabla3[[#This Row],[SALDO]]+H252</f>
        <v>-12789384.210000006</v>
      </c>
      <c r="I253" s="135">
        <v>1488</v>
      </c>
      <c r="J253" s="136">
        <f>Tabla3[[#This Row],[EGRESOS]]/Tabla3[[#This Row],[TC]]</f>
        <v>0.125</v>
      </c>
      <c r="K253" s="136">
        <f>Tabla3[[#This Row],[INGRESOS]]/Tabla3[[#This Row],[TC]]</f>
        <v>0</v>
      </c>
      <c r="L253" s="8" t="s">
        <v>376</v>
      </c>
      <c r="M253" s="8" t="s">
        <v>377</v>
      </c>
      <c r="N253" s="8" t="s">
        <v>25</v>
      </c>
      <c r="O253" s="8" t="s">
        <v>184</v>
      </c>
      <c r="P253" s="8" t="s">
        <v>195</v>
      </c>
      <c r="Q253" s="8" t="s">
        <v>196</v>
      </c>
      <c r="R253" s="8" t="s">
        <v>382</v>
      </c>
      <c r="S253" s="8"/>
      <c r="T253" s="8"/>
      <c r="U253" s="8" t="s">
        <v>384</v>
      </c>
      <c r="V253" s="8"/>
      <c r="W253" s="8" t="s">
        <v>380</v>
      </c>
      <c r="X253" s="8" t="s">
        <v>99</v>
      </c>
      <c r="Y253" s="8" t="s">
        <v>23</v>
      </c>
    </row>
    <row r="254" spans="1:25" s="7" customFormat="1" hidden="1" x14ac:dyDescent="0.25">
      <c r="A254" s="273" t="str">
        <f t="shared" si="2"/>
        <v>DICIEMBRE</v>
      </c>
      <c r="B254" s="251">
        <v>45993</v>
      </c>
      <c r="C254" s="252" t="s">
        <v>465</v>
      </c>
      <c r="D254" s="252"/>
      <c r="E254" s="253">
        <v>2300000</v>
      </c>
      <c r="F254" s="253">
        <v>0</v>
      </c>
      <c r="G254" s="274">
        <f>Tabla3[[#This Row],[INGRESOS]]-Tabla3[[#This Row],[EGRESOS]]</f>
        <v>-2300000</v>
      </c>
      <c r="H254" s="135">
        <f>Tabla3[[#This Row],[SALDO]]+H253</f>
        <v>-15089384.210000006</v>
      </c>
      <c r="I254" s="135">
        <v>1488</v>
      </c>
      <c r="J254" s="136">
        <f>Tabla3[[#This Row],[EGRESOS]]/Tabla3[[#This Row],[TC]]</f>
        <v>1545.6989247311828</v>
      </c>
      <c r="K254" s="136">
        <f>Tabla3[[#This Row],[INGRESOS]]/Tabla3[[#This Row],[TC]]</f>
        <v>0</v>
      </c>
      <c r="L254" s="8" t="s">
        <v>376</v>
      </c>
      <c r="M254" s="8" t="s">
        <v>377</v>
      </c>
      <c r="N254" s="8" t="s">
        <v>25</v>
      </c>
      <c r="O254" s="8" t="s">
        <v>244</v>
      </c>
      <c r="P254" s="8" t="s">
        <v>259</v>
      </c>
      <c r="Q254" s="8" t="s">
        <v>260</v>
      </c>
      <c r="R254" s="8" t="s">
        <v>474</v>
      </c>
      <c r="S254" s="8"/>
      <c r="T254" s="8"/>
      <c r="U254" s="8" t="s">
        <v>379</v>
      </c>
      <c r="V254" s="8"/>
      <c r="W254" s="8" t="s">
        <v>380</v>
      </c>
      <c r="X254" s="8"/>
      <c r="Y254" s="8"/>
    </row>
    <row r="255" spans="1:25" s="7" customFormat="1" hidden="1" x14ac:dyDescent="0.25">
      <c r="A255" s="273" t="str">
        <f t="shared" si="2"/>
        <v>DICIEMBRE</v>
      </c>
      <c r="B255" s="251">
        <v>45993</v>
      </c>
      <c r="C255" s="252" t="s">
        <v>273</v>
      </c>
      <c r="D255" s="252"/>
      <c r="E255" s="253">
        <v>5250</v>
      </c>
      <c r="F255" s="253">
        <v>0</v>
      </c>
      <c r="G255" s="274">
        <f>Tabla3[[#This Row],[INGRESOS]]-Tabla3[[#This Row],[EGRESOS]]</f>
        <v>-5250</v>
      </c>
      <c r="H255" s="135">
        <f>Tabla3[[#This Row],[SALDO]]+H254</f>
        <v>-15094634.210000006</v>
      </c>
      <c r="I255" s="135">
        <v>1488</v>
      </c>
      <c r="J255" s="136">
        <f>Tabla3[[#This Row],[EGRESOS]]/Tabla3[[#This Row],[TC]]</f>
        <v>3.528225806451613</v>
      </c>
      <c r="K255" s="136">
        <f>Tabla3[[#This Row],[INGRESOS]]/Tabla3[[#This Row],[TC]]</f>
        <v>0</v>
      </c>
      <c r="L255" s="8" t="s">
        <v>376</v>
      </c>
      <c r="M255" s="8" t="s">
        <v>377</v>
      </c>
      <c r="N255" s="8" t="s">
        <v>25</v>
      </c>
      <c r="O255" s="8" t="s">
        <v>184</v>
      </c>
      <c r="P255" s="8" t="s">
        <v>195</v>
      </c>
      <c r="Q255" s="8" t="s">
        <v>196</v>
      </c>
      <c r="R255" s="8" t="s">
        <v>382</v>
      </c>
      <c r="S255" s="8"/>
      <c r="T255" s="8"/>
      <c r="U255" s="8" t="s">
        <v>384</v>
      </c>
      <c r="V255" s="8"/>
      <c r="W255" s="8" t="s">
        <v>380</v>
      </c>
      <c r="X255" s="8" t="s">
        <v>99</v>
      </c>
      <c r="Y255" s="8" t="s">
        <v>23</v>
      </c>
    </row>
    <row r="256" spans="1:25" s="7" customFormat="1" hidden="1" x14ac:dyDescent="0.25">
      <c r="A256" s="247" t="str">
        <f t="shared" si="2"/>
        <v>DICIEMBRE</v>
      </c>
      <c r="B256" s="248">
        <v>45993</v>
      </c>
      <c r="C256" s="244" t="s">
        <v>486</v>
      </c>
      <c r="D256" s="244"/>
      <c r="E256" s="249">
        <v>25000</v>
      </c>
      <c r="F256" s="249">
        <v>0</v>
      </c>
      <c r="G256" s="266">
        <f>Tabla3[[#This Row],[INGRESOS]]-Tabla3[[#This Row],[EGRESOS]]</f>
        <v>-25000</v>
      </c>
      <c r="H256" s="119">
        <f>Tabla3[[#This Row],[SALDO]]+H255</f>
        <v>-15119634.210000006</v>
      </c>
      <c r="I256" s="119">
        <v>1488</v>
      </c>
      <c r="J256" s="99">
        <f>Tabla3[[#This Row],[EGRESOS]]/Tabla3[[#This Row],[TC]]</f>
        <v>16.801075268817204</v>
      </c>
      <c r="K256" s="99">
        <f>Tabla3[[#This Row],[INGRESOS]]/Tabla3[[#This Row],[TC]]</f>
        <v>0</v>
      </c>
      <c r="L256" s="7" t="s">
        <v>376</v>
      </c>
      <c r="M256" s="7" t="s">
        <v>377</v>
      </c>
      <c r="N256" s="7" t="s">
        <v>25</v>
      </c>
      <c r="O256" s="7" t="s">
        <v>184</v>
      </c>
      <c r="P256" s="7" t="s">
        <v>185</v>
      </c>
      <c r="Q256" s="7" t="s">
        <v>186</v>
      </c>
      <c r="R256" s="7" t="s">
        <v>487</v>
      </c>
      <c r="U256" s="7" t="s">
        <v>384</v>
      </c>
      <c r="W256" s="7" t="s">
        <v>380</v>
      </c>
      <c r="X256" s="7" t="s">
        <v>99</v>
      </c>
      <c r="Y256" s="7" t="s">
        <v>23</v>
      </c>
    </row>
    <row r="257" spans="1:25" s="7" customFormat="1" hidden="1" x14ac:dyDescent="0.25">
      <c r="A257" s="247" t="str">
        <f t="shared" si="2"/>
        <v>DICIEMBRE</v>
      </c>
      <c r="B257" s="248">
        <v>45993</v>
      </c>
      <c r="C257" s="244" t="s">
        <v>417</v>
      </c>
      <c r="D257" s="244"/>
      <c r="E257" s="249">
        <v>750</v>
      </c>
      <c r="F257" s="249">
        <v>0</v>
      </c>
      <c r="G257" s="266">
        <f>Tabla3[[#This Row],[INGRESOS]]-Tabla3[[#This Row],[EGRESOS]]</f>
        <v>-750</v>
      </c>
      <c r="H257" s="119">
        <f>Tabla3[[#This Row],[SALDO]]+H256</f>
        <v>-15120384.210000006</v>
      </c>
      <c r="I257" s="119">
        <v>1488</v>
      </c>
      <c r="J257" s="99">
        <f>Tabla3[[#This Row],[EGRESOS]]/Tabla3[[#This Row],[TC]]</f>
        <v>0.50403225806451613</v>
      </c>
      <c r="K257" s="99">
        <f>Tabla3[[#This Row],[INGRESOS]]/Tabla3[[#This Row],[TC]]</f>
        <v>0</v>
      </c>
      <c r="L257" s="7" t="s">
        <v>376</v>
      </c>
      <c r="M257" s="7" t="s">
        <v>377</v>
      </c>
      <c r="N257" s="7" t="s">
        <v>25</v>
      </c>
      <c r="O257" s="7" t="s">
        <v>184</v>
      </c>
      <c r="P257" s="7" t="s">
        <v>195</v>
      </c>
      <c r="Q257" s="7" t="s">
        <v>196</v>
      </c>
      <c r="R257" s="7" t="s">
        <v>417</v>
      </c>
      <c r="S257" s="7" t="s">
        <v>383</v>
      </c>
      <c r="U257" s="7" t="s">
        <v>384</v>
      </c>
      <c r="W257" s="7" t="s">
        <v>380</v>
      </c>
      <c r="X257" s="7" t="s">
        <v>99</v>
      </c>
      <c r="Y257" s="7" t="s">
        <v>23</v>
      </c>
    </row>
    <row r="258" spans="1:25" s="7" customFormat="1" hidden="1" x14ac:dyDescent="0.25">
      <c r="A258" s="247" t="str">
        <f t="shared" si="2"/>
        <v>DICIEMBRE</v>
      </c>
      <c r="B258" s="248">
        <v>45994</v>
      </c>
      <c r="C258" s="244" t="s">
        <v>465</v>
      </c>
      <c r="D258" s="244"/>
      <c r="E258" s="249">
        <v>1000000</v>
      </c>
      <c r="F258" s="249">
        <v>0</v>
      </c>
      <c r="G258" s="266">
        <f>Tabla3[[#This Row],[INGRESOS]]-Tabla3[[#This Row],[EGRESOS]]</f>
        <v>-1000000</v>
      </c>
      <c r="H258" s="119">
        <f>Tabla3[[#This Row],[SALDO]]+H257</f>
        <v>-16120384.210000006</v>
      </c>
      <c r="I258" s="119">
        <v>1488</v>
      </c>
      <c r="J258" s="99">
        <f>Tabla3[[#This Row],[EGRESOS]]/Tabla3[[#This Row],[TC]]</f>
        <v>672.04301075268813</v>
      </c>
      <c r="K258" s="99">
        <f>Tabla3[[#This Row],[INGRESOS]]/Tabla3[[#This Row],[TC]]</f>
        <v>0</v>
      </c>
      <c r="L258" s="7" t="s">
        <v>376</v>
      </c>
      <c r="M258" s="7" t="s">
        <v>377</v>
      </c>
      <c r="N258" s="7" t="s">
        <v>25</v>
      </c>
      <c r="O258" s="7" t="s">
        <v>244</v>
      </c>
      <c r="P258" s="7" t="s">
        <v>259</v>
      </c>
      <c r="Q258" s="7" t="s">
        <v>260</v>
      </c>
      <c r="R258" s="7" t="s">
        <v>378</v>
      </c>
      <c r="U258" s="7" t="s">
        <v>379</v>
      </c>
      <c r="W258" s="7" t="s">
        <v>380</v>
      </c>
    </row>
    <row r="259" spans="1:25" s="7" customFormat="1" hidden="1" x14ac:dyDescent="0.25">
      <c r="A259" s="247" t="str">
        <f t="shared" si="2"/>
        <v>DICIEMBRE</v>
      </c>
      <c r="B259" s="248">
        <v>45996</v>
      </c>
      <c r="C259" s="244" t="s">
        <v>449</v>
      </c>
      <c r="D259" s="244"/>
      <c r="E259" s="249">
        <v>6678</v>
      </c>
      <c r="F259" s="249">
        <v>0</v>
      </c>
      <c r="G259" s="266">
        <f>Tabla3[[#This Row],[INGRESOS]]-Tabla3[[#This Row],[EGRESOS]]</f>
        <v>-6678</v>
      </c>
      <c r="H259" s="119">
        <f>Tabla3[[#This Row],[SALDO]]+H258</f>
        <v>-16127062.210000006</v>
      </c>
      <c r="I259" s="119">
        <v>1488</v>
      </c>
      <c r="J259" s="99">
        <f>Tabla3[[#This Row],[EGRESOS]]/Tabla3[[#This Row],[TC]]</f>
        <v>4.487903225806452</v>
      </c>
      <c r="K259" s="99">
        <f>Tabla3[[#This Row],[INGRESOS]]/Tabla3[[#This Row],[TC]]</f>
        <v>0</v>
      </c>
      <c r="L259" s="7" t="s">
        <v>376</v>
      </c>
      <c r="M259" s="7" t="s">
        <v>377</v>
      </c>
      <c r="N259" s="7" t="s">
        <v>25</v>
      </c>
      <c r="O259" s="7" t="s">
        <v>184</v>
      </c>
      <c r="P259" s="7" t="s">
        <v>195</v>
      </c>
      <c r="Q259" s="7" t="s">
        <v>196</v>
      </c>
      <c r="R259" s="7" t="s">
        <v>382</v>
      </c>
      <c r="U259" s="7" t="s">
        <v>384</v>
      </c>
      <c r="W259" s="7" t="s">
        <v>380</v>
      </c>
      <c r="X259" s="7" t="s">
        <v>99</v>
      </c>
      <c r="Y259" s="7" t="s">
        <v>23</v>
      </c>
    </row>
    <row r="260" spans="1:25" s="7" customFormat="1" hidden="1" x14ac:dyDescent="0.25">
      <c r="A260" s="273" t="s">
        <v>313</v>
      </c>
      <c r="B260" s="251">
        <v>45722</v>
      </c>
      <c r="C260" s="252" t="s">
        <v>523</v>
      </c>
      <c r="D260" s="252"/>
      <c r="E260" s="253">
        <v>0</v>
      </c>
      <c r="F260" s="253">
        <v>2700000</v>
      </c>
      <c r="G260" s="274">
        <f>Tabla3[[#This Row],[INGRESOS]]-Tabla3[[#This Row],[EGRESOS]]</f>
        <v>2700000</v>
      </c>
      <c r="H260" s="274"/>
      <c r="I260" s="135">
        <v>1140</v>
      </c>
      <c r="J260" s="136">
        <f>Tabla3[[#This Row],[EGRESOS]]/Tabla3[[#This Row],[TC]]</f>
        <v>0</v>
      </c>
      <c r="K260" s="136">
        <f>Tabla3[[#This Row],[INGRESOS]]/Tabla3[[#This Row],[TC]]</f>
        <v>2368.4210526315787</v>
      </c>
      <c r="L260" s="8" t="s">
        <v>376</v>
      </c>
      <c r="M260" s="8" t="s">
        <v>377</v>
      </c>
      <c r="N260" s="8" t="s">
        <v>30</v>
      </c>
      <c r="O260" s="8" t="s">
        <v>184</v>
      </c>
      <c r="P260" s="8" t="s">
        <v>203</v>
      </c>
      <c r="Q260" s="8" t="s">
        <v>204</v>
      </c>
      <c r="R260" s="8"/>
      <c r="S260" s="8" t="s">
        <v>386</v>
      </c>
      <c r="T260" s="8"/>
      <c r="U260" s="8" t="s">
        <v>439</v>
      </c>
      <c r="V260" s="8" t="s">
        <v>386</v>
      </c>
      <c r="W260" s="8" t="s">
        <v>380</v>
      </c>
      <c r="X260" s="8" t="s">
        <v>23</v>
      </c>
      <c r="Y260" s="8" t="s">
        <v>98</v>
      </c>
    </row>
    <row r="261" spans="1:25" s="7" customFormat="1" hidden="1" x14ac:dyDescent="0.25">
      <c r="A261" s="247" t="str">
        <f t="shared" ref="A261:A270" si="3">"DICIEMBRE"</f>
        <v>DICIEMBRE</v>
      </c>
      <c r="B261" s="248">
        <v>45996</v>
      </c>
      <c r="C261" s="244" t="s">
        <v>489</v>
      </c>
      <c r="D261" s="244"/>
      <c r="E261" s="249">
        <v>363000</v>
      </c>
      <c r="F261" s="249">
        <v>0</v>
      </c>
      <c r="G261" s="266">
        <f>Tabla3[[#This Row],[INGRESOS]]-Tabla3[[#This Row],[EGRESOS]]</f>
        <v>-363000</v>
      </c>
      <c r="H261" s="119">
        <f>Tabla3[[#This Row],[SALDO]]+H260</f>
        <v>-363000</v>
      </c>
      <c r="I261" s="119">
        <v>1488</v>
      </c>
      <c r="J261" s="99">
        <f>Tabla3[[#This Row],[EGRESOS]]/Tabla3[[#This Row],[TC]]</f>
        <v>243.95161290322579</v>
      </c>
      <c r="K261" s="99">
        <f>Tabla3[[#This Row],[INGRESOS]]/Tabla3[[#This Row],[TC]]</f>
        <v>0</v>
      </c>
      <c r="L261" s="7" t="s">
        <v>376</v>
      </c>
      <c r="M261" s="7" t="s">
        <v>377</v>
      </c>
      <c r="N261" s="7" t="s">
        <v>25</v>
      </c>
      <c r="O261" s="7" t="s">
        <v>286</v>
      </c>
      <c r="P261" s="7" t="s">
        <v>287</v>
      </c>
      <c r="Q261" s="7" t="s">
        <v>291</v>
      </c>
      <c r="R261" s="7" t="s">
        <v>333</v>
      </c>
      <c r="S261" s="7" t="s">
        <v>490</v>
      </c>
      <c r="T261" s="7" t="s">
        <v>491</v>
      </c>
      <c r="U261" s="7" t="s">
        <v>412</v>
      </c>
      <c r="W261" s="7" t="s">
        <v>380</v>
      </c>
      <c r="X261" s="7" t="s">
        <v>29</v>
      </c>
      <c r="Y261" s="7" t="s">
        <v>23</v>
      </c>
    </row>
    <row r="262" spans="1:25" s="7" customFormat="1" hidden="1" x14ac:dyDescent="0.25">
      <c r="A262" s="247" t="str">
        <f t="shared" si="3"/>
        <v>DICIEMBRE</v>
      </c>
      <c r="B262" s="248">
        <v>46000</v>
      </c>
      <c r="C262" s="244" t="s">
        <v>465</v>
      </c>
      <c r="D262" s="244"/>
      <c r="E262" s="249">
        <v>730000</v>
      </c>
      <c r="F262" s="249">
        <v>0</v>
      </c>
      <c r="G262" s="266">
        <f>Tabla3[[#This Row],[INGRESOS]]-Tabla3[[#This Row],[EGRESOS]]</f>
        <v>-730000</v>
      </c>
      <c r="H262" s="119">
        <v>-19987633.390000001</v>
      </c>
      <c r="I262" s="119">
        <v>1488</v>
      </c>
      <c r="J262" s="99">
        <f>Tabla3[[#This Row],[EGRESOS]]/Tabla3[[#This Row],[TC]]</f>
        <v>490.59139784946234</v>
      </c>
      <c r="K262" s="99">
        <f>Tabla3[[#This Row],[INGRESOS]]/Tabla3[[#This Row],[TC]]</f>
        <v>0</v>
      </c>
      <c r="L262" s="7" t="s">
        <v>376</v>
      </c>
      <c r="M262" s="7" t="s">
        <v>377</v>
      </c>
      <c r="N262" s="7" t="s">
        <v>25</v>
      </c>
      <c r="O262" s="7" t="s">
        <v>244</v>
      </c>
      <c r="P262" s="7" t="s">
        <v>259</v>
      </c>
      <c r="Q262" s="7" t="s">
        <v>260</v>
      </c>
      <c r="R262" s="7" t="s">
        <v>378</v>
      </c>
      <c r="U262" s="7" t="s">
        <v>379</v>
      </c>
      <c r="W262" s="7" t="s">
        <v>380</v>
      </c>
    </row>
    <row r="263" spans="1:25" s="7" customFormat="1" hidden="1" x14ac:dyDescent="0.25">
      <c r="A263" s="247" t="str">
        <f t="shared" si="3"/>
        <v>DICIEMBRE</v>
      </c>
      <c r="B263" s="248">
        <v>46022</v>
      </c>
      <c r="C263" s="244" t="s">
        <v>458</v>
      </c>
      <c r="D263" s="244"/>
      <c r="E263" s="249">
        <v>16323.7</v>
      </c>
      <c r="F263" s="249">
        <v>0</v>
      </c>
      <c r="G263" s="266">
        <f>Tabla3[[#This Row],[INGRESOS]]-Tabla3[[#This Row],[EGRESOS]]</f>
        <v>-16323.7</v>
      </c>
      <c r="H263" s="119">
        <f>Tabla3[[#This Row],[SALDO]]+H262</f>
        <v>-20003957.09</v>
      </c>
      <c r="I263" s="119">
        <v>1488</v>
      </c>
      <c r="J263" s="99">
        <f>Tabla3[[#This Row],[EGRESOS]]/Tabla3[[#This Row],[TC]]</f>
        <v>10.970228494623656</v>
      </c>
      <c r="K263" s="99">
        <f>Tabla3[[#This Row],[INGRESOS]]/Tabla3[[#This Row],[TC]]</f>
        <v>0</v>
      </c>
      <c r="L263" s="7" t="s">
        <v>376</v>
      </c>
      <c r="M263" s="7" t="s">
        <v>377</v>
      </c>
      <c r="N263" s="7" t="s">
        <v>25</v>
      </c>
      <c r="O263" s="7" t="s">
        <v>184</v>
      </c>
      <c r="P263" s="7" t="s">
        <v>195</v>
      </c>
      <c r="Q263" s="7" t="s">
        <v>196</v>
      </c>
      <c r="R263" s="7" t="s">
        <v>417</v>
      </c>
      <c r="S263" s="7" t="s">
        <v>383</v>
      </c>
      <c r="U263" s="7" t="s">
        <v>384</v>
      </c>
      <c r="W263" s="7" t="s">
        <v>380</v>
      </c>
      <c r="X263" s="7" t="s">
        <v>99</v>
      </c>
      <c r="Y263" s="7" t="s">
        <v>23</v>
      </c>
    </row>
    <row r="264" spans="1:25" s="7" customFormat="1" hidden="1" x14ac:dyDescent="0.25">
      <c r="A264" s="267" t="str">
        <f t="shared" si="3"/>
        <v>DICIEMBRE</v>
      </c>
      <c r="B264" s="268">
        <v>46022</v>
      </c>
      <c r="C264" s="269" t="s">
        <v>459</v>
      </c>
      <c r="D264" s="269"/>
      <c r="E264" s="270">
        <v>1088246.5900000001</v>
      </c>
      <c r="F264" s="270">
        <v>0</v>
      </c>
      <c r="G264" s="335">
        <f>Tabla3[[#This Row],[INGRESOS]]-Tabla3[[#This Row],[EGRESOS]]</f>
        <v>-1088246.5900000001</v>
      </c>
      <c r="H264" s="265">
        <f>Tabla3[[#This Row],[SALDO]]+H263</f>
        <v>-21092203.68</v>
      </c>
      <c r="I264" s="265">
        <v>1488</v>
      </c>
      <c r="J264" s="271">
        <f>Tabla3[[#This Row],[EGRESOS]]/Tabla3[[#This Row],[TC]]</f>
        <v>731.34851478494625</v>
      </c>
      <c r="K264" s="271">
        <f>Tabla3[[#This Row],[INGRESOS]]/Tabla3[[#This Row],[TC]]</f>
        <v>0</v>
      </c>
      <c r="L264" s="272" t="s">
        <v>376</v>
      </c>
      <c r="M264" s="272" t="s">
        <v>377</v>
      </c>
      <c r="N264" s="272" t="s">
        <v>25</v>
      </c>
      <c r="O264" s="272" t="s">
        <v>184</v>
      </c>
      <c r="P264" s="272" t="s">
        <v>197</v>
      </c>
      <c r="Q264" s="272" t="s">
        <v>198</v>
      </c>
      <c r="R264" s="272"/>
      <c r="S264" s="272"/>
      <c r="T264" s="272"/>
      <c r="U264" s="272" t="s">
        <v>384</v>
      </c>
      <c r="V264" s="272"/>
      <c r="W264" s="272" t="s">
        <v>380</v>
      </c>
      <c r="X264" s="272" t="s">
        <v>99</v>
      </c>
      <c r="Y264" s="272" t="s">
        <v>23</v>
      </c>
    </row>
    <row r="265" spans="1:25" s="7" customFormat="1" hidden="1" x14ac:dyDescent="0.25">
      <c r="A265" s="267" t="str">
        <f t="shared" si="3"/>
        <v>DICIEMBRE</v>
      </c>
      <c r="B265" s="268">
        <v>46022</v>
      </c>
      <c r="C265" s="269" t="s">
        <v>449</v>
      </c>
      <c r="D265" s="269"/>
      <c r="E265" s="270">
        <v>7804.36</v>
      </c>
      <c r="F265" s="270">
        <v>0</v>
      </c>
      <c r="G265" s="335">
        <f>Tabla3[[#This Row],[INGRESOS]]-Tabla3[[#This Row],[EGRESOS]]</f>
        <v>-7804.36</v>
      </c>
      <c r="H265" s="265">
        <v>-19987632.390000001</v>
      </c>
      <c r="I265" s="265">
        <v>1488</v>
      </c>
      <c r="J265" s="271">
        <f>Tabla3[[#This Row],[EGRESOS]]/Tabla3[[#This Row],[TC]]</f>
        <v>5.2448655913978488</v>
      </c>
      <c r="K265" s="271">
        <f>Tabla3[[#This Row],[INGRESOS]]/Tabla3[[#This Row],[TC]]</f>
        <v>0</v>
      </c>
      <c r="L265" s="272" t="s">
        <v>376</v>
      </c>
      <c r="M265" s="272" t="s">
        <v>377</v>
      </c>
      <c r="N265" s="272" t="s">
        <v>25</v>
      </c>
      <c r="O265" s="272" t="s">
        <v>184</v>
      </c>
      <c r="P265" s="272" t="s">
        <v>195</v>
      </c>
      <c r="Q265" s="272" t="s">
        <v>196</v>
      </c>
      <c r="R265" s="272" t="s">
        <v>382</v>
      </c>
      <c r="S265" s="272"/>
      <c r="T265" s="272"/>
      <c r="U265" s="272" t="s">
        <v>384</v>
      </c>
      <c r="V265" s="272"/>
      <c r="W265" s="272" t="s">
        <v>380</v>
      </c>
      <c r="X265" s="272" t="s">
        <v>99</v>
      </c>
      <c r="Y265" s="272" t="s">
        <v>23</v>
      </c>
    </row>
    <row r="266" spans="1:25" s="7" customFormat="1" hidden="1" x14ac:dyDescent="0.25">
      <c r="A266" s="267" t="str">
        <f t="shared" si="3"/>
        <v>DICIEMBRE</v>
      </c>
      <c r="B266" s="268">
        <v>46022</v>
      </c>
      <c r="C266" s="269" t="s">
        <v>460</v>
      </c>
      <c r="D266" s="269"/>
      <c r="E266" s="270">
        <v>114265.89</v>
      </c>
      <c r="F266" s="270">
        <v>0</v>
      </c>
      <c r="G266" s="335">
        <f>Tabla3[[#This Row],[INGRESOS]]-Tabla3[[#This Row],[EGRESOS]]</f>
        <v>-114265.89</v>
      </c>
      <c r="H266" s="265">
        <f>Tabla3[[#This Row],[SALDO]]+H265</f>
        <v>-20101898.280000001</v>
      </c>
      <c r="I266" s="265">
        <v>1488</v>
      </c>
      <c r="J266" s="271">
        <f>Tabla3[[#This Row],[EGRESOS]]/Tabla3[[#This Row],[TC]]</f>
        <v>76.791592741935489</v>
      </c>
      <c r="K266" s="271">
        <f>Tabla3[[#This Row],[INGRESOS]]/Tabla3[[#This Row],[TC]]</f>
        <v>0</v>
      </c>
      <c r="L266" s="272" t="s">
        <v>376</v>
      </c>
      <c r="M266" s="272" t="s">
        <v>377</v>
      </c>
      <c r="N266" s="272" t="s">
        <v>25</v>
      </c>
      <c r="O266" s="272" t="s">
        <v>184</v>
      </c>
      <c r="P266" s="272" t="s">
        <v>195</v>
      </c>
      <c r="Q266" s="272" t="s">
        <v>196</v>
      </c>
      <c r="R266" s="272" t="s">
        <v>382</v>
      </c>
      <c r="S266" s="272"/>
      <c r="T266" s="272"/>
      <c r="U266" s="272" t="s">
        <v>384</v>
      </c>
      <c r="V266" s="272"/>
      <c r="W266" s="272" t="s">
        <v>380</v>
      </c>
      <c r="X266" s="272" t="s">
        <v>99</v>
      </c>
      <c r="Y266" s="272" t="s">
        <v>23</v>
      </c>
    </row>
    <row r="267" spans="1:25" s="7" customFormat="1" hidden="1" x14ac:dyDescent="0.25">
      <c r="A267" s="267" t="str">
        <f t="shared" si="3"/>
        <v>DICIEMBRE</v>
      </c>
      <c r="B267" s="268">
        <v>46022</v>
      </c>
      <c r="C267" s="269" t="s">
        <v>273</v>
      </c>
      <c r="D267" s="269"/>
      <c r="E267" s="270">
        <v>10500</v>
      </c>
      <c r="F267" s="270">
        <v>0</v>
      </c>
      <c r="G267" s="335">
        <f>Tabla3[[#This Row],[INGRESOS]]-Tabla3[[#This Row],[EGRESOS]]</f>
        <v>-10500</v>
      </c>
      <c r="H267" s="265">
        <f>Tabla3[[#This Row],[SALDO]]+H266</f>
        <v>-20112398.280000001</v>
      </c>
      <c r="I267" s="265">
        <v>1488</v>
      </c>
      <c r="J267" s="271">
        <f>Tabla3[[#This Row],[EGRESOS]]/Tabla3[[#This Row],[TC]]</f>
        <v>7.056451612903226</v>
      </c>
      <c r="K267" s="271">
        <f>Tabla3[[#This Row],[INGRESOS]]/Tabla3[[#This Row],[TC]]</f>
        <v>0</v>
      </c>
      <c r="L267" s="272" t="s">
        <v>376</v>
      </c>
      <c r="M267" s="272" t="s">
        <v>377</v>
      </c>
      <c r="N267" s="272" t="s">
        <v>25</v>
      </c>
      <c r="O267" s="272" t="s">
        <v>184</v>
      </c>
      <c r="P267" s="272" t="s">
        <v>195</v>
      </c>
      <c r="Q267" s="272" t="s">
        <v>196</v>
      </c>
      <c r="R267" s="272" t="s">
        <v>382</v>
      </c>
      <c r="S267" s="272"/>
      <c r="T267" s="272"/>
      <c r="U267" s="272" t="s">
        <v>384</v>
      </c>
      <c r="V267" s="272"/>
      <c r="W267" s="272" t="s">
        <v>380</v>
      </c>
      <c r="X267" s="272" t="s">
        <v>99</v>
      </c>
      <c r="Y267" s="272" t="s">
        <v>23</v>
      </c>
    </row>
    <row r="268" spans="1:25" s="7" customFormat="1" hidden="1" x14ac:dyDescent="0.25">
      <c r="A268" s="267" t="str">
        <f t="shared" si="3"/>
        <v>DICIEMBRE</v>
      </c>
      <c r="B268" s="268">
        <v>46022</v>
      </c>
      <c r="C268" s="269" t="s">
        <v>463</v>
      </c>
      <c r="D268" s="269"/>
      <c r="E268" s="270">
        <v>19889.32</v>
      </c>
      <c r="F268" s="270">
        <v>0</v>
      </c>
      <c r="G268" s="335">
        <f>Tabla3[[#This Row],[INGRESOS]]-Tabla3[[#This Row],[EGRESOS]]</f>
        <v>-19889.32</v>
      </c>
      <c r="H268" s="265">
        <v>-19987631.390000001</v>
      </c>
      <c r="I268" s="265">
        <v>1488</v>
      </c>
      <c r="J268" s="271">
        <f>Tabla3[[#This Row],[EGRESOS]]/Tabla3[[#This Row],[TC]]</f>
        <v>13.366478494623657</v>
      </c>
      <c r="K268" s="271">
        <f>Tabla3[[#This Row],[INGRESOS]]/Tabla3[[#This Row],[TC]]</f>
        <v>0</v>
      </c>
      <c r="L268" s="272" t="s">
        <v>376</v>
      </c>
      <c r="M268" s="272" t="s">
        <v>377</v>
      </c>
      <c r="N268" s="272" t="s">
        <v>25</v>
      </c>
      <c r="O268" s="272" t="s">
        <v>184</v>
      </c>
      <c r="P268" s="272" t="s">
        <v>195</v>
      </c>
      <c r="Q268" s="272" t="s">
        <v>196</v>
      </c>
      <c r="R268" s="272" t="s">
        <v>423</v>
      </c>
      <c r="S268" s="272"/>
      <c r="T268" s="272"/>
      <c r="U268" s="272" t="s">
        <v>384</v>
      </c>
      <c r="V268" s="272"/>
      <c r="W268" s="272" t="s">
        <v>380</v>
      </c>
      <c r="X268" s="272" t="s">
        <v>99</v>
      </c>
      <c r="Y268" s="272" t="s">
        <v>23</v>
      </c>
    </row>
    <row r="269" spans="1:25" s="7" customFormat="1" hidden="1" x14ac:dyDescent="0.25">
      <c r="A269" s="267" t="str">
        <f t="shared" si="3"/>
        <v>DICIEMBRE</v>
      </c>
      <c r="B269" s="268">
        <v>46022</v>
      </c>
      <c r="C269" s="269" t="s">
        <v>424</v>
      </c>
      <c r="D269" s="269"/>
      <c r="E269" s="270">
        <v>50000</v>
      </c>
      <c r="F269" s="270">
        <v>0</v>
      </c>
      <c r="G269" s="335">
        <f>Tabla3[[#This Row],[INGRESOS]]-Tabla3[[#This Row],[EGRESOS]]</f>
        <v>-50000</v>
      </c>
      <c r="H269" s="265">
        <f>Tabla3[[#This Row],[SALDO]]+H268</f>
        <v>-20037631.390000001</v>
      </c>
      <c r="I269" s="265">
        <v>1488</v>
      </c>
      <c r="J269" s="271">
        <f>Tabla3[[#This Row],[EGRESOS]]/Tabla3[[#This Row],[TC]]</f>
        <v>33.602150537634408</v>
      </c>
      <c r="K269" s="271">
        <f>Tabla3[[#This Row],[INGRESOS]]/Tabla3[[#This Row],[TC]]</f>
        <v>0</v>
      </c>
      <c r="L269" s="272" t="s">
        <v>376</v>
      </c>
      <c r="M269" s="272" t="s">
        <v>377</v>
      </c>
      <c r="N269" s="272" t="s">
        <v>25</v>
      </c>
      <c r="O269" s="272" t="s">
        <v>184</v>
      </c>
      <c r="P269" s="272" t="s">
        <v>185</v>
      </c>
      <c r="Q269" s="272" t="s">
        <v>186</v>
      </c>
      <c r="R269" s="272" t="s">
        <v>227</v>
      </c>
      <c r="S269" s="272"/>
      <c r="T269" s="272"/>
      <c r="U269" s="272" t="s">
        <v>384</v>
      </c>
      <c r="V269" s="272"/>
      <c r="W269" s="272" t="s">
        <v>380</v>
      </c>
      <c r="X269" s="272" t="s">
        <v>99</v>
      </c>
      <c r="Y269" s="272" t="s">
        <v>23</v>
      </c>
    </row>
    <row r="270" spans="1:25" s="7" customFormat="1" hidden="1" x14ac:dyDescent="0.25">
      <c r="A270" s="267" t="str">
        <f t="shared" si="3"/>
        <v>DICIEMBRE</v>
      </c>
      <c r="B270" s="268">
        <v>46022</v>
      </c>
      <c r="C270" s="269" t="s">
        <v>417</v>
      </c>
      <c r="D270" s="269"/>
      <c r="E270" s="270">
        <v>1500</v>
      </c>
      <c r="F270" s="270">
        <v>0</v>
      </c>
      <c r="G270" s="335">
        <f>Tabla3[[#This Row],[INGRESOS]]-Tabla3[[#This Row],[EGRESOS]]</f>
        <v>-1500</v>
      </c>
      <c r="H270" s="391">
        <f>Tabla3[[#This Row],[SALDO]]+H269</f>
        <v>-20039131.390000001</v>
      </c>
      <c r="I270" s="265">
        <v>1488</v>
      </c>
      <c r="J270" s="271">
        <f>Tabla3[[#This Row],[EGRESOS]]/Tabla3[[#This Row],[TC]]</f>
        <v>1.0080645161290323</v>
      </c>
      <c r="K270" s="271">
        <f>Tabla3[[#This Row],[INGRESOS]]/Tabla3[[#This Row],[TC]]</f>
        <v>0</v>
      </c>
      <c r="L270" s="272" t="s">
        <v>376</v>
      </c>
      <c r="M270" s="272" t="s">
        <v>377</v>
      </c>
      <c r="N270" s="272" t="s">
        <v>25</v>
      </c>
      <c r="O270" s="272" t="s">
        <v>184</v>
      </c>
      <c r="P270" s="272" t="s">
        <v>195</v>
      </c>
      <c r="Q270" s="272" t="s">
        <v>196</v>
      </c>
      <c r="R270" s="272" t="s">
        <v>382</v>
      </c>
      <c r="S270" s="272"/>
      <c r="T270" s="272"/>
      <c r="U270" s="272" t="s">
        <v>384</v>
      </c>
      <c r="V270" s="272"/>
      <c r="W270" s="272" t="s">
        <v>380</v>
      </c>
      <c r="X270" s="272" t="s">
        <v>99</v>
      </c>
      <c r="Y270" s="272" t="s">
        <v>23</v>
      </c>
    </row>
    <row r="271" spans="1:25" hidden="1" x14ac:dyDescent="0.25">
      <c r="A271" s="247" t="s">
        <v>311</v>
      </c>
      <c r="B271" s="248">
        <v>45659</v>
      </c>
      <c r="C271" s="244" t="s">
        <v>492</v>
      </c>
      <c r="D271" s="244"/>
      <c r="E271" s="249">
        <v>1830361.64</v>
      </c>
      <c r="F271" s="249">
        <v>0</v>
      </c>
      <c r="G271" s="266">
        <f>Tabla3[[#This Row],[INGRESOS]]-Tabla3[[#This Row],[EGRESOS]]</f>
        <v>-1830361.64</v>
      </c>
      <c r="H271" s="265"/>
      <c r="I271" s="135">
        <v>1140</v>
      </c>
      <c r="J271" s="136">
        <f>Tabla3[[#This Row],[EGRESOS]]/Tabla3[[#This Row],[TC]]</f>
        <v>1605.5803859649122</v>
      </c>
      <c r="K271" s="136">
        <f>Tabla3[[#This Row],[INGRESOS]]/Tabla3[[#This Row],[TC]]</f>
        <v>0</v>
      </c>
      <c r="L271" s="8" t="s">
        <v>376</v>
      </c>
      <c r="M271" s="8" t="s">
        <v>377</v>
      </c>
      <c r="N271" s="7" t="s">
        <v>30</v>
      </c>
      <c r="O271" s="7" t="s">
        <v>244</v>
      </c>
      <c r="P271" s="7" t="s">
        <v>38</v>
      </c>
      <c r="Q271" s="7" t="s">
        <v>246</v>
      </c>
      <c r="R271" s="7" t="s">
        <v>493</v>
      </c>
      <c r="S271" s="7" t="s">
        <v>494</v>
      </c>
      <c r="T271" s="7"/>
      <c r="U271" s="7" t="s">
        <v>495</v>
      </c>
      <c r="V271" s="7"/>
      <c r="W271" s="7" t="s">
        <v>399</v>
      </c>
      <c r="X271" s="7" t="s">
        <v>38</v>
      </c>
      <c r="Y271" s="7" t="s">
        <v>23</v>
      </c>
    </row>
    <row r="272" spans="1:25" x14ac:dyDescent="0.25">
      <c r="A272" s="247" t="s">
        <v>311</v>
      </c>
      <c r="B272" s="248">
        <v>45659</v>
      </c>
      <c r="C272" s="244" t="s">
        <v>496</v>
      </c>
      <c r="D272" s="244"/>
      <c r="E272" s="249">
        <v>23400</v>
      </c>
      <c r="F272" s="249">
        <v>0</v>
      </c>
      <c r="G272" s="266">
        <f>Tabla3[[#This Row],[INGRESOS]]-Tabla3[[#This Row],[EGRESOS]]</f>
        <v>-23400</v>
      </c>
      <c r="H272" s="132"/>
      <c r="I272" s="119">
        <v>1140</v>
      </c>
      <c r="J272" s="99">
        <f>Tabla3[[#This Row],[EGRESOS]]/Tabla3[[#This Row],[TC]]</f>
        <v>20.526315789473685</v>
      </c>
      <c r="K272" s="99">
        <f>Tabla3[[#This Row],[INGRESOS]]/Tabla3[[#This Row],[TC]]</f>
        <v>0</v>
      </c>
      <c r="L272" s="7" t="s">
        <v>376</v>
      </c>
      <c r="M272" s="7" t="s">
        <v>377</v>
      </c>
      <c r="N272" s="7" t="s">
        <v>30</v>
      </c>
      <c r="O272" s="7" t="s">
        <v>184</v>
      </c>
      <c r="P272" s="7" t="s">
        <v>185</v>
      </c>
      <c r="Q272" s="7" t="s">
        <v>186</v>
      </c>
      <c r="R272" s="7" t="s">
        <v>227</v>
      </c>
      <c r="S272" s="7"/>
      <c r="T272" s="7"/>
      <c r="U272" s="7" t="s">
        <v>384</v>
      </c>
      <c r="V272" s="7"/>
      <c r="W272" s="7" t="s">
        <v>399</v>
      </c>
      <c r="X272" s="7" t="s">
        <v>99</v>
      </c>
      <c r="Y272" s="7" t="s">
        <v>23</v>
      </c>
    </row>
    <row r="273" spans="1:25" x14ac:dyDescent="0.25">
      <c r="A273" s="247" t="s">
        <v>311</v>
      </c>
      <c r="B273" s="248">
        <v>45659</v>
      </c>
      <c r="C273" s="244" t="s">
        <v>497</v>
      </c>
      <c r="D273" s="244"/>
      <c r="E273" s="249">
        <v>4914</v>
      </c>
      <c r="F273" s="249">
        <v>0</v>
      </c>
      <c r="G273" s="266">
        <f>Tabla3[[#This Row],[INGRESOS]]-Tabla3[[#This Row],[EGRESOS]]</f>
        <v>-4914</v>
      </c>
      <c r="H273" s="132"/>
      <c r="I273" s="119">
        <v>1140</v>
      </c>
      <c r="J273" s="99">
        <f>Tabla3[[#This Row],[EGRESOS]]/Tabla3[[#This Row],[TC]]</f>
        <v>4.310526315789474</v>
      </c>
      <c r="K273" s="99">
        <f>Tabla3[[#This Row],[INGRESOS]]/Tabla3[[#This Row],[TC]]</f>
        <v>0</v>
      </c>
      <c r="L273" s="7" t="s">
        <v>376</v>
      </c>
      <c r="M273" s="7" t="s">
        <v>377</v>
      </c>
      <c r="N273" s="7" t="s">
        <v>30</v>
      </c>
      <c r="O273" s="7" t="s">
        <v>184</v>
      </c>
      <c r="P273" s="7" t="s">
        <v>195</v>
      </c>
      <c r="Q273" s="7" t="s">
        <v>196</v>
      </c>
      <c r="R273" s="7" t="s">
        <v>382</v>
      </c>
      <c r="S273" s="7" t="s">
        <v>383</v>
      </c>
      <c r="T273" s="7"/>
      <c r="U273" s="7" t="s">
        <v>384</v>
      </c>
      <c r="V273" s="7"/>
      <c r="W273" s="7" t="s">
        <v>399</v>
      </c>
      <c r="X273" s="7" t="s">
        <v>99</v>
      </c>
      <c r="Y273" s="7" t="s">
        <v>23</v>
      </c>
    </row>
    <row r="274" spans="1:25" x14ac:dyDescent="0.25">
      <c r="A274" s="247" t="s">
        <v>311</v>
      </c>
      <c r="B274" s="248">
        <v>45659</v>
      </c>
      <c r="C274" s="244" t="s">
        <v>498</v>
      </c>
      <c r="D274" s="244"/>
      <c r="E274" s="249">
        <v>702</v>
      </c>
      <c r="F274" s="249">
        <v>0</v>
      </c>
      <c r="G274" s="266">
        <f>Tabla3[[#This Row],[INGRESOS]]-Tabla3[[#This Row],[EGRESOS]]</f>
        <v>-702</v>
      </c>
      <c r="H274" s="132"/>
      <c r="I274" s="119">
        <v>1140</v>
      </c>
      <c r="J274" s="99">
        <f>Tabla3[[#This Row],[EGRESOS]]/Tabla3[[#This Row],[TC]]</f>
        <v>0.61578947368421055</v>
      </c>
      <c r="K274" s="99">
        <f>Tabla3[[#This Row],[INGRESOS]]/Tabla3[[#This Row],[TC]]</f>
        <v>0</v>
      </c>
      <c r="L274" s="7" t="s">
        <v>376</v>
      </c>
      <c r="M274" s="7" t="s">
        <v>377</v>
      </c>
      <c r="N274" s="7" t="s">
        <v>30</v>
      </c>
      <c r="O274" s="7" t="s">
        <v>184</v>
      </c>
      <c r="P274" s="7" t="s">
        <v>195</v>
      </c>
      <c r="Q274" s="7" t="s">
        <v>196</v>
      </c>
      <c r="R274" s="7" t="s">
        <v>499</v>
      </c>
      <c r="S274" s="7" t="s">
        <v>383</v>
      </c>
      <c r="T274" s="7"/>
      <c r="U274" s="7" t="s">
        <v>384</v>
      </c>
      <c r="V274" s="7"/>
      <c r="W274" s="7" t="s">
        <v>399</v>
      </c>
      <c r="X274" s="7" t="s">
        <v>99</v>
      </c>
      <c r="Y274" s="7" t="s">
        <v>23</v>
      </c>
    </row>
    <row r="275" spans="1:25" x14ac:dyDescent="0.25">
      <c r="A275" s="247" t="s">
        <v>311</v>
      </c>
      <c r="B275" s="248">
        <v>45659</v>
      </c>
      <c r="C275" s="244" t="s">
        <v>500</v>
      </c>
      <c r="D275" s="244"/>
      <c r="E275" s="249">
        <v>10982.17</v>
      </c>
      <c r="F275" s="249">
        <v>0</v>
      </c>
      <c r="G275" s="266">
        <f>Tabla3[[#This Row],[INGRESOS]]-Tabla3[[#This Row],[EGRESOS]]</f>
        <v>-10982.17</v>
      </c>
      <c r="H275" s="132"/>
      <c r="I275" s="119">
        <v>1140</v>
      </c>
      <c r="J275" s="99">
        <f>Tabla3[[#This Row],[EGRESOS]]/Tabla3[[#This Row],[TC]]</f>
        <v>9.6334824561403511</v>
      </c>
      <c r="K275" s="99">
        <f>Tabla3[[#This Row],[INGRESOS]]/Tabla3[[#This Row],[TC]]</f>
        <v>0</v>
      </c>
      <c r="L275" s="7" t="s">
        <v>376</v>
      </c>
      <c r="M275" s="7" t="s">
        <v>377</v>
      </c>
      <c r="N275" s="7" t="s">
        <v>30</v>
      </c>
      <c r="O275" s="7" t="s">
        <v>184</v>
      </c>
      <c r="P275" s="7" t="s">
        <v>195</v>
      </c>
      <c r="Q275" s="7" t="s">
        <v>196</v>
      </c>
      <c r="R275" s="7" t="s">
        <v>394</v>
      </c>
      <c r="S275" s="7" t="s">
        <v>383</v>
      </c>
      <c r="T275" s="7"/>
      <c r="U275" s="7" t="s">
        <v>384</v>
      </c>
      <c r="V275" s="7"/>
      <c r="W275" s="7" t="s">
        <v>399</v>
      </c>
      <c r="X275" s="7" t="s">
        <v>99</v>
      </c>
      <c r="Y275" s="7" t="s">
        <v>23</v>
      </c>
    </row>
    <row r="276" spans="1:25" ht="15.75" x14ac:dyDescent="0.25">
      <c r="A276" s="247" t="s">
        <v>311</v>
      </c>
      <c r="B276" s="248">
        <v>45659</v>
      </c>
      <c r="C276" s="244" t="s">
        <v>500</v>
      </c>
      <c r="D276" s="244"/>
      <c r="E276" s="249">
        <v>140.4</v>
      </c>
      <c r="F276" s="249">
        <v>0</v>
      </c>
      <c r="G276" s="266">
        <f>Tabla3[[#This Row],[INGRESOS]]-Tabla3[[#This Row],[EGRESOS]]</f>
        <v>-140.4</v>
      </c>
      <c r="H276" s="338"/>
      <c r="I276" s="119">
        <v>1140</v>
      </c>
      <c r="J276" s="99">
        <f>Tabla3[[#This Row],[EGRESOS]]/Tabla3[[#This Row],[TC]]</f>
        <v>0.12315789473684211</v>
      </c>
      <c r="K276" s="99">
        <f>Tabla3[[#This Row],[INGRESOS]]/Tabla3[[#This Row],[TC]]</f>
        <v>0</v>
      </c>
      <c r="L276" s="7" t="s">
        <v>376</v>
      </c>
      <c r="M276" s="7" t="s">
        <v>377</v>
      </c>
      <c r="N276" s="7" t="s">
        <v>30</v>
      </c>
      <c r="O276" s="7" t="s">
        <v>184</v>
      </c>
      <c r="P276" s="7" t="s">
        <v>195</v>
      </c>
      <c r="Q276" s="7" t="s">
        <v>196</v>
      </c>
      <c r="R276" s="7" t="s">
        <v>394</v>
      </c>
      <c r="S276" s="7" t="s">
        <v>383</v>
      </c>
      <c r="T276" s="7"/>
      <c r="U276" s="7" t="s">
        <v>384</v>
      </c>
      <c r="V276" s="7"/>
      <c r="W276" s="7" t="s">
        <v>399</v>
      </c>
      <c r="X276" s="7" t="s">
        <v>99</v>
      </c>
      <c r="Y276" s="7" t="s">
        <v>23</v>
      </c>
    </row>
    <row r="277" spans="1:25" x14ac:dyDescent="0.25">
      <c r="A277" s="247" t="s">
        <v>311</v>
      </c>
      <c r="B277" s="248">
        <v>45659</v>
      </c>
      <c r="C277" s="244" t="s">
        <v>500</v>
      </c>
      <c r="D277" s="244"/>
      <c r="E277" s="249">
        <v>29.48</v>
      </c>
      <c r="F277" s="249">
        <v>0</v>
      </c>
      <c r="G277" s="266">
        <f>Tabla3[[#This Row],[INGRESOS]]-Tabla3[[#This Row],[EGRESOS]]</f>
        <v>-29.48</v>
      </c>
      <c r="H277" s="132"/>
      <c r="I277" s="119">
        <v>1140</v>
      </c>
      <c r="J277" s="99">
        <f>Tabla3[[#This Row],[EGRESOS]]/Tabla3[[#This Row],[TC]]</f>
        <v>2.5859649122807016E-2</v>
      </c>
      <c r="K277" s="99">
        <f>Tabla3[[#This Row],[INGRESOS]]/Tabla3[[#This Row],[TC]]</f>
        <v>0</v>
      </c>
      <c r="L277" s="7" t="s">
        <v>376</v>
      </c>
      <c r="M277" s="7" t="s">
        <v>377</v>
      </c>
      <c r="N277" s="7" t="s">
        <v>30</v>
      </c>
      <c r="O277" s="7" t="s">
        <v>184</v>
      </c>
      <c r="P277" s="7" t="s">
        <v>195</v>
      </c>
      <c r="Q277" s="7" t="s">
        <v>196</v>
      </c>
      <c r="R277" s="7" t="s">
        <v>394</v>
      </c>
      <c r="S277" s="7" t="s">
        <v>383</v>
      </c>
      <c r="T277" s="7"/>
      <c r="U277" s="7" t="s">
        <v>384</v>
      </c>
      <c r="V277" s="7"/>
      <c r="W277" s="7" t="s">
        <v>399</v>
      </c>
      <c r="X277" s="7" t="s">
        <v>99</v>
      </c>
      <c r="Y277" s="7" t="s">
        <v>23</v>
      </c>
    </row>
    <row r="278" spans="1:25" x14ac:dyDescent="0.25">
      <c r="A278" s="247" t="s">
        <v>311</v>
      </c>
      <c r="B278" s="248">
        <v>45659</v>
      </c>
      <c r="C278" s="244" t="s">
        <v>500</v>
      </c>
      <c r="D278" s="244"/>
      <c r="E278" s="249">
        <v>4.21</v>
      </c>
      <c r="F278" s="249">
        <v>0</v>
      </c>
      <c r="G278" s="266">
        <f>Tabla3[[#This Row],[INGRESOS]]-Tabla3[[#This Row],[EGRESOS]]</f>
        <v>-4.21</v>
      </c>
      <c r="H278" s="132"/>
      <c r="I278" s="119">
        <v>1140</v>
      </c>
      <c r="J278" s="99">
        <f>Tabla3[[#This Row],[EGRESOS]]/Tabla3[[#This Row],[TC]]</f>
        <v>3.6929824561403508E-3</v>
      </c>
      <c r="K278" s="99">
        <f>Tabla3[[#This Row],[INGRESOS]]/Tabla3[[#This Row],[TC]]</f>
        <v>0</v>
      </c>
      <c r="L278" s="7" t="s">
        <v>376</v>
      </c>
      <c r="M278" s="7" t="s">
        <v>377</v>
      </c>
      <c r="N278" s="7" t="s">
        <v>30</v>
      </c>
      <c r="O278" s="7" t="s">
        <v>184</v>
      </c>
      <c r="P278" s="7" t="s">
        <v>195</v>
      </c>
      <c r="Q278" s="7" t="s">
        <v>196</v>
      </c>
      <c r="R278" s="7" t="s">
        <v>394</v>
      </c>
      <c r="S278" s="7" t="s">
        <v>383</v>
      </c>
      <c r="T278" s="7"/>
      <c r="U278" s="7" t="s">
        <v>384</v>
      </c>
      <c r="V278" s="7"/>
      <c r="W278" s="7" t="s">
        <v>399</v>
      </c>
      <c r="X278" s="7" t="s">
        <v>99</v>
      </c>
      <c r="Y278" s="7" t="s">
        <v>23</v>
      </c>
    </row>
    <row r="279" spans="1:25" hidden="1" x14ac:dyDescent="0.25">
      <c r="A279" s="247" t="s">
        <v>311</v>
      </c>
      <c r="B279" s="248">
        <v>45678</v>
      </c>
      <c r="C279" s="244" t="s">
        <v>501</v>
      </c>
      <c r="D279" s="244"/>
      <c r="E279" s="249">
        <v>534221</v>
      </c>
      <c r="F279" s="249">
        <v>0</v>
      </c>
      <c r="G279" s="266">
        <f>Tabla3[[#This Row],[INGRESOS]]-Tabla3[[#This Row],[EGRESOS]]</f>
        <v>-534221</v>
      </c>
      <c r="H279" s="134"/>
      <c r="I279" s="119">
        <v>1140</v>
      </c>
      <c r="J279" s="99">
        <f>Tabla3[[#This Row],[EGRESOS]]/Tabla3[[#This Row],[TC]]</f>
        <v>468.61491228070173</v>
      </c>
      <c r="K279" s="99">
        <f>Tabla3[[#This Row],[INGRESOS]]/Tabla3[[#This Row],[TC]]</f>
        <v>0</v>
      </c>
      <c r="L279" s="7" t="s">
        <v>376</v>
      </c>
      <c r="M279" s="7" t="s">
        <v>377</v>
      </c>
      <c r="N279" s="7" t="s">
        <v>30</v>
      </c>
      <c r="O279" s="7" t="s">
        <v>286</v>
      </c>
      <c r="P279" s="7" t="s">
        <v>287</v>
      </c>
      <c r="Q279" s="7" t="s">
        <v>289</v>
      </c>
      <c r="R279" s="7" t="s">
        <v>143</v>
      </c>
      <c r="S279" s="7" t="s">
        <v>502</v>
      </c>
      <c r="T279" s="339" t="s">
        <v>503</v>
      </c>
      <c r="U279" s="7" t="s">
        <v>398</v>
      </c>
      <c r="V279" s="7"/>
      <c r="W279" s="7" t="s">
        <v>399</v>
      </c>
      <c r="X279" s="7" t="s">
        <v>29</v>
      </c>
      <c r="Y279" s="7" t="s">
        <v>23</v>
      </c>
    </row>
    <row r="280" spans="1:25" x14ac:dyDescent="0.25">
      <c r="A280" s="247" t="s">
        <v>311</v>
      </c>
      <c r="B280" s="248">
        <v>45678</v>
      </c>
      <c r="C280" s="244" t="s">
        <v>500</v>
      </c>
      <c r="D280" s="244"/>
      <c r="E280" s="249">
        <v>3205.33</v>
      </c>
      <c r="F280" s="249">
        <v>0</v>
      </c>
      <c r="G280" s="266">
        <f>Tabla3[[#This Row],[INGRESOS]]-Tabla3[[#This Row],[EGRESOS]]</f>
        <v>-3205.33</v>
      </c>
      <c r="H280" s="137">
        <v>-2977642.19</v>
      </c>
      <c r="I280" s="119">
        <v>1140</v>
      </c>
      <c r="J280" s="99">
        <f>Tabla3[[#This Row],[EGRESOS]]/Tabla3[[#This Row],[TC]]</f>
        <v>2.8116929824561403</v>
      </c>
      <c r="K280" s="99">
        <f>Tabla3[[#This Row],[INGRESOS]]/Tabla3[[#This Row],[TC]]</f>
        <v>0</v>
      </c>
      <c r="L280" s="7" t="s">
        <v>376</v>
      </c>
      <c r="M280" s="7" t="s">
        <v>377</v>
      </c>
      <c r="N280" s="7" t="s">
        <v>30</v>
      </c>
      <c r="O280" s="7" t="s">
        <v>184</v>
      </c>
      <c r="P280" s="7" t="s">
        <v>195</v>
      </c>
      <c r="Q280" s="7" t="s">
        <v>196</v>
      </c>
      <c r="R280" s="7" t="s">
        <v>394</v>
      </c>
      <c r="S280" s="7" t="s">
        <v>383</v>
      </c>
      <c r="T280" s="7"/>
      <c r="U280" s="7" t="s">
        <v>384</v>
      </c>
      <c r="V280" s="7"/>
      <c r="W280" s="7" t="s">
        <v>399</v>
      </c>
      <c r="X280" s="7" t="s">
        <v>99</v>
      </c>
      <c r="Y280" s="7" t="s">
        <v>23</v>
      </c>
    </row>
    <row r="281" spans="1:25" hidden="1" x14ac:dyDescent="0.25">
      <c r="A281" s="247" t="s">
        <v>311</v>
      </c>
      <c r="B281" s="248">
        <v>45680</v>
      </c>
      <c r="C281" s="244" t="s">
        <v>404</v>
      </c>
      <c r="D281" s="244"/>
      <c r="E281" s="249">
        <v>0</v>
      </c>
      <c r="F281" s="249">
        <v>3000000</v>
      </c>
      <c r="G281" s="266">
        <f>Tabla3[[#This Row],[INGRESOS]]-Tabla3[[#This Row],[EGRESOS]]</f>
        <v>3000000</v>
      </c>
      <c r="H281" s="137">
        <v>19152.400000000001</v>
      </c>
      <c r="I281" s="135">
        <v>1140</v>
      </c>
      <c r="J281" s="136">
        <f>Tabla3[[#This Row],[EGRESOS]]/Tabla3[[#This Row],[TC]]</f>
        <v>0</v>
      </c>
      <c r="K281" s="136">
        <f>Tabla3[[#This Row],[INGRESOS]]/Tabla3[[#This Row],[TC]]</f>
        <v>2631.5789473684213</v>
      </c>
      <c r="L281" s="8" t="s">
        <v>376</v>
      </c>
      <c r="M281" s="8" t="s">
        <v>377</v>
      </c>
      <c r="N281" s="7" t="s">
        <v>30</v>
      </c>
      <c r="O281" s="7" t="s">
        <v>244</v>
      </c>
      <c r="P281" s="7" t="s">
        <v>259</v>
      </c>
      <c r="Q281" s="7" t="s">
        <v>260</v>
      </c>
      <c r="R281" s="7" t="s">
        <v>405</v>
      </c>
      <c r="S281" s="7"/>
      <c r="T281" s="7"/>
      <c r="U281" s="7" t="s">
        <v>379</v>
      </c>
      <c r="V281" s="7"/>
      <c r="W281" s="7" t="s">
        <v>380</v>
      </c>
      <c r="X281" s="7"/>
      <c r="Y281" s="7"/>
    </row>
    <row r="282" spans="1:25" hidden="1" x14ac:dyDescent="0.25">
      <c r="A282" s="247" t="s">
        <v>311</v>
      </c>
      <c r="B282" s="248">
        <v>45681</v>
      </c>
      <c r="C282" s="244" t="s">
        <v>504</v>
      </c>
      <c r="D282" s="244"/>
      <c r="E282" s="249">
        <v>1000000</v>
      </c>
      <c r="F282" s="249">
        <v>0</v>
      </c>
      <c r="G282" s="266">
        <f>Tabla3[[#This Row],[INGRESOS]]-Tabla3[[#This Row],[EGRESOS]]</f>
        <v>-1000000</v>
      </c>
      <c r="H282" s="134"/>
      <c r="I282" s="119">
        <v>1140</v>
      </c>
      <c r="J282" s="99">
        <f>Tabla3[[#This Row],[EGRESOS]]/Tabla3[[#This Row],[TC]]</f>
        <v>877.19298245614038</v>
      </c>
      <c r="K282" s="99">
        <f>Tabla3[[#This Row],[INGRESOS]]/Tabla3[[#This Row],[TC]]</f>
        <v>0</v>
      </c>
      <c r="L282" s="7" t="s">
        <v>376</v>
      </c>
      <c r="M282" s="7" t="s">
        <v>377</v>
      </c>
      <c r="N282" s="7" t="s">
        <v>30</v>
      </c>
      <c r="O282" s="7" t="s">
        <v>225</v>
      </c>
      <c r="P282" s="7" t="s">
        <v>226</v>
      </c>
      <c r="Q282" s="7" t="s">
        <v>228</v>
      </c>
      <c r="R282" s="7"/>
      <c r="S282" s="7" t="s">
        <v>505</v>
      </c>
      <c r="T282" s="7"/>
      <c r="U282" s="7" t="s">
        <v>403</v>
      </c>
      <c r="V282" s="7"/>
      <c r="W282" s="7" t="s">
        <v>380</v>
      </c>
      <c r="X282" s="7" t="s">
        <v>50</v>
      </c>
      <c r="Y282" s="7" t="s">
        <v>23</v>
      </c>
    </row>
    <row r="283" spans="1:25" hidden="1" x14ac:dyDescent="0.25">
      <c r="A283" s="247" t="s">
        <v>311</v>
      </c>
      <c r="B283" s="248">
        <v>45681</v>
      </c>
      <c r="C283" s="244" t="s">
        <v>504</v>
      </c>
      <c r="D283" s="244"/>
      <c r="E283" s="249">
        <v>700000</v>
      </c>
      <c r="F283" s="249">
        <v>0</v>
      </c>
      <c r="G283" s="266">
        <f>Tabla3[[#This Row],[INGRESOS]]-Tabla3[[#This Row],[EGRESOS]]</f>
        <v>-700000</v>
      </c>
      <c r="H283" s="134"/>
      <c r="I283" s="119">
        <v>1140</v>
      </c>
      <c r="J283" s="99">
        <f>Tabla3[[#This Row],[EGRESOS]]/Tabla3[[#This Row],[TC]]</f>
        <v>614.03508771929819</v>
      </c>
      <c r="K283" s="99">
        <f>Tabla3[[#This Row],[INGRESOS]]/Tabla3[[#This Row],[TC]]</f>
        <v>0</v>
      </c>
      <c r="L283" s="7" t="s">
        <v>376</v>
      </c>
      <c r="M283" s="7" t="s">
        <v>377</v>
      </c>
      <c r="N283" s="7" t="s">
        <v>30</v>
      </c>
      <c r="O283" s="7" t="s">
        <v>215</v>
      </c>
      <c r="P283" s="7" t="s">
        <v>216</v>
      </c>
      <c r="Q283" s="7" t="s">
        <v>220</v>
      </c>
      <c r="R283" s="7" t="s">
        <v>330</v>
      </c>
      <c r="S283" s="7" t="s">
        <v>402</v>
      </c>
      <c r="T283" s="7"/>
      <c r="U283" s="7" t="s">
        <v>403</v>
      </c>
      <c r="V283" s="7"/>
      <c r="W283" s="7" t="s">
        <v>380</v>
      </c>
      <c r="X283" s="7" t="s">
        <v>29</v>
      </c>
      <c r="Y283" s="7" t="s">
        <v>23</v>
      </c>
    </row>
    <row r="284" spans="1:25" x14ac:dyDescent="0.25">
      <c r="A284" s="247" t="s">
        <v>311</v>
      </c>
      <c r="B284" s="248">
        <v>45681</v>
      </c>
      <c r="C284" s="244" t="s">
        <v>504</v>
      </c>
      <c r="D284" s="244"/>
      <c r="E284" s="249">
        <v>23371.439999999999</v>
      </c>
      <c r="F284" s="249">
        <v>0</v>
      </c>
      <c r="G284" s="266">
        <f>Tabla3[[#This Row],[INGRESOS]]-Tabla3[[#This Row],[EGRESOS]]</f>
        <v>-23371.439999999999</v>
      </c>
      <c r="H284" s="134"/>
      <c r="I284" s="119">
        <v>1140</v>
      </c>
      <c r="J284" s="99">
        <f>Tabla3[[#This Row],[EGRESOS]]/Tabla3[[#This Row],[TC]]</f>
        <v>20.501263157894737</v>
      </c>
      <c r="K284" s="99">
        <f>Tabla3[[#This Row],[INGRESOS]]/Tabla3[[#This Row],[TC]]</f>
        <v>0</v>
      </c>
      <c r="L284" s="7" t="s">
        <v>376</v>
      </c>
      <c r="M284" s="7" t="s">
        <v>377</v>
      </c>
      <c r="N284" s="7" t="s">
        <v>30</v>
      </c>
      <c r="O284" s="7" t="s">
        <v>184</v>
      </c>
      <c r="P284" s="7" t="s">
        <v>199</v>
      </c>
      <c r="Q284" s="7" t="s">
        <v>201</v>
      </c>
      <c r="R284" s="7" t="s">
        <v>506</v>
      </c>
      <c r="S284" s="7" t="s">
        <v>389</v>
      </c>
      <c r="T284" s="7"/>
      <c r="U284" s="7" t="s">
        <v>390</v>
      </c>
      <c r="V284" s="7"/>
      <c r="W284" s="7" t="s">
        <v>380</v>
      </c>
      <c r="X284" s="7" t="s">
        <v>99</v>
      </c>
      <c r="Y284" s="7" t="s">
        <v>23</v>
      </c>
    </row>
    <row r="285" spans="1:25" hidden="1" x14ac:dyDescent="0.25">
      <c r="A285" s="273" t="s">
        <v>313</v>
      </c>
      <c r="B285" s="251">
        <v>45723</v>
      </c>
      <c r="C285" s="252" t="s">
        <v>523</v>
      </c>
      <c r="D285" s="252"/>
      <c r="E285" s="253">
        <v>0</v>
      </c>
      <c r="F285" s="253">
        <v>1200000</v>
      </c>
      <c r="G285" s="274">
        <f>Tabla3[[#This Row],[INGRESOS]]-Tabla3[[#This Row],[EGRESOS]]</f>
        <v>1200000</v>
      </c>
      <c r="H285" s="274"/>
      <c r="I285" s="135">
        <v>1140</v>
      </c>
      <c r="J285" s="136">
        <f>Tabla3[[#This Row],[EGRESOS]]/Tabla3[[#This Row],[TC]]</f>
        <v>0</v>
      </c>
      <c r="K285" s="136">
        <f>Tabla3[[#This Row],[INGRESOS]]/Tabla3[[#This Row],[TC]]</f>
        <v>1052.6315789473683</v>
      </c>
      <c r="L285" s="8" t="s">
        <v>376</v>
      </c>
      <c r="M285" s="8" t="s">
        <v>377</v>
      </c>
      <c r="N285" s="8" t="s">
        <v>30</v>
      </c>
      <c r="O285" s="8" t="s">
        <v>184</v>
      </c>
      <c r="P285" s="8" t="s">
        <v>203</v>
      </c>
      <c r="Q285" s="8" t="s">
        <v>204</v>
      </c>
      <c r="R285" s="8" t="s">
        <v>526</v>
      </c>
      <c r="S285" s="8" t="s">
        <v>386</v>
      </c>
      <c r="T285" s="8"/>
      <c r="U285" s="8" t="s">
        <v>439</v>
      </c>
      <c r="V285" s="8" t="s">
        <v>386</v>
      </c>
      <c r="W285" s="8" t="s">
        <v>380</v>
      </c>
      <c r="X285" s="8" t="s">
        <v>23</v>
      </c>
      <c r="Y285" s="8" t="s">
        <v>98</v>
      </c>
    </row>
    <row r="286" spans="1:25" x14ac:dyDescent="0.25">
      <c r="A286" s="247" t="s">
        <v>311</v>
      </c>
      <c r="B286" s="248">
        <v>45681</v>
      </c>
      <c r="C286" s="244" t="s">
        <v>500</v>
      </c>
      <c r="D286" s="244"/>
      <c r="E286" s="249">
        <v>10500</v>
      </c>
      <c r="F286" s="249">
        <v>0</v>
      </c>
      <c r="G286" s="266">
        <f>Tabla3[[#This Row],[INGRESOS]]-Tabla3[[#This Row],[EGRESOS]]</f>
        <v>-10500</v>
      </c>
      <c r="H286" s="137">
        <v>-1822212.88</v>
      </c>
      <c r="I286" s="119">
        <v>1140</v>
      </c>
      <c r="J286" s="99">
        <f>Tabla3[[#This Row],[EGRESOS]]/Tabla3[[#This Row],[TC]]</f>
        <v>9.2105263157894743</v>
      </c>
      <c r="K286" s="99">
        <f>Tabla3[[#This Row],[INGRESOS]]/Tabla3[[#This Row],[TC]]</f>
        <v>0</v>
      </c>
      <c r="L286" s="7" t="s">
        <v>376</v>
      </c>
      <c r="M286" s="7" t="s">
        <v>377</v>
      </c>
      <c r="N286" s="7" t="s">
        <v>30</v>
      </c>
      <c r="O286" s="7" t="s">
        <v>184</v>
      </c>
      <c r="P286" s="7" t="s">
        <v>195</v>
      </c>
      <c r="Q286" s="7" t="s">
        <v>196</v>
      </c>
      <c r="R286" s="7" t="s">
        <v>394</v>
      </c>
      <c r="S286" s="7" t="s">
        <v>383</v>
      </c>
      <c r="T286" s="7"/>
      <c r="U286" s="7" t="s">
        <v>384</v>
      </c>
      <c r="V286" s="7"/>
      <c r="W286" s="7" t="s">
        <v>380</v>
      </c>
      <c r="X286" s="7" t="s">
        <v>99</v>
      </c>
      <c r="Y286" s="7" t="s">
        <v>23</v>
      </c>
    </row>
    <row r="287" spans="1:25" x14ac:dyDescent="0.25">
      <c r="A287" s="247" t="s">
        <v>311</v>
      </c>
      <c r="B287" s="248">
        <v>45685</v>
      </c>
      <c r="C287" s="244" t="s">
        <v>443</v>
      </c>
      <c r="D287" s="244"/>
      <c r="E287" s="249">
        <v>80865.36</v>
      </c>
      <c r="F287" s="249">
        <v>0</v>
      </c>
      <c r="G287" s="266">
        <f>Tabla3[[#This Row],[INGRESOS]]-Tabla3[[#This Row],[EGRESOS]]</f>
        <v>-80865.36</v>
      </c>
      <c r="H287" s="137"/>
      <c r="I287" s="119">
        <v>1140</v>
      </c>
      <c r="J287" s="99">
        <f>Tabla3[[#This Row],[EGRESOS]]/Tabla3[[#This Row],[TC]]</f>
        <v>70.934526315789469</v>
      </c>
      <c r="K287" s="99">
        <f>Tabla3[[#This Row],[INGRESOS]]/Tabla3[[#This Row],[TC]]</f>
        <v>0</v>
      </c>
      <c r="L287" s="7" t="s">
        <v>376</v>
      </c>
      <c r="M287" s="7" t="s">
        <v>377</v>
      </c>
      <c r="N287" s="7" t="s">
        <v>30</v>
      </c>
      <c r="O287" s="7" t="s">
        <v>184</v>
      </c>
      <c r="P287" s="7" t="s">
        <v>197</v>
      </c>
      <c r="Q287" s="7" t="s">
        <v>198</v>
      </c>
      <c r="R287" s="7" t="s">
        <v>419</v>
      </c>
      <c r="S287" s="7"/>
      <c r="T287" s="7"/>
      <c r="U287" s="7" t="s">
        <v>384</v>
      </c>
      <c r="V287" s="7"/>
      <c r="W287" s="7" t="s">
        <v>380</v>
      </c>
      <c r="X287" s="7" t="s">
        <v>99</v>
      </c>
      <c r="Y287" s="7" t="s">
        <v>23</v>
      </c>
    </row>
    <row r="288" spans="1:25" x14ac:dyDescent="0.25">
      <c r="A288" s="247" t="s">
        <v>311</v>
      </c>
      <c r="B288" s="248">
        <v>45685</v>
      </c>
      <c r="C288" s="244" t="s">
        <v>500</v>
      </c>
      <c r="D288" s="244"/>
      <c r="E288" s="249">
        <v>485.19</v>
      </c>
      <c r="F288" s="249">
        <v>0</v>
      </c>
      <c r="G288" s="266">
        <f>Tabla3[[#This Row],[INGRESOS]]-Tabla3[[#This Row],[EGRESOS]]</f>
        <v>-485.19</v>
      </c>
      <c r="H288" s="137">
        <v>-1822212.88</v>
      </c>
      <c r="I288" s="119">
        <v>1140</v>
      </c>
      <c r="J288" s="99">
        <f>Tabla3[[#This Row],[EGRESOS]]/Tabla3[[#This Row],[TC]]</f>
        <v>0.42560526315789471</v>
      </c>
      <c r="K288" s="99">
        <f>Tabla3[[#This Row],[INGRESOS]]/Tabla3[[#This Row],[TC]]</f>
        <v>0</v>
      </c>
      <c r="L288" s="7" t="s">
        <v>376</v>
      </c>
      <c r="M288" s="7" t="s">
        <v>377</v>
      </c>
      <c r="N288" s="7" t="s">
        <v>30</v>
      </c>
      <c r="O288" s="7" t="s">
        <v>184</v>
      </c>
      <c r="P288" s="7" t="s">
        <v>195</v>
      </c>
      <c r="Q288" s="7" t="s">
        <v>196</v>
      </c>
      <c r="R288" s="7" t="s">
        <v>394</v>
      </c>
      <c r="S288" s="7" t="s">
        <v>383</v>
      </c>
      <c r="T288" s="7"/>
      <c r="U288" s="7" t="s">
        <v>384</v>
      </c>
      <c r="V288" s="7"/>
      <c r="W288" s="7" t="s">
        <v>380</v>
      </c>
      <c r="X288" s="7" t="s">
        <v>99</v>
      </c>
      <c r="Y288" s="7" t="s">
        <v>23</v>
      </c>
    </row>
    <row r="289" spans="1:25" hidden="1" x14ac:dyDescent="0.25">
      <c r="A289" s="247" t="s">
        <v>312</v>
      </c>
      <c r="B289" s="248">
        <v>45691</v>
      </c>
      <c r="C289" s="244" t="s">
        <v>496</v>
      </c>
      <c r="D289" s="244"/>
      <c r="E289" s="249">
        <v>23400</v>
      </c>
      <c r="F289" s="249">
        <v>0</v>
      </c>
      <c r="G289" s="266">
        <f>Tabla3[[#This Row],[INGRESOS]]-Tabla3[[#This Row],[EGRESOS]]</f>
        <v>-23400</v>
      </c>
      <c r="H289" s="137"/>
      <c r="I289" s="119">
        <v>1140</v>
      </c>
      <c r="J289" s="99">
        <f>Tabla3[[#This Row],[EGRESOS]]/Tabla3[[#This Row],[TC]]</f>
        <v>20.526315789473685</v>
      </c>
      <c r="K289" s="99">
        <f>Tabla3[[#This Row],[INGRESOS]]/Tabla3[[#This Row],[TC]]</f>
        <v>0</v>
      </c>
      <c r="L289" s="7" t="s">
        <v>376</v>
      </c>
      <c r="M289" s="7" t="s">
        <v>377</v>
      </c>
      <c r="N289" s="7" t="s">
        <v>30</v>
      </c>
      <c r="O289" s="7" t="s">
        <v>184</v>
      </c>
      <c r="P289" s="7" t="s">
        <v>185</v>
      </c>
      <c r="Q289" s="7" t="s">
        <v>186</v>
      </c>
      <c r="R289" s="7" t="s">
        <v>227</v>
      </c>
      <c r="S289" s="7"/>
      <c r="T289" s="7"/>
      <c r="U289" s="7" t="s">
        <v>384</v>
      </c>
      <c r="V289" s="7"/>
      <c r="W289" s="7" t="s">
        <v>380</v>
      </c>
      <c r="X289" s="7" t="s">
        <v>99</v>
      </c>
      <c r="Y289" s="7" t="s">
        <v>23</v>
      </c>
    </row>
    <row r="290" spans="1:25" hidden="1" x14ac:dyDescent="0.25">
      <c r="A290" s="247" t="s">
        <v>312</v>
      </c>
      <c r="B290" s="248">
        <v>45691</v>
      </c>
      <c r="C290" s="244" t="s">
        <v>497</v>
      </c>
      <c r="D290" s="244"/>
      <c r="E290" s="249">
        <v>4914</v>
      </c>
      <c r="F290" s="249">
        <v>0</v>
      </c>
      <c r="G290" s="266">
        <f>Tabla3[[#This Row],[INGRESOS]]-Tabla3[[#This Row],[EGRESOS]]</f>
        <v>-4914</v>
      </c>
      <c r="H290" s="137"/>
      <c r="I290" s="119">
        <v>1140</v>
      </c>
      <c r="J290" s="99">
        <f>Tabla3[[#This Row],[EGRESOS]]/Tabla3[[#This Row],[TC]]</f>
        <v>4.310526315789474</v>
      </c>
      <c r="K290" s="99">
        <f>Tabla3[[#This Row],[INGRESOS]]/Tabla3[[#This Row],[TC]]</f>
        <v>0</v>
      </c>
      <c r="L290" s="7" t="s">
        <v>376</v>
      </c>
      <c r="M290" s="7" t="s">
        <v>377</v>
      </c>
      <c r="N290" s="7" t="s">
        <v>30</v>
      </c>
      <c r="O290" s="7" t="s">
        <v>184</v>
      </c>
      <c r="P290" s="7" t="s">
        <v>195</v>
      </c>
      <c r="Q290" s="7" t="s">
        <v>196</v>
      </c>
      <c r="R290" s="7" t="s">
        <v>382</v>
      </c>
      <c r="S290" s="7" t="s">
        <v>383</v>
      </c>
      <c r="T290" s="7"/>
      <c r="U290" s="7" t="s">
        <v>384</v>
      </c>
      <c r="V290" s="7"/>
      <c r="W290" s="7" t="s">
        <v>380</v>
      </c>
      <c r="X290" s="7" t="s">
        <v>99</v>
      </c>
      <c r="Y290" s="7" t="s">
        <v>23</v>
      </c>
    </row>
    <row r="291" spans="1:25" hidden="1" x14ac:dyDescent="0.25">
      <c r="A291" s="247" t="s">
        <v>312</v>
      </c>
      <c r="B291" s="248">
        <v>45691</v>
      </c>
      <c r="C291" s="244" t="s">
        <v>498</v>
      </c>
      <c r="D291" s="244"/>
      <c r="E291" s="249">
        <v>702</v>
      </c>
      <c r="F291" s="249">
        <v>0</v>
      </c>
      <c r="G291" s="266">
        <f>Tabla3[[#This Row],[INGRESOS]]-Tabla3[[#This Row],[EGRESOS]]</f>
        <v>-702</v>
      </c>
      <c r="H291" s="137"/>
      <c r="I291" s="119">
        <v>1140</v>
      </c>
      <c r="J291" s="99">
        <f>Tabla3[[#This Row],[EGRESOS]]/Tabla3[[#This Row],[TC]]</f>
        <v>0.61578947368421055</v>
      </c>
      <c r="K291" s="99">
        <f>Tabla3[[#This Row],[INGRESOS]]/Tabla3[[#This Row],[TC]]</f>
        <v>0</v>
      </c>
      <c r="L291" s="7" t="s">
        <v>376</v>
      </c>
      <c r="M291" s="7" t="s">
        <v>377</v>
      </c>
      <c r="N291" s="7" t="s">
        <v>30</v>
      </c>
      <c r="O291" s="7" t="s">
        <v>184</v>
      </c>
      <c r="P291" s="7" t="s">
        <v>195</v>
      </c>
      <c r="Q291" s="7" t="s">
        <v>196</v>
      </c>
      <c r="R291" s="7" t="s">
        <v>499</v>
      </c>
      <c r="S291" s="7" t="s">
        <v>383</v>
      </c>
      <c r="T291" s="7"/>
      <c r="U291" s="7" t="s">
        <v>384</v>
      </c>
      <c r="V291" s="7"/>
      <c r="W291" s="7" t="s">
        <v>380</v>
      </c>
      <c r="X291" s="7" t="s">
        <v>99</v>
      </c>
      <c r="Y291" s="7" t="s">
        <v>23</v>
      </c>
    </row>
    <row r="292" spans="1:25" hidden="1" x14ac:dyDescent="0.25">
      <c r="A292" s="247" t="s">
        <v>312</v>
      </c>
      <c r="B292" s="248">
        <v>45691</v>
      </c>
      <c r="C292" s="244" t="s">
        <v>500</v>
      </c>
      <c r="D292" s="244"/>
      <c r="E292" s="249">
        <v>140.4</v>
      </c>
      <c r="F292" s="249">
        <v>0</v>
      </c>
      <c r="G292" s="266">
        <f>Tabla3[[#This Row],[INGRESOS]]-Tabla3[[#This Row],[EGRESOS]]</f>
        <v>-140.4</v>
      </c>
      <c r="H292" s="137"/>
      <c r="I292" s="119">
        <v>1140</v>
      </c>
      <c r="J292" s="99">
        <f>Tabla3[[#This Row],[EGRESOS]]/Tabla3[[#This Row],[TC]]</f>
        <v>0.12315789473684211</v>
      </c>
      <c r="K292" s="99">
        <f>Tabla3[[#This Row],[INGRESOS]]/Tabla3[[#This Row],[TC]]</f>
        <v>0</v>
      </c>
      <c r="L292" s="7" t="s">
        <v>376</v>
      </c>
      <c r="M292" s="7" t="s">
        <v>377</v>
      </c>
      <c r="N292" s="7" t="s">
        <v>30</v>
      </c>
      <c r="O292" s="7" t="s">
        <v>184</v>
      </c>
      <c r="P292" s="7" t="s">
        <v>195</v>
      </c>
      <c r="Q292" s="7" t="s">
        <v>196</v>
      </c>
      <c r="R292" s="7" t="s">
        <v>394</v>
      </c>
      <c r="S292" s="7" t="s">
        <v>383</v>
      </c>
      <c r="T292" s="7"/>
      <c r="U292" s="7" t="s">
        <v>384</v>
      </c>
      <c r="V292" s="7"/>
      <c r="W292" s="7" t="s">
        <v>380</v>
      </c>
      <c r="X292" s="7" t="s">
        <v>99</v>
      </c>
      <c r="Y292" s="7" t="s">
        <v>23</v>
      </c>
    </row>
    <row r="293" spans="1:25" hidden="1" x14ac:dyDescent="0.25">
      <c r="A293" s="247" t="s">
        <v>312</v>
      </c>
      <c r="B293" s="248">
        <v>45691</v>
      </c>
      <c r="C293" s="244" t="s">
        <v>500</v>
      </c>
      <c r="D293" s="244"/>
      <c r="E293" s="249">
        <v>29.48</v>
      </c>
      <c r="F293" s="249">
        <v>0</v>
      </c>
      <c r="G293" s="266">
        <f>Tabla3[[#This Row],[INGRESOS]]-Tabla3[[#This Row],[EGRESOS]]</f>
        <v>-29.48</v>
      </c>
      <c r="H293" s="137"/>
      <c r="I293" s="119">
        <v>1140</v>
      </c>
      <c r="J293" s="99">
        <f>Tabla3[[#This Row],[EGRESOS]]/Tabla3[[#This Row],[TC]]</f>
        <v>2.5859649122807016E-2</v>
      </c>
      <c r="K293" s="99">
        <f>Tabla3[[#This Row],[INGRESOS]]/Tabla3[[#This Row],[TC]]</f>
        <v>0</v>
      </c>
      <c r="L293" s="7" t="s">
        <v>376</v>
      </c>
      <c r="M293" s="7" t="s">
        <v>377</v>
      </c>
      <c r="N293" s="7" t="s">
        <v>30</v>
      </c>
      <c r="O293" s="7" t="s">
        <v>184</v>
      </c>
      <c r="P293" s="7" t="s">
        <v>195</v>
      </c>
      <c r="Q293" s="7" t="s">
        <v>196</v>
      </c>
      <c r="R293" s="7" t="s">
        <v>394</v>
      </c>
      <c r="S293" s="7" t="s">
        <v>383</v>
      </c>
      <c r="T293" s="7"/>
      <c r="U293" s="7" t="s">
        <v>384</v>
      </c>
      <c r="V293" s="7"/>
      <c r="W293" s="7" t="s">
        <v>380</v>
      </c>
      <c r="X293" s="7" t="s">
        <v>99</v>
      </c>
      <c r="Y293" s="7" t="s">
        <v>23</v>
      </c>
    </row>
    <row r="294" spans="1:25" hidden="1" x14ac:dyDescent="0.25">
      <c r="A294" s="247" t="s">
        <v>312</v>
      </c>
      <c r="B294" s="248">
        <v>45691</v>
      </c>
      <c r="C294" s="244" t="s">
        <v>500</v>
      </c>
      <c r="D294" s="244"/>
      <c r="E294" s="249">
        <v>4.21</v>
      </c>
      <c r="F294" s="249">
        <v>0</v>
      </c>
      <c r="G294" s="266">
        <f>Tabla3[[#This Row],[INGRESOS]]-Tabla3[[#This Row],[EGRESOS]]</f>
        <v>-4.21</v>
      </c>
      <c r="H294" s="137">
        <v>-1851888.16</v>
      </c>
      <c r="I294" s="119">
        <v>1140</v>
      </c>
      <c r="J294" s="99">
        <f>Tabla3[[#This Row],[EGRESOS]]/Tabla3[[#This Row],[TC]]</f>
        <v>3.6929824561403508E-3</v>
      </c>
      <c r="K294" s="99">
        <f>Tabla3[[#This Row],[INGRESOS]]/Tabla3[[#This Row],[TC]]</f>
        <v>0</v>
      </c>
      <c r="L294" s="7" t="s">
        <v>376</v>
      </c>
      <c r="M294" s="7" t="s">
        <v>377</v>
      </c>
      <c r="N294" s="7" t="s">
        <v>30</v>
      </c>
      <c r="O294" s="7" t="s">
        <v>184</v>
      </c>
      <c r="P294" s="7" t="s">
        <v>195</v>
      </c>
      <c r="Q294" s="7" t="s">
        <v>196</v>
      </c>
      <c r="R294" s="7" t="s">
        <v>394</v>
      </c>
      <c r="S294" s="7" t="s">
        <v>383</v>
      </c>
      <c r="T294" s="7"/>
      <c r="U294" s="7" t="s">
        <v>384</v>
      </c>
      <c r="V294" s="7"/>
      <c r="W294" s="7" t="s">
        <v>380</v>
      </c>
      <c r="X294" s="7" t="s">
        <v>99</v>
      </c>
      <c r="Y294" s="7" t="s">
        <v>23</v>
      </c>
    </row>
    <row r="295" spans="1:25" hidden="1" x14ac:dyDescent="0.25">
      <c r="A295" s="247" t="s">
        <v>312</v>
      </c>
      <c r="B295" s="248">
        <v>45698</v>
      </c>
      <c r="C295" s="244" t="s">
        <v>508</v>
      </c>
      <c r="D295" s="244"/>
      <c r="E295" s="249">
        <v>1000000</v>
      </c>
      <c r="F295" s="249">
        <v>0</v>
      </c>
      <c r="G295" s="266">
        <f>Tabla3[[#This Row],[INGRESOS]]-Tabla3[[#This Row],[EGRESOS]]</f>
        <v>-1000000</v>
      </c>
      <c r="H295" s="137"/>
      <c r="I295" s="119">
        <v>1140</v>
      </c>
      <c r="J295" s="99">
        <f>Tabla3[[#This Row],[EGRESOS]]/Tabla3[[#This Row],[TC]]</f>
        <v>877.19298245614038</v>
      </c>
      <c r="K295" s="99">
        <f>Tabla3[[#This Row],[INGRESOS]]/Tabla3[[#This Row],[TC]]</f>
        <v>0</v>
      </c>
      <c r="L295" s="7" t="s">
        <v>376</v>
      </c>
      <c r="M295" s="7" t="s">
        <v>377</v>
      </c>
      <c r="N295" s="7" t="s">
        <v>30</v>
      </c>
      <c r="O295" s="7" t="s">
        <v>184</v>
      </c>
      <c r="P295" s="7" t="s">
        <v>203</v>
      </c>
      <c r="Q295" s="7" t="s">
        <v>206</v>
      </c>
      <c r="R295" s="7" t="s">
        <v>509</v>
      </c>
      <c r="S295" s="7" t="s">
        <v>510</v>
      </c>
      <c r="T295" s="7"/>
      <c r="U295" s="7" t="s">
        <v>511</v>
      </c>
      <c r="V295" s="7" t="s">
        <v>512</v>
      </c>
      <c r="W295" s="7" t="s">
        <v>380</v>
      </c>
      <c r="X295" s="7" t="s">
        <v>103</v>
      </c>
      <c r="Y295" s="7" t="s">
        <v>23</v>
      </c>
    </row>
    <row r="296" spans="1:25" hidden="1" x14ac:dyDescent="0.25">
      <c r="A296" s="247" t="s">
        <v>312</v>
      </c>
      <c r="B296" s="248">
        <v>45698</v>
      </c>
      <c r="C296" s="244" t="s">
        <v>500</v>
      </c>
      <c r="D296" s="244"/>
      <c r="E296" s="249">
        <v>6000</v>
      </c>
      <c r="F296" s="249">
        <v>0</v>
      </c>
      <c r="G296" s="266">
        <f>Tabla3[[#This Row],[INGRESOS]]-Tabla3[[#This Row],[EGRESOS]]</f>
        <v>-6000</v>
      </c>
      <c r="H296" s="137">
        <v>142111.84</v>
      </c>
      <c r="I296" s="119">
        <v>1140</v>
      </c>
      <c r="J296" s="99">
        <f>Tabla3[[#This Row],[EGRESOS]]/Tabla3[[#This Row],[TC]]</f>
        <v>5.2631578947368425</v>
      </c>
      <c r="K296" s="99">
        <f>Tabla3[[#This Row],[INGRESOS]]/Tabla3[[#This Row],[TC]]</f>
        <v>0</v>
      </c>
      <c r="L296" s="7" t="s">
        <v>376</v>
      </c>
      <c r="M296" s="7" t="s">
        <v>377</v>
      </c>
      <c r="N296" s="7" t="s">
        <v>30</v>
      </c>
      <c r="O296" s="7" t="s">
        <v>184</v>
      </c>
      <c r="P296" s="7" t="s">
        <v>195</v>
      </c>
      <c r="Q296" s="7" t="s">
        <v>196</v>
      </c>
      <c r="R296" s="7" t="s">
        <v>382</v>
      </c>
      <c r="S296" s="7" t="s">
        <v>383</v>
      </c>
      <c r="T296" s="7"/>
      <c r="U296" s="7" t="s">
        <v>384</v>
      </c>
      <c r="V296" s="7"/>
      <c r="W296" s="7" t="s">
        <v>380</v>
      </c>
      <c r="X296" s="7" t="s">
        <v>99</v>
      </c>
      <c r="Y296" s="7" t="s">
        <v>23</v>
      </c>
    </row>
    <row r="297" spans="1:25" hidden="1" x14ac:dyDescent="0.25">
      <c r="A297" s="247" t="s">
        <v>312</v>
      </c>
      <c r="B297" s="248">
        <v>45700</v>
      </c>
      <c r="C297" s="244" t="s">
        <v>513</v>
      </c>
      <c r="D297" s="244"/>
      <c r="E297" s="249">
        <v>0</v>
      </c>
      <c r="F297" s="249">
        <v>607040</v>
      </c>
      <c r="G297" s="266">
        <f>Tabla3[[#This Row],[INGRESOS]]-Tabla3[[#This Row],[EGRESOS]]</f>
        <v>607040</v>
      </c>
      <c r="H297" s="137"/>
      <c r="I297" s="119">
        <v>1140</v>
      </c>
      <c r="J297" s="99">
        <f>Tabla3[[#This Row],[EGRESOS]]/Tabla3[[#This Row],[TC]]</f>
        <v>0</v>
      </c>
      <c r="K297" s="99">
        <f>Tabla3[[#This Row],[INGRESOS]]/Tabla3[[#This Row],[TC]]</f>
        <v>532.49122807017545</v>
      </c>
      <c r="L297" s="7" t="s">
        <v>376</v>
      </c>
      <c r="M297" s="7" t="s">
        <v>377</v>
      </c>
      <c r="N297" s="7" t="s">
        <v>30</v>
      </c>
      <c r="O297" s="7" t="s">
        <v>215</v>
      </c>
      <c r="P297" s="7" t="s">
        <v>216</v>
      </c>
      <c r="Q297" s="7" t="s">
        <v>220</v>
      </c>
      <c r="R297" s="7" t="s">
        <v>514</v>
      </c>
      <c r="S297" s="7" t="s">
        <v>515</v>
      </c>
      <c r="T297" s="7"/>
      <c r="U297" s="7" t="s">
        <v>516</v>
      </c>
      <c r="V297" s="7"/>
      <c r="W297" s="7" t="s">
        <v>380</v>
      </c>
      <c r="X297" s="7" t="s">
        <v>23</v>
      </c>
      <c r="Y297" s="7" t="s">
        <v>97</v>
      </c>
    </row>
    <row r="298" spans="1:25" hidden="1" x14ac:dyDescent="0.25">
      <c r="A298" s="247" t="s">
        <v>312</v>
      </c>
      <c r="B298" s="248">
        <v>45700</v>
      </c>
      <c r="C298" s="244" t="s">
        <v>517</v>
      </c>
      <c r="D298" s="244"/>
      <c r="E298" s="249">
        <v>3035.2</v>
      </c>
      <c r="F298" s="249">
        <v>0</v>
      </c>
      <c r="G298" s="266">
        <f>Tabla3[[#This Row],[INGRESOS]]-Tabla3[[#This Row],[EGRESOS]]</f>
        <v>-3035.2</v>
      </c>
      <c r="H298" s="137"/>
      <c r="I298" s="119">
        <v>1140</v>
      </c>
      <c r="J298" s="99">
        <f>Tabla3[[#This Row],[EGRESOS]]/Tabla3[[#This Row],[TC]]</f>
        <v>2.6624561403508769</v>
      </c>
      <c r="K298" s="99">
        <f>Tabla3[[#This Row],[INGRESOS]]/Tabla3[[#This Row],[TC]]</f>
        <v>0</v>
      </c>
      <c r="L298" s="7" t="s">
        <v>376</v>
      </c>
      <c r="M298" s="7" t="s">
        <v>377</v>
      </c>
      <c r="N298" s="7" t="s">
        <v>30</v>
      </c>
      <c r="O298" s="7" t="s">
        <v>184</v>
      </c>
      <c r="P298" s="7" t="s">
        <v>185</v>
      </c>
      <c r="Q298" s="7" t="s">
        <v>186</v>
      </c>
      <c r="R298" s="7" t="s">
        <v>227</v>
      </c>
      <c r="S298" s="7"/>
      <c r="T298" s="7"/>
      <c r="U298" s="7" t="s">
        <v>384</v>
      </c>
      <c r="V298" s="7"/>
      <c r="W298" s="7" t="s">
        <v>380</v>
      </c>
      <c r="X298" s="7" t="s">
        <v>99</v>
      </c>
      <c r="Y298" s="7" t="s">
        <v>23</v>
      </c>
    </row>
    <row r="299" spans="1:25" hidden="1" x14ac:dyDescent="0.25">
      <c r="A299" s="247" t="s">
        <v>312</v>
      </c>
      <c r="B299" s="248">
        <v>45700</v>
      </c>
      <c r="C299" s="244" t="s">
        <v>497</v>
      </c>
      <c r="D299" s="244"/>
      <c r="E299" s="249">
        <v>637.39</v>
      </c>
      <c r="F299" s="249">
        <v>0</v>
      </c>
      <c r="G299" s="266">
        <f>Tabla3[[#This Row],[INGRESOS]]-Tabla3[[#This Row],[EGRESOS]]</f>
        <v>-637.39</v>
      </c>
      <c r="H299" s="137"/>
      <c r="I299" s="119">
        <v>1140</v>
      </c>
      <c r="J299" s="99">
        <f>Tabla3[[#This Row],[EGRESOS]]/Tabla3[[#This Row],[TC]]</f>
        <v>0.55911403508771929</v>
      </c>
      <c r="K299" s="99">
        <f>Tabla3[[#This Row],[INGRESOS]]/Tabla3[[#This Row],[TC]]</f>
        <v>0</v>
      </c>
      <c r="L299" s="7" t="s">
        <v>376</v>
      </c>
      <c r="M299" s="7" t="s">
        <v>377</v>
      </c>
      <c r="N299" s="7" t="s">
        <v>30</v>
      </c>
      <c r="O299" s="7" t="s">
        <v>184</v>
      </c>
      <c r="P299" s="7" t="s">
        <v>195</v>
      </c>
      <c r="Q299" s="7" t="s">
        <v>196</v>
      </c>
      <c r="R299" s="7" t="s">
        <v>382</v>
      </c>
      <c r="S299" s="7" t="s">
        <v>383</v>
      </c>
      <c r="T299" s="7"/>
      <c r="U299" s="7" t="s">
        <v>384</v>
      </c>
      <c r="V299" s="7"/>
      <c r="W299" s="7" t="s">
        <v>380</v>
      </c>
      <c r="X299" s="7" t="s">
        <v>99</v>
      </c>
      <c r="Y299" s="7" t="s">
        <v>23</v>
      </c>
    </row>
    <row r="300" spans="1:25" hidden="1" x14ac:dyDescent="0.25">
      <c r="A300" s="247" t="s">
        <v>312</v>
      </c>
      <c r="B300" s="248">
        <v>45700</v>
      </c>
      <c r="C300" s="244" t="s">
        <v>498</v>
      </c>
      <c r="D300" s="244"/>
      <c r="E300" s="249">
        <v>91.06</v>
      </c>
      <c r="F300" s="249">
        <v>0</v>
      </c>
      <c r="G300" s="266">
        <f>Tabla3[[#This Row],[INGRESOS]]-Tabla3[[#This Row],[EGRESOS]]</f>
        <v>-91.06</v>
      </c>
      <c r="H300" s="137"/>
      <c r="I300" s="119">
        <v>1140</v>
      </c>
      <c r="J300" s="99">
        <f>Tabla3[[#This Row],[EGRESOS]]/Tabla3[[#This Row],[TC]]</f>
        <v>7.9877192982456144E-2</v>
      </c>
      <c r="K300" s="99">
        <f>Tabla3[[#This Row],[INGRESOS]]/Tabla3[[#This Row],[TC]]</f>
        <v>0</v>
      </c>
      <c r="L300" s="7" t="s">
        <v>376</v>
      </c>
      <c r="M300" s="7" t="s">
        <v>377</v>
      </c>
      <c r="N300" s="7" t="s">
        <v>30</v>
      </c>
      <c r="O300" s="7" t="s">
        <v>184</v>
      </c>
      <c r="P300" s="7" t="s">
        <v>195</v>
      </c>
      <c r="Q300" s="7" t="s">
        <v>196</v>
      </c>
      <c r="R300" s="7" t="s">
        <v>499</v>
      </c>
      <c r="S300" s="7" t="s">
        <v>383</v>
      </c>
      <c r="T300" s="7"/>
      <c r="U300" s="7" t="s">
        <v>384</v>
      </c>
      <c r="V300" s="7"/>
      <c r="W300" s="7" t="s">
        <v>380</v>
      </c>
      <c r="X300" s="7" t="s">
        <v>99</v>
      </c>
      <c r="Y300" s="7" t="s">
        <v>23</v>
      </c>
    </row>
    <row r="301" spans="1:25" hidden="1" x14ac:dyDescent="0.25">
      <c r="A301" s="247" t="s">
        <v>312</v>
      </c>
      <c r="B301" s="248">
        <v>45700</v>
      </c>
      <c r="C301" s="244" t="s">
        <v>518</v>
      </c>
      <c r="D301" s="244"/>
      <c r="E301" s="249">
        <v>3642.24</v>
      </c>
      <c r="F301" s="249">
        <v>0</v>
      </c>
      <c r="G301" s="266">
        <f>Tabla3[[#This Row],[INGRESOS]]-Tabla3[[#This Row],[EGRESOS]]</f>
        <v>-3642.24</v>
      </c>
      <c r="H301" s="137"/>
      <c r="I301" s="119">
        <v>1140</v>
      </c>
      <c r="J301" s="99">
        <f>Tabla3[[#This Row],[EGRESOS]]/Tabla3[[#This Row],[TC]]</f>
        <v>3.1949473684210523</v>
      </c>
      <c r="K301" s="99">
        <f>Tabla3[[#This Row],[INGRESOS]]/Tabla3[[#This Row],[TC]]</f>
        <v>0</v>
      </c>
      <c r="L301" s="7" t="s">
        <v>376</v>
      </c>
      <c r="M301" s="7" t="s">
        <v>377</v>
      </c>
      <c r="N301" s="7" t="s">
        <v>30</v>
      </c>
      <c r="O301" s="7" t="s">
        <v>184</v>
      </c>
      <c r="P301" s="7" t="s">
        <v>195</v>
      </c>
      <c r="Q301" s="7" t="s">
        <v>196</v>
      </c>
      <c r="R301" s="7" t="s">
        <v>394</v>
      </c>
      <c r="S301" s="7" t="s">
        <v>383</v>
      </c>
      <c r="T301" s="7"/>
      <c r="U301" s="7" t="s">
        <v>384</v>
      </c>
      <c r="V301" s="7"/>
      <c r="W301" s="7" t="s">
        <v>380</v>
      </c>
      <c r="X301" s="7" t="s">
        <v>99</v>
      </c>
      <c r="Y301" s="7" t="s">
        <v>23</v>
      </c>
    </row>
    <row r="302" spans="1:25" hidden="1" x14ac:dyDescent="0.25">
      <c r="A302" s="247" t="s">
        <v>312</v>
      </c>
      <c r="B302" s="248">
        <v>45700</v>
      </c>
      <c r="C302" s="244" t="s">
        <v>500</v>
      </c>
      <c r="D302" s="244"/>
      <c r="E302" s="249">
        <v>18.21</v>
      </c>
      <c r="F302" s="249">
        <v>0</v>
      </c>
      <c r="G302" s="266">
        <f>Tabla3[[#This Row],[INGRESOS]]-Tabla3[[#This Row],[EGRESOS]]</f>
        <v>-18.21</v>
      </c>
      <c r="H302" s="137"/>
      <c r="I302" s="119">
        <v>1140</v>
      </c>
      <c r="J302" s="99">
        <f>Tabla3[[#This Row],[EGRESOS]]/Tabla3[[#This Row],[TC]]</f>
        <v>1.5973684210526317E-2</v>
      </c>
      <c r="K302" s="99">
        <f>Tabla3[[#This Row],[INGRESOS]]/Tabla3[[#This Row],[TC]]</f>
        <v>0</v>
      </c>
      <c r="L302" s="7" t="s">
        <v>376</v>
      </c>
      <c r="M302" s="7" t="s">
        <v>377</v>
      </c>
      <c r="N302" s="7" t="s">
        <v>30</v>
      </c>
      <c r="O302" s="7" t="s">
        <v>184</v>
      </c>
      <c r="P302" s="7" t="s">
        <v>195</v>
      </c>
      <c r="Q302" s="7" t="s">
        <v>196</v>
      </c>
      <c r="R302" s="7" t="s">
        <v>394</v>
      </c>
      <c r="S302" s="7" t="s">
        <v>383</v>
      </c>
      <c r="T302" s="7"/>
      <c r="U302" s="7" t="s">
        <v>384</v>
      </c>
      <c r="V302" s="7"/>
      <c r="W302" s="7" t="s">
        <v>380</v>
      </c>
      <c r="X302" s="7" t="s">
        <v>99</v>
      </c>
      <c r="Y302" s="7" t="s">
        <v>23</v>
      </c>
    </row>
    <row r="303" spans="1:25" hidden="1" x14ac:dyDescent="0.25">
      <c r="A303" s="247" t="s">
        <v>312</v>
      </c>
      <c r="B303" s="248">
        <v>45700</v>
      </c>
      <c r="C303" s="244" t="s">
        <v>500</v>
      </c>
      <c r="D303" s="244"/>
      <c r="E303" s="249">
        <v>3.82</v>
      </c>
      <c r="F303" s="249">
        <v>0</v>
      </c>
      <c r="G303" s="266">
        <f>Tabla3[[#This Row],[INGRESOS]]-Tabla3[[#This Row],[EGRESOS]]</f>
        <v>-3.82</v>
      </c>
      <c r="H303" s="336"/>
      <c r="I303" s="119">
        <v>1140</v>
      </c>
      <c r="J303" s="99">
        <f>Tabla3[[#This Row],[EGRESOS]]/Tabla3[[#This Row],[TC]]</f>
        <v>3.3508771929824559E-3</v>
      </c>
      <c r="K303" s="99">
        <f>Tabla3[[#This Row],[INGRESOS]]/Tabla3[[#This Row],[TC]]</f>
        <v>0</v>
      </c>
      <c r="L303" s="7" t="s">
        <v>376</v>
      </c>
      <c r="M303" s="7" t="s">
        <v>377</v>
      </c>
      <c r="N303" s="7" t="s">
        <v>30</v>
      </c>
      <c r="O303" s="7" t="s">
        <v>184</v>
      </c>
      <c r="P303" s="7" t="s">
        <v>195</v>
      </c>
      <c r="Q303" s="7" t="s">
        <v>196</v>
      </c>
      <c r="R303" s="7" t="s">
        <v>394</v>
      </c>
      <c r="S303" s="7" t="s">
        <v>383</v>
      </c>
      <c r="T303" s="7"/>
      <c r="U303" s="7" t="s">
        <v>384</v>
      </c>
      <c r="V303" s="7"/>
      <c r="W303" s="7" t="s">
        <v>380</v>
      </c>
      <c r="X303" s="7" t="s">
        <v>99</v>
      </c>
      <c r="Y303" s="7" t="s">
        <v>23</v>
      </c>
    </row>
    <row r="304" spans="1:25" hidden="1" x14ac:dyDescent="0.25">
      <c r="A304" s="247" t="s">
        <v>312</v>
      </c>
      <c r="B304" s="248">
        <v>45700</v>
      </c>
      <c r="C304" s="244" t="s">
        <v>500</v>
      </c>
      <c r="D304" s="244"/>
      <c r="E304" s="249">
        <v>0.55000000000000004</v>
      </c>
      <c r="F304" s="249">
        <v>0</v>
      </c>
      <c r="G304" s="266">
        <f>Tabla3[[#This Row],[INGRESOS]]-Tabla3[[#This Row],[EGRESOS]]</f>
        <v>-0.55000000000000004</v>
      </c>
      <c r="H304" s="336"/>
      <c r="I304" s="119">
        <v>1140</v>
      </c>
      <c r="J304" s="99">
        <f>Tabla3[[#This Row],[EGRESOS]]/Tabla3[[#This Row],[TC]]</f>
        <v>4.8245614035087722E-4</v>
      </c>
      <c r="K304" s="99">
        <f>Tabla3[[#This Row],[INGRESOS]]/Tabla3[[#This Row],[TC]]</f>
        <v>0</v>
      </c>
      <c r="L304" s="7" t="s">
        <v>376</v>
      </c>
      <c r="M304" s="7" t="s">
        <v>377</v>
      </c>
      <c r="N304" s="7" t="s">
        <v>30</v>
      </c>
      <c r="O304" s="7" t="s">
        <v>184</v>
      </c>
      <c r="P304" s="7" t="s">
        <v>195</v>
      </c>
      <c r="Q304" s="7" t="s">
        <v>196</v>
      </c>
      <c r="R304" s="7" t="s">
        <v>394</v>
      </c>
      <c r="S304" s="7" t="s">
        <v>383</v>
      </c>
      <c r="T304" s="7"/>
      <c r="U304" s="7" t="s">
        <v>384</v>
      </c>
      <c r="V304" s="7"/>
      <c r="W304" s="7" t="s">
        <v>380</v>
      </c>
      <c r="X304" s="7" t="s">
        <v>99</v>
      </c>
      <c r="Y304" s="7" t="s">
        <v>23</v>
      </c>
    </row>
    <row r="305" spans="1:25" hidden="1" x14ac:dyDescent="0.25">
      <c r="A305" s="247" t="s">
        <v>312</v>
      </c>
      <c r="B305" s="248">
        <v>45705</v>
      </c>
      <c r="C305" s="244" t="s">
        <v>500</v>
      </c>
      <c r="D305" s="244"/>
      <c r="E305" s="249">
        <v>2172</v>
      </c>
      <c r="F305" s="249">
        <v>0</v>
      </c>
      <c r="G305" s="266">
        <f>Tabla3[[#This Row],[INGRESOS]]-Tabla3[[#This Row],[EGRESOS]]</f>
        <v>-2172</v>
      </c>
      <c r="H305" s="336"/>
      <c r="I305" s="119">
        <v>1140</v>
      </c>
      <c r="J305" s="99">
        <f>Tabla3[[#This Row],[EGRESOS]]/Tabla3[[#This Row],[TC]]</f>
        <v>1.9052631578947368</v>
      </c>
      <c r="K305" s="99">
        <f>Tabla3[[#This Row],[INGRESOS]]/Tabla3[[#This Row],[TC]]</f>
        <v>0</v>
      </c>
      <c r="L305" s="7" t="s">
        <v>376</v>
      </c>
      <c r="M305" s="7" t="s">
        <v>377</v>
      </c>
      <c r="N305" s="7" t="s">
        <v>30</v>
      </c>
      <c r="O305" s="7" t="s">
        <v>184</v>
      </c>
      <c r="P305" s="7" t="s">
        <v>195</v>
      </c>
      <c r="Q305" s="7" t="s">
        <v>196</v>
      </c>
      <c r="R305" s="7" t="s">
        <v>394</v>
      </c>
      <c r="S305" s="7" t="s">
        <v>383</v>
      </c>
      <c r="T305" s="7"/>
      <c r="U305" s="7" t="s">
        <v>384</v>
      </c>
      <c r="V305" s="7"/>
      <c r="W305" s="7" t="s">
        <v>380</v>
      </c>
      <c r="X305" s="7" t="s">
        <v>99</v>
      </c>
      <c r="Y305" s="7" t="s">
        <v>23</v>
      </c>
    </row>
    <row r="306" spans="1:25" hidden="1" x14ac:dyDescent="0.25">
      <c r="A306" s="247" t="s">
        <v>312</v>
      </c>
      <c r="B306" s="248">
        <v>45708</v>
      </c>
      <c r="C306" s="244" t="s">
        <v>508</v>
      </c>
      <c r="D306" s="244"/>
      <c r="E306" s="249">
        <v>60000</v>
      </c>
      <c r="F306" s="249">
        <v>0</v>
      </c>
      <c r="G306" s="266">
        <f>Tabla3[[#This Row],[INGRESOS]]-Tabla3[[#This Row],[EGRESOS]]</f>
        <v>-60000</v>
      </c>
      <c r="H306" s="336"/>
      <c r="I306" s="119">
        <v>1140</v>
      </c>
      <c r="J306" s="99">
        <f>Tabla3[[#This Row],[EGRESOS]]/Tabla3[[#This Row],[TC]]</f>
        <v>52.631578947368418</v>
      </c>
      <c r="K306" s="99">
        <f>Tabla3[[#This Row],[INGRESOS]]/Tabla3[[#This Row],[TC]]</f>
        <v>0</v>
      </c>
      <c r="L306" s="7" t="s">
        <v>376</v>
      </c>
      <c r="M306" s="7" t="s">
        <v>377</v>
      </c>
      <c r="N306" s="7" t="s">
        <v>30</v>
      </c>
      <c r="O306" s="7" t="s">
        <v>184</v>
      </c>
      <c r="P306" s="7" t="s">
        <v>199</v>
      </c>
      <c r="Q306" s="7" t="s">
        <v>200</v>
      </c>
      <c r="R306" s="7" t="s">
        <v>519</v>
      </c>
      <c r="S306" s="7" t="s">
        <v>520</v>
      </c>
      <c r="T306" s="7"/>
      <c r="U306" s="7" t="s">
        <v>390</v>
      </c>
      <c r="V306" s="7"/>
      <c r="W306" s="7" t="s">
        <v>380</v>
      </c>
      <c r="X306" s="7" t="s">
        <v>29</v>
      </c>
      <c r="Y306" s="7" t="s">
        <v>23</v>
      </c>
    </row>
    <row r="307" spans="1:25" hidden="1" x14ac:dyDescent="0.25">
      <c r="A307" s="273" t="s">
        <v>312</v>
      </c>
      <c r="B307" s="251">
        <v>45708</v>
      </c>
      <c r="C307" s="252" t="s">
        <v>508</v>
      </c>
      <c r="D307" s="252"/>
      <c r="E307" s="253">
        <v>4582.87</v>
      </c>
      <c r="F307" s="253">
        <v>0</v>
      </c>
      <c r="G307" s="274">
        <f>Tabla3[[#This Row],[INGRESOS]]-Tabla3[[#This Row],[EGRESOS]]</f>
        <v>-4582.87</v>
      </c>
      <c r="H307" s="337"/>
      <c r="I307" s="135">
        <v>1140</v>
      </c>
      <c r="J307" s="136">
        <f>Tabla3[[#This Row],[EGRESOS]]/Tabla3[[#This Row],[TC]]</f>
        <v>4.0200614035087714</v>
      </c>
      <c r="K307" s="136">
        <f>Tabla3[[#This Row],[INGRESOS]]/Tabla3[[#This Row],[TC]]</f>
        <v>0</v>
      </c>
      <c r="L307" s="8" t="s">
        <v>376</v>
      </c>
      <c r="M307" s="8" t="s">
        <v>377</v>
      </c>
      <c r="N307" s="8" t="s">
        <v>30</v>
      </c>
      <c r="O307" s="8" t="s">
        <v>184</v>
      </c>
      <c r="P307" s="8" t="s">
        <v>199</v>
      </c>
      <c r="Q307" s="8" t="s">
        <v>201</v>
      </c>
      <c r="R307" s="8" t="s">
        <v>434</v>
      </c>
      <c r="S307" s="8" t="s">
        <v>520</v>
      </c>
      <c r="T307" s="8"/>
      <c r="U307" s="8" t="s">
        <v>390</v>
      </c>
      <c r="V307" s="8"/>
      <c r="W307" s="8" t="s">
        <v>380</v>
      </c>
      <c r="X307" s="8" t="s">
        <v>29</v>
      </c>
      <c r="Y307" s="8" t="s">
        <v>23</v>
      </c>
    </row>
    <row r="308" spans="1:25" hidden="1" x14ac:dyDescent="0.25">
      <c r="A308" s="273" t="s">
        <v>312</v>
      </c>
      <c r="B308" s="251">
        <v>45708</v>
      </c>
      <c r="C308" s="252" t="s">
        <v>508</v>
      </c>
      <c r="D308" s="252"/>
      <c r="E308" s="253">
        <v>4071.96</v>
      </c>
      <c r="F308" s="253">
        <v>0</v>
      </c>
      <c r="G308" s="274">
        <f>Tabla3[[#This Row],[INGRESOS]]-Tabla3[[#This Row],[EGRESOS]]</f>
        <v>-4071.96</v>
      </c>
      <c r="H308" s="337"/>
      <c r="I308" s="135">
        <v>1140</v>
      </c>
      <c r="J308" s="136">
        <f>Tabla3[[#This Row],[EGRESOS]]/Tabla3[[#This Row],[TC]]</f>
        <v>3.5718947368421055</v>
      </c>
      <c r="K308" s="136">
        <f>Tabla3[[#This Row],[INGRESOS]]/Tabla3[[#This Row],[TC]]</f>
        <v>0</v>
      </c>
      <c r="L308" s="8" t="s">
        <v>376</v>
      </c>
      <c r="M308" s="8" t="s">
        <v>377</v>
      </c>
      <c r="N308" s="8" t="s">
        <v>30</v>
      </c>
      <c r="O308" s="8" t="s">
        <v>184</v>
      </c>
      <c r="P308" s="8" t="s">
        <v>199</v>
      </c>
      <c r="Q308" s="8" t="s">
        <v>201</v>
      </c>
      <c r="R308" s="8" t="s">
        <v>519</v>
      </c>
      <c r="S308" s="8" t="s">
        <v>521</v>
      </c>
      <c r="T308" s="8"/>
      <c r="U308" s="8" t="s">
        <v>390</v>
      </c>
      <c r="V308" s="8"/>
      <c r="W308" s="8" t="s">
        <v>380</v>
      </c>
      <c r="X308" s="8" t="s">
        <v>29</v>
      </c>
      <c r="Y308" s="8" t="s">
        <v>23</v>
      </c>
    </row>
    <row r="309" spans="1:25" hidden="1" x14ac:dyDescent="0.25">
      <c r="A309" s="273" t="s">
        <v>312</v>
      </c>
      <c r="B309" s="251">
        <v>45708</v>
      </c>
      <c r="C309" s="252" t="s">
        <v>508</v>
      </c>
      <c r="D309" s="252"/>
      <c r="E309" s="253">
        <v>23000</v>
      </c>
      <c r="F309" s="253">
        <v>0</v>
      </c>
      <c r="G309" s="274">
        <f>Tabla3[[#This Row],[INGRESOS]]-Tabla3[[#This Row],[EGRESOS]]</f>
        <v>-23000</v>
      </c>
      <c r="H309" s="337"/>
      <c r="I309" s="135">
        <v>1140</v>
      </c>
      <c r="J309" s="136">
        <f>Tabla3[[#This Row],[EGRESOS]]/Tabla3[[#This Row],[TC]]</f>
        <v>20.17543859649123</v>
      </c>
      <c r="K309" s="136">
        <f>Tabla3[[#This Row],[INGRESOS]]/Tabla3[[#This Row],[TC]]</f>
        <v>0</v>
      </c>
      <c r="L309" s="8" t="s">
        <v>376</v>
      </c>
      <c r="M309" s="8" t="s">
        <v>377</v>
      </c>
      <c r="N309" s="8" t="s">
        <v>30</v>
      </c>
      <c r="O309" s="8" t="s">
        <v>184</v>
      </c>
      <c r="P309" s="8" t="s">
        <v>199</v>
      </c>
      <c r="Q309" s="8" t="s">
        <v>201</v>
      </c>
      <c r="R309" s="8" t="s">
        <v>506</v>
      </c>
      <c r="S309" s="8" t="s">
        <v>389</v>
      </c>
      <c r="T309" s="8"/>
      <c r="U309" s="8" t="s">
        <v>390</v>
      </c>
      <c r="V309" s="8"/>
      <c r="W309" s="8" t="s">
        <v>380</v>
      </c>
      <c r="X309" s="8" t="s">
        <v>99</v>
      </c>
      <c r="Y309" s="8" t="s">
        <v>23</v>
      </c>
    </row>
    <row r="310" spans="1:25" hidden="1" x14ac:dyDescent="0.25">
      <c r="A310" s="273" t="s">
        <v>312</v>
      </c>
      <c r="B310" s="251">
        <v>45708</v>
      </c>
      <c r="C310" s="252" t="s">
        <v>508</v>
      </c>
      <c r="D310" s="252"/>
      <c r="E310" s="253">
        <v>92712</v>
      </c>
      <c r="F310" s="253">
        <v>0</v>
      </c>
      <c r="G310" s="274">
        <f>Tabla3[[#This Row],[INGRESOS]]-Tabla3[[#This Row],[EGRESOS]]</f>
        <v>-92712</v>
      </c>
      <c r="H310" s="337"/>
      <c r="I310" s="135">
        <v>1140</v>
      </c>
      <c r="J310" s="136">
        <f>Tabla3[[#This Row],[EGRESOS]]/Tabla3[[#This Row],[TC]]</f>
        <v>81.326315789473682</v>
      </c>
      <c r="K310" s="136">
        <f>Tabla3[[#This Row],[INGRESOS]]/Tabla3[[#This Row],[TC]]</f>
        <v>0</v>
      </c>
      <c r="L310" s="8" t="s">
        <v>376</v>
      </c>
      <c r="M310" s="8" t="s">
        <v>377</v>
      </c>
      <c r="N310" s="8" t="s">
        <v>30</v>
      </c>
      <c r="O310" s="8" t="s">
        <v>225</v>
      </c>
      <c r="P310" s="8" t="s">
        <v>236</v>
      </c>
      <c r="Q310" s="8" t="s">
        <v>214</v>
      </c>
      <c r="R310" s="8"/>
      <c r="S310" s="8" t="s">
        <v>522</v>
      </c>
      <c r="T310" s="8"/>
      <c r="U310" s="8" t="s">
        <v>412</v>
      </c>
      <c r="V310" s="8"/>
      <c r="W310" s="8" t="s">
        <v>380</v>
      </c>
      <c r="X310" s="8" t="s">
        <v>29</v>
      </c>
      <c r="Y310" s="8" t="s">
        <v>23</v>
      </c>
    </row>
    <row r="311" spans="1:25" hidden="1" x14ac:dyDescent="0.25">
      <c r="A311" s="273" t="s">
        <v>312</v>
      </c>
      <c r="B311" s="251">
        <v>45708</v>
      </c>
      <c r="C311" s="252" t="s">
        <v>500</v>
      </c>
      <c r="D311" s="252"/>
      <c r="E311" s="253">
        <v>1106.4000000000001</v>
      </c>
      <c r="F311" s="253">
        <v>0</v>
      </c>
      <c r="G311" s="274">
        <f>Tabla3[[#This Row],[INGRESOS]]-Tabla3[[#This Row],[EGRESOS]]</f>
        <v>-1106.4000000000001</v>
      </c>
      <c r="H311" s="274">
        <v>-2809118.73</v>
      </c>
      <c r="I311" s="135">
        <v>1140</v>
      </c>
      <c r="J311" s="136">
        <f>Tabla3[[#This Row],[EGRESOS]]/Tabla3[[#This Row],[TC]]</f>
        <v>0.97052631578947379</v>
      </c>
      <c r="K311" s="136">
        <f>Tabla3[[#This Row],[INGRESOS]]/Tabla3[[#This Row],[TC]]</f>
        <v>0</v>
      </c>
      <c r="L311" s="8" t="s">
        <v>376</v>
      </c>
      <c r="M311" s="8" t="s">
        <v>377</v>
      </c>
      <c r="N311" s="8" t="s">
        <v>30</v>
      </c>
      <c r="O311" s="8" t="s">
        <v>184</v>
      </c>
      <c r="P311" s="8" t="s">
        <v>195</v>
      </c>
      <c r="Q311" s="8" t="s">
        <v>196</v>
      </c>
      <c r="R311" s="8" t="s">
        <v>394</v>
      </c>
      <c r="S311" s="8" t="s">
        <v>383</v>
      </c>
      <c r="T311" s="8"/>
      <c r="U311" s="8" t="s">
        <v>384</v>
      </c>
      <c r="V311" s="8"/>
      <c r="W311" s="8" t="s">
        <v>380</v>
      </c>
      <c r="X311" s="8" t="s">
        <v>99</v>
      </c>
      <c r="Y311" s="8" t="s">
        <v>23</v>
      </c>
    </row>
    <row r="312" spans="1:25" hidden="1" x14ac:dyDescent="0.25">
      <c r="A312" s="273" t="s">
        <v>312</v>
      </c>
      <c r="B312" s="251">
        <v>45715</v>
      </c>
      <c r="C312" s="252" t="s">
        <v>443</v>
      </c>
      <c r="D312" s="252"/>
      <c r="E312" s="253">
        <v>93475.39</v>
      </c>
      <c r="F312" s="253">
        <v>0</v>
      </c>
      <c r="G312" s="274">
        <f>Tabla3[[#This Row],[INGRESOS]]-Tabla3[[#This Row],[EGRESOS]]</f>
        <v>-93475.39</v>
      </c>
      <c r="H312" s="274"/>
      <c r="I312" s="135">
        <v>1140</v>
      </c>
      <c r="J312" s="136">
        <f>Tabla3[[#This Row],[EGRESOS]]/Tabla3[[#This Row],[TC]]</f>
        <v>81.99595614035087</v>
      </c>
      <c r="K312" s="136">
        <f>Tabla3[[#This Row],[INGRESOS]]/Tabla3[[#This Row],[TC]]</f>
        <v>0</v>
      </c>
      <c r="L312" s="8" t="s">
        <v>376</v>
      </c>
      <c r="M312" s="8" t="s">
        <v>377</v>
      </c>
      <c r="N312" s="8" t="s">
        <v>30</v>
      </c>
      <c r="O312" s="8" t="s">
        <v>184</v>
      </c>
      <c r="P312" s="8" t="s">
        <v>195</v>
      </c>
      <c r="Q312" s="8" t="s">
        <v>196</v>
      </c>
      <c r="R312" s="8" t="s">
        <v>394</v>
      </c>
      <c r="S312" s="8" t="s">
        <v>383</v>
      </c>
      <c r="T312" s="8"/>
      <c r="U312" s="8" t="s">
        <v>384</v>
      </c>
      <c r="V312" s="8"/>
      <c r="W312" s="8" t="s">
        <v>380</v>
      </c>
      <c r="X312" s="8" t="s">
        <v>99</v>
      </c>
      <c r="Y312" s="8" t="s">
        <v>23</v>
      </c>
    </row>
    <row r="313" spans="1:25" hidden="1" x14ac:dyDescent="0.25">
      <c r="A313" s="273" t="s">
        <v>312</v>
      </c>
      <c r="B313" s="251">
        <v>45715</v>
      </c>
      <c r="C313" s="252" t="s">
        <v>500</v>
      </c>
      <c r="D313" s="252"/>
      <c r="E313" s="253">
        <v>560.85</v>
      </c>
      <c r="F313" s="253">
        <v>0</v>
      </c>
      <c r="G313" s="274">
        <f>Tabla3[[#This Row],[INGRESOS]]-Tabla3[[#This Row],[EGRESOS]]</f>
        <v>-560.85</v>
      </c>
      <c r="H313" s="274"/>
      <c r="I313" s="135">
        <v>1140</v>
      </c>
      <c r="J313" s="136">
        <f>Tabla3[[#This Row],[EGRESOS]]/Tabla3[[#This Row],[TC]]</f>
        <v>0.49197368421052634</v>
      </c>
      <c r="K313" s="136">
        <f>Tabla3[[#This Row],[INGRESOS]]/Tabla3[[#This Row],[TC]]</f>
        <v>0</v>
      </c>
      <c r="L313" s="8" t="s">
        <v>376</v>
      </c>
      <c r="M313" s="8" t="s">
        <v>377</v>
      </c>
      <c r="N313" s="8" t="s">
        <v>30</v>
      </c>
      <c r="O313" s="8" t="s">
        <v>184</v>
      </c>
      <c r="P313" s="8" t="s">
        <v>195</v>
      </c>
      <c r="Q313" s="8" t="s">
        <v>196</v>
      </c>
      <c r="R313" s="8" t="s">
        <v>394</v>
      </c>
      <c r="S313" s="8"/>
      <c r="T313" s="8"/>
      <c r="U313" s="8" t="s">
        <v>384</v>
      </c>
      <c r="V313" s="8"/>
      <c r="W313" s="8" t="s">
        <v>380</v>
      </c>
      <c r="X313" s="8" t="s">
        <v>99</v>
      </c>
      <c r="Y313" s="8" t="s">
        <v>23</v>
      </c>
    </row>
    <row r="314" spans="1:25" hidden="1" x14ac:dyDescent="0.25">
      <c r="A314" s="273" t="str">
        <f>"MARZO"</f>
        <v>MARZO</v>
      </c>
      <c r="B314" s="251">
        <v>45721</v>
      </c>
      <c r="C314" s="252" t="s">
        <v>508</v>
      </c>
      <c r="D314" s="252"/>
      <c r="E314" s="253">
        <v>90000</v>
      </c>
      <c r="F314" s="253">
        <v>0</v>
      </c>
      <c r="G314" s="274">
        <f>Tabla3[[#This Row],[INGRESOS]]-Tabla3[[#This Row],[EGRESOS]]</f>
        <v>-90000</v>
      </c>
      <c r="H314" s="274"/>
      <c r="I314" s="135">
        <v>1140</v>
      </c>
      <c r="J314" s="136">
        <f>Tabla3[[#This Row],[EGRESOS]]/Tabla3[[#This Row],[TC]]</f>
        <v>78.94736842105263</v>
      </c>
      <c r="K314" s="136">
        <f>Tabla3[[#This Row],[INGRESOS]]/Tabla3[[#This Row],[TC]]</f>
        <v>0</v>
      </c>
      <c r="L314" s="8" t="s">
        <v>376</v>
      </c>
      <c r="M314" s="8" t="s">
        <v>377</v>
      </c>
      <c r="N314" s="8" t="s">
        <v>30</v>
      </c>
      <c r="O314" s="8" t="s">
        <v>244</v>
      </c>
      <c r="P314" s="8" t="s">
        <v>259</v>
      </c>
      <c r="Q314" s="8" t="s">
        <v>260</v>
      </c>
      <c r="R314" s="8" t="s">
        <v>393</v>
      </c>
      <c r="S314" s="8"/>
      <c r="T314" s="8"/>
      <c r="U314" s="8" t="s">
        <v>379</v>
      </c>
      <c r="V314" s="8"/>
      <c r="W314" s="8" t="s">
        <v>380</v>
      </c>
      <c r="X314" s="8"/>
      <c r="Y314" s="8"/>
    </row>
    <row r="315" spans="1:25" hidden="1" x14ac:dyDescent="0.25">
      <c r="A315" s="273" t="s">
        <v>313</v>
      </c>
      <c r="B315" s="251">
        <v>45721</v>
      </c>
      <c r="C315" s="252" t="s">
        <v>523</v>
      </c>
      <c r="D315" s="252"/>
      <c r="E315" s="253">
        <v>0</v>
      </c>
      <c r="F315" s="253">
        <v>350000</v>
      </c>
      <c r="G315" s="274">
        <f>Tabla3[[#This Row],[INGRESOS]]-Tabla3[[#This Row],[EGRESOS]]</f>
        <v>350000</v>
      </c>
      <c r="H315" s="274"/>
      <c r="I315" s="135">
        <v>1140</v>
      </c>
      <c r="J315" s="136">
        <f>Tabla3[[#This Row],[EGRESOS]]/Tabla3[[#This Row],[TC]]</f>
        <v>0</v>
      </c>
      <c r="K315" s="136">
        <f>Tabla3[[#This Row],[INGRESOS]]/Tabla3[[#This Row],[TC]]</f>
        <v>307.01754385964909</v>
      </c>
      <c r="L315" s="8" t="s">
        <v>376</v>
      </c>
      <c r="M315" s="8" t="s">
        <v>377</v>
      </c>
      <c r="N315" s="8" t="s">
        <v>30</v>
      </c>
      <c r="O315" s="8" t="s">
        <v>184</v>
      </c>
      <c r="P315" s="8" t="s">
        <v>210</v>
      </c>
      <c r="Q315" s="8" t="s">
        <v>204</v>
      </c>
      <c r="R315" s="8" t="s">
        <v>524</v>
      </c>
      <c r="S315" s="8" t="s">
        <v>524</v>
      </c>
      <c r="T315" s="8"/>
      <c r="U315" s="7" t="s">
        <v>453</v>
      </c>
      <c r="V315" s="8"/>
      <c r="W315" s="8" t="s">
        <v>380</v>
      </c>
      <c r="X315" s="8" t="s">
        <v>23</v>
      </c>
      <c r="Y315" s="8" t="s">
        <v>39</v>
      </c>
    </row>
    <row r="316" spans="1:25" hidden="1" x14ac:dyDescent="0.25">
      <c r="A316" s="273" t="s">
        <v>313</v>
      </c>
      <c r="B316" s="251">
        <v>45721</v>
      </c>
      <c r="C316" s="252" t="s">
        <v>508</v>
      </c>
      <c r="D316" s="252"/>
      <c r="E316" s="253">
        <v>350000</v>
      </c>
      <c r="F316" s="253">
        <v>0</v>
      </c>
      <c r="G316" s="274">
        <f>Tabla3[[#This Row],[INGRESOS]]-Tabla3[[#This Row],[EGRESOS]]</f>
        <v>-350000</v>
      </c>
      <c r="H316" s="274"/>
      <c r="I316" s="135">
        <v>1140</v>
      </c>
      <c r="J316" s="136">
        <f>Tabla3[[#This Row],[EGRESOS]]/Tabla3[[#This Row],[TC]]</f>
        <v>307.01754385964909</v>
      </c>
      <c r="K316" s="136">
        <f>Tabla3[[#This Row],[INGRESOS]]/Tabla3[[#This Row],[TC]]</f>
        <v>0</v>
      </c>
      <c r="L316" s="8" t="s">
        <v>376</v>
      </c>
      <c r="M316" s="8" t="s">
        <v>377</v>
      </c>
      <c r="N316" s="8" t="s">
        <v>30</v>
      </c>
      <c r="O316" s="8" t="s">
        <v>244</v>
      </c>
      <c r="P316" s="8" t="s">
        <v>259</v>
      </c>
      <c r="Q316" s="8" t="s">
        <v>260</v>
      </c>
      <c r="R316" s="8" t="s">
        <v>393</v>
      </c>
      <c r="S316" s="8"/>
      <c r="T316" s="8"/>
      <c r="U316" s="8" t="s">
        <v>379</v>
      </c>
      <c r="V316" s="8"/>
      <c r="W316" s="8" t="s">
        <v>380</v>
      </c>
      <c r="X316" s="8"/>
      <c r="Y316" s="8"/>
    </row>
    <row r="317" spans="1:25" hidden="1" x14ac:dyDescent="0.25">
      <c r="A317" s="273" t="s">
        <v>313</v>
      </c>
      <c r="B317" s="251">
        <v>45721</v>
      </c>
      <c r="C317" s="252" t="s">
        <v>496</v>
      </c>
      <c r="D317" s="252"/>
      <c r="E317" s="253">
        <v>27000</v>
      </c>
      <c r="F317" s="253">
        <v>0</v>
      </c>
      <c r="G317" s="274">
        <f>Tabla3[[#This Row],[INGRESOS]]-Tabla3[[#This Row],[EGRESOS]]</f>
        <v>-27000</v>
      </c>
      <c r="H317" s="274"/>
      <c r="I317" s="135">
        <v>1140</v>
      </c>
      <c r="J317" s="136">
        <f>Tabla3[[#This Row],[EGRESOS]]/Tabla3[[#This Row],[TC]]</f>
        <v>23.684210526315791</v>
      </c>
      <c r="K317" s="136">
        <f>Tabla3[[#This Row],[INGRESOS]]/Tabla3[[#This Row],[TC]]</f>
        <v>0</v>
      </c>
      <c r="L317" s="8" t="s">
        <v>376</v>
      </c>
      <c r="M317" s="8" t="s">
        <v>377</v>
      </c>
      <c r="N317" s="8" t="s">
        <v>30</v>
      </c>
      <c r="O317" s="8" t="s">
        <v>184</v>
      </c>
      <c r="P317" s="8" t="s">
        <v>185</v>
      </c>
      <c r="Q317" s="8" t="s">
        <v>186</v>
      </c>
      <c r="R317" s="8" t="s">
        <v>227</v>
      </c>
      <c r="S317" s="8"/>
      <c r="T317" s="8"/>
      <c r="U317" s="7" t="s">
        <v>384</v>
      </c>
      <c r="V317" s="8"/>
      <c r="W317" s="8" t="s">
        <v>380</v>
      </c>
      <c r="X317" s="8" t="s">
        <v>99</v>
      </c>
      <c r="Y317" s="8" t="s">
        <v>23</v>
      </c>
    </row>
    <row r="318" spans="1:25" hidden="1" x14ac:dyDescent="0.25">
      <c r="A318" s="273" t="s">
        <v>313</v>
      </c>
      <c r="B318" s="251">
        <v>45721</v>
      </c>
      <c r="C318" s="252" t="s">
        <v>497</v>
      </c>
      <c r="D318" s="252"/>
      <c r="E318" s="253">
        <v>5670</v>
      </c>
      <c r="F318" s="253">
        <v>0</v>
      </c>
      <c r="G318" s="274">
        <f>Tabla3[[#This Row],[INGRESOS]]-Tabla3[[#This Row],[EGRESOS]]</f>
        <v>-5670</v>
      </c>
      <c r="H318" s="274"/>
      <c r="I318" s="135">
        <v>1140</v>
      </c>
      <c r="J318" s="136">
        <f>Tabla3[[#This Row],[EGRESOS]]/Tabla3[[#This Row],[TC]]</f>
        <v>4.9736842105263159</v>
      </c>
      <c r="K318" s="136">
        <f>Tabla3[[#This Row],[INGRESOS]]/Tabla3[[#This Row],[TC]]</f>
        <v>0</v>
      </c>
      <c r="L318" s="8" t="s">
        <v>376</v>
      </c>
      <c r="M318" s="8" t="s">
        <v>377</v>
      </c>
      <c r="N318" s="8" t="s">
        <v>30</v>
      </c>
      <c r="O318" s="8" t="s">
        <v>184</v>
      </c>
      <c r="P318" s="8" t="s">
        <v>195</v>
      </c>
      <c r="Q318" s="8" t="s">
        <v>196</v>
      </c>
      <c r="R318" s="8" t="s">
        <v>273</v>
      </c>
      <c r="S318" s="8" t="s">
        <v>383</v>
      </c>
      <c r="T318" s="8"/>
      <c r="U318" s="7" t="s">
        <v>384</v>
      </c>
      <c r="V318" s="8"/>
      <c r="W318" s="8" t="s">
        <v>380</v>
      </c>
      <c r="X318" s="8" t="s">
        <v>99</v>
      </c>
      <c r="Y318" s="8" t="s">
        <v>23</v>
      </c>
    </row>
    <row r="319" spans="1:25" hidden="1" x14ac:dyDescent="0.25">
      <c r="A319" s="273" t="s">
        <v>313</v>
      </c>
      <c r="B319" s="251">
        <v>45721</v>
      </c>
      <c r="C319" s="252" t="s">
        <v>498</v>
      </c>
      <c r="D319" s="252"/>
      <c r="E319" s="253">
        <v>810</v>
      </c>
      <c r="F319" s="253">
        <v>0</v>
      </c>
      <c r="G319" s="274">
        <f>Tabla3[[#This Row],[INGRESOS]]-Tabla3[[#This Row],[EGRESOS]]</f>
        <v>-810</v>
      </c>
      <c r="H319" s="274"/>
      <c r="I319" s="135">
        <v>1140</v>
      </c>
      <c r="J319" s="136">
        <f>Tabla3[[#This Row],[EGRESOS]]/Tabla3[[#This Row],[TC]]</f>
        <v>0.71052631578947367</v>
      </c>
      <c r="K319" s="136">
        <f>Tabla3[[#This Row],[INGRESOS]]/Tabla3[[#This Row],[TC]]</f>
        <v>0</v>
      </c>
      <c r="L319" s="8" t="s">
        <v>376</v>
      </c>
      <c r="M319" s="8" t="s">
        <v>377</v>
      </c>
      <c r="N319" s="8" t="s">
        <v>30</v>
      </c>
      <c r="O319" s="8" t="s">
        <v>184</v>
      </c>
      <c r="P319" s="8" t="s">
        <v>195</v>
      </c>
      <c r="Q319" s="8" t="s">
        <v>196</v>
      </c>
      <c r="R319" s="8" t="s">
        <v>499</v>
      </c>
      <c r="S319" s="8" t="s">
        <v>383</v>
      </c>
      <c r="T319" s="8"/>
      <c r="U319" s="7" t="s">
        <v>384</v>
      </c>
      <c r="V319" s="8"/>
      <c r="W319" s="8" t="s">
        <v>380</v>
      </c>
      <c r="X319" s="8" t="s">
        <v>99</v>
      </c>
      <c r="Y319" s="8" t="s">
        <v>23</v>
      </c>
    </row>
    <row r="320" spans="1:25" hidden="1" x14ac:dyDescent="0.25">
      <c r="A320" s="273" t="s">
        <v>313</v>
      </c>
      <c r="B320" s="251">
        <v>45721</v>
      </c>
      <c r="C320" s="252" t="s">
        <v>518</v>
      </c>
      <c r="D320" s="252"/>
      <c r="E320" s="253">
        <v>2100</v>
      </c>
      <c r="F320" s="253">
        <v>0</v>
      </c>
      <c r="G320" s="274">
        <f>Tabla3[[#This Row],[INGRESOS]]-Tabla3[[#This Row],[EGRESOS]]</f>
        <v>-2100</v>
      </c>
      <c r="H320" s="274"/>
      <c r="I320" s="135">
        <v>1140</v>
      </c>
      <c r="J320" s="136">
        <f>Tabla3[[#This Row],[EGRESOS]]/Tabla3[[#This Row],[TC]]</f>
        <v>1.8421052631578947</v>
      </c>
      <c r="K320" s="136">
        <f>Tabla3[[#This Row],[INGRESOS]]/Tabla3[[#This Row],[TC]]</f>
        <v>0</v>
      </c>
      <c r="L320" s="8" t="s">
        <v>376</v>
      </c>
      <c r="M320" s="8" t="s">
        <v>377</v>
      </c>
      <c r="N320" s="8" t="s">
        <v>30</v>
      </c>
      <c r="O320" s="8" t="s">
        <v>184</v>
      </c>
      <c r="P320" s="8" t="s">
        <v>195</v>
      </c>
      <c r="Q320" s="8" t="s">
        <v>196</v>
      </c>
      <c r="R320" s="8" t="s">
        <v>394</v>
      </c>
      <c r="S320" s="8" t="s">
        <v>383</v>
      </c>
      <c r="T320" s="8"/>
      <c r="U320" s="7" t="s">
        <v>384</v>
      </c>
      <c r="V320" s="8"/>
      <c r="W320" s="8" t="s">
        <v>380</v>
      </c>
      <c r="X320" s="8" t="s">
        <v>99</v>
      </c>
      <c r="Y320" s="8" t="s">
        <v>23</v>
      </c>
    </row>
    <row r="321" spans="1:25" hidden="1" x14ac:dyDescent="0.25">
      <c r="A321" s="273" t="s">
        <v>313</v>
      </c>
      <c r="B321" s="251">
        <v>45721</v>
      </c>
      <c r="C321" s="252" t="s">
        <v>500</v>
      </c>
      <c r="D321" s="252"/>
      <c r="E321" s="253">
        <v>162</v>
      </c>
      <c r="F321" s="253">
        <v>0</v>
      </c>
      <c r="G321" s="274">
        <f>Tabla3[[#This Row],[INGRESOS]]-Tabla3[[#This Row],[EGRESOS]]</f>
        <v>-162</v>
      </c>
      <c r="H321" s="274"/>
      <c r="I321" s="135">
        <v>1140</v>
      </c>
      <c r="J321" s="136">
        <f>Tabla3[[#This Row],[EGRESOS]]/Tabla3[[#This Row],[TC]]</f>
        <v>0.14210526315789473</v>
      </c>
      <c r="K321" s="136">
        <f>Tabla3[[#This Row],[INGRESOS]]/Tabla3[[#This Row],[TC]]</f>
        <v>0</v>
      </c>
      <c r="L321" s="8" t="s">
        <v>376</v>
      </c>
      <c r="M321" s="8" t="s">
        <v>377</v>
      </c>
      <c r="N321" s="8" t="s">
        <v>30</v>
      </c>
      <c r="O321" s="8" t="s">
        <v>184</v>
      </c>
      <c r="P321" s="8" t="s">
        <v>195</v>
      </c>
      <c r="Q321" s="8" t="s">
        <v>196</v>
      </c>
      <c r="R321" s="8" t="s">
        <v>394</v>
      </c>
      <c r="S321" s="8" t="s">
        <v>383</v>
      </c>
      <c r="T321" s="8"/>
      <c r="U321" s="7" t="s">
        <v>384</v>
      </c>
      <c r="V321" s="8"/>
      <c r="W321" s="8" t="s">
        <v>380</v>
      </c>
      <c r="X321" s="8" t="s">
        <v>99</v>
      </c>
      <c r="Y321" s="8" t="s">
        <v>23</v>
      </c>
    </row>
    <row r="322" spans="1:25" hidden="1" x14ac:dyDescent="0.25">
      <c r="A322" s="273" t="s">
        <v>313</v>
      </c>
      <c r="B322" s="251">
        <v>45721</v>
      </c>
      <c r="C322" s="252" t="s">
        <v>500</v>
      </c>
      <c r="D322" s="252"/>
      <c r="E322" s="253">
        <v>34.020000000000003</v>
      </c>
      <c r="F322" s="253">
        <v>0</v>
      </c>
      <c r="G322" s="274">
        <f>Tabla3[[#This Row],[INGRESOS]]-Tabla3[[#This Row],[EGRESOS]]</f>
        <v>-34.020000000000003</v>
      </c>
      <c r="H322" s="274"/>
      <c r="I322" s="135">
        <v>1140</v>
      </c>
      <c r="J322" s="136">
        <f>Tabla3[[#This Row],[EGRESOS]]/Tabla3[[#This Row],[TC]]</f>
        <v>2.9842105263157899E-2</v>
      </c>
      <c r="K322" s="136">
        <f>Tabla3[[#This Row],[INGRESOS]]/Tabla3[[#This Row],[TC]]</f>
        <v>0</v>
      </c>
      <c r="L322" s="8" t="s">
        <v>376</v>
      </c>
      <c r="M322" s="8" t="s">
        <v>377</v>
      </c>
      <c r="N322" s="8" t="s">
        <v>30</v>
      </c>
      <c r="O322" s="8" t="s">
        <v>184</v>
      </c>
      <c r="P322" s="8" t="s">
        <v>195</v>
      </c>
      <c r="Q322" s="8" t="s">
        <v>196</v>
      </c>
      <c r="R322" s="8" t="s">
        <v>394</v>
      </c>
      <c r="S322" s="8" t="s">
        <v>383</v>
      </c>
      <c r="T322" s="8"/>
      <c r="U322" s="8" t="s">
        <v>384</v>
      </c>
      <c r="V322" s="8"/>
      <c r="W322" s="8" t="s">
        <v>380</v>
      </c>
      <c r="X322" s="8" t="s">
        <v>99</v>
      </c>
      <c r="Y322" s="8" t="s">
        <v>23</v>
      </c>
    </row>
    <row r="323" spans="1:25" hidden="1" x14ac:dyDescent="0.25">
      <c r="A323" s="273" t="s">
        <v>313</v>
      </c>
      <c r="B323" s="251">
        <v>45721</v>
      </c>
      <c r="C323" s="252" t="s">
        <v>500</v>
      </c>
      <c r="D323" s="252"/>
      <c r="E323" s="253">
        <v>4.8600000000000003</v>
      </c>
      <c r="F323" s="253">
        <v>0</v>
      </c>
      <c r="G323" s="274">
        <f>Tabla3[[#This Row],[INGRESOS]]-Tabla3[[#This Row],[EGRESOS]]</f>
        <v>-4.8600000000000003</v>
      </c>
      <c r="H323" s="274"/>
      <c r="I323" s="135">
        <v>1140</v>
      </c>
      <c r="J323" s="136">
        <f>Tabla3[[#This Row],[EGRESOS]]/Tabla3[[#This Row],[TC]]</f>
        <v>4.263157894736842E-3</v>
      </c>
      <c r="K323" s="136">
        <f>Tabla3[[#This Row],[INGRESOS]]/Tabla3[[#This Row],[TC]]</f>
        <v>0</v>
      </c>
      <c r="L323" s="8" t="s">
        <v>376</v>
      </c>
      <c r="M323" s="8" t="s">
        <v>377</v>
      </c>
      <c r="N323" s="8" t="s">
        <v>30</v>
      </c>
      <c r="O323" s="8" t="s">
        <v>184</v>
      </c>
      <c r="P323" s="8" t="s">
        <v>195</v>
      </c>
      <c r="Q323" s="8" t="s">
        <v>196</v>
      </c>
      <c r="R323" s="8" t="s">
        <v>394</v>
      </c>
      <c r="S323" s="8" t="s">
        <v>383</v>
      </c>
      <c r="T323" s="8"/>
      <c r="U323" s="8" t="s">
        <v>384</v>
      </c>
      <c r="V323" s="8"/>
      <c r="W323" s="8" t="s">
        <v>380</v>
      </c>
      <c r="X323" s="8" t="s">
        <v>99</v>
      </c>
      <c r="Y323" s="8" t="s">
        <v>23</v>
      </c>
    </row>
    <row r="324" spans="1:25" hidden="1" x14ac:dyDescent="0.25">
      <c r="A324" s="273" t="s">
        <v>313</v>
      </c>
      <c r="B324" s="251">
        <v>45723</v>
      </c>
      <c r="C324" s="252" t="s">
        <v>782</v>
      </c>
      <c r="D324" s="253" t="s">
        <v>884</v>
      </c>
      <c r="E324" s="253">
        <v>555035.56999999995</v>
      </c>
      <c r="F324" s="253">
        <v>0</v>
      </c>
      <c r="G324" s="274">
        <f>Tabla3[[#This Row],[INGRESOS]]-Tabla3[[#This Row],[EGRESOS]]</f>
        <v>-555035.56999999995</v>
      </c>
      <c r="H324" s="132">
        <v>-6581152.3300000001</v>
      </c>
      <c r="I324" s="135">
        <v>1140</v>
      </c>
      <c r="J324" s="136">
        <f>Tabla3[[#This Row],[EGRESOS]]/Tabla3[[#This Row],[TC]]</f>
        <v>486.87330701754382</v>
      </c>
      <c r="K324" s="136">
        <f>Tabla3[[#This Row],[INGRESOS]]/Tabla3[[#This Row],[TC]]</f>
        <v>0</v>
      </c>
      <c r="L324" s="8" t="s">
        <v>376</v>
      </c>
      <c r="M324" s="8" t="s">
        <v>377</v>
      </c>
      <c r="N324" s="8" t="s">
        <v>20</v>
      </c>
      <c r="O324" s="8" t="s">
        <v>184</v>
      </c>
      <c r="P324" s="8" t="s">
        <v>213</v>
      </c>
      <c r="Q324" s="8" t="s">
        <v>33</v>
      </c>
      <c r="R324" s="8" t="s">
        <v>885</v>
      </c>
      <c r="S324" s="8" t="s">
        <v>750</v>
      </c>
      <c r="T324" s="8" t="s">
        <v>886</v>
      </c>
      <c r="U324" s="8" t="s">
        <v>412</v>
      </c>
      <c r="V324" s="8" t="s">
        <v>386</v>
      </c>
      <c r="W324" s="8" t="s">
        <v>380</v>
      </c>
      <c r="X324" s="8" t="s">
        <v>29</v>
      </c>
      <c r="Y324" s="8" t="s">
        <v>23</v>
      </c>
    </row>
    <row r="325" spans="1:25" hidden="1" x14ac:dyDescent="0.25">
      <c r="A325" s="273" t="s">
        <v>313</v>
      </c>
      <c r="B325" s="251">
        <v>45722</v>
      </c>
      <c r="C325" s="252" t="s">
        <v>508</v>
      </c>
      <c r="D325" s="252"/>
      <c r="E325" s="253">
        <v>2670000</v>
      </c>
      <c r="F325" s="253">
        <v>0</v>
      </c>
      <c r="G325" s="274">
        <f>Tabla3[[#This Row],[INGRESOS]]-Tabla3[[#This Row],[EGRESOS]]</f>
        <v>-2670000</v>
      </c>
      <c r="H325" s="274"/>
      <c r="I325" s="135">
        <v>1140</v>
      </c>
      <c r="J325" s="136">
        <f>Tabla3[[#This Row],[EGRESOS]]/Tabla3[[#This Row],[TC]]</f>
        <v>2342.1052631578946</v>
      </c>
      <c r="K325" s="136">
        <f>Tabla3[[#This Row],[INGRESOS]]/Tabla3[[#This Row],[TC]]</f>
        <v>0</v>
      </c>
      <c r="L325" s="8" t="s">
        <v>376</v>
      </c>
      <c r="M325" s="8" t="s">
        <v>377</v>
      </c>
      <c r="N325" s="8" t="s">
        <v>30</v>
      </c>
      <c r="O325" s="8" t="s">
        <v>244</v>
      </c>
      <c r="P325" s="8" t="s">
        <v>259</v>
      </c>
      <c r="Q325" s="8" t="s">
        <v>260</v>
      </c>
      <c r="R325" s="8" t="s">
        <v>393</v>
      </c>
      <c r="S325" s="8"/>
      <c r="T325" s="8"/>
      <c r="U325" s="8" t="s">
        <v>379</v>
      </c>
      <c r="V325" s="8"/>
      <c r="W325" s="8" t="s">
        <v>380</v>
      </c>
      <c r="X325" s="8"/>
      <c r="Y325" s="8"/>
    </row>
    <row r="326" spans="1:25" hidden="1" x14ac:dyDescent="0.25">
      <c r="A326" s="273" t="s">
        <v>313</v>
      </c>
      <c r="B326" s="251">
        <v>45722</v>
      </c>
      <c r="C326" s="252" t="s">
        <v>525</v>
      </c>
      <c r="D326" s="252"/>
      <c r="E326" s="253">
        <v>956</v>
      </c>
      <c r="F326" s="253">
        <v>0</v>
      </c>
      <c r="G326" s="274">
        <f>Tabla3[[#This Row],[INGRESOS]]-Tabla3[[#This Row],[EGRESOS]]</f>
        <v>-956</v>
      </c>
      <c r="H326" s="274"/>
      <c r="I326" s="135">
        <v>1140</v>
      </c>
      <c r="J326" s="136">
        <f>Tabla3[[#This Row],[EGRESOS]]/Tabla3[[#This Row],[TC]]</f>
        <v>0.83859649122807023</v>
      </c>
      <c r="K326" s="136">
        <f>Tabla3[[#This Row],[INGRESOS]]/Tabla3[[#This Row],[TC]]</f>
        <v>0</v>
      </c>
      <c r="L326" s="8" t="s">
        <v>376</v>
      </c>
      <c r="M326" s="8" t="s">
        <v>377</v>
      </c>
      <c r="N326" s="8" t="s">
        <v>30</v>
      </c>
      <c r="O326" s="8" t="s">
        <v>184</v>
      </c>
      <c r="P326" s="8" t="s">
        <v>185</v>
      </c>
      <c r="Q326" s="8" t="s">
        <v>186</v>
      </c>
      <c r="R326" s="8" t="s">
        <v>227</v>
      </c>
      <c r="S326" s="8"/>
      <c r="T326" s="8"/>
      <c r="U326" s="8" t="s">
        <v>384</v>
      </c>
      <c r="V326" s="8"/>
      <c r="W326" s="8" t="s">
        <v>380</v>
      </c>
      <c r="X326" s="8" t="s">
        <v>99</v>
      </c>
      <c r="Y326" s="8" t="s">
        <v>23</v>
      </c>
    </row>
    <row r="327" spans="1:25" hidden="1" x14ac:dyDescent="0.25">
      <c r="A327" s="273" t="s">
        <v>313</v>
      </c>
      <c r="B327" s="251">
        <v>45722</v>
      </c>
      <c r="C327" s="252" t="s">
        <v>497</v>
      </c>
      <c r="D327" s="252"/>
      <c r="E327" s="253">
        <v>200.76</v>
      </c>
      <c r="F327" s="253">
        <v>0</v>
      </c>
      <c r="G327" s="274">
        <f>Tabla3[[#This Row],[INGRESOS]]-Tabla3[[#This Row],[EGRESOS]]</f>
        <v>-200.76</v>
      </c>
      <c r="H327" s="274"/>
      <c r="I327" s="135">
        <v>1140</v>
      </c>
      <c r="J327" s="136">
        <f>Tabla3[[#This Row],[EGRESOS]]/Tabla3[[#This Row],[TC]]</f>
        <v>0.17610526315789474</v>
      </c>
      <c r="K327" s="136">
        <f>Tabla3[[#This Row],[INGRESOS]]/Tabla3[[#This Row],[TC]]</f>
        <v>0</v>
      </c>
      <c r="L327" s="8" t="s">
        <v>376</v>
      </c>
      <c r="M327" s="8" t="s">
        <v>377</v>
      </c>
      <c r="N327" s="8" t="s">
        <v>30</v>
      </c>
      <c r="O327" s="8" t="s">
        <v>184</v>
      </c>
      <c r="P327" s="8" t="s">
        <v>195</v>
      </c>
      <c r="Q327" s="8" t="s">
        <v>196</v>
      </c>
      <c r="R327" s="8" t="s">
        <v>382</v>
      </c>
      <c r="S327" s="8" t="s">
        <v>383</v>
      </c>
      <c r="T327" s="8"/>
      <c r="U327" s="8" t="s">
        <v>384</v>
      </c>
      <c r="V327" s="8"/>
      <c r="W327" s="8" t="s">
        <v>380</v>
      </c>
      <c r="X327" s="8" t="s">
        <v>99</v>
      </c>
      <c r="Y327" s="8" t="s">
        <v>23</v>
      </c>
    </row>
    <row r="328" spans="1:25" hidden="1" x14ac:dyDescent="0.25">
      <c r="A328" s="273" t="s">
        <v>313</v>
      </c>
      <c r="B328" s="251">
        <v>45722</v>
      </c>
      <c r="C328" s="252" t="s">
        <v>518</v>
      </c>
      <c r="D328" s="252"/>
      <c r="E328" s="253">
        <v>16200</v>
      </c>
      <c r="F328" s="253">
        <v>0</v>
      </c>
      <c r="G328" s="274">
        <f>Tabla3[[#This Row],[INGRESOS]]-Tabla3[[#This Row],[EGRESOS]]</f>
        <v>-16200</v>
      </c>
      <c r="H328" s="274"/>
      <c r="I328" s="135">
        <v>1140</v>
      </c>
      <c r="J328" s="136">
        <f>Tabla3[[#This Row],[EGRESOS]]/Tabla3[[#This Row],[TC]]</f>
        <v>14.210526315789474</v>
      </c>
      <c r="K328" s="136">
        <f>Tabla3[[#This Row],[INGRESOS]]/Tabla3[[#This Row],[TC]]</f>
        <v>0</v>
      </c>
      <c r="L328" s="8" t="s">
        <v>376</v>
      </c>
      <c r="M328" s="8" t="s">
        <v>377</v>
      </c>
      <c r="N328" s="8" t="s">
        <v>30</v>
      </c>
      <c r="O328" s="8" t="s">
        <v>184</v>
      </c>
      <c r="P328" s="8" t="s">
        <v>195</v>
      </c>
      <c r="Q328" s="8" t="s">
        <v>196</v>
      </c>
      <c r="R328" s="8" t="s">
        <v>394</v>
      </c>
      <c r="S328" s="8" t="s">
        <v>383</v>
      </c>
      <c r="T328" s="8"/>
      <c r="U328" s="8" t="s">
        <v>384</v>
      </c>
      <c r="V328" s="8"/>
      <c r="W328" s="8" t="s">
        <v>380</v>
      </c>
      <c r="X328" s="8" t="s">
        <v>99</v>
      </c>
      <c r="Y328" s="8" t="s">
        <v>23</v>
      </c>
    </row>
    <row r="329" spans="1:25" hidden="1" x14ac:dyDescent="0.25">
      <c r="A329" s="273" t="s">
        <v>313</v>
      </c>
      <c r="B329" s="251">
        <v>45722</v>
      </c>
      <c r="C329" s="252" t="s">
        <v>500</v>
      </c>
      <c r="D329" s="252"/>
      <c r="E329" s="253">
        <v>5.74</v>
      </c>
      <c r="F329" s="253">
        <v>0</v>
      </c>
      <c r="G329" s="274">
        <f>Tabla3[[#This Row],[INGRESOS]]-Tabla3[[#This Row],[EGRESOS]]</f>
        <v>-5.74</v>
      </c>
      <c r="H329" s="274"/>
      <c r="I329" s="135">
        <v>1140</v>
      </c>
      <c r="J329" s="136">
        <f>Tabla3[[#This Row],[EGRESOS]]/Tabla3[[#This Row],[TC]]</f>
        <v>5.0350877192982457E-3</v>
      </c>
      <c r="K329" s="136">
        <f>Tabla3[[#This Row],[INGRESOS]]/Tabla3[[#This Row],[TC]]</f>
        <v>0</v>
      </c>
      <c r="L329" s="8" t="s">
        <v>376</v>
      </c>
      <c r="M329" s="8" t="s">
        <v>377</v>
      </c>
      <c r="N329" s="8" t="s">
        <v>30</v>
      </c>
      <c r="O329" s="8" t="s">
        <v>184</v>
      </c>
      <c r="P329" s="8" t="s">
        <v>195</v>
      </c>
      <c r="Q329" s="8" t="s">
        <v>196</v>
      </c>
      <c r="R329" s="8" t="s">
        <v>394</v>
      </c>
      <c r="S329" s="8" t="s">
        <v>383</v>
      </c>
      <c r="T329" s="8"/>
      <c r="U329" s="8" t="s">
        <v>384</v>
      </c>
      <c r="V329" s="8"/>
      <c r="W329" s="8" t="s">
        <v>380</v>
      </c>
      <c r="X329" s="8" t="s">
        <v>99</v>
      </c>
      <c r="Y329" s="8" t="s">
        <v>23</v>
      </c>
    </row>
    <row r="330" spans="1:25" hidden="1" x14ac:dyDescent="0.25">
      <c r="A330" s="273" t="s">
        <v>313</v>
      </c>
      <c r="B330" s="251">
        <v>45722</v>
      </c>
      <c r="C330" s="252" t="s">
        <v>500</v>
      </c>
      <c r="D330" s="252"/>
      <c r="E330" s="253">
        <v>1.2</v>
      </c>
      <c r="F330" s="253">
        <v>0</v>
      </c>
      <c r="G330" s="274">
        <f>Tabla3[[#This Row],[INGRESOS]]-Tabla3[[#This Row],[EGRESOS]]</f>
        <v>-1.2</v>
      </c>
      <c r="H330" s="274"/>
      <c r="I330" s="135">
        <v>1140</v>
      </c>
      <c r="J330" s="136">
        <f>Tabla3[[#This Row],[EGRESOS]]/Tabla3[[#This Row],[TC]]</f>
        <v>1.0526315789473684E-3</v>
      </c>
      <c r="K330" s="136">
        <f>Tabla3[[#This Row],[INGRESOS]]/Tabla3[[#This Row],[TC]]</f>
        <v>0</v>
      </c>
      <c r="L330" s="8" t="s">
        <v>376</v>
      </c>
      <c r="M330" s="8" t="s">
        <v>377</v>
      </c>
      <c r="N330" s="8" t="s">
        <v>30</v>
      </c>
      <c r="O330" s="8" t="s">
        <v>184</v>
      </c>
      <c r="P330" s="8" t="s">
        <v>195</v>
      </c>
      <c r="Q330" s="8" t="s">
        <v>196</v>
      </c>
      <c r="R330" s="8" t="s">
        <v>394</v>
      </c>
      <c r="S330" s="8" t="s">
        <v>383</v>
      </c>
      <c r="T330" s="8"/>
      <c r="U330" s="8" t="s">
        <v>384</v>
      </c>
      <c r="V330" s="8"/>
      <c r="W330" s="8" t="s">
        <v>380</v>
      </c>
      <c r="X330" s="8" t="s">
        <v>99</v>
      </c>
      <c r="Y330" s="8" t="s">
        <v>23</v>
      </c>
    </row>
    <row r="331" spans="1:25" hidden="1" x14ac:dyDescent="0.25">
      <c r="A331" s="273" t="s">
        <v>313</v>
      </c>
      <c r="B331" s="251">
        <v>45727</v>
      </c>
      <c r="C331" s="252" t="s">
        <v>438</v>
      </c>
      <c r="D331" s="252"/>
      <c r="E331" s="253">
        <v>0</v>
      </c>
      <c r="F331" s="253">
        <v>310000</v>
      </c>
      <c r="G331" s="274">
        <f>Tabla3[[#This Row],[INGRESOS]]-Tabla3[[#This Row],[EGRESOS]]</f>
        <v>310000</v>
      </c>
      <c r="H331" s="137">
        <f>Tabla3[[#This Row],[SALDO]]+H330</f>
        <v>310000</v>
      </c>
      <c r="I331" s="135">
        <v>1140</v>
      </c>
      <c r="J331" s="136">
        <f>Tabla3[[#This Row],[EGRESOS]]/Tabla3[[#This Row],[TC]]</f>
        <v>0</v>
      </c>
      <c r="K331" s="136">
        <f>Tabla3[[#This Row],[INGRESOS]]/Tabla3[[#This Row],[TC]]</f>
        <v>271.92982456140351</v>
      </c>
      <c r="L331" s="8" t="s">
        <v>376</v>
      </c>
      <c r="M331" s="8" t="s">
        <v>377</v>
      </c>
      <c r="N331" s="8" t="s">
        <v>25</v>
      </c>
      <c r="O331" s="8" t="s">
        <v>184</v>
      </c>
      <c r="P331" s="8" t="s">
        <v>203</v>
      </c>
      <c r="Q331" s="8" t="s">
        <v>204</v>
      </c>
      <c r="R331" s="8"/>
      <c r="S331" s="8" t="s">
        <v>386</v>
      </c>
      <c r="T331" s="8"/>
      <c r="U331" s="8" t="s">
        <v>439</v>
      </c>
      <c r="V331" s="8" t="s">
        <v>386</v>
      </c>
      <c r="W331" s="8" t="s">
        <v>380</v>
      </c>
      <c r="X331" s="8" t="s">
        <v>23</v>
      </c>
      <c r="Y331" s="8" t="s">
        <v>98</v>
      </c>
    </row>
    <row r="332" spans="1:25" hidden="1" x14ac:dyDescent="0.25">
      <c r="A332" s="273" t="s">
        <v>313</v>
      </c>
      <c r="B332" s="251">
        <v>45723</v>
      </c>
      <c r="C332" s="252" t="s">
        <v>508</v>
      </c>
      <c r="D332" s="252"/>
      <c r="E332" s="253">
        <v>600000</v>
      </c>
      <c r="F332" s="253">
        <v>0</v>
      </c>
      <c r="G332" s="274">
        <f>Tabla3[[#This Row],[INGRESOS]]-Tabla3[[#This Row],[EGRESOS]]</f>
        <v>-600000</v>
      </c>
      <c r="H332" s="274"/>
      <c r="I332" s="135">
        <v>1140</v>
      </c>
      <c r="J332" s="136">
        <f>Tabla3[[#This Row],[EGRESOS]]/Tabla3[[#This Row],[TC]]</f>
        <v>526.31578947368416</v>
      </c>
      <c r="K332" s="136">
        <f>Tabla3[[#This Row],[INGRESOS]]/Tabla3[[#This Row],[TC]]</f>
        <v>0</v>
      </c>
      <c r="L332" s="8" t="s">
        <v>376</v>
      </c>
      <c r="M332" s="8" t="s">
        <v>377</v>
      </c>
      <c r="N332" s="8" t="s">
        <v>30</v>
      </c>
      <c r="O332" s="8" t="s">
        <v>244</v>
      </c>
      <c r="P332" s="8" t="s">
        <v>259</v>
      </c>
      <c r="Q332" s="8" t="s">
        <v>260</v>
      </c>
      <c r="R332" s="8" t="s">
        <v>444</v>
      </c>
      <c r="S332" s="8"/>
      <c r="T332" s="8"/>
      <c r="U332" s="8" t="s">
        <v>379</v>
      </c>
      <c r="V332" s="8"/>
      <c r="W332" s="8" t="s">
        <v>380</v>
      </c>
      <c r="X332" s="8"/>
      <c r="Y332" s="8"/>
    </row>
    <row r="333" spans="1:25" hidden="1" x14ac:dyDescent="0.25">
      <c r="A333" s="273" t="s">
        <v>313</v>
      </c>
      <c r="B333" s="251">
        <v>45723</v>
      </c>
      <c r="C333" s="252" t="s">
        <v>508</v>
      </c>
      <c r="D333" s="252"/>
      <c r="E333" s="253">
        <v>583000</v>
      </c>
      <c r="F333" s="253">
        <v>0</v>
      </c>
      <c r="G333" s="274">
        <f>Tabla3[[#This Row],[INGRESOS]]-Tabla3[[#This Row],[EGRESOS]]</f>
        <v>-583000</v>
      </c>
      <c r="H333" s="274"/>
      <c r="I333" s="135">
        <v>1140</v>
      </c>
      <c r="J333" s="136">
        <f>Tabla3[[#This Row],[EGRESOS]]/Tabla3[[#This Row],[TC]]</f>
        <v>511.40350877192981</v>
      </c>
      <c r="K333" s="136">
        <f>Tabla3[[#This Row],[INGRESOS]]/Tabla3[[#This Row],[TC]]</f>
        <v>0</v>
      </c>
      <c r="L333" s="8" t="s">
        <v>376</v>
      </c>
      <c r="M333" s="8" t="s">
        <v>377</v>
      </c>
      <c r="N333" s="8" t="s">
        <v>30</v>
      </c>
      <c r="O333" s="8" t="s">
        <v>244</v>
      </c>
      <c r="P333" s="8" t="s">
        <v>259</v>
      </c>
      <c r="Q333" s="8" t="s">
        <v>260</v>
      </c>
      <c r="R333" s="8" t="s">
        <v>393</v>
      </c>
      <c r="S333" s="8"/>
      <c r="T333" s="8"/>
      <c r="U333" s="8" t="s">
        <v>379</v>
      </c>
      <c r="V333" s="8"/>
      <c r="W333" s="8" t="s">
        <v>380</v>
      </c>
      <c r="X333" s="8"/>
      <c r="Y333" s="8"/>
    </row>
    <row r="334" spans="1:25" hidden="1" x14ac:dyDescent="0.25">
      <c r="A334" s="273" t="s">
        <v>313</v>
      </c>
      <c r="B334" s="251">
        <v>45723</v>
      </c>
      <c r="C334" s="252" t="s">
        <v>525</v>
      </c>
      <c r="D334" s="252"/>
      <c r="E334" s="253">
        <v>956</v>
      </c>
      <c r="F334" s="253">
        <v>0</v>
      </c>
      <c r="G334" s="274">
        <f>Tabla3[[#This Row],[INGRESOS]]-Tabla3[[#This Row],[EGRESOS]]</f>
        <v>-956</v>
      </c>
      <c r="H334" s="274"/>
      <c r="I334" s="135">
        <v>1140</v>
      </c>
      <c r="J334" s="136">
        <f>Tabla3[[#This Row],[EGRESOS]]/Tabla3[[#This Row],[TC]]</f>
        <v>0.83859649122807023</v>
      </c>
      <c r="K334" s="136">
        <f>Tabla3[[#This Row],[INGRESOS]]/Tabla3[[#This Row],[TC]]</f>
        <v>0</v>
      </c>
      <c r="L334" s="8" t="s">
        <v>376</v>
      </c>
      <c r="M334" s="8" t="s">
        <v>377</v>
      </c>
      <c r="N334" s="8" t="s">
        <v>30</v>
      </c>
      <c r="O334" s="8" t="s">
        <v>184</v>
      </c>
      <c r="P334" s="8" t="s">
        <v>185</v>
      </c>
      <c r="Q334" s="8" t="s">
        <v>186</v>
      </c>
      <c r="R334" s="8" t="s">
        <v>227</v>
      </c>
      <c r="S334" s="8"/>
      <c r="T334" s="8"/>
      <c r="U334" s="8" t="s">
        <v>384</v>
      </c>
      <c r="V334" s="8"/>
      <c r="W334" s="8" t="s">
        <v>380</v>
      </c>
      <c r="X334" s="8" t="s">
        <v>99</v>
      </c>
      <c r="Y334" s="8" t="s">
        <v>23</v>
      </c>
    </row>
    <row r="335" spans="1:25" hidden="1" x14ac:dyDescent="0.25">
      <c r="A335" s="273" t="s">
        <v>313</v>
      </c>
      <c r="B335" s="251">
        <v>45723</v>
      </c>
      <c r="C335" s="252" t="s">
        <v>497</v>
      </c>
      <c r="D335" s="252"/>
      <c r="E335" s="253">
        <v>200.76</v>
      </c>
      <c r="F335" s="253">
        <v>0</v>
      </c>
      <c r="G335" s="274">
        <f>Tabla3[[#This Row],[INGRESOS]]-Tabla3[[#This Row],[EGRESOS]]</f>
        <v>-200.76</v>
      </c>
      <c r="H335" s="274"/>
      <c r="I335" s="135">
        <v>1140</v>
      </c>
      <c r="J335" s="136">
        <f>Tabla3[[#This Row],[EGRESOS]]/Tabla3[[#This Row],[TC]]</f>
        <v>0.17610526315789474</v>
      </c>
      <c r="K335" s="136">
        <f>Tabla3[[#This Row],[INGRESOS]]/Tabla3[[#This Row],[TC]]</f>
        <v>0</v>
      </c>
      <c r="L335" s="8" t="s">
        <v>376</v>
      </c>
      <c r="M335" s="8" t="s">
        <v>377</v>
      </c>
      <c r="N335" s="8" t="s">
        <v>30</v>
      </c>
      <c r="O335" s="8" t="s">
        <v>184</v>
      </c>
      <c r="P335" s="8" t="s">
        <v>195</v>
      </c>
      <c r="Q335" s="8" t="s">
        <v>196</v>
      </c>
      <c r="R335" s="8" t="s">
        <v>273</v>
      </c>
      <c r="S335" s="8" t="s">
        <v>383</v>
      </c>
      <c r="T335" s="8"/>
      <c r="U335" s="8" t="s">
        <v>384</v>
      </c>
      <c r="V335" s="8"/>
      <c r="W335" s="8" t="s">
        <v>380</v>
      </c>
      <c r="X335" s="8" t="s">
        <v>99</v>
      </c>
      <c r="Y335" s="8" t="s">
        <v>23</v>
      </c>
    </row>
    <row r="336" spans="1:25" hidden="1" x14ac:dyDescent="0.25">
      <c r="A336" s="273" t="s">
        <v>313</v>
      </c>
      <c r="B336" s="251">
        <v>45723</v>
      </c>
      <c r="C336" s="252" t="s">
        <v>518</v>
      </c>
      <c r="D336" s="252"/>
      <c r="E336" s="253">
        <v>7200</v>
      </c>
      <c r="F336" s="253">
        <v>0</v>
      </c>
      <c r="G336" s="274">
        <f>Tabla3[[#This Row],[INGRESOS]]-Tabla3[[#This Row],[EGRESOS]]</f>
        <v>-7200</v>
      </c>
      <c r="H336" s="274"/>
      <c r="I336" s="135">
        <v>1140</v>
      </c>
      <c r="J336" s="136">
        <f>Tabla3[[#This Row],[EGRESOS]]/Tabla3[[#This Row],[TC]]</f>
        <v>6.3157894736842106</v>
      </c>
      <c r="K336" s="136">
        <f>Tabla3[[#This Row],[INGRESOS]]/Tabla3[[#This Row],[TC]]</f>
        <v>0</v>
      </c>
      <c r="L336" s="8" t="s">
        <v>376</v>
      </c>
      <c r="M336" s="8" t="s">
        <v>377</v>
      </c>
      <c r="N336" s="8" t="s">
        <v>30</v>
      </c>
      <c r="O336" s="8" t="s">
        <v>184</v>
      </c>
      <c r="P336" s="8" t="s">
        <v>195</v>
      </c>
      <c r="Q336" s="8" t="s">
        <v>196</v>
      </c>
      <c r="R336" s="8" t="s">
        <v>394</v>
      </c>
      <c r="S336" s="8" t="s">
        <v>383</v>
      </c>
      <c r="T336" s="8"/>
      <c r="U336" s="8" t="s">
        <v>384</v>
      </c>
      <c r="V336" s="8"/>
      <c r="W336" s="8" t="s">
        <v>380</v>
      </c>
      <c r="X336" s="8" t="s">
        <v>99</v>
      </c>
      <c r="Y336" s="8" t="s">
        <v>23</v>
      </c>
    </row>
    <row r="337" spans="1:25" hidden="1" x14ac:dyDescent="0.25">
      <c r="A337" s="273" t="s">
        <v>313</v>
      </c>
      <c r="B337" s="251">
        <v>45723</v>
      </c>
      <c r="C337" s="252" t="s">
        <v>500</v>
      </c>
      <c r="D337" s="252"/>
      <c r="E337" s="253">
        <v>5.74</v>
      </c>
      <c r="F337" s="253">
        <v>0</v>
      </c>
      <c r="G337" s="274">
        <f>Tabla3[[#This Row],[INGRESOS]]-Tabla3[[#This Row],[EGRESOS]]</f>
        <v>-5.74</v>
      </c>
      <c r="H337" s="274"/>
      <c r="I337" s="135">
        <v>1140</v>
      </c>
      <c r="J337" s="136">
        <f>Tabla3[[#This Row],[EGRESOS]]/Tabla3[[#This Row],[TC]]</f>
        <v>5.0350877192982457E-3</v>
      </c>
      <c r="K337" s="136">
        <f>Tabla3[[#This Row],[INGRESOS]]/Tabla3[[#This Row],[TC]]</f>
        <v>0</v>
      </c>
      <c r="L337" s="8" t="s">
        <v>376</v>
      </c>
      <c r="M337" s="8" t="s">
        <v>377</v>
      </c>
      <c r="N337" s="8" t="s">
        <v>30</v>
      </c>
      <c r="O337" s="8" t="s">
        <v>184</v>
      </c>
      <c r="P337" s="8" t="s">
        <v>195</v>
      </c>
      <c r="Q337" s="8" t="s">
        <v>196</v>
      </c>
      <c r="R337" s="8" t="s">
        <v>394</v>
      </c>
      <c r="S337" s="8" t="s">
        <v>383</v>
      </c>
      <c r="T337" s="8"/>
      <c r="U337" s="8" t="s">
        <v>384</v>
      </c>
      <c r="V337" s="8"/>
      <c r="W337" s="8" t="s">
        <v>380</v>
      </c>
      <c r="X337" s="8" t="s">
        <v>99</v>
      </c>
      <c r="Y337" s="8" t="s">
        <v>23</v>
      </c>
    </row>
    <row r="338" spans="1:25" hidden="1" x14ac:dyDescent="0.25">
      <c r="A338" s="273" t="s">
        <v>313</v>
      </c>
      <c r="B338" s="251">
        <v>45723</v>
      </c>
      <c r="C338" s="252" t="s">
        <v>500</v>
      </c>
      <c r="D338" s="252"/>
      <c r="E338" s="253">
        <v>1.2</v>
      </c>
      <c r="F338" s="253">
        <v>0</v>
      </c>
      <c r="G338" s="274">
        <f>Tabla3[[#This Row],[INGRESOS]]-Tabla3[[#This Row],[EGRESOS]]</f>
        <v>-1.2</v>
      </c>
      <c r="H338" s="274"/>
      <c r="I338" s="135">
        <v>1140</v>
      </c>
      <c r="J338" s="136">
        <f>Tabla3[[#This Row],[EGRESOS]]/Tabla3[[#This Row],[TC]]</f>
        <v>1.0526315789473684E-3</v>
      </c>
      <c r="K338" s="136">
        <f>Tabla3[[#This Row],[INGRESOS]]/Tabla3[[#This Row],[TC]]</f>
        <v>0</v>
      </c>
      <c r="L338" s="8" t="s">
        <v>376</v>
      </c>
      <c r="M338" s="8" t="s">
        <v>377</v>
      </c>
      <c r="N338" s="8" t="s">
        <v>30</v>
      </c>
      <c r="O338" s="8" t="s">
        <v>184</v>
      </c>
      <c r="P338" s="8" t="s">
        <v>195</v>
      </c>
      <c r="Q338" s="8" t="s">
        <v>196</v>
      </c>
      <c r="R338" s="8" t="s">
        <v>394</v>
      </c>
      <c r="S338" s="8" t="s">
        <v>383</v>
      </c>
      <c r="T338" s="8"/>
      <c r="U338" s="8" t="s">
        <v>384</v>
      </c>
      <c r="V338" s="8"/>
      <c r="W338" s="8" t="s">
        <v>380</v>
      </c>
      <c r="X338" s="8" t="s">
        <v>99</v>
      </c>
      <c r="Y338" s="8" t="s">
        <v>23</v>
      </c>
    </row>
    <row r="339" spans="1:25" hidden="1" x14ac:dyDescent="0.25">
      <c r="A339" s="273" t="s">
        <v>313</v>
      </c>
      <c r="B339" s="251">
        <v>45727</v>
      </c>
      <c r="C339" s="252" t="s">
        <v>501</v>
      </c>
      <c r="D339" s="252"/>
      <c r="E339" s="253">
        <v>500000</v>
      </c>
      <c r="F339" s="253">
        <v>0</v>
      </c>
      <c r="G339" s="274">
        <f>Tabla3[[#This Row],[INGRESOS]]-Tabla3[[#This Row],[EGRESOS]]</f>
        <v>-500000</v>
      </c>
      <c r="H339" s="274"/>
      <c r="I339" s="135">
        <v>1140</v>
      </c>
      <c r="J339" s="136">
        <f>Tabla3[[#This Row],[EGRESOS]]/Tabla3[[#This Row],[TC]]</f>
        <v>438.59649122807019</v>
      </c>
      <c r="K339" s="136">
        <f>Tabla3[[#This Row],[INGRESOS]]/Tabla3[[#This Row],[TC]]</f>
        <v>0</v>
      </c>
      <c r="L339" s="8" t="s">
        <v>376</v>
      </c>
      <c r="M339" s="8" t="s">
        <v>377</v>
      </c>
      <c r="N339" s="8" t="s">
        <v>30</v>
      </c>
      <c r="O339" s="8" t="s">
        <v>225</v>
      </c>
      <c r="P339" s="8" t="s">
        <v>236</v>
      </c>
      <c r="Q339" s="8" t="s">
        <v>33</v>
      </c>
      <c r="R339" s="8"/>
      <c r="S339" s="8" t="s">
        <v>502</v>
      </c>
      <c r="T339" s="339" t="s">
        <v>503</v>
      </c>
      <c r="U339" s="7" t="s">
        <v>412</v>
      </c>
      <c r="V339" s="8"/>
      <c r="W339" s="8" t="s">
        <v>380</v>
      </c>
      <c r="X339" s="8" t="s">
        <v>29</v>
      </c>
      <c r="Y339" s="8" t="s">
        <v>23</v>
      </c>
    </row>
    <row r="340" spans="1:25" hidden="1" x14ac:dyDescent="0.25">
      <c r="A340" s="273" t="s">
        <v>313</v>
      </c>
      <c r="B340" s="251">
        <v>45727</v>
      </c>
      <c r="C340" s="252" t="s">
        <v>527</v>
      </c>
      <c r="D340" s="252"/>
      <c r="E340" s="253">
        <v>0</v>
      </c>
      <c r="F340" s="253">
        <v>510000</v>
      </c>
      <c r="G340" s="274">
        <f>Tabla3[[#This Row],[INGRESOS]]-Tabla3[[#This Row],[EGRESOS]]</f>
        <v>510000</v>
      </c>
      <c r="H340" s="274"/>
      <c r="I340" s="135">
        <v>1140</v>
      </c>
      <c r="J340" s="136">
        <f>Tabla3[[#This Row],[EGRESOS]]/Tabla3[[#This Row],[TC]]</f>
        <v>0</v>
      </c>
      <c r="K340" s="136">
        <f>Tabla3[[#This Row],[INGRESOS]]/Tabla3[[#This Row],[TC]]</f>
        <v>447.36842105263156</v>
      </c>
      <c r="L340" s="8" t="s">
        <v>376</v>
      </c>
      <c r="M340" s="8" t="s">
        <v>377</v>
      </c>
      <c r="N340" s="8" t="s">
        <v>30</v>
      </c>
      <c r="O340" s="8" t="s">
        <v>184</v>
      </c>
      <c r="P340" s="8" t="s">
        <v>203</v>
      </c>
      <c r="Q340" s="8" t="s">
        <v>204</v>
      </c>
      <c r="R340" s="8"/>
      <c r="S340" s="8" t="s">
        <v>386</v>
      </c>
      <c r="T340" s="8"/>
      <c r="U340" s="8" t="s">
        <v>439</v>
      </c>
      <c r="V340" s="8" t="s">
        <v>386</v>
      </c>
      <c r="W340" s="8" t="s">
        <v>380</v>
      </c>
      <c r="X340" s="8" t="s">
        <v>23</v>
      </c>
      <c r="Y340" s="8" t="s">
        <v>98</v>
      </c>
    </row>
    <row r="341" spans="1:25" hidden="1" x14ac:dyDescent="0.25">
      <c r="A341" s="273" t="s">
        <v>313</v>
      </c>
      <c r="B341" s="251">
        <v>45727</v>
      </c>
      <c r="C341" s="252" t="s">
        <v>500</v>
      </c>
      <c r="D341" s="252"/>
      <c r="E341" s="253">
        <v>3000</v>
      </c>
      <c r="F341" s="253">
        <v>0</v>
      </c>
      <c r="G341" s="274">
        <f>Tabla3[[#This Row],[INGRESOS]]-Tabla3[[#This Row],[EGRESOS]]</f>
        <v>-3000</v>
      </c>
      <c r="H341" s="274"/>
      <c r="I341" s="135">
        <v>1140</v>
      </c>
      <c r="J341" s="136">
        <f>Tabla3[[#This Row],[EGRESOS]]/Tabla3[[#This Row],[TC]]</f>
        <v>2.6315789473684212</v>
      </c>
      <c r="K341" s="136">
        <f>Tabla3[[#This Row],[INGRESOS]]/Tabla3[[#This Row],[TC]]</f>
        <v>0</v>
      </c>
      <c r="L341" s="8" t="s">
        <v>376</v>
      </c>
      <c r="M341" s="8" t="s">
        <v>377</v>
      </c>
      <c r="N341" s="8" t="s">
        <v>30</v>
      </c>
      <c r="O341" s="8" t="s">
        <v>184</v>
      </c>
      <c r="P341" s="8" t="s">
        <v>195</v>
      </c>
      <c r="Q341" s="8" t="s">
        <v>196</v>
      </c>
      <c r="R341" s="8" t="s">
        <v>394</v>
      </c>
      <c r="S341" s="8" t="s">
        <v>383</v>
      </c>
      <c r="T341" s="8"/>
      <c r="U341" s="8" t="s">
        <v>384</v>
      </c>
      <c r="V341" s="8"/>
      <c r="W341" s="8" t="s">
        <v>380</v>
      </c>
      <c r="X341" s="8" t="s">
        <v>99</v>
      </c>
      <c r="Y341" s="8" t="s">
        <v>23</v>
      </c>
    </row>
    <row r="342" spans="1:25" hidden="1" x14ac:dyDescent="0.25">
      <c r="A342" s="273" t="s">
        <v>313</v>
      </c>
      <c r="B342" s="251">
        <v>45727</v>
      </c>
      <c r="C342" s="252" t="s">
        <v>518</v>
      </c>
      <c r="D342" s="252"/>
      <c r="E342" s="253">
        <v>3060</v>
      </c>
      <c r="F342" s="253">
        <v>0</v>
      </c>
      <c r="G342" s="274">
        <f>Tabla3[[#This Row],[INGRESOS]]-Tabla3[[#This Row],[EGRESOS]]</f>
        <v>-3060</v>
      </c>
      <c r="H342" s="274"/>
      <c r="I342" s="135">
        <v>1140</v>
      </c>
      <c r="J342" s="136">
        <f>Tabla3[[#This Row],[EGRESOS]]/Tabla3[[#This Row],[TC]]</f>
        <v>2.6842105263157894</v>
      </c>
      <c r="K342" s="136">
        <f>Tabla3[[#This Row],[INGRESOS]]/Tabla3[[#This Row],[TC]]</f>
        <v>0</v>
      </c>
      <c r="L342" s="8" t="s">
        <v>376</v>
      </c>
      <c r="M342" s="8" t="s">
        <v>377</v>
      </c>
      <c r="N342" s="8" t="s">
        <v>30</v>
      </c>
      <c r="O342" s="8" t="s">
        <v>184</v>
      </c>
      <c r="P342" s="8" t="s">
        <v>195</v>
      </c>
      <c r="Q342" s="8" t="s">
        <v>196</v>
      </c>
      <c r="R342" s="8" t="s">
        <v>394</v>
      </c>
      <c r="S342" s="8" t="s">
        <v>383</v>
      </c>
      <c r="T342" s="8"/>
      <c r="U342" s="8" t="s">
        <v>384</v>
      </c>
      <c r="V342" s="8"/>
      <c r="W342" s="8" t="s">
        <v>380</v>
      </c>
      <c r="X342" s="8" t="s">
        <v>99</v>
      </c>
      <c r="Y342" s="8" t="s">
        <v>23</v>
      </c>
    </row>
    <row r="343" spans="1:25" hidden="1" x14ac:dyDescent="0.25">
      <c r="A343" s="273" t="s">
        <v>313</v>
      </c>
      <c r="B343" s="251">
        <v>45728</v>
      </c>
      <c r="C343" s="252" t="s">
        <v>528</v>
      </c>
      <c r="D343" s="252"/>
      <c r="E343" s="253">
        <v>0</v>
      </c>
      <c r="F343" s="253">
        <v>6100</v>
      </c>
      <c r="G343" s="274">
        <f>Tabla3[[#This Row],[INGRESOS]]-Tabla3[[#This Row],[EGRESOS]]</f>
        <v>6100</v>
      </c>
      <c r="H343" s="274"/>
      <c r="I343" s="135">
        <v>1140</v>
      </c>
      <c r="J343" s="136">
        <f>Tabla3[[#This Row],[EGRESOS]]/Tabla3[[#This Row],[TC]]</f>
        <v>0</v>
      </c>
      <c r="K343" s="136">
        <f>Tabla3[[#This Row],[INGRESOS]]/Tabla3[[#This Row],[TC]]</f>
        <v>5.3508771929824563</v>
      </c>
      <c r="L343" s="8" t="s">
        <v>376</v>
      </c>
      <c r="M343" s="8" t="s">
        <v>377</v>
      </c>
      <c r="N343" s="8" t="s">
        <v>30</v>
      </c>
      <c r="O343" s="8" t="s">
        <v>244</v>
      </c>
      <c r="P343" s="8" t="s">
        <v>259</v>
      </c>
      <c r="Q343" s="8" t="s">
        <v>260</v>
      </c>
      <c r="R343" s="8" t="s">
        <v>447</v>
      </c>
      <c r="S343" s="8"/>
      <c r="T343" s="8"/>
      <c r="U343" s="8" t="s">
        <v>379</v>
      </c>
      <c r="V343" s="8"/>
      <c r="W343" s="8" t="s">
        <v>380</v>
      </c>
      <c r="X343" s="8"/>
      <c r="Y343" s="8"/>
    </row>
    <row r="344" spans="1:25" hidden="1" x14ac:dyDescent="0.25">
      <c r="A344" s="247" t="s">
        <v>312</v>
      </c>
      <c r="B344" s="248">
        <v>45705</v>
      </c>
      <c r="C344" s="244" t="s">
        <v>508</v>
      </c>
      <c r="D344" s="244"/>
      <c r="E344" s="249">
        <v>362000</v>
      </c>
      <c r="F344" s="249">
        <v>0</v>
      </c>
      <c r="G344" s="266">
        <f>Tabla3[[#This Row],[INGRESOS]]-Tabla3[[#This Row],[EGRESOS]]</f>
        <v>-362000</v>
      </c>
      <c r="H344" s="336"/>
      <c r="I344" s="119">
        <v>1140</v>
      </c>
      <c r="J344" s="99">
        <f>Tabla3[[#This Row],[EGRESOS]]/Tabla3[[#This Row],[TC]]</f>
        <v>317.54385964912279</v>
      </c>
      <c r="K344" s="99">
        <f>Tabla3[[#This Row],[INGRESOS]]/Tabla3[[#This Row],[TC]]</f>
        <v>0</v>
      </c>
      <c r="L344" s="7" t="s">
        <v>376</v>
      </c>
      <c r="M344" s="7" t="s">
        <v>377</v>
      </c>
      <c r="N344" s="7" t="s">
        <v>30</v>
      </c>
      <c r="O344" s="7" t="s">
        <v>184</v>
      </c>
      <c r="P344" s="7" t="s">
        <v>203</v>
      </c>
      <c r="Q344" s="7" t="s">
        <v>208</v>
      </c>
      <c r="R344" s="7" t="s">
        <v>529</v>
      </c>
      <c r="S344" s="8" t="s">
        <v>414</v>
      </c>
      <c r="T344" s="7"/>
      <c r="U344" s="8" t="s">
        <v>530</v>
      </c>
      <c r="V344" s="7" t="s">
        <v>415</v>
      </c>
      <c r="W344" s="7" t="s">
        <v>380</v>
      </c>
      <c r="X344" s="8" t="s">
        <v>102</v>
      </c>
      <c r="Y344" s="7" t="s">
        <v>23</v>
      </c>
    </row>
    <row r="345" spans="1:25" hidden="1" x14ac:dyDescent="0.25">
      <c r="A345" s="273" t="s">
        <v>313</v>
      </c>
      <c r="B345" s="251">
        <v>45728</v>
      </c>
      <c r="C345" s="252" t="s">
        <v>518</v>
      </c>
      <c r="D345" s="252"/>
      <c r="E345" s="253">
        <v>60</v>
      </c>
      <c r="F345" s="253">
        <v>0</v>
      </c>
      <c r="G345" s="274">
        <f>Tabla3[[#This Row],[INGRESOS]]-Tabla3[[#This Row],[EGRESOS]]</f>
        <v>-60</v>
      </c>
      <c r="H345" s="274"/>
      <c r="I345" s="135">
        <v>1140</v>
      </c>
      <c r="J345" s="136">
        <f>Tabla3[[#This Row],[EGRESOS]]/Tabla3[[#This Row],[TC]]</f>
        <v>5.2631578947368418E-2</v>
      </c>
      <c r="K345" s="136">
        <f>Tabla3[[#This Row],[INGRESOS]]/Tabla3[[#This Row],[TC]]</f>
        <v>0</v>
      </c>
      <c r="L345" s="8" t="s">
        <v>376</v>
      </c>
      <c r="M345" s="8" t="s">
        <v>377</v>
      </c>
      <c r="N345" s="8" t="s">
        <v>30</v>
      </c>
      <c r="O345" s="8" t="s">
        <v>184</v>
      </c>
      <c r="P345" s="8" t="s">
        <v>195</v>
      </c>
      <c r="Q345" s="8" t="s">
        <v>196</v>
      </c>
      <c r="R345" s="8" t="s">
        <v>394</v>
      </c>
      <c r="S345" s="8" t="s">
        <v>383</v>
      </c>
      <c r="T345" s="8"/>
      <c r="U345" s="8" t="s">
        <v>384</v>
      </c>
      <c r="V345" s="8"/>
      <c r="W345" s="8" t="s">
        <v>380</v>
      </c>
      <c r="X345" s="8" t="s">
        <v>99</v>
      </c>
      <c r="Y345" s="8" t="s">
        <v>23</v>
      </c>
    </row>
    <row r="346" spans="1:25" hidden="1" x14ac:dyDescent="0.25">
      <c r="A346" s="273" t="s">
        <v>313</v>
      </c>
      <c r="B346" s="251">
        <v>45728</v>
      </c>
      <c r="C346" s="252" t="s">
        <v>531</v>
      </c>
      <c r="D346" s="252"/>
      <c r="E346" s="253">
        <v>0</v>
      </c>
      <c r="F346" s="253">
        <v>10000</v>
      </c>
      <c r="G346" s="274">
        <f>Tabla3[[#This Row],[INGRESOS]]-Tabla3[[#This Row],[EGRESOS]]</f>
        <v>10000</v>
      </c>
      <c r="H346" s="274"/>
      <c r="I346" s="135">
        <v>1140</v>
      </c>
      <c r="J346" s="136">
        <f>Tabla3[[#This Row],[EGRESOS]]/Tabla3[[#This Row],[TC]]</f>
        <v>0</v>
      </c>
      <c r="K346" s="136">
        <f>Tabla3[[#This Row],[INGRESOS]]/Tabla3[[#This Row],[TC]]</f>
        <v>8.7719298245614041</v>
      </c>
      <c r="L346" s="8" t="s">
        <v>376</v>
      </c>
      <c r="M346" s="8" t="s">
        <v>377</v>
      </c>
      <c r="N346" s="8" t="s">
        <v>30</v>
      </c>
      <c r="O346" s="8" t="s">
        <v>184</v>
      </c>
      <c r="P346" s="8" t="s">
        <v>203</v>
      </c>
      <c r="Q346" s="8" t="s">
        <v>204</v>
      </c>
      <c r="R346" s="8"/>
      <c r="S346" s="8" t="s">
        <v>414</v>
      </c>
      <c r="T346" s="8"/>
      <c r="U346" s="8" t="s">
        <v>532</v>
      </c>
      <c r="V346" s="8" t="s">
        <v>415</v>
      </c>
      <c r="W346" s="8" t="s">
        <v>380</v>
      </c>
      <c r="X346" s="8" t="s">
        <v>23</v>
      </c>
      <c r="Y346" s="8" t="s">
        <v>98</v>
      </c>
    </row>
    <row r="347" spans="1:25" hidden="1" x14ac:dyDescent="0.25">
      <c r="A347" s="273" t="s">
        <v>313</v>
      </c>
      <c r="B347" s="251">
        <v>45734</v>
      </c>
      <c r="C347" s="252" t="s">
        <v>528</v>
      </c>
      <c r="D347" s="252"/>
      <c r="E347" s="253">
        <v>0</v>
      </c>
      <c r="F347" s="253">
        <v>500000</v>
      </c>
      <c r="G347" s="274">
        <f>Tabla3[[#This Row],[INGRESOS]]-Tabla3[[#This Row],[EGRESOS]]</f>
        <v>500000</v>
      </c>
      <c r="H347" s="274"/>
      <c r="I347" s="135">
        <v>1140</v>
      </c>
      <c r="J347" s="136">
        <f>Tabla3[[#This Row],[EGRESOS]]/Tabla3[[#This Row],[TC]]</f>
        <v>0</v>
      </c>
      <c r="K347" s="136">
        <f>Tabla3[[#This Row],[INGRESOS]]/Tabla3[[#This Row],[TC]]</f>
        <v>438.59649122807019</v>
      </c>
      <c r="L347" s="8" t="s">
        <v>376</v>
      </c>
      <c r="M347" s="8" t="s">
        <v>377</v>
      </c>
      <c r="N347" s="8" t="s">
        <v>30</v>
      </c>
      <c r="O347" s="8" t="s">
        <v>244</v>
      </c>
      <c r="P347" s="8" t="s">
        <v>259</v>
      </c>
      <c r="Q347" s="8" t="s">
        <v>260</v>
      </c>
      <c r="R347" s="8" t="s">
        <v>405</v>
      </c>
      <c r="S347" s="8"/>
      <c r="T347" s="8"/>
      <c r="U347" s="8" t="s">
        <v>379</v>
      </c>
      <c r="V347" s="8"/>
      <c r="W347" s="8"/>
      <c r="X347" s="8"/>
      <c r="Y347" s="8"/>
    </row>
    <row r="348" spans="1:25" hidden="1" x14ac:dyDescent="0.25">
      <c r="A348" s="273" t="s">
        <v>313</v>
      </c>
      <c r="B348" s="251">
        <v>45735</v>
      </c>
      <c r="C348" s="252" t="s">
        <v>508</v>
      </c>
      <c r="D348" s="252"/>
      <c r="E348" s="253">
        <v>500000</v>
      </c>
      <c r="F348" s="253">
        <v>0</v>
      </c>
      <c r="G348" s="274">
        <f>Tabla3[[#This Row],[INGRESOS]]-Tabla3[[#This Row],[EGRESOS]]</f>
        <v>-500000</v>
      </c>
      <c r="H348" s="274"/>
      <c r="I348" s="135">
        <v>1140</v>
      </c>
      <c r="J348" s="136">
        <f>Tabla3[[#This Row],[EGRESOS]]/Tabla3[[#This Row],[TC]]</f>
        <v>438.59649122807019</v>
      </c>
      <c r="K348" s="136">
        <f>Tabla3[[#This Row],[INGRESOS]]/Tabla3[[#This Row],[TC]]</f>
        <v>0</v>
      </c>
      <c r="L348" s="8" t="s">
        <v>376</v>
      </c>
      <c r="M348" s="8" t="s">
        <v>377</v>
      </c>
      <c r="N348" s="8" t="s">
        <v>30</v>
      </c>
      <c r="O348" s="8" t="s">
        <v>215</v>
      </c>
      <c r="P348" s="8" t="s">
        <v>223</v>
      </c>
      <c r="Q348" s="8" t="s">
        <v>224</v>
      </c>
      <c r="R348" s="8" t="s">
        <v>533</v>
      </c>
      <c r="S348" s="8" t="s">
        <v>534</v>
      </c>
      <c r="T348" s="8"/>
      <c r="U348" s="8" t="s">
        <v>429</v>
      </c>
      <c r="V348" s="8"/>
      <c r="W348" s="8" t="s">
        <v>399</v>
      </c>
      <c r="X348" s="8" t="s">
        <v>99</v>
      </c>
      <c r="Y348" s="8" t="s">
        <v>23</v>
      </c>
    </row>
    <row r="349" spans="1:25" hidden="1" x14ac:dyDescent="0.25">
      <c r="A349" s="273" t="s">
        <v>313</v>
      </c>
      <c r="B349" s="251">
        <v>45735</v>
      </c>
      <c r="C349" s="252" t="s">
        <v>500</v>
      </c>
      <c r="D349" s="252"/>
      <c r="E349" s="253">
        <v>3000</v>
      </c>
      <c r="F349" s="253">
        <v>0</v>
      </c>
      <c r="G349" s="274">
        <f>Tabla3[[#This Row],[INGRESOS]]-Tabla3[[#This Row],[EGRESOS]]</f>
        <v>-3000</v>
      </c>
      <c r="H349" s="274"/>
      <c r="I349" s="135">
        <v>1140</v>
      </c>
      <c r="J349" s="136">
        <f>Tabla3[[#This Row],[EGRESOS]]/Tabla3[[#This Row],[TC]]</f>
        <v>2.6315789473684212</v>
      </c>
      <c r="K349" s="136">
        <f>Tabla3[[#This Row],[INGRESOS]]/Tabla3[[#This Row],[TC]]</f>
        <v>0</v>
      </c>
      <c r="L349" s="8" t="s">
        <v>376</v>
      </c>
      <c r="M349" s="8" t="s">
        <v>377</v>
      </c>
      <c r="N349" s="8" t="s">
        <v>30</v>
      </c>
      <c r="O349" s="8" t="s">
        <v>184</v>
      </c>
      <c r="P349" s="8" t="s">
        <v>195</v>
      </c>
      <c r="Q349" s="8" t="s">
        <v>196</v>
      </c>
      <c r="R349" s="8" t="s">
        <v>394</v>
      </c>
      <c r="S349" s="8" t="s">
        <v>383</v>
      </c>
      <c r="T349" s="8"/>
      <c r="U349" s="8" t="s">
        <v>384</v>
      </c>
      <c r="V349" s="8"/>
      <c r="W349" s="8" t="s">
        <v>380</v>
      </c>
      <c r="X349" s="8" t="s">
        <v>99</v>
      </c>
      <c r="Y349" s="8" t="s">
        <v>23</v>
      </c>
    </row>
    <row r="350" spans="1:25" hidden="1" x14ac:dyDescent="0.25">
      <c r="A350" s="273" t="s">
        <v>313</v>
      </c>
      <c r="B350" s="251">
        <v>45737</v>
      </c>
      <c r="C350" s="252" t="s">
        <v>528</v>
      </c>
      <c r="D350" s="252"/>
      <c r="E350" s="253">
        <v>0</v>
      </c>
      <c r="F350" s="253">
        <v>550000</v>
      </c>
      <c r="G350" s="274">
        <f>Tabla3[[#This Row],[INGRESOS]]-Tabla3[[#This Row],[EGRESOS]]</f>
        <v>550000</v>
      </c>
      <c r="H350" s="274"/>
      <c r="I350" s="135">
        <v>1140</v>
      </c>
      <c r="J350" s="136">
        <f>Tabla3[[#This Row],[EGRESOS]]/Tabla3[[#This Row],[TC]]</f>
        <v>0</v>
      </c>
      <c r="K350" s="136">
        <f>Tabla3[[#This Row],[INGRESOS]]/Tabla3[[#This Row],[TC]]</f>
        <v>482.45614035087721</v>
      </c>
      <c r="L350" s="8" t="s">
        <v>376</v>
      </c>
      <c r="M350" s="8" t="s">
        <v>377</v>
      </c>
      <c r="N350" s="8" t="s">
        <v>30</v>
      </c>
      <c r="O350" s="8" t="s">
        <v>244</v>
      </c>
      <c r="P350" s="8" t="s">
        <v>259</v>
      </c>
      <c r="Q350" s="8" t="s">
        <v>260</v>
      </c>
      <c r="R350" s="8" t="s">
        <v>405</v>
      </c>
      <c r="S350" s="8"/>
      <c r="T350" s="8"/>
      <c r="U350" s="8" t="s">
        <v>379</v>
      </c>
      <c r="V350" s="8"/>
      <c r="W350" s="8" t="s">
        <v>380</v>
      </c>
      <c r="X350" s="8"/>
      <c r="Y350" s="8"/>
    </row>
    <row r="351" spans="1:25" hidden="1" x14ac:dyDescent="0.25">
      <c r="A351" s="273" t="s">
        <v>313</v>
      </c>
      <c r="B351" s="251">
        <v>45737</v>
      </c>
      <c r="C351" s="252" t="s">
        <v>500</v>
      </c>
      <c r="D351" s="252"/>
      <c r="E351" s="253">
        <v>3000</v>
      </c>
      <c r="F351" s="253">
        <v>0</v>
      </c>
      <c r="G351" s="274">
        <f>Tabla3[[#This Row],[INGRESOS]]-Tabla3[[#This Row],[EGRESOS]]</f>
        <v>-3000</v>
      </c>
      <c r="H351" s="274"/>
      <c r="I351" s="135">
        <v>1140</v>
      </c>
      <c r="J351" s="136">
        <f>Tabla3[[#This Row],[EGRESOS]]/Tabla3[[#This Row],[TC]]</f>
        <v>2.6315789473684212</v>
      </c>
      <c r="K351" s="136">
        <f>Tabla3[[#This Row],[INGRESOS]]/Tabla3[[#This Row],[TC]]</f>
        <v>0</v>
      </c>
      <c r="L351" s="8" t="s">
        <v>376</v>
      </c>
      <c r="M351" s="8" t="s">
        <v>377</v>
      </c>
      <c r="N351" s="8" t="s">
        <v>30</v>
      </c>
      <c r="O351" s="8" t="s">
        <v>184</v>
      </c>
      <c r="P351" s="8" t="s">
        <v>195</v>
      </c>
      <c r="Q351" s="8" t="s">
        <v>196</v>
      </c>
      <c r="R351" s="8" t="s">
        <v>382</v>
      </c>
      <c r="S351" s="8" t="s">
        <v>383</v>
      </c>
      <c r="T351" s="8"/>
      <c r="U351" s="8" t="s">
        <v>384</v>
      </c>
      <c r="V351" s="8"/>
      <c r="W351" s="8" t="s">
        <v>399</v>
      </c>
      <c r="X351" s="8" t="s">
        <v>99</v>
      </c>
      <c r="Y351" s="8" t="s">
        <v>23</v>
      </c>
    </row>
    <row r="352" spans="1:25" hidden="1" x14ac:dyDescent="0.25">
      <c r="A352" s="273" t="s">
        <v>313</v>
      </c>
      <c r="B352" s="251">
        <v>45743</v>
      </c>
      <c r="C352" s="252" t="s">
        <v>443</v>
      </c>
      <c r="D352" s="252"/>
      <c r="E352" s="253">
        <v>108737</v>
      </c>
      <c r="F352" s="253">
        <v>0</v>
      </c>
      <c r="G352" s="274">
        <f>Tabla3[[#This Row],[INGRESOS]]-Tabla3[[#This Row],[EGRESOS]]</f>
        <v>-108737</v>
      </c>
      <c r="H352" s="274"/>
      <c r="I352" s="135">
        <v>1140</v>
      </c>
      <c r="J352" s="136">
        <f>Tabla3[[#This Row],[EGRESOS]]/Tabla3[[#This Row],[TC]]</f>
        <v>95.38333333333334</v>
      </c>
      <c r="K352" s="136">
        <f>Tabla3[[#This Row],[INGRESOS]]/Tabla3[[#This Row],[TC]]</f>
        <v>0</v>
      </c>
      <c r="L352" s="8" t="s">
        <v>376</v>
      </c>
      <c r="M352" s="8" t="s">
        <v>377</v>
      </c>
      <c r="N352" s="8" t="s">
        <v>30</v>
      </c>
      <c r="O352" s="8" t="s">
        <v>184</v>
      </c>
      <c r="P352" s="8" t="s">
        <v>197</v>
      </c>
      <c r="Q352" s="8" t="s">
        <v>198</v>
      </c>
      <c r="R352" s="8" t="s">
        <v>419</v>
      </c>
      <c r="S352" s="8"/>
      <c r="T352" s="8"/>
      <c r="U352" s="8" t="s">
        <v>384</v>
      </c>
      <c r="V352" s="8"/>
      <c r="W352" s="8" t="s">
        <v>399</v>
      </c>
      <c r="X352" s="8" t="s">
        <v>99</v>
      </c>
      <c r="Y352" s="8" t="s">
        <v>23</v>
      </c>
    </row>
    <row r="353" spans="1:25" hidden="1" x14ac:dyDescent="0.25">
      <c r="A353" s="273" t="s">
        <v>313</v>
      </c>
      <c r="B353" s="251">
        <v>45743</v>
      </c>
      <c r="C353" s="252" t="s">
        <v>443</v>
      </c>
      <c r="D353" s="252"/>
      <c r="E353" s="253">
        <v>2885.64</v>
      </c>
      <c r="F353" s="253">
        <v>0</v>
      </c>
      <c r="G353" s="274">
        <f>Tabla3[[#This Row],[INGRESOS]]-Tabla3[[#This Row],[EGRESOS]]</f>
        <v>-2885.64</v>
      </c>
      <c r="H353" s="274"/>
      <c r="I353" s="135">
        <v>1140</v>
      </c>
      <c r="J353" s="136">
        <f>Tabla3[[#This Row],[EGRESOS]]/Tabla3[[#This Row],[TC]]</f>
        <v>2.5312631578947369</v>
      </c>
      <c r="K353" s="136">
        <f>Tabla3[[#This Row],[INGRESOS]]/Tabla3[[#This Row],[TC]]</f>
        <v>0</v>
      </c>
      <c r="L353" s="8" t="s">
        <v>376</v>
      </c>
      <c r="M353" s="8" t="s">
        <v>377</v>
      </c>
      <c r="N353" s="8" t="s">
        <v>30</v>
      </c>
      <c r="O353" s="8" t="s">
        <v>184</v>
      </c>
      <c r="P353" s="8" t="s">
        <v>197</v>
      </c>
      <c r="Q353" s="8" t="s">
        <v>198</v>
      </c>
      <c r="R353" s="8" t="s">
        <v>419</v>
      </c>
      <c r="S353" s="8"/>
      <c r="T353" s="8"/>
      <c r="U353" s="8" t="s">
        <v>384</v>
      </c>
      <c r="V353" s="8"/>
      <c r="W353" s="8" t="s">
        <v>399</v>
      </c>
      <c r="X353" s="8" t="s">
        <v>99</v>
      </c>
      <c r="Y353" s="8" t="s">
        <v>23</v>
      </c>
    </row>
    <row r="354" spans="1:25" hidden="1" x14ac:dyDescent="0.25">
      <c r="A354" s="273" t="s">
        <v>313</v>
      </c>
      <c r="B354" s="251">
        <v>45743</v>
      </c>
      <c r="C354" s="252" t="s">
        <v>528</v>
      </c>
      <c r="D354" s="252"/>
      <c r="E354" s="253">
        <v>0</v>
      </c>
      <c r="F354" s="253">
        <v>70000</v>
      </c>
      <c r="G354" s="274">
        <f>Tabla3[[#This Row],[INGRESOS]]-Tabla3[[#This Row],[EGRESOS]]</f>
        <v>70000</v>
      </c>
      <c r="H354" s="274"/>
      <c r="I354" s="135">
        <v>1140</v>
      </c>
      <c r="J354" s="136">
        <f>Tabla3[[#This Row],[EGRESOS]]/Tabla3[[#This Row],[TC]]</f>
        <v>0</v>
      </c>
      <c r="K354" s="136">
        <f>Tabla3[[#This Row],[INGRESOS]]/Tabla3[[#This Row],[TC]]</f>
        <v>61.403508771929822</v>
      </c>
      <c r="L354" s="8" t="s">
        <v>376</v>
      </c>
      <c r="M354" s="8" t="s">
        <v>377</v>
      </c>
      <c r="N354" s="8" t="s">
        <v>30</v>
      </c>
      <c r="O354" s="8" t="s">
        <v>244</v>
      </c>
      <c r="P354" s="8" t="s">
        <v>259</v>
      </c>
      <c r="Q354" s="8" t="s">
        <v>260</v>
      </c>
      <c r="R354" s="8" t="s">
        <v>405</v>
      </c>
      <c r="S354" s="8"/>
      <c r="T354" s="8"/>
      <c r="U354" s="8" t="s">
        <v>379</v>
      </c>
      <c r="V354" s="8"/>
      <c r="W354" s="8"/>
      <c r="X354" s="8"/>
      <c r="Y354" s="8"/>
    </row>
    <row r="355" spans="1:25" hidden="1" x14ac:dyDescent="0.25">
      <c r="A355" s="273" t="s">
        <v>313</v>
      </c>
      <c r="B355" s="251">
        <v>45743</v>
      </c>
      <c r="C355" s="252" t="s">
        <v>500</v>
      </c>
      <c r="D355" s="252"/>
      <c r="E355" s="253">
        <v>652.41999999999996</v>
      </c>
      <c r="F355" s="253">
        <v>0</v>
      </c>
      <c r="G355" s="274">
        <f>Tabla3[[#This Row],[INGRESOS]]-Tabla3[[#This Row],[EGRESOS]]</f>
        <v>-652.41999999999996</v>
      </c>
      <c r="H355" s="274"/>
      <c r="I355" s="135">
        <v>1140</v>
      </c>
      <c r="J355" s="136">
        <f>Tabla3[[#This Row],[EGRESOS]]/Tabla3[[#This Row],[TC]]</f>
        <v>0.57229824561403508</v>
      </c>
      <c r="K355" s="136">
        <f>Tabla3[[#This Row],[INGRESOS]]/Tabla3[[#This Row],[TC]]</f>
        <v>0</v>
      </c>
      <c r="L355" s="8" t="s">
        <v>376</v>
      </c>
      <c r="M355" s="8" t="s">
        <v>377</v>
      </c>
      <c r="N355" s="8" t="s">
        <v>30</v>
      </c>
      <c r="O355" s="8" t="s">
        <v>184</v>
      </c>
      <c r="P355" s="8" t="s">
        <v>195</v>
      </c>
      <c r="Q355" s="8" t="s">
        <v>196</v>
      </c>
      <c r="R355" s="8" t="s">
        <v>382</v>
      </c>
      <c r="S355" s="8" t="s">
        <v>383</v>
      </c>
      <c r="T355" s="8"/>
      <c r="U355" s="8" t="s">
        <v>384</v>
      </c>
      <c r="V355" s="8"/>
      <c r="W355" s="8" t="s">
        <v>380</v>
      </c>
      <c r="X355" s="8" t="s">
        <v>99</v>
      </c>
      <c r="Y355" s="8" t="s">
        <v>23</v>
      </c>
    </row>
    <row r="356" spans="1:25" hidden="1" x14ac:dyDescent="0.25">
      <c r="A356" s="273" t="s">
        <v>313</v>
      </c>
      <c r="B356" s="251">
        <v>45743</v>
      </c>
      <c r="C356" s="252" t="s">
        <v>500</v>
      </c>
      <c r="D356" s="252"/>
      <c r="E356" s="253">
        <v>17.309999999999999</v>
      </c>
      <c r="F356" s="253">
        <v>0</v>
      </c>
      <c r="G356" s="274">
        <f>Tabla3[[#This Row],[INGRESOS]]-Tabla3[[#This Row],[EGRESOS]]</f>
        <v>-17.309999999999999</v>
      </c>
      <c r="H356" s="274"/>
      <c r="I356" s="135">
        <v>1140</v>
      </c>
      <c r="J356" s="136">
        <f>Tabla3[[#This Row],[EGRESOS]]/Tabla3[[#This Row],[TC]]</f>
        <v>1.5184210526315788E-2</v>
      </c>
      <c r="K356" s="136">
        <f>Tabla3[[#This Row],[INGRESOS]]/Tabla3[[#This Row],[TC]]</f>
        <v>0</v>
      </c>
      <c r="L356" s="8" t="s">
        <v>376</v>
      </c>
      <c r="M356" s="8" t="s">
        <v>377</v>
      </c>
      <c r="N356" s="8" t="s">
        <v>30</v>
      </c>
      <c r="O356" s="8" t="s">
        <v>184</v>
      </c>
      <c r="P356" s="8" t="s">
        <v>195</v>
      </c>
      <c r="Q356" s="8" t="s">
        <v>196</v>
      </c>
      <c r="R356" s="8" t="s">
        <v>382</v>
      </c>
      <c r="S356" s="8" t="s">
        <v>383</v>
      </c>
      <c r="T356" s="8"/>
      <c r="U356" s="8" t="s">
        <v>384</v>
      </c>
      <c r="V356" s="8"/>
      <c r="W356" s="8" t="s">
        <v>380</v>
      </c>
      <c r="X356" s="8" t="s">
        <v>99</v>
      </c>
      <c r="Y356" s="8" t="s">
        <v>23</v>
      </c>
    </row>
    <row r="357" spans="1:25" hidden="1" x14ac:dyDescent="0.25">
      <c r="A357" s="273" t="s">
        <v>313</v>
      </c>
      <c r="B357" s="251">
        <v>45748</v>
      </c>
      <c r="C357" s="252" t="s">
        <v>496</v>
      </c>
      <c r="D357" s="252"/>
      <c r="E357" s="253">
        <v>27000</v>
      </c>
      <c r="F357" s="253">
        <v>0</v>
      </c>
      <c r="G357" s="274">
        <f>Tabla3[[#This Row],[INGRESOS]]-Tabla3[[#This Row],[EGRESOS]]</f>
        <v>-27000</v>
      </c>
      <c r="H357" s="274"/>
      <c r="I357" s="135">
        <v>1140</v>
      </c>
      <c r="J357" s="136">
        <f>Tabla3[[#This Row],[EGRESOS]]/Tabla3[[#This Row],[TC]]</f>
        <v>23.684210526315791</v>
      </c>
      <c r="K357" s="136">
        <f>Tabla3[[#This Row],[INGRESOS]]/Tabla3[[#This Row],[TC]]</f>
        <v>0</v>
      </c>
      <c r="L357" s="8" t="s">
        <v>376</v>
      </c>
      <c r="M357" s="8" t="s">
        <v>377</v>
      </c>
      <c r="N357" s="8" t="s">
        <v>30</v>
      </c>
      <c r="O357" s="8" t="s">
        <v>184</v>
      </c>
      <c r="P357" s="8" t="s">
        <v>185</v>
      </c>
      <c r="Q357" s="8" t="s">
        <v>186</v>
      </c>
      <c r="R357" s="8" t="s">
        <v>227</v>
      </c>
      <c r="S357" s="8"/>
      <c r="T357" s="8"/>
      <c r="U357" s="8" t="s">
        <v>384</v>
      </c>
      <c r="V357" s="8"/>
      <c r="W357" s="8" t="s">
        <v>380</v>
      </c>
      <c r="X357" s="8" t="s">
        <v>99</v>
      </c>
      <c r="Y357" s="8" t="s">
        <v>23</v>
      </c>
    </row>
    <row r="358" spans="1:25" hidden="1" x14ac:dyDescent="0.25">
      <c r="A358" s="273" t="s">
        <v>313</v>
      </c>
      <c r="B358" s="251">
        <v>45748</v>
      </c>
      <c r="C358" s="252" t="s">
        <v>497</v>
      </c>
      <c r="D358" s="252"/>
      <c r="E358" s="253">
        <v>5670</v>
      </c>
      <c r="F358" s="253">
        <v>0</v>
      </c>
      <c r="G358" s="274">
        <f>Tabla3[[#This Row],[INGRESOS]]-Tabla3[[#This Row],[EGRESOS]]</f>
        <v>-5670</v>
      </c>
      <c r="H358" s="274"/>
      <c r="I358" s="135">
        <v>1140</v>
      </c>
      <c r="J358" s="136">
        <f>Tabla3[[#This Row],[EGRESOS]]/Tabla3[[#This Row],[TC]]</f>
        <v>4.9736842105263159</v>
      </c>
      <c r="K358" s="136">
        <f>Tabla3[[#This Row],[INGRESOS]]/Tabla3[[#This Row],[TC]]</f>
        <v>0</v>
      </c>
      <c r="L358" s="8" t="s">
        <v>376</v>
      </c>
      <c r="M358" s="8" t="s">
        <v>377</v>
      </c>
      <c r="N358" s="8" t="s">
        <v>30</v>
      </c>
      <c r="O358" s="8" t="s">
        <v>184</v>
      </c>
      <c r="P358" s="8" t="s">
        <v>195</v>
      </c>
      <c r="Q358" s="8" t="s">
        <v>196</v>
      </c>
      <c r="R358" s="8" t="s">
        <v>382</v>
      </c>
      <c r="S358" s="8" t="s">
        <v>383</v>
      </c>
      <c r="T358" s="8"/>
      <c r="U358" s="8" t="s">
        <v>384</v>
      </c>
      <c r="V358" s="8"/>
      <c r="W358" s="8" t="s">
        <v>380</v>
      </c>
      <c r="X358" s="8" t="s">
        <v>99</v>
      </c>
      <c r="Y358" s="8" t="s">
        <v>23</v>
      </c>
    </row>
    <row r="359" spans="1:25" hidden="1" x14ac:dyDescent="0.25">
      <c r="A359" s="273" t="s">
        <v>313</v>
      </c>
      <c r="B359" s="251">
        <v>45748</v>
      </c>
      <c r="C359" s="252" t="s">
        <v>498</v>
      </c>
      <c r="D359" s="252"/>
      <c r="E359" s="253">
        <v>810</v>
      </c>
      <c r="F359" s="253">
        <v>0</v>
      </c>
      <c r="G359" s="274">
        <f>Tabla3[[#This Row],[INGRESOS]]-Tabla3[[#This Row],[EGRESOS]]</f>
        <v>-810</v>
      </c>
      <c r="H359" s="274"/>
      <c r="I359" s="135">
        <v>1140</v>
      </c>
      <c r="J359" s="136">
        <f>Tabla3[[#This Row],[EGRESOS]]/Tabla3[[#This Row],[TC]]</f>
        <v>0.71052631578947367</v>
      </c>
      <c r="K359" s="136">
        <f>Tabla3[[#This Row],[INGRESOS]]/Tabla3[[#This Row],[TC]]</f>
        <v>0</v>
      </c>
      <c r="L359" s="8" t="s">
        <v>376</v>
      </c>
      <c r="M359" s="8" t="s">
        <v>377</v>
      </c>
      <c r="N359" s="8" t="s">
        <v>30</v>
      </c>
      <c r="O359" s="8" t="s">
        <v>184</v>
      </c>
      <c r="P359" s="8" t="s">
        <v>195</v>
      </c>
      <c r="Q359" s="8" t="s">
        <v>196</v>
      </c>
      <c r="R359" s="8" t="s">
        <v>499</v>
      </c>
      <c r="S359" s="8" t="s">
        <v>383</v>
      </c>
      <c r="T359" s="8"/>
      <c r="U359" s="8" t="s">
        <v>384</v>
      </c>
      <c r="V359" s="8"/>
      <c r="W359" s="8" t="s">
        <v>380</v>
      </c>
      <c r="X359" s="8" t="s">
        <v>99</v>
      </c>
      <c r="Y359" s="8" t="s">
        <v>23</v>
      </c>
    </row>
    <row r="360" spans="1:25" hidden="1" x14ac:dyDescent="0.25">
      <c r="A360" s="273" t="s">
        <v>313</v>
      </c>
      <c r="B360" s="251">
        <v>45748</v>
      </c>
      <c r="C360" s="252" t="s">
        <v>500</v>
      </c>
      <c r="D360" s="252"/>
      <c r="E360" s="253">
        <v>162</v>
      </c>
      <c r="F360" s="253">
        <v>0</v>
      </c>
      <c r="G360" s="274">
        <f>Tabla3[[#This Row],[INGRESOS]]-Tabla3[[#This Row],[EGRESOS]]</f>
        <v>-162</v>
      </c>
      <c r="H360" s="274"/>
      <c r="I360" s="135">
        <v>1140</v>
      </c>
      <c r="J360" s="136">
        <f>Tabla3[[#This Row],[EGRESOS]]/Tabla3[[#This Row],[TC]]</f>
        <v>0.14210526315789473</v>
      </c>
      <c r="K360" s="136">
        <f>Tabla3[[#This Row],[INGRESOS]]/Tabla3[[#This Row],[TC]]</f>
        <v>0</v>
      </c>
      <c r="L360" s="8" t="s">
        <v>376</v>
      </c>
      <c r="M360" s="8" t="s">
        <v>377</v>
      </c>
      <c r="N360" s="8" t="s">
        <v>30</v>
      </c>
      <c r="O360" s="8" t="s">
        <v>184</v>
      </c>
      <c r="P360" s="8" t="s">
        <v>195</v>
      </c>
      <c r="Q360" s="8" t="s">
        <v>196</v>
      </c>
      <c r="R360" s="8" t="s">
        <v>394</v>
      </c>
      <c r="S360" s="8" t="s">
        <v>383</v>
      </c>
      <c r="T360" s="8"/>
      <c r="U360" s="8" t="s">
        <v>384</v>
      </c>
      <c r="V360" s="8"/>
      <c r="W360" s="8" t="s">
        <v>380</v>
      </c>
      <c r="X360" s="8" t="s">
        <v>99</v>
      </c>
      <c r="Y360" s="8" t="s">
        <v>23</v>
      </c>
    </row>
    <row r="361" spans="1:25" hidden="1" x14ac:dyDescent="0.25">
      <c r="A361" s="273" t="s">
        <v>313</v>
      </c>
      <c r="B361" s="251">
        <v>45748</v>
      </c>
      <c r="C361" s="252" t="s">
        <v>500</v>
      </c>
      <c r="D361" s="252"/>
      <c r="E361" s="253">
        <v>34.020000000000003</v>
      </c>
      <c r="F361" s="253">
        <v>0</v>
      </c>
      <c r="G361" s="274">
        <f>Tabla3[[#This Row],[INGRESOS]]-Tabla3[[#This Row],[EGRESOS]]</f>
        <v>-34.020000000000003</v>
      </c>
      <c r="H361" s="274"/>
      <c r="I361" s="135">
        <v>1140</v>
      </c>
      <c r="J361" s="136">
        <f>Tabla3[[#This Row],[EGRESOS]]/Tabla3[[#This Row],[TC]]</f>
        <v>2.9842105263157899E-2</v>
      </c>
      <c r="K361" s="136">
        <f>Tabla3[[#This Row],[INGRESOS]]/Tabla3[[#This Row],[TC]]</f>
        <v>0</v>
      </c>
      <c r="L361" s="8" t="s">
        <v>376</v>
      </c>
      <c r="M361" s="8" t="s">
        <v>377</v>
      </c>
      <c r="N361" s="8" t="s">
        <v>30</v>
      </c>
      <c r="O361" s="8" t="s">
        <v>184</v>
      </c>
      <c r="P361" s="8" t="s">
        <v>195</v>
      </c>
      <c r="Q361" s="8" t="s">
        <v>196</v>
      </c>
      <c r="R361" s="8" t="s">
        <v>394</v>
      </c>
      <c r="S361" s="8" t="s">
        <v>383</v>
      </c>
      <c r="T361" s="8"/>
      <c r="U361" s="8" t="s">
        <v>384</v>
      </c>
      <c r="V361" s="8"/>
      <c r="W361" s="8" t="s">
        <v>380</v>
      </c>
      <c r="X361" s="8" t="s">
        <v>99</v>
      </c>
      <c r="Y361" s="8" t="s">
        <v>23</v>
      </c>
    </row>
    <row r="362" spans="1:25" hidden="1" x14ac:dyDescent="0.25">
      <c r="A362" s="273" t="s">
        <v>313</v>
      </c>
      <c r="B362" s="251">
        <v>45748</v>
      </c>
      <c r="C362" s="252" t="s">
        <v>500</v>
      </c>
      <c r="D362" s="252"/>
      <c r="E362" s="253">
        <v>4.8600000000000003</v>
      </c>
      <c r="F362" s="253">
        <v>0</v>
      </c>
      <c r="G362" s="274">
        <f>Tabla3[[#This Row],[INGRESOS]]-Tabla3[[#This Row],[EGRESOS]]</f>
        <v>-4.8600000000000003</v>
      </c>
      <c r="H362" s="274"/>
      <c r="I362" s="135">
        <v>1140</v>
      </c>
      <c r="J362" s="136">
        <f>Tabla3[[#This Row],[EGRESOS]]/Tabla3[[#This Row],[TC]]</f>
        <v>4.263157894736842E-3</v>
      </c>
      <c r="K362" s="136">
        <f>Tabla3[[#This Row],[INGRESOS]]/Tabla3[[#This Row],[TC]]</f>
        <v>0</v>
      </c>
      <c r="L362" s="8" t="s">
        <v>376</v>
      </c>
      <c r="M362" s="8" t="s">
        <v>377</v>
      </c>
      <c r="N362" s="8" t="s">
        <v>30</v>
      </c>
      <c r="O362" s="8" t="s">
        <v>184</v>
      </c>
      <c r="P362" s="8" t="s">
        <v>195</v>
      </c>
      <c r="Q362" s="8" t="s">
        <v>196</v>
      </c>
      <c r="R362" s="8" t="s">
        <v>394</v>
      </c>
      <c r="S362" s="8" t="s">
        <v>383</v>
      </c>
      <c r="T362" s="8"/>
      <c r="U362" s="8" t="s">
        <v>384</v>
      </c>
      <c r="V362" s="8"/>
      <c r="W362" s="8" t="s">
        <v>380</v>
      </c>
      <c r="X362" s="8" t="s">
        <v>99</v>
      </c>
      <c r="Y362" s="8" t="s">
        <v>23</v>
      </c>
    </row>
    <row r="363" spans="1:25" hidden="1" x14ac:dyDescent="0.25">
      <c r="A363" s="273" t="str">
        <f t="shared" ref="A363:A396" si="4">"ABRIL"</f>
        <v>ABRIL</v>
      </c>
      <c r="B363" s="251">
        <v>45748</v>
      </c>
      <c r="C363" s="252" t="s">
        <v>496</v>
      </c>
      <c r="D363" s="252"/>
      <c r="E363" s="253">
        <v>27000</v>
      </c>
      <c r="F363" s="253">
        <v>0</v>
      </c>
      <c r="G363" s="274">
        <f>Tabla3[[#This Row],[INGRESOS]]-Tabla3[[#This Row],[EGRESOS]]</f>
        <v>-27000</v>
      </c>
      <c r="H363" s="274"/>
      <c r="I363" s="135">
        <v>1140</v>
      </c>
      <c r="J363" s="136">
        <f>Tabla3[[#This Row],[EGRESOS]]/Tabla3[[#This Row],[TC]]</f>
        <v>23.684210526315791</v>
      </c>
      <c r="K363" s="136">
        <f>Tabla3[[#This Row],[INGRESOS]]/Tabla3[[#This Row],[TC]]</f>
        <v>0</v>
      </c>
      <c r="L363" s="8" t="s">
        <v>376</v>
      </c>
      <c r="M363" s="8" t="s">
        <v>377</v>
      </c>
      <c r="N363" s="8" t="s">
        <v>30</v>
      </c>
      <c r="O363" s="8" t="s">
        <v>184</v>
      </c>
      <c r="P363" s="8" t="s">
        <v>185</v>
      </c>
      <c r="Q363" s="8" t="s">
        <v>186</v>
      </c>
      <c r="R363" s="8" t="s">
        <v>227</v>
      </c>
      <c r="S363" s="8"/>
      <c r="T363" s="8"/>
      <c r="U363" s="8" t="s">
        <v>384</v>
      </c>
      <c r="V363" s="8"/>
      <c r="W363" s="8" t="s">
        <v>380</v>
      </c>
      <c r="X363" s="8" t="s">
        <v>99</v>
      </c>
      <c r="Y363" s="8" t="s">
        <v>23</v>
      </c>
    </row>
    <row r="364" spans="1:25" hidden="1" x14ac:dyDescent="0.25">
      <c r="A364" s="273" t="str">
        <f t="shared" si="4"/>
        <v>ABRIL</v>
      </c>
      <c r="B364" s="251">
        <v>45748</v>
      </c>
      <c r="C364" s="252" t="s">
        <v>497</v>
      </c>
      <c r="D364" s="252"/>
      <c r="E364" s="253">
        <v>5670</v>
      </c>
      <c r="F364" s="253">
        <v>0</v>
      </c>
      <c r="G364" s="274">
        <f>Tabla3[[#This Row],[INGRESOS]]-Tabla3[[#This Row],[EGRESOS]]</f>
        <v>-5670</v>
      </c>
      <c r="H364" s="274"/>
      <c r="I364" s="135">
        <v>1140</v>
      </c>
      <c r="J364" s="136">
        <f>Tabla3[[#This Row],[EGRESOS]]/Tabla3[[#This Row],[TC]]</f>
        <v>4.9736842105263159</v>
      </c>
      <c r="K364" s="136">
        <f>Tabla3[[#This Row],[INGRESOS]]/Tabla3[[#This Row],[TC]]</f>
        <v>0</v>
      </c>
      <c r="L364" s="8" t="s">
        <v>376</v>
      </c>
      <c r="M364" s="8" t="s">
        <v>377</v>
      </c>
      <c r="N364" s="8" t="s">
        <v>30</v>
      </c>
      <c r="O364" s="8" t="s">
        <v>184</v>
      </c>
      <c r="P364" s="8" t="s">
        <v>195</v>
      </c>
      <c r="Q364" s="8" t="s">
        <v>196</v>
      </c>
      <c r="R364" s="8" t="s">
        <v>273</v>
      </c>
      <c r="S364" s="8" t="s">
        <v>383</v>
      </c>
      <c r="T364" s="8"/>
      <c r="U364" s="8" t="s">
        <v>384</v>
      </c>
      <c r="V364" s="8"/>
      <c r="W364" s="8" t="s">
        <v>380</v>
      </c>
      <c r="X364" s="8" t="s">
        <v>99</v>
      </c>
      <c r="Y364" s="8" t="s">
        <v>23</v>
      </c>
    </row>
    <row r="365" spans="1:25" hidden="1" x14ac:dyDescent="0.25">
      <c r="A365" s="273" t="str">
        <f t="shared" si="4"/>
        <v>ABRIL</v>
      </c>
      <c r="B365" s="251">
        <v>45748</v>
      </c>
      <c r="C365" s="252" t="s">
        <v>498</v>
      </c>
      <c r="D365" s="252"/>
      <c r="E365" s="253">
        <v>810</v>
      </c>
      <c r="F365" s="253">
        <v>0</v>
      </c>
      <c r="G365" s="274">
        <f>Tabla3[[#This Row],[INGRESOS]]-Tabla3[[#This Row],[EGRESOS]]</f>
        <v>-810</v>
      </c>
      <c r="H365" s="274"/>
      <c r="I365" s="135">
        <v>1140</v>
      </c>
      <c r="J365" s="136">
        <f>Tabla3[[#This Row],[EGRESOS]]/Tabla3[[#This Row],[TC]]</f>
        <v>0.71052631578947367</v>
      </c>
      <c r="K365" s="136">
        <f>Tabla3[[#This Row],[INGRESOS]]/Tabla3[[#This Row],[TC]]</f>
        <v>0</v>
      </c>
      <c r="L365" s="8" t="s">
        <v>376</v>
      </c>
      <c r="M365" s="8" t="s">
        <v>377</v>
      </c>
      <c r="N365" s="8" t="s">
        <v>30</v>
      </c>
      <c r="O365" s="8" t="s">
        <v>184</v>
      </c>
      <c r="P365" s="8" t="s">
        <v>195</v>
      </c>
      <c r="Q365" s="8" t="s">
        <v>196</v>
      </c>
      <c r="R365" s="8" t="s">
        <v>499</v>
      </c>
      <c r="S365" s="8" t="s">
        <v>383</v>
      </c>
      <c r="T365" s="8"/>
      <c r="U365" s="8" t="s">
        <v>384</v>
      </c>
      <c r="V365" s="8"/>
      <c r="W365" s="8" t="s">
        <v>380</v>
      </c>
      <c r="X365" s="8" t="s">
        <v>99</v>
      </c>
      <c r="Y365" s="8" t="s">
        <v>23</v>
      </c>
    </row>
    <row r="366" spans="1:25" hidden="1" x14ac:dyDescent="0.25">
      <c r="A366" s="273" t="str">
        <f t="shared" si="4"/>
        <v>ABRIL</v>
      </c>
      <c r="B366" s="251">
        <v>45748</v>
      </c>
      <c r="C366" s="252" t="s">
        <v>500</v>
      </c>
      <c r="D366" s="252"/>
      <c r="E366" s="253">
        <v>162</v>
      </c>
      <c r="F366" s="253">
        <v>0</v>
      </c>
      <c r="G366" s="274">
        <f>Tabla3[[#This Row],[INGRESOS]]-Tabla3[[#This Row],[EGRESOS]]</f>
        <v>-162</v>
      </c>
      <c r="H366" s="274"/>
      <c r="I366" s="135">
        <v>1140</v>
      </c>
      <c r="J366" s="136">
        <f>Tabla3[[#This Row],[EGRESOS]]/Tabla3[[#This Row],[TC]]</f>
        <v>0.14210526315789473</v>
      </c>
      <c r="K366" s="136">
        <f>Tabla3[[#This Row],[INGRESOS]]/Tabla3[[#This Row],[TC]]</f>
        <v>0</v>
      </c>
      <c r="L366" s="8" t="s">
        <v>376</v>
      </c>
      <c r="M366" s="8" t="s">
        <v>377</v>
      </c>
      <c r="N366" s="8" t="s">
        <v>30</v>
      </c>
      <c r="O366" s="8" t="s">
        <v>184</v>
      </c>
      <c r="P366" s="8" t="s">
        <v>195</v>
      </c>
      <c r="Q366" s="8" t="s">
        <v>196</v>
      </c>
      <c r="R366" s="8" t="s">
        <v>382</v>
      </c>
      <c r="S366" s="8" t="s">
        <v>383</v>
      </c>
      <c r="T366" s="8"/>
      <c r="U366" s="8" t="s">
        <v>384</v>
      </c>
      <c r="V366" s="8"/>
      <c r="W366" s="8" t="s">
        <v>380</v>
      </c>
      <c r="X366" s="8" t="s">
        <v>99</v>
      </c>
      <c r="Y366" s="8" t="s">
        <v>23</v>
      </c>
    </row>
    <row r="367" spans="1:25" hidden="1" x14ac:dyDescent="0.25">
      <c r="A367" s="273" t="str">
        <f t="shared" si="4"/>
        <v>ABRIL</v>
      </c>
      <c r="B367" s="251">
        <v>45748</v>
      </c>
      <c r="C367" s="252" t="s">
        <v>500</v>
      </c>
      <c r="D367" s="252"/>
      <c r="E367" s="253">
        <v>34.020000000000003</v>
      </c>
      <c r="F367" s="253">
        <v>0</v>
      </c>
      <c r="G367" s="274">
        <f>Tabla3[[#This Row],[INGRESOS]]-Tabla3[[#This Row],[EGRESOS]]</f>
        <v>-34.020000000000003</v>
      </c>
      <c r="H367" s="274"/>
      <c r="I367" s="135">
        <v>1140</v>
      </c>
      <c r="J367" s="136">
        <f>Tabla3[[#This Row],[EGRESOS]]/Tabla3[[#This Row],[TC]]</f>
        <v>2.9842105263157899E-2</v>
      </c>
      <c r="K367" s="136">
        <f>Tabla3[[#This Row],[INGRESOS]]/Tabla3[[#This Row],[TC]]</f>
        <v>0</v>
      </c>
      <c r="L367" s="8" t="s">
        <v>376</v>
      </c>
      <c r="M367" s="8" t="s">
        <v>377</v>
      </c>
      <c r="N367" s="8" t="s">
        <v>30</v>
      </c>
      <c r="O367" s="8" t="s">
        <v>184</v>
      </c>
      <c r="P367" s="8" t="s">
        <v>195</v>
      </c>
      <c r="Q367" s="8" t="s">
        <v>196</v>
      </c>
      <c r="R367" s="8" t="s">
        <v>382</v>
      </c>
      <c r="S367" s="8" t="s">
        <v>383</v>
      </c>
      <c r="T367" s="8"/>
      <c r="U367" s="8" t="s">
        <v>384</v>
      </c>
      <c r="V367" s="8"/>
      <c r="W367" s="8" t="s">
        <v>380</v>
      </c>
      <c r="X367" s="8" t="s">
        <v>99</v>
      </c>
      <c r="Y367" s="8" t="s">
        <v>23</v>
      </c>
    </row>
    <row r="368" spans="1:25" hidden="1" x14ac:dyDescent="0.25">
      <c r="A368" s="273" t="str">
        <f t="shared" si="4"/>
        <v>ABRIL</v>
      </c>
      <c r="B368" s="251">
        <v>45748</v>
      </c>
      <c r="C368" s="252" t="s">
        <v>500</v>
      </c>
      <c r="D368" s="252"/>
      <c r="E368" s="253">
        <v>4.8600000000000003</v>
      </c>
      <c r="F368" s="253">
        <v>0</v>
      </c>
      <c r="G368" s="274">
        <f>Tabla3[[#This Row],[INGRESOS]]-Tabla3[[#This Row],[EGRESOS]]</f>
        <v>-4.8600000000000003</v>
      </c>
      <c r="H368" s="274"/>
      <c r="I368" s="135">
        <v>1140</v>
      </c>
      <c r="J368" s="136">
        <f>Tabla3[[#This Row],[EGRESOS]]/Tabla3[[#This Row],[TC]]</f>
        <v>4.263157894736842E-3</v>
      </c>
      <c r="K368" s="136">
        <f>Tabla3[[#This Row],[INGRESOS]]/Tabla3[[#This Row],[TC]]</f>
        <v>0</v>
      </c>
      <c r="L368" s="8" t="s">
        <v>376</v>
      </c>
      <c r="M368" s="8" t="s">
        <v>377</v>
      </c>
      <c r="N368" s="8" t="s">
        <v>30</v>
      </c>
      <c r="O368" s="8" t="s">
        <v>184</v>
      </c>
      <c r="P368" s="8" t="s">
        <v>195</v>
      </c>
      <c r="Q368" s="8" t="s">
        <v>196</v>
      </c>
      <c r="R368" s="8" t="s">
        <v>382</v>
      </c>
      <c r="S368" s="8" t="s">
        <v>383</v>
      </c>
      <c r="T368" s="8"/>
      <c r="U368" s="8" t="s">
        <v>384</v>
      </c>
      <c r="V368" s="8"/>
      <c r="W368" s="8" t="s">
        <v>380</v>
      </c>
      <c r="X368" s="8" t="s">
        <v>99</v>
      </c>
      <c r="Y368" s="8" t="s">
        <v>23</v>
      </c>
    </row>
    <row r="369" spans="1:25" hidden="1" x14ac:dyDescent="0.25">
      <c r="A369" s="273" t="str">
        <f t="shared" si="4"/>
        <v>ABRIL</v>
      </c>
      <c r="B369" s="251">
        <v>45751</v>
      </c>
      <c r="C369" s="252" t="s">
        <v>523</v>
      </c>
      <c r="D369" s="252"/>
      <c r="E369" s="253">
        <v>0</v>
      </c>
      <c r="F369" s="253">
        <v>550000</v>
      </c>
      <c r="G369" s="274">
        <f>Tabla3[[#This Row],[INGRESOS]]-Tabla3[[#This Row],[EGRESOS]]</f>
        <v>550000</v>
      </c>
      <c r="H369" s="274"/>
      <c r="I369" s="135">
        <v>1140</v>
      </c>
      <c r="J369" s="136">
        <f>Tabla3[[#This Row],[EGRESOS]]/Tabla3[[#This Row],[TC]]</f>
        <v>0</v>
      </c>
      <c r="K369" s="136">
        <f>Tabla3[[#This Row],[INGRESOS]]/Tabla3[[#This Row],[TC]]</f>
        <v>482.45614035087721</v>
      </c>
      <c r="L369" s="8" t="s">
        <v>376</v>
      </c>
      <c r="M369" s="8" t="s">
        <v>377</v>
      </c>
      <c r="N369" s="8" t="s">
        <v>30</v>
      </c>
      <c r="O369" s="8" t="s">
        <v>184</v>
      </c>
      <c r="P369" s="8" t="s">
        <v>210</v>
      </c>
      <c r="Q369" s="8" t="s">
        <v>204</v>
      </c>
      <c r="R369" s="8" t="s">
        <v>535</v>
      </c>
      <c r="S369" s="8" t="s">
        <v>524</v>
      </c>
      <c r="T369" s="8"/>
      <c r="U369" s="8" t="s">
        <v>453</v>
      </c>
      <c r="V369" s="8"/>
      <c r="W369" s="8" t="s">
        <v>380</v>
      </c>
      <c r="X369" s="8" t="s">
        <v>23</v>
      </c>
      <c r="Y369" s="8" t="s">
        <v>39</v>
      </c>
    </row>
    <row r="370" spans="1:25" hidden="1" x14ac:dyDescent="0.25">
      <c r="A370" s="273" t="str">
        <f t="shared" si="4"/>
        <v>ABRIL</v>
      </c>
      <c r="B370" s="251">
        <v>45751</v>
      </c>
      <c r="C370" s="252" t="s">
        <v>508</v>
      </c>
      <c r="D370" s="252"/>
      <c r="E370" s="253">
        <v>520000</v>
      </c>
      <c r="F370" s="253">
        <v>0</v>
      </c>
      <c r="G370" s="274">
        <f>Tabla3[[#This Row],[INGRESOS]]-Tabla3[[#This Row],[EGRESOS]]</f>
        <v>-520000</v>
      </c>
      <c r="H370" s="274"/>
      <c r="I370" s="135">
        <v>1140</v>
      </c>
      <c r="J370" s="136">
        <f>Tabla3[[#This Row],[EGRESOS]]/Tabla3[[#This Row],[TC]]</f>
        <v>456.14035087719299</v>
      </c>
      <c r="K370" s="136">
        <f>Tabla3[[#This Row],[INGRESOS]]/Tabla3[[#This Row],[TC]]</f>
        <v>0</v>
      </c>
      <c r="L370" s="8" t="s">
        <v>376</v>
      </c>
      <c r="M370" s="8" t="s">
        <v>377</v>
      </c>
      <c r="N370" s="8" t="s">
        <v>30</v>
      </c>
      <c r="O370" s="8" t="s">
        <v>244</v>
      </c>
      <c r="P370" s="8" t="s">
        <v>259</v>
      </c>
      <c r="Q370" s="8" t="s">
        <v>260</v>
      </c>
      <c r="R370" s="8" t="s">
        <v>378</v>
      </c>
      <c r="S370" s="8"/>
      <c r="T370" s="8"/>
      <c r="U370" s="8" t="s">
        <v>379</v>
      </c>
      <c r="V370" s="8"/>
      <c r="W370" s="8" t="s">
        <v>380</v>
      </c>
      <c r="X370" s="8"/>
      <c r="Y370" s="8"/>
    </row>
    <row r="371" spans="1:25" hidden="1" x14ac:dyDescent="0.25">
      <c r="A371" s="273" t="str">
        <f t="shared" si="4"/>
        <v>ABRIL</v>
      </c>
      <c r="B371" s="251">
        <v>45751</v>
      </c>
      <c r="C371" s="252" t="s">
        <v>518</v>
      </c>
      <c r="D371" s="252"/>
      <c r="E371" s="253">
        <v>3300</v>
      </c>
      <c r="F371" s="253">
        <v>0</v>
      </c>
      <c r="G371" s="274">
        <f>Tabla3[[#This Row],[INGRESOS]]-Tabla3[[#This Row],[EGRESOS]]</f>
        <v>-3300</v>
      </c>
      <c r="H371" s="274"/>
      <c r="I371" s="135">
        <v>1140</v>
      </c>
      <c r="J371" s="136">
        <f>Tabla3[[#This Row],[EGRESOS]]/Tabla3[[#This Row],[TC]]</f>
        <v>2.8947368421052633</v>
      </c>
      <c r="K371" s="136">
        <f>Tabla3[[#This Row],[INGRESOS]]/Tabla3[[#This Row],[TC]]</f>
        <v>0</v>
      </c>
      <c r="L371" s="8" t="s">
        <v>376</v>
      </c>
      <c r="M371" s="8" t="s">
        <v>377</v>
      </c>
      <c r="N371" s="8" t="s">
        <v>30</v>
      </c>
      <c r="O371" s="8" t="s">
        <v>184</v>
      </c>
      <c r="P371" s="8" t="s">
        <v>195</v>
      </c>
      <c r="Q371" s="8" t="s">
        <v>196</v>
      </c>
      <c r="R371" s="8" t="s">
        <v>394</v>
      </c>
      <c r="S371" s="8" t="s">
        <v>383</v>
      </c>
      <c r="T371" s="8"/>
      <c r="U371" s="8" t="s">
        <v>384</v>
      </c>
      <c r="V371" s="8"/>
      <c r="W371" s="8" t="s">
        <v>380</v>
      </c>
      <c r="X371" s="8" t="s">
        <v>99</v>
      </c>
      <c r="Y371" s="8" t="s">
        <v>23</v>
      </c>
    </row>
    <row r="372" spans="1:25" hidden="1" x14ac:dyDescent="0.25">
      <c r="A372" s="273" t="str">
        <f t="shared" si="4"/>
        <v>ABRIL</v>
      </c>
      <c r="B372" s="251">
        <v>45754</v>
      </c>
      <c r="C372" s="252" t="s">
        <v>536</v>
      </c>
      <c r="D372" s="252"/>
      <c r="E372" s="253">
        <v>956</v>
      </c>
      <c r="F372" s="253">
        <v>0</v>
      </c>
      <c r="G372" s="274">
        <f>Tabla3[[#This Row],[INGRESOS]]-Tabla3[[#This Row],[EGRESOS]]</f>
        <v>-956</v>
      </c>
      <c r="H372" s="274"/>
      <c r="I372" s="135">
        <v>1140</v>
      </c>
      <c r="J372" s="136">
        <f>Tabla3[[#This Row],[EGRESOS]]/Tabla3[[#This Row],[TC]]</f>
        <v>0.83859649122807023</v>
      </c>
      <c r="K372" s="136">
        <f>Tabla3[[#This Row],[INGRESOS]]/Tabla3[[#This Row],[TC]]</f>
        <v>0</v>
      </c>
      <c r="L372" s="8" t="s">
        <v>376</v>
      </c>
      <c r="M372" s="8" t="s">
        <v>377</v>
      </c>
      <c r="N372" s="8" t="s">
        <v>30</v>
      </c>
      <c r="O372" s="8" t="s">
        <v>184</v>
      </c>
      <c r="P372" s="8" t="s">
        <v>185</v>
      </c>
      <c r="Q372" s="8" t="s">
        <v>186</v>
      </c>
      <c r="R372" s="8" t="s">
        <v>227</v>
      </c>
      <c r="S372" s="8"/>
      <c r="T372" s="8"/>
      <c r="U372" s="8" t="s">
        <v>384</v>
      </c>
      <c r="V372" s="8"/>
      <c r="W372" s="8" t="s">
        <v>380</v>
      </c>
      <c r="X372" s="8" t="s">
        <v>99</v>
      </c>
      <c r="Y372" s="8" t="s">
        <v>23</v>
      </c>
    </row>
    <row r="373" spans="1:25" hidden="1" x14ac:dyDescent="0.25">
      <c r="A373" s="273" t="str">
        <f t="shared" si="4"/>
        <v>ABRIL</v>
      </c>
      <c r="B373" s="251">
        <v>45754</v>
      </c>
      <c r="C373" s="252" t="s">
        <v>497</v>
      </c>
      <c r="D373" s="252"/>
      <c r="E373" s="253">
        <v>200.76</v>
      </c>
      <c r="F373" s="253">
        <v>0</v>
      </c>
      <c r="G373" s="274">
        <f>Tabla3[[#This Row],[INGRESOS]]-Tabla3[[#This Row],[EGRESOS]]</f>
        <v>-200.76</v>
      </c>
      <c r="H373" s="274"/>
      <c r="I373" s="135">
        <v>1140</v>
      </c>
      <c r="J373" s="136">
        <f>Tabla3[[#This Row],[EGRESOS]]/Tabla3[[#This Row],[TC]]</f>
        <v>0.17610526315789474</v>
      </c>
      <c r="K373" s="136">
        <f>Tabla3[[#This Row],[INGRESOS]]/Tabla3[[#This Row],[TC]]</f>
        <v>0</v>
      </c>
      <c r="L373" s="8" t="s">
        <v>376</v>
      </c>
      <c r="M373" s="8" t="s">
        <v>377</v>
      </c>
      <c r="N373" s="8" t="s">
        <v>30</v>
      </c>
      <c r="O373" s="8" t="s">
        <v>184</v>
      </c>
      <c r="P373" s="8" t="s">
        <v>195</v>
      </c>
      <c r="Q373" s="8" t="s">
        <v>196</v>
      </c>
      <c r="R373" s="8" t="s">
        <v>382</v>
      </c>
      <c r="S373" s="8" t="s">
        <v>383</v>
      </c>
      <c r="T373" s="8"/>
      <c r="U373" s="8" t="s">
        <v>384</v>
      </c>
      <c r="V373" s="8"/>
      <c r="W373" s="8" t="s">
        <v>380</v>
      </c>
      <c r="X373" s="8" t="s">
        <v>99</v>
      </c>
      <c r="Y373" s="8" t="s">
        <v>23</v>
      </c>
    </row>
    <row r="374" spans="1:25" hidden="1" x14ac:dyDescent="0.25">
      <c r="A374" s="273" t="str">
        <f t="shared" si="4"/>
        <v>ABRIL</v>
      </c>
      <c r="B374" s="251">
        <v>45754</v>
      </c>
      <c r="C374" s="252" t="s">
        <v>500</v>
      </c>
      <c r="D374" s="252"/>
      <c r="E374" s="253">
        <v>5.74</v>
      </c>
      <c r="F374" s="253">
        <v>0</v>
      </c>
      <c r="G374" s="274">
        <f>Tabla3[[#This Row],[INGRESOS]]-Tabla3[[#This Row],[EGRESOS]]</f>
        <v>-5.74</v>
      </c>
      <c r="H374" s="274"/>
      <c r="I374" s="135">
        <v>1140</v>
      </c>
      <c r="J374" s="136">
        <f>Tabla3[[#This Row],[EGRESOS]]/Tabla3[[#This Row],[TC]]</f>
        <v>5.0350877192982457E-3</v>
      </c>
      <c r="K374" s="136">
        <f>Tabla3[[#This Row],[INGRESOS]]/Tabla3[[#This Row],[TC]]</f>
        <v>0</v>
      </c>
      <c r="L374" s="8" t="s">
        <v>376</v>
      </c>
      <c r="M374" s="8" t="s">
        <v>377</v>
      </c>
      <c r="N374" s="8" t="s">
        <v>30</v>
      </c>
      <c r="O374" s="8" t="s">
        <v>184</v>
      </c>
      <c r="P374" s="8" t="s">
        <v>195</v>
      </c>
      <c r="Q374" s="8" t="s">
        <v>196</v>
      </c>
      <c r="R374" s="8" t="s">
        <v>394</v>
      </c>
      <c r="S374" s="8" t="s">
        <v>383</v>
      </c>
      <c r="T374" s="8"/>
      <c r="U374" s="8" t="s">
        <v>384</v>
      </c>
      <c r="V374" s="8"/>
      <c r="W374" s="8" t="s">
        <v>380</v>
      </c>
      <c r="X374" s="8" t="s">
        <v>99</v>
      </c>
      <c r="Y374" s="8" t="s">
        <v>23</v>
      </c>
    </row>
    <row r="375" spans="1:25" hidden="1" x14ac:dyDescent="0.25">
      <c r="A375" s="273" t="str">
        <f t="shared" si="4"/>
        <v>ABRIL</v>
      </c>
      <c r="B375" s="251">
        <v>45754</v>
      </c>
      <c r="C375" s="252" t="s">
        <v>500</v>
      </c>
      <c r="D375" s="252"/>
      <c r="E375" s="253">
        <v>1.2</v>
      </c>
      <c r="F375" s="253">
        <v>0</v>
      </c>
      <c r="G375" s="274">
        <f>Tabla3[[#This Row],[INGRESOS]]-Tabla3[[#This Row],[EGRESOS]]</f>
        <v>-1.2</v>
      </c>
      <c r="H375" s="274"/>
      <c r="I375" s="135">
        <v>1140</v>
      </c>
      <c r="J375" s="136">
        <f>Tabla3[[#This Row],[EGRESOS]]/Tabla3[[#This Row],[TC]]</f>
        <v>1.0526315789473684E-3</v>
      </c>
      <c r="K375" s="136">
        <f>Tabla3[[#This Row],[INGRESOS]]/Tabla3[[#This Row],[TC]]</f>
        <v>0</v>
      </c>
      <c r="L375" s="8" t="s">
        <v>376</v>
      </c>
      <c r="M375" s="8" t="s">
        <v>377</v>
      </c>
      <c r="N375" s="8" t="s">
        <v>30</v>
      </c>
      <c r="O375" s="8" t="s">
        <v>184</v>
      </c>
      <c r="P375" s="8" t="s">
        <v>195</v>
      </c>
      <c r="Q375" s="8" t="s">
        <v>196</v>
      </c>
      <c r="R375" s="8" t="s">
        <v>394</v>
      </c>
      <c r="S375" s="8" t="s">
        <v>383</v>
      </c>
      <c r="T375" s="8"/>
      <c r="U375" s="8" t="s">
        <v>384</v>
      </c>
      <c r="V375" s="8"/>
      <c r="W375" s="8" t="s">
        <v>380</v>
      </c>
      <c r="X375" s="8" t="s">
        <v>99</v>
      </c>
      <c r="Y375" s="8" t="s">
        <v>23</v>
      </c>
    </row>
    <row r="376" spans="1:25" hidden="1" x14ac:dyDescent="0.25">
      <c r="A376" s="273" t="str">
        <f t="shared" si="4"/>
        <v>ABRIL</v>
      </c>
      <c r="B376" s="251">
        <v>45755</v>
      </c>
      <c r="C376" s="252" t="s">
        <v>528</v>
      </c>
      <c r="D376" s="252"/>
      <c r="E376" s="253">
        <v>0</v>
      </c>
      <c r="F376" s="253">
        <v>10000</v>
      </c>
      <c r="G376" s="274">
        <f>Tabla3[[#This Row],[INGRESOS]]-Tabla3[[#This Row],[EGRESOS]]</f>
        <v>10000</v>
      </c>
      <c r="H376" s="274"/>
      <c r="I376" s="135">
        <v>1140</v>
      </c>
      <c r="J376" s="136">
        <f>Tabla3[[#This Row],[EGRESOS]]/Tabla3[[#This Row],[TC]]</f>
        <v>0</v>
      </c>
      <c r="K376" s="136">
        <f>Tabla3[[#This Row],[INGRESOS]]/Tabla3[[#This Row],[TC]]</f>
        <v>8.7719298245614041</v>
      </c>
      <c r="L376" s="8" t="s">
        <v>376</v>
      </c>
      <c r="M376" s="8" t="s">
        <v>377</v>
      </c>
      <c r="N376" s="8" t="s">
        <v>30</v>
      </c>
      <c r="O376" s="8" t="s">
        <v>244</v>
      </c>
      <c r="P376" s="8" t="s">
        <v>259</v>
      </c>
      <c r="Q376" s="8" t="s">
        <v>260</v>
      </c>
      <c r="R376" s="8" t="s">
        <v>447</v>
      </c>
      <c r="S376" s="8"/>
      <c r="T376" s="8"/>
      <c r="U376" s="8" t="s">
        <v>379</v>
      </c>
      <c r="V376" s="8"/>
      <c r="W376" s="8" t="s">
        <v>380</v>
      </c>
      <c r="X376" s="8"/>
      <c r="Y376" s="8"/>
    </row>
    <row r="377" spans="1:25" hidden="1" x14ac:dyDescent="0.25">
      <c r="A377" s="273" t="str">
        <f t="shared" si="4"/>
        <v>ABRIL</v>
      </c>
      <c r="B377" s="251">
        <v>45757</v>
      </c>
      <c r="C377" s="252" t="s">
        <v>528</v>
      </c>
      <c r="D377" s="252"/>
      <c r="E377" s="253">
        <v>0</v>
      </c>
      <c r="F377" s="253">
        <v>3000000</v>
      </c>
      <c r="G377" s="274">
        <f>Tabla3[[#This Row],[INGRESOS]]-Tabla3[[#This Row],[EGRESOS]]</f>
        <v>3000000</v>
      </c>
      <c r="H377" s="274">
        <v>0</v>
      </c>
      <c r="I377" s="135">
        <v>1140</v>
      </c>
      <c r="J377" s="136">
        <f>Tabla3[[#This Row],[EGRESOS]]/Tabla3[[#This Row],[TC]]</f>
        <v>0</v>
      </c>
      <c r="K377" s="136">
        <f>Tabla3[[#This Row],[INGRESOS]]/Tabla3[[#This Row],[TC]]</f>
        <v>2631.5789473684213</v>
      </c>
      <c r="L377" s="8" t="s">
        <v>376</v>
      </c>
      <c r="M377" s="8" t="s">
        <v>377</v>
      </c>
      <c r="N377" s="8" t="s">
        <v>30</v>
      </c>
      <c r="O377" s="8" t="s">
        <v>244</v>
      </c>
      <c r="P377" s="8" t="s">
        <v>259</v>
      </c>
      <c r="Q377" s="8" t="s">
        <v>260</v>
      </c>
      <c r="R377" s="8" t="s">
        <v>447</v>
      </c>
      <c r="S377" s="8" t="s">
        <v>537</v>
      </c>
      <c r="T377" s="8"/>
      <c r="U377" s="8" t="s">
        <v>379</v>
      </c>
      <c r="V377" s="8"/>
      <c r="W377" s="8" t="s">
        <v>380</v>
      </c>
      <c r="X377" s="8"/>
      <c r="Y377" s="8"/>
    </row>
    <row r="378" spans="1:25" hidden="1" x14ac:dyDescent="0.25">
      <c r="A378" s="273" t="str">
        <f t="shared" si="4"/>
        <v>ABRIL</v>
      </c>
      <c r="B378" s="251">
        <v>45758</v>
      </c>
      <c r="C378" s="252" t="s">
        <v>538</v>
      </c>
      <c r="D378" s="252"/>
      <c r="E378" s="253">
        <v>22500</v>
      </c>
      <c r="F378" s="253">
        <v>0</v>
      </c>
      <c r="G378" s="274">
        <f>Tabla3[[#This Row],[INGRESOS]]-Tabla3[[#This Row],[EGRESOS]]</f>
        <v>-22500</v>
      </c>
      <c r="H378" s="274"/>
      <c r="I378" s="135">
        <v>1140</v>
      </c>
      <c r="J378" s="136">
        <f>Tabla3[[#This Row],[EGRESOS]]/Tabla3[[#This Row],[TC]]</f>
        <v>19.736842105263158</v>
      </c>
      <c r="K378" s="136">
        <f>Tabla3[[#This Row],[INGRESOS]]/Tabla3[[#This Row],[TC]]</f>
        <v>0</v>
      </c>
      <c r="L378" s="8" t="s">
        <v>376</v>
      </c>
      <c r="M378" s="8" t="s">
        <v>377</v>
      </c>
      <c r="N378" s="8" t="s">
        <v>30</v>
      </c>
      <c r="O378" s="8" t="s">
        <v>184</v>
      </c>
      <c r="P378" s="8" t="s">
        <v>185</v>
      </c>
      <c r="Q378" s="8" t="s">
        <v>186</v>
      </c>
      <c r="R378" s="8" t="s">
        <v>227</v>
      </c>
      <c r="S378" s="8"/>
      <c r="T378" s="8"/>
      <c r="U378" s="8" t="s">
        <v>384</v>
      </c>
      <c r="V378" s="8"/>
      <c r="W378" s="8" t="s">
        <v>380</v>
      </c>
      <c r="X378" s="8" t="s">
        <v>99</v>
      </c>
      <c r="Y378" s="8" t="s">
        <v>23</v>
      </c>
    </row>
    <row r="379" spans="1:25" hidden="1" x14ac:dyDescent="0.25">
      <c r="A379" s="273" t="str">
        <f t="shared" si="4"/>
        <v>ABRIL</v>
      </c>
      <c r="B379" s="251">
        <v>45758</v>
      </c>
      <c r="C379" s="252" t="s">
        <v>539</v>
      </c>
      <c r="D379" s="252"/>
      <c r="E379" s="253">
        <v>9333.94</v>
      </c>
      <c r="F379" s="253">
        <v>0</v>
      </c>
      <c r="G379" s="274">
        <f>Tabla3[[#This Row],[INGRESOS]]-Tabla3[[#This Row],[EGRESOS]]</f>
        <v>-9333.94</v>
      </c>
      <c r="H379" s="274"/>
      <c r="I379" s="135">
        <v>1140</v>
      </c>
      <c r="J379" s="136">
        <f>Tabla3[[#This Row],[EGRESOS]]/Tabla3[[#This Row],[TC]]</f>
        <v>8.1876666666666669</v>
      </c>
      <c r="K379" s="136">
        <f>Tabla3[[#This Row],[INGRESOS]]/Tabla3[[#This Row],[TC]]</f>
        <v>0</v>
      </c>
      <c r="L379" s="8" t="s">
        <v>376</v>
      </c>
      <c r="M379" s="8" t="s">
        <v>377</v>
      </c>
      <c r="N379" s="8" t="s">
        <v>30</v>
      </c>
      <c r="O379" s="8" t="s">
        <v>184</v>
      </c>
      <c r="P379" s="8" t="s">
        <v>185</v>
      </c>
      <c r="Q379" s="8" t="s">
        <v>186</v>
      </c>
      <c r="R379" s="8" t="s">
        <v>227</v>
      </c>
      <c r="S379" s="8"/>
      <c r="T379" s="8"/>
      <c r="U379" s="8" t="s">
        <v>384</v>
      </c>
      <c r="V379" s="8"/>
      <c r="W379" s="8" t="s">
        <v>380</v>
      </c>
      <c r="X379" s="8" t="s">
        <v>99</v>
      </c>
      <c r="Y379" s="8" t="s">
        <v>23</v>
      </c>
    </row>
    <row r="380" spans="1:25" hidden="1" x14ac:dyDescent="0.25">
      <c r="A380" s="273" t="str">
        <f t="shared" si="4"/>
        <v>ABRIL</v>
      </c>
      <c r="B380" s="251">
        <v>45758</v>
      </c>
      <c r="C380" s="252" t="s">
        <v>497</v>
      </c>
      <c r="D380" s="252"/>
      <c r="E380" s="253">
        <v>4725</v>
      </c>
      <c r="F380" s="253">
        <v>0</v>
      </c>
      <c r="G380" s="274">
        <f>Tabla3[[#This Row],[INGRESOS]]-Tabla3[[#This Row],[EGRESOS]]</f>
        <v>-4725</v>
      </c>
      <c r="H380" s="274"/>
      <c r="I380" s="135">
        <v>1140</v>
      </c>
      <c r="J380" s="136">
        <f>Tabla3[[#This Row],[EGRESOS]]/Tabla3[[#This Row],[TC]]</f>
        <v>4.1447368421052628</v>
      </c>
      <c r="K380" s="136">
        <f>Tabla3[[#This Row],[INGRESOS]]/Tabla3[[#This Row],[TC]]</f>
        <v>0</v>
      </c>
      <c r="L380" s="8" t="s">
        <v>376</v>
      </c>
      <c r="M380" s="8" t="s">
        <v>377</v>
      </c>
      <c r="N380" s="8" t="s">
        <v>30</v>
      </c>
      <c r="O380" s="8" t="s">
        <v>184</v>
      </c>
      <c r="P380" s="8" t="s">
        <v>195</v>
      </c>
      <c r="Q380" s="8" t="s">
        <v>196</v>
      </c>
      <c r="R380" s="8" t="s">
        <v>382</v>
      </c>
      <c r="S380" s="8" t="s">
        <v>383</v>
      </c>
      <c r="T380" s="8"/>
      <c r="U380" s="8" t="s">
        <v>384</v>
      </c>
      <c r="V380" s="8"/>
      <c r="W380" s="8" t="s">
        <v>380</v>
      </c>
      <c r="X380" s="8" t="s">
        <v>99</v>
      </c>
      <c r="Y380" s="8" t="s">
        <v>23</v>
      </c>
    </row>
    <row r="381" spans="1:25" hidden="1" x14ac:dyDescent="0.25">
      <c r="A381" s="273" t="str">
        <f t="shared" si="4"/>
        <v>ABRIL</v>
      </c>
      <c r="B381" s="251">
        <v>45758</v>
      </c>
      <c r="C381" s="252" t="s">
        <v>498</v>
      </c>
      <c r="D381" s="252"/>
      <c r="E381" s="253">
        <v>675</v>
      </c>
      <c r="F381" s="253">
        <v>0</v>
      </c>
      <c r="G381" s="274">
        <f>Tabla3[[#This Row],[INGRESOS]]-Tabla3[[#This Row],[EGRESOS]]</f>
        <v>-675</v>
      </c>
      <c r="H381" s="274"/>
      <c r="I381" s="135">
        <v>1140</v>
      </c>
      <c r="J381" s="136">
        <f>Tabla3[[#This Row],[EGRESOS]]/Tabla3[[#This Row],[TC]]</f>
        <v>0.59210526315789469</v>
      </c>
      <c r="K381" s="136">
        <f>Tabla3[[#This Row],[INGRESOS]]/Tabla3[[#This Row],[TC]]</f>
        <v>0</v>
      </c>
      <c r="L381" s="8" t="s">
        <v>376</v>
      </c>
      <c r="M381" s="8" t="s">
        <v>377</v>
      </c>
      <c r="N381" s="8" t="s">
        <v>30</v>
      </c>
      <c r="O381" s="8" t="s">
        <v>184</v>
      </c>
      <c r="P381" s="8" t="s">
        <v>195</v>
      </c>
      <c r="Q381" s="8" t="s">
        <v>196</v>
      </c>
      <c r="R381" s="8" t="s">
        <v>499</v>
      </c>
      <c r="S381" s="8" t="s">
        <v>383</v>
      </c>
      <c r="T381" s="8"/>
      <c r="U381" s="8" t="s">
        <v>384</v>
      </c>
      <c r="V381" s="8"/>
      <c r="W381" s="8" t="s">
        <v>380</v>
      </c>
      <c r="X381" s="8" t="s">
        <v>99</v>
      </c>
      <c r="Y381" s="8" t="s">
        <v>23</v>
      </c>
    </row>
    <row r="382" spans="1:25" hidden="1" x14ac:dyDescent="0.25">
      <c r="A382" s="273" t="str">
        <f t="shared" si="4"/>
        <v>ABRIL</v>
      </c>
      <c r="B382" s="251">
        <v>45758</v>
      </c>
      <c r="C382" s="252" t="s">
        <v>500</v>
      </c>
      <c r="D382" s="252"/>
      <c r="E382" s="253">
        <v>56</v>
      </c>
      <c r="F382" s="253">
        <v>0</v>
      </c>
      <c r="G382" s="274">
        <f>Tabla3[[#This Row],[INGRESOS]]-Tabla3[[#This Row],[EGRESOS]]</f>
        <v>-56</v>
      </c>
      <c r="H382" s="274"/>
      <c r="I382" s="135">
        <v>1140</v>
      </c>
      <c r="J382" s="136">
        <f>Tabla3[[#This Row],[EGRESOS]]/Tabla3[[#This Row],[TC]]</f>
        <v>4.912280701754386E-2</v>
      </c>
      <c r="K382" s="136">
        <f>Tabla3[[#This Row],[INGRESOS]]/Tabla3[[#This Row],[TC]]</f>
        <v>0</v>
      </c>
      <c r="L382" s="8" t="s">
        <v>376</v>
      </c>
      <c r="M382" s="8" t="s">
        <v>377</v>
      </c>
      <c r="N382" s="8" t="s">
        <v>30</v>
      </c>
      <c r="O382" s="8" t="s">
        <v>184</v>
      </c>
      <c r="P382" s="8" t="s">
        <v>195</v>
      </c>
      <c r="Q382" s="8" t="s">
        <v>196</v>
      </c>
      <c r="R382" s="8" t="s">
        <v>394</v>
      </c>
      <c r="S382" s="8" t="s">
        <v>383</v>
      </c>
      <c r="T382" s="8"/>
      <c r="U382" s="8" t="s">
        <v>384</v>
      </c>
      <c r="V382" s="8"/>
      <c r="W382" s="8" t="s">
        <v>380</v>
      </c>
      <c r="X382" s="8" t="s">
        <v>99</v>
      </c>
      <c r="Y382" s="8" t="s">
        <v>23</v>
      </c>
    </row>
    <row r="383" spans="1:25" hidden="1" x14ac:dyDescent="0.25">
      <c r="A383" s="273" t="str">
        <f t="shared" si="4"/>
        <v>ABRIL</v>
      </c>
      <c r="B383" s="251">
        <v>45758</v>
      </c>
      <c r="C383" s="252" t="s">
        <v>500</v>
      </c>
      <c r="D383" s="252"/>
      <c r="E383" s="253">
        <v>28.35</v>
      </c>
      <c r="F383" s="253">
        <v>0</v>
      </c>
      <c r="G383" s="274">
        <f>Tabla3[[#This Row],[INGRESOS]]-Tabla3[[#This Row],[EGRESOS]]</f>
        <v>-28.35</v>
      </c>
      <c r="H383" s="274"/>
      <c r="I383" s="135">
        <v>1140</v>
      </c>
      <c r="J383" s="136">
        <f>Tabla3[[#This Row],[EGRESOS]]/Tabla3[[#This Row],[TC]]</f>
        <v>2.4868421052631581E-2</v>
      </c>
      <c r="K383" s="136">
        <f>Tabla3[[#This Row],[INGRESOS]]/Tabla3[[#This Row],[TC]]</f>
        <v>0</v>
      </c>
      <c r="L383" s="8" t="s">
        <v>376</v>
      </c>
      <c r="M383" s="8" t="s">
        <v>377</v>
      </c>
      <c r="N383" s="8" t="s">
        <v>30</v>
      </c>
      <c r="O383" s="8" t="s">
        <v>184</v>
      </c>
      <c r="P383" s="8" t="s">
        <v>195</v>
      </c>
      <c r="Q383" s="8" t="s">
        <v>196</v>
      </c>
      <c r="R383" s="8" t="s">
        <v>394</v>
      </c>
      <c r="S383" s="8" t="s">
        <v>383</v>
      </c>
      <c r="T383" s="8"/>
      <c r="U383" s="8" t="s">
        <v>384</v>
      </c>
      <c r="V383" s="8"/>
      <c r="W383" s="8" t="s">
        <v>380</v>
      </c>
      <c r="X383" s="8" t="s">
        <v>99</v>
      </c>
      <c r="Y383" s="8" t="s">
        <v>23</v>
      </c>
    </row>
    <row r="384" spans="1:25" hidden="1" x14ac:dyDescent="0.25">
      <c r="A384" s="273" t="str">
        <f t="shared" si="4"/>
        <v>ABRIL</v>
      </c>
      <c r="B384" s="251">
        <v>45758</v>
      </c>
      <c r="C384" s="252" t="s">
        <v>500</v>
      </c>
      <c r="D384" s="252"/>
      <c r="E384" s="253">
        <v>4.05</v>
      </c>
      <c r="F384" s="253">
        <v>0</v>
      </c>
      <c r="G384" s="274">
        <f>Tabla3[[#This Row],[INGRESOS]]-Tabla3[[#This Row],[EGRESOS]]</f>
        <v>-4.05</v>
      </c>
      <c r="H384" s="274"/>
      <c r="I384" s="135">
        <v>1140</v>
      </c>
      <c r="J384" s="136">
        <f>Tabla3[[#This Row],[EGRESOS]]/Tabla3[[#This Row],[TC]]</f>
        <v>3.5526315789473684E-3</v>
      </c>
      <c r="K384" s="136">
        <f>Tabla3[[#This Row],[INGRESOS]]/Tabla3[[#This Row],[TC]]</f>
        <v>0</v>
      </c>
      <c r="L384" s="8" t="s">
        <v>376</v>
      </c>
      <c r="M384" s="8" t="s">
        <v>377</v>
      </c>
      <c r="N384" s="8" t="s">
        <v>30</v>
      </c>
      <c r="O384" s="8" t="s">
        <v>184</v>
      </c>
      <c r="P384" s="8" t="s">
        <v>195</v>
      </c>
      <c r="Q384" s="8" t="s">
        <v>196</v>
      </c>
      <c r="R384" s="8" t="s">
        <v>394</v>
      </c>
      <c r="S384" s="8" t="s">
        <v>383</v>
      </c>
      <c r="T384" s="8"/>
      <c r="U384" s="8" t="s">
        <v>384</v>
      </c>
      <c r="V384" s="8"/>
      <c r="W384" s="8" t="s">
        <v>380</v>
      </c>
      <c r="X384" s="8" t="s">
        <v>99</v>
      </c>
      <c r="Y384" s="8" t="s">
        <v>23</v>
      </c>
    </row>
    <row r="385" spans="1:25" hidden="1" x14ac:dyDescent="0.25">
      <c r="A385" s="273" t="str">
        <f t="shared" si="4"/>
        <v>ABRIL</v>
      </c>
      <c r="B385" s="251">
        <v>45763</v>
      </c>
      <c r="C385" s="252" t="s">
        <v>508</v>
      </c>
      <c r="D385" s="252"/>
      <c r="E385" s="253">
        <v>1200000</v>
      </c>
      <c r="F385" s="253">
        <v>0</v>
      </c>
      <c r="G385" s="274">
        <f>Tabla3[[#This Row],[INGRESOS]]-Tabla3[[#This Row],[EGRESOS]]</f>
        <v>-1200000</v>
      </c>
      <c r="H385" s="274"/>
      <c r="I385" s="135">
        <v>1140</v>
      </c>
      <c r="J385" s="136">
        <f>Tabla3[[#This Row],[EGRESOS]]/Tabla3[[#This Row],[TC]]</f>
        <v>1052.6315789473683</v>
      </c>
      <c r="K385" s="136">
        <f>Tabla3[[#This Row],[INGRESOS]]/Tabla3[[#This Row],[TC]]</f>
        <v>0</v>
      </c>
      <c r="L385" s="8" t="s">
        <v>376</v>
      </c>
      <c r="M385" s="8" t="s">
        <v>377</v>
      </c>
      <c r="N385" s="8" t="s">
        <v>30</v>
      </c>
      <c r="O385" s="8" t="s">
        <v>244</v>
      </c>
      <c r="P385" s="8" t="s">
        <v>259</v>
      </c>
      <c r="Q385" s="8" t="s">
        <v>260</v>
      </c>
      <c r="R385" s="8" t="s">
        <v>378</v>
      </c>
      <c r="S385" s="8"/>
      <c r="T385" s="8"/>
      <c r="U385" s="8" t="s">
        <v>379</v>
      </c>
      <c r="V385" s="8"/>
      <c r="W385" s="8" t="s">
        <v>380</v>
      </c>
      <c r="X385" s="8"/>
      <c r="Y385" s="8"/>
    </row>
    <row r="386" spans="1:25" hidden="1" x14ac:dyDescent="0.25">
      <c r="A386" s="273" t="str">
        <f t="shared" si="4"/>
        <v>ABRIL</v>
      </c>
      <c r="B386" s="251">
        <v>45763</v>
      </c>
      <c r="C386" s="252" t="s">
        <v>508</v>
      </c>
      <c r="D386" s="252"/>
      <c r="E386" s="253">
        <v>1000000</v>
      </c>
      <c r="F386" s="253">
        <v>0</v>
      </c>
      <c r="G386" s="274">
        <f>Tabla3[[#This Row],[INGRESOS]]-Tabla3[[#This Row],[EGRESOS]]</f>
        <v>-1000000</v>
      </c>
      <c r="H386" s="274"/>
      <c r="I386" s="135">
        <v>1140</v>
      </c>
      <c r="J386" s="136">
        <f>Tabla3[[#This Row],[EGRESOS]]/Tabla3[[#This Row],[TC]]</f>
        <v>877.19298245614038</v>
      </c>
      <c r="K386" s="136">
        <f>Tabla3[[#This Row],[INGRESOS]]/Tabla3[[#This Row],[TC]]</f>
        <v>0</v>
      </c>
      <c r="L386" s="8" t="s">
        <v>376</v>
      </c>
      <c r="M386" s="8" t="s">
        <v>377</v>
      </c>
      <c r="N386" s="8" t="s">
        <v>30</v>
      </c>
      <c r="O386" s="8" t="s">
        <v>244</v>
      </c>
      <c r="P386" s="8" t="s">
        <v>259</v>
      </c>
      <c r="Q386" s="8" t="s">
        <v>260</v>
      </c>
      <c r="R386" s="8" t="s">
        <v>378</v>
      </c>
      <c r="S386" s="8"/>
      <c r="T386" s="8"/>
      <c r="U386" s="8" t="s">
        <v>379</v>
      </c>
      <c r="V386" s="8"/>
      <c r="W386" s="8" t="s">
        <v>380</v>
      </c>
      <c r="X386" s="8"/>
      <c r="Y386" s="8"/>
    </row>
    <row r="387" spans="1:25" hidden="1" x14ac:dyDescent="0.25">
      <c r="A387" s="273" t="str">
        <f t="shared" si="4"/>
        <v>ABRIL</v>
      </c>
      <c r="B387" s="251">
        <v>45763</v>
      </c>
      <c r="C387" s="252" t="s">
        <v>508</v>
      </c>
      <c r="D387" s="252"/>
      <c r="E387" s="253">
        <v>90000</v>
      </c>
      <c r="F387" s="253">
        <v>0</v>
      </c>
      <c r="G387" s="274">
        <f>Tabla3[[#This Row],[INGRESOS]]-Tabla3[[#This Row],[EGRESOS]]</f>
        <v>-90000</v>
      </c>
      <c r="H387" s="274"/>
      <c r="I387" s="135">
        <v>1140</v>
      </c>
      <c r="J387" s="136">
        <f>Tabla3[[#This Row],[EGRESOS]]/Tabla3[[#This Row],[TC]]</f>
        <v>78.94736842105263</v>
      </c>
      <c r="K387" s="136">
        <f>Tabla3[[#This Row],[INGRESOS]]/Tabla3[[#This Row],[TC]]</f>
        <v>0</v>
      </c>
      <c r="L387" s="8" t="s">
        <v>376</v>
      </c>
      <c r="M387" s="8" t="s">
        <v>377</v>
      </c>
      <c r="N387" s="8" t="s">
        <v>30</v>
      </c>
      <c r="O387" s="8" t="s">
        <v>244</v>
      </c>
      <c r="P387" s="8" t="s">
        <v>259</v>
      </c>
      <c r="Q387" s="8" t="s">
        <v>260</v>
      </c>
      <c r="R387" s="8" t="s">
        <v>378</v>
      </c>
      <c r="S387" s="8"/>
      <c r="T387" s="8"/>
      <c r="U387" s="8" t="s">
        <v>379</v>
      </c>
      <c r="V387" s="8"/>
      <c r="W387" s="8" t="s">
        <v>380</v>
      </c>
      <c r="X387" s="8"/>
      <c r="Y387" s="8"/>
    </row>
    <row r="388" spans="1:25" hidden="1" x14ac:dyDescent="0.25">
      <c r="A388" s="273" t="str">
        <f t="shared" si="4"/>
        <v>ABRIL</v>
      </c>
      <c r="B388" s="251">
        <v>45768</v>
      </c>
      <c r="C388" s="252" t="s">
        <v>508</v>
      </c>
      <c r="D388" s="252"/>
      <c r="E388" s="253">
        <v>650000</v>
      </c>
      <c r="F388" s="253">
        <v>0</v>
      </c>
      <c r="G388" s="274">
        <f>Tabla3[[#This Row],[INGRESOS]]-Tabla3[[#This Row],[EGRESOS]]</f>
        <v>-650000</v>
      </c>
      <c r="H388" s="274"/>
      <c r="I388" s="135">
        <v>1140</v>
      </c>
      <c r="J388" s="136">
        <f>Tabla3[[#This Row],[EGRESOS]]/Tabla3[[#This Row],[TC]]</f>
        <v>570.17543859649118</v>
      </c>
      <c r="K388" s="136">
        <f>Tabla3[[#This Row],[INGRESOS]]/Tabla3[[#This Row],[TC]]</f>
        <v>0</v>
      </c>
      <c r="L388" s="8" t="s">
        <v>376</v>
      </c>
      <c r="M388" s="8" t="s">
        <v>377</v>
      </c>
      <c r="N388" s="8" t="s">
        <v>30</v>
      </c>
      <c r="O388" s="8" t="s">
        <v>244</v>
      </c>
      <c r="P388" s="8" t="s">
        <v>259</v>
      </c>
      <c r="Q388" s="8" t="s">
        <v>260</v>
      </c>
      <c r="R388" s="8" t="s">
        <v>378</v>
      </c>
      <c r="S388" s="8"/>
      <c r="T388" s="8"/>
      <c r="U388" s="8" t="s">
        <v>379</v>
      </c>
      <c r="V388" s="8"/>
      <c r="W388" s="8" t="s">
        <v>380</v>
      </c>
      <c r="X388" s="8"/>
      <c r="Y388" s="8"/>
    </row>
    <row r="389" spans="1:25" hidden="1" x14ac:dyDescent="0.25">
      <c r="A389" s="273" t="str">
        <f t="shared" si="4"/>
        <v>ABRIL</v>
      </c>
      <c r="B389" s="251">
        <v>45768</v>
      </c>
      <c r="C389" s="252" t="s">
        <v>508</v>
      </c>
      <c r="D389" s="252"/>
      <c r="E389" s="253">
        <v>30000</v>
      </c>
      <c r="F389" s="253">
        <v>0</v>
      </c>
      <c r="G389" s="274">
        <f>Tabla3[[#This Row],[INGRESOS]]-Tabla3[[#This Row],[EGRESOS]]</f>
        <v>-30000</v>
      </c>
      <c r="H389" s="274"/>
      <c r="I389" s="135">
        <v>1140</v>
      </c>
      <c r="J389" s="136">
        <f>Tabla3[[#This Row],[EGRESOS]]/Tabla3[[#This Row],[TC]]</f>
        <v>26.315789473684209</v>
      </c>
      <c r="K389" s="136">
        <f>Tabla3[[#This Row],[INGRESOS]]/Tabla3[[#This Row],[TC]]</f>
        <v>0</v>
      </c>
      <c r="L389" s="8" t="s">
        <v>376</v>
      </c>
      <c r="M389" s="8" t="s">
        <v>377</v>
      </c>
      <c r="N389" s="8" t="s">
        <v>30</v>
      </c>
      <c r="O389" s="8" t="s">
        <v>184</v>
      </c>
      <c r="P389" s="8" t="s">
        <v>199</v>
      </c>
      <c r="Q389" s="8" t="s">
        <v>200</v>
      </c>
      <c r="R389" s="8"/>
      <c r="S389" s="8" t="s">
        <v>470</v>
      </c>
      <c r="T389" s="8"/>
      <c r="U389" s="8" t="s">
        <v>390</v>
      </c>
      <c r="V389" s="8"/>
      <c r="W389" s="8" t="s">
        <v>380</v>
      </c>
      <c r="X389" s="8" t="s">
        <v>99</v>
      </c>
      <c r="Y389" s="8" t="s">
        <v>23</v>
      </c>
    </row>
    <row r="390" spans="1:25" hidden="1" x14ac:dyDescent="0.25">
      <c r="A390" s="273" t="str">
        <f t="shared" si="4"/>
        <v>ABRIL</v>
      </c>
      <c r="B390" s="251">
        <v>45768</v>
      </c>
      <c r="C390" s="252" t="s">
        <v>536</v>
      </c>
      <c r="D390" s="252"/>
      <c r="E390" s="253">
        <v>956</v>
      </c>
      <c r="F390" s="253">
        <v>0</v>
      </c>
      <c r="G390" s="274">
        <f>Tabla3[[#This Row],[INGRESOS]]-Tabla3[[#This Row],[EGRESOS]]</f>
        <v>-956</v>
      </c>
      <c r="H390" s="274"/>
      <c r="I390" s="135">
        <v>1140</v>
      </c>
      <c r="J390" s="136">
        <f>Tabla3[[#This Row],[EGRESOS]]/Tabla3[[#This Row],[TC]]</f>
        <v>0.83859649122807023</v>
      </c>
      <c r="K390" s="136">
        <f>Tabla3[[#This Row],[INGRESOS]]/Tabla3[[#This Row],[TC]]</f>
        <v>0</v>
      </c>
      <c r="L390" s="8" t="s">
        <v>376</v>
      </c>
      <c r="M390" s="8" t="s">
        <v>377</v>
      </c>
      <c r="N390" s="8" t="s">
        <v>30</v>
      </c>
      <c r="O390" s="8" t="s">
        <v>184</v>
      </c>
      <c r="P390" s="8" t="s">
        <v>185</v>
      </c>
      <c r="Q390" s="8" t="s">
        <v>186</v>
      </c>
      <c r="R390" s="8" t="s">
        <v>227</v>
      </c>
      <c r="S390" s="8"/>
      <c r="T390" s="8"/>
      <c r="U390" s="8" t="s">
        <v>384</v>
      </c>
      <c r="V390" s="8"/>
      <c r="W390" s="8" t="s">
        <v>380</v>
      </c>
      <c r="X390" s="8" t="s">
        <v>99</v>
      </c>
      <c r="Y390" s="8" t="s">
        <v>23</v>
      </c>
    </row>
    <row r="391" spans="1:25" hidden="1" x14ac:dyDescent="0.25">
      <c r="A391" s="273" t="str">
        <f t="shared" si="4"/>
        <v>ABRIL</v>
      </c>
      <c r="B391" s="251">
        <v>45768</v>
      </c>
      <c r="C391" s="252" t="s">
        <v>536</v>
      </c>
      <c r="D391" s="252"/>
      <c r="E391" s="253">
        <v>956</v>
      </c>
      <c r="F391" s="253">
        <v>0</v>
      </c>
      <c r="G391" s="274">
        <f>Tabla3[[#This Row],[INGRESOS]]-Tabla3[[#This Row],[EGRESOS]]</f>
        <v>-956</v>
      </c>
      <c r="H391" s="274"/>
      <c r="I391" s="135">
        <v>1140</v>
      </c>
      <c r="J391" s="136">
        <f>Tabla3[[#This Row],[EGRESOS]]/Tabla3[[#This Row],[TC]]</f>
        <v>0.83859649122807023</v>
      </c>
      <c r="K391" s="136">
        <f>Tabla3[[#This Row],[INGRESOS]]/Tabla3[[#This Row],[TC]]</f>
        <v>0</v>
      </c>
      <c r="L391" s="8" t="s">
        <v>376</v>
      </c>
      <c r="M391" s="8" t="s">
        <v>377</v>
      </c>
      <c r="N391" s="8" t="s">
        <v>30</v>
      </c>
      <c r="O391" s="8" t="s">
        <v>184</v>
      </c>
      <c r="P391" s="8" t="s">
        <v>185</v>
      </c>
      <c r="Q391" s="8" t="s">
        <v>186</v>
      </c>
      <c r="R391" s="8" t="s">
        <v>227</v>
      </c>
      <c r="S391" s="8"/>
      <c r="T391" s="8"/>
      <c r="U391" s="8" t="s">
        <v>384</v>
      </c>
      <c r="V391" s="8"/>
      <c r="W391" s="8" t="s">
        <v>380</v>
      </c>
      <c r="X391" s="8" t="s">
        <v>99</v>
      </c>
      <c r="Y391" s="8" t="s">
        <v>23</v>
      </c>
    </row>
    <row r="392" spans="1:25" hidden="1" x14ac:dyDescent="0.25">
      <c r="A392" s="273" t="str">
        <f t="shared" si="4"/>
        <v>ABRIL</v>
      </c>
      <c r="B392" s="251">
        <v>45768</v>
      </c>
      <c r="C392" s="252" t="s">
        <v>497</v>
      </c>
      <c r="D392" s="252"/>
      <c r="E392" s="253">
        <v>401.52</v>
      </c>
      <c r="F392" s="253">
        <v>0</v>
      </c>
      <c r="G392" s="274">
        <f>Tabla3[[#This Row],[INGRESOS]]-Tabla3[[#This Row],[EGRESOS]]</f>
        <v>-401.52</v>
      </c>
      <c r="H392" s="274"/>
      <c r="I392" s="135">
        <v>1140</v>
      </c>
      <c r="J392" s="136">
        <f>Tabla3[[#This Row],[EGRESOS]]/Tabla3[[#This Row],[TC]]</f>
        <v>0.35221052631578947</v>
      </c>
      <c r="K392" s="136">
        <f>Tabla3[[#This Row],[INGRESOS]]/Tabla3[[#This Row],[TC]]</f>
        <v>0</v>
      </c>
      <c r="L392" s="8" t="s">
        <v>376</v>
      </c>
      <c r="M392" s="8" t="s">
        <v>377</v>
      </c>
      <c r="N392" s="8" t="s">
        <v>30</v>
      </c>
      <c r="O392" s="8" t="s">
        <v>184</v>
      </c>
      <c r="P392" s="8" t="s">
        <v>195</v>
      </c>
      <c r="Q392" s="8" t="s">
        <v>196</v>
      </c>
      <c r="R392" s="8" t="s">
        <v>394</v>
      </c>
      <c r="S392" s="8" t="s">
        <v>383</v>
      </c>
      <c r="T392" s="8"/>
      <c r="U392" s="8" t="s">
        <v>384</v>
      </c>
      <c r="V392" s="8"/>
      <c r="W392" s="8" t="s">
        <v>380</v>
      </c>
      <c r="X392" s="8" t="s">
        <v>99</v>
      </c>
      <c r="Y392" s="8" t="s">
        <v>23</v>
      </c>
    </row>
    <row r="393" spans="1:25" hidden="1" x14ac:dyDescent="0.25">
      <c r="A393" s="273" t="str">
        <f t="shared" si="4"/>
        <v>ABRIL</v>
      </c>
      <c r="B393" s="251">
        <v>45768</v>
      </c>
      <c r="C393" s="252" t="s">
        <v>500</v>
      </c>
      <c r="D393" s="252"/>
      <c r="E393" s="253">
        <v>180</v>
      </c>
      <c r="F393" s="253">
        <v>0</v>
      </c>
      <c r="G393" s="274">
        <f>Tabla3[[#This Row],[INGRESOS]]-Tabla3[[#This Row],[EGRESOS]]</f>
        <v>-180</v>
      </c>
      <c r="H393" s="274"/>
      <c r="I393" s="135">
        <v>1140</v>
      </c>
      <c r="J393" s="136">
        <f>Tabla3[[#This Row],[EGRESOS]]/Tabla3[[#This Row],[TC]]</f>
        <v>0.15789473684210525</v>
      </c>
      <c r="K393" s="136">
        <f>Tabla3[[#This Row],[INGRESOS]]/Tabla3[[#This Row],[TC]]</f>
        <v>0</v>
      </c>
      <c r="L393" s="8" t="s">
        <v>376</v>
      </c>
      <c r="M393" s="8" t="s">
        <v>377</v>
      </c>
      <c r="N393" s="8" t="s">
        <v>30</v>
      </c>
      <c r="O393" s="8" t="s">
        <v>184</v>
      </c>
      <c r="P393" s="8" t="s">
        <v>195</v>
      </c>
      <c r="Q393" s="8" t="s">
        <v>196</v>
      </c>
      <c r="R393" s="8" t="s">
        <v>394</v>
      </c>
      <c r="S393" s="8" t="s">
        <v>383</v>
      </c>
      <c r="T393" s="8"/>
      <c r="U393" s="8" t="s">
        <v>384</v>
      </c>
      <c r="V393" s="8"/>
      <c r="W393" s="8" t="s">
        <v>380</v>
      </c>
      <c r="X393" s="8" t="s">
        <v>99</v>
      </c>
      <c r="Y393" s="8" t="s">
        <v>23</v>
      </c>
    </row>
    <row r="394" spans="1:25" hidden="1" x14ac:dyDescent="0.25">
      <c r="A394" s="273" t="str">
        <f t="shared" si="4"/>
        <v>ABRIL</v>
      </c>
      <c r="B394" s="251">
        <v>45768</v>
      </c>
      <c r="C394" s="252" t="s">
        <v>500</v>
      </c>
      <c r="D394" s="252"/>
      <c r="E394" s="253">
        <v>5.74</v>
      </c>
      <c r="F394" s="253">
        <v>0</v>
      </c>
      <c r="G394" s="274">
        <f>Tabla3[[#This Row],[INGRESOS]]-Tabla3[[#This Row],[EGRESOS]]</f>
        <v>-5.74</v>
      </c>
      <c r="H394" s="274"/>
      <c r="I394" s="135">
        <v>1140</v>
      </c>
      <c r="J394" s="136">
        <f>Tabla3[[#This Row],[EGRESOS]]/Tabla3[[#This Row],[TC]]</f>
        <v>5.0350877192982457E-3</v>
      </c>
      <c r="K394" s="136">
        <f>Tabla3[[#This Row],[INGRESOS]]/Tabla3[[#This Row],[TC]]</f>
        <v>0</v>
      </c>
      <c r="L394" s="8" t="s">
        <v>376</v>
      </c>
      <c r="M394" s="8" t="s">
        <v>377</v>
      </c>
      <c r="N394" s="8" t="s">
        <v>30</v>
      </c>
      <c r="O394" s="8" t="s">
        <v>184</v>
      </c>
      <c r="P394" s="8" t="s">
        <v>195</v>
      </c>
      <c r="Q394" s="8" t="s">
        <v>196</v>
      </c>
      <c r="R394" s="8" t="s">
        <v>394</v>
      </c>
      <c r="S394" s="8" t="s">
        <v>383</v>
      </c>
      <c r="T394" s="8"/>
      <c r="U394" s="8" t="s">
        <v>384</v>
      </c>
      <c r="V394" s="8"/>
      <c r="W394" s="8" t="s">
        <v>380</v>
      </c>
      <c r="X394" s="8" t="s">
        <v>99</v>
      </c>
      <c r="Y394" s="8" t="s">
        <v>23</v>
      </c>
    </row>
    <row r="395" spans="1:25" hidden="1" x14ac:dyDescent="0.25">
      <c r="A395" s="273" t="str">
        <f t="shared" si="4"/>
        <v>ABRIL</v>
      </c>
      <c r="B395" s="251">
        <v>45768</v>
      </c>
      <c r="C395" s="252" t="s">
        <v>500</v>
      </c>
      <c r="D395" s="252"/>
      <c r="E395" s="253">
        <v>5.74</v>
      </c>
      <c r="F395" s="253">
        <v>0</v>
      </c>
      <c r="G395" s="274">
        <f>Tabla3[[#This Row],[INGRESOS]]-Tabla3[[#This Row],[EGRESOS]]</f>
        <v>-5.74</v>
      </c>
      <c r="H395" s="274"/>
      <c r="I395" s="135">
        <v>1140</v>
      </c>
      <c r="J395" s="136">
        <f>Tabla3[[#This Row],[EGRESOS]]/Tabla3[[#This Row],[TC]]</f>
        <v>5.0350877192982457E-3</v>
      </c>
      <c r="K395" s="136">
        <f>Tabla3[[#This Row],[INGRESOS]]/Tabla3[[#This Row],[TC]]</f>
        <v>0</v>
      </c>
      <c r="L395" s="8" t="s">
        <v>376</v>
      </c>
      <c r="M395" s="8" t="s">
        <v>377</v>
      </c>
      <c r="N395" s="8" t="s">
        <v>30</v>
      </c>
      <c r="O395" s="8" t="s">
        <v>184</v>
      </c>
      <c r="P395" s="8" t="s">
        <v>195</v>
      </c>
      <c r="Q395" s="8" t="s">
        <v>196</v>
      </c>
      <c r="R395" s="8" t="s">
        <v>394</v>
      </c>
      <c r="S395" s="8" t="s">
        <v>383</v>
      </c>
      <c r="T395" s="8"/>
      <c r="U395" s="8" t="s">
        <v>384</v>
      </c>
      <c r="V395" s="8"/>
      <c r="W395" s="8" t="s">
        <v>380</v>
      </c>
      <c r="X395" s="8" t="s">
        <v>99</v>
      </c>
      <c r="Y395" s="8" t="s">
        <v>23</v>
      </c>
    </row>
    <row r="396" spans="1:25" hidden="1" x14ac:dyDescent="0.25">
      <c r="A396" s="273" t="str">
        <f t="shared" si="4"/>
        <v>ABRIL</v>
      </c>
      <c r="B396" s="251">
        <v>45768</v>
      </c>
      <c r="C396" s="252" t="s">
        <v>500</v>
      </c>
      <c r="D396" s="252"/>
      <c r="E396" s="253">
        <v>2.41</v>
      </c>
      <c r="F396" s="253">
        <v>0</v>
      </c>
      <c r="G396" s="274">
        <f>Tabla3[[#This Row],[INGRESOS]]-Tabla3[[#This Row],[EGRESOS]]</f>
        <v>-2.41</v>
      </c>
      <c r="H396" s="274"/>
      <c r="I396" s="135">
        <v>1140</v>
      </c>
      <c r="J396" s="136">
        <f>Tabla3[[#This Row],[EGRESOS]]/Tabla3[[#This Row],[TC]]</f>
        <v>2.1140350877192982E-3</v>
      </c>
      <c r="K396" s="136">
        <f>Tabla3[[#This Row],[INGRESOS]]/Tabla3[[#This Row],[TC]]</f>
        <v>0</v>
      </c>
      <c r="L396" s="8" t="s">
        <v>376</v>
      </c>
      <c r="M396" s="8" t="s">
        <v>377</v>
      </c>
      <c r="N396" s="8" t="s">
        <v>30</v>
      </c>
      <c r="O396" s="8" t="s">
        <v>184</v>
      </c>
      <c r="P396" s="8" t="s">
        <v>195</v>
      </c>
      <c r="Q396" s="8" t="s">
        <v>196</v>
      </c>
      <c r="R396" s="8" t="s">
        <v>394</v>
      </c>
      <c r="S396" s="8" t="s">
        <v>383</v>
      </c>
      <c r="T396" s="8"/>
      <c r="U396" s="8" t="s">
        <v>384</v>
      </c>
      <c r="V396" s="8"/>
      <c r="W396" s="8" t="s">
        <v>380</v>
      </c>
      <c r="X396" s="8" t="s">
        <v>99</v>
      </c>
      <c r="Y396" s="8" t="s">
        <v>23</v>
      </c>
    </row>
    <row r="397" spans="1:25" hidden="1" x14ac:dyDescent="0.25">
      <c r="A397" s="273" t="s">
        <v>313</v>
      </c>
      <c r="B397" s="251">
        <v>45727</v>
      </c>
      <c r="C397" s="252" t="s">
        <v>592</v>
      </c>
      <c r="D397" s="252"/>
      <c r="E397" s="253">
        <v>0</v>
      </c>
      <c r="F397" s="253">
        <v>550000</v>
      </c>
      <c r="G397" s="274">
        <f>Tabla3[[#This Row],[INGRESOS]]-Tabla3[[#This Row],[EGRESOS]]</f>
        <v>550000</v>
      </c>
      <c r="H397" s="274">
        <v>-7182342</v>
      </c>
      <c r="I397" s="135">
        <v>1140</v>
      </c>
      <c r="J397" s="136">
        <f>Tabla3[[#This Row],[EGRESOS]]/Tabla3[[#This Row],[TC]]</f>
        <v>0</v>
      </c>
      <c r="K397" s="136">
        <f>Tabla3[[#This Row],[INGRESOS]]/Tabla3[[#This Row],[TC]]</f>
        <v>482.45614035087721</v>
      </c>
      <c r="L397" s="8" t="s">
        <v>376</v>
      </c>
      <c r="M397" s="8" t="s">
        <v>377</v>
      </c>
      <c r="N397" s="8" t="s">
        <v>28</v>
      </c>
      <c r="O397" s="8" t="s">
        <v>184</v>
      </c>
      <c r="P397" s="8" t="s">
        <v>203</v>
      </c>
      <c r="Q397" s="8" t="s">
        <v>204</v>
      </c>
      <c r="R397" s="8"/>
      <c r="S397" s="8" t="s">
        <v>386</v>
      </c>
      <c r="T397" s="8"/>
      <c r="U397" s="8" t="s">
        <v>439</v>
      </c>
      <c r="V397" s="8" t="s">
        <v>386</v>
      </c>
      <c r="W397" s="8" t="s">
        <v>380</v>
      </c>
      <c r="X397" s="8" t="s">
        <v>23</v>
      </c>
      <c r="Y397" s="8" t="s">
        <v>98</v>
      </c>
    </row>
    <row r="398" spans="1:25" hidden="1" x14ac:dyDescent="0.25">
      <c r="A398" s="273" t="str">
        <f t="shared" ref="A398:A408" si="5">"ABRIL"</f>
        <v>ABRIL</v>
      </c>
      <c r="B398" s="251">
        <v>45769</v>
      </c>
      <c r="C398" s="252" t="s">
        <v>536</v>
      </c>
      <c r="D398" s="252"/>
      <c r="E398" s="253">
        <v>956</v>
      </c>
      <c r="F398" s="253">
        <v>0</v>
      </c>
      <c r="G398" s="274">
        <f>Tabla3[[#This Row],[INGRESOS]]-Tabla3[[#This Row],[EGRESOS]]</f>
        <v>-956</v>
      </c>
      <c r="H398" s="274"/>
      <c r="I398" s="135">
        <v>1140</v>
      </c>
      <c r="J398" s="136">
        <f>Tabla3[[#This Row],[EGRESOS]]/Tabla3[[#This Row],[TC]]</f>
        <v>0.83859649122807023</v>
      </c>
      <c r="K398" s="136">
        <f>Tabla3[[#This Row],[INGRESOS]]/Tabla3[[#This Row],[TC]]</f>
        <v>0</v>
      </c>
      <c r="L398" s="8" t="s">
        <v>376</v>
      </c>
      <c r="M398" s="8" t="s">
        <v>377</v>
      </c>
      <c r="N398" s="8" t="s">
        <v>30</v>
      </c>
      <c r="O398" s="8" t="s">
        <v>184</v>
      </c>
      <c r="P398" s="8" t="s">
        <v>185</v>
      </c>
      <c r="Q398" s="8" t="s">
        <v>186</v>
      </c>
      <c r="R398" s="8" t="s">
        <v>227</v>
      </c>
      <c r="S398" s="8"/>
      <c r="T398" s="8"/>
      <c r="U398" s="8" t="s">
        <v>384</v>
      </c>
      <c r="V398" s="8"/>
      <c r="W398" s="8" t="s">
        <v>380</v>
      </c>
      <c r="X398" s="8" t="s">
        <v>99</v>
      </c>
      <c r="Y398" s="8" t="s">
        <v>23</v>
      </c>
    </row>
    <row r="399" spans="1:25" hidden="1" x14ac:dyDescent="0.25">
      <c r="A399" s="273" t="str">
        <f t="shared" si="5"/>
        <v>ABRIL</v>
      </c>
      <c r="B399" s="251">
        <v>45769</v>
      </c>
      <c r="C399" s="252" t="s">
        <v>497</v>
      </c>
      <c r="D399" s="252"/>
      <c r="E399" s="253">
        <v>200.76</v>
      </c>
      <c r="F399" s="253">
        <v>0</v>
      </c>
      <c r="G399" s="274">
        <f>Tabla3[[#This Row],[INGRESOS]]-Tabla3[[#This Row],[EGRESOS]]</f>
        <v>-200.76</v>
      </c>
      <c r="H399" s="274"/>
      <c r="I399" s="135">
        <v>1140</v>
      </c>
      <c r="J399" s="136">
        <f>Tabla3[[#This Row],[EGRESOS]]/Tabla3[[#This Row],[TC]]</f>
        <v>0.17610526315789474</v>
      </c>
      <c r="K399" s="136">
        <f>Tabla3[[#This Row],[INGRESOS]]/Tabla3[[#This Row],[TC]]</f>
        <v>0</v>
      </c>
      <c r="L399" s="8" t="s">
        <v>376</v>
      </c>
      <c r="M399" s="8" t="s">
        <v>377</v>
      </c>
      <c r="N399" s="8" t="s">
        <v>30</v>
      </c>
      <c r="O399" s="8" t="s">
        <v>184</v>
      </c>
      <c r="P399" s="8" t="s">
        <v>195</v>
      </c>
      <c r="Q399" s="8" t="s">
        <v>196</v>
      </c>
      <c r="R399" s="8" t="s">
        <v>382</v>
      </c>
      <c r="S399" s="8" t="s">
        <v>383</v>
      </c>
      <c r="T399" s="8"/>
      <c r="U399" s="8" t="s">
        <v>384</v>
      </c>
      <c r="V399" s="8"/>
      <c r="W399" s="8" t="s">
        <v>380</v>
      </c>
      <c r="X399" s="8" t="s">
        <v>99</v>
      </c>
      <c r="Y399" s="8" t="s">
        <v>23</v>
      </c>
    </row>
    <row r="400" spans="1:25" hidden="1" x14ac:dyDescent="0.25">
      <c r="A400" s="273" t="str">
        <f t="shared" si="5"/>
        <v>ABRIL</v>
      </c>
      <c r="B400" s="251">
        <v>45769</v>
      </c>
      <c r="C400" s="252" t="s">
        <v>518</v>
      </c>
      <c r="D400" s="252"/>
      <c r="E400" s="253">
        <v>30</v>
      </c>
      <c r="F400" s="253">
        <v>0</v>
      </c>
      <c r="G400" s="274">
        <f>Tabla3[[#This Row],[INGRESOS]]-Tabla3[[#This Row],[EGRESOS]]</f>
        <v>-30</v>
      </c>
      <c r="H400" s="274"/>
      <c r="I400" s="135">
        <v>1140</v>
      </c>
      <c r="J400" s="136">
        <f>Tabla3[[#This Row],[EGRESOS]]/Tabla3[[#This Row],[TC]]</f>
        <v>2.6315789473684209E-2</v>
      </c>
      <c r="K400" s="136">
        <f>Tabla3[[#This Row],[INGRESOS]]/Tabla3[[#This Row],[TC]]</f>
        <v>0</v>
      </c>
      <c r="L400" s="8" t="s">
        <v>376</v>
      </c>
      <c r="M400" s="8" t="s">
        <v>377</v>
      </c>
      <c r="N400" s="8" t="s">
        <v>30</v>
      </c>
      <c r="O400" s="8" t="s">
        <v>184</v>
      </c>
      <c r="P400" s="8" t="s">
        <v>195</v>
      </c>
      <c r="Q400" s="8" t="s">
        <v>196</v>
      </c>
      <c r="R400" s="8" t="s">
        <v>394</v>
      </c>
      <c r="S400" s="8" t="s">
        <v>383</v>
      </c>
      <c r="T400" s="8"/>
      <c r="U400" s="8" t="s">
        <v>384</v>
      </c>
      <c r="V400" s="8"/>
      <c r="W400" s="8" t="s">
        <v>380</v>
      </c>
      <c r="X400" s="8" t="s">
        <v>99</v>
      </c>
      <c r="Y400" s="8" t="s">
        <v>23</v>
      </c>
    </row>
    <row r="401" spans="1:25" hidden="1" x14ac:dyDescent="0.25">
      <c r="A401" s="273" t="str">
        <f t="shared" si="5"/>
        <v>ABRIL</v>
      </c>
      <c r="B401" s="251">
        <v>45769</v>
      </c>
      <c r="C401" s="252" t="s">
        <v>500</v>
      </c>
      <c r="D401" s="252"/>
      <c r="E401" s="253">
        <v>5.74</v>
      </c>
      <c r="F401" s="253">
        <v>0</v>
      </c>
      <c r="G401" s="274">
        <f>Tabla3[[#This Row],[INGRESOS]]-Tabla3[[#This Row],[EGRESOS]]</f>
        <v>-5.74</v>
      </c>
      <c r="H401" s="274"/>
      <c r="I401" s="135">
        <v>1140</v>
      </c>
      <c r="J401" s="136">
        <f>Tabla3[[#This Row],[EGRESOS]]/Tabla3[[#This Row],[TC]]</f>
        <v>5.0350877192982457E-3</v>
      </c>
      <c r="K401" s="136">
        <f>Tabla3[[#This Row],[INGRESOS]]/Tabla3[[#This Row],[TC]]</f>
        <v>0</v>
      </c>
      <c r="L401" s="8" t="s">
        <v>376</v>
      </c>
      <c r="M401" s="8" t="s">
        <v>377</v>
      </c>
      <c r="N401" s="8" t="s">
        <v>30</v>
      </c>
      <c r="O401" s="8" t="s">
        <v>184</v>
      </c>
      <c r="P401" s="8" t="s">
        <v>195</v>
      </c>
      <c r="Q401" s="8" t="s">
        <v>196</v>
      </c>
      <c r="R401" s="8" t="s">
        <v>394</v>
      </c>
      <c r="S401" s="8" t="s">
        <v>383</v>
      </c>
      <c r="T401" s="8"/>
      <c r="U401" s="8" t="s">
        <v>384</v>
      </c>
      <c r="V401" s="8"/>
      <c r="W401" s="8" t="s">
        <v>380</v>
      </c>
      <c r="X401" s="8" t="s">
        <v>99</v>
      </c>
      <c r="Y401" s="8" t="s">
        <v>23</v>
      </c>
    </row>
    <row r="402" spans="1:25" hidden="1" x14ac:dyDescent="0.25">
      <c r="A402" s="273" t="str">
        <f t="shared" si="5"/>
        <v>ABRIL</v>
      </c>
      <c r="B402" s="251">
        <v>45769</v>
      </c>
      <c r="C402" s="252" t="s">
        <v>500</v>
      </c>
      <c r="D402" s="252"/>
      <c r="E402" s="253">
        <v>1.2</v>
      </c>
      <c r="F402" s="253">
        <v>0</v>
      </c>
      <c r="G402" s="274">
        <f>Tabla3[[#This Row],[INGRESOS]]-Tabla3[[#This Row],[EGRESOS]]</f>
        <v>-1.2</v>
      </c>
      <c r="H402" s="308">
        <v>-3109922.08</v>
      </c>
      <c r="I402" s="135">
        <v>1140</v>
      </c>
      <c r="J402" s="136">
        <f>Tabla3[[#This Row],[EGRESOS]]/Tabla3[[#This Row],[TC]]</f>
        <v>1.0526315789473684E-3</v>
      </c>
      <c r="K402" s="136">
        <f>Tabla3[[#This Row],[INGRESOS]]/Tabla3[[#This Row],[TC]]</f>
        <v>0</v>
      </c>
      <c r="L402" s="8" t="s">
        <v>376</v>
      </c>
      <c r="M402" s="8" t="s">
        <v>377</v>
      </c>
      <c r="N402" s="8" t="s">
        <v>30</v>
      </c>
      <c r="O402" s="8" t="s">
        <v>184</v>
      </c>
      <c r="P402" s="8" t="s">
        <v>195</v>
      </c>
      <c r="Q402" s="8" t="s">
        <v>196</v>
      </c>
      <c r="R402" s="8" t="s">
        <v>394</v>
      </c>
      <c r="S402" s="8" t="s">
        <v>383</v>
      </c>
      <c r="T402" s="8"/>
      <c r="U402" s="8" t="s">
        <v>384</v>
      </c>
      <c r="V402" s="8"/>
      <c r="W402" s="8" t="s">
        <v>380</v>
      </c>
      <c r="X402" s="8" t="s">
        <v>99</v>
      </c>
      <c r="Y402" s="8" t="s">
        <v>23</v>
      </c>
    </row>
    <row r="403" spans="1:25" hidden="1" x14ac:dyDescent="0.25">
      <c r="A403" s="273" t="str">
        <f t="shared" si="5"/>
        <v>ABRIL</v>
      </c>
      <c r="B403" s="251">
        <v>45776</v>
      </c>
      <c r="C403" s="252" t="s">
        <v>443</v>
      </c>
      <c r="D403" s="252"/>
      <c r="E403" s="253">
        <v>53747.18</v>
      </c>
      <c r="F403" s="253">
        <v>0</v>
      </c>
      <c r="G403" s="274">
        <f>Tabla3[[#This Row],[INGRESOS]]-Tabla3[[#This Row],[EGRESOS]]</f>
        <v>-53747.18</v>
      </c>
      <c r="H403" s="308"/>
      <c r="I403" s="135">
        <v>1140</v>
      </c>
      <c r="J403" s="136">
        <f>Tabla3[[#This Row],[EGRESOS]]/Tabla3[[#This Row],[TC]]</f>
        <v>47.14664912280702</v>
      </c>
      <c r="K403" s="136">
        <f>Tabla3[[#This Row],[INGRESOS]]/Tabla3[[#This Row],[TC]]</f>
        <v>0</v>
      </c>
      <c r="L403" s="8" t="s">
        <v>376</v>
      </c>
      <c r="M403" s="8" t="s">
        <v>377</v>
      </c>
      <c r="N403" s="8" t="s">
        <v>30</v>
      </c>
      <c r="O403" s="8" t="s">
        <v>184</v>
      </c>
      <c r="P403" s="8" t="s">
        <v>197</v>
      </c>
      <c r="Q403" s="8" t="s">
        <v>198</v>
      </c>
      <c r="R403" s="8" t="s">
        <v>419</v>
      </c>
      <c r="S403" s="8"/>
      <c r="T403" s="8"/>
      <c r="U403" s="8" t="s">
        <v>384</v>
      </c>
      <c r="V403" s="8"/>
      <c r="W403" s="8" t="s">
        <v>399</v>
      </c>
      <c r="X403" s="8" t="s">
        <v>99</v>
      </c>
      <c r="Y403" s="8" t="s">
        <v>23</v>
      </c>
    </row>
    <row r="404" spans="1:25" hidden="1" x14ac:dyDescent="0.25">
      <c r="A404" s="273" t="str">
        <f t="shared" si="5"/>
        <v>ABRIL</v>
      </c>
      <c r="B404" s="251">
        <v>45776</v>
      </c>
      <c r="C404" s="252" t="s">
        <v>443</v>
      </c>
      <c r="D404" s="252"/>
      <c r="E404" s="253">
        <v>41710.47</v>
      </c>
      <c r="F404" s="253">
        <v>0</v>
      </c>
      <c r="G404" s="274">
        <f>Tabla3[[#This Row],[INGRESOS]]-Tabla3[[#This Row],[EGRESOS]]</f>
        <v>-41710.47</v>
      </c>
      <c r="H404" s="308"/>
      <c r="I404" s="135">
        <v>1140</v>
      </c>
      <c r="J404" s="136">
        <f>Tabla3[[#This Row],[EGRESOS]]/Tabla3[[#This Row],[TC]]</f>
        <v>36.588131578947369</v>
      </c>
      <c r="K404" s="136">
        <f>Tabla3[[#This Row],[INGRESOS]]/Tabla3[[#This Row],[TC]]</f>
        <v>0</v>
      </c>
      <c r="L404" s="8" t="s">
        <v>376</v>
      </c>
      <c r="M404" s="8" t="s">
        <v>377</v>
      </c>
      <c r="N404" s="8" t="s">
        <v>30</v>
      </c>
      <c r="O404" s="8" t="s">
        <v>184</v>
      </c>
      <c r="P404" s="8" t="s">
        <v>197</v>
      </c>
      <c r="Q404" s="8" t="s">
        <v>198</v>
      </c>
      <c r="R404" s="8" t="s">
        <v>419</v>
      </c>
      <c r="S404" s="8"/>
      <c r="T404" s="8"/>
      <c r="U404" s="8" t="s">
        <v>384</v>
      </c>
      <c r="V404" s="8"/>
      <c r="W404" s="8" t="s">
        <v>399</v>
      </c>
      <c r="X404" s="8" t="s">
        <v>99</v>
      </c>
      <c r="Y404" s="8" t="s">
        <v>23</v>
      </c>
    </row>
    <row r="405" spans="1:25" hidden="1" x14ac:dyDescent="0.25">
      <c r="A405" s="273" t="str">
        <f t="shared" si="5"/>
        <v>ABRIL</v>
      </c>
      <c r="B405" s="251">
        <v>45776</v>
      </c>
      <c r="C405" s="252" t="s">
        <v>443</v>
      </c>
      <c r="D405" s="252"/>
      <c r="E405" s="253">
        <v>127.45</v>
      </c>
      <c r="F405" s="253">
        <v>0</v>
      </c>
      <c r="G405" s="274">
        <f>Tabla3[[#This Row],[INGRESOS]]-Tabla3[[#This Row],[EGRESOS]]</f>
        <v>-127.45</v>
      </c>
      <c r="H405" s="308"/>
      <c r="I405" s="135">
        <v>1140</v>
      </c>
      <c r="J405" s="136">
        <f>Tabla3[[#This Row],[EGRESOS]]/Tabla3[[#This Row],[TC]]</f>
        <v>0.11179824561403509</v>
      </c>
      <c r="K405" s="136">
        <f>Tabla3[[#This Row],[INGRESOS]]/Tabla3[[#This Row],[TC]]</f>
        <v>0</v>
      </c>
      <c r="L405" s="8" t="s">
        <v>376</v>
      </c>
      <c r="M405" s="8" t="s">
        <v>377</v>
      </c>
      <c r="N405" s="8" t="s">
        <v>30</v>
      </c>
      <c r="O405" s="8" t="s">
        <v>184</v>
      </c>
      <c r="P405" s="8" t="s">
        <v>197</v>
      </c>
      <c r="Q405" s="8" t="s">
        <v>198</v>
      </c>
      <c r="R405" s="8" t="s">
        <v>419</v>
      </c>
      <c r="S405" s="8"/>
      <c r="T405" s="8"/>
      <c r="U405" s="8" t="s">
        <v>384</v>
      </c>
      <c r="V405" s="8"/>
      <c r="W405" s="8" t="s">
        <v>399</v>
      </c>
      <c r="X405" s="8" t="s">
        <v>99</v>
      </c>
      <c r="Y405" s="8" t="s">
        <v>23</v>
      </c>
    </row>
    <row r="406" spans="1:25" hidden="1" x14ac:dyDescent="0.25">
      <c r="A406" s="273" t="str">
        <f t="shared" si="5"/>
        <v>ABRIL</v>
      </c>
      <c r="B406" s="251">
        <v>45776</v>
      </c>
      <c r="C406" s="252" t="s">
        <v>443</v>
      </c>
      <c r="D406" s="252"/>
      <c r="E406" s="253">
        <v>192.54</v>
      </c>
      <c r="F406" s="253">
        <v>0</v>
      </c>
      <c r="G406" s="274">
        <f>Tabla3[[#This Row],[INGRESOS]]-Tabla3[[#This Row],[EGRESOS]]</f>
        <v>-192.54</v>
      </c>
      <c r="H406" s="308"/>
      <c r="I406" s="135">
        <v>1140</v>
      </c>
      <c r="J406" s="136">
        <f>Tabla3[[#This Row],[EGRESOS]]/Tabla3[[#This Row],[TC]]</f>
        <v>0.16889473684210526</v>
      </c>
      <c r="K406" s="136">
        <f>Tabla3[[#This Row],[INGRESOS]]/Tabla3[[#This Row],[TC]]</f>
        <v>0</v>
      </c>
      <c r="L406" s="8" t="s">
        <v>376</v>
      </c>
      <c r="M406" s="8" t="s">
        <v>377</v>
      </c>
      <c r="N406" s="8" t="s">
        <v>30</v>
      </c>
      <c r="O406" s="8" t="s">
        <v>184</v>
      </c>
      <c r="P406" s="8" t="s">
        <v>197</v>
      </c>
      <c r="Q406" s="8" t="s">
        <v>198</v>
      </c>
      <c r="R406" s="8" t="s">
        <v>419</v>
      </c>
      <c r="S406" s="8"/>
      <c r="T406" s="8"/>
      <c r="U406" s="8" t="s">
        <v>384</v>
      </c>
      <c r="V406" s="8"/>
      <c r="W406" s="8" t="s">
        <v>399</v>
      </c>
      <c r="X406" s="8" t="s">
        <v>99</v>
      </c>
      <c r="Y406" s="8" t="s">
        <v>23</v>
      </c>
    </row>
    <row r="407" spans="1:25" hidden="1" x14ac:dyDescent="0.25">
      <c r="A407" s="273" t="str">
        <f t="shared" si="5"/>
        <v>ABRIL</v>
      </c>
      <c r="B407" s="251">
        <v>45776</v>
      </c>
      <c r="C407" s="252" t="s">
        <v>443</v>
      </c>
      <c r="D407" s="252"/>
      <c r="E407" s="253">
        <v>13222.9</v>
      </c>
      <c r="F407" s="253">
        <v>0</v>
      </c>
      <c r="G407" s="274">
        <f>Tabla3[[#This Row],[INGRESOS]]-Tabla3[[#This Row],[EGRESOS]]</f>
        <v>-13222.9</v>
      </c>
      <c r="H407" s="308"/>
      <c r="I407" s="135">
        <v>1140</v>
      </c>
      <c r="J407" s="136">
        <f>Tabla3[[#This Row],[EGRESOS]]/Tabla3[[#This Row],[TC]]</f>
        <v>11.599035087719297</v>
      </c>
      <c r="K407" s="136">
        <f>Tabla3[[#This Row],[INGRESOS]]/Tabla3[[#This Row],[TC]]</f>
        <v>0</v>
      </c>
      <c r="L407" s="8" t="s">
        <v>376</v>
      </c>
      <c r="M407" s="8" t="s">
        <v>377</v>
      </c>
      <c r="N407" s="8" t="s">
        <v>30</v>
      </c>
      <c r="O407" s="8" t="s">
        <v>184</v>
      </c>
      <c r="P407" s="8" t="s">
        <v>197</v>
      </c>
      <c r="Q407" s="8" t="s">
        <v>198</v>
      </c>
      <c r="R407" s="8" t="s">
        <v>419</v>
      </c>
      <c r="S407" s="8"/>
      <c r="T407" s="8"/>
      <c r="U407" s="8" t="s">
        <v>384</v>
      </c>
      <c r="V407" s="8"/>
      <c r="W407" s="8" t="s">
        <v>399</v>
      </c>
      <c r="X407" s="8" t="s">
        <v>99</v>
      </c>
      <c r="Y407" s="8" t="s">
        <v>23</v>
      </c>
    </row>
    <row r="408" spans="1:25" hidden="1" x14ac:dyDescent="0.25">
      <c r="A408" s="273" t="str">
        <f t="shared" si="5"/>
        <v>ABRIL</v>
      </c>
      <c r="B408" s="251">
        <v>45776</v>
      </c>
      <c r="C408" s="252" t="s">
        <v>443</v>
      </c>
      <c r="D408" s="252"/>
      <c r="E408" s="253">
        <v>2364.1799999999998</v>
      </c>
      <c r="F408" s="253">
        <v>0</v>
      </c>
      <c r="G408" s="274">
        <f>Tabla3[[#This Row],[INGRESOS]]-Tabla3[[#This Row],[EGRESOS]]</f>
        <v>-2364.1799999999998</v>
      </c>
      <c r="H408" s="308"/>
      <c r="I408" s="135">
        <v>1140</v>
      </c>
      <c r="J408" s="136">
        <f>Tabla3[[#This Row],[EGRESOS]]/Tabla3[[#This Row],[TC]]</f>
        <v>2.0738421052631577</v>
      </c>
      <c r="K408" s="136">
        <f>Tabla3[[#This Row],[INGRESOS]]/Tabla3[[#This Row],[TC]]</f>
        <v>0</v>
      </c>
      <c r="L408" s="8" t="s">
        <v>376</v>
      </c>
      <c r="M408" s="8" t="s">
        <v>377</v>
      </c>
      <c r="N408" s="8" t="s">
        <v>30</v>
      </c>
      <c r="O408" s="8" t="s">
        <v>184</v>
      </c>
      <c r="P408" s="8" t="s">
        <v>197</v>
      </c>
      <c r="Q408" s="8" t="s">
        <v>198</v>
      </c>
      <c r="R408" s="8" t="s">
        <v>419</v>
      </c>
      <c r="S408" s="8"/>
      <c r="T408" s="8"/>
      <c r="U408" s="8" t="s">
        <v>384</v>
      </c>
      <c r="V408" s="8"/>
      <c r="W408" s="8" t="s">
        <v>399</v>
      </c>
      <c r="X408" s="8" t="s">
        <v>99</v>
      </c>
      <c r="Y408" s="8" t="s">
        <v>23</v>
      </c>
    </row>
    <row r="409" spans="1:25" hidden="1" x14ac:dyDescent="0.25">
      <c r="A409" s="273" t="s">
        <v>313</v>
      </c>
      <c r="B409" s="251">
        <v>45727</v>
      </c>
      <c r="C409" s="252" t="s">
        <v>888</v>
      </c>
      <c r="D409" s="252"/>
      <c r="E409" s="253">
        <v>0</v>
      </c>
      <c r="F409" s="253">
        <v>500000</v>
      </c>
      <c r="G409" s="274">
        <f>Tabla3[[#This Row],[INGRESOS]]-Tabla3[[#This Row],[EGRESOS]]</f>
        <v>500000</v>
      </c>
      <c r="H409" s="132">
        <v>-5997765.3700000001</v>
      </c>
      <c r="I409" s="135">
        <v>1140</v>
      </c>
      <c r="J409" s="136">
        <f>Tabla3[[#This Row],[EGRESOS]]/Tabla3[[#This Row],[TC]]</f>
        <v>0</v>
      </c>
      <c r="K409" s="136">
        <f>Tabla3[[#This Row],[INGRESOS]]/Tabla3[[#This Row],[TC]]</f>
        <v>438.59649122807019</v>
      </c>
      <c r="L409" s="8" t="s">
        <v>376</v>
      </c>
      <c r="M409" s="8" t="s">
        <v>377</v>
      </c>
      <c r="N409" s="8" t="s">
        <v>20</v>
      </c>
      <c r="O409" s="8" t="s">
        <v>184</v>
      </c>
      <c r="P409" s="8" t="s">
        <v>203</v>
      </c>
      <c r="Q409" s="8" t="s">
        <v>204</v>
      </c>
      <c r="R409" s="8"/>
      <c r="S409" s="8" t="s">
        <v>386</v>
      </c>
      <c r="T409" s="8"/>
      <c r="U409" s="8" t="s">
        <v>439</v>
      </c>
      <c r="V409" s="8" t="s">
        <v>386</v>
      </c>
      <c r="W409" s="8" t="s">
        <v>380</v>
      </c>
      <c r="X409" s="8" t="s">
        <v>23</v>
      </c>
      <c r="Y409" s="8" t="s">
        <v>98</v>
      </c>
    </row>
    <row r="410" spans="1:25" hidden="1" x14ac:dyDescent="0.25">
      <c r="A410" s="273" t="str">
        <f t="shared" ref="A410:A418" si="6">"ABRIL"</f>
        <v>ABRIL</v>
      </c>
      <c r="B410" s="251">
        <v>45776</v>
      </c>
      <c r="C410" s="252" t="s">
        <v>539</v>
      </c>
      <c r="D410" s="252"/>
      <c r="E410" s="253">
        <v>3599.06</v>
      </c>
      <c r="F410" s="253">
        <v>0</v>
      </c>
      <c r="G410" s="274">
        <f>Tabla3[[#This Row],[INGRESOS]]-Tabla3[[#This Row],[EGRESOS]]</f>
        <v>-3599.06</v>
      </c>
      <c r="H410" s="308"/>
      <c r="I410" s="135">
        <v>1140</v>
      </c>
      <c r="J410" s="136">
        <f>Tabla3[[#This Row],[EGRESOS]]/Tabla3[[#This Row],[TC]]</f>
        <v>3.1570701754385966</v>
      </c>
      <c r="K410" s="136">
        <f>Tabla3[[#This Row],[INGRESOS]]/Tabla3[[#This Row],[TC]]</f>
        <v>0</v>
      </c>
      <c r="L410" s="8" t="s">
        <v>376</v>
      </c>
      <c r="M410" s="8" t="s">
        <v>377</v>
      </c>
      <c r="N410" s="8" t="s">
        <v>30</v>
      </c>
      <c r="O410" s="8" t="s">
        <v>184</v>
      </c>
      <c r="P410" s="8" t="s">
        <v>197</v>
      </c>
      <c r="Q410" s="8" t="s">
        <v>198</v>
      </c>
      <c r="R410" s="8" t="s">
        <v>419</v>
      </c>
      <c r="S410" s="8"/>
      <c r="T410" s="8"/>
      <c r="U410" s="8" t="s">
        <v>384</v>
      </c>
      <c r="V410" s="8"/>
      <c r="W410" s="8" t="s">
        <v>399</v>
      </c>
      <c r="X410" s="8" t="s">
        <v>99</v>
      </c>
      <c r="Y410" s="8" t="s">
        <v>23</v>
      </c>
    </row>
    <row r="411" spans="1:25" hidden="1" x14ac:dyDescent="0.25">
      <c r="A411" s="273" t="str">
        <f t="shared" si="6"/>
        <v>ABRIL</v>
      </c>
      <c r="B411" s="251">
        <v>45776</v>
      </c>
      <c r="C411" s="252" t="s">
        <v>500</v>
      </c>
      <c r="D411" s="252"/>
      <c r="E411" s="253">
        <v>322.48</v>
      </c>
      <c r="F411" s="253">
        <v>0</v>
      </c>
      <c r="G411" s="274">
        <f>Tabla3[[#This Row],[INGRESOS]]-Tabla3[[#This Row],[EGRESOS]]</f>
        <v>-322.48</v>
      </c>
      <c r="H411" s="308"/>
      <c r="I411" s="135">
        <v>1140</v>
      </c>
      <c r="J411" s="136">
        <f>Tabla3[[#This Row],[EGRESOS]]/Tabla3[[#This Row],[TC]]</f>
        <v>0.28287719298245617</v>
      </c>
      <c r="K411" s="136">
        <f>Tabla3[[#This Row],[INGRESOS]]/Tabla3[[#This Row],[TC]]</f>
        <v>0</v>
      </c>
      <c r="L411" s="8" t="s">
        <v>376</v>
      </c>
      <c r="M411" s="8" t="s">
        <v>377</v>
      </c>
      <c r="N411" s="8" t="s">
        <v>30</v>
      </c>
      <c r="O411" s="8" t="s">
        <v>184</v>
      </c>
      <c r="P411" s="8" t="s">
        <v>195</v>
      </c>
      <c r="Q411" s="8" t="s">
        <v>196</v>
      </c>
      <c r="R411" s="8" t="s">
        <v>394</v>
      </c>
      <c r="S411" s="8" t="s">
        <v>383</v>
      </c>
      <c r="T411" s="8"/>
      <c r="U411" s="8" t="s">
        <v>384</v>
      </c>
      <c r="V411" s="8"/>
      <c r="W411" s="8" t="s">
        <v>380</v>
      </c>
      <c r="X411" s="8" t="s">
        <v>99</v>
      </c>
      <c r="Y411" s="8" t="s">
        <v>23</v>
      </c>
    </row>
    <row r="412" spans="1:25" hidden="1" x14ac:dyDescent="0.25">
      <c r="A412" s="273" t="str">
        <f t="shared" si="6"/>
        <v>ABRIL</v>
      </c>
      <c r="B412" s="251">
        <v>45776</v>
      </c>
      <c r="C412" s="252" t="s">
        <v>500</v>
      </c>
      <c r="D412" s="252"/>
      <c r="E412" s="253">
        <v>250.26</v>
      </c>
      <c r="F412" s="253">
        <v>0</v>
      </c>
      <c r="G412" s="274">
        <f>Tabla3[[#This Row],[INGRESOS]]-Tabla3[[#This Row],[EGRESOS]]</f>
        <v>-250.26</v>
      </c>
      <c r="H412" s="308"/>
      <c r="I412" s="135">
        <v>1140</v>
      </c>
      <c r="J412" s="136">
        <f>Tabla3[[#This Row],[EGRESOS]]/Tabla3[[#This Row],[TC]]</f>
        <v>0.21952631578947368</v>
      </c>
      <c r="K412" s="136">
        <f>Tabla3[[#This Row],[INGRESOS]]/Tabla3[[#This Row],[TC]]</f>
        <v>0</v>
      </c>
      <c r="L412" s="8" t="s">
        <v>376</v>
      </c>
      <c r="M412" s="8" t="s">
        <v>377</v>
      </c>
      <c r="N412" s="8" t="s">
        <v>30</v>
      </c>
      <c r="O412" s="8" t="s">
        <v>184</v>
      </c>
      <c r="P412" s="8" t="s">
        <v>195</v>
      </c>
      <c r="Q412" s="8" t="s">
        <v>196</v>
      </c>
      <c r="R412" s="8" t="s">
        <v>394</v>
      </c>
      <c r="S412" s="8" t="s">
        <v>383</v>
      </c>
      <c r="T412" s="8"/>
      <c r="U412" s="8" t="s">
        <v>384</v>
      </c>
      <c r="V412" s="8"/>
      <c r="W412" s="8" t="s">
        <v>380</v>
      </c>
      <c r="X412" s="8" t="s">
        <v>99</v>
      </c>
      <c r="Y412" s="8" t="s">
        <v>23</v>
      </c>
    </row>
    <row r="413" spans="1:25" hidden="1" x14ac:dyDescent="0.25">
      <c r="A413" s="273" t="str">
        <f t="shared" si="6"/>
        <v>ABRIL</v>
      </c>
      <c r="B413" s="251">
        <v>45776</v>
      </c>
      <c r="C413" s="252" t="s">
        <v>500</v>
      </c>
      <c r="D413" s="252"/>
      <c r="E413" s="253">
        <v>0.76</v>
      </c>
      <c r="F413" s="253">
        <v>0</v>
      </c>
      <c r="G413" s="274">
        <f>Tabla3[[#This Row],[INGRESOS]]-Tabla3[[#This Row],[EGRESOS]]</f>
        <v>-0.76</v>
      </c>
      <c r="H413" s="308"/>
      <c r="I413" s="135">
        <v>1140</v>
      </c>
      <c r="J413" s="136">
        <f>Tabla3[[#This Row],[EGRESOS]]/Tabla3[[#This Row],[TC]]</f>
        <v>6.6666666666666664E-4</v>
      </c>
      <c r="K413" s="136">
        <f>Tabla3[[#This Row],[INGRESOS]]/Tabla3[[#This Row],[TC]]</f>
        <v>0</v>
      </c>
      <c r="L413" s="8" t="s">
        <v>376</v>
      </c>
      <c r="M413" s="8" t="s">
        <v>377</v>
      </c>
      <c r="N413" s="8" t="s">
        <v>30</v>
      </c>
      <c r="O413" s="8" t="s">
        <v>184</v>
      </c>
      <c r="P413" s="8" t="s">
        <v>195</v>
      </c>
      <c r="Q413" s="8" t="s">
        <v>196</v>
      </c>
      <c r="R413" s="8" t="s">
        <v>394</v>
      </c>
      <c r="S413" s="8" t="s">
        <v>383</v>
      </c>
      <c r="T413" s="8"/>
      <c r="U413" s="8" t="s">
        <v>384</v>
      </c>
      <c r="V413" s="8"/>
      <c r="W413" s="8" t="s">
        <v>380</v>
      </c>
      <c r="X413" s="8" t="s">
        <v>99</v>
      </c>
      <c r="Y413" s="8" t="s">
        <v>23</v>
      </c>
    </row>
    <row r="414" spans="1:25" hidden="1" x14ac:dyDescent="0.25">
      <c r="A414" s="273" t="str">
        <f t="shared" si="6"/>
        <v>ABRIL</v>
      </c>
      <c r="B414" s="251">
        <v>45776</v>
      </c>
      <c r="C414" s="252" t="s">
        <v>500</v>
      </c>
      <c r="D414" s="252"/>
      <c r="E414" s="253">
        <v>1.1599999999999999</v>
      </c>
      <c r="F414" s="253">
        <v>0</v>
      </c>
      <c r="G414" s="274">
        <f>Tabla3[[#This Row],[INGRESOS]]-Tabla3[[#This Row],[EGRESOS]]</f>
        <v>-1.1599999999999999</v>
      </c>
      <c r="H414" s="308"/>
      <c r="I414" s="135">
        <v>1140</v>
      </c>
      <c r="J414" s="136">
        <f>Tabla3[[#This Row],[EGRESOS]]/Tabla3[[#This Row],[TC]]</f>
        <v>1.0175438596491228E-3</v>
      </c>
      <c r="K414" s="136">
        <f>Tabla3[[#This Row],[INGRESOS]]/Tabla3[[#This Row],[TC]]</f>
        <v>0</v>
      </c>
      <c r="L414" s="8" t="s">
        <v>376</v>
      </c>
      <c r="M414" s="8" t="s">
        <v>377</v>
      </c>
      <c r="N414" s="8" t="s">
        <v>30</v>
      </c>
      <c r="O414" s="8" t="s">
        <v>184</v>
      </c>
      <c r="P414" s="8" t="s">
        <v>195</v>
      </c>
      <c r="Q414" s="8" t="s">
        <v>196</v>
      </c>
      <c r="R414" s="8" t="s">
        <v>394</v>
      </c>
      <c r="S414" s="8" t="s">
        <v>383</v>
      </c>
      <c r="T414" s="8"/>
      <c r="U414" s="8" t="s">
        <v>384</v>
      </c>
      <c r="V414" s="8"/>
      <c r="W414" s="8" t="s">
        <v>380</v>
      </c>
      <c r="X414" s="8" t="s">
        <v>99</v>
      </c>
      <c r="Y414" s="8" t="s">
        <v>23</v>
      </c>
    </row>
    <row r="415" spans="1:25" hidden="1" x14ac:dyDescent="0.25">
      <c r="A415" s="273" t="str">
        <f t="shared" si="6"/>
        <v>ABRIL</v>
      </c>
      <c r="B415" s="251">
        <v>45776</v>
      </c>
      <c r="C415" s="252" t="s">
        <v>500</v>
      </c>
      <c r="D415" s="252"/>
      <c r="E415" s="253">
        <v>79.34</v>
      </c>
      <c r="F415" s="253">
        <v>0</v>
      </c>
      <c r="G415" s="274">
        <f>Tabla3[[#This Row],[INGRESOS]]-Tabla3[[#This Row],[EGRESOS]]</f>
        <v>-79.34</v>
      </c>
      <c r="H415" s="308"/>
      <c r="I415" s="135">
        <v>1140</v>
      </c>
      <c r="J415" s="136">
        <f>Tabla3[[#This Row],[EGRESOS]]/Tabla3[[#This Row],[TC]]</f>
        <v>6.9596491228070184E-2</v>
      </c>
      <c r="K415" s="136">
        <f>Tabla3[[#This Row],[INGRESOS]]/Tabla3[[#This Row],[TC]]</f>
        <v>0</v>
      </c>
      <c r="L415" s="8" t="s">
        <v>376</v>
      </c>
      <c r="M415" s="8" t="s">
        <v>377</v>
      </c>
      <c r="N415" s="8" t="s">
        <v>30</v>
      </c>
      <c r="O415" s="8" t="s">
        <v>184</v>
      </c>
      <c r="P415" s="8" t="s">
        <v>195</v>
      </c>
      <c r="Q415" s="8" t="s">
        <v>196</v>
      </c>
      <c r="R415" s="8" t="s">
        <v>394</v>
      </c>
      <c r="S415" s="8" t="s">
        <v>383</v>
      </c>
      <c r="T415" s="8"/>
      <c r="U415" s="8" t="s">
        <v>384</v>
      </c>
      <c r="V415" s="8"/>
      <c r="W415" s="8" t="s">
        <v>380</v>
      </c>
      <c r="X415" s="8" t="s">
        <v>99</v>
      </c>
      <c r="Y415" s="8" t="s">
        <v>23</v>
      </c>
    </row>
    <row r="416" spans="1:25" hidden="1" x14ac:dyDescent="0.25">
      <c r="A416" s="273" t="str">
        <f t="shared" si="6"/>
        <v>ABRIL</v>
      </c>
      <c r="B416" s="251">
        <v>45776</v>
      </c>
      <c r="C416" s="252" t="s">
        <v>500</v>
      </c>
      <c r="D416" s="252"/>
      <c r="E416" s="253">
        <v>14.19</v>
      </c>
      <c r="F416" s="253">
        <v>0</v>
      </c>
      <c r="G416" s="274">
        <f>Tabla3[[#This Row],[INGRESOS]]-Tabla3[[#This Row],[EGRESOS]]</f>
        <v>-14.19</v>
      </c>
      <c r="H416" s="308"/>
      <c r="I416" s="135">
        <v>1140</v>
      </c>
      <c r="J416" s="136">
        <f>Tabla3[[#This Row],[EGRESOS]]/Tabla3[[#This Row],[TC]]</f>
        <v>1.2447368421052631E-2</v>
      </c>
      <c r="K416" s="136">
        <f>Tabla3[[#This Row],[INGRESOS]]/Tabla3[[#This Row],[TC]]</f>
        <v>0</v>
      </c>
      <c r="L416" s="8" t="s">
        <v>376</v>
      </c>
      <c r="M416" s="8" t="s">
        <v>377</v>
      </c>
      <c r="N416" s="8" t="s">
        <v>30</v>
      </c>
      <c r="O416" s="8" t="s">
        <v>184</v>
      </c>
      <c r="P416" s="8" t="s">
        <v>195</v>
      </c>
      <c r="Q416" s="8" t="s">
        <v>196</v>
      </c>
      <c r="R416" s="8" t="s">
        <v>394</v>
      </c>
      <c r="S416" s="8" t="s">
        <v>383</v>
      </c>
      <c r="T416" s="8"/>
      <c r="U416" s="8" t="s">
        <v>384</v>
      </c>
      <c r="V416" s="8"/>
      <c r="W416" s="8" t="s">
        <v>380</v>
      </c>
      <c r="X416" s="8" t="s">
        <v>99</v>
      </c>
      <c r="Y416" s="8" t="s">
        <v>23</v>
      </c>
    </row>
    <row r="417" spans="1:25" hidden="1" x14ac:dyDescent="0.25">
      <c r="A417" s="273" t="str">
        <f t="shared" si="6"/>
        <v>ABRIL</v>
      </c>
      <c r="B417" s="251">
        <v>45776</v>
      </c>
      <c r="C417" s="252" t="s">
        <v>518</v>
      </c>
      <c r="D417" s="252"/>
      <c r="E417" s="253">
        <v>720</v>
      </c>
      <c r="F417" s="253">
        <v>0</v>
      </c>
      <c r="G417" s="274">
        <f>Tabla3[[#This Row],[INGRESOS]]-Tabla3[[#This Row],[EGRESOS]]</f>
        <v>-720</v>
      </c>
      <c r="H417" s="308"/>
      <c r="I417" s="135">
        <v>1140</v>
      </c>
      <c r="J417" s="136">
        <f>Tabla3[[#This Row],[EGRESOS]]/Tabla3[[#This Row],[TC]]</f>
        <v>0.63157894736842102</v>
      </c>
      <c r="K417" s="136">
        <f>Tabla3[[#This Row],[INGRESOS]]/Tabla3[[#This Row],[TC]]</f>
        <v>0</v>
      </c>
      <c r="L417" s="8" t="s">
        <v>376</v>
      </c>
      <c r="M417" s="8" t="s">
        <v>377</v>
      </c>
      <c r="N417" s="8" t="s">
        <v>30</v>
      </c>
      <c r="O417" s="8" t="s">
        <v>184</v>
      </c>
      <c r="P417" s="8" t="s">
        <v>195</v>
      </c>
      <c r="Q417" s="8" t="s">
        <v>196</v>
      </c>
      <c r="R417" s="8" t="s">
        <v>394</v>
      </c>
      <c r="S417" s="8" t="s">
        <v>383</v>
      </c>
      <c r="T417" s="8"/>
      <c r="U417" s="8" t="s">
        <v>384</v>
      </c>
      <c r="V417" s="8"/>
      <c r="W417" s="8" t="s">
        <v>380</v>
      </c>
      <c r="X417" s="8" t="s">
        <v>99</v>
      </c>
      <c r="Y417" s="8" t="s">
        <v>23</v>
      </c>
    </row>
    <row r="418" spans="1:25" hidden="1" x14ac:dyDescent="0.25">
      <c r="A418" s="273" t="str">
        <f t="shared" si="6"/>
        <v>ABRIL</v>
      </c>
      <c r="B418" s="251">
        <v>45776</v>
      </c>
      <c r="C418" s="252" t="s">
        <v>500</v>
      </c>
      <c r="D418" s="252"/>
      <c r="E418" s="253">
        <v>21.59</v>
      </c>
      <c r="F418" s="253">
        <v>0</v>
      </c>
      <c r="G418" s="274">
        <f>Tabla3[[#This Row],[INGRESOS]]-Tabla3[[#This Row],[EGRESOS]]</f>
        <v>-21.59</v>
      </c>
      <c r="H418" s="337">
        <v>-2994930.92</v>
      </c>
      <c r="I418" s="135">
        <v>1140</v>
      </c>
      <c r="J418" s="136">
        <f>Tabla3[[#This Row],[EGRESOS]]/Tabla3[[#This Row],[TC]]</f>
        <v>1.8938596491228071E-2</v>
      </c>
      <c r="K418" s="136">
        <f>Tabla3[[#This Row],[INGRESOS]]/Tabla3[[#This Row],[TC]]</f>
        <v>0</v>
      </c>
      <c r="L418" s="8" t="s">
        <v>376</v>
      </c>
      <c r="M418" s="8" t="s">
        <v>377</v>
      </c>
      <c r="N418" s="8" t="s">
        <v>30</v>
      </c>
      <c r="O418" s="8" t="s">
        <v>184</v>
      </c>
      <c r="P418" s="8" t="s">
        <v>195</v>
      </c>
      <c r="Q418" s="8" t="s">
        <v>196</v>
      </c>
      <c r="R418" s="8" t="s">
        <v>394</v>
      </c>
      <c r="S418" s="8" t="s">
        <v>383</v>
      </c>
      <c r="T418" s="8"/>
      <c r="U418" s="8" t="s">
        <v>384</v>
      </c>
      <c r="V418" s="8"/>
      <c r="W418" s="8" t="s">
        <v>380</v>
      </c>
      <c r="X418" s="8" t="s">
        <v>99</v>
      </c>
      <c r="Y418" s="8" t="s">
        <v>23</v>
      </c>
    </row>
    <row r="419" spans="1:25" hidden="1" x14ac:dyDescent="0.25">
      <c r="A419" s="273" t="s">
        <v>315</v>
      </c>
      <c r="B419" s="251">
        <v>45782</v>
      </c>
      <c r="C419" s="252" t="s">
        <v>523</v>
      </c>
      <c r="D419" s="252"/>
      <c r="E419" s="253">
        <v>0</v>
      </c>
      <c r="F419" s="253">
        <v>1280000</v>
      </c>
      <c r="G419" s="274">
        <f>Tabla3[[#This Row],[INGRESOS]]-Tabla3[[#This Row],[EGRESOS]]</f>
        <v>1280000</v>
      </c>
      <c r="H419" s="337"/>
      <c r="I419" s="135">
        <v>1141</v>
      </c>
      <c r="J419" s="136">
        <f>Tabla3[[#This Row],[EGRESOS]]/Tabla3[[#This Row],[TC]]</f>
        <v>0</v>
      </c>
      <c r="K419" s="136">
        <f>Tabla3[[#This Row],[INGRESOS]]/Tabla3[[#This Row],[TC]]</f>
        <v>1121.8229623137599</v>
      </c>
      <c r="L419" s="8" t="s">
        <v>376</v>
      </c>
      <c r="M419" s="8" t="s">
        <v>377</v>
      </c>
      <c r="N419" s="8" t="s">
        <v>30</v>
      </c>
      <c r="O419" s="8" t="s">
        <v>184</v>
      </c>
      <c r="P419" s="8" t="s">
        <v>210</v>
      </c>
      <c r="Q419" s="8" t="s">
        <v>204</v>
      </c>
      <c r="R419" s="8" t="s">
        <v>541</v>
      </c>
      <c r="S419" s="8" t="s">
        <v>524</v>
      </c>
      <c r="T419" s="8"/>
      <c r="U419" s="8" t="s">
        <v>453</v>
      </c>
      <c r="V419" s="8"/>
      <c r="W419" s="8" t="s">
        <v>380</v>
      </c>
      <c r="X419" s="8" t="s">
        <v>23</v>
      </c>
      <c r="Y419" s="8" t="s">
        <v>39</v>
      </c>
    </row>
    <row r="420" spans="1:25" hidden="1" x14ac:dyDescent="0.25">
      <c r="A420" s="273" t="s">
        <v>315</v>
      </c>
      <c r="B420" s="251">
        <v>45782</v>
      </c>
      <c r="C420" s="252" t="s">
        <v>508</v>
      </c>
      <c r="D420" s="252"/>
      <c r="E420" s="253">
        <v>1000000</v>
      </c>
      <c r="F420" s="253">
        <v>0</v>
      </c>
      <c r="G420" s="274">
        <f>Tabla3[[#This Row],[INGRESOS]]-Tabla3[[#This Row],[EGRESOS]]</f>
        <v>-1000000</v>
      </c>
      <c r="H420" s="337"/>
      <c r="I420" s="135">
        <v>1142</v>
      </c>
      <c r="J420" s="136">
        <f>Tabla3[[#This Row],[EGRESOS]]/Tabla3[[#This Row],[TC]]</f>
        <v>875.65674255691772</v>
      </c>
      <c r="K420" s="136">
        <f>Tabla3[[#This Row],[INGRESOS]]/Tabla3[[#This Row],[TC]]</f>
        <v>0</v>
      </c>
      <c r="L420" s="8" t="s">
        <v>376</v>
      </c>
      <c r="M420" s="8" t="s">
        <v>377</v>
      </c>
      <c r="N420" s="8" t="s">
        <v>30</v>
      </c>
      <c r="O420" s="8" t="s">
        <v>184</v>
      </c>
      <c r="P420" s="8" t="s">
        <v>210</v>
      </c>
      <c r="Q420" s="8" t="s">
        <v>205</v>
      </c>
      <c r="R420" s="8" t="s">
        <v>542</v>
      </c>
      <c r="S420" s="8" t="s">
        <v>452</v>
      </c>
      <c r="T420" s="8"/>
      <c r="U420" s="8" t="s">
        <v>453</v>
      </c>
      <c r="V420" s="8"/>
      <c r="W420" s="8" t="s">
        <v>380</v>
      </c>
      <c r="X420" s="8" t="s">
        <v>45</v>
      </c>
      <c r="Y420" s="8" t="s">
        <v>23</v>
      </c>
    </row>
    <row r="421" spans="1:25" hidden="1" x14ac:dyDescent="0.25">
      <c r="A421" s="273" t="s">
        <v>315</v>
      </c>
      <c r="B421" s="251">
        <v>45782</v>
      </c>
      <c r="C421" s="252" t="s">
        <v>496</v>
      </c>
      <c r="D421" s="252"/>
      <c r="E421" s="253">
        <v>27000</v>
      </c>
      <c r="F421" s="253">
        <v>0</v>
      </c>
      <c r="G421" s="274">
        <f>Tabla3[[#This Row],[INGRESOS]]-Tabla3[[#This Row],[EGRESOS]]</f>
        <v>-27000</v>
      </c>
      <c r="H421" s="337"/>
      <c r="I421" s="135">
        <v>1143</v>
      </c>
      <c r="J421" s="136">
        <f>Tabla3[[#This Row],[EGRESOS]]/Tabla3[[#This Row],[TC]]</f>
        <v>23.622047244094489</v>
      </c>
      <c r="K421" s="136">
        <f>Tabla3[[#This Row],[INGRESOS]]/Tabla3[[#This Row],[TC]]</f>
        <v>0</v>
      </c>
      <c r="L421" s="8" t="s">
        <v>376</v>
      </c>
      <c r="M421" s="8" t="s">
        <v>377</v>
      </c>
      <c r="N421" s="8" t="s">
        <v>30</v>
      </c>
      <c r="O421" s="8" t="s">
        <v>184</v>
      </c>
      <c r="P421" s="8" t="s">
        <v>185</v>
      </c>
      <c r="Q421" s="8" t="s">
        <v>186</v>
      </c>
      <c r="R421" s="8" t="s">
        <v>227</v>
      </c>
      <c r="S421" s="8"/>
      <c r="T421" s="8"/>
      <c r="U421" s="8" t="s">
        <v>384</v>
      </c>
      <c r="V421" s="8"/>
      <c r="W421" s="8" t="s">
        <v>380</v>
      </c>
      <c r="X421" s="8" t="s">
        <v>99</v>
      </c>
      <c r="Y421" s="8" t="s">
        <v>23</v>
      </c>
    </row>
    <row r="422" spans="1:25" hidden="1" x14ac:dyDescent="0.25">
      <c r="A422" s="273" t="s">
        <v>315</v>
      </c>
      <c r="B422" s="251">
        <v>45782</v>
      </c>
      <c r="C422" s="252" t="s">
        <v>497</v>
      </c>
      <c r="D422" s="252"/>
      <c r="E422" s="253">
        <v>5670</v>
      </c>
      <c r="F422" s="253">
        <v>0</v>
      </c>
      <c r="G422" s="274">
        <f>Tabla3[[#This Row],[INGRESOS]]-Tabla3[[#This Row],[EGRESOS]]</f>
        <v>-5670</v>
      </c>
      <c r="H422" s="337"/>
      <c r="I422" s="135">
        <v>1144</v>
      </c>
      <c r="J422" s="136">
        <f>Tabla3[[#This Row],[EGRESOS]]/Tabla3[[#This Row],[TC]]</f>
        <v>4.9562937062937067</v>
      </c>
      <c r="K422" s="136">
        <f>Tabla3[[#This Row],[INGRESOS]]/Tabla3[[#This Row],[TC]]</f>
        <v>0</v>
      </c>
      <c r="L422" s="8" t="s">
        <v>376</v>
      </c>
      <c r="M422" s="8" t="s">
        <v>377</v>
      </c>
      <c r="N422" s="8" t="s">
        <v>30</v>
      </c>
      <c r="O422" s="8" t="s">
        <v>184</v>
      </c>
      <c r="P422" s="8" t="s">
        <v>195</v>
      </c>
      <c r="Q422" s="8" t="s">
        <v>196</v>
      </c>
      <c r="R422" s="8" t="s">
        <v>382</v>
      </c>
      <c r="S422" s="8" t="s">
        <v>383</v>
      </c>
      <c r="T422" s="8"/>
      <c r="U422" s="8" t="s">
        <v>384</v>
      </c>
      <c r="V422" s="8"/>
      <c r="W422" s="8" t="s">
        <v>380</v>
      </c>
      <c r="X422" s="8" t="s">
        <v>99</v>
      </c>
      <c r="Y422" s="8" t="s">
        <v>23</v>
      </c>
    </row>
    <row r="423" spans="1:25" hidden="1" x14ac:dyDescent="0.25">
      <c r="A423" s="273" t="s">
        <v>315</v>
      </c>
      <c r="B423" s="251">
        <v>45782</v>
      </c>
      <c r="C423" s="252" t="s">
        <v>498</v>
      </c>
      <c r="D423" s="252"/>
      <c r="E423" s="253">
        <v>810</v>
      </c>
      <c r="F423" s="253">
        <v>0</v>
      </c>
      <c r="G423" s="274">
        <f>Tabla3[[#This Row],[INGRESOS]]-Tabla3[[#This Row],[EGRESOS]]</f>
        <v>-810</v>
      </c>
      <c r="H423" s="337"/>
      <c r="I423" s="135">
        <v>1145</v>
      </c>
      <c r="J423" s="136">
        <f>Tabla3[[#This Row],[EGRESOS]]/Tabla3[[#This Row],[TC]]</f>
        <v>0.70742358078602618</v>
      </c>
      <c r="K423" s="136">
        <f>Tabla3[[#This Row],[INGRESOS]]/Tabla3[[#This Row],[TC]]</f>
        <v>0</v>
      </c>
      <c r="L423" s="8" t="s">
        <v>376</v>
      </c>
      <c r="M423" s="8" t="s">
        <v>377</v>
      </c>
      <c r="N423" s="8" t="s">
        <v>30</v>
      </c>
      <c r="O423" s="8" t="s">
        <v>184</v>
      </c>
      <c r="P423" s="8" t="s">
        <v>195</v>
      </c>
      <c r="Q423" s="8" t="s">
        <v>196</v>
      </c>
      <c r="R423" s="8" t="s">
        <v>499</v>
      </c>
      <c r="S423" s="8" t="s">
        <v>383</v>
      </c>
      <c r="T423" s="8"/>
      <c r="U423" s="8" t="s">
        <v>384</v>
      </c>
      <c r="V423" s="8"/>
      <c r="W423" s="8" t="s">
        <v>380</v>
      </c>
      <c r="X423" s="8" t="s">
        <v>99</v>
      </c>
      <c r="Y423" s="8" t="s">
        <v>23</v>
      </c>
    </row>
    <row r="424" spans="1:25" hidden="1" x14ac:dyDescent="0.25">
      <c r="A424" s="273" t="s">
        <v>315</v>
      </c>
      <c r="B424" s="251">
        <v>45782</v>
      </c>
      <c r="C424" s="252" t="s">
        <v>518</v>
      </c>
      <c r="D424" s="252"/>
      <c r="E424" s="253">
        <v>6000</v>
      </c>
      <c r="F424" s="253">
        <v>0</v>
      </c>
      <c r="G424" s="274">
        <f>Tabla3[[#This Row],[INGRESOS]]-Tabla3[[#This Row],[EGRESOS]]</f>
        <v>-6000</v>
      </c>
      <c r="H424" s="337"/>
      <c r="I424" s="135">
        <v>1146</v>
      </c>
      <c r="J424" s="136">
        <f>Tabla3[[#This Row],[EGRESOS]]/Tabla3[[#This Row],[TC]]</f>
        <v>5.2356020942408374</v>
      </c>
      <c r="K424" s="136">
        <f>Tabla3[[#This Row],[INGRESOS]]/Tabla3[[#This Row],[TC]]</f>
        <v>0</v>
      </c>
      <c r="L424" s="8" t="s">
        <v>376</v>
      </c>
      <c r="M424" s="8" t="s">
        <v>377</v>
      </c>
      <c r="N424" s="8" t="s">
        <v>30</v>
      </c>
      <c r="O424" s="8" t="s">
        <v>184</v>
      </c>
      <c r="P424" s="8" t="s">
        <v>195</v>
      </c>
      <c r="Q424" s="8" t="s">
        <v>196</v>
      </c>
      <c r="R424" s="8" t="s">
        <v>394</v>
      </c>
      <c r="S424" s="8" t="s">
        <v>383</v>
      </c>
      <c r="T424" s="8"/>
      <c r="U424" s="8" t="s">
        <v>384</v>
      </c>
      <c r="V424" s="8"/>
      <c r="W424" s="8" t="s">
        <v>380</v>
      </c>
      <c r="X424" s="8" t="s">
        <v>99</v>
      </c>
      <c r="Y424" s="8" t="s">
        <v>23</v>
      </c>
    </row>
    <row r="425" spans="1:25" hidden="1" x14ac:dyDescent="0.25">
      <c r="A425" s="273" t="s">
        <v>315</v>
      </c>
      <c r="B425" s="251">
        <v>45782</v>
      </c>
      <c r="C425" s="252" t="s">
        <v>500</v>
      </c>
      <c r="D425" s="252"/>
      <c r="E425" s="253">
        <v>6000</v>
      </c>
      <c r="F425" s="253">
        <v>0</v>
      </c>
      <c r="G425" s="274">
        <f>Tabla3[[#This Row],[INGRESOS]]-Tabla3[[#This Row],[EGRESOS]]</f>
        <v>-6000</v>
      </c>
      <c r="H425" s="337"/>
      <c r="I425" s="135">
        <v>1147</v>
      </c>
      <c r="J425" s="136">
        <f>Tabla3[[#This Row],[EGRESOS]]/Tabla3[[#This Row],[TC]]</f>
        <v>5.2310374891020048</v>
      </c>
      <c r="K425" s="136">
        <f>Tabla3[[#This Row],[INGRESOS]]/Tabla3[[#This Row],[TC]]</f>
        <v>0</v>
      </c>
      <c r="L425" s="8" t="s">
        <v>376</v>
      </c>
      <c r="M425" s="8" t="s">
        <v>377</v>
      </c>
      <c r="N425" s="8" t="s">
        <v>30</v>
      </c>
      <c r="O425" s="8" t="s">
        <v>184</v>
      </c>
      <c r="P425" s="8" t="s">
        <v>195</v>
      </c>
      <c r="Q425" s="8" t="s">
        <v>196</v>
      </c>
      <c r="R425" s="8" t="s">
        <v>394</v>
      </c>
      <c r="S425" s="8" t="s">
        <v>383</v>
      </c>
      <c r="T425" s="8"/>
      <c r="U425" s="8" t="s">
        <v>384</v>
      </c>
      <c r="V425" s="8"/>
      <c r="W425" s="8" t="s">
        <v>380</v>
      </c>
      <c r="X425" s="8" t="s">
        <v>99</v>
      </c>
      <c r="Y425" s="8" t="s">
        <v>23</v>
      </c>
    </row>
    <row r="426" spans="1:25" hidden="1" x14ac:dyDescent="0.25">
      <c r="A426" s="273" t="s">
        <v>315</v>
      </c>
      <c r="B426" s="251">
        <v>45782</v>
      </c>
      <c r="C426" s="252" t="s">
        <v>500</v>
      </c>
      <c r="D426" s="252"/>
      <c r="E426" s="253">
        <v>162</v>
      </c>
      <c r="F426" s="253">
        <v>0</v>
      </c>
      <c r="G426" s="274">
        <f>Tabla3[[#This Row],[INGRESOS]]-Tabla3[[#This Row],[EGRESOS]]</f>
        <v>-162</v>
      </c>
      <c r="H426" s="337"/>
      <c r="I426" s="135">
        <v>1148</v>
      </c>
      <c r="J426" s="136">
        <f>Tabla3[[#This Row],[EGRESOS]]/Tabla3[[#This Row],[TC]]</f>
        <v>0.14111498257839722</v>
      </c>
      <c r="K426" s="136">
        <f>Tabla3[[#This Row],[INGRESOS]]/Tabla3[[#This Row],[TC]]</f>
        <v>0</v>
      </c>
      <c r="L426" s="8" t="s">
        <v>376</v>
      </c>
      <c r="M426" s="8" t="s">
        <v>377</v>
      </c>
      <c r="N426" s="8" t="s">
        <v>30</v>
      </c>
      <c r="O426" s="8" t="s">
        <v>184</v>
      </c>
      <c r="P426" s="8" t="s">
        <v>195</v>
      </c>
      <c r="Q426" s="8" t="s">
        <v>196</v>
      </c>
      <c r="R426" s="8" t="s">
        <v>394</v>
      </c>
      <c r="S426" s="8" t="s">
        <v>383</v>
      </c>
      <c r="T426" s="8"/>
      <c r="U426" s="8" t="s">
        <v>384</v>
      </c>
      <c r="V426" s="8"/>
      <c r="W426" s="8" t="s">
        <v>380</v>
      </c>
      <c r="X426" s="8" t="s">
        <v>99</v>
      </c>
      <c r="Y426" s="8" t="s">
        <v>23</v>
      </c>
    </row>
    <row r="427" spans="1:25" hidden="1" x14ac:dyDescent="0.25">
      <c r="A427" s="273" t="s">
        <v>315</v>
      </c>
      <c r="B427" s="251">
        <v>45782</v>
      </c>
      <c r="C427" s="252" t="s">
        <v>500</v>
      </c>
      <c r="D427" s="252"/>
      <c r="E427" s="253">
        <v>34.020000000000003</v>
      </c>
      <c r="F427" s="253">
        <v>0</v>
      </c>
      <c r="G427" s="274">
        <f>Tabla3[[#This Row],[INGRESOS]]-Tabla3[[#This Row],[EGRESOS]]</f>
        <v>-34.020000000000003</v>
      </c>
      <c r="H427" s="337"/>
      <c r="I427" s="135">
        <v>1149</v>
      </c>
      <c r="J427" s="136">
        <f>Tabla3[[#This Row],[EGRESOS]]/Tabla3[[#This Row],[TC]]</f>
        <v>2.9608355091383813E-2</v>
      </c>
      <c r="K427" s="136">
        <f>Tabla3[[#This Row],[INGRESOS]]/Tabla3[[#This Row],[TC]]</f>
        <v>0</v>
      </c>
      <c r="L427" s="8" t="s">
        <v>376</v>
      </c>
      <c r="M427" s="8" t="s">
        <v>377</v>
      </c>
      <c r="N427" s="8" t="s">
        <v>30</v>
      </c>
      <c r="O427" s="8" t="s">
        <v>184</v>
      </c>
      <c r="P427" s="8" t="s">
        <v>195</v>
      </c>
      <c r="Q427" s="8" t="s">
        <v>196</v>
      </c>
      <c r="R427" s="8" t="s">
        <v>394</v>
      </c>
      <c r="S427" s="8" t="s">
        <v>383</v>
      </c>
      <c r="T427" s="8"/>
      <c r="U427" s="8" t="s">
        <v>384</v>
      </c>
      <c r="V427" s="8"/>
      <c r="W427" s="8" t="s">
        <v>380</v>
      </c>
      <c r="X427" s="8" t="s">
        <v>99</v>
      </c>
      <c r="Y427" s="8" t="s">
        <v>23</v>
      </c>
    </row>
    <row r="428" spans="1:25" hidden="1" x14ac:dyDescent="0.25">
      <c r="A428" s="273" t="s">
        <v>315</v>
      </c>
      <c r="B428" s="251">
        <v>45782</v>
      </c>
      <c r="C428" s="252" t="s">
        <v>500</v>
      </c>
      <c r="D428" s="252"/>
      <c r="E428" s="253">
        <v>4.8600000000000003</v>
      </c>
      <c r="F428" s="253">
        <v>0</v>
      </c>
      <c r="G428" s="274">
        <f>Tabla3[[#This Row],[INGRESOS]]-Tabla3[[#This Row],[EGRESOS]]</f>
        <v>-4.8600000000000003</v>
      </c>
      <c r="H428" s="337"/>
      <c r="I428" s="135">
        <v>1150</v>
      </c>
      <c r="J428" s="136">
        <f>Tabla3[[#This Row],[EGRESOS]]/Tabla3[[#This Row],[TC]]</f>
        <v>4.226086956521739E-3</v>
      </c>
      <c r="K428" s="136">
        <f>Tabla3[[#This Row],[INGRESOS]]/Tabla3[[#This Row],[TC]]</f>
        <v>0</v>
      </c>
      <c r="L428" s="8" t="s">
        <v>376</v>
      </c>
      <c r="M428" s="8" t="s">
        <v>377</v>
      </c>
      <c r="N428" s="8" t="s">
        <v>30</v>
      </c>
      <c r="O428" s="8" t="s">
        <v>184</v>
      </c>
      <c r="P428" s="8" t="s">
        <v>195</v>
      </c>
      <c r="Q428" s="8" t="s">
        <v>196</v>
      </c>
      <c r="R428" s="8" t="s">
        <v>394</v>
      </c>
      <c r="S428" s="8" t="s">
        <v>383</v>
      </c>
      <c r="T428" s="8"/>
      <c r="U428" s="8" t="s">
        <v>384</v>
      </c>
      <c r="V428" s="8"/>
      <c r="W428" s="8" t="s">
        <v>380</v>
      </c>
      <c r="X428" s="8" t="s">
        <v>99</v>
      </c>
      <c r="Y428" s="8" t="s">
        <v>23</v>
      </c>
    </row>
    <row r="429" spans="1:25" hidden="1" x14ac:dyDescent="0.25">
      <c r="A429" s="273" t="s">
        <v>315</v>
      </c>
      <c r="B429" s="251">
        <v>45783</v>
      </c>
      <c r="C429" s="252" t="s">
        <v>536</v>
      </c>
      <c r="D429" s="252"/>
      <c r="E429" s="253">
        <v>956</v>
      </c>
      <c r="F429" s="253">
        <v>0</v>
      </c>
      <c r="G429" s="274">
        <f>Tabla3[[#This Row],[INGRESOS]]-Tabla3[[#This Row],[EGRESOS]]</f>
        <v>-956</v>
      </c>
      <c r="H429" s="337"/>
      <c r="I429" s="135">
        <v>1151</v>
      </c>
      <c r="J429" s="136">
        <f>Tabla3[[#This Row],[EGRESOS]]/Tabla3[[#This Row],[TC]]</f>
        <v>0.83058210251954823</v>
      </c>
      <c r="K429" s="136">
        <f>Tabla3[[#This Row],[INGRESOS]]/Tabla3[[#This Row],[TC]]</f>
        <v>0</v>
      </c>
      <c r="L429" s="8" t="s">
        <v>376</v>
      </c>
      <c r="M429" s="8" t="s">
        <v>377</v>
      </c>
      <c r="N429" s="8" t="s">
        <v>30</v>
      </c>
      <c r="O429" s="8" t="s">
        <v>184</v>
      </c>
      <c r="P429" s="8" t="s">
        <v>185</v>
      </c>
      <c r="Q429" s="8" t="s">
        <v>186</v>
      </c>
      <c r="R429" s="8" t="s">
        <v>227</v>
      </c>
      <c r="S429" s="8"/>
      <c r="T429" s="8"/>
      <c r="U429" s="8" t="s">
        <v>384</v>
      </c>
      <c r="V429" s="8"/>
      <c r="W429" s="8" t="s">
        <v>380</v>
      </c>
      <c r="X429" s="8" t="s">
        <v>99</v>
      </c>
      <c r="Y429" s="8" t="s">
        <v>23</v>
      </c>
    </row>
    <row r="430" spans="1:25" hidden="1" x14ac:dyDescent="0.25">
      <c r="A430" s="273" t="s">
        <v>315</v>
      </c>
      <c r="B430" s="251">
        <v>45783</v>
      </c>
      <c r="C430" s="252" t="s">
        <v>497</v>
      </c>
      <c r="D430" s="252"/>
      <c r="E430" s="253">
        <v>200.76</v>
      </c>
      <c r="F430" s="253">
        <v>0</v>
      </c>
      <c r="G430" s="274">
        <f>Tabla3[[#This Row],[INGRESOS]]-Tabla3[[#This Row],[EGRESOS]]</f>
        <v>-200.76</v>
      </c>
      <c r="H430" s="337"/>
      <c r="I430" s="135">
        <v>1152</v>
      </c>
      <c r="J430" s="136">
        <f>Tabla3[[#This Row],[EGRESOS]]/Tabla3[[#This Row],[TC]]</f>
        <v>0.17427083333333332</v>
      </c>
      <c r="K430" s="136">
        <f>Tabla3[[#This Row],[INGRESOS]]/Tabla3[[#This Row],[TC]]</f>
        <v>0</v>
      </c>
      <c r="L430" s="8" t="s">
        <v>376</v>
      </c>
      <c r="M430" s="8" t="s">
        <v>377</v>
      </c>
      <c r="N430" s="8" t="s">
        <v>30</v>
      </c>
      <c r="O430" s="8" t="s">
        <v>184</v>
      </c>
      <c r="P430" s="8" t="s">
        <v>195</v>
      </c>
      <c r="Q430" s="8" t="s">
        <v>196</v>
      </c>
      <c r="R430" s="8" t="s">
        <v>382</v>
      </c>
      <c r="S430" s="8" t="s">
        <v>383</v>
      </c>
      <c r="T430" s="8"/>
      <c r="U430" s="8" t="s">
        <v>384</v>
      </c>
      <c r="V430" s="8"/>
      <c r="W430" s="8" t="s">
        <v>380</v>
      </c>
      <c r="X430" s="8" t="s">
        <v>99</v>
      </c>
      <c r="Y430" s="8" t="s">
        <v>23</v>
      </c>
    </row>
    <row r="431" spans="1:25" hidden="1" x14ac:dyDescent="0.25">
      <c r="A431" s="273" t="s">
        <v>315</v>
      </c>
      <c r="B431" s="251">
        <v>45783</v>
      </c>
      <c r="C431" s="252" t="s">
        <v>500</v>
      </c>
      <c r="D431" s="252"/>
      <c r="E431" s="253">
        <v>5.74</v>
      </c>
      <c r="F431" s="253">
        <v>0</v>
      </c>
      <c r="G431" s="274">
        <f>Tabla3[[#This Row],[INGRESOS]]-Tabla3[[#This Row],[EGRESOS]]</f>
        <v>-5.74</v>
      </c>
      <c r="H431" s="337"/>
      <c r="I431" s="135">
        <v>1153</v>
      </c>
      <c r="J431" s="136">
        <f>Tabla3[[#This Row],[EGRESOS]]/Tabla3[[#This Row],[TC]]</f>
        <v>4.9783174327840416E-3</v>
      </c>
      <c r="K431" s="136">
        <f>Tabla3[[#This Row],[INGRESOS]]/Tabla3[[#This Row],[TC]]</f>
        <v>0</v>
      </c>
      <c r="L431" s="8" t="s">
        <v>376</v>
      </c>
      <c r="M431" s="8" t="s">
        <v>377</v>
      </c>
      <c r="N431" s="8" t="s">
        <v>30</v>
      </c>
      <c r="O431" s="8" t="s">
        <v>184</v>
      </c>
      <c r="P431" s="8" t="s">
        <v>195</v>
      </c>
      <c r="Q431" s="8" t="s">
        <v>196</v>
      </c>
      <c r="R431" s="8" t="s">
        <v>394</v>
      </c>
      <c r="S431" s="8" t="s">
        <v>383</v>
      </c>
      <c r="T431" s="8"/>
      <c r="U431" s="8" t="s">
        <v>384</v>
      </c>
      <c r="V431" s="8"/>
      <c r="W431" s="8" t="s">
        <v>380</v>
      </c>
      <c r="X431" s="8" t="s">
        <v>99</v>
      </c>
      <c r="Y431" s="8" t="s">
        <v>23</v>
      </c>
    </row>
    <row r="432" spans="1:25" hidden="1" x14ac:dyDescent="0.25">
      <c r="A432" s="273" t="s">
        <v>315</v>
      </c>
      <c r="B432" s="251">
        <v>45783</v>
      </c>
      <c r="C432" s="252" t="s">
        <v>500</v>
      </c>
      <c r="D432" s="252"/>
      <c r="E432" s="253">
        <v>1.2</v>
      </c>
      <c r="F432" s="253">
        <v>0</v>
      </c>
      <c r="G432" s="274">
        <f>Tabla3[[#This Row],[INGRESOS]]-Tabla3[[#This Row],[EGRESOS]]</f>
        <v>-1.2</v>
      </c>
      <c r="H432" s="337"/>
      <c r="I432" s="135">
        <v>1154</v>
      </c>
      <c r="J432" s="136">
        <f>Tabla3[[#This Row],[EGRESOS]]/Tabla3[[#This Row],[TC]]</f>
        <v>1.0398613518197574E-3</v>
      </c>
      <c r="K432" s="136">
        <f>Tabla3[[#This Row],[INGRESOS]]/Tabla3[[#This Row],[TC]]</f>
        <v>0</v>
      </c>
      <c r="L432" s="8" t="s">
        <v>376</v>
      </c>
      <c r="M432" s="8" t="s">
        <v>377</v>
      </c>
      <c r="N432" s="8" t="s">
        <v>30</v>
      </c>
      <c r="O432" s="8" t="s">
        <v>184</v>
      </c>
      <c r="P432" s="8" t="s">
        <v>195</v>
      </c>
      <c r="Q432" s="8" t="s">
        <v>196</v>
      </c>
      <c r="R432" s="8" t="s">
        <v>394</v>
      </c>
      <c r="S432" s="8" t="s">
        <v>383</v>
      </c>
      <c r="T432" s="8"/>
      <c r="U432" s="8" t="s">
        <v>384</v>
      </c>
      <c r="V432" s="8"/>
      <c r="W432" s="8" t="s">
        <v>380</v>
      </c>
      <c r="X432" s="8" t="s">
        <v>99</v>
      </c>
      <c r="Y432" s="8" t="s">
        <v>23</v>
      </c>
    </row>
    <row r="433" spans="1:25" hidden="1" x14ac:dyDescent="0.25">
      <c r="A433" s="273" t="s">
        <v>315</v>
      </c>
      <c r="B433" s="251">
        <v>45784</v>
      </c>
      <c r="C433" s="252" t="s">
        <v>528</v>
      </c>
      <c r="D433" s="252"/>
      <c r="E433" s="253">
        <v>0</v>
      </c>
      <c r="F433" s="253">
        <v>50000</v>
      </c>
      <c r="G433" s="274">
        <f>Tabla3[[#This Row],[INGRESOS]]-Tabla3[[#This Row],[EGRESOS]]</f>
        <v>50000</v>
      </c>
      <c r="H433" s="274">
        <v>-2991775.5</v>
      </c>
      <c r="I433" s="135">
        <v>1155</v>
      </c>
      <c r="J433" s="136">
        <f>Tabla3[[#This Row],[EGRESOS]]/Tabla3[[#This Row],[TC]]</f>
        <v>0</v>
      </c>
      <c r="K433" s="136">
        <f>Tabla3[[#This Row],[INGRESOS]]/Tabla3[[#This Row],[TC]]</f>
        <v>43.290043290043293</v>
      </c>
      <c r="L433" s="8" t="s">
        <v>376</v>
      </c>
      <c r="M433" s="8" t="s">
        <v>377</v>
      </c>
      <c r="N433" s="8" t="s">
        <v>30</v>
      </c>
      <c r="O433" s="8" t="s">
        <v>244</v>
      </c>
      <c r="P433" s="8" t="s">
        <v>259</v>
      </c>
      <c r="Q433" s="8" t="s">
        <v>260</v>
      </c>
      <c r="R433" s="8" t="s">
        <v>405</v>
      </c>
      <c r="S433" s="8"/>
      <c r="T433" s="8"/>
      <c r="U433" s="8" t="s">
        <v>379</v>
      </c>
      <c r="V433" s="8"/>
      <c r="W433" s="8"/>
      <c r="X433" s="8"/>
      <c r="Y433" s="8"/>
    </row>
    <row r="434" spans="1:25" hidden="1" x14ac:dyDescent="0.25">
      <c r="A434" s="273" t="s">
        <v>315</v>
      </c>
      <c r="B434" s="251">
        <v>45797</v>
      </c>
      <c r="C434" s="252" t="s">
        <v>528</v>
      </c>
      <c r="D434" s="252"/>
      <c r="E434" s="253">
        <v>0</v>
      </c>
      <c r="F434" s="253">
        <v>10500000</v>
      </c>
      <c r="G434" s="274">
        <f>Tabla3[[#This Row],[INGRESOS]]-Tabla3[[#This Row],[EGRESOS]]</f>
        <v>10500000</v>
      </c>
      <c r="H434" s="337"/>
      <c r="I434" s="135">
        <v>1156</v>
      </c>
      <c r="J434" s="136">
        <f>Tabla3[[#This Row],[EGRESOS]]/Tabla3[[#This Row],[TC]]</f>
        <v>0</v>
      </c>
      <c r="K434" s="136">
        <f>Tabla3[[#This Row],[INGRESOS]]/Tabla3[[#This Row],[TC]]</f>
        <v>9083.0449826989625</v>
      </c>
      <c r="L434" s="8" t="s">
        <v>376</v>
      </c>
      <c r="M434" s="8" t="s">
        <v>377</v>
      </c>
      <c r="N434" s="8" t="s">
        <v>30</v>
      </c>
      <c r="O434" s="8" t="s">
        <v>244</v>
      </c>
      <c r="P434" s="8" t="s">
        <v>259</v>
      </c>
      <c r="Q434" s="8" t="s">
        <v>260</v>
      </c>
      <c r="R434" s="8" t="s">
        <v>405</v>
      </c>
      <c r="S434" s="8"/>
      <c r="T434" s="8"/>
      <c r="U434" s="8" t="s">
        <v>379</v>
      </c>
      <c r="V434" s="8"/>
      <c r="W434" s="8"/>
      <c r="X434" s="8"/>
      <c r="Y434" s="8"/>
    </row>
    <row r="435" spans="1:25" hidden="1" x14ac:dyDescent="0.25">
      <c r="A435" s="273" t="s">
        <v>315</v>
      </c>
      <c r="B435" s="251">
        <v>45797</v>
      </c>
      <c r="C435" s="252" t="s">
        <v>543</v>
      </c>
      <c r="D435" s="252"/>
      <c r="E435" s="253">
        <v>10000000</v>
      </c>
      <c r="F435" s="253">
        <v>0</v>
      </c>
      <c r="G435" s="274">
        <f>Tabla3[[#This Row],[INGRESOS]]-Tabla3[[#This Row],[EGRESOS]]</f>
        <v>-10000000</v>
      </c>
      <c r="H435" s="274">
        <v>-2551775.5</v>
      </c>
      <c r="I435" s="135">
        <v>1157</v>
      </c>
      <c r="J435" s="136">
        <f>Tabla3[[#This Row],[EGRESOS]]/Tabla3[[#This Row],[TC]]</f>
        <v>8643.042350907519</v>
      </c>
      <c r="K435" s="136">
        <f>Tabla3[[#This Row],[INGRESOS]]/Tabla3[[#This Row],[TC]]</f>
        <v>0</v>
      </c>
      <c r="L435" s="8" t="s">
        <v>376</v>
      </c>
      <c r="M435" s="8" t="s">
        <v>377</v>
      </c>
      <c r="N435" s="8" t="s">
        <v>30</v>
      </c>
      <c r="O435" s="8" t="s">
        <v>215</v>
      </c>
      <c r="P435" s="8" t="s">
        <v>216</v>
      </c>
      <c r="Q435" s="8" t="s">
        <v>220</v>
      </c>
      <c r="R435" s="8" t="s">
        <v>544</v>
      </c>
      <c r="S435" s="8" t="s">
        <v>545</v>
      </c>
      <c r="T435" s="8"/>
      <c r="U435" s="8" t="s">
        <v>403</v>
      </c>
      <c r="V435" s="8"/>
      <c r="W435" s="8" t="s">
        <v>380</v>
      </c>
      <c r="X435" s="8" t="s">
        <v>29</v>
      </c>
      <c r="Y435" s="8" t="s">
        <v>23</v>
      </c>
    </row>
    <row r="436" spans="1:25" hidden="1" x14ac:dyDescent="0.25">
      <c r="A436" s="273" t="s">
        <v>315</v>
      </c>
      <c r="B436" s="251">
        <v>45797</v>
      </c>
      <c r="C436" s="252" t="s">
        <v>500</v>
      </c>
      <c r="D436" s="252"/>
      <c r="E436" s="253">
        <v>60000</v>
      </c>
      <c r="F436" s="253">
        <v>0</v>
      </c>
      <c r="G436" s="274">
        <f>Tabla3[[#This Row],[INGRESOS]]-Tabla3[[#This Row],[EGRESOS]]</f>
        <v>-60000</v>
      </c>
      <c r="H436" s="274">
        <v>-2691247.12</v>
      </c>
      <c r="I436" s="135">
        <v>1158</v>
      </c>
      <c r="J436" s="136">
        <f>Tabla3[[#This Row],[EGRESOS]]/Tabla3[[#This Row],[TC]]</f>
        <v>51.813471502590673</v>
      </c>
      <c r="K436" s="136">
        <f>Tabla3[[#This Row],[INGRESOS]]/Tabla3[[#This Row],[TC]]</f>
        <v>0</v>
      </c>
      <c r="L436" s="8" t="s">
        <v>376</v>
      </c>
      <c r="M436" s="8" t="s">
        <v>377</v>
      </c>
      <c r="N436" s="8" t="s">
        <v>30</v>
      </c>
      <c r="O436" s="8" t="s">
        <v>184</v>
      </c>
      <c r="P436" s="8" t="s">
        <v>195</v>
      </c>
      <c r="Q436" s="8" t="s">
        <v>196</v>
      </c>
      <c r="R436" s="8" t="s">
        <v>394</v>
      </c>
      <c r="S436" s="8" t="s">
        <v>383</v>
      </c>
      <c r="T436" s="8"/>
      <c r="U436" s="8" t="s">
        <v>384</v>
      </c>
      <c r="V436" s="8"/>
      <c r="W436" s="8" t="s">
        <v>380</v>
      </c>
      <c r="X436" s="8" t="s">
        <v>99</v>
      </c>
      <c r="Y436" s="8" t="s">
        <v>23</v>
      </c>
    </row>
    <row r="437" spans="1:25" hidden="1" x14ac:dyDescent="0.25">
      <c r="A437" s="273" t="s">
        <v>316</v>
      </c>
      <c r="B437" s="251">
        <v>45810</v>
      </c>
      <c r="C437" s="252" t="s">
        <v>496</v>
      </c>
      <c r="D437" s="252"/>
      <c r="E437" s="253">
        <v>27000</v>
      </c>
      <c r="F437" s="253">
        <v>0</v>
      </c>
      <c r="G437" s="274">
        <f>Tabla3[[#This Row],[INGRESOS]]-Tabla3[[#This Row],[EGRESOS]]</f>
        <v>-27000</v>
      </c>
      <c r="H437" s="274"/>
      <c r="I437" s="135">
        <v>1159</v>
      </c>
      <c r="J437" s="136">
        <f>Tabla3[[#This Row],[EGRESOS]]/Tabla3[[#This Row],[TC]]</f>
        <v>23.295944779982744</v>
      </c>
      <c r="K437" s="136">
        <f>Tabla3[[#This Row],[INGRESOS]]/Tabla3[[#This Row],[TC]]</f>
        <v>0</v>
      </c>
      <c r="L437" s="8" t="s">
        <v>376</v>
      </c>
      <c r="M437" s="8" t="s">
        <v>377</v>
      </c>
      <c r="N437" s="8" t="s">
        <v>30</v>
      </c>
      <c r="O437" s="8" t="s">
        <v>184</v>
      </c>
      <c r="P437" s="8" t="s">
        <v>185</v>
      </c>
      <c r="Q437" s="8" t="s">
        <v>186</v>
      </c>
      <c r="R437" s="8" t="s">
        <v>227</v>
      </c>
      <c r="S437" s="8"/>
      <c r="T437" s="8"/>
      <c r="U437" s="8" t="s">
        <v>384</v>
      </c>
      <c r="V437" s="8"/>
      <c r="W437" s="8" t="s">
        <v>380</v>
      </c>
      <c r="X437" s="8" t="s">
        <v>99</v>
      </c>
      <c r="Y437" s="8" t="s">
        <v>23</v>
      </c>
    </row>
    <row r="438" spans="1:25" hidden="1" x14ac:dyDescent="0.25">
      <c r="A438" s="273" t="s">
        <v>316</v>
      </c>
      <c r="B438" s="251">
        <v>45810</v>
      </c>
      <c r="C438" s="252" t="s">
        <v>497</v>
      </c>
      <c r="D438" s="252"/>
      <c r="E438" s="253">
        <v>5670</v>
      </c>
      <c r="F438" s="253">
        <v>0</v>
      </c>
      <c r="G438" s="274">
        <f>Tabla3[[#This Row],[INGRESOS]]-Tabla3[[#This Row],[EGRESOS]]</f>
        <v>-5670</v>
      </c>
      <c r="H438" s="274"/>
      <c r="I438" s="135">
        <v>1160</v>
      </c>
      <c r="J438" s="136">
        <f>Tabla3[[#This Row],[EGRESOS]]/Tabla3[[#This Row],[TC]]</f>
        <v>4.8879310344827589</v>
      </c>
      <c r="K438" s="136">
        <f>Tabla3[[#This Row],[INGRESOS]]/Tabla3[[#This Row],[TC]]</f>
        <v>0</v>
      </c>
      <c r="L438" s="8" t="s">
        <v>376</v>
      </c>
      <c r="M438" s="8" t="s">
        <v>377</v>
      </c>
      <c r="N438" s="8" t="s">
        <v>30</v>
      </c>
      <c r="O438" s="8" t="s">
        <v>184</v>
      </c>
      <c r="P438" s="8" t="s">
        <v>195</v>
      </c>
      <c r="Q438" s="8" t="s">
        <v>196</v>
      </c>
      <c r="R438" s="8" t="s">
        <v>382</v>
      </c>
      <c r="S438" s="8" t="s">
        <v>383</v>
      </c>
      <c r="T438" s="8"/>
      <c r="U438" s="8" t="s">
        <v>384</v>
      </c>
      <c r="V438" s="8"/>
      <c r="W438" s="8" t="s">
        <v>380</v>
      </c>
      <c r="X438" s="8" t="s">
        <v>99</v>
      </c>
      <c r="Y438" s="8" t="s">
        <v>23</v>
      </c>
    </row>
    <row r="439" spans="1:25" hidden="1" x14ac:dyDescent="0.25">
      <c r="A439" s="273" t="s">
        <v>316</v>
      </c>
      <c r="B439" s="251">
        <v>45810</v>
      </c>
      <c r="C439" s="252" t="s">
        <v>498</v>
      </c>
      <c r="D439" s="252"/>
      <c r="E439" s="253">
        <v>810</v>
      </c>
      <c r="F439" s="253">
        <v>0</v>
      </c>
      <c r="G439" s="274">
        <f>Tabla3[[#This Row],[INGRESOS]]-Tabla3[[#This Row],[EGRESOS]]</f>
        <v>-810</v>
      </c>
      <c r="H439" s="274"/>
      <c r="I439" s="135">
        <v>1161</v>
      </c>
      <c r="J439" s="136">
        <f>Tabla3[[#This Row],[EGRESOS]]/Tabla3[[#This Row],[TC]]</f>
        <v>0.69767441860465118</v>
      </c>
      <c r="K439" s="136">
        <f>Tabla3[[#This Row],[INGRESOS]]/Tabla3[[#This Row],[TC]]</f>
        <v>0</v>
      </c>
      <c r="L439" s="8" t="s">
        <v>376</v>
      </c>
      <c r="M439" s="8" t="s">
        <v>377</v>
      </c>
      <c r="N439" s="8" t="s">
        <v>30</v>
      </c>
      <c r="O439" s="8" t="s">
        <v>184</v>
      </c>
      <c r="P439" s="8" t="s">
        <v>195</v>
      </c>
      <c r="Q439" s="8" t="s">
        <v>196</v>
      </c>
      <c r="R439" s="8" t="s">
        <v>394</v>
      </c>
      <c r="S439" s="8" t="s">
        <v>383</v>
      </c>
      <c r="T439" s="8"/>
      <c r="U439" s="8" t="s">
        <v>384</v>
      </c>
      <c r="V439" s="8"/>
      <c r="W439" s="8" t="s">
        <v>380</v>
      </c>
      <c r="X439" s="8" t="s">
        <v>99</v>
      </c>
      <c r="Y439" s="8" t="s">
        <v>23</v>
      </c>
    </row>
    <row r="440" spans="1:25" hidden="1" x14ac:dyDescent="0.25">
      <c r="A440" s="273" t="s">
        <v>316</v>
      </c>
      <c r="B440" s="251">
        <v>45810</v>
      </c>
      <c r="C440" s="252" t="s">
        <v>500</v>
      </c>
      <c r="D440" s="252"/>
      <c r="E440" s="253">
        <v>162</v>
      </c>
      <c r="F440" s="253">
        <v>0</v>
      </c>
      <c r="G440" s="274">
        <f>Tabla3[[#This Row],[INGRESOS]]-Tabla3[[#This Row],[EGRESOS]]</f>
        <v>-162</v>
      </c>
      <c r="H440" s="274"/>
      <c r="I440" s="135">
        <v>1162</v>
      </c>
      <c r="J440" s="136">
        <f>Tabla3[[#This Row],[EGRESOS]]/Tabla3[[#This Row],[TC]]</f>
        <v>0.13941480206540446</v>
      </c>
      <c r="K440" s="136">
        <f>Tabla3[[#This Row],[INGRESOS]]/Tabla3[[#This Row],[TC]]</f>
        <v>0</v>
      </c>
      <c r="L440" s="8" t="s">
        <v>376</v>
      </c>
      <c r="M440" s="8" t="s">
        <v>377</v>
      </c>
      <c r="N440" s="8" t="s">
        <v>30</v>
      </c>
      <c r="O440" s="8" t="s">
        <v>184</v>
      </c>
      <c r="P440" s="8" t="s">
        <v>195</v>
      </c>
      <c r="Q440" s="8" t="s">
        <v>196</v>
      </c>
      <c r="R440" s="8" t="s">
        <v>394</v>
      </c>
      <c r="S440" s="8" t="s">
        <v>383</v>
      </c>
      <c r="T440" s="8"/>
      <c r="U440" s="8" t="s">
        <v>384</v>
      </c>
      <c r="V440" s="8"/>
      <c r="W440" s="8" t="s">
        <v>380</v>
      </c>
      <c r="X440" s="8" t="s">
        <v>99</v>
      </c>
      <c r="Y440" s="8" t="s">
        <v>23</v>
      </c>
    </row>
    <row r="441" spans="1:25" hidden="1" x14ac:dyDescent="0.25">
      <c r="A441" s="273" t="s">
        <v>316</v>
      </c>
      <c r="B441" s="251">
        <v>45810</v>
      </c>
      <c r="C441" s="252" t="s">
        <v>500</v>
      </c>
      <c r="D441" s="252"/>
      <c r="E441" s="253">
        <v>34.020000000000003</v>
      </c>
      <c r="F441" s="253">
        <v>0</v>
      </c>
      <c r="G441" s="274">
        <f>Tabla3[[#This Row],[INGRESOS]]-Tabla3[[#This Row],[EGRESOS]]</f>
        <v>-34.020000000000003</v>
      </c>
      <c r="H441" s="274"/>
      <c r="I441" s="135">
        <v>1163</v>
      </c>
      <c r="J441" s="136">
        <f>Tabla3[[#This Row],[EGRESOS]]/Tabla3[[#This Row],[TC]]</f>
        <v>2.9251934651762686E-2</v>
      </c>
      <c r="K441" s="136">
        <f>Tabla3[[#This Row],[INGRESOS]]/Tabla3[[#This Row],[TC]]</f>
        <v>0</v>
      </c>
      <c r="L441" s="8" t="s">
        <v>376</v>
      </c>
      <c r="M441" s="8" t="s">
        <v>377</v>
      </c>
      <c r="N441" s="8" t="s">
        <v>30</v>
      </c>
      <c r="O441" s="8" t="s">
        <v>184</v>
      </c>
      <c r="P441" s="8" t="s">
        <v>195</v>
      </c>
      <c r="Q441" s="8" t="s">
        <v>196</v>
      </c>
      <c r="R441" s="8" t="s">
        <v>394</v>
      </c>
      <c r="S441" s="8" t="s">
        <v>383</v>
      </c>
      <c r="T441" s="8"/>
      <c r="U441" s="8" t="s">
        <v>384</v>
      </c>
      <c r="V441" s="8"/>
      <c r="W441" s="8" t="s">
        <v>380</v>
      </c>
      <c r="X441" s="8" t="s">
        <v>99</v>
      </c>
      <c r="Y441" s="8" t="s">
        <v>23</v>
      </c>
    </row>
    <row r="442" spans="1:25" hidden="1" x14ac:dyDescent="0.25">
      <c r="A442" s="273" t="s">
        <v>316</v>
      </c>
      <c r="B442" s="251">
        <v>45810</v>
      </c>
      <c r="C442" s="252" t="s">
        <v>500</v>
      </c>
      <c r="D442" s="252"/>
      <c r="E442" s="253">
        <v>4.8600000000000003</v>
      </c>
      <c r="F442" s="253">
        <v>0</v>
      </c>
      <c r="G442" s="274">
        <f>Tabla3[[#This Row],[INGRESOS]]-Tabla3[[#This Row],[EGRESOS]]</f>
        <v>-4.8600000000000003</v>
      </c>
      <c r="H442" s="337"/>
      <c r="I442" s="135">
        <v>1164</v>
      </c>
      <c r="J442" s="136">
        <f>Tabla3[[#This Row],[EGRESOS]]/Tabla3[[#This Row],[TC]]</f>
        <v>4.1752577319587635E-3</v>
      </c>
      <c r="K442" s="136">
        <f>Tabla3[[#This Row],[INGRESOS]]/Tabla3[[#This Row],[TC]]</f>
        <v>0</v>
      </c>
      <c r="L442" s="8" t="s">
        <v>376</v>
      </c>
      <c r="M442" s="8" t="s">
        <v>377</v>
      </c>
      <c r="N442" s="8" t="s">
        <v>30</v>
      </c>
      <c r="O442" s="8" t="s">
        <v>184</v>
      </c>
      <c r="P442" s="8" t="s">
        <v>195</v>
      </c>
      <c r="Q442" s="8" t="s">
        <v>196</v>
      </c>
      <c r="R442" s="8" t="s">
        <v>394</v>
      </c>
      <c r="S442" s="8" t="s">
        <v>383</v>
      </c>
      <c r="T442" s="8"/>
      <c r="U442" s="8" t="s">
        <v>384</v>
      </c>
      <c r="V442" s="8"/>
      <c r="W442" s="8" t="s">
        <v>380</v>
      </c>
      <c r="X442" s="8" t="s">
        <v>99</v>
      </c>
      <c r="Y442" s="8" t="s">
        <v>23</v>
      </c>
    </row>
    <row r="443" spans="1:25" hidden="1" x14ac:dyDescent="0.25">
      <c r="A443" s="273" t="s">
        <v>316</v>
      </c>
      <c r="B443" s="251">
        <v>45820</v>
      </c>
      <c r="C443" s="252" t="s">
        <v>528</v>
      </c>
      <c r="D443" s="252"/>
      <c r="E443" s="253">
        <v>0</v>
      </c>
      <c r="F443" s="253">
        <v>3000000</v>
      </c>
      <c r="G443" s="274">
        <f>Tabla3[[#This Row],[INGRESOS]]-Tabla3[[#This Row],[EGRESOS]]</f>
        <v>3000000</v>
      </c>
      <c r="H443" s="274">
        <v>270769.62</v>
      </c>
      <c r="I443" s="135">
        <v>1165</v>
      </c>
      <c r="J443" s="136">
        <f>Tabla3[[#This Row],[EGRESOS]]/Tabla3[[#This Row],[TC]]</f>
        <v>0</v>
      </c>
      <c r="K443" s="136">
        <f>Tabla3[[#This Row],[INGRESOS]]/Tabla3[[#This Row],[TC]]</f>
        <v>2575.1072961373388</v>
      </c>
      <c r="L443" s="8" t="s">
        <v>376</v>
      </c>
      <c r="M443" s="8" t="s">
        <v>377</v>
      </c>
      <c r="N443" s="8" t="s">
        <v>30</v>
      </c>
      <c r="O443" s="8" t="s">
        <v>244</v>
      </c>
      <c r="P443" s="8" t="s">
        <v>259</v>
      </c>
      <c r="Q443" s="8" t="s">
        <v>260</v>
      </c>
      <c r="R443" s="8" t="s">
        <v>405</v>
      </c>
      <c r="S443" s="8"/>
      <c r="T443" s="8"/>
      <c r="U443" s="8" t="s">
        <v>379</v>
      </c>
      <c r="V443" s="8"/>
      <c r="W443" s="8"/>
      <c r="X443" s="8"/>
      <c r="Y443" s="8"/>
    </row>
    <row r="444" spans="1:25" hidden="1" x14ac:dyDescent="0.25">
      <c r="A444" s="273" t="s">
        <v>316</v>
      </c>
      <c r="B444" s="251">
        <v>45832</v>
      </c>
      <c r="C444" s="252" t="s">
        <v>508</v>
      </c>
      <c r="D444" s="252"/>
      <c r="E444" s="253">
        <v>950000</v>
      </c>
      <c r="F444" s="253">
        <v>0</v>
      </c>
      <c r="G444" s="274">
        <f>Tabla3[[#This Row],[INGRESOS]]-Tabla3[[#This Row],[EGRESOS]]</f>
        <v>-950000</v>
      </c>
      <c r="H444" s="274">
        <v>-679230.38</v>
      </c>
      <c r="I444" s="135">
        <v>1166</v>
      </c>
      <c r="J444" s="136">
        <f>Tabla3[[#This Row],[EGRESOS]]/Tabla3[[#This Row],[TC]]</f>
        <v>814.75128644939969</v>
      </c>
      <c r="K444" s="136">
        <f>Tabla3[[#This Row],[INGRESOS]]/Tabla3[[#This Row],[TC]]</f>
        <v>0</v>
      </c>
      <c r="L444" s="8" t="s">
        <v>376</v>
      </c>
      <c r="M444" s="8" t="s">
        <v>377</v>
      </c>
      <c r="N444" s="8" t="s">
        <v>30</v>
      </c>
      <c r="O444" s="8" t="s">
        <v>244</v>
      </c>
      <c r="P444" s="8" t="s">
        <v>259</v>
      </c>
      <c r="Q444" s="8" t="s">
        <v>260</v>
      </c>
      <c r="R444" s="8" t="s">
        <v>466</v>
      </c>
      <c r="S444" s="8"/>
      <c r="T444" s="8"/>
      <c r="U444" s="8" t="s">
        <v>379</v>
      </c>
      <c r="V444" s="8"/>
      <c r="W444" s="8"/>
      <c r="X444" s="8"/>
      <c r="Y444" s="8"/>
    </row>
    <row r="445" spans="1:25" hidden="1" x14ac:dyDescent="0.25">
      <c r="A445" s="273" t="s">
        <v>316</v>
      </c>
      <c r="B445" s="251">
        <v>45833</v>
      </c>
      <c r="C445" s="252" t="s">
        <v>536</v>
      </c>
      <c r="D445" s="252"/>
      <c r="E445" s="253">
        <v>956</v>
      </c>
      <c r="F445" s="253">
        <v>0</v>
      </c>
      <c r="G445" s="274">
        <f>Tabla3[[#This Row],[INGRESOS]]-Tabla3[[#This Row],[EGRESOS]]</f>
        <v>-956</v>
      </c>
      <c r="H445" s="337"/>
      <c r="I445" s="135">
        <v>1167</v>
      </c>
      <c r="J445" s="136">
        <f>Tabla3[[#This Row],[EGRESOS]]/Tabla3[[#This Row],[TC]]</f>
        <v>0.81919451585261349</v>
      </c>
      <c r="K445" s="136">
        <f>Tabla3[[#This Row],[INGRESOS]]/Tabla3[[#This Row],[TC]]</f>
        <v>0</v>
      </c>
      <c r="L445" s="8" t="s">
        <v>376</v>
      </c>
      <c r="M445" s="8" t="s">
        <v>377</v>
      </c>
      <c r="N445" s="8" t="s">
        <v>30</v>
      </c>
      <c r="O445" s="8" t="s">
        <v>184</v>
      </c>
      <c r="P445" s="8" t="s">
        <v>185</v>
      </c>
      <c r="Q445" s="8" t="s">
        <v>186</v>
      </c>
      <c r="R445" s="8" t="s">
        <v>227</v>
      </c>
      <c r="S445" s="8"/>
      <c r="T445" s="8"/>
      <c r="U445" s="8" t="s">
        <v>384</v>
      </c>
      <c r="V445" s="8"/>
      <c r="W445" s="8" t="s">
        <v>380</v>
      </c>
      <c r="X445" s="8" t="s">
        <v>99</v>
      </c>
      <c r="Y445" s="8" t="s">
        <v>23</v>
      </c>
    </row>
    <row r="446" spans="1:25" hidden="1" x14ac:dyDescent="0.25">
      <c r="A446" s="273" t="s">
        <v>316</v>
      </c>
      <c r="B446" s="251">
        <v>45833</v>
      </c>
      <c r="C446" s="252" t="s">
        <v>497</v>
      </c>
      <c r="D446" s="252"/>
      <c r="E446" s="253">
        <v>200.76</v>
      </c>
      <c r="F446" s="253">
        <v>0</v>
      </c>
      <c r="G446" s="274">
        <f>Tabla3[[#This Row],[INGRESOS]]-Tabla3[[#This Row],[EGRESOS]]</f>
        <v>-200.76</v>
      </c>
      <c r="H446" s="274"/>
      <c r="I446" s="135">
        <v>1168</v>
      </c>
      <c r="J446" s="136">
        <f>Tabla3[[#This Row],[EGRESOS]]/Tabla3[[#This Row],[TC]]</f>
        <v>0.17188356164383561</v>
      </c>
      <c r="K446" s="136">
        <f>Tabla3[[#This Row],[INGRESOS]]/Tabla3[[#This Row],[TC]]</f>
        <v>0</v>
      </c>
      <c r="L446" s="8" t="s">
        <v>376</v>
      </c>
      <c r="M446" s="8" t="s">
        <v>377</v>
      </c>
      <c r="N446" s="8" t="s">
        <v>30</v>
      </c>
      <c r="O446" s="8" t="s">
        <v>184</v>
      </c>
      <c r="P446" s="8" t="s">
        <v>195</v>
      </c>
      <c r="Q446" s="8" t="s">
        <v>196</v>
      </c>
      <c r="R446" s="8" t="s">
        <v>382</v>
      </c>
      <c r="S446" s="8" t="s">
        <v>383</v>
      </c>
      <c r="T446" s="8"/>
      <c r="U446" s="8" t="s">
        <v>384</v>
      </c>
      <c r="V446" s="8"/>
      <c r="W446" s="8" t="s">
        <v>380</v>
      </c>
      <c r="X446" s="8" t="s">
        <v>99</v>
      </c>
      <c r="Y446" s="8" t="s">
        <v>23</v>
      </c>
    </row>
    <row r="447" spans="1:25" hidden="1" x14ac:dyDescent="0.25">
      <c r="A447" s="273" t="s">
        <v>316</v>
      </c>
      <c r="B447" s="251">
        <v>45833</v>
      </c>
      <c r="C447" s="252" t="s">
        <v>500</v>
      </c>
      <c r="D447" s="252"/>
      <c r="E447" s="253">
        <v>5.74</v>
      </c>
      <c r="F447" s="253">
        <v>0</v>
      </c>
      <c r="G447" s="274">
        <f>Tabla3[[#This Row],[INGRESOS]]-Tabla3[[#This Row],[EGRESOS]]</f>
        <v>-5.74</v>
      </c>
      <c r="H447" s="274"/>
      <c r="I447" s="135">
        <v>1169</v>
      </c>
      <c r="J447" s="136">
        <f>Tabla3[[#This Row],[EGRESOS]]/Tabla3[[#This Row],[TC]]</f>
        <v>4.910179640718563E-3</v>
      </c>
      <c r="K447" s="136">
        <f>Tabla3[[#This Row],[INGRESOS]]/Tabla3[[#This Row],[TC]]</f>
        <v>0</v>
      </c>
      <c r="L447" s="8" t="s">
        <v>376</v>
      </c>
      <c r="M447" s="8" t="s">
        <v>377</v>
      </c>
      <c r="N447" s="8" t="s">
        <v>30</v>
      </c>
      <c r="O447" s="8" t="s">
        <v>184</v>
      </c>
      <c r="P447" s="8" t="s">
        <v>195</v>
      </c>
      <c r="Q447" s="8" t="s">
        <v>196</v>
      </c>
      <c r="R447" s="8" t="s">
        <v>394</v>
      </c>
      <c r="S447" s="8" t="s">
        <v>383</v>
      </c>
      <c r="T447" s="8"/>
      <c r="U447" s="8" t="s">
        <v>384</v>
      </c>
      <c r="V447" s="8"/>
      <c r="W447" s="8" t="s">
        <v>380</v>
      </c>
      <c r="X447" s="8" t="s">
        <v>99</v>
      </c>
      <c r="Y447" s="8" t="s">
        <v>23</v>
      </c>
    </row>
    <row r="448" spans="1:25" hidden="1" x14ac:dyDescent="0.25">
      <c r="A448" s="273" t="s">
        <v>316</v>
      </c>
      <c r="B448" s="251">
        <v>45833</v>
      </c>
      <c r="C448" s="252" t="s">
        <v>500</v>
      </c>
      <c r="D448" s="252"/>
      <c r="E448" s="253">
        <v>1.2</v>
      </c>
      <c r="F448" s="253">
        <v>0</v>
      </c>
      <c r="G448" s="274">
        <f>Tabla3[[#This Row],[INGRESOS]]-Tabla3[[#This Row],[EGRESOS]]</f>
        <v>-1.2</v>
      </c>
      <c r="H448" s="274">
        <v>-756087.91</v>
      </c>
      <c r="I448" s="135">
        <v>1170</v>
      </c>
      <c r="J448" s="136">
        <f>Tabla3[[#This Row],[EGRESOS]]/Tabla3[[#This Row],[TC]]</f>
        <v>1.0256410256410256E-3</v>
      </c>
      <c r="K448" s="136">
        <f>Tabla3[[#This Row],[INGRESOS]]/Tabla3[[#This Row],[TC]]</f>
        <v>0</v>
      </c>
      <c r="L448" s="8" t="s">
        <v>376</v>
      </c>
      <c r="M448" s="8" t="s">
        <v>377</v>
      </c>
      <c r="N448" s="8" t="s">
        <v>30</v>
      </c>
      <c r="O448" s="8" t="s">
        <v>184</v>
      </c>
      <c r="P448" s="8" t="s">
        <v>195</v>
      </c>
      <c r="Q448" s="8" t="s">
        <v>196</v>
      </c>
      <c r="R448" s="8" t="s">
        <v>394</v>
      </c>
      <c r="S448" s="8" t="s">
        <v>383</v>
      </c>
      <c r="T448" s="8"/>
      <c r="U448" s="8" t="s">
        <v>384</v>
      </c>
      <c r="V448" s="8"/>
      <c r="W448" s="8" t="s">
        <v>380</v>
      </c>
      <c r="X448" s="8" t="s">
        <v>99</v>
      </c>
      <c r="Y448" s="8" t="s">
        <v>23</v>
      </c>
    </row>
    <row r="449" spans="1:25" hidden="1" x14ac:dyDescent="0.25">
      <c r="A449" s="273" t="s">
        <v>316</v>
      </c>
      <c r="B449" s="251">
        <v>45835</v>
      </c>
      <c r="C449" s="252" t="s">
        <v>443</v>
      </c>
      <c r="D449" s="252"/>
      <c r="E449" s="253">
        <v>75693.83</v>
      </c>
      <c r="F449" s="253">
        <v>0</v>
      </c>
      <c r="G449" s="274">
        <f>Tabla3[[#This Row],[INGRESOS]]-Tabla3[[#This Row],[EGRESOS]]</f>
        <v>-75693.83</v>
      </c>
      <c r="H449" s="274"/>
      <c r="I449" s="135">
        <v>1171</v>
      </c>
      <c r="J449" s="136">
        <f>Tabla3[[#This Row],[EGRESOS]]/Tabla3[[#This Row],[TC]]</f>
        <v>64.640333048676339</v>
      </c>
      <c r="K449" s="136">
        <f>Tabla3[[#This Row],[INGRESOS]]/Tabla3[[#This Row],[TC]]</f>
        <v>0</v>
      </c>
      <c r="L449" s="8" t="s">
        <v>376</v>
      </c>
      <c r="M449" s="8" t="s">
        <v>377</v>
      </c>
      <c r="N449" s="8" t="s">
        <v>30</v>
      </c>
      <c r="O449" s="8" t="s">
        <v>184</v>
      </c>
      <c r="P449" s="8" t="s">
        <v>197</v>
      </c>
      <c r="Q449" s="8" t="s">
        <v>198</v>
      </c>
      <c r="R449" s="8" t="s">
        <v>419</v>
      </c>
      <c r="S449" s="8"/>
      <c r="T449" s="8"/>
      <c r="U449" s="8" t="s">
        <v>384</v>
      </c>
      <c r="V449" s="8"/>
      <c r="W449" s="8" t="s">
        <v>380</v>
      </c>
      <c r="X449" s="8" t="s">
        <v>99</v>
      </c>
      <c r="Y449" s="8" t="s">
        <v>23</v>
      </c>
    </row>
    <row r="450" spans="1:25" hidden="1" x14ac:dyDescent="0.25">
      <c r="A450" s="273" t="s">
        <v>316</v>
      </c>
      <c r="B450" s="251">
        <v>45835</v>
      </c>
      <c r="C450" s="252" t="s">
        <v>500</v>
      </c>
      <c r="D450" s="252"/>
      <c r="E450" s="253">
        <v>454.16</v>
      </c>
      <c r="F450" s="253">
        <v>0</v>
      </c>
      <c r="G450" s="274">
        <f>Tabla3[[#This Row],[INGRESOS]]-Tabla3[[#This Row],[EGRESOS]]</f>
        <v>-454.16</v>
      </c>
      <c r="H450" s="274">
        <v>-756542.07</v>
      </c>
      <c r="I450" s="135">
        <v>1172</v>
      </c>
      <c r="J450" s="136">
        <f>Tabla3[[#This Row],[EGRESOS]]/Tabla3[[#This Row],[TC]]</f>
        <v>0.38750853242320821</v>
      </c>
      <c r="K450" s="136">
        <f>Tabla3[[#This Row],[INGRESOS]]/Tabla3[[#This Row],[TC]]</f>
        <v>0</v>
      </c>
      <c r="L450" s="8" t="s">
        <v>376</v>
      </c>
      <c r="M450" s="8" t="s">
        <v>377</v>
      </c>
      <c r="N450" s="8" t="s">
        <v>30</v>
      </c>
      <c r="O450" s="8" t="s">
        <v>184</v>
      </c>
      <c r="P450" s="8" t="s">
        <v>195</v>
      </c>
      <c r="Q450" s="8" t="s">
        <v>196</v>
      </c>
      <c r="R450" s="8" t="s">
        <v>394</v>
      </c>
      <c r="S450" s="8" t="s">
        <v>383</v>
      </c>
      <c r="T450" s="8"/>
      <c r="U450" s="8" t="s">
        <v>384</v>
      </c>
      <c r="V450" s="8"/>
      <c r="W450" s="8" t="s">
        <v>380</v>
      </c>
      <c r="X450" s="8" t="s">
        <v>99</v>
      </c>
      <c r="Y450" s="8" t="s">
        <v>23</v>
      </c>
    </row>
    <row r="451" spans="1:25" hidden="1" x14ac:dyDescent="0.25">
      <c r="A451" s="273" t="s">
        <v>317</v>
      </c>
      <c r="B451" s="251">
        <v>45839</v>
      </c>
      <c r="C451" s="252" t="s">
        <v>528</v>
      </c>
      <c r="D451" s="252"/>
      <c r="E451" s="253">
        <v>0</v>
      </c>
      <c r="F451" s="253">
        <v>770000</v>
      </c>
      <c r="G451" s="274">
        <f>Tabla3[[#This Row],[INGRESOS]]-Tabla3[[#This Row],[EGRESOS]]</f>
        <v>770000</v>
      </c>
      <c r="H451" s="274"/>
      <c r="I451" s="135">
        <v>1173</v>
      </c>
      <c r="J451" s="136">
        <f>Tabla3[[#This Row],[EGRESOS]]/Tabla3[[#This Row],[TC]]</f>
        <v>0</v>
      </c>
      <c r="K451" s="136">
        <f>Tabla3[[#This Row],[INGRESOS]]/Tabla3[[#This Row],[TC]]</f>
        <v>656.43648763853366</v>
      </c>
      <c r="L451" s="8" t="s">
        <v>376</v>
      </c>
      <c r="M451" s="8" t="s">
        <v>377</v>
      </c>
      <c r="N451" s="8" t="s">
        <v>30</v>
      </c>
      <c r="O451" s="8" t="s">
        <v>244</v>
      </c>
      <c r="P451" s="8" t="s">
        <v>259</v>
      </c>
      <c r="Q451" s="8" t="s">
        <v>260</v>
      </c>
      <c r="R451" s="8" t="s">
        <v>405</v>
      </c>
      <c r="S451" s="8"/>
      <c r="T451" s="8"/>
      <c r="U451" s="8" t="s">
        <v>379</v>
      </c>
      <c r="V451" s="8"/>
      <c r="W451" s="8"/>
      <c r="X451" s="8"/>
      <c r="Y451" s="8"/>
    </row>
    <row r="452" spans="1:25" hidden="1" x14ac:dyDescent="0.25">
      <c r="A452" s="273" t="s">
        <v>317</v>
      </c>
      <c r="B452" s="251">
        <v>45839</v>
      </c>
      <c r="C452" s="252" t="s">
        <v>496</v>
      </c>
      <c r="D452" s="252"/>
      <c r="E452" s="253">
        <v>27000</v>
      </c>
      <c r="F452" s="253">
        <v>0</v>
      </c>
      <c r="G452" s="274">
        <f>Tabla3[[#This Row],[INGRESOS]]-Tabla3[[#This Row],[EGRESOS]]</f>
        <v>-27000</v>
      </c>
      <c r="H452" s="274"/>
      <c r="I452" s="135">
        <v>1174</v>
      </c>
      <c r="J452" s="136">
        <f>Tabla3[[#This Row],[EGRESOS]]/Tabla3[[#This Row],[TC]]</f>
        <v>22.998296422487222</v>
      </c>
      <c r="K452" s="136">
        <f>Tabla3[[#This Row],[INGRESOS]]/Tabla3[[#This Row],[TC]]</f>
        <v>0</v>
      </c>
      <c r="L452" s="8" t="s">
        <v>376</v>
      </c>
      <c r="M452" s="8" t="s">
        <v>377</v>
      </c>
      <c r="N452" s="8" t="s">
        <v>30</v>
      </c>
      <c r="O452" s="8" t="s">
        <v>184</v>
      </c>
      <c r="P452" s="8" t="s">
        <v>185</v>
      </c>
      <c r="Q452" s="8" t="s">
        <v>186</v>
      </c>
      <c r="R452" s="8" t="s">
        <v>227</v>
      </c>
      <c r="S452" s="8"/>
      <c r="T452" s="8"/>
      <c r="U452" s="8" t="s">
        <v>384</v>
      </c>
      <c r="V452" s="8"/>
      <c r="W452" s="8" t="s">
        <v>380</v>
      </c>
      <c r="X452" s="8" t="s">
        <v>99</v>
      </c>
      <c r="Y452" s="8" t="s">
        <v>23</v>
      </c>
    </row>
    <row r="453" spans="1:25" hidden="1" x14ac:dyDescent="0.25">
      <c r="A453" s="273" t="s">
        <v>317</v>
      </c>
      <c r="B453" s="251">
        <v>45839</v>
      </c>
      <c r="C453" s="252" t="s">
        <v>497</v>
      </c>
      <c r="D453" s="252"/>
      <c r="E453" s="253">
        <v>5670</v>
      </c>
      <c r="F453" s="253">
        <v>0</v>
      </c>
      <c r="G453" s="274">
        <f>Tabla3[[#This Row],[INGRESOS]]-Tabla3[[#This Row],[EGRESOS]]</f>
        <v>-5670</v>
      </c>
      <c r="H453" s="274"/>
      <c r="I453" s="135">
        <v>1175</v>
      </c>
      <c r="J453" s="136">
        <f>Tabla3[[#This Row],[EGRESOS]]/Tabla3[[#This Row],[TC]]</f>
        <v>4.8255319148936167</v>
      </c>
      <c r="K453" s="136">
        <f>Tabla3[[#This Row],[INGRESOS]]/Tabla3[[#This Row],[TC]]</f>
        <v>0</v>
      </c>
      <c r="L453" s="8" t="s">
        <v>376</v>
      </c>
      <c r="M453" s="8" t="s">
        <v>377</v>
      </c>
      <c r="N453" s="8" t="s">
        <v>30</v>
      </c>
      <c r="O453" s="8" t="s">
        <v>184</v>
      </c>
      <c r="P453" s="8" t="s">
        <v>195</v>
      </c>
      <c r="Q453" s="8" t="s">
        <v>196</v>
      </c>
      <c r="R453" s="8" t="s">
        <v>382</v>
      </c>
      <c r="S453" s="8" t="s">
        <v>383</v>
      </c>
      <c r="T453" s="8"/>
      <c r="U453" s="8" t="s">
        <v>384</v>
      </c>
      <c r="V453" s="8"/>
      <c r="W453" s="8" t="s">
        <v>380</v>
      </c>
      <c r="X453" s="8" t="s">
        <v>99</v>
      </c>
      <c r="Y453" s="8" t="s">
        <v>23</v>
      </c>
    </row>
    <row r="454" spans="1:25" hidden="1" x14ac:dyDescent="0.25">
      <c r="A454" s="273" t="s">
        <v>317</v>
      </c>
      <c r="B454" s="251">
        <v>45839</v>
      </c>
      <c r="C454" s="252" t="s">
        <v>498</v>
      </c>
      <c r="D454" s="252"/>
      <c r="E454" s="253">
        <v>810</v>
      </c>
      <c r="F454" s="253">
        <v>0</v>
      </c>
      <c r="G454" s="274">
        <f>Tabla3[[#This Row],[INGRESOS]]-Tabla3[[#This Row],[EGRESOS]]</f>
        <v>-810</v>
      </c>
      <c r="H454" s="274"/>
      <c r="I454" s="135">
        <v>1176</v>
      </c>
      <c r="J454" s="136">
        <f>Tabla3[[#This Row],[EGRESOS]]/Tabla3[[#This Row],[TC]]</f>
        <v>0.68877551020408168</v>
      </c>
      <c r="K454" s="136">
        <f>Tabla3[[#This Row],[INGRESOS]]/Tabla3[[#This Row],[TC]]</f>
        <v>0</v>
      </c>
      <c r="L454" s="8" t="s">
        <v>376</v>
      </c>
      <c r="M454" s="8" t="s">
        <v>377</v>
      </c>
      <c r="N454" s="8" t="s">
        <v>30</v>
      </c>
      <c r="O454" s="8" t="s">
        <v>184</v>
      </c>
      <c r="P454" s="8" t="s">
        <v>195</v>
      </c>
      <c r="Q454" s="8" t="s">
        <v>196</v>
      </c>
      <c r="R454" s="8" t="s">
        <v>499</v>
      </c>
      <c r="S454" s="8" t="s">
        <v>383</v>
      </c>
      <c r="T454" s="8"/>
      <c r="U454" s="8" t="s">
        <v>384</v>
      </c>
      <c r="V454" s="8"/>
      <c r="W454" s="8" t="s">
        <v>380</v>
      </c>
      <c r="X454" s="8" t="s">
        <v>99</v>
      </c>
      <c r="Y454" s="8" t="s">
        <v>23</v>
      </c>
    </row>
    <row r="455" spans="1:25" hidden="1" x14ac:dyDescent="0.25">
      <c r="A455" s="273" t="s">
        <v>317</v>
      </c>
      <c r="B455" s="251">
        <v>45839</v>
      </c>
      <c r="C455" s="252" t="s">
        <v>500</v>
      </c>
      <c r="D455" s="252"/>
      <c r="E455" s="253">
        <v>162</v>
      </c>
      <c r="F455" s="253">
        <v>0</v>
      </c>
      <c r="G455" s="274">
        <f>Tabla3[[#This Row],[INGRESOS]]-Tabla3[[#This Row],[EGRESOS]]</f>
        <v>-162</v>
      </c>
      <c r="H455" s="274"/>
      <c r="I455" s="135">
        <v>1177</v>
      </c>
      <c r="J455" s="136">
        <f>Tabla3[[#This Row],[EGRESOS]]/Tabla3[[#This Row],[TC]]</f>
        <v>0.13763806287170774</v>
      </c>
      <c r="K455" s="136">
        <f>Tabla3[[#This Row],[INGRESOS]]/Tabla3[[#This Row],[TC]]</f>
        <v>0</v>
      </c>
      <c r="L455" s="8" t="s">
        <v>376</v>
      </c>
      <c r="M455" s="8" t="s">
        <v>377</v>
      </c>
      <c r="N455" s="8" t="s">
        <v>30</v>
      </c>
      <c r="O455" s="8" t="s">
        <v>184</v>
      </c>
      <c r="P455" s="8" t="s">
        <v>195</v>
      </c>
      <c r="Q455" s="8" t="s">
        <v>196</v>
      </c>
      <c r="R455" s="8" t="s">
        <v>394</v>
      </c>
      <c r="S455" s="8" t="s">
        <v>383</v>
      </c>
      <c r="T455" s="8"/>
      <c r="U455" s="8" t="s">
        <v>384</v>
      </c>
      <c r="V455" s="8"/>
      <c r="W455" s="8" t="s">
        <v>380</v>
      </c>
      <c r="X455" s="8" t="s">
        <v>99</v>
      </c>
      <c r="Y455" s="8" t="s">
        <v>23</v>
      </c>
    </row>
    <row r="456" spans="1:25" hidden="1" x14ac:dyDescent="0.25">
      <c r="A456" s="273" t="s">
        <v>317</v>
      </c>
      <c r="B456" s="251">
        <v>45839</v>
      </c>
      <c r="C456" s="252" t="s">
        <v>500</v>
      </c>
      <c r="D456" s="252"/>
      <c r="E456" s="253">
        <v>34.020000000000003</v>
      </c>
      <c r="F456" s="253">
        <v>0</v>
      </c>
      <c r="G456" s="274">
        <f>Tabla3[[#This Row],[INGRESOS]]-Tabla3[[#This Row],[EGRESOS]]</f>
        <v>-34.020000000000003</v>
      </c>
      <c r="H456" s="274"/>
      <c r="I456" s="135">
        <v>1178</v>
      </c>
      <c r="J456" s="136">
        <f>Tabla3[[#This Row],[EGRESOS]]/Tabla3[[#This Row],[TC]]</f>
        <v>2.8879456706281836E-2</v>
      </c>
      <c r="K456" s="136">
        <f>Tabla3[[#This Row],[INGRESOS]]/Tabla3[[#This Row],[TC]]</f>
        <v>0</v>
      </c>
      <c r="L456" s="8" t="s">
        <v>376</v>
      </c>
      <c r="M456" s="8" t="s">
        <v>377</v>
      </c>
      <c r="N456" s="8" t="s">
        <v>30</v>
      </c>
      <c r="O456" s="8" t="s">
        <v>184</v>
      </c>
      <c r="P456" s="8" t="s">
        <v>195</v>
      </c>
      <c r="Q456" s="8" t="s">
        <v>196</v>
      </c>
      <c r="R456" s="8" t="s">
        <v>394</v>
      </c>
      <c r="S456" s="8" t="s">
        <v>383</v>
      </c>
      <c r="T456" s="8"/>
      <c r="U456" s="8" t="s">
        <v>384</v>
      </c>
      <c r="V456" s="8"/>
      <c r="W456" s="8" t="s">
        <v>380</v>
      </c>
      <c r="X456" s="8" t="s">
        <v>99</v>
      </c>
      <c r="Y456" s="8" t="s">
        <v>23</v>
      </c>
    </row>
    <row r="457" spans="1:25" hidden="1" x14ac:dyDescent="0.25">
      <c r="A457" s="273" t="s">
        <v>317</v>
      </c>
      <c r="B457" s="251">
        <v>45839</v>
      </c>
      <c r="C457" s="252" t="s">
        <v>500</v>
      </c>
      <c r="D457" s="252"/>
      <c r="E457" s="253">
        <v>4.8600000000000003</v>
      </c>
      <c r="F457" s="253">
        <v>0</v>
      </c>
      <c r="G457" s="274">
        <f>Tabla3[[#This Row],[INGRESOS]]-Tabla3[[#This Row],[EGRESOS]]</f>
        <v>-4.8600000000000003</v>
      </c>
      <c r="H457" s="274">
        <v>29775</v>
      </c>
      <c r="I457" s="135">
        <v>1179</v>
      </c>
      <c r="J457" s="136">
        <f>Tabla3[[#This Row],[EGRESOS]]/Tabla3[[#This Row],[TC]]</f>
        <v>4.1221374045801529E-3</v>
      </c>
      <c r="K457" s="136">
        <f>Tabla3[[#This Row],[INGRESOS]]/Tabla3[[#This Row],[TC]]</f>
        <v>0</v>
      </c>
      <c r="L457" s="8" t="s">
        <v>376</v>
      </c>
      <c r="M457" s="8" t="s">
        <v>377</v>
      </c>
      <c r="N457" s="8" t="s">
        <v>30</v>
      </c>
      <c r="O457" s="8" t="s">
        <v>184</v>
      </c>
      <c r="P457" s="8" t="s">
        <v>195</v>
      </c>
      <c r="Q457" s="8" t="s">
        <v>196</v>
      </c>
      <c r="R457" s="8" t="s">
        <v>394</v>
      </c>
      <c r="S457" s="8" t="s">
        <v>383</v>
      </c>
      <c r="T457" s="8"/>
      <c r="U457" s="8" t="s">
        <v>384</v>
      </c>
      <c r="V457" s="8"/>
      <c r="W457" s="8" t="s">
        <v>380</v>
      </c>
      <c r="X457" s="8" t="s">
        <v>99</v>
      </c>
      <c r="Y457" s="8" t="s">
        <v>23</v>
      </c>
    </row>
    <row r="458" spans="1:25" hidden="1" x14ac:dyDescent="0.25">
      <c r="A458" s="273" t="s">
        <v>317</v>
      </c>
      <c r="B458" s="251">
        <v>45840</v>
      </c>
      <c r="C458" s="252" t="s">
        <v>528</v>
      </c>
      <c r="D458" s="252"/>
      <c r="E458" s="253">
        <v>0</v>
      </c>
      <c r="F458" s="253">
        <v>50000</v>
      </c>
      <c r="G458" s="274">
        <f>Tabla3[[#This Row],[INGRESOS]]-Tabla3[[#This Row],[EGRESOS]]</f>
        <v>50000</v>
      </c>
      <c r="H458" s="274">
        <v>29777.05</v>
      </c>
      <c r="I458" s="135">
        <v>1180</v>
      </c>
      <c r="J458" s="136">
        <f>Tabla3[[#This Row],[EGRESOS]]/Tabla3[[#This Row],[TC]]</f>
        <v>0</v>
      </c>
      <c r="K458" s="136">
        <f>Tabla3[[#This Row],[INGRESOS]]/Tabla3[[#This Row],[TC]]</f>
        <v>42.372881355932201</v>
      </c>
      <c r="L458" s="8" t="s">
        <v>376</v>
      </c>
      <c r="M458" s="8" t="s">
        <v>377</v>
      </c>
      <c r="N458" s="8" t="s">
        <v>30</v>
      </c>
      <c r="O458" s="8" t="s">
        <v>244</v>
      </c>
      <c r="P458" s="8" t="s">
        <v>259</v>
      </c>
      <c r="Q458" s="8" t="s">
        <v>260</v>
      </c>
      <c r="R458" s="8" t="s">
        <v>405</v>
      </c>
      <c r="S458" s="8"/>
      <c r="T458" s="8"/>
      <c r="U458" s="8" t="s">
        <v>379</v>
      </c>
      <c r="V458" s="8"/>
      <c r="W458" s="8"/>
      <c r="X458" s="8"/>
      <c r="Y458" s="8"/>
    </row>
    <row r="459" spans="1:25" hidden="1" x14ac:dyDescent="0.25">
      <c r="A459" s="273" t="s">
        <v>317</v>
      </c>
      <c r="B459" s="251">
        <v>45863</v>
      </c>
      <c r="C459" s="252" t="s">
        <v>202</v>
      </c>
      <c r="D459" s="252"/>
      <c r="E459" s="253">
        <v>6050</v>
      </c>
      <c r="F459" s="253">
        <v>0</v>
      </c>
      <c r="G459" s="274">
        <f>Tabla3[[#This Row],[INGRESOS]]-Tabla3[[#This Row],[EGRESOS]]</f>
        <v>-6050</v>
      </c>
      <c r="H459" s="337"/>
      <c r="I459" s="135">
        <v>1181</v>
      </c>
      <c r="J459" s="136">
        <f>Tabla3[[#This Row],[EGRESOS]]/Tabla3[[#This Row],[TC]]</f>
        <v>5.1227773073666381</v>
      </c>
      <c r="K459" s="136">
        <f>Tabla3[[#This Row],[INGRESOS]]/Tabla3[[#This Row],[TC]]</f>
        <v>0</v>
      </c>
      <c r="L459" s="8" t="s">
        <v>376</v>
      </c>
      <c r="M459" s="8" t="s">
        <v>377</v>
      </c>
      <c r="N459" s="8" t="s">
        <v>30</v>
      </c>
      <c r="O459" s="8" t="s">
        <v>184</v>
      </c>
      <c r="P459" s="8" t="s">
        <v>195</v>
      </c>
      <c r="Q459" s="8" t="s">
        <v>196</v>
      </c>
      <c r="R459" s="8" t="s">
        <v>394</v>
      </c>
      <c r="S459" s="8" t="s">
        <v>383</v>
      </c>
      <c r="T459" s="8"/>
      <c r="U459" s="8" t="s">
        <v>384</v>
      </c>
      <c r="V459" s="8"/>
      <c r="W459" s="8" t="s">
        <v>380</v>
      </c>
      <c r="X459" s="8" t="s">
        <v>99</v>
      </c>
      <c r="Y459" s="8" t="s">
        <v>23</v>
      </c>
    </row>
    <row r="460" spans="1:25" hidden="1" x14ac:dyDescent="0.25">
      <c r="A460" s="273" t="s">
        <v>317</v>
      </c>
      <c r="B460" s="251">
        <v>45863</v>
      </c>
      <c r="C460" s="252" t="s">
        <v>500</v>
      </c>
      <c r="D460" s="252"/>
      <c r="E460" s="253">
        <v>36.299999999999997</v>
      </c>
      <c r="F460" s="253">
        <v>0</v>
      </c>
      <c r="G460" s="274">
        <f>Tabla3[[#This Row],[INGRESOS]]-Tabla3[[#This Row],[EGRESOS]]</f>
        <v>-36.299999999999997</v>
      </c>
      <c r="H460" s="274">
        <v>17164.439999999999</v>
      </c>
      <c r="I460" s="135">
        <v>1182</v>
      </c>
      <c r="J460" s="136">
        <f>Tabla3[[#This Row],[EGRESOS]]/Tabla3[[#This Row],[TC]]</f>
        <v>3.0710659898477155E-2</v>
      </c>
      <c r="K460" s="136">
        <f>Tabla3[[#This Row],[INGRESOS]]/Tabla3[[#This Row],[TC]]</f>
        <v>0</v>
      </c>
      <c r="L460" s="8" t="s">
        <v>376</v>
      </c>
      <c r="M460" s="8" t="s">
        <v>377</v>
      </c>
      <c r="N460" s="8" t="s">
        <v>30</v>
      </c>
      <c r="O460" s="8" t="s">
        <v>184</v>
      </c>
      <c r="P460" s="8" t="s">
        <v>195</v>
      </c>
      <c r="Q460" s="8" t="s">
        <v>196</v>
      </c>
      <c r="R460" s="8" t="s">
        <v>394</v>
      </c>
      <c r="S460" s="8" t="s">
        <v>383</v>
      </c>
      <c r="T460" s="8"/>
      <c r="U460" s="8" t="s">
        <v>384</v>
      </c>
      <c r="V460" s="8"/>
      <c r="W460" s="8" t="s">
        <v>380</v>
      </c>
      <c r="X460" s="8" t="s">
        <v>99</v>
      </c>
      <c r="Y460" s="8" t="s">
        <v>23</v>
      </c>
    </row>
    <row r="461" spans="1:25" hidden="1" x14ac:dyDescent="0.25">
      <c r="A461" s="273" t="s">
        <v>317</v>
      </c>
      <c r="B461" s="251">
        <v>45867</v>
      </c>
      <c r="C461" s="252" t="s">
        <v>443</v>
      </c>
      <c r="D461" s="252"/>
      <c r="E461" s="253">
        <v>4616.59</v>
      </c>
      <c r="F461" s="253">
        <v>0</v>
      </c>
      <c r="G461" s="274">
        <f>Tabla3[[#This Row],[INGRESOS]]-Tabla3[[#This Row],[EGRESOS]]</f>
        <v>-4616.59</v>
      </c>
      <c r="H461" s="274"/>
      <c r="I461" s="135">
        <v>1290</v>
      </c>
      <c r="J461" s="136">
        <f>Tabla3[[#This Row],[EGRESOS]]/Tabla3[[#This Row],[TC]]</f>
        <v>3.5787519379844963</v>
      </c>
      <c r="K461" s="136">
        <f>Tabla3[[#This Row],[INGRESOS]]/Tabla3[[#This Row],[TC]]</f>
        <v>0</v>
      </c>
      <c r="L461" s="8" t="s">
        <v>376</v>
      </c>
      <c r="M461" s="8" t="s">
        <v>377</v>
      </c>
      <c r="N461" s="8" t="s">
        <v>30</v>
      </c>
      <c r="O461" s="8" t="s">
        <v>184</v>
      </c>
      <c r="P461" s="8" t="s">
        <v>197</v>
      </c>
      <c r="Q461" s="8" t="s">
        <v>198</v>
      </c>
      <c r="R461" s="8" t="s">
        <v>419</v>
      </c>
      <c r="S461" s="8"/>
      <c r="T461" s="8"/>
      <c r="U461" s="8" t="s">
        <v>384</v>
      </c>
      <c r="V461" s="8"/>
      <c r="W461" s="8" t="s">
        <v>380</v>
      </c>
      <c r="X461" s="8" t="s">
        <v>99</v>
      </c>
      <c r="Y461" s="8" t="s">
        <v>23</v>
      </c>
    </row>
    <row r="462" spans="1:25" hidden="1" x14ac:dyDescent="0.25">
      <c r="A462" s="273" t="s">
        <v>317</v>
      </c>
      <c r="B462" s="251">
        <v>45867</v>
      </c>
      <c r="C462" s="252" t="s">
        <v>443</v>
      </c>
      <c r="D462" s="252"/>
      <c r="E462" s="253">
        <v>1909.72</v>
      </c>
      <c r="F462" s="253">
        <v>0</v>
      </c>
      <c r="G462" s="274">
        <f>Tabla3[[#This Row],[INGRESOS]]-Tabla3[[#This Row],[EGRESOS]]</f>
        <v>-1909.72</v>
      </c>
      <c r="H462" s="274"/>
      <c r="I462" s="135">
        <v>1290</v>
      </c>
      <c r="J462" s="136">
        <f>Tabla3[[#This Row],[EGRESOS]]/Tabla3[[#This Row],[TC]]</f>
        <v>1.4804031007751939</v>
      </c>
      <c r="K462" s="136">
        <f>Tabla3[[#This Row],[INGRESOS]]/Tabla3[[#This Row],[TC]]</f>
        <v>0</v>
      </c>
      <c r="L462" s="8" t="s">
        <v>376</v>
      </c>
      <c r="M462" s="8" t="s">
        <v>377</v>
      </c>
      <c r="N462" s="8" t="s">
        <v>30</v>
      </c>
      <c r="O462" s="8" t="s">
        <v>184</v>
      </c>
      <c r="P462" s="8" t="s">
        <v>197</v>
      </c>
      <c r="Q462" s="8" t="s">
        <v>198</v>
      </c>
      <c r="R462" s="8" t="s">
        <v>419</v>
      </c>
      <c r="S462" s="8"/>
      <c r="T462" s="8"/>
      <c r="U462" s="8" t="s">
        <v>384</v>
      </c>
      <c r="V462" s="8"/>
      <c r="W462" s="8" t="s">
        <v>380</v>
      </c>
      <c r="X462" s="8" t="s">
        <v>99</v>
      </c>
      <c r="Y462" s="8" t="s">
        <v>23</v>
      </c>
    </row>
    <row r="463" spans="1:25" hidden="1" x14ac:dyDescent="0.25">
      <c r="A463" s="273" t="s">
        <v>317</v>
      </c>
      <c r="B463" s="251">
        <v>45867</v>
      </c>
      <c r="C463" s="252" t="s">
        <v>500</v>
      </c>
      <c r="D463" s="252"/>
      <c r="E463" s="253">
        <v>27.7</v>
      </c>
      <c r="F463" s="253">
        <v>0</v>
      </c>
      <c r="G463" s="274">
        <f>Tabla3[[#This Row],[INGRESOS]]-Tabla3[[#This Row],[EGRESOS]]</f>
        <v>-27.7</v>
      </c>
      <c r="H463" s="337"/>
      <c r="I463" s="135">
        <v>1290</v>
      </c>
      <c r="J463" s="136">
        <f>Tabla3[[#This Row],[EGRESOS]]/Tabla3[[#This Row],[TC]]</f>
        <v>2.1472868217054263E-2</v>
      </c>
      <c r="K463" s="136">
        <f>Tabla3[[#This Row],[INGRESOS]]/Tabla3[[#This Row],[TC]]</f>
        <v>0</v>
      </c>
      <c r="L463" s="8" t="s">
        <v>376</v>
      </c>
      <c r="M463" s="8" t="s">
        <v>377</v>
      </c>
      <c r="N463" s="8" t="s">
        <v>30</v>
      </c>
      <c r="O463" s="8" t="s">
        <v>184</v>
      </c>
      <c r="P463" s="8" t="s">
        <v>195</v>
      </c>
      <c r="Q463" s="8" t="s">
        <v>196</v>
      </c>
      <c r="R463" s="8" t="s">
        <v>394</v>
      </c>
      <c r="S463" s="8" t="s">
        <v>383</v>
      </c>
      <c r="T463" s="8"/>
      <c r="U463" s="8" t="s">
        <v>384</v>
      </c>
      <c r="V463" s="8"/>
      <c r="W463" s="8" t="s">
        <v>380</v>
      </c>
      <c r="X463" s="8" t="s">
        <v>99</v>
      </c>
      <c r="Y463" s="8" t="s">
        <v>23</v>
      </c>
    </row>
    <row r="464" spans="1:25" hidden="1" x14ac:dyDescent="0.25">
      <c r="A464" s="273" t="s">
        <v>317</v>
      </c>
      <c r="B464" s="251">
        <v>45867</v>
      </c>
      <c r="C464" s="252" t="s">
        <v>500</v>
      </c>
      <c r="D464" s="252"/>
      <c r="E464" s="253">
        <v>11.46</v>
      </c>
      <c r="F464" s="253">
        <v>0</v>
      </c>
      <c r="G464" s="274">
        <f>Tabla3[[#This Row],[INGRESOS]]-Tabla3[[#This Row],[EGRESOS]]</f>
        <v>-11.46</v>
      </c>
      <c r="H464" s="337"/>
      <c r="I464" s="135">
        <v>1290</v>
      </c>
      <c r="J464" s="136">
        <f>Tabla3[[#This Row],[EGRESOS]]/Tabla3[[#This Row],[TC]]</f>
        <v>8.8837209302325588E-3</v>
      </c>
      <c r="K464" s="136">
        <f>Tabla3[[#This Row],[INGRESOS]]/Tabla3[[#This Row],[TC]]</f>
        <v>0</v>
      </c>
      <c r="L464" s="8" t="s">
        <v>376</v>
      </c>
      <c r="M464" s="8" t="s">
        <v>377</v>
      </c>
      <c r="N464" s="8" t="s">
        <v>30</v>
      </c>
      <c r="O464" s="8" t="s">
        <v>184</v>
      </c>
      <c r="P464" s="8" t="s">
        <v>195</v>
      </c>
      <c r="Q464" s="8" t="s">
        <v>196</v>
      </c>
      <c r="R464" s="8" t="s">
        <v>394</v>
      </c>
      <c r="S464" s="8" t="s">
        <v>383</v>
      </c>
      <c r="T464" s="8"/>
      <c r="U464" s="8" t="s">
        <v>384</v>
      </c>
      <c r="V464" s="8"/>
      <c r="W464" s="8" t="s">
        <v>380</v>
      </c>
      <c r="X464" s="8" t="s">
        <v>99</v>
      </c>
      <c r="Y464" s="8" t="s">
        <v>23</v>
      </c>
    </row>
    <row r="465" spans="1:25" hidden="1" x14ac:dyDescent="0.25">
      <c r="A465" s="273" t="str">
        <f>"AGOSTO"</f>
        <v>AGOSTO</v>
      </c>
      <c r="B465" s="251">
        <v>45870</v>
      </c>
      <c r="C465" s="252" t="s">
        <v>496</v>
      </c>
      <c r="D465" s="252"/>
      <c r="E465" s="253">
        <v>43000</v>
      </c>
      <c r="F465" s="253">
        <v>0</v>
      </c>
      <c r="G465" s="274">
        <f>Tabla3[[#This Row],[INGRESOS]]-Tabla3[[#This Row],[EGRESOS]]</f>
        <v>-43000</v>
      </c>
      <c r="H465" s="337"/>
      <c r="I465" s="135">
        <v>1290</v>
      </c>
      <c r="J465" s="136">
        <f>Tabla3[[#This Row],[EGRESOS]]/Tabla3[[#This Row],[TC]]</f>
        <v>33.333333333333336</v>
      </c>
      <c r="K465" s="136">
        <f>Tabla3[[#This Row],[INGRESOS]]/Tabla3[[#This Row],[TC]]</f>
        <v>0</v>
      </c>
      <c r="L465" s="8" t="s">
        <v>376</v>
      </c>
      <c r="M465" s="8" t="s">
        <v>377</v>
      </c>
      <c r="N465" s="8" t="s">
        <v>30</v>
      </c>
      <c r="O465" s="8" t="s">
        <v>184</v>
      </c>
      <c r="P465" s="8" t="s">
        <v>185</v>
      </c>
      <c r="Q465" s="8" t="s">
        <v>186</v>
      </c>
      <c r="R465" s="8" t="s">
        <v>227</v>
      </c>
      <c r="S465" s="8"/>
      <c r="T465" s="8"/>
      <c r="U465" s="8" t="s">
        <v>384</v>
      </c>
      <c r="V465" s="8"/>
      <c r="W465" s="8" t="s">
        <v>380</v>
      </c>
      <c r="X465" s="8" t="s">
        <v>99</v>
      </c>
      <c r="Y465" s="8" t="s">
        <v>23</v>
      </c>
    </row>
    <row r="466" spans="1:25" hidden="1" x14ac:dyDescent="0.25">
      <c r="A466" s="273" t="s">
        <v>318</v>
      </c>
      <c r="B466" s="251">
        <v>45870</v>
      </c>
      <c r="C466" s="252" t="s">
        <v>497</v>
      </c>
      <c r="D466" s="252"/>
      <c r="E466" s="253">
        <v>9030</v>
      </c>
      <c r="F466" s="253">
        <v>0</v>
      </c>
      <c r="G466" s="274">
        <f>Tabla3[[#This Row],[INGRESOS]]-Tabla3[[#This Row],[EGRESOS]]</f>
        <v>-9030</v>
      </c>
      <c r="H466" s="337"/>
      <c r="I466" s="135">
        <v>1290</v>
      </c>
      <c r="J466" s="136">
        <f>Tabla3[[#This Row],[EGRESOS]]/Tabla3[[#This Row],[TC]]</f>
        <v>7</v>
      </c>
      <c r="K466" s="136">
        <f>Tabla3[[#This Row],[INGRESOS]]/Tabla3[[#This Row],[TC]]</f>
        <v>0</v>
      </c>
      <c r="L466" s="8" t="s">
        <v>376</v>
      </c>
      <c r="M466" s="8" t="s">
        <v>377</v>
      </c>
      <c r="N466" s="8" t="s">
        <v>30</v>
      </c>
      <c r="O466" s="8" t="s">
        <v>184</v>
      </c>
      <c r="P466" s="8" t="s">
        <v>195</v>
      </c>
      <c r="Q466" s="8" t="s">
        <v>196</v>
      </c>
      <c r="R466" s="8" t="s">
        <v>382</v>
      </c>
      <c r="S466" s="8" t="s">
        <v>383</v>
      </c>
      <c r="T466" s="8"/>
      <c r="U466" s="8" t="s">
        <v>384</v>
      </c>
      <c r="V466" s="8"/>
      <c r="W466" s="8" t="s">
        <v>380</v>
      </c>
      <c r="X466" s="8" t="s">
        <v>99</v>
      </c>
      <c r="Y466" s="8" t="s">
        <v>23</v>
      </c>
    </row>
    <row r="467" spans="1:25" hidden="1" x14ac:dyDescent="0.25">
      <c r="A467" s="273" t="s">
        <v>318</v>
      </c>
      <c r="B467" s="251">
        <v>45870</v>
      </c>
      <c r="C467" s="252" t="s">
        <v>498</v>
      </c>
      <c r="D467" s="252"/>
      <c r="E467" s="253">
        <v>1290</v>
      </c>
      <c r="F467" s="253">
        <v>0</v>
      </c>
      <c r="G467" s="274">
        <f>Tabla3[[#This Row],[INGRESOS]]-Tabla3[[#This Row],[EGRESOS]]</f>
        <v>-1290</v>
      </c>
      <c r="H467" s="274"/>
      <c r="I467" s="135">
        <v>1290</v>
      </c>
      <c r="J467" s="136">
        <f>Tabla3[[#This Row],[EGRESOS]]/Tabla3[[#This Row],[TC]]</f>
        <v>1</v>
      </c>
      <c r="K467" s="136">
        <f>Tabla3[[#This Row],[INGRESOS]]/Tabla3[[#This Row],[TC]]</f>
        <v>0</v>
      </c>
      <c r="L467" s="8" t="s">
        <v>376</v>
      </c>
      <c r="M467" s="8" t="s">
        <v>377</v>
      </c>
      <c r="N467" s="8" t="s">
        <v>30</v>
      </c>
      <c r="O467" s="8" t="s">
        <v>184</v>
      </c>
      <c r="P467" s="8" t="s">
        <v>195</v>
      </c>
      <c r="Q467" s="8" t="s">
        <v>196</v>
      </c>
      <c r="R467" s="8" t="s">
        <v>499</v>
      </c>
      <c r="S467" s="8" t="s">
        <v>383</v>
      </c>
      <c r="T467" s="8"/>
      <c r="U467" s="8" t="s">
        <v>384</v>
      </c>
      <c r="V467" s="8"/>
      <c r="W467" s="8" t="s">
        <v>380</v>
      </c>
      <c r="X467" s="8" t="s">
        <v>99</v>
      </c>
      <c r="Y467" s="8" t="s">
        <v>23</v>
      </c>
    </row>
    <row r="468" spans="1:25" hidden="1" x14ac:dyDescent="0.25">
      <c r="A468" s="273" t="s">
        <v>318</v>
      </c>
      <c r="B468" s="251">
        <v>45870</v>
      </c>
      <c r="C468" s="252" t="s">
        <v>500</v>
      </c>
      <c r="D468" s="252"/>
      <c r="E468" s="253">
        <v>258</v>
      </c>
      <c r="F468" s="253">
        <v>0</v>
      </c>
      <c r="G468" s="274">
        <f>Tabla3[[#This Row],[INGRESOS]]-Tabla3[[#This Row],[EGRESOS]]</f>
        <v>-258</v>
      </c>
      <c r="H468" s="274"/>
      <c r="I468" s="135">
        <v>1290</v>
      </c>
      <c r="J468" s="136">
        <f>Tabla3[[#This Row],[EGRESOS]]/Tabla3[[#This Row],[TC]]</f>
        <v>0.2</v>
      </c>
      <c r="K468" s="136">
        <f>Tabla3[[#This Row],[INGRESOS]]/Tabla3[[#This Row],[TC]]</f>
        <v>0</v>
      </c>
      <c r="L468" s="8" t="s">
        <v>376</v>
      </c>
      <c r="M468" s="8" t="s">
        <v>377</v>
      </c>
      <c r="N468" s="8" t="s">
        <v>30</v>
      </c>
      <c r="O468" s="8" t="s">
        <v>184</v>
      </c>
      <c r="P468" s="8" t="s">
        <v>195</v>
      </c>
      <c r="Q468" s="8" t="s">
        <v>196</v>
      </c>
      <c r="R468" s="8" t="s">
        <v>394</v>
      </c>
      <c r="S468" s="8" t="s">
        <v>383</v>
      </c>
      <c r="T468" s="8"/>
      <c r="U468" s="8" t="s">
        <v>384</v>
      </c>
      <c r="V468" s="8"/>
      <c r="W468" s="8" t="s">
        <v>380</v>
      </c>
      <c r="X468" s="8" t="s">
        <v>99</v>
      </c>
      <c r="Y468" s="8" t="s">
        <v>23</v>
      </c>
    </row>
    <row r="469" spans="1:25" hidden="1" x14ac:dyDescent="0.25">
      <c r="A469" s="273" t="s">
        <v>318</v>
      </c>
      <c r="B469" s="251">
        <v>45870</v>
      </c>
      <c r="C469" s="252" t="s">
        <v>500</v>
      </c>
      <c r="D469" s="252"/>
      <c r="E469" s="253">
        <v>54.18</v>
      </c>
      <c r="F469" s="253">
        <v>0</v>
      </c>
      <c r="G469" s="274">
        <f>Tabla3[[#This Row],[INGRESOS]]-Tabla3[[#This Row],[EGRESOS]]</f>
        <v>-54.18</v>
      </c>
      <c r="H469" s="274"/>
      <c r="I469" s="135">
        <v>1290</v>
      </c>
      <c r="J469" s="136">
        <f>Tabla3[[#This Row],[EGRESOS]]/Tabla3[[#This Row],[TC]]</f>
        <v>4.2000000000000003E-2</v>
      </c>
      <c r="K469" s="136">
        <f>Tabla3[[#This Row],[INGRESOS]]/Tabla3[[#This Row],[TC]]</f>
        <v>0</v>
      </c>
      <c r="L469" s="8" t="s">
        <v>376</v>
      </c>
      <c r="M469" s="8" t="s">
        <v>377</v>
      </c>
      <c r="N469" s="8" t="s">
        <v>30</v>
      </c>
      <c r="O469" s="8" t="s">
        <v>184</v>
      </c>
      <c r="P469" s="8" t="s">
        <v>195</v>
      </c>
      <c r="Q469" s="8" t="s">
        <v>196</v>
      </c>
      <c r="R469" s="8" t="s">
        <v>394</v>
      </c>
      <c r="S469" s="8" t="s">
        <v>383</v>
      </c>
      <c r="T469" s="8"/>
      <c r="U469" s="8" t="s">
        <v>384</v>
      </c>
      <c r="V469" s="8"/>
      <c r="W469" s="8" t="s">
        <v>380</v>
      </c>
      <c r="X469" s="8" t="s">
        <v>99</v>
      </c>
      <c r="Y469" s="8" t="s">
        <v>23</v>
      </c>
    </row>
    <row r="470" spans="1:25" hidden="1" x14ac:dyDescent="0.25">
      <c r="A470" s="273" t="s">
        <v>318</v>
      </c>
      <c r="B470" s="251">
        <v>45870</v>
      </c>
      <c r="C470" s="252" t="s">
        <v>500</v>
      </c>
      <c r="D470" s="252"/>
      <c r="E470" s="253">
        <v>7.74</v>
      </c>
      <c r="F470" s="253">
        <v>0</v>
      </c>
      <c r="G470" s="274">
        <f>Tabla3[[#This Row],[INGRESOS]]-Tabla3[[#This Row],[EGRESOS]]</f>
        <v>-7.74</v>
      </c>
      <c r="H470" s="274">
        <v>-36514.639999999999</v>
      </c>
      <c r="I470" s="135">
        <v>1290</v>
      </c>
      <c r="J470" s="136">
        <f>Tabla3[[#This Row],[EGRESOS]]/Tabla3[[#This Row],[TC]]</f>
        <v>6.0000000000000001E-3</v>
      </c>
      <c r="K470" s="136">
        <f>Tabla3[[#This Row],[INGRESOS]]/Tabla3[[#This Row],[TC]]</f>
        <v>0</v>
      </c>
      <c r="L470" s="8" t="s">
        <v>376</v>
      </c>
      <c r="M470" s="8" t="s">
        <v>377</v>
      </c>
      <c r="N470" s="8" t="s">
        <v>30</v>
      </c>
      <c r="O470" s="8" t="s">
        <v>184</v>
      </c>
      <c r="P470" s="8" t="s">
        <v>195</v>
      </c>
      <c r="Q470" s="8" t="s">
        <v>196</v>
      </c>
      <c r="R470" s="8" t="s">
        <v>394</v>
      </c>
      <c r="S470" s="8" t="s">
        <v>383</v>
      </c>
      <c r="T470" s="8"/>
      <c r="U470" s="8" t="s">
        <v>384</v>
      </c>
      <c r="V470" s="8"/>
      <c r="W470" s="8" t="s">
        <v>380</v>
      </c>
      <c r="X470" s="8" t="s">
        <v>99</v>
      </c>
      <c r="Y470" s="8" t="s">
        <v>23</v>
      </c>
    </row>
    <row r="471" spans="1:25" hidden="1" x14ac:dyDescent="0.25">
      <c r="A471" s="273" t="s">
        <v>318</v>
      </c>
      <c r="B471" s="251">
        <v>45875</v>
      </c>
      <c r="C471" s="252" t="s">
        <v>546</v>
      </c>
      <c r="D471" s="252"/>
      <c r="E471" s="253">
        <v>0</v>
      </c>
      <c r="F471" s="253">
        <v>50000</v>
      </c>
      <c r="G471" s="274">
        <f>Tabla3[[#This Row],[INGRESOS]]-Tabla3[[#This Row],[EGRESOS]]</f>
        <v>50000</v>
      </c>
      <c r="H471" s="274"/>
      <c r="I471" s="135">
        <v>1290</v>
      </c>
      <c r="J471" s="136">
        <f>Tabla3[[#This Row],[EGRESOS]]/Tabla3[[#This Row],[TC]]</f>
        <v>0</v>
      </c>
      <c r="K471" s="136">
        <f>Tabla3[[#This Row],[INGRESOS]]/Tabla3[[#This Row],[TC]]</f>
        <v>38.759689922480618</v>
      </c>
      <c r="L471" s="8" t="s">
        <v>376</v>
      </c>
      <c r="M471" s="8" t="s">
        <v>377</v>
      </c>
      <c r="N471" s="8" t="s">
        <v>30</v>
      </c>
      <c r="O471" s="8" t="s">
        <v>244</v>
      </c>
      <c r="P471" s="8" t="s">
        <v>259</v>
      </c>
      <c r="Q471" s="8" t="s">
        <v>260</v>
      </c>
      <c r="R471" s="8" t="s">
        <v>405</v>
      </c>
      <c r="S471" s="8"/>
      <c r="T471" s="8"/>
      <c r="U471" s="8" t="s">
        <v>379</v>
      </c>
      <c r="V471" s="8"/>
      <c r="W471" s="8"/>
      <c r="X471" s="8"/>
      <c r="Y471" s="8"/>
    </row>
    <row r="472" spans="1:25" hidden="1" x14ac:dyDescent="0.25">
      <c r="A472" s="273" t="s">
        <v>318</v>
      </c>
      <c r="B472" s="251">
        <v>45877</v>
      </c>
      <c r="C472" s="252" t="s">
        <v>538</v>
      </c>
      <c r="D472" s="252"/>
      <c r="E472" s="253">
        <v>45000</v>
      </c>
      <c r="F472" s="253">
        <v>0</v>
      </c>
      <c r="G472" s="274">
        <f>Tabla3[[#This Row],[INGRESOS]]-Tabla3[[#This Row],[EGRESOS]]</f>
        <v>-45000</v>
      </c>
      <c r="H472" s="274"/>
      <c r="I472" s="135">
        <v>1291</v>
      </c>
      <c r="J472" s="136">
        <f>Tabla3[[#This Row],[EGRESOS]]/Tabla3[[#This Row],[TC]]</f>
        <v>34.856700232378003</v>
      </c>
      <c r="K472" s="136">
        <f>Tabla3[[#This Row],[INGRESOS]]/Tabla3[[#This Row],[TC]]</f>
        <v>0</v>
      </c>
      <c r="L472" s="8" t="s">
        <v>376</v>
      </c>
      <c r="M472" s="8" t="s">
        <v>377</v>
      </c>
      <c r="N472" s="8" t="s">
        <v>30</v>
      </c>
      <c r="O472" s="8" t="s">
        <v>184</v>
      </c>
      <c r="P472" s="8" t="s">
        <v>185</v>
      </c>
      <c r="Q472" s="8" t="s">
        <v>186</v>
      </c>
      <c r="R472" s="8" t="s">
        <v>227</v>
      </c>
      <c r="S472" s="8"/>
      <c r="T472" s="8"/>
      <c r="U472" s="8" t="s">
        <v>384</v>
      </c>
      <c r="V472" s="8"/>
      <c r="W472" s="8" t="s">
        <v>380</v>
      </c>
      <c r="X472" s="8" t="s">
        <v>99</v>
      </c>
      <c r="Y472" s="8" t="s">
        <v>23</v>
      </c>
    </row>
    <row r="473" spans="1:25" hidden="1" x14ac:dyDescent="0.25">
      <c r="A473" s="273" t="s">
        <v>318</v>
      </c>
      <c r="B473" s="251">
        <v>45877</v>
      </c>
      <c r="C473" s="252" t="s">
        <v>497</v>
      </c>
      <c r="D473" s="252"/>
      <c r="E473" s="253">
        <v>9450</v>
      </c>
      <c r="F473" s="253">
        <v>0</v>
      </c>
      <c r="G473" s="274">
        <f>Tabla3[[#This Row],[INGRESOS]]-Tabla3[[#This Row],[EGRESOS]]</f>
        <v>-9450</v>
      </c>
      <c r="H473" s="274"/>
      <c r="I473" s="135">
        <v>1292</v>
      </c>
      <c r="J473" s="136">
        <f>Tabla3[[#This Row],[EGRESOS]]/Tabla3[[#This Row],[TC]]</f>
        <v>7.3142414860681111</v>
      </c>
      <c r="K473" s="136">
        <f>Tabla3[[#This Row],[INGRESOS]]/Tabla3[[#This Row],[TC]]</f>
        <v>0</v>
      </c>
      <c r="L473" s="8" t="s">
        <v>376</v>
      </c>
      <c r="M473" s="8" t="s">
        <v>377</v>
      </c>
      <c r="N473" s="8" t="s">
        <v>30</v>
      </c>
      <c r="O473" s="8" t="s">
        <v>184</v>
      </c>
      <c r="P473" s="8" t="s">
        <v>195</v>
      </c>
      <c r="Q473" s="8" t="s">
        <v>196</v>
      </c>
      <c r="R473" s="8" t="s">
        <v>382</v>
      </c>
      <c r="S473" s="8" t="s">
        <v>383</v>
      </c>
      <c r="T473" s="8"/>
      <c r="U473" s="8" t="s">
        <v>384</v>
      </c>
      <c r="V473" s="8"/>
      <c r="W473" s="8" t="s">
        <v>380</v>
      </c>
      <c r="X473" s="8" t="s">
        <v>99</v>
      </c>
      <c r="Y473" s="8" t="s">
        <v>23</v>
      </c>
    </row>
    <row r="474" spans="1:25" hidden="1" x14ac:dyDescent="0.25">
      <c r="A474" s="273" t="s">
        <v>318</v>
      </c>
      <c r="B474" s="251">
        <v>45877</v>
      </c>
      <c r="C474" s="252" t="s">
        <v>498</v>
      </c>
      <c r="D474" s="252"/>
      <c r="E474" s="253">
        <v>1350</v>
      </c>
      <c r="F474" s="253">
        <v>0</v>
      </c>
      <c r="G474" s="274">
        <f>Tabla3[[#This Row],[INGRESOS]]-Tabla3[[#This Row],[EGRESOS]]</f>
        <v>-1350</v>
      </c>
      <c r="H474" s="137"/>
      <c r="I474" s="135">
        <v>1293</v>
      </c>
      <c r="J474" s="136">
        <f>Tabla3[[#This Row],[EGRESOS]]/Tabla3[[#This Row],[TC]]</f>
        <v>1.0440835266821347</v>
      </c>
      <c r="K474" s="136">
        <f>Tabla3[[#This Row],[INGRESOS]]/Tabla3[[#This Row],[TC]]</f>
        <v>0</v>
      </c>
      <c r="L474" s="8" t="s">
        <v>376</v>
      </c>
      <c r="M474" s="8" t="s">
        <v>377</v>
      </c>
      <c r="N474" s="8" t="s">
        <v>30</v>
      </c>
      <c r="O474" s="8" t="s">
        <v>184</v>
      </c>
      <c r="P474" s="8" t="s">
        <v>195</v>
      </c>
      <c r="Q474" s="8" t="s">
        <v>196</v>
      </c>
      <c r="R474" s="8" t="s">
        <v>499</v>
      </c>
      <c r="S474" s="8" t="s">
        <v>383</v>
      </c>
      <c r="T474" s="8"/>
      <c r="U474" s="8" t="s">
        <v>384</v>
      </c>
      <c r="V474" s="8"/>
      <c r="W474" s="8" t="s">
        <v>380</v>
      </c>
      <c r="X474" s="8" t="s">
        <v>99</v>
      </c>
      <c r="Y474" s="8" t="s">
        <v>23</v>
      </c>
    </row>
    <row r="475" spans="1:25" hidden="1" x14ac:dyDescent="0.25">
      <c r="A475" s="273" t="s">
        <v>318</v>
      </c>
      <c r="B475" s="251">
        <v>45877</v>
      </c>
      <c r="C475" s="252" t="s">
        <v>500</v>
      </c>
      <c r="D475" s="252"/>
      <c r="E475" s="253">
        <v>56.7</v>
      </c>
      <c r="F475" s="253">
        <v>0</v>
      </c>
      <c r="G475" s="274">
        <f>Tabla3[[#This Row],[INGRESOS]]-Tabla3[[#This Row],[EGRESOS]]</f>
        <v>-56.7</v>
      </c>
      <c r="H475" s="274"/>
      <c r="I475" s="135">
        <v>1294</v>
      </c>
      <c r="J475" s="136">
        <f>Tabla3[[#This Row],[EGRESOS]]/Tabla3[[#This Row],[TC]]</f>
        <v>4.3817619783616694E-2</v>
      </c>
      <c r="K475" s="136">
        <f>Tabla3[[#This Row],[INGRESOS]]/Tabla3[[#This Row],[TC]]</f>
        <v>0</v>
      </c>
      <c r="L475" s="8" t="s">
        <v>376</v>
      </c>
      <c r="M475" s="8" t="s">
        <v>377</v>
      </c>
      <c r="N475" s="8" t="s">
        <v>30</v>
      </c>
      <c r="O475" s="8" t="s">
        <v>184</v>
      </c>
      <c r="P475" s="8" t="s">
        <v>195</v>
      </c>
      <c r="Q475" s="8" t="s">
        <v>196</v>
      </c>
      <c r="R475" s="8" t="s">
        <v>394</v>
      </c>
      <c r="S475" s="8" t="s">
        <v>383</v>
      </c>
      <c r="T475" s="8"/>
      <c r="U475" s="8" t="s">
        <v>384</v>
      </c>
      <c r="V475" s="8"/>
      <c r="W475" s="8" t="s">
        <v>380</v>
      </c>
      <c r="X475" s="8" t="s">
        <v>99</v>
      </c>
      <c r="Y475" s="8" t="s">
        <v>23</v>
      </c>
    </row>
    <row r="476" spans="1:25" hidden="1" x14ac:dyDescent="0.25">
      <c r="A476" s="273" t="s">
        <v>318</v>
      </c>
      <c r="B476" s="251">
        <v>45877</v>
      </c>
      <c r="C476" s="252" t="s">
        <v>500</v>
      </c>
      <c r="D476" s="252"/>
      <c r="E476" s="253">
        <v>8.1</v>
      </c>
      <c r="F476" s="253">
        <v>0</v>
      </c>
      <c r="G476" s="274">
        <f>Tabla3[[#This Row],[INGRESOS]]-Tabla3[[#This Row],[EGRESOS]]</f>
        <v>-8.1</v>
      </c>
      <c r="H476" s="274">
        <v>-42379.44</v>
      </c>
      <c r="I476" s="135">
        <v>1295</v>
      </c>
      <c r="J476" s="136">
        <f>Tabla3[[#This Row],[EGRESOS]]/Tabla3[[#This Row],[TC]]</f>
        <v>6.2548262548262545E-3</v>
      </c>
      <c r="K476" s="136">
        <f>Tabla3[[#This Row],[INGRESOS]]/Tabla3[[#This Row],[TC]]</f>
        <v>0</v>
      </c>
      <c r="L476" s="8" t="s">
        <v>376</v>
      </c>
      <c r="M476" s="8" t="s">
        <v>377</v>
      </c>
      <c r="N476" s="8" t="s">
        <v>30</v>
      </c>
      <c r="O476" s="8" t="s">
        <v>184</v>
      </c>
      <c r="P476" s="8" t="s">
        <v>195</v>
      </c>
      <c r="Q476" s="8" t="s">
        <v>196</v>
      </c>
      <c r="R476" s="8" t="s">
        <v>394</v>
      </c>
      <c r="S476" s="8" t="s">
        <v>383</v>
      </c>
      <c r="T476" s="8"/>
      <c r="U476" s="8" t="s">
        <v>384</v>
      </c>
      <c r="V476" s="8"/>
      <c r="W476" s="8" t="s">
        <v>380</v>
      </c>
      <c r="X476" s="8" t="s">
        <v>99</v>
      </c>
      <c r="Y476" s="8" t="s">
        <v>23</v>
      </c>
    </row>
    <row r="477" spans="1:25" hidden="1" x14ac:dyDescent="0.25">
      <c r="A477" s="273" t="s">
        <v>318</v>
      </c>
      <c r="B477" s="251">
        <v>45882</v>
      </c>
      <c r="C477" s="252" t="s">
        <v>547</v>
      </c>
      <c r="D477" s="252"/>
      <c r="E477" s="253">
        <v>0</v>
      </c>
      <c r="F477" s="253">
        <v>91700000</v>
      </c>
      <c r="G477" s="274">
        <f>Tabla3[[#This Row],[INGRESOS]]-Tabla3[[#This Row],[EGRESOS]]</f>
        <v>91700000</v>
      </c>
      <c r="H477" s="274">
        <v>91657620.560000002</v>
      </c>
      <c r="I477" s="135">
        <v>1360</v>
      </c>
      <c r="J477" s="136">
        <f>Tabla3[[#This Row],[EGRESOS]]/Tabla3[[#This Row],[TC]]</f>
        <v>0</v>
      </c>
      <c r="K477" s="136">
        <f>Tabla3[[#This Row],[INGRESOS]]/Tabla3[[#This Row],[TC]]</f>
        <v>67426.470588235301</v>
      </c>
      <c r="L477" s="8" t="s">
        <v>376</v>
      </c>
      <c r="M477" s="8" t="s">
        <v>377</v>
      </c>
      <c r="N477" s="8" t="s">
        <v>30</v>
      </c>
      <c r="O477" s="8" t="s">
        <v>244</v>
      </c>
      <c r="P477" s="8" t="s">
        <v>261</v>
      </c>
      <c r="Q477" s="8" t="s">
        <v>264</v>
      </c>
      <c r="R477" s="8" t="s">
        <v>548</v>
      </c>
      <c r="S477" s="8" t="s">
        <v>30</v>
      </c>
      <c r="T477" s="8"/>
      <c r="U477" s="8" t="s">
        <v>442</v>
      </c>
      <c r="V477" s="8"/>
      <c r="W477" s="8" t="s">
        <v>475</v>
      </c>
      <c r="X477" s="8" t="s">
        <v>23</v>
      </c>
      <c r="Y477" s="8" t="s">
        <v>549</v>
      </c>
    </row>
    <row r="478" spans="1:25" hidden="1" x14ac:dyDescent="0.25">
      <c r="A478" s="273" t="s">
        <v>318</v>
      </c>
      <c r="B478" s="251">
        <v>45883</v>
      </c>
      <c r="C478" s="252" t="s">
        <v>550</v>
      </c>
      <c r="D478" s="252"/>
      <c r="E478" s="253">
        <v>3139219</v>
      </c>
      <c r="F478" s="253">
        <v>0</v>
      </c>
      <c r="G478" s="274">
        <f>Tabla3[[#This Row],[INGRESOS]]-Tabla3[[#This Row],[EGRESOS]]</f>
        <v>-3139219</v>
      </c>
      <c r="H478" s="274"/>
      <c r="I478" s="135">
        <v>1360</v>
      </c>
      <c r="J478" s="136">
        <f>Tabla3[[#This Row],[EGRESOS]]/Tabla3[[#This Row],[TC]]</f>
        <v>2308.2492647058825</v>
      </c>
      <c r="K478" s="136">
        <f>Tabla3[[#This Row],[INGRESOS]]/Tabla3[[#This Row],[TC]]</f>
        <v>0</v>
      </c>
      <c r="L478" s="8" t="s">
        <v>376</v>
      </c>
      <c r="M478" s="8" t="s">
        <v>377</v>
      </c>
      <c r="N478" s="8" t="s">
        <v>30</v>
      </c>
      <c r="O478" s="8" t="s">
        <v>215</v>
      </c>
      <c r="P478" s="8" t="s">
        <v>216</v>
      </c>
      <c r="Q478" s="8" t="s">
        <v>220</v>
      </c>
      <c r="R478" s="8" t="s">
        <v>327</v>
      </c>
      <c r="S478" s="8" t="s">
        <v>551</v>
      </c>
      <c r="T478" s="8"/>
      <c r="U478" s="8" t="s">
        <v>403</v>
      </c>
      <c r="V478" s="8"/>
      <c r="W478" s="8" t="s">
        <v>380</v>
      </c>
      <c r="X478" s="8" t="s">
        <v>29</v>
      </c>
      <c r="Y478" s="8" t="s">
        <v>23</v>
      </c>
    </row>
    <row r="479" spans="1:25" hidden="1" x14ac:dyDescent="0.25">
      <c r="A479" s="273" t="s">
        <v>318</v>
      </c>
      <c r="B479" s="251">
        <v>45883</v>
      </c>
      <c r="C479" s="252" t="s">
        <v>500</v>
      </c>
      <c r="D479" s="252"/>
      <c r="E479" s="253">
        <v>18835.310000000001</v>
      </c>
      <c r="F479" s="253">
        <v>0</v>
      </c>
      <c r="G479" s="274">
        <f>Tabla3[[#This Row],[INGRESOS]]-Tabla3[[#This Row],[EGRESOS]]</f>
        <v>-18835.310000000001</v>
      </c>
      <c r="H479" s="274"/>
      <c r="I479" s="135">
        <v>1360</v>
      </c>
      <c r="J479" s="136">
        <f>Tabla3[[#This Row],[EGRESOS]]/Tabla3[[#This Row],[TC]]</f>
        <v>13.849492647058824</v>
      </c>
      <c r="K479" s="136">
        <f>Tabla3[[#This Row],[INGRESOS]]/Tabla3[[#This Row],[TC]]</f>
        <v>0</v>
      </c>
      <c r="L479" s="8" t="s">
        <v>376</v>
      </c>
      <c r="M479" s="8" t="s">
        <v>377</v>
      </c>
      <c r="N479" s="8" t="s">
        <v>30</v>
      </c>
      <c r="O479" s="8" t="s">
        <v>184</v>
      </c>
      <c r="P479" s="8" t="s">
        <v>195</v>
      </c>
      <c r="Q479" s="8" t="s">
        <v>196</v>
      </c>
      <c r="R479" s="8" t="s">
        <v>394</v>
      </c>
      <c r="S479" s="8" t="s">
        <v>383</v>
      </c>
      <c r="T479" s="8"/>
      <c r="U479" s="8" t="s">
        <v>384</v>
      </c>
      <c r="V479" s="8"/>
      <c r="W479" s="8" t="s">
        <v>380</v>
      </c>
      <c r="X479" s="8" t="s">
        <v>99</v>
      </c>
      <c r="Y479" s="8" t="s">
        <v>23</v>
      </c>
    </row>
    <row r="480" spans="1:25" hidden="1" x14ac:dyDescent="0.25">
      <c r="A480" s="273" t="s">
        <v>318</v>
      </c>
      <c r="B480" s="251">
        <v>45889</v>
      </c>
      <c r="C480" s="252" t="s">
        <v>508</v>
      </c>
      <c r="D480" s="252"/>
      <c r="E480" s="253">
        <v>6000000</v>
      </c>
      <c r="F480" s="253">
        <v>0</v>
      </c>
      <c r="G480" s="274">
        <f>Tabla3[[#This Row],[INGRESOS]]-Tabla3[[#This Row],[EGRESOS]]</f>
        <v>-6000000</v>
      </c>
      <c r="H480" s="274"/>
      <c r="I480" s="135">
        <v>1360</v>
      </c>
      <c r="J480" s="136">
        <f>Tabla3[[#This Row],[EGRESOS]]/Tabla3[[#This Row],[TC]]</f>
        <v>4411.7647058823532</v>
      </c>
      <c r="K480" s="136">
        <f>Tabla3[[#This Row],[INGRESOS]]/Tabla3[[#This Row],[TC]]</f>
        <v>0</v>
      </c>
      <c r="L480" s="8" t="s">
        <v>376</v>
      </c>
      <c r="M480" s="8" t="s">
        <v>377</v>
      </c>
      <c r="N480" s="8" t="s">
        <v>30</v>
      </c>
      <c r="O480" s="8" t="s">
        <v>244</v>
      </c>
      <c r="P480" s="8" t="s">
        <v>259</v>
      </c>
      <c r="Q480" s="8" t="s">
        <v>260</v>
      </c>
      <c r="R480" s="8" t="s">
        <v>378</v>
      </c>
      <c r="S480" s="8"/>
      <c r="T480" s="8"/>
      <c r="U480" s="8" t="s">
        <v>379</v>
      </c>
      <c r="V480" s="8"/>
      <c r="W480" s="8"/>
      <c r="X480" s="8"/>
      <c r="Y480" s="8"/>
    </row>
    <row r="481" spans="1:25" hidden="1" x14ac:dyDescent="0.25">
      <c r="A481" s="273" t="s">
        <v>318</v>
      </c>
      <c r="B481" s="251">
        <v>45889</v>
      </c>
      <c r="C481" s="252" t="s">
        <v>550</v>
      </c>
      <c r="D481" s="252"/>
      <c r="E481" s="253">
        <v>1500000</v>
      </c>
      <c r="F481" s="253">
        <v>0</v>
      </c>
      <c r="G481" s="274">
        <f>Tabla3[[#This Row],[INGRESOS]]-Tabla3[[#This Row],[EGRESOS]]</f>
        <v>-1500000</v>
      </c>
      <c r="H481" s="274"/>
      <c r="I481" s="135">
        <v>1360</v>
      </c>
      <c r="J481" s="136">
        <f>Tabla3[[#This Row],[EGRESOS]]/Tabla3[[#This Row],[TC]]</f>
        <v>1102.9411764705883</v>
      </c>
      <c r="K481" s="136">
        <f>Tabla3[[#This Row],[INGRESOS]]/Tabla3[[#This Row],[TC]]</f>
        <v>0</v>
      </c>
      <c r="L481" s="8" t="s">
        <v>376</v>
      </c>
      <c r="M481" s="8" t="s">
        <v>377</v>
      </c>
      <c r="N481" s="8" t="s">
        <v>30</v>
      </c>
      <c r="O481" s="8" t="s">
        <v>184</v>
      </c>
      <c r="P481" s="8" t="s">
        <v>203</v>
      </c>
      <c r="Q481" s="8" t="s">
        <v>208</v>
      </c>
      <c r="R481" s="8" t="s">
        <v>320</v>
      </c>
      <c r="S481" s="8" t="s">
        <v>414</v>
      </c>
      <c r="T481" s="8"/>
      <c r="U481" s="8" t="s">
        <v>530</v>
      </c>
      <c r="V481" s="8" t="s">
        <v>415</v>
      </c>
      <c r="W481" s="8" t="s">
        <v>380</v>
      </c>
      <c r="X481" s="8" t="s">
        <v>102</v>
      </c>
      <c r="Y481" s="8" t="s">
        <v>23</v>
      </c>
    </row>
    <row r="482" spans="1:25" hidden="1" x14ac:dyDescent="0.25">
      <c r="A482" s="273" t="s">
        <v>318</v>
      </c>
      <c r="B482" s="251">
        <v>45889</v>
      </c>
      <c r="C482" s="252" t="s">
        <v>500</v>
      </c>
      <c r="D482" s="252"/>
      <c r="E482" s="253">
        <v>9000</v>
      </c>
      <c r="F482" s="253">
        <v>0</v>
      </c>
      <c r="G482" s="274">
        <f>Tabla3[[#This Row],[INGRESOS]]-Tabla3[[#This Row],[EGRESOS]]</f>
        <v>-9000</v>
      </c>
      <c r="H482" s="274">
        <v>80990566.25</v>
      </c>
      <c r="I482" s="135">
        <v>1360</v>
      </c>
      <c r="J482" s="136">
        <f>Tabla3[[#This Row],[EGRESOS]]/Tabla3[[#This Row],[TC]]</f>
        <v>6.617647058823529</v>
      </c>
      <c r="K482" s="136">
        <f>Tabla3[[#This Row],[INGRESOS]]/Tabla3[[#This Row],[TC]]</f>
        <v>0</v>
      </c>
      <c r="L482" s="8" t="s">
        <v>376</v>
      </c>
      <c r="M482" s="8" t="s">
        <v>377</v>
      </c>
      <c r="N482" s="8" t="s">
        <v>30</v>
      </c>
      <c r="O482" s="8" t="s">
        <v>184</v>
      </c>
      <c r="P482" s="8" t="s">
        <v>195</v>
      </c>
      <c r="Q482" s="8" t="s">
        <v>196</v>
      </c>
      <c r="R482" s="8" t="s">
        <v>394</v>
      </c>
      <c r="S482" s="8" t="s">
        <v>383</v>
      </c>
      <c r="T482" s="8"/>
      <c r="U482" s="8" t="s">
        <v>384</v>
      </c>
      <c r="V482" s="8"/>
      <c r="W482" s="8" t="s">
        <v>380</v>
      </c>
      <c r="X482" s="8" t="s">
        <v>99</v>
      </c>
      <c r="Y482" s="8" t="s">
        <v>23</v>
      </c>
    </row>
    <row r="483" spans="1:25" hidden="1" x14ac:dyDescent="0.25">
      <c r="A483" s="273" t="s">
        <v>318</v>
      </c>
      <c r="B483" s="251">
        <v>45890</v>
      </c>
      <c r="C483" s="252" t="s">
        <v>508</v>
      </c>
      <c r="D483" s="252"/>
      <c r="E483" s="253">
        <v>78000000</v>
      </c>
      <c r="F483" s="253">
        <v>0</v>
      </c>
      <c r="G483" s="274">
        <f>Tabla3[[#This Row],[INGRESOS]]-Tabla3[[#This Row],[EGRESOS]]</f>
        <v>-78000000</v>
      </c>
      <c r="H483" s="274"/>
      <c r="I483" s="135">
        <v>1360</v>
      </c>
      <c r="J483" s="136">
        <f>Tabla3[[#This Row],[EGRESOS]]/Tabla3[[#This Row],[TC]]</f>
        <v>57352.941176470587</v>
      </c>
      <c r="K483" s="136">
        <f>Tabla3[[#This Row],[INGRESOS]]/Tabla3[[#This Row],[TC]]</f>
        <v>0</v>
      </c>
      <c r="L483" s="8" t="s">
        <v>376</v>
      </c>
      <c r="M483" s="8" t="s">
        <v>377</v>
      </c>
      <c r="N483" s="8" t="s">
        <v>30</v>
      </c>
      <c r="O483" s="8" t="s">
        <v>244</v>
      </c>
      <c r="P483" s="8" t="s">
        <v>259</v>
      </c>
      <c r="Q483" s="8" t="s">
        <v>260</v>
      </c>
      <c r="R483" s="8" t="s">
        <v>378</v>
      </c>
      <c r="S483" s="8"/>
      <c r="T483" s="8"/>
      <c r="U483" s="8" t="s">
        <v>379</v>
      </c>
      <c r="V483" s="8"/>
      <c r="W483" s="8" t="s">
        <v>380</v>
      </c>
      <c r="X483" s="8"/>
      <c r="Y483" s="8"/>
    </row>
    <row r="484" spans="1:25" hidden="1" x14ac:dyDescent="0.25">
      <c r="A484" s="273" t="s">
        <v>318</v>
      </c>
      <c r="B484" s="251">
        <v>45890</v>
      </c>
      <c r="C484" s="252" t="s">
        <v>536</v>
      </c>
      <c r="D484" s="252"/>
      <c r="E484" s="253">
        <v>956</v>
      </c>
      <c r="F484" s="253">
        <v>0</v>
      </c>
      <c r="G484" s="274">
        <f>Tabla3[[#This Row],[INGRESOS]]-Tabla3[[#This Row],[EGRESOS]]</f>
        <v>-956</v>
      </c>
      <c r="H484" s="274"/>
      <c r="I484" s="135">
        <v>1360</v>
      </c>
      <c r="J484" s="136">
        <f>Tabla3[[#This Row],[EGRESOS]]/Tabla3[[#This Row],[TC]]</f>
        <v>0.70294117647058818</v>
      </c>
      <c r="K484" s="136">
        <f>Tabla3[[#This Row],[INGRESOS]]/Tabla3[[#This Row],[TC]]</f>
        <v>0</v>
      </c>
      <c r="L484" s="8" t="s">
        <v>376</v>
      </c>
      <c r="M484" s="8" t="s">
        <v>377</v>
      </c>
      <c r="N484" s="8" t="s">
        <v>30</v>
      </c>
      <c r="O484" s="8" t="s">
        <v>184</v>
      </c>
      <c r="P484" s="8" t="s">
        <v>185</v>
      </c>
      <c r="Q484" s="8" t="s">
        <v>186</v>
      </c>
      <c r="R484" s="8" t="s">
        <v>227</v>
      </c>
      <c r="S484" s="8"/>
      <c r="T484" s="8"/>
      <c r="U484" s="8" t="s">
        <v>384</v>
      </c>
      <c r="V484" s="8"/>
      <c r="W484" s="8" t="s">
        <v>380</v>
      </c>
      <c r="X484" s="8" t="s">
        <v>99</v>
      </c>
      <c r="Y484" s="8" t="s">
        <v>23</v>
      </c>
    </row>
    <row r="485" spans="1:25" hidden="1" x14ac:dyDescent="0.25">
      <c r="A485" s="273" t="s">
        <v>318</v>
      </c>
      <c r="B485" s="251">
        <v>45890</v>
      </c>
      <c r="C485" s="252" t="s">
        <v>497</v>
      </c>
      <c r="D485" s="252"/>
      <c r="E485" s="253">
        <v>200.76</v>
      </c>
      <c r="F485" s="253">
        <v>0</v>
      </c>
      <c r="G485" s="274">
        <f>Tabla3[[#This Row],[INGRESOS]]-Tabla3[[#This Row],[EGRESOS]]</f>
        <v>-200.76</v>
      </c>
      <c r="H485" s="337"/>
      <c r="I485" s="135">
        <v>1360</v>
      </c>
      <c r="J485" s="136">
        <f>Tabla3[[#This Row],[EGRESOS]]/Tabla3[[#This Row],[TC]]</f>
        <v>0.14761764705882352</v>
      </c>
      <c r="K485" s="136">
        <f>Tabla3[[#This Row],[INGRESOS]]/Tabla3[[#This Row],[TC]]</f>
        <v>0</v>
      </c>
      <c r="L485" s="8" t="s">
        <v>376</v>
      </c>
      <c r="M485" s="8" t="s">
        <v>377</v>
      </c>
      <c r="N485" s="8" t="s">
        <v>30</v>
      </c>
      <c r="O485" s="8" t="s">
        <v>184</v>
      </c>
      <c r="P485" s="8" t="s">
        <v>195</v>
      </c>
      <c r="Q485" s="8" t="s">
        <v>196</v>
      </c>
      <c r="R485" s="8" t="s">
        <v>382</v>
      </c>
      <c r="S485" s="8" t="s">
        <v>383</v>
      </c>
      <c r="T485" s="8"/>
      <c r="U485" s="8" t="s">
        <v>384</v>
      </c>
      <c r="V485" s="8"/>
      <c r="W485" s="8" t="s">
        <v>380</v>
      </c>
      <c r="X485" s="8" t="s">
        <v>99</v>
      </c>
      <c r="Y485" s="8" t="s">
        <v>23</v>
      </c>
    </row>
    <row r="486" spans="1:25" hidden="1" x14ac:dyDescent="0.25">
      <c r="A486" s="273" t="s">
        <v>318</v>
      </c>
      <c r="B486" s="251">
        <v>45890</v>
      </c>
      <c r="C486" s="252" t="s">
        <v>500</v>
      </c>
      <c r="D486" s="252"/>
      <c r="E486" s="253">
        <v>5.74</v>
      </c>
      <c r="F486" s="253">
        <v>0</v>
      </c>
      <c r="G486" s="274">
        <f>Tabla3[[#This Row],[INGRESOS]]-Tabla3[[#This Row],[EGRESOS]]</f>
        <v>-5.74</v>
      </c>
      <c r="H486" s="137"/>
      <c r="I486" s="135">
        <v>1360</v>
      </c>
      <c r="J486" s="136">
        <f>Tabla3[[#This Row],[EGRESOS]]/Tabla3[[#This Row],[TC]]</f>
        <v>4.2205882352941175E-3</v>
      </c>
      <c r="K486" s="136">
        <f>Tabla3[[#This Row],[INGRESOS]]/Tabla3[[#This Row],[TC]]</f>
        <v>0</v>
      </c>
      <c r="L486" s="8" t="s">
        <v>376</v>
      </c>
      <c r="M486" s="8" t="s">
        <v>377</v>
      </c>
      <c r="N486" s="8" t="s">
        <v>30</v>
      </c>
      <c r="O486" s="8" t="s">
        <v>184</v>
      </c>
      <c r="P486" s="8" t="s">
        <v>195</v>
      </c>
      <c r="Q486" s="8" t="s">
        <v>196</v>
      </c>
      <c r="R486" s="8" t="s">
        <v>394</v>
      </c>
      <c r="S486" s="8" t="s">
        <v>383</v>
      </c>
      <c r="T486" s="8"/>
      <c r="U486" s="8" t="s">
        <v>384</v>
      </c>
      <c r="V486" s="8"/>
      <c r="W486" s="8" t="s">
        <v>380</v>
      </c>
      <c r="X486" s="8" t="s">
        <v>99</v>
      </c>
      <c r="Y486" s="8" t="s">
        <v>23</v>
      </c>
    </row>
    <row r="487" spans="1:25" hidden="1" x14ac:dyDescent="0.25">
      <c r="A487" s="273" t="s">
        <v>318</v>
      </c>
      <c r="B487" s="251">
        <v>45890</v>
      </c>
      <c r="C487" s="252" t="s">
        <v>500</v>
      </c>
      <c r="D487" s="252"/>
      <c r="E487" s="253">
        <v>1.2</v>
      </c>
      <c r="F487" s="253">
        <v>0</v>
      </c>
      <c r="G487" s="274">
        <f>Tabla3[[#This Row],[INGRESOS]]-Tabla3[[#This Row],[EGRESOS]]</f>
        <v>-1.2</v>
      </c>
      <c r="H487" s="337">
        <v>2989402.55</v>
      </c>
      <c r="I487" s="135">
        <v>1360</v>
      </c>
      <c r="J487" s="136">
        <f>Tabla3[[#This Row],[EGRESOS]]/Tabla3[[#This Row],[TC]]</f>
        <v>8.8235294117647051E-4</v>
      </c>
      <c r="K487" s="136">
        <f>Tabla3[[#This Row],[INGRESOS]]/Tabla3[[#This Row],[TC]]</f>
        <v>0</v>
      </c>
      <c r="L487" s="8" t="s">
        <v>376</v>
      </c>
      <c r="M487" s="8" t="s">
        <v>377</v>
      </c>
      <c r="N487" s="8" t="s">
        <v>30</v>
      </c>
      <c r="O487" s="8" t="s">
        <v>184</v>
      </c>
      <c r="P487" s="8" t="s">
        <v>195</v>
      </c>
      <c r="Q487" s="8" t="s">
        <v>196</v>
      </c>
      <c r="R487" s="8" t="s">
        <v>394</v>
      </c>
      <c r="S487" s="8" t="s">
        <v>383</v>
      </c>
      <c r="T487" s="8"/>
      <c r="U487" s="8" t="s">
        <v>384</v>
      </c>
      <c r="V487" s="8"/>
      <c r="W487" s="8" t="s">
        <v>380</v>
      </c>
      <c r="X487" s="8" t="s">
        <v>99</v>
      </c>
      <c r="Y487" s="8" t="s">
        <v>23</v>
      </c>
    </row>
    <row r="488" spans="1:25" hidden="1" x14ac:dyDescent="0.25">
      <c r="A488" s="273" t="s">
        <v>318</v>
      </c>
      <c r="B488" s="251">
        <v>45896</v>
      </c>
      <c r="C488" s="252" t="s">
        <v>443</v>
      </c>
      <c r="D488" s="252"/>
      <c r="E488" s="253">
        <v>388.11</v>
      </c>
      <c r="F488" s="253">
        <v>0</v>
      </c>
      <c r="G488" s="274">
        <f>Tabla3[[#This Row],[INGRESOS]]-Tabla3[[#This Row],[EGRESOS]]</f>
        <v>-388.11</v>
      </c>
      <c r="H488" s="337"/>
      <c r="I488" s="135">
        <v>1360</v>
      </c>
      <c r="J488" s="136">
        <f>Tabla3[[#This Row],[EGRESOS]]/Tabla3[[#This Row],[TC]]</f>
        <v>0.28537499999999999</v>
      </c>
      <c r="K488" s="136">
        <f>Tabla3[[#This Row],[INGRESOS]]/Tabla3[[#This Row],[TC]]</f>
        <v>0</v>
      </c>
      <c r="L488" s="8" t="s">
        <v>376</v>
      </c>
      <c r="M488" s="8" t="s">
        <v>377</v>
      </c>
      <c r="N488" s="8" t="s">
        <v>30</v>
      </c>
      <c r="O488" s="8" t="s">
        <v>184</v>
      </c>
      <c r="P488" s="8" t="s">
        <v>197</v>
      </c>
      <c r="Q488" s="8" t="s">
        <v>198</v>
      </c>
      <c r="R488" s="8" t="s">
        <v>419</v>
      </c>
      <c r="S488" s="8"/>
      <c r="T488" s="8"/>
      <c r="U488" s="8" t="s">
        <v>384</v>
      </c>
      <c r="V488" s="8"/>
      <c r="W488" s="8" t="s">
        <v>380</v>
      </c>
      <c r="X488" s="8" t="s">
        <v>99</v>
      </c>
      <c r="Y488" s="8" t="s">
        <v>23</v>
      </c>
    </row>
    <row r="489" spans="1:25" hidden="1" x14ac:dyDescent="0.25">
      <c r="A489" s="273" t="s">
        <v>318</v>
      </c>
      <c r="B489" s="251">
        <v>45896</v>
      </c>
      <c r="C489" s="252" t="s">
        <v>443</v>
      </c>
      <c r="D489" s="252"/>
      <c r="E489" s="253">
        <v>87.33</v>
      </c>
      <c r="F489" s="253">
        <v>0</v>
      </c>
      <c r="G489" s="274">
        <f>Tabla3[[#This Row],[INGRESOS]]-Tabla3[[#This Row],[EGRESOS]]</f>
        <v>-87.33</v>
      </c>
      <c r="H489" s="337"/>
      <c r="I489" s="135">
        <v>1360</v>
      </c>
      <c r="J489" s="136">
        <f>Tabla3[[#This Row],[EGRESOS]]/Tabla3[[#This Row],[TC]]</f>
        <v>6.421323529411764E-2</v>
      </c>
      <c r="K489" s="136">
        <f>Tabla3[[#This Row],[INGRESOS]]/Tabla3[[#This Row],[TC]]</f>
        <v>0</v>
      </c>
      <c r="L489" s="8" t="s">
        <v>376</v>
      </c>
      <c r="M489" s="8" t="s">
        <v>377</v>
      </c>
      <c r="N489" s="8" t="s">
        <v>30</v>
      </c>
      <c r="O489" s="8" t="s">
        <v>184</v>
      </c>
      <c r="P489" s="8" t="s">
        <v>197</v>
      </c>
      <c r="Q489" s="8" t="s">
        <v>198</v>
      </c>
      <c r="R489" s="8" t="s">
        <v>419</v>
      </c>
      <c r="S489" s="8"/>
      <c r="T489" s="8"/>
      <c r="U489" s="8" t="s">
        <v>384</v>
      </c>
      <c r="V489" s="8"/>
      <c r="W489" s="8" t="s">
        <v>380</v>
      </c>
      <c r="X489" s="8" t="s">
        <v>99</v>
      </c>
      <c r="Y489" s="8" t="s">
        <v>23</v>
      </c>
    </row>
    <row r="490" spans="1:25" hidden="1" x14ac:dyDescent="0.25">
      <c r="A490" s="273" t="s">
        <v>318</v>
      </c>
      <c r="B490" s="251">
        <v>45896</v>
      </c>
      <c r="C490" s="252" t="s">
        <v>443</v>
      </c>
      <c r="D490" s="252"/>
      <c r="E490" s="253">
        <v>379.98</v>
      </c>
      <c r="F490" s="253">
        <v>0</v>
      </c>
      <c r="G490" s="274">
        <f>Tabla3[[#This Row],[INGRESOS]]-Tabla3[[#This Row],[EGRESOS]]</f>
        <v>-379.98</v>
      </c>
      <c r="H490" s="337"/>
      <c r="I490" s="135">
        <v>1360</v>
      </c>
      <c r="J490" s="136">
        <f>Tabla3[[#This Row],[EGRESOS]]/Tabla3[[#This Row],[TC]]</f>
        <v>0.27939705882352944</v>
      </c>
      <c r="K490" s="136">
        <f>Tabla3[[#This Row],[INGRESOS]]/Tabla3[[#This Row],[TC]]</f>
        <v>0</v>
      </c>
      <c r="L490" s="8" t="s">
        <v>376</v>
      </c>
      <c r="M490" s="8" t="s">
        <v>377</v>
      </c>
      <c r="N490" s="8" t="s">
        <v>30</v>
      </c>
      <c r="O490" s="8" t="s">
        <v>184</v>
      </c>
      <c r="P490" s="8" t="s">
        <v>197</v>
      </c>
      <c r="Q490" s="8" t="s">
        <v>198</v>
      </c>
      <c r="R490" s="8" t="s">
        <v>419</v>
      </c>
      <c r="S490" s="8"/>
      <c r="T490" s="8"/>
      <c r="U490" s="8" t="s">
        <v>384</v>
      </c>
      <c r="V490" s="8"/>
      <c r="W490" s="8" t="s">
        <v>380</v>
      </c>
      <c r="X490" s="8" t="s">
        <v>99</v>
      </c>
      <c r="Y490" s="8" t="s">
        <v>23</v>
      </c>
    </row>
    <row r="491" spans="1:25" hidden="1" x14ac:dyDescent="0.25">
      <c r="A491" s="273" t="s">
        <v>318</v>
      </c>
      <c r="B491" s="251">
        <v>45896</v>
      </c>
      <c r="C491" s="252" t="s">
        <v>202</v>
      </c>
      <c r="D491" s="252"/>
      <c r="E491" s="253">
        <v>6050</v>
      </c>
      <c r="F491" s="253">
        <v>0</v>
      </c>
      <c r="G491" s="274">
        <f>Tabla3[[#This Row],[INGRESOS]]-Tabla3[[#This Row],[EGRESOS]]</f>
        <v>-6050</v>
      </c>
      <c r="H491" s="337"/>
      <c r="I491" s="135">
        <v>1360</v>
      </c>
      <c r="J491" s="136">
        <f>Tabla3[[#This Row],[EGRESOS]]/Tabla3[[#This Row],[TC]]</f>
        <v>4.4485294117647056</v>
      </c>
      <c r="K491" s="136">
        <f>Tabla3[[#This Row],[INGRESOS]]/Tabla3[[#This Row],[TC]]</f>
        <v>0</v>
      </c>
      <c r="L491" s="8" t="s">
        <v>376</v>
      </c>
      <c r="M491" s="8" t="s">
        <v>377</v>
      </c>
      <c r="N491" s="8" t="s">
        <v>30</v>
      </c>
      <c r="O491" s="8" t="s">
        <v>184</v>
      </c>
      <c r="P491" s="8" t="s">
        <v>195</v>
      </c>
      <c r="Q491" s="8" t="s">
        <v>196</v>
      </c>
      <c r="R491" s="8" t="s">
        <v>394</v>
      </c>
      <c r="S491" s="8" t="s">
        <v>383</v>
      </c>
      <c r="T491" s="8"/>
      <c r="U491" s="8" t="s">
        <v>384</v>
      </c>
      <c r="V491" s="8"/>
      <c r="W491" s="8" t="s">
        <v>380</v>
      </c>
      <c r="X491" s="8" t="s">
        <v>99</v>
      </c>
      <c r="Y491" s="8" t="s">
        <v>23</v>
      </c>
    </row>
    <row r="492" spans="1:25" hidden="1" x14ac:dyDescent="0.25">
      <c r="A492" s="273" t="s">
        <v>318</v>
      </c>
      <c r="B492" s="251">
        <v>45896</v>
      </c>
      <c r="C492" s="252" t="s">
        <v>500</v>
      </c>
      <c r="D492" s="252"/>
      <c r="E492" s="253">
        <v>2.33</v>
      </c>
      <c r="F492" s="253">
        <v>0</v>
      </c>
      <c r="G492" s="274">
        <f>Tabla3[[#This Row],[INGRESOS]]-Tabla3[[#This Row],[EGRESOS]]</f>
        <v>-2.33</v>
      </c>
      <c r="H492" s="337"/>
      <c r="I492" s="135">
        <v>1360</v>
      </c>
      <c r="J492" s="136">
        <f>Tabla3[[#This Row],[EGRESOS]]/Tabla3[[#This Row],[TC]]</f>
        <v>1.7132352941176471E-3</v>
      </c>
      <c r="K492" s="136">
        <f>Tabla3[[#This Row],[INGRESOS]]/Tabla3[[#This Row],[TC]]</f>
        <v>0</v>
      </c>
      <c r="L492" s="8" t="s">
        <v>376</v>
      </c>
      <c r="M492" s="8" t="s">
        <v>377</v>
      </c>
      <c r="N492" s="8" t="s">
        <v>30</v>
      </c>
      <c r="O492" s="8" t="s">
        <v>184</v>
      </c>
      <c r="P492" s="8" t="s">
        <v>195</v>
      </c>
      <c r="Q492" s="8" t="s">
        <v>196</v>
      </c>
      <c r="R492" s="8" t="s">
        <v>394</v>
      </c>
      <c r="S492" s="8" t="s">
        <v>383</v>
      </c>
      <c r="T492" s="8"/>
      <c r="U492" s="8" t="s">
        <v>384</v>
      </c>
      <c r="V492" s="8"/>
      <c r="W492" s="8" t="s">
        <v>380</v>
      </c>
      <c r="X492" s="8" t="s">
        <v>99</v>
      </c>
      <c r="Y492" s="8" t="s">
        <v>23</v>
      </c>
    </row>
    <row r="493" spans="1:25" hidden="1" x14ac:dyDescent="0.25">
      <c r="A493" s="273" t="s">
        <v>318</v>
      </c>
      <c r="B493" s="251">
        <v>45896</v>
      </c>
      <c r="C493" s="252" t="s">
        <v>500</v>
      </c>
      <c r="D493" s="252"/>
      <c r="E493" s="253">
        <v>0.52</v>
      </c>
      <c r="F493" s="253">
        <v>0</v>
      </c>
      <c r="G493" s="274">
        <f>Tabla3[[#This Row],[INGRESOS]]-Tabla3[[#This Row],[EGRESOS]]</f>
        <v>-0.52</v>
      </c>
      <c r="H493" s="337"/>
      <c r="I493" s="135">
        <v>1360</v>
      </c>
      <c r="J493" s="136">
        <f>Tabla3[[#This Row],[EGRESOS]]/Tabla3[[#This Row],[TC]]</f>
        <v>3.8235294117647061E-4</v>
      </c>
      <c r="K493" s="136">
        <f>Tabla3[[#This Row],[INGRESOS]]/Tabla3[[#This Row],[TC]]</f>
        <v>0</v>
      </c>
      <c r="L493" s="8" t="s">
        <v>376</v>
      </c>
      <c r="M493" s="8" t="s">
        <v>377</v>
      </c>
      <c r="N493" s="8" t="s">
        <v>30</v>
      </c>
      <c r="O493" s="8" t="s">
        <v>184</v>
      </c>
      <c r="P493" s="8" t="s">
        <v>195</v>
      </c>
      <c r="Q493" s="8" t="s">
        <v>196</v>
      </c>
      <c r="R493" s="8" t="s">
        <v>394</v>
      </c>
      <c r="S493" s="8" t="s">
        <v>383</v>
      </c>
      <c r="T493" s="8"/>
      <c r="U493" s="8" t="s">
        <v>384</v>
      </c>
      <c r="V493" s="8"/>
      <c r="W493" s="8" t="s">
        <v>380</v>
      </c>
      <c r="X493" s="8" t="s">
        <v>99</v>
      </c>
      <c r="Y493" s="8" t="s">
        <v>23</v>
      </c>
    </row>
    <row r="494" spans="1:25" hidden="1" x14ac:dyDescent="0.25">
      <c r="A494" s="273" t="s">
        <v>318</v>
      </c>
      <c r="B494" s="251">
        <v>45896</v>
      </c>
      <c r="C494" s="252" t="s">
        <v>500</v>
      </c>
      <c r="D494" s="252"/>
      <c r="E494" s="253">
        <v>2.2799999999999998</v>
      </c>
      <c r="F494" s="253">
        <v>0</v>
      </c>
      <c r="G494" s="274">
        <f>Tabla3[[#This Row],[INGRESOS]]-Tabla3[[#This Row],[EGRESOS]]</f>
        <v>-2.2799999999999998</v>
      </c>
      <c r="H494" s="337"/>
      <c r="I494" s="135">
        <v>1360</v>
      </c>
      <c r="J494" s="136">
        <f>Tabla3[[#This Row],[EGRESOS]]/Tabla3[[#This Row],[TC]]</f>
        <v>1.676470588235294E-3</v>
      </c>
      <c r="K494" s="136">
        <f>Tabla3[[#This Row],[INGRESOS]]/Tabla3[[#This Row],[TC]]</f>
        <v>0</v>
      </c>
      <c r="L494" s="8" t="s">
        <v>376</v>
      </c>
      <c r="M494" s="8" t="s">
        <v>377</v>
      </c>
      <c r="N494" s="8" t="s">
        <v>30</v>
      </c>
      <c r="O494" s="8" t="s">
        <v>184</v>
      </c>
      <c r="P494" s="8" t="s">
        <v>195</v>
      </c>
      <c r="Q494" s="8" t="s">
        <v>196</v>
      </c>
      <c r="R494" s="8" t="s">
        <v>394</v>
      </c>
      <c r="S494" s="8" t="s">
        <v>383</v>
      </c>
      <c r="T494" s="8"/>
      <c r="U494" s="8" t="s">
        <v>384</v>
      </c>
      <c r="V494" s="8"/>
      <c r="W494" s="8" t="s">
        <v>380</v>
      </c>
      <c r="X494" s="8" t="s">
        <v>99</v>
      </c>
      <c r="Y494" s="8" t="s">
        <v>23</v>
      </c>
    </row>
    <row r="495" spans="1:25" hidden="1" x14ac:dyDescent="0.25">
      <c r="A495" s="273" t="s">
        <v>318</v>
      </c>
      <c r="B495" s="251">
        <v>45896</v>
      </c>
      <c r="C495" s="252" t="s">
        <v>500</v>
      </c>
      <c r="D495" s="252"/>
      <c r="E495" s="253">
        <v>36.299999999999997</v>
      </c>
      <c r="F495" s="253">
        <v>0</v>
      </c>
      <c r="G495" s="274">
        <f>Tabla3[[#This Row],[INGRESOS]]-Tabla3[[#This Row],[EGRESOS]]</f>
        <v>-36.299999999999997</v>
      </c>
      <c r="H495" s="337"/>
      <c r="I495" s="135">
        <v>1360</v>
      </c>
      <c r="J495" s="136">
        <f>Tabla3[[#This Row],[EGRESOS]]/Tabla3[[#This Row],[TC]]</f>
        <v>2.6691176470588232E-2</v>
      </c>
      <c r="K495" s="136">
        <f>Tabla3[[#This Row],[INGRESOS]]/Tabla3[[#This Row],[TC]]</f>
        <v>0</v>
      </c>
      <c r="L495" s="8" t="s">
        <v>376</v>
      </c>
      <c r="M495" s="8" t="s">
        <v>377</v>
      </c>
      <c r="N495" s="8" t="s">
        <v>30</v>
      </c>
      <c r="O495" s="8" t="s">
        <v>184</v>
      </c>
      <c r="P495" s="8" t="s">
        <v>195</v>
      </c>
      <c r="Q495" s="8" t="s">
        <v>196</v>
      </c>
      <c r="R495" s="8" t="s">
        <v>394</v>
      </c>
      <c r="S495" s="8" t="s">
        <v>383</v>
      </c>
      <c r="T495" s="8"/>
      <c r="U495" s="8" t="s">
        <v>384</v>
      </c>
      <c r="V495" s="8"/>
      <c r="W495" s="8" t="s">
        <v>380</v>
      </c>
      <c r="X495" s="8" t="s">
        <v>99</v>
      </c>
      <c r="Y495" s="8" t="s">
        <v>23</v>
      </c>
    </row>
    <row r="496" spans="1:25" hidden="1" x14ac:dyDescent="0.25">
      <c r="A496" s="273" t="s">
        <v>318</v>
      </c>
      <c r="B496" s="251">
        <v>45897</v>
      </c>
      <c r="C496" s="252" t="s">
        <v>500</v>
      </c>
      <c r="D496" s="252"/>
      <c r="E496" s="253">
        <v>2400</v>
      </c>
      <c r="F496" s="253">
        <v>0</v>
      </c>
      <c r="G496" s="274">
        <f>Tabla3[[#This Row],[INGRESOS]]-Tabla3[[#This Row],[EGRESOS]]</f>
        <v>-2400</v>
      </c>
      <c r="H496" s="337"/>
      <c r="I496" s="135">
        <v>1360</v>
      </c>
      <c r="J496" s="136">
        <f>Tabla3[[#This Row],[EGRESOS]]/Tabla3[[#This Row],[TC]]</f>
        <v>1.7647058823529411</v>
      </c>
      <c r="K496" s="136">
        <f>Tabla3[[#This Row],[INGRESOS]]/Tabla3[[#This Row],[TC]]</f>
        <v>0</v>
      </c>
      <c r="L496" s="8" t="s">
        <v>376</v>
      </c>
      <c r="M496" s="8" t="s">
        <v>377</v>
      </c>
      <c r="N496" s="8" t="s">
        <v>30</v>
      </c>
      <c r="O496" s="8" t="s">
        <v>184</v>
      </c>
      <c r="P496" s="8" t="s">
        <v>195</v>
      </c>
      <c r="Q496" s="8" t="s">
        <v>196</v>
      </c>
      <c r="R496" s="8" t="s">
        <v>394</v>
      </c>
      <c r="S496" s="8" t="s">
        <v>383</v>
      </c>
      <c r="T496" s="8"/>
      <c r="U496" s="8" t="s">
        <v>384</v>
      </c>
      <c r="V496" s="8"/>
      <c r="W496" s="8" t="s">
        <v>380</v>
      </c>
      <c r="X496" s="8" t="s">
        <v>99</v>
      </c>
      <c r="Y496" s="8" t="s">
        <v>23</v>
      </c>
    </row>
    <row r="497" spans="1:25" hidden="1" x14ac:dyDescent="0.25">
      <c r="A497" s="273" t="s">
        <v>318</v>
      </c>
      <c r="B497" s="251">
        <v>45897</v>
      </c>
      <c r="C497" s="252" t="s">
        <v>550</v>
      </c>
      <c r="D497" s="252"/>
      <c r="E497" s="253">
        <v>400000</v>
      </c>
      <c r="F497" s="253">
        <v>0</v>
      </c>
      <c r="G497" s="274">
        <f>Tabla3[[#This Row],[INGRESOS]]-Tabla3[[#This Row],[EGRESOS]]</f>
        <v>-400000</v>
      </c>
      <c r="H497" s="337"/>
      <c r="I497" s="135">
        <v>1360</v>
      </c>
      <c r="J497" s="136">
        <f>Tabla3[[#This Row],[EGRESOS]]/Tabla3[[#This Row],[TC]]</f>
        <v>294.11764705882354</v>
      </c>
      <c r="K497" s="136">
        <f>Tabla3[[#This Row],[INGRESOS]]/Tabla3[[#This Row],[TC]]</f>
        <v>0</v>
      </c>
      <c r="L497" s="8" t="s">
        <v>376</v>
      </c>
      <c r="M497" s="8" t="s">
        <v>377</v>
      </c>
      <c r="N497" s="8" t="s">
        <v>30</v>
      </c>
      <c r="O497" s="8" t="s">
        <v>184</v>
      </c>
      <c r="P497" s="8" t="s">
        <v>203</v>
      </c>
      <c r="Q497" s="8" t="s">
        <v>208</v>
      </c>
      <c r="R497" s="8" t="s">
        <v>552</v>
      </c>
      <c r="S497" s="8" t="s">
        <v>414</v>
      </c>
      <c r="T497" s="8"/>
      <c r="U497" s="8" t="s">
        <v>530</v>
      </c>
      <c r="V497" s="8" t="s">
        <v>415</v>
      </c>
      <c r="W497" s="8" t="s">
        <v>380</v>
      </c>
      <c r="X497" s="8" t="s">
        <v>102</v>
      </c>
      <c r="Y497" s="8" t="s">
        <v>23</v>
      </c>
    </row>
    <row r="498" spans="1:25" hidden="1" x14ac:dyDescent="0.25">
      <c r="A498" s="273" t="s">
        <v>318</v>
      </c>
      <c r="B498" s="251">
        <v>45897</v>
      </c>
      <c r="C498" s="252" t="s">
        <v>500</v>
      </c>
      <c r="D498" s="252"/>
      <c r="E498" s="253">
        <v>2400</v>
      </c>
      <c r="F498" s="253">
        <v>0</v>
      </c>
      <c r="G498" s="274">
        <f>Tabla3[[#This Row],[INGRESOS]]-Tabla3[[#This Row],[EGRESOS]]</f>
        <v>-2400</v>
      </c>
      <c r="H498" s="337"/>
      <c r="I498" s="135">
        <v>1360</v>
      </c>
      <c r="J498" s="136">
        <f>Tabla3[[#This Row],[EGRESOS]]/Tabla3[[#This Row],[TC]]</f>
        <v>1.7647058823529411</v>
      </c>
      <c r="K498" s="136">
        <f>Tabla3[[#This Row],[INGRESOS]]/Tabla3[[#This Row],[TC]]</f>
        <v>0</v>
      </c>
      <c r="L498" s="8" t="s">
        <v>376</v>
      </c>
      <c r="M498" s="8" t="s">
        <v>377</v>
      </c>
      <c r="N498" s="8" t="s">
        <v>30</v>
      </c>
      <c r="O498" s="8" t="s">
        <v>184</v>
      </c>
      <c r="P498" s="8" t="s">
        <v>195</v>
      </c>
      <c r="Q498" s="8" t="s">
        <v>196</v>
      </c>
      <c r="R498" s="8" t="s">
        <v>394</v>
      </c>
      <c r="S498" s="8" t="s">
        <v>383</v>
      </c>
      <c r="T498" s="8"/>
      <c r="U498" s="8" t="s">
        <v>384</v>
      </c>
      <c r="V498" s="8"/>
      <c r="W498" s="8" t="s">
        <v>380</v>
      </c>
      <c r="X498" s="8" t="s">
        <v>99</v>
      </c>
      <c r="Y498" s="8" t="s">
        <v>23</v>
      </c>
    </row>
    <row r="499" spans="1:25" hidden="1" x14ac:dyDescent="0.25">
      <c r="A499" s="273" t="s">
        <v>318</v>
      </c>
      <c r="B499" s="251">
        <v>45898</v>
      </c>
      <c r="C499" s="252" t="s">
        <v>546</v>
      </c>
      <c r="D499" s="252"/>
      <c r="E499" s="253">
        <v>0</v>
      </c>
      <c r="F499" s="253">
        <v>60700000</v>
      </c>
      <c r="G499" s="274">
        <f>Tabla3[[#This Row],[INGRESOS]]-Tabla3[[#This Row],[EGRESOS]]</f>
        <v>60700000</v>
      </c>
      <c r="H499" s="337"/>
      <c r="I499" s="135">
        <v>1360</v>
      </c>
      <c r="J499" s="136">
        <f>Tabla3[[#This Row],[EGRESOS]]/Tabla3[[#This Row],[TC]]</f>
        <v>0</v>
      </c>
      <c r="K499" s="136">
        <f>Tabla3[[#This Row],[INGRESOS]]/Tabla3[[#This Row],[TC]]</f>
        <v>44632.352941176468</v>
      </c>
      <c r="L499" s="8" t="s">
        <v>376</v>
      </c>
      <c r="M499" s="8" t="s">
        <v>377</v>
      </c>
      <c r="N499" s="8" t="s">
        <v>30</v>
      </c>
      <c r="O499" s="8" t="s">
        <v>244</v>
      </c>
      <c r="P499" s="8" t="s">
        <v>259</v>
      </c>
      <c r="Q499" s="8" t="s">
        <v>260</v>
      </c>
      <c r="R499" s="8" t="s">
        <v>405</v>
      </c>
      <c r="S499" s="8"/>
      <c r="T499" s="8"/>
      <c r="U499" s="8" t="s">
        <v>379</v>
      </c>
      <c r="V499" s="8"/>
      <c r="W499" s="8" t="s">
        <v>380</v>
      </c>
      <c r="X499" s="8"/>
      <c r="Y499" s="8"/>
    </row>
    <row r="500" spans="1:25" hidden="1" x14ac:dyDescent="0.25">
      <c r="A500" s="273" t="s">
        <v>318</v>
      </c>
      <c r="B500" s="251">
        <v>45898</v>
      </c>
      <c r="C500" s="252" t="s">
        <v>553</v>
      </c>
      <c r="D500" s="252"/>
      <c r="E500" s="253">
        <v>0</v>
      </c>
      <c r="F500" s="253">
        <v>6000000</v>
      </c>
      <c r="G500" s="274">
        <f>Tabla3[[#This Row],[INGRESOS]]-Tabla3[[#This Row],[EGRESOS]]</f>
        <v>6000000</v>
      </c>
      <c r="H500" s="337"/>
      <c r="I500" s="135">
        <v>1360</v>
      </c>
      <c r="J500" s="136">
        <f>Tabla3[[#This Row],[EGRESOS]]/Tabla3[[#This Row],[TC]]</f>
        <v>0</v>
      </c>
      <c r="K500" s="136">
        <f>Tabla3[[#This Row],[INGRESOS]]/Tabla3[[#This Row],[TC]]</f>
        <v>4411.7647058823532</v>
      </c>
      <c r="L500" s="8" t="s">
        <v>376</v>
      </c>
      <c r="M500" s="8" t="s">
        <v>377</v>
      </c>
      <c r="N500" s="8" t="s">
        <v>30</v>
      </c>
      <c r="O500" s="8" t="s">
        <v>244</v>
      </c>
      <c r="P500" s="8" t="s">
        <v>259</v>
      </c>
      <c r="Q500" s="8" t="s">
        <v>260</v>
      </c>
      <c r="R500" s="8" t="s">
        <v>554</v>
      </c>
      <c r="S500" s="8"/>
      <c r="T500" s="8"/>
      <c r="U500" s="8" t="s">
        <v>379</v>
      </c>
      <c r="V500" s="8"/>
      <c r="W500" s="8" t="s">
        <v>380</v>
      </c>
      <c r="X500" s="8"/>
      <c r="Y500" s="8"/>
    </row>
    <row r="501" spans="1:25" hidden="1" x14ac:dyDescent="0.25">
      <c r="A501" s="273" t="s">
        <v>318</v>
      </c>
      <c r="B501" s="251">
        <v>45898</v>
      </c>
      <c r="C501" s="252" t="s">
        <v>508</v>
      </c>
      <c r="D501" s="252"/>
      <c r="E501" s="253">
        <v>2000000</v>
      </c>
      <c r="F501" s="253">
        <v>0</v>
      </c>
      <c r="G501" s="274">
        <f>Tabla3[[#This Row],[INGRESOS]]-Tabla3[[#This Row],[EGRESOS]]</f>
        <v>-2000000</v>
      </c>
      <c r="H501" s="337"/>
      <c r="I501" s="135">
        <v>1360</v>
      </c>
      <c r="J501" s="136">
        <f>Tabla3[[#This Row],[EGRESOS]]/Tabla3[[#This Row],[TC]]</f>
        <v>1470.5882352941176</v>
      </c>
      <c r="K501" s="136">
        <f>Tabla3[[#This Row],[INGRESOS]]/Tabla3[[#This Row],[TC]]</f>
        <v>0</v>
      </c>
      <c r="L501" s="8" t="s">
        <v>376</v>
      </c>
      <c r="M501" s="8" t="s">
        <v>377</v>
      </c>
      <c r="N501" s="8" t="s">
        <v>30</v>
      </c>
      <c r="O501" s="8" t="s">
        <v>244</v>
      </c>
      <c r="P501" s="8" t="s">
        <v>259</v>
      </c>
      <c r="Q501" s="8" t="s">
        <v>260</v>
      </c>
      <c r="R501" s="8" t="s">
        <v>467</v>
      </c>
      <c r="S501" s="8"/>
      <c r="T501" s="8"/>
      <c r="U501" s="8" t="s">
        <v>379</v>
      </c>
      <c r="V501" s="8"/>
      <c r="W501" s="8" t="s">
        <v>380</v>
      </c>
      <c r="X501" s="8"/>
      <c r="Y501" s="8"/>
    </row>
    <row r="502" spans="1:25" hidden="1" x14ac:dyDescent="0.25">
      <c r="A502" s="273" t="s">
        <v>319</v>
      </c>
      <c r="B502" s="251">
        <v>45901</v>
      </c>
      <c r="C502" s="252" t="s">
        <v>492</v>
      </c>
      <c r="D502" s="252"/>
      <c r="E502" s="253">
        <v>66683061.909999996</v>
      </c>
      <c r="F502" s="253">
        <v>0</v>
      </c>
      <c r="G502" s="274">
        <f>Tabla3[[#This Row],[INGRESOS]]-Tabla3[[#This Row],[EGRESOS]]</f>
        <v>-66683061.909999996</v>
      </c>
      <c r="H502" s="337"/>
      <c r="I502" s="135">
        <v>1360</v>
      </c>
      <c r="J502" s="136">
        <f>Tabla3[[#This Row],[EGRESOS]]/Tabla3[[#This Row],[TC]]</f>
        <v>49031.663169117644</v>
      </c>
      <c r="K502" s="136">
        <f>Tabla3[[#This Row],[INGRESOS]]/Tabla3[[#This Row],[TC]]</f>
        <v>0</v>
      </c>
      <c r="L502" s="8" t="s">
        <v>376</v>
      </c>
      <c r="M502" s="8" t="s">
        <v>377</v>
      </c>
      <c r="N502" s="8" t="s">
        <v>30</v>
      </c>
      <c r="O502" s="8" t="s">
        <v>244</v>
      </c>
      <c r="P502" s="8" t="s">
        <v>38</v>
      </c>
      <c r="Q502" s="8" t="s">
        <v>80</v>
      </c>
      <c r="R502" s="8" t="s">
        <v>80</v>
      </c>
      <c r="S502" s="8" t="s">
        <v>494</v>
      </c>
      <c r="T502" s="8"/>
      <c r="U502" s="8" t="s">
        <v>555</v>
      </c>
      <c r="V502" s="8"/>
      <c r="W502" s="8" t="s">
        <v>475</v>
      </c>
      <c r="X502" s="8" t="s">
        <v>556</v>
      </c>
      <c r="Y502" s="8" t="s">
        <v>23</v>
      </c>
    </row>
    <row r="503" spans="1:25" hidden="1" x14ac:dyDescent="0.25">
      <c r="A503" s="273" t="s">
        <v>319</v>
      </c>
      <c r="B503" s="251">
        <v>45901</v>
      </c>
      <c r="C503" s="252" t="s">
        <v>508</v>
      </c>
      <c r="D503" s="252"/>
      <c r="E503" s="253">
        <v>1200000</v>
      </c>
      <c r="F503" s="253">
        <v>0</v>
      </c>
      <c r="G503" s="274">
        <f>Tabla3[[#This Row],[INGRESOS]]-Tabla3[[#This Row],[EGRESOS]]</f>
        <v>-1200000</v>
      </c>
      <c r="H503" s="337"/>
      <c r="I503" s="135">
        <v>1360</v>
      </c>
      <c r="J503" s="136">
        <f>Tabla3[[#This Row],[EGRESOS]]/Tabla3[[#This Row],[TC]]</f>
        <v>882.35294117647061</v>
      </c>
      <c r="K503" s="136">
        <f>Tabla3[[#This Row],[INGRESOS]]/Tabla3[[#This Row],[TC]]</f>
        <v>0</v>
      </c>
      <c r="L503" s="8" t="s">
        <v>376</v>
      </c>
      <c r="M503" s="8" t="s">
        <v>377</v>
      </c>
      <c r="N503" s="8" t="s">
        <v>30</v>
      </c>
      <c r="O503" s="8" t="s">
        <v>244</v>
      </c>
      <c r="P503" s="8" t="s">
        <v>259</v>
      </c>
      <c r="Q503" s="8" t="s">
        <v>260</v>
      </c>
      <c r="R503" s="8" t="s">
        <v>466</v>
      </c>
      <c r="S503" s="8"/>
      <c r="T503" s="8"/>
      <c r="U503" s="8" t="s">
        <v>379</v>
      </c>
      <c r="V503" s="8"/>
      <c r="W503" s="8" t="s">
        <v>475</v>
      </c>
      <c r="X503" s="8"/>
      <c r="Y503" s="8"/>
    </row>
    <row r="504" spans="1:25" hidden="1" x14ac:dyDescent="0.25">
      <c r="A504" s="273" t="s">
        <v>319</v>
      </c>
      <c r="B504" s="251">
        <v>45901</v>
      </c>
      <c r="C504" s="252" t="s">
        <v>508</v>
      </c>
      <c r="D504" s="252"/>
      <c r="E504" s="253">
        <v>500000</v>
      </c>
      <c r="F504" s="253">
        <v>0</v>
      </c>
      <c r="G504" s="274">
        <f>Tabla3[[#This Row],[INGRESOS]]-Tabla3[[#This Row],[EGRESOS]]</f>
        <v>-500000</v>
      </c>
      <c r="H504" s="337"/>
      <c r="I504" s="135">
        <v>1360</v>
      </c>
      <c r="J504" s="136">
        <f>Tabla3[[#This Row],[EGRESOS]]/Tabla3[[#This Row],[TC]]</f>
        <v>367.64705882352939</v>
      </c>
      <c r="K504" s="136">
        <f>Tabla3[[#This Row],[INGRESOS]]/Tabla3[[#This Row],[TC]]</f>
        <v>0</v>
      </c>
      <c r="L504" s="8" t="s">
        <v>376</v>
      </c>
      <c r="M504" s="8" t="s">
        <v>377</v>
      </c>
      <c r="N504" s="8" t="s">
        <v>30</v>
      </c>
      <c r="O504" s="8" t="s">
        <v>244</v>
      </c>
      <c r="P504" s="8" t="s">
        <v>259</v>
      </c>
      <c r="Q504" s="8" t="s">
        <v>260</v>
      </c>
      <c r="R504" s="8" t="s">
        <v>378</v>
      </c>
      <c r="S504" s="8"/>
      <c r="T504" s="8"/>
      <c r="U504" s="8" t="s">
        <v>379</v>
      </c>
      <c r="V504" s="8"/>
      <c r="W504" s="8" t="s">
        <v>475</v>
      </c>
      <c r="X504" s="8"/>
      <c r="Y504" s="8"/>
    </row>
    <row r="505" spans="1:25" hidden="1" x14ac:dyDescent="0.25">
      <c r="A505" s="273" t="s">
        <v>319</v>
      </c>
      <c r="B505" s="251">
        <v>45901</v>
      </c>
      <c r="C505" s="252" t="s">
        <v>496</v>
      </c>
      <c r="D505" s="252"/>
      <c r="E505" s="253">
        <v>43000</v>
      </c>
      <c r="F505" s="253">
        <v>0</v>
      </c>
      <c r="G505" s="274">
        <f>Tabla3[[#This Row],[INGRESOS]]-Tabla3[[#This Row],[EGRESOS]]</f>
        <v>-43000</v>
      </c>
      <c r="H505" s="337"/>
      <c r="I505" s="135">
        <v>1360</v>
      </c>
      <c r="J505" s="136">
        <f>Tabla3[[#This Row],[EGRESOS]]/Tabla3[[#This Row],[TC]]</f>
        <v>31.617647058823529</v>
      </c>
      <c r="K505" s="136">
        <f>Tabla3[[#This Row],[INGRESOS]]/Tabla3[[#This Row],[TC]]</f>
        <v>0</v>
      </c>
      <c r="L505" s="8" t="s">
        <v>376</v>
      </c>
      <c r="M505" s="8" t="s">
        <v>377</v>
      </c>
      <c r="N505" s="8" t="s">
        <v>30</v>
      </c>
      <c r="O505" s="8" t="s">
        <v>184</v>
      </c>
      <c r="P505" s="8" t="s">
        <v>185</v>
      </c>
      <c r="Q505" s="8" t="s">
        <v>186</v>
      </c>
      <c r="R505" s="8"/>
      <c r="S505" s="8"/>
      <c r="T505" s="8"/>
      <c r="U505" s="8" t="s">
        <v>384</v>
      </c>
      <c r="V505" s="8"/>
      <c r="W505" s="8" t="s">
        <v>475</v>
      </c>
      <c r="X505" s="8" t="s">
        <v>99</v>
      </c>
      <c r="Y505" s="8" t="s">
        <v>23</v>
      </c>
    </row>
    <row r="506" spans="1:25" hidden="1" x14ac:dyDescent="0.25">
      <c r="A506" s="273" t="s">
        <v>319</v>
      </c>
      <c r="B506" s="251">
        <v>45901</v>
      </c>
      <c r="C506" s="252" t="s">
        <v>536</v>
      </c>
      <c r="D506" s="252"/>
      <c r="E506" s="253">
        <v>956</v>
      </c>
      <c r="F506" s="253">
        <v>0</v>
      </c>
      <c r="G506" s="274">
        <f>Tabla3[[#This Row],[INGRESOS]]-Tabla3[[#This Row],[EGRESOS]]</f>
        <v>-956</v>
      </c>
      <c r="H506" s="337"/>
      <c r="I506" s="135">
        <v>1360</v>
      </c>
      <c r="J506" s="136">
        <f>Tabla3[[#This Row],[EGRESOS]]/Tabla3[[#This Row],[TC]]</f>
        <v>0.70294117647058818</v>
      </c>
      <c r="K506" s="136">
        <f>Tabla3[[#This Row],[INGRESOS]]/Tabla3[[#This Row],[TC]]</f>
        <v>0</v>
      </c>
      <c r="L506" s="8" t="s">
        <v>376</v>
      </c>
      <c r="M506" s="8" t="s">
        <v>377</v>
      </c>
      <c r="N506" s="8" t="s">
        <v>30</v>
      </c>
      <c r="O506" s="8" t="s">
        <v>184</v>
      </c>
      <c r="P506" s="8" t="s">
        <v>185</v>
      </c>
      <c r="Q506" s="8" t="s">
        <v>186</v>
      </c>
      <c r="R506" s="8"/>
      <c r="S506" s="8"/>
      <c r="T506" s="8"/>
      <c r="U506" s="8" t="s">
        <v>384</v>
      </c>
      <c r="V506" s="8"/>
      <c r="W506" s="8" t="s">
        <v>475</v>
      </c>
      <c r="X506" s="8" t="s">
        <v>99</v>
      </c>
      <c r="Y506" s="8" t="s">
        <v>23</v>
      </c>
    </row>
    <row r="507" spans="1:25" hidden="1" x14ac:dyDescent="0.25">
      <c r="A507" s="273" t="s">
        <v>319</v>
      </c>
      <c r="B507" s="251">
        <v>45901</v>
      </c>
      <c r="C507" s="252" t="s">
        <v>497</v>
      </c>
      <c r="D507" s="252"/>
      <c r="E507" s="253">
        <v>9230.76</v>
      </c>
      <c r="F507" s="253">
        <v>0</v>
      </c>
      <c r="G507" s="274">
        <f>Tabla3[[#This Row],[INGRESOS]]-Tabla3[[#This Row],[EGRESOS]]</f>
        <v>-9230.76</v>
      </c>
      <c r="H507" s="337"/>
      <c r="I507" s="135">
        <v>1360</v>
      </c>
      <c r="J507" s="136">
        <f>Tabla3[[#This Row],[EGRESOS]]/Tabla3[[#This Row],[TC]]</f>
        <v>6.7873235294117649</v>
      </c>
      <c r="K507" s="136">
        <f>Tabla3[[#This Row],[INGRESOS]]/Tabla3[[#This Row],[TC]]</f>
        <v>0</v>
      </c>
      <c r="L507" s="8" t="s">
        <v>376</v>
      </c>
      <c r="M507" s="8" t="s">
        <v>377</v>
      </c>
      <c r="N507" s="8" t="s">
        <v>30</v>
      </c>
      <c r="O507" s="8" t="s">
        <v>184</v>
      </c>
      <c r="P507" s="8" t="s">
        <v>195</v>
      </c>
      <c r="Q507" s="8" t="s">
        <v>196</v>
      </c>
      <c r="R507" s="8" t="s">
        <v>273</v>
      </c>
      <c r="S507" s="8"/>
      <c r="T507" s="8"/>
      <c r="U507" s="8" t="s">
        <v>384</v>
      </c>
      <c r="V507" s="8"/>
      <c r="W507" s="8" t="s">
        <v>475</v>
      </c>
      <c r="X507" s="8" t="s">
        <v>99</v>
      </c>
      <c r="Y507" s="8" t="s">
        <v>23</v>
      </c>
    </row>
    <row r="508" spans="1:25" hidden="1" x14ac:dyDescent="0.25">
      <c r="A508" s="273" t="s">
        <v>319</v>
      </c>
      <c r="B508" s="251">
        <v>45901</v>
      </c>
      <c r="C508" s="252" t="s">
        <v>498</v>
      </c>
      <c r="D508" s="252"/>
      <c r="E508" s="253">
        <v>1318.68</v>
      </c>
      <c r="F508" s="253">
        <v>0</v>
      </c>
      <c r="G508" s="274">
        <f>Tabla3[[#This Row],[INGRESOS]]-Tabla3[[#This Row],[EGRESOS]]</f>
        <v>-1318.68</v>
      </c>
      <c r="H508" s="337"/>
      <c r="I508" s="135">
        <v>1360</v>
      </c>
      <c r="J508" s="136">
        <f>Tabla3[[#This Row],[EGRESOS]]/Tabla3[[#This Row],[TC]]</f>
        <v>0.96961764705882358</v>
      </c>
      <c r="K508" s="136">
        <f>Tabla3[[#This Row],[INGRESOS]]/Tabla3[[#This Row],[TC]]</f>
        <v>0</v>
      </c>
      <c r="L508" s="8" t="s">
        <v>376</v>
      </c>
      <c r="M508" s="8" t="s">
        <v>377</v>
      </c>
      <c r="N508" s="8" t="s">
        <v>30</v>
      </c>
      <c r="O508" s="8" t="s">
        <v>184</v>
      </c>
      <c r="P508" s="8" t="s">
        <v>195</v>
      </c>
      <c r="Q508" s="8" t="s">
        <v>196</v>
      </c>
      <c r="R508" s="8" t="s">
        <v>499</v>
      </c>
      <c r="S508" s="8"/>
      <c r="T508" s="8"/>
      <c r="U508" s="8" t="s">
        <v>384</v>
      </c>
      <c r="V508" s="8"/>
      <c r="W508" s="8" t="s">
        <v>475</v>
      </c>
      <c r="X508" s="8" t="s">
        <v>99</v>
      </c>
      <c r="Y508" s="8" t="s">
        <v>23</v>
      </c>
    </row>
    <row r="509" spans="1:25" hidden="1" x14ac:dyDescent="0.25">
      <c r="A509" s="273" t="s">
        <v>319</v>
      </c>
      <c r="B509" s="251">
        <v>45901</v>
      </c>
      <c r="C509" s="252" t="s">
        <v>500</v>
      </c>
      <c r="D509" s="252"/>
      <c r="E509" s="253">
        <v>400098.37</v>
      </c>
      <c r="F509" s="253">
        <v>0</v>
      </c>
      <c r="G509" s="274">
        <f>Tabla3[[#This Row],[INGRESOS]]-Tabla3[[#This Row],[EGRESOS]]</f>
        <v>-400098.37</v>
      </c>
      <c r="H509" s="337"/>
      <c r="I509" s="135">
        <v>1360</v>
      </c>
      <c r="J509" s="136">
        <f>Tabla3[[#This Row],[EGRESOS]]/Tabla3[[#This Row],[TC]]</f>
        <v>294.18997794117649</v>
      </c>
      <c r="K509" s="136">
        <f>Tabla3[[#This Row],[INGRESOS]]/Tabla3[[#This Row],[TC]]</f>
        <v>0</v>
      </c>
      <c r="L509" s="8" t="s">
        <v>376</v>
      </c>
      <c r="M509" s="8" t="s">
        <v>377</v>
      </c>
      <c r="N509" s="8" t="s">
        <v>30</v>
      </c>
      <c r="O509" s="8" t="s">
        <v>184</v>
      </c>
      <c r="P509" s="8" t="s">
        <v>195</v>
      </c>
      <c r="Q509" s="8" t="s">
        <v>196</v>
      </c>
      <c r="R509" s="8" t="s">
        <v>394</v>
      </c>
      <c r="S509" s="8"/>
      <c r="T509" s="8"/>
      <c r="U509" s="8" t="s">
        <v>384</v>
      </c>
      <c r="V509" s="8"/>
      <c r="W509" s="8" t="s">
        <v>475</v>
      </c>
      <c r="X509" s="8" t="s">
        <v>99</v>
      </c>
      <c r="Y509" s="8" t="s">
        <v>23</v>
      </c>
    </row>
    <row r="510" spans="1:25" hidden="1" x14ac:dyDescent="0.25">
      <c r="A510" s="273" t="s">
        <v>319</v>
      </c>
      <c r="B510" s="251">
        <v>45901</v>
      </c>
      <c r="C510" s="252" t="s">
        <v>500</v>
      </c>
      <c r="D510" s="252"/>
      <c r="E510" s="253">
        <v>258</v>
      </c>
      <c r="F510" s="253">
        <v>0</v>
      </c>
      <c r="G510" s="274">
        <f>Tabla3[[#This Row],[INGRESOS]]-Tabla3[[#This Row],[EGRESOS]]</f>
        <v>-258</v>
      </c>
      <c r="H510" s="337"/>
      <c r="I510" s="135">
        <v>1360</v>
      </c>
      <c r="J510" s="136">
        <f>Tabla3[[#This Row],[EGRESOS]]/Tabla3[[#This Row],[TC]]</f>
        <v>0.18970588235294117</v>
      </c>
      <c r="K510" s="136">
        <f>Tabla3[[#This Row],[INGRESOS]]/Tabla3[[#This Row],[TC]]</f>
        <v>0</v>
      </c>
      <c r="L510" s="8" t="s">
        <v>376</v>
      </c>
      <c r="M510" s="8" t="s">
        <v>377</v>
      </c>
      <c r="N510" s="8" t="s">
        <v>30</v>
      </c>
      <c r="O510" s="8" t="s">
        <v>184</v>
      </c>
      <c r="P510" s="8" t="s">
        <v>195</v>
      </c>
      <c r="Q510" s="8" t="s">
        <v>196</v>
      </c>
      <c r="R510" s="8" t="s">
        <v>394</v>
      </c>
      <c r="S510" s="8"/>
      <c r="T510" s="8"/>
      <c r="U510" s="8" t="s">
        <v>384</v>
      </c>
      <c r="V510" s="8"/>
      <c r="W510" s="8" t="s">
        <v>475</v>
      </c>
      <c r="X510" s="8" t="s">
        <v>99</v>
      </c>
      <c r="Y510" s="8" t="s">
        <v>23</v>
      </c>
    </row>
    <row r="511" spans="1:25" hidden="1" x14ac:dyDescent="0.25">
      <c r="A511" s="273" t="s">
        <v>319</v>
      </c>
      <c r="B511" s="251">
        <v>45901</v>
      </c>
      <c r="C511" s="252" t="s">
        <v>500</v>
      </c>
      <c r="D511" s="252"/>
      <c r="E511" s="253">
        <v>5.74</v>
      </c>
      <c r="F511" s="253">
        <v>0</v>
      </c>
      <c r="G511" s="274">
        <f>Tabla3[[#This Row],[INGRESOS]]-Tabla3[[#This Row],[EGRESOS]]</f>
        <v>-5.74</v>
      </c>
      <c r="H511" s="337"/>
      <c r="I511" s="135">
        <v>1360</v>
      </c>
      <c r="J511" s="136">
        <f>Tabla3[[#This Row],[EGRESOS]]/Tabla3[[#This Row],[TC]]</f>
        <v>4.2205882352941175E-3</v>
      </c>
      <c r="K511" s="136">
        <f>Tabla3[[#This Row],[INGRESOS]]/Tabla3[[#This Row],[TC]]</f>
        <v>0</v>
      </c>
      <c r="L511" s="8" t="s">
        <v>376</v>
      </c>
      <c r="M511" s="8" t="s">
        <v>377</v>
      </c>
      <c r="N511" s="8" t="s">
        <v>30</v>
      </c>
      <c r="O511" s="8" t="s">
        <v>184</v>
      </c>
      <c r="P511" s="8" t="s">
        <v>195</v>
      </c>
      <c r="Q511" s="8" t="s">
        <v>196</v>
      </c>
      <c r="R511" s="8" t="s">
        <v>394</v>
      </c>
      <c r="S511" s="8"/>
      <c r="T511" s="8"/>
      <c r="U511" s="8" t="s">
        <v>384</v>
      </c>
      <c r="V511" s="8"/>
      <c r="W511" s="8" t="s">
        <v>475</v>
      </c>
      <c r="X511" s="8" t="s">
        <v>99</v>
      </c>
      <c r="Y511" s="8" t="s">
        <v>23</v>
      </c>
    </row>
    <row r="512" spans="1:25" hidden="1" x14ac:dyDescent="0.25">
      <c r="A512" s="273" t="s">
        <v>319</v>
      </c>
      <c r="B512" s="251">
        <v>45901</v>
      </c>
      <c r="C512" s="252" t="s">
        <v>500</v>
      </c>
      <c r="D512" s="252"/>
      <c r="E512" s="253">
        <v>55.38</v>
      </c>
      <c r="F512" s="253">
        <v>0</v>
      </c>
      <c r="G512" s="274">
        <f>Tabla3[[#This Row],[INGRESOS]]-Tabla3[[#This Row],[EGRESOS]]</f>
        <v>-55.38</v>
      </c>
      <c r="H512" s="337"/>
      <c r="I512" s="135">
        <v>1360</v>
      </c>
      <c r="J512" s="136">
        <f>Tabla3[[#This Row],[EGRESOS]]/Tabla3[[#This Row],[TC]]</f>
        <v>4.072058823529412E-2</v>
      </c>
      <c r="K512" s="136">
        <f>Tabla3[[#This Row],[INGRESOS]]/Tabla3[[#This Row],[TC]]</f>
        <v>0</v>
      </c>
      <c r="L512" s="8" t="s">
        <v>376</v>
      </c>
      <c r="M512" s="8" t="s">
        <v>377</v>
      </c>
      <c r="N512" s="8" t="s">
        <v>30</v>
      </c>
      <c r="O512" s="8" t="s">
        <v>184</v>
      </c>
      <c r="P512" s="8" t="s">
        <v>195</v>
      </c>
      <c r="Q512" s="8" t="s">
        <v>196</v>
      </c>
      <c r="R512" s="8" t="s">
        <v>394</v>
      </c>
      <c r="S512" s="8"/>
      <c r="T512" s="8"/>
      <c r="U512" s="8" t="s">
        <v>384</v>
      </c>
      <c r="V512" s="8"/>
      <c r="W512" s="8" t="s">
        <v>475</v>
      </c>
      <c r="X512" s="8" t="s">
        <v>99</v>
      </c>
      <c r="Y512" s="8" t="s">
        <v>23</v>
      </c>
    </row>
    <row r="513" spans="1:25" hidden="1" x14ac:dyDescent="0.25">
      <c r="A513" s="273" t="s">
        <v>319</v>
      </c>
      <c r="B513" s="251">
        <v>45901</v>
      </c>
      <c r="C513" s="252" t="s">
        <v>500</v>
      </c>
      <c r="D513" s="252"/>
      <c r="E513" s="253">
        <v>7.91</v>
      </c>
      <c r="F513" s="253">
        <v>0</v>
      </c>
      <c r="G513" s="274">
        <f>Tabla3[[#This Row],[INGRESOS]]-Tabla3[[#This Row],[EGRESOS]]</f>
        <v>-7.91</v>
      </c>
      <c r="H513" s="337"/>
      <c r="I513" s="135">
        <v>1360</v>
      </c>
      <c r="J513" s="136">
        <f>Tabla3[[#This Row],[EGRESOS]]/Tabla3[[#This Row],[TC]]</f>
        <v>5.8161764705882352E-3</v>
      </c>
      <c r="K513" s="136">
        <f>Tabla3[[#This Row],[INGRESOS]]/Tabla3[[#This Row],[TC]]</f>
        <v>0</v>
      </c>
      <c r="L513" s="8" t="s">
        <v>376</v>
      </c>
      <c r="M513" s="8" t="s">
        <v>377</v>
      </c>
      <c r="N513" s="8" t="s">
        <v>30</v>
      </c>
      <c r="O513" s="8" t="s">
        <v>184</v>
      </c>
      <c r="P513" s="8" t="s">
        <v>195</v>
      </c>
      <c r="Q513" s="8" t="s">
        <v>196</v>
      </c>
      <c r="R513" s="8" t="s">
        <v>394</v>
      </c>
      <c r="S513" s="8"/>
      <c r="T513" s="8"/>
      <c r="U513" s="8" t="s">
        <v>384</v>
      </c>
      <c r="V513" s="8"/>
      <c r="W513" s="8" t="s">
        <v>475</v>
      </c>
      <c r="X513" s="8" t="s">
        <v>99</v>
      </c>
      <c r="Y513" s="8" t="s">
        <v>23</v>
      </c>
    </row>
    <row r="514" spans="1:25" hidden="1" x14ac:dyDescent="0.25">
      <c r="A514" s="273" t="s">
        <v>319</v>
      </c>
      <c r="B514" s="251">
        <v>45902</v>
      </c>
      <c r="C514" s="252" t="s">
        <v>536</v>
      </c>
      <c r="D514" s="252"/>
      <c r="E514" s="253">
        <v>956</v>
      </c>
      <c r="F514" s="253">
        <v>0</v>
      </c>
      <c r="G514" s="274">
        <f>Tabla3[[#This Row],[INGRESOS]]-Tabla3[[#This Row],[EGRESOS]]</f>
        <v>-956</v>
      </c>
      <c r="H514" s="337"/>
      <c r="I514" s="135">
        <v>1360</v>
      </c>
      <c r="J514" s="136">
        <f>Tabla3[[#This Row],[EGRESOS]]/Tabla3[[#This Row],[TC]]</f>
        <v>0.70294117647058818</v>
      </c>
      <c r="K514" s="136">
        <f>Tabla3[[#This Row],[INGRESOS]]/Tabla3[[#This Row],[TC]]</f>
        <v>0</v>
      </c>
      <c r="L514" s="8" t="s">
        <v>376</v>
      </c>
      <c r="M514" s="8" t="s">
        <v>377</v>
      </c>
      <c r="N514" s="8" t="s">
        <v>30</v>
      </c>
      <c r="O514" s="8" t="s">
        <v>184</v>
      </c>
      <c r="P514" s="8" t="s">
        <v>185</v>
      </c>
      <c r="Q514" s="8" t="s">
        <v>186</v>
      </c>
      <c r="R514" s="8"/>
      <c r="S514" s="8"/>
      <c r="T514" s="8"/>
      <c r="U514" s="8" t="s">
        <v>384</v>
      </c>
      <c r="V514" s="8"/>
      <c r="W514" s="8" t="s">
        <v>475</v>
      </c>
      <c r="X514" s="8" t="s">
        <v>99</v>
      </c>
      <c r="Y514" s="8" t="s">
        <v>23</v>
      </c>
    </row>
    <row r="515" spans="1:25" hidden="1" x14ac:dyDescent="0.25">
      <c r="A515" s="273" t="s">
        <v>319</v>
      </c>
      <c r="B515" s="251">
        <v>45902</v>
      </c>
      <c r="C515" s="252" t="s">
        <v>536</v>
      </c>
      <c r="D515" s="252"/>
      <c r="E515" s="253">
        <v>956</v>
      </c>
      <c r="F515" s="253">
        <v>0</v>
      </c>
      <c r="G515" s="274">
        <f>Tabla3[[#This Row],[INGRESOS]]-Tabla3[[#This Row],[EGRESOS]]</f>
        <v>-956</v>
      </c>
      <c r="H515" s="337"/>
      <c r="I515" s="135">
        <v>1360</v>
      </c>
      <c r="J515" s="136">
        <f>Tabla3[[#This Row],[EGRESOS]]/Tabla3[[#This Row],[TC]]</f>
        <v>0.70294117647058818</v>
      </c>
      <c r="K515" s="136">
        <f>Tabla3[[#This Row],[INGRESOS]]/Tabla3[[#This Row],[TC]]</f>
        <v>0</v>
      </c>
      <c r="L515" s="8" t="s">
        <v>376</v>
      </c>
      <c r="M515" s="8" t="s">
        <v>377</v>
      </c>
      <c r="N515" s="8" t="s">
        <v>30</v>
      </c>
      <c r="O515" s="8" t="s">
        <v>184</v>
      </c>
      <c r="P515" s="8" t="s">
        <v>185</v>
      </c>
      <c r="Q515" s="8" t="s">
        <v>186</v>
      </c>
      <c r="R515" s="8"/>
      <c r="S515" s="8"/>
      <c r="T515" s="8"/>
      <c r="U515" s="8" t="s">
        <v>384</v>
      </c>
      <c r="V515" s="8"/>
      <c r="W515" s="8" t="s">
        <v>475</v>
      </c>
      <c r="X515" s="8" t="s">
        <v>99</v>
      </c>
      <c r="Y515" s="8" t="s">
        <v>23</v>
      </c>
    </row>
    <row r="516" spans="1:25" hidden="1" x14ac:dyDescent="0.25">
      <c r="A516" s="273" t="s">
        <v>319</v>
      </c>
      <c r="B516" s="251">
        <v>45902</v>
      </c>
      <c r="C516" s="252" t="s">
        <v>497</v>
      </c>
      <c r="D516" s="252"/>
      <c r="E516" s="253">
        <v>401.52</v>
      </c>
      <c r="F516" s="253">
        <v>0</v>
      </c>
      <c r="G516" s="274">
        <f>Tabla3[[#This Row],[INGRESOS]]-Tabla3[[#This Row],[EGRESOS]]</f>
        <v>-401.52</v>
      </c>
      <c r="H516" s="337"/>
      <c r="I516" s="135">
        <v>1360</v>
      </c>
      <c r="J516" s="136">
        <f>Tabla3[[#This Row],[EGRESOS]]/Tabla3[[#This Row],[TC]]</f>
        <v>0.29523529411764704</v>
      </c>
      <c r="K516" s="136">
        <f>Tabla3[[#This Row],[INGRESOS]]/Tabla3[[#This Row],[TC]]</f>
        <v>0</v>
      </c>
      <c r="L516" s="8" t="s">
        <v>376</v>
      </c>
      <c r="M516" s="8" t="s">
        <v>377</v>
      </c>
      <c r="N516" s="8" t="s">
        <v>30</v>
      </c>
      <c r="O516" s="8" t="s">
        <v>184</v>
      </c>
      <c r="P516" s="8" t="s">
        <v>195</v>
      </c>
      <c r="Q516" s="8" t="s">
        <v>196</v>
      </c>
      <c r="R516" s="8" t="s">
        <v>273</v>
      </c>
      <c r="S516" s="8"/>
      <c r="T516" s="8"/>
      <c r="U516" s="8" t="s">
        <v>384</v>
      </c>
      <c r="V516" s="8"/>
      <c r="W516" s="8" t="s">
        <v>475</v>
      </c>
      <c r="X516" s="8" t="s">
        <v>99</v>
      </c>
      <c r="Y516" s="8" t="s">
        <v>23</v>
      </c>
    </row>
    <row r="517" spans="1:25" hidden="1" x14ac:dyDescent="0.25">
      <c r="A517" s="273" t="s">
        <v>319</v>
      </c>
      <c r="B517" s="251">
        <v>45902</v>
      </c>
      <c r="C517" s="252" t="s">
        <v>500</v>
      </c>
      <c r="D517" s="252"/>
      <c r="E517" s="253">
        <v>5.74</v>
      </c>
      <c r="F517" s="253">
        <v>0</v>
      </c>
      <c r="G517" s="274">
        <f>Tabla3[[#This Row],[INGRESOS]]-Tabla3[[#This Row],[EGRESOS]]</f>
        <v>-5.74</v>
      </c>
      <c r="H517" s="337"/>
      <c r="I517" s="135">
        <v>1360</v>
      </c>
      <c r="J517" s="136">
        <f>Tabla3[[#This Row],[EGRESOS]]/Tabla3[[#This Row],[TC]]</f>
        <v>4.2205882352941175E-3</v>
      </c>
      <c r="K517" s="136">
        <f>Tabla3[[#This Row],[INGRESOS]]/Tabla3[[#This Row],[TC]]</f>
        <v>0</v>
      </c>
      <c r="L517" s="8" t="s">
        <v>376</v>
      </c>
      <c r="M517" s="8" t="s">
        <v>377</v>
      </c>
      <c r="N517" s="8" t="s">
        <v>30</v>
      </c>
      <c r="O517" s="8" t="s">
        <v>184</v>
      </c>
      <c r="P517" s="8" t="s">
        <v>195</v>
      </c>
      <c r="Q517" s="8" t="s">
        <v>196</v>
      </c>
      <c r="R517" s="8" t="s">
        <v>394</v>
      </c>
      <c r="S517" s="8"/>
      <c r="T517" s="8"/>
      <c r="U517" s="8" t="s">
        <v>384</v>
      </c>
      <c r="V517" s="8"/>
      <c r="W517" s="8" t="s">
        <v>475</v>
      </c>
      <c r="X517" s="8" t="s">
        <v>99</v>
      </c>
      <c r="Y517" s="8" t="s">
        <v>23</v>
      </c>
    </row>
    <row r="518" spans="1:25" hidden="1" x14ac:dyDescent="0.25">
      <c r="A518" s="273" t="s">
        <v>319</v>
      </c>
      <c r="B518" s="251">
        <v>45902</v>
      </c>
      <c r="C518" s="252" t="s">
        <v>500</v>
      </c>
      <c r="D518" s="252"/>
      <c r="E518" s="253">
        <v>5.74</v>
      </c>
      <c r="F518" s="253">
        <v>0</v>
      </c>
      <c r="G518" s="274">
        <f>Tabla3[[#This Row],[INGRESOS]]-Tabla3[[#This Row],[EGRESOS]]</f>
        <v>-5.74</v>
      </c>
      <c r="H518" s="337"/>
      <c r="I518" s="135">
        <v>1360</v>
      </c>
      <c r="J518" s="136">
        <f>Tabla3[[#This Row],[EGRESOS]]/Tabla3[[#This Row],[TC]]</f>
        <v>4.2205882352941175E-3</v>
      </c>
      <c r="K518" s="136">
        <f>Tabla3[[#This Row],[INGRESOS]]/Tabla3[[#This Row],[TC]]</f>
        <v>0</v>
      </c>
      <c r="L518" s="8" t="s">
        <v>376</v>
      </c>
      <c r="M518" s="8" t="s">
        <v>377</v>
      </c>
      <c r="N518" s="8" t="s">
        <v>30</v>
      </c>
      <c r="O518" s="8" t="s">
        <v>184</v>
      </c>
      <c r="P518" s="8" t="s">
        <v>195</v>
      </c>
      <c r="Q518" s="8" t="s">
        <v>196</v>
      </c>
      <c r="R518" s="8" t="s">
        <v>394</v>
      </c>
      <c r="S518" s="8"/>
      <c r="T518" s="8"/>
      <c r="U518" s="8" t="s">
        <v>384</v>
      </c>
      <c r="V518" s="8"/>
      <c r="W518" s="8" t="s">
        <v>475</v>
      </c>
      <c r="X518" s="8" t="s">
        <v>99</v>
      </c>
      <c r="Y518" s="8" t="s">
        <v>23</v>
      </c>
    </row>
    <row r="519" spans="1:25" hidden="1" x14ac:dyDescent="0.25">
      <c r="A519" s="273" t="s">
        <v>319</v>
      </c>
      <c r="B519" s="251">
        <v>45902</v>
      </c>
      <c r="C519" s="252" t="s">
        <v>500</v>
      </c>
      <c r="D519" s="252"/>
      <c r="E519" s="253">
        <v>2.41</v>
      </c>
      <c r="F519" s="253">
        <v>0</v>
      </c>
      <c r="G519" s="274">
        <f>Tabla3[[#This Row],[INGRESOS]]-Tabla3[[#This Row],[EGRESOS]]</f>
        <v>-2.41</v>
      </c>
      <c r="H519" s="365">
        <v>-1561428.16</v>
      </c>
      <c r="I519" s="135">
        <v>1360</v>
      </c>
      <c r="J519" s="136">
        <f>Tabla3[[#This Row],[EGRESOS]]/Tabla3[[#This Row],[TC]]</f>
        <v>1.7720588235294119E-3</v>
      </c>
      <c r="K519" s="136">
        <f>Tabla3[[#This Row],[INGRESOS]]/Tabla3[[#This Row],[TC]]</f>
        <v>0</v>
      </c>
      <c r="L519" s="8" t="s">
        <v>376</v>
      </c>
      <c r="M519" s="8" t="s">
        <v>377</v>
      </c>
      <c r="N519" s="8" t="s">
        <v>30</v>
      </c>
      <c r="O519" s="8" t="s">
        <v>184</v>
      </c>
      <c r="P519" s="8" t="s">
        <v>195</v>
      </c>
      <c r="Q519" s="8" t="s">
        <v>196</v>
      </c>
      <c r="R519" s="8" t="s">
        <v>394</v>
      </c>
      <c r="S519" s="8"/>
      <c r="T519" s="8"/>
      <c r="U519" s="8" t="s">
        <v>384</v>
      </c>
      <c r="V519" s="8"/>
      <c r="W519" s="8" t="s">
        <v>475</v>
      </c>
      <c r="X519" s="8" t="s">
        <v>99</v>
      </c>
      <c r="Y519" s="8" t="s">
        <v>23</v>
      </c>
    </row>
    <row r="520" spans="1:25" hidden="1" x14ac:dyDescent="0.25">
      <c r="A520" s="273" t="s">
        <v>319</v>
      </c>
      <c r="B520" s="251">
        <v>45909</v>
      </c>
      <c r="C520" s="252" t="s">
        <v>557</v>
      </c>
      <c r="D520" s="252"/>
      <c r="E520" s="253">
        <v>0</v>
      </c>
      <c r="F520" s="253">
        <v>50000000</v>
      </c>
      <c r="G520" s="274">
        <f>Tabla3[[#This Row],[INGRESOS]]-Tabla3[[#This Row],[EGRESOS]]</f>
        <v>50000000</v>
      </c>
      <c r="H520" s="337"/>
      <c r="I520" s="135">
        <v>1360</v>
      </c>
      <c r="J520" s="136">
        <f>Tabla3[[#This Row],[EGRESOS]]/Tabla3[[#This Row],[TC]]</f>
        <v>0</v>
      </c>
      <c r="K520" s="136">
        <f>Tabla3[[#This Row],[INGRESOS]]/Tabla3[[#This Row],[TC]]</f>
        <v>36764.705882352944</v>
      </c>
      <c r="L520" s="8" t="s">
        <v>376</v>
      </c>
      <c r="M520" s="8" t="s">
        <v>377</v>
      </c>
      <c r="N520" s="8" t="s">
        <v>30</v>
      </c>
      <c r="O520" s="8" t="s">
        <v>244</v>
      </c>
      <c r="P520" s="8" t="s">
        <v>261</v>
      </c>
      <c r="Q520" s="8" t="s">
        <v>80</v>
      </c>
      <c r="R520" s="8"/>
      <c r="S520" s="8" t="s">
        <v>30</v>
      </c>
      <c r="T520" s="8"/>
      <c r="U520" s="8" t="s">
        <v>442</v>
      </c>
      <c r="V520" s="8"/>
      <c r="W520" s="8" t="s">
        <v>475</v>
      </c>
      <c r="X520" s="8" t="s">
        <v>23</v>
      </c>
      <c r="Y520" s="8" t="s">
        <v>80</v>
      </c>
    </row>
    <row r="521" spans="1:25" hidden="1" x14ac:dyDescent="0.25">
      <c r="A521" s="273" t="s">
        <v>319</v>
      </c>
      <c r="B521" s="251">
        <v>45909</v>
      </c>
      <c r="C521" s="252" t="s">
        <v>558</v>
      </c>
      <c r="D521" s="252"/>
      <c r="E521" s="253">
        <v>500000</v>
      </c>
      <c r="F521" s="253">
        <v>0</v>
      </c>
      <c r="G521" s="274">
        <f>Tabla3[[#This Row],[INGRESOS]]-Tabla3[[#This Row],[EGRESOS]]</f>
        <v>-500000</v>
      </c>
      <c r="H521" s="337"/>
      <c r="I521" s="135">
        <v>1360</v>
      </c>
      <c r="J521" s="136">
        <f>Tabla3[[#This Row],[EGRESOS]]/Tabla3[[#This Row],[TC]]</f>
        <v>367.64705882352939</v>
      </c>
      <c r="K521" s="136">
        <f>Tabla3[[#This Row],[INGRESOS]]/Tabla3[[#This Row],[TC]]</f>
        <v>0</v>
      </c>
      <c r="L521" s="8" t="s">
        <v>376</v>
      </c>
      <c r="M521" s="8" t="s">
        <v>377</v>
      </c>
      <c r="N521" s="8" t="s">
        <v>30</v>
      </c>
      <c r="O521" s="8" t="s">
        <v>184</v>
      </c>
      <c r="P521" s="8" t="s">
        <v>195</v>
      </c>
      <c r="Q521" s="8" t="s">
        <v>186</v>
      </c>
      <c r="R521" s="8"/>
      <c r="S521" s="8"/>
      <c r="T521" s="8"/>
      <c r="U521" s="8" t="s">
        <v>384</v>
      </c>
      <c r="V521" s="8"/>
      <c r="W521" s="8" t="s">
        <v>475</v>
      </c>
      <c r="X521" s="8" t="s">
        <v>99</v>
      </c>
      <c r="Y521" s="8" t="s">
        <v>23</v>
      </c>
    </row>
    <row r="522" spans="1:25" hidden="1" x14ac:dyDescent="0.25">
      <c r="A522" s="273" t="s">
        <v>319</v>
      </c>
      <c r="B522" s="251">
        <v>45909</v>
      </c>
      <c r="C522" s="252" t="s">
        <v>497</v>
      </c>
      <c r="D522" s="252"/>
      <c r="E522" s="253">
        <v>105000</v>
      </c>
      <c r="F522" s="253">
        <v>0</v>
      </c>
      <c r="G522" s="274">
        <f>Tabla3[[#This Row],[INGRESOS]]-Tabla3[[#This Row],[EGRESOS]]</f>
        <v>-105000</v>
      </c>
      <c r="H522" s="337"/>
      <c r="I522" s="135">
        <v>1360</v>
      </c>
      <c r="J522" s="136">
        <f>Tabla3[[#This Row],[EGRESOS]]/Tabla3[[#This Row],[TC]]</f>
        <v>77.205882352941174</v>
      </c>
      <c r="K522" s="136">
        <f>Tabla3[[#This Row],[INGRESOS]]/Tabla3[[#This Row],[TC]]</f>
        <v>0</v>
      </c>
      <c r="L522" s="8" t="s">
        <v>376</v>
      </c>
      <c r="M522" s="8" t="s">
        <v>377</v>
      </c>
      <c r="N522" s="8" t="s">
        <v>30</v>
      </c>
      <c r="O522" s="8" t="s">
        <v>184</v>
      </c>
      <c r="P522" s="8" t="s">
        <v>195</v>
      </c>
      <c r="Q522" s="8" t="s">
        <v>196</v>
      </c>
      <c r="R522" s="8" t="s">
        <v>273</v>
      </c>
      <c r="S522" s="8"/>
      <c r="T522" s="8"/>
      <c r="U522" s="8" t="s">
        <v>384</v>
      </c>
      <c r="V522" s="8"/>
      <c r="W522" s="8" t="s">
        <v>475</v>
      </c>
      <c r="X522" s="8" t="s">
        <v>99</v>
      </c>
      <c r="Y522" s="8" t="s">
        <v>23</v>
      </c>
    </row>
    <row r="523" spans="1:25" hidden="1" x14ac:dyDescent="0.25">
      <c r="A523" s="273" t="s">
        <v>319</v>
      </c>
      <c r="B523" s="251">
        <v>45909</v>
      </c>
      <c r="C523" s="252" t="s">
        <v>498</v>
      </c>
      <c r="D523" s="252"/>
      <c r="E523" s="253">
        <v>15000</v>
      </c>
      <c r="F523" s="253">
        <v>0</v>
      </c>
      <c r="G523" s="274">
        <f>Tabla3[[#This Row],[INGRESOS]]-Tabla3[[#This Row],[EGRESOS]]</f>
        <v>-15000</v>
      </c>
      <c r="H523" s="337"/>
      <c r="I523" s="135">
        <v>1360</v>
      </c>
      <c r="J523" s="136">
        <f>Tabla3[[#This Row],[EGRESOS]]/Tabla3[[#This Row],[TC]]</f>
        <v>11.029411764705882</v>
      </c>
      <c r="K523" s="136">
        <f>Tabla3[[#This Row],[INGRESOS]]/Tabla3[[#This Row],[TC]]</f>
        <v>0</v>
      </c>
      <c r="L523" s="8" t="s">
        <v>376</v>
      </c>
      <c r="M523" s="8" t="s">
        <v>377</v>
      </c>
      <c r="N523" s="8" t="s">
        <v>30</v>
      </c>
      <c r="O523" s="8" t="s">
        <v>184</v>
      </c>
      <c r="P523" s="8" t="s">
        <v>195</v>
      </c>
      <c r="Q523" s="8" t="s">
        <v>196</v>
      </c>
      <c r="R523" s="8" t="s">
        <v>499</v>
      </c>
      <c r="S523" s="8"/>
      <c r="T523" s="8"/>
      <c r="U523" s="8" t="s">
        <v>384</v>
      </c>
      <c r="V523" s="8"/>
      <c r="W523" s="8" t="s">
        <v>475</v>
      </c>
      <c r="X523" s="8" t="s">
        <v>99</v>
      </c>
      <c r="Y523" s="8" t="s">
        <v>23</v>
      </c>
    </row>
    <row r="524" spans="1:25" hidden="1" x14ac:dyDescent="0.25">
      <c r="A524" s="273" t="s">
        <v>319</v>
      </c>
      <c r="B524" s="251">
        <v>45909</v>
      </c>
      <c r="C524" s="252" t="s">
        <v>500</v>
      </c>
      <c r="D524" s="252"/>
      <c r="E524" s="253">
        <v>3000</v>
      </c>
      <c r="F524" s="253">
        <v>0</v>
      </c>
      <c r="G524" s="274">
        <f>Tabla3[[#This Row],[INGRESOS]]-Tabla3[[#This Row],[EGRESOS]]</f>
        <v>-3000</v>
      </c>
      <c r="H524" s="337"/>
      <c r="I524" s="135">
        <v>1360</v>
      </c>
      <c r="J524" s="136">
        <f>Tabla3[[#This Row],[EGRESOS]]/Tabla3[[#This Row],[TC]]</f>
        <v>2.2058823529411766</v>
      </c>
      <c r="K524" s="136">
        <f>Tabla3[[#This Row],[INGRESOS]]/Tabla3[[#This Row],[TC]]</f>
        <v>0</v>
      </c>
      <c r="L524" s="8" t="s">
        <v>376</v>
      </c>
      <c r="M524" s="8" t="s">
        <v>377</v>
      </c>
      <c r="N524" s="8" t="s">
        <v>30</v>
      </c>
      <c r="O524" s="8" t="s">
        <v>184</v>
      </c>
      <c r="P524" s="8" t="s">
        <v>195</v>
      </c>
      <c r="Q524" s="8" t="s">
        <v>196</v>
      </c>
      <c r="R524" s="8" t="s">
        <v>394</v>
      </c>
      <c r="S524" s="8"/>
      <c r="T524" s="8"/>
      <c r="U524" s="8" t="s">
        <v>384</v>
      </c>
      <c r="V524" s="8"/>
      <c r="W524" s="8" t="s">
        <v>475</v>
      </c>
      <c r="X524" s="8" t="s">
        <v>99</v>
      </c>
      <c r="Y524" s="8" t="s">
        <v>23</v>
      </c>
    </row>
    <row r="525" spans="1:25" hidden="1" x14ac:dyDescent="0.25">
      <c r="A525" s="273" t="s">
        <v>319</v>
      </c>
      <c r="B525" s="251">
        <v>45909</v>
      </c>
      <c r="C525" s="252" t="s">
        <v>500</v>
      </c>
      <c r="D525" s="252"/>
      <c r="E525" s="253">
        <v>630</v>
      </c>
      <c r="F525" s="253">
        <v>0</v>
      </c>
      <c r="G525" s="274">
        <f>Tabla3[[#This Row],[INGRESOS]]-Tabla3[[#This Row],[EGRESOS]]</f>
        <v>-630</v>
      </c>
      <c r="H525" s="337"/>
      <c r="I525" s="135">
        <v>1360</v>
      </c>
      <c r="J525" s="136">
        <f>Tabla3[[#This Row],[EGRESOS]]/Tabla3[[#This Row],[TC]]</f>
        <v>0.46323529411764708</v>
      </c>
      <c r="K525" s="136">
        <f>Tabla3[[#This Row],[INGRESOS]]/Tabla3[[#This Row],[TC]]</f>
        <v>0</v>
      </c>
      <c r="L525" s="8" t="s">
        <v>376</v>
      </c>
      <c r="M525" s="8" t="s">
        <v>377</v>
      </c>
      <c r="N525" s="8" t="s">
        <v>30</v>
      </c>
      <c r="O525" s="8" t="s">
        <v>184</v>
      </c>
      <c r="P525" s="8" t="s">
        <v>195</v>
      </c>
      <c r="Q525" s="8" t="s">
        <v>196</v>
      </c>
      <c r="R525" s="8" t="s">
        <v>394</v>
      </c>
      <c r="S525" s="8"/>
      <c r="T525" s="8"/>
      <c r="U525" s="8" t="s">
        <v>384</v>
      </c>
      <c r="V525" s="8"/>
      <c r="W525" s="8" t="s">
        <v>475</v>
      </c>
      <c r="X525" s="8" t="s">
        <v>99</v>
      </c>
      <c r="Y525" s="8" t="s">
        <v>23</v>
      </c>
    </row>
    <row r="526" spans="1:25" hidden="1" x14ac:dyDescent="0.25">
      <c r="A526" s="247" t="s">
        <v>319</v>
      </c>
      <c r="B526" s="248">
        <v>45909</v>
      </c>
      <c r="C526" s="244" t="s">
        <v>500</v>
      </c>
      <c r="D526" s="244"/>
      <c r="E526" s="249">
        <v>90</v>
      </c>
      <c r="F526" s="249">
        <v>0</v>
      </c>
      <c r="G526" s="266">
        <f>Tabla3[[#This Row],[INGRESOS]]-Tabla3[[#This Row],[EGRESOS]]</f>
        <v>-90</v>
      </c>
      <c r="H526" s="401"/>
      <c r="I526" s="119">
        <v>1360</v>
      </c>
      <c r="J526" s="99">
        <f>Tabla3[[#This Row],[EGRESOS]]/Tabla3[[#This Row],[TC]]</f>
        <v>6.6176470588235295E-2</v>
      </c>
      <c r="K526" s="99">
        <f>Tabla3[[#This Row],[INGRESOS]]/Tabla3[[#This Row],[TC]]</f>
        <v>0</v>
      </c>
      <c r="L526" s="7" t="s">
        <v>376</v>
      </c>
      <c r="M526" s="7" t="s">
        <v>377</v>
      </c>
      <c r="N526" s="7" t="s">
        <v>30</v>
      </c>
      <c r="O526" s="7" t="s">
        <v>184</v>
      </c>
      <c r="P526" s="7" t="s">
        <v>195</v>
      </c>
      <c r="Q526" s="7" t="s">
        <v>196</v>
      </c>
      <c r="R526" s="7" t="s">
        <v>394</v>
      </c>
      <c r="S526" s="7"/>
      <c r="T526" s="7"/>
      <c r="U526" s="7" t="s">
        <v>384</v>
      </c>
      <c r="V526" s="7"/>
      <c r="W526" s="7" t="s">
        <v>475</v>
      </c>
      <c r="X526" s="7" t="s">
        <v>99</v>
      </c>
      <c r="Y526" s="7" t="s">
        <v>23</v>
      </c>
    </row>
    <row r="527" spans="1:25" hidden="1" x14ac:dyDescent="0.25">
      <c r="A527" s="247" t="s">
        <v>319</v>
      </c>
      <c r="B527" s="248">
        <v>45910</v>
      </c>
      <c r="C527" s="244" t="s">
        <v>508</v>
      </c>
      <c r="D527" s="244"/>
      <c r="E527" s="249">
        <v>47800000</v>
      </c>
      <c r="F527" s="249">
        <v>0</v>
      </c>
      <c r="G527" s="266">
        <f>Tabla3[[#This Row],[INGRESOS]]-Tabla3[[#This Row],[EGRESOS]]</f>
        <v>-47800000</v>
      </c>
      <c r="H527" s="401"/>
      <c r="I527" s="119">
        <v>1360</v>
      </c>
      <c r="J527" s="99">
        <f>Tabla3[[#This Row],[EGRESOS]]/Tabla3[[#This Row],[TC]]</f>
        <v>35147.058823529413</v>
      </c>
      <c r="K527" s="99">
        <f>Tabla3[[#This Row],[INGRESOS]]/Tabla3[[#This Row],[TC]]</f>
        <v>0</v>
      </c>
      <c r="L527" s="7" t="s">
        <v>376</v>
      </c>
      <c r="M527" s="7" t="s">
        <v>377</v>
      </c>
      <c r="N527" s="7" t="s">
        <v>30</v>
      </c>
      <c r="O527" s="7" t="s">
        <v>244</v>
      </c>
      <c r="P527" s="7" t="s">
        <v>259</v>
      </c>
      <c r="Q527" s="7" t="s">
        <v>260</v>
      </c>
      <c r="R527" s="7" t="s">
        <v>378</v>
      </c>
      <c r="S527" s="7"/>
      <c r="T527" s="7"/>
      <c r="U527" s="7" t="s">
        <v>379</v>
      </c>
      <c r="V527" s="7"/>
      <c r="W527" s="7" t="s">
        <v>475</v>
      </c>
      <c r="X527" s="7"/>
      <c r="Y527" s="7"/>
    </row>
    <row r="528" spans="1:25" hidden="1" x14ac:dyDescent="0.25">
      <c r="A528" s="247" t="s">
        <v>319</v>
      </c>
      <c r="B528" s="248">
        <v>45911</v>
      </c>
      <c r="C528" s="244" t="s">
        <v>500</v>
      </c>
      <c r="D528" s="244"/>
      <c r="E528" s="249">
        <v>1.2</v>
      </c>
      <c r="F528" s="249">
        <v>0</v>
      </c>
      <c r="G528" s="266">
        <f>Tabla3[[#This Row],[INGRESOS]]-Tabla3[[#This Row],[EGRESOS]]</f>
        <v>-1.2</v>
      </c>
      <c r="H528" s="266"/>
      <c r="I528" s="119">
        <v>1360</v>
      </c>
      <c r="J528" s="99">
        <f>Tabla3[[#This Row],[EGRESOS]]/Tabla3[[#This Row],[TC]]</f>
        <v>8.8235294117647051E-4</v>
      </c>
      <c r="K528" s="99">
        <f>Tabla3[[#This Row],[INGRESOS]]/Tabla3[[#This Row],[TC]]</f>
        <v>0</v>
      </c>
      <c r="L528" s="7" t="s">
        <v>376</v>
      </c>
      <c r="M528" s="7" t="s">
        <v>377</v>
      </c>
      <c r="N528" s="7" t="s">
        <v>30</v>
      </c>
      <c r="O528" s="7" t="s">
        <v>184</v>
      </c>
      <c r="P528" s="7" t="s">
        <v>195</v>
      </c>
      <c r="Q528" s="7" t="s">
        <v>196</v>
      </c>
      <c r="R528" s="7" t="s">
        <v>394</v>
      </c>
      <c r="S528" s="7"/>
      <c r="T528" s="7"/>
      <c r="U528" s="7" t="s">
        <v>384</v>
      </c>
      <c r="V528" s="7"/>
      <c r="W528" s="7" t="s">
        <v>475</v>
      </c>
      <c r="X528" s="7" t="s">
        <v>99</v>
      </c>
      <c r="Y528" s="7" t="s">
        <v>23</v>
      </c>
    </row>
    <row r="529" spans="1:25" hidden="1" x14ac:dyDescent="0.25">
      <c r="A529" s="247" t="s">
        <v>319</v>
      </c>
      <c r="B529" s="248">
        <v>45911</v>
      </c>
      <c r="C529" s="244" t="s">
        <v>500</v>
      </c>
      <c r="D529" s="244"/>
      <c r="E529" s="249">
        <v>5.74</v>
      </c>
      <c r="F529" s="249">
        <v>0</v>
      </c>
      <c r="G529" s="266">
        <f>Tabla3[[#This Row],[INGRESOS]]-Tabla3[[#This Row],[EGRESOS]]</f>
        <v>-5.74</v>
      </c>
      <c r="H529" s="266"/>
      <c r="I529" s="119">
        <v>1360</v>
      </c>
      <c r="J529" s="99">
        <f>Tabla3[[#This Row],[EGRESOS]]/Tabla3[[#This Row],[TC]]</f>
        <v>4.2205882352941175E-3</v>
      </c>
      <c r="K529" s="99">
        <f>Tabla3[[#This Row],[INGRESOS]]/Tabla3[[#This Row],[TC]]</f>
        <v>0</v>
      </c>
      <c r="L529" s="7" t="s">
        <v>376</v>
      </c>
      <c r="M529" s="7" t="s">
        <v>377</v>
      </c>
      <c r="N529" s="7" t="s">
        <v>30</v>
      </c>
      <c r="O529" s="7" t="s">
        <v>184</v>
      </c>
      <c r="P529" s="7" t="s">
        <v>195</v>
      </c>
      <c r="Q529" s="7" t="s">
        <v>196</v>
      </c>
      <c r="R529" s="7" t="s">
        <v>394</v>
      </c>
      <c r="S529" s="7"/>
      <c r="T529" s="7"/>
      <c r="U529" s="7" t="s">
        <v>384</v>
      </c>
      <c r="V529" s="7"/>
      <c r="W529" s="7" t="s">
        <v>475</v>
      </c>
      <c r="X529" s="7" t="s">
        <v>99</v>
      </c>
      <c r="Y529" s="7" t="s">
        <v>23</v>
      </c>
    </row>
    <row r="530" spans="1:25" hidden="1" x14ac:dyDescent="0.25">
      <c r="A530" s="247" t="s">
        <v>319</v>
      </c>
      <c r="B530" s="248">
        <v>45911</v>
      </c>
      <c r="C530" s="244" t="s">
        <v>497</v>
      </c>
      <c r="D530" s="244"/>
      <c r="E530" s="249">
        <v>200.76</v>
      </c>
      <c r="F530" s="249">
        <v>0</v>
      </c>
      <c r="G530" s="266">
        <f>Tabla3[[#This Row],[INGRESOS]]-Tabla3[[#This Row],[EGRESOS]]</f>
        <v>-200.76</v>
      </c>
      <c r="H530" s="266"/>
      <c r="I530" s="119">
        <v>1360</v>
      </c>
      <c r="J530" s="99">
        <f>Tabla3[[#This Row],[EGRESOS]]/Tabla3[[#This Row],[TC]]</f>
        <v>0.14761764705882352</v>
      </c>
      <c r="K530" s="99">
        <f>Tabla3[[#This Row],[INGRESOS]]/Tabla3[[#This Row],[TC]]</f>
        <v>0</v>
      </c>
      <c r="L530" s="7" t="s">
        <v>376</v>
      </c>
      <c r="M530" s="7" t="s">
        <v>377</v>
      </c>
      <c r="N530" s="7" t="s">
        <v>30</v>
      </c>
      <c r="O530" s="7" t="s">
        <v>184</v>
      </c>
      <c r="P530" s="7" t="s">
        <v>195</v>
      </c>
      <c r="Q530" s="7" t="s">
        <v>196</v>
      </c>
      <c r="R530" s="7" t="s">
        <v>273</v>
      </c>
      <c r="S530" s="7"/>
      <c r="T530" s="7"/>
      <c r="U530" s="7" t="s">
        <v>384</v>
      </c>
      <c r="V530" s="7"/>
      <c r="W530" s="7" t="s">
        <v>475</v>
      </c>
      <c r="X530" s="7" t="s">
        <v>99</v>
      </c>
      <c r="Y530" s="7" t="s">
        <v>23</v>
      </c>
    </row>
    <row r="531" spans="1:25" hidden="1" x14ac:dyDescent="0.25">
      <c r="A531" s="247" t="s">
        <v>319</v>
      </c>
      <c r="B531" s="248">
        <v>45911</v>
      </c>
      <c r="C531" s="244" t="s">
        <v>536</v>
      </c>
      <c r="D531" s="244"/>
      <c r="E531" s="249">
        <v>956</v>
      </c>
      <c r="F531" s="249">
        <v>0</v>
      </c>
      <c r="G531" s="266">
        <f>Tabla3[[#This Row],[INGRESOS]]-Tabla3[[#This Row],[EGRESOS]]</f>
        <v>-956</v>
      </c>
      <c r="H531" s="266">
        <v>13688.14</v>
      </c>
      <c r="I531" s="119">
        <v>1360</v>
      </c>
      <c r="J531" s="99">
        <f>Tabla3[[#This Row],[EGRESOS]]/Tabla3[[#This Row],[TC]]</f>
        <v>0.70294117647058818</v>
      </c>
      <c r="K531" s="99">
        <f>Tabla3[[#This Row],[INGRESOS]]/Tabla3[[#This Row],[TC]]</f>
        <v>0</v>
      </c>
      <c r="L531" s="7" t="s">
        <v>376</v>
      </c>
      <c r="M531" s="7" t="s">
        <v>377</v>
      </c>
      <c r="N531" s="7" t="s">
        <v>30</v>
      </c>
      <c r="O531" s="7" t="s">
        <v>184</v>
      </c>
      <c r="P531" s="7" t="s">
        <v>185</v>
      </c>
      <c r="Q531" s="7" t="s">
        <v>186</v>
      </c>
      <c r="R531" s="7"/>
      <c r="S531" s="7"/>
      <c r="T531" s="7"/>
      <c r="U531" s="7" t="s">
        <v>384</v>
      </c>
      <c r="V531" s="7"/>
      <c r="W531" s="7" t="s">
        <v>475</v>
      </c>
      <c r="X531" s="7" t="s">
        <v>99</v>
      </c>
      <c r="Y531" s="7" t="s">
        <v>23</v>
      </c>
    </row>
    <row r="532" spans="1:25" hidden="1" x14ac:dyDescent="0.25">
      <c r="A532" s="247" t="s">
        <v>319</v>
      </c>
      <c r="B532" s="248">
        <v>45925</v>
      </c>
      <c r="C532" s="244" t="s">
        <v>202</v>
      </c>
      <c r="D532" s="244"/>
      <c r="E532" s="249">
        <v>6050</v>
      </c>
      <c r="F532" s="249">
        <v>0</v>
      </c>
      <c r="G532" s="266">
        <f>Tabla3[[#This Row],[INGRESOS]]-Tabla3[[#This Row],[EGRESOS]]</f>
        <v>-6050</v>
      </c>
      <c r="H532" s="266"/>
      <c r="I532" s="119">
        <v>1360</v>
      </c>
      <c r="J532" s="99">
        <f>Tabla3[[#This Row],[EGRESOS]]/Tabla3[[#This Row],[TC]]</f>
        <v>4.4485294117647056</v>
      </c>
      <c r="K532" s="99">
        <f>Tabla3[[#This Row],[INGRESOS]]/Tabla3[[#This Row],[TC]]</f>
        <v>0</v>
      </c>
      <c r="L532" s="7" t="s">
        <v>376</v>
      </c>
      <c r="M532" s="7" t="s">
        <v>377</v>
      </c>
      <c r="N532" s="7" t="s">
        <v>30</v>
      </c>
      <c r="O532" s="7" t="s">
        <v>184</v>
      </c>
      <c r="P532" s="7" t="s">
        <v>195</v>
      </c>
      <c r="Q532" s="7" t="s">
        <v>196</v>
      </c>
      <c r="R532" s="7" t="s">
        <v>273</v>
      </c>
      <c r="S532" s="7"/>
      <c r="T532" s="7"/>
      <c r="U532" s="7" t="s">
        <v>384</v>
      </c>
      <c r="V532" s="7"/>
      <c r="W532" s="7" t="s">
        <v>475</v>
      </c>
      <c r="X532" s="7" t="s">
        <v>99</v>
      </c>
      <c r="Y532" s="7" t="s">
        <v>23</v>
      </c>
    </row>
    <row r="533" spans="1:25" hidden="1" x14ac:dyDescent="0.25">
      <c r="A533" s="247" t="s">
        <v>319</v>
      </c>
      <c r="B533" s="248">
        <v>45925</v>
      </c>
      <c r="C533" s="244" t="s">
        <v>508</v>
      </c>
      <c r="D533" s="244"/>
      <c r="E533" s="249">
        <v>3000000</v>
      </c>
      <c r="F533" s="249">
        <v>0</v>
      </c>
      <c r="G533" s="266">
        <f>Tabla3[[#This Row],[INGRESOS]]-Tabla3[[#This Row],[EGRESOS]]</f>
        <v>-3000000</v>
      </c>
      <c r="H533" s="266"/>
      <c r="I533" s="119">
        <v>1360</v>
      </c>
      <c r="J533" s="99">
        <f>Tabla3[[#This Row],[EGRESOS]]/Tabla3[[#This Row],[TC]]</f>
        <v>2205.8823529411766</v>
      </c>
      <c r="K533" s="99">
        <f>Tabla3[[#This Row],[INGRESOS]]/Tabla3[[#This Row],[TC]]</f>
        <v>0</v>
      </c>
      <c r="L533" s="7" t="s">
        <v>376</v>
      </c>
      <c r="M533" s="7" t="s">
        <v>377</v>
      </c>
      <c r="N533" s="7" t="s">
        <v>30</v>
      </c>
      <c r="O533" s="7" t="s">
        <v>244</v>
      </c>
      <c r="P533" s="7" t="s">
        <v>259</v>
      </c>
      <c r="Q533" s="7" t="s">
        <v>260</v>
      </c>
      <c r="R533" s="7" t="s">
        <v>467</v>
      </c>
      <c r="S533" s="7"/>
      <c r="T533" s="7"/>
      <c r="U533" s="7" t="s">
        <v>379</v>
      </c>
      <c r="V533" s="7"/>
      <c r="W533" s="7" t="s">
        <v>380</v>
      </c>
      <c r="X533" s="7"/>
      <c r="Y533" s="7"/>
    </row>
    <row r="534" spans="1:25" hidden="1" x14ac:dyDescent="0.25">
      <c r="A534" s="247" t="s">
        <v>319</v>
      </c>
      <c r="B534" s="248">
        <v>45925</v>
      </c>
      <c r="C534" s="244" t="s">
        <v>500</v>
      </c>
      <c r="D534" s="244"/>
      <c r="E534" s="249">
        <v>36.299999999999997</v>
      </c>
      <c r="F534" s="249">
        <v>0</v>
      </c>
      <c r="G534" s="266">
        <f>Tabla3[[#This Row],[INGRESOS]]-Tabla3[[#This Row],[EGRESOS]]</f>
        <v>-36.299999999999997</v>
      </c>
      <c r="H534" s="266">
        <v>-2992398.16</v>
      </c>
      <c r="I534" s="119">
        <v>1360</v>
      </c>
      <c r="J534" s="99">
        <f>Tabla3[[#This Row],[EGRESOS]]/Tabla3[[#This Row],[TC]]</f>
        <v>2.6691176470588232E-2</v>
      </c>
      <c r="K534" s="99">
        <f>Tabla3[[#This Row],[INGRESOS]]/Tabla3[[#This Row],[TC]]</f>
        <v>0</v>
      </c>
      <c r="L534" s="7" t="s">
        <v>376</v>
      </c>
      <c r="M534" s="7" t="s">
        <v>377</v>
      </c>
      <c r="N534" s="7" t="s">
        <v>30</v>
      </c>
      <c r="O534" s="7" t="s">
        <v>184</v>
      </c>
      <c r="P534" s="7" t="s">
        <v>195</v>
      </c>
      <c r="Q534" s="7" t="s">
        <v>196</v>
      </c>
      <c r="R534" s="7" t="s">
        <v>273</v>
      </c>
      <c r="S534" s="7"/>
      <c r="T534" s="7"/>
      <c r="U534" s="7" t="s">
        <v>384</v>
      </c>
      <c r="V534" s="7"/>
      <c r="W534" s="7" t="s">
        <v>475</v>
      </c>
      <c r="X534" s="7" t="s">
        <v>99</v>
      </c>
      <c r="Y534" s="7" t="s">
        <v>23</v>
      </c>
    </row>
    <row r="535" spans="1:25" hidden="1" x14ac:dyDescent="0.25">
      <c r="A535" s="247" t="s">
        <v>319</v>
      </c>
      <c r="B535" s="248">
        <v>45926</v>
      </c>
      <c r="C535" s="244" t="s">
        <v>536</v>
      </c>
      <c r="D535" s="244"/>
      <c r="E535" s="249">
        <v>956</v>
      </c>
      <c r="F535" s="249">
        <v>0</v>
      </c>
      <c r="G535" s="266">
        <f>Tabla3[[#This Row],[INGRESOS]]-Tabla3[[#This Row],[EGRESOS]]</f>
        <v>-956</v>
      </c>
      <c r="H535" s="266"/>
      <c r="I535" s="119">
        <v>1360</v>
      </c>
      <c r="J535" s="99">
        <f>Tabla3[[#This Row],[EGRESOS]]/Tabla3[[#This Row],[TC]]</f>
        <v>0.70294117647058818</v>
      </c>
      <c r="K535" s="99">
        <f>Tabla3[[#This Row],[INGRESOS]]/Tabla3[[#This Row],[TC]]</f>
        <v>0</v>
      </c>
      <c r="L535" s="7" t="s">
        <v>376</v>
      </c>
      <c r="M535" s="7" t="s">
        <v>377</v>
      </c>
      <c r="N535" s="7" t="s">
        <v>30</v>
      </c>
      <c r="O535" s="7" t="s">
        <v>184</v>
      </c>
      <c r="P535" s="7" t="s">
        <v>185</v>
      </c>
      <c r="Q535" s="7" t="s">
        <v>186</v>
      </c>
      <c r="R535" s="7"/>
      <c r="S535" s="7"/>
      <c r="T535" s="7"/>
      <c r="U535" s="7" t="s">
        <v>384</v>
      </c>
      <c r="V535" s="7"/>
      <c r="W535" s="7" t="s">
        <v>475</v>
      </c>
      <c r="X535" s="7" t="s">
        <v>99</v>
      </c>
      <c r="Y535" s="7" t="s">
        <v>23</v>
      </c>
    </row>
    <row r="536" spans="1:25" hidden="1" x14ac:dyDescent="0.25">
      <c r="A536" s="247" t="s">
        <v>319</v>
      </c>
      <c r="B536" s="248">
        <v>45926</v>
      </c>
      <c r="C536" s="244" t="s">
        <v>497</v>
      </c>
      <c r="D536" s="244"/>
      <c r="E536" s="249">
        <v>200.76</v>
      </c>
      <c r="F536" s="249">
        <v>0</v>
      </c>
      <c r="G536" s="266">
        <f>Tabla3[[#This Row],[INGRESOS]]-Tabla3[[#This Row],[EGRESOS]]</f>
        <v>-200.76</v>
      </c>
      <c r="H536" s="266"/>
      <c r="I536" s="119">
        <v>1360</v>
      </c>
      <c r="J536" s="99">
        <f>Tabla3[[#This Row],[EGRESOS]]/Tabla3[[#This Row],[TC]]</f>
        <v>0.14761764705882352</v>
      </c>
      <c r="K536" s="99">
        <f>Tabla3[[#This Row],[INGRESOS]]/Tabla3[[#This Row],[TC]]</f>
        <v>0</v>
      </c>
      <c r="L536" s="7" t="s">
        <v>376</v>
      </c>
      <c r="M536" s="7" t="s">
        <v>377</v>
      </c>
      <c r="N536" s="7" t="s">
        <v>30</v>
      </c>
      <c r="O536" s="7" t="s">
        <v>184</v>
      </c>
      <c r="P536" s="7" t="s">
        <v>195</v>
      </c>
      <c r="Q536" s="7" t="s">
        <v>196</v>
      </c>
      <c r="R536" s="7" t="s">
        <v>273</v>
      </c>
      <c r="S536" s="7"/>
      <c r="T536" s="7"/>
      <c r="U536" s="7" t="s">
        <v>384</v>
      </c>
      <c r="V536" s="7"/>
      <c r="W536" s="7" t="s">
        <v>475</v>
      </c>
      <c r="X536" s="7" t="s">
        <v>99</v>
      </c>
      <c r="Y536" s="7" t="s">
        <v>23</v>
      </c>
    </row>
    <row r="537" spans="1:25" hidden="1" x14ac:dyDescent="0.25">
      <c r="A537" s="247" t="s">
        <v>319</v>
      </c>
      <c r="B537" s="248">
        <v>45926</v>
      </c>
      <c r="C537" s="244" t="s">
        <v>500</v>
      </c>
      <c r="D537" s="244"/>
      <c r="E537" s="249">
        <v>5.74</v>
      </c>
      <c r="F537" s="249">
        <v>0</v>
      </c>
      <c r="G537" s="266">
        <f>Tabla3[[#This Row],[INGRESOS]]-Tabla3[[#This Row],[EGRESOS]]</f>
        <v>-5.74</v>
      </c>
      <c r="H537" s="266"/>
      <c r="I537" s="119">
        <v>1360</v>
      </c>
      <c r="J537" s="99">
        <f>Tabla3[[#This Row],[EGRESOS]]/Tabla3[[#This Row],[TC]]</f>
        <v>4.2205882352941175E-3</v>
      </c>
      <c r="K537" s="99">
        <f>Tabla3[[#This Row],[INGRESOS]]/Tabla3[[#This Row],[TC]]</f>
        <v>0</v>
      </c>
      <c r="L537" s="7" t="s">
        <v>376</v>
      </c>
      <c r="M537" s="7" t="s">
        <v>377</v>
      </c>
      <c r="N537" s="7" t="s">
        <v>30</v>
      </c>
      <c r="O537" s="7" t="s">
        <v>184</v>
      </c>
      <c r="P537" s="7" t="s">
        <v>195</v>
      </c>
      <c r="Q537" s="7" t="s">
        <v>196</v>
      </c>
      <c r="R537" s="7" t="s">
        <v>394</v>
      </c>
      <c r="S537" s="7"/>
      <c r="T537" s="7"/>
      <c r="U537" s="7" t="s">
        <v>384</v>
      </c>
      <c r="V537" s="7"/>
      <c r="W537" s="7" t="s">
        <v>475</v>
      </c>
      <c r="X537" s="7" t="s">
        <v>99</v>
      </c>
      <c r="Y537" s="7" t="s">
        <v>23</v>
      </c>
    </row>
    <row r="538" spans="1:25" hidden="1" x14ac:dyDescent="0.25">
      <c r="A538" s="247" t="s">
        <v>319</v>
      </c>
      <c r="B538" s="248">
        <v>45926</v>
      </c>
      <c r="C538" s="244" t="s">
        <v>500</v>
      </c>
      <c r="D538" s="244"/>
      <c r="E538" s="249">
        <v>1.2</v>
      </c>
      <c r="F538" s="249">
        <v>0</v>
      </c>
      <c r="G538" s="266">
        <f>Tabla3[[#This Row],[INGRESOS]]-Tabla3[[#This Row],[EGRESOS]]</f>
        <v>-1.2</v>
      </c>
      <c r="H538" s="266">
        <v>-3036106.91</v>
      </c>
      <c r="I538" s="119">
        <v>1360</v>
      </c>
      <c r="J538" s="99">
        <f>Tabla3[[#This Row],[EGRESOS]]/Tabla3[[#This Row],[TC]]</f>
        <v>8.8235294117647051E-4</v>
      </c>
      <c r="K538" s="99">
        <f>Tabla3[[#This Row],[INGRESOS]]/Tabla3[[#This Row],[TC]]</f>
        <v>0</v>
      </c>
      <c r="L538" s="7" t="s">
        <v>376</v>
      </c>
      <c r="M538" s="7" t="s">
        <v>377</v>
      </c>
      <c r="N538" s="7" t="s">
        <v>30</v>
      </c>
      <c r="O538" s="7" t="s">
        <v>184</v>
      </c>
      <c r="P538" s="7" t="s">
        <v>195</v>
      </c>
      <c r="Q538" s="7" t="s">
        <v>196</v>
      </c>
      <c r="R538" s="7" t="s">
        <v>394</v>
      </c>
      <c r="S538" s="7"/>
      <c r="T538" s="7"/>
      <c r="U538" s="7" t="s">
        <v>384</v>
      </c>
      <c r="V538" s="7"/>
      <c r="W538" s="7" t="s">
        <v>475</v>
      </c>
      <c r="X538" s="7" t="s">
        <v>99</v>
      </c>
      <c r="Y538" s="7" t="s">
        <v>23</v>
      </c>
    </row>
    <row r="539" spans="1:25" hidden="1" x14ac:dyDescent="0.25">
      <c r="A539" s="247" t="str">
        <f>"OCTUBRE"</f>
        <v>OCTUBRE</v>
      </c>
      <c r="B539" s="248">
        <v>45931</v>
      </c>
      <c r="C539" s="244" t="s">
        <v>496</v>
      </c>
      <c r="D539" s="244"/>
      <c r="E539" s="249">
        <v>43000</v>
      </c>
      <c r="F539" s="249">
        <v>0</v>
      </c>
      <c r="G539" s="266">
        <f>Tabla3[[#This Row],[INGRESOS]]-Tabla3[[#This Row],[EGRESOS]]</f>
        <v>-43000</v>
      </c>
      <c r="H539" s="266"/>
      <c r="I539" s="119">
        <v>1360</v>
      </c>
      <c r="J539" s="99">
        <f>Tabla3[[#This Row],[EGRESOS]]/Tabla3[[#This Row],[TC]]</f>
        <v>31.617647058823529</v>
      </c>
      <c r="K539" s="99">
        <f>Tabla3[[#This Row],[INGRESOS]]/Tabla3[[#This Row],[TC]]</f>
        <v>0</v>
      </c>
      <c r="L539" s="7" t="s">
        <v>376</v>
      </c>
      <c r="M539" s="7" t="s">
        <v>377</v>
      </c>
      <c r="N539" s="7" t="s">
        <v>30</v>
      </c>
      <c r="O539" s="7" t="s">
        <v>184</v>
      </c>
      <c r="P539" s="7" t="s">
        <v>185</v>
      </c>
      <c r="Q539" s="7" t="s">
        <v>186</v>
      </c>
      <c r="R539" s="7"/>
      <c r="S539" s="7"/>
      <c r="T539" s="7"/>
      <c r="U539" s="7" t="s">
        <v>384</v>
      </c>
      <c r="V539" s="7"/>
      <c r="W539" s="7" t="s">
        <v>475</v>
      </c>
      <c r="X539" s="7" t="s">
        <v>99</v>
      </c>
      <c r="Y539" s="7" t="s">
        <v>23</v>
      </c>
    </row>
    <row r="540" spans="1:25" hidden="1" x14ac:dyDescent="0.25">
      <c r="A540" s="247" t="s">
        <v>320</v>
      </c>
      <c r="B540" s="248">
        <v>45931</v>
      </c>
      <c r="C540" s="244" t="s">
        <v>497</v>
      </c>
      <c r="D540" s="244"/>
      <c r="E540" s="249">
        <v>9030</v>
      </c>
      <c r="F540" s="249">
        <v>0</v>
      </c>
      <c r="G540" s="266">
        <f>Tabla3[[#This Row],[INGRESOS]]-Tabla3[[#This Row],[EGRESOS]]</f>
        <v>-9030</v>
      </c>
      <c r="H540" s="266"/>
      <c r="I540" s="119">
        <v>1360</v>
      </c>
      <c r="J540" s="99">
        <f>Tabla3[[#This Row],[EGRESOS]]/Tabla3[[#This Row],[TC]]</f>
        <v>6.6397058823529411</v>
      </c>
      <c r="K540" s="99">
        <f>Tabla3[[#This Row],[INGRESOS]]/Tabla3[[#This Row],[TC]]</f>
        <v>0</v>
      </c>
      <c r="L540" s="7" t="s">
        <v>376</v>
      </c>
      <c r="M540" s="7" t="s">
        <v>377</v>
      </c>
      <c r="N540" s="7" t="s">
        <v>30</v>
      </c>
      <c r="O540" s="7" t="s">
        <v>184</v>
      </c>
      <c r="P540" s="7" t="s">
        <v>195</v>
      </c>
      <c r="Q540" s="7" t="s">
        <v>196</v>
      </c>
      <c r="R540" s="7" t="s">
        <v>273</v>
      </c>
      <c r="S540" s="7"/>
      <c r="T540" s="7"/>
      <c r="U540" s="7" t="s">
        <v>384</v>
      </c>
      <c r="V540" s="7"/>
      <c r="W540" s="7" t="s">
        <v>475</v>
      </c>
      <c r="X540" s="7" t="s">
        <v>99</v>
      </c>
      <c r="Y540" s="7" t="s">
        <v>23</v>
      </c>
    </row>
    <row r="541" spans="1:25" hidden="1" x14ac:dyDescent="0.25">
      <c r="A541" s="247" t="s">
        <v>320</v>
      </c>
      <c r="B541" s="248">
        <v>45931</v>
      </c>
      <c r="C541" s="244" t="s">
        <v>498</v>
      </c>
      <c r="D541" s="244"/>
      <c r="E541" s="249">
        <v>1290</v>
      </c>
      <c r="F541" s="249">
        <v>0</v>
      </c>
      <c r="G541" s="266">
        <f>Tabla3[[#This Row],[INGRESOS]]-Tabla3[[#This Row],[EGRESOS]]</f>
        <v>-1290</v>
      </c>
      <c r="H541" s="266"/>
      <c r="I541" s="119">
        <v>1360</v>
      </c>
      <c r="J541" s="99">
        <f>Tabla3[[#This Row],[EGRESOS]]/Tabla3[[#This Row],[TC]]</f>
        <v>0.94852941176470584</v>
      </c>
      <c r="K541" s="99">
        <f>Tabla3[[#This Row],[INGRESOS]]/Tabla3[[#This Row],[TC]]</f>
        <v>0</v>
      </c>
      <c r="L541" s="7" t="s">
        <v>376</v>
      </c>
      <c r="M541" s="7" t="s">
        <v>377</v>
      </c>
      <c r="N541" s="7" t="s">
        <v>30</v>
      </c>
      <c r="O541" s="7" t="s">
        <v>184</v>
      </c>
      <c r="P541" s="7" t="s">
        <v>195</v>
      </c>
      <c r="Q541" s="7" t="s">
        <v>196</v>
      </c>
      <c r="R541" s="7" t="s">
        <v>499</v>
      </c>
      <c r="S541" s="7"/>
      <c r="T541" s="7"/>
      <c r="U541" s="7" t="s">
        <v>384</v>
      </c>
      <c r="V541" s="7"/>
      <c r="W541" s="7" t="s">
        <v>475</v>
      </c>
      <c r="X541" s="7" t="s">
        <v>99</v>
      </c>
      <c r="Y541" s="7" t="s">
        <v>23</v>
      </c>
    </row>
    <row r="542" spans="1:25" hidden="1" x14ac:dyDescent="0.25">
      <c r="A542" s="247" t="s">
        <v>320</v>
      </c>
      <c r="B542" s="248">
        <v>45931</v>
      </c>
      <c r="C542" s="244" t="s">
        <v>500</v>
      </c>
      <c r="D542" s="244"/>
      <c r="E542" s="249">
        <v>258</v>
      </c>
      <c r="F542" s="249">
        <v>0</v>
      </c>
      <c r="G542" s="266">
        <f>Tabla3[[#This Row],[INGRESOS]]-Tabla3[[#This Row],[EGRESOS]]</f>
        <v>-258</v>
      </c>
      <c r="H542" s="266"/>
      <c r="I542" s="119">
        <v>1360</v>
      </c>
      <c r="J542" s="99">
        <f>Tabla3[[#This Row],[EGRESOS]]/Tabla3[[#This Row],[TC]]</f>
        <v>0.18970588235294117</v>
      </c>
      <c r="K542" s="99">
        <f>Tabla3[[#This Row],[INGRESOS]]/Tabla3[[#This Row],[TC]]</f>
        <v>0</v>
      </c>
      <c r="L542" s="7" t="s">
        <v>376</v>
      </c>
      <c r="M542" s="7" t="s">
        <v>377</v>
      </c>
      <c r="N542" s="7" t="s">
        <v>30</v>
      </c>
      <c r="O542" s="7" t="s">
        <v>184</v>
      </c>
      <c r="P542" s="7" t="s">
        <v>195</v>
      </c>
      <c r="Q542" s="7" t="s">
        <v>196</v>
      </c>
      <c r="R542" s="7" t="s">
        <v>394</v>
      </c>
      <c r="S542" s="7"/>
      <c r="T542" s="7"/>
      <c r="U542" s="7" t="s">
        <v>384</v>
      </c>
      <c r="V542" s="7"/>
      <c r="W542" s="7" t="s">
        <v>475</v>
      </c>
      <c r="X542" s="7" t="s">
        <v>99</v>
      </c>
      <c r="Y542" s="7" t="s">
        <v>23</v>
      </c>
    </row>
    <row r="543" spans="1:25" hidden="1" x14ac:dyDescent="0.25">
      <c r="A543" s="247" t="s">
        <v>320</v>
      </c>
      <c r="B543" s="248">
        <v>45931</v>
      </c>
      <c r="C543" s="244" t="s">
        <v>500</v>
      </c>
      <c r="D543" s="244"/>
      <c r="E543" s="249">
        <v>54.18</v>
      </c>
      <c r="F543" s="249">
        <v>0</v>
      </c>
      <c r="G543" s="266">
        <f>Tabla3[[#This Row],[INGRESOS]]-Tabla3[[#This Row],[EGRESOS]]</f>
        <v>-54.18</v>
      </c>
      <c r="H543" s="266"/>
      <c r="I543" s="119">
        <v>1360</v>
      </c>
      <c r="J543" s="99">
        <f>Tabla3[[#This Row],[EGRESOS]]/Tabla3[[#This Row],[TC]]</f>
        <v>3.9838235294117647E-2</v>
      </c>
      <c r="K543" s="99">
        <f>Tabla3[[#This Row],[INGRESOS]]/Tabla3[[#This Row],[TC]]</f>
        <v>0</v>
      </c>
      <c r="L543" s="7" t="s">
        <v>376</v>
      </c>
      <c r="M543" s="7" t="s">
        <v>377</v>
      </c>
      <c r="N543" s="7" t="s">
        <v>30</v>
      </c>
      <c r="O543" s="7" t="s">
        <v>184</v>
      </c>
      <c r="P543" s="7" t="s">
        <v>195</v>
      </c>
      <c r="Q543" s="7" t="s">
        <v>196</v>
      </c>
      <c r="R543" s="7" t="s">
        <v>394</v>
      </c>
      <c r="S543" s="7"/>
      <c r="T543" s="7"/>
      <c r="U543" s="7" t="s">
        <v>384</v>
      </c>
      <c r="V543" s="7"/>
      <c r="W543" s="7" t="s">
        <v>475</v>
      </c>
      <c r="X543" s="7" t="s">
        <v>99</v>
      </c>
      <c r="Y543" s="7" t="s">
        <v>23</v>
      </c>
    </row>
    <row r="544" spans="1:25" hidden="1" x14ac:dyDescent="0.25">
      <c r="A544" s="247" t="s">
        <v>320</v>
      </c>
      <c r="B544" s="248">
        <v>45931</v>
      </c>
      <c r="C544" s="244" t="s">
        <v>500</v>
      </c>
      <c r="D544" s="244"/>
      <c r="E544" s="249">
        <v>7.74</v>
      </c>
      <c r="F544" s="249">
        <v>0</v>
      </c>
      <c r="G544" s="266">
        <f>Tabla3[[#This Row],[INGRESOS]]-Tabla3[[#This Row],[EGRESOS]]</f>
        <v>-7.74</v>
      </c>
      <c r="H544" s="266">
        <v>-3090002.1</v>
      </c>
      <c r="I544" s="119">
        <v>1360</v>
      </c>
      <c r="J544" s="99">
        <f>Tabla3[[#This Row],[EGRESOS]]/Tabla3[[#This Row],[TC]]</f>
        <v>5.6911764705882351E-3</v>
      </c>
      <c r="K544" s="99">
        <f>Tabla3[[#This Row],[INGRESOS]]/Tabla3[[#This Row],[TC]]</f>
        <v>0</v>
      </c>
      <c r="L544" s="7" t="s">
        <v>376</v>
      </c>
      <c r="M544" s="7" t="s">
        <v>377</v>
      </c>
      <c r="N544" s="7" t="s">
        <v>30</v>
      </c>
      <c r="O544" s="7" t="s">
        <v>184</v>
      </c>
      <c r="P544" s="7" t="s">
        <v>195</v>
      </c>
      <c r="Q544" s="7" t="s">
        <v>196</v>
      </c>
      <c r="R544" s="7" t="s">
        <v>394</v>
      </c>
      <c r="S544" s="7"/>
      <c r="T544" s="7"/>
      <c r="U544" s="7" t="s">
        <v>384</v>
      </c>
      <c r="V544" s="7"/>
      <c r="W544" s="7" t="s">
        <v>475</v>
      </c>
      <c r="X544" s="7" t="s">
        <v>99</v>
      </c>
      <c r="Y544" s="7" t="s">
        <v>23</v>
      </c>
    </row>
    <row r="545" spans="1:25" hidden="1" x14ac:dyDescent="0.25">
      <c r="A545" s="247" t="s">
        <v>320</v>
      </c>
      <c r="B545" s="248">
        <v>45938</v>
      </c>
      <c r="C545" s="244" t="s">
        <v>546</v>
      </c>
      <c r="D545" s="244"/>
      <c r="E545" s="249">
        <v>0</v>
      </c>
      <c r="F545" s="249">
        <v>3200000</v>
      </c>
      <c r="G545" s="266">
        <f>Tabla3[[#This Row],[INGRESOS]]-Tabla3[[#This Row],[EGRESOS]]</f>
        <v>3200000</v>
      </c>
      <c r="H545" s="266">
        <v>109997.9</v>
      </c>
      <c r="I545" s="119">
        <v>1360</v>
      </c>
      <c r="J545" s="99">
        <f>Tabla3[[#This Row],[EGRESOS]]/Tabla3[[#This Row],[TC]]</f>
        <v>0</v>
      </c>
      <c r="K545" s="99">
        <f>Tabla3[[#This Row],[INGRESOS]]/Tabla3[[#This Row],[TC]]</f>
        <v>2352.9411764705883</v>
      </c>
      <c r="L545" s="7" t="s">
        <v>376</v>
      </c>
      <c r="M545" s="7" t="s">
        <v>377</v>
      </c>
      <c r="N545" s="7" t="s">
        <v>30</v>
      </c>
      <c r="O545" s="7" t="s">
        <v>244</v>
      </c>
      <c r="P545" s="7" t="s">
        <v>259</v>
      </c>
      <c r="Q545" s="7" t="s">
        <v>260</v>
      </c>
      <c r="R545" s="7" t="s">
        <v>405</v>
      </c>
      <c r="S545" s="7"/>
      <c r="T545" s="7"/>
      <c r="U545" s="7" t="s">
        <v>379</v>
      </c>
      <c r="V545" s="7"/>
      <c r="W545" s="7" t="s">
        <v>475</v>
      </c>
      <c r="X545" s="7"/>
      <c r="Y545" s="7"/>
    </row>
    <row r="546" spans="1:25" hidden="1" x14ac:dyDescent="0.25">
      <c r="A546" s="273" t="s">
        <v>313</v>
      </c>
      <c r="B546" s="251">
        <v>45734</v>
      </c>
      <c r="C546" s="252" t="s">
        <v>800</v>
      </c>
      <c r="D546" s="252"/>
      <c r="E546" s="253">
        <v>500000</v>
      </c>
      <c r="F546" s="253">
        <v>0</v>
      </c>
      <c r="G546" s="274">
        <f>Tabla3[[#This Row],[INGRESOS]]-Tabla3[[#This Row],[EGRESOS]]</f>
        <v>-500000</v>
      </c>
      <c r="H546" s="132">
        <v>-9324491.0199999996</v>
      </c>
      <c r="I546" s="135">
        <v>1140</v>
      </c>
      <c r="J546" s="136">
        <f>Tabla3[[#This Row],[EGRESOS]]/Tabla3[[#This Row],[TC]]</f>
        <v>438.59649122807019</v>
      </c>
      <c r="K546" s="136">
        <f>Tabla3[[#This Row],[INGRESOS]]/Tabla3[[#This Row],[TC]]</f>
        <v>0</v>
      </c>
      <c r="L546" s="8" t="s">
        <v>376</v>
      </c>
      <c r="M546" s="8" t="s">
        <v>377</v>
      </c>
      <c r="N546" s="8" t="s">
        <v>20</v>
      </c>
      <c r="O546" s="8" t="s">
        <v>184</v>
      </c>
      <c r="P546" s="8" t="s">
        <v>203</v>
      </c>
      <c r="Q546" s="8" t="s">
        <v>208</v>
      </c>
      <c r="R546" s="8" t="s">
        <v>894</v>
      </c>
      <c r="S546" s="8" t="s">
        <v>386</v>
      </c>
      <c r="T546" s="8"/>
      <c r="U546" s="8" t="s">
        <v>387</v>
      </c>
      <c r="V546" s="8" t="s">
        <v>386</v>
      </c>
      <c r="W546" s="8" t="s">
        <v>380</v>
      </c>
      <c r="X546" s="8" t="s">
        <v>104</v>
      </c>
      <c r="Y546" s="8" t="s">
        <v>23</v>
      </c>
    </row>
    <row r="547" spans="1:25" hidden="1" x14ac:dyDescent="0.25">
      <c r="A547" s="247" t="s">
        <v>320</v>
      </c>
      <c r="B547" s="248">
        <v>45943</v>
      </c>
      <c r="C547" s="244" t="s">
        <v>500</v>
      </c>
      <c r="D547" s="244"/>
      <c r="E547" s="249">
        <v>15600</v>
      </c>
      <c r="F547" s="249">
        <v>0</v>
      </c>
      <c r="G547" s="266">
        <f>Tabla3[[#This Row],[INGRESOS]]-Tabla3[[#This Row],[EGRESOS]]</f>
        <v>-15600</v>
      </c>
      <c r="H547" s="266"/>
      <c r="I547" s="119">
        <v>1360</v>
      </c>
      <c r="J547" s="99">
        <f>Tabla3[[#This Row],[EGRESOS]]/Tabla3[[#This Row],[TC]]</f>
        <v>11.470588235294118</v>
      </c>
      <c r="K547" s="99">
        <f>Tabla3[[#This Row],[INGRESOS]]/Tabla3[[#This Row],[TC]]</f>
        <v>0</v>
      </c>
      <c r="L547" s="7" t="s">
        <v>376</v>
      </c>
      <c r="M547" s="7" t="s">
        <v>377</v>
      </c>
      <c r="N547" s="7" t="s">
        <v>30</v>
      </c>
      <c r="O547" s="7" t="s">
        <v>184</v>
      </c>
      <c r="P547" s="7" t="s">
        <v>195</v>
      </c>
      <c r="Q547" s="7" t="s">
        <v>196</v>
      </c>
      <c r="R547" s="7" t="s">
        <v>394</v>
      </c>
      <c r="S547" s="7"/>
      <c r="T547" s="7"/>
      <c r="U547" s="7" t="s">
        <v>384</v>
      </c>
      <c r="V547" s="7"/>
      <c r="W547" s="7" t="s">
        <v>475</v>
      </c>
      <c r="X547" s="7" t="s">
        <v>99</v>
      </c>
      <c r="Y547" s="7" t="s">
        <v>23</v>
      </c>
    </row>
    <row r="548" spans="1:25" hidden="1" x14ac:dyDescent="0.25">
      <c r="A548" s="247" t="s">
        <v>320</v>
      </c>
      <c r="B548" s="248">
        <v>45944</v>
      </c>
      <c r="C548" s="244" t="s">
        <v>536</v>
      </c>
      <c r="D548" s="244"/>
      <c r="E548" s="249">
        <v>956</v>
      </c>
      <c r="F548" s="249">
        <v>0</v>
      </c>
      <c r="G548" s="266">
        <f>Tabla3[[#This Row],[INGRESOS]]-Tabla3[[#This Row],[EGRESOS]]</f>
        <v>-956</v>
      </c>
      <c r="H548" s="266"/>
      <c r="I548" s="119">
        <v>1360</v>
      </c>
      <c r="J548" s="99">
        <f>Tabla3[[#This Row],[EGRESOS]]/Tabla3[[#This Row],[TC]]</f>
        <v>0.70294117647058818</v>
      </c>
      <c r="K548" s="99">
        <f>Tabla3[[#This Row],[INGRESOS]]/Tabla3[[#This Row],[TC]]</f>
        <v>0</v>
      </c>
      <c r="L548" s="7" t="s">
        <v>376</v>
      </c>
      <c r="M548" s="7" t="s">
        <v>377</v>
      </c>
      <c r="N548" s="7" t="s">
        <v>30</v>
      </c>
      <c r="O548" s="7" t="s">
        <v>184</v>
      </c>
      <c r="P548" s="7" t="s">
        <v>185</v>
      </c>
      <c r="Q548" s="7" t="s">
        <v>186</v>
      </c>
      <c r="R548" s="7"/>
      <c r="S548" s="7"/>
      <c r="T548" s="7"/>
      <c r="U548" s="7" t="s">
        <v>384</v>
      </c>
      <c r="V548" s="7"/>
      <c r="W548" s="7" t="s">
        <v>475</v>
      </c>
      <c r="X548" s="7" t="s">
        <v>99</v>
      </c>
      <c r="Y548" s="7" t="s">
        <v>23</v>
      </c>
    </row>
    <row r="549" spans="1:25" hidden="1" x14ac:dyDescent="0.25">
      <c r="A549" s="247" t="s">
        <v>320</v>
      </c>
      <c r="B549" s="248">
        <v>45944</v>
      </c>
      <c r="C549" s="244" t="s">
        <v>497</v>
      </c>
      <c r="D549" s="244"/>
      <c r="E549" s="249">
        <v>200.76</v>
      </c>
      <c r="F549" s="249">
        <v>0</v>
      </c>
      <c r="G549" s="266">
        <f>Tabla3[[#This Row],[INGRESOS]]-Tabla3[[#This Row],[EGRESOS]]</f>
        <v>-200.76</v>
      </c>
      <c r="H549" s="401"/>
      <c r="I549" s="119">
        <v>1360</v>
      </c>
      <c r="J549" s="99">
        <f>Tabla3[[#This Row],[EGRESOS]]/Tabla3[[#This Row],[TC]]</f>
        <v>0.14761764705882352</v>
      </c>
      <c r="K549" s="99">
        <f>Tabla3[[#This Row],[INGRESOS]]/Tabla3[[#This Row],[TC]]</f>
        <v>0</v>
      </c>
      <c r="L549" s="7" t="s">
        <v>376</v>
      </c>
      <c r="M549" s="7" t="s">
        <v>377</v>
      </c>
      <c r="N549" s="7" t="s">
        <v>30</v>
      </c>
      <c r="O549" s="7" t="s">
        <v>184</v>
      </c>
      <c r="P549" s="7" t="s">
        <v>195</v>
      </c>
      <c r="Q549" s="7" t="s">
        <v>196</v>
      </c>
      <c r="R549" s="7" t="s">
        <v>273</v>
      </c>
      <c r="S549" s="7"/>
      <c r="T549" s="7"/>
      <c r="U549" s="7" t="s">
        <v>384</v>
      </c>
      <c r="V549" s="7"/>
      <c r="W549" s="7" t="s">
        <v>475</v>
      </c>
      <c r="X549" s="7" t="s">
        <v>99</v>
      </c>
      <c r="Y549" s="7" t="s">
        <v>23</v>
      </c>
    </row>
    <row r="550" spans="1:25" hidden="1" x14ac:dyDescent="0.25">
      <c r="A550" s="247" t="s">
        <v>320</v>
      </c>
      <c r="B550" s="248">
        <v>45944</v>
      </c>
      <c r="C550" s="244" t="s">
        <v>500</v>
      </c>
      <c r="D550" s="244"/>
      <c r="E550" s="249">
        <v>5.74</v>
      </c>
      <c r="F550" s="249">
        <v>0</v>
      </c>
      <c r="G550" s="266">
        <f>Tabla3[[#This Row],[INGRESOS]]-Tabla3[[#This Row],[EGRESOS]]</f>
        <v>-5.74</v>
      </c>
      <c r="H550" s="401"/>
      <c r="I550" s="119">
        <v>1360</v>
      </c>
      <c r="J550" s="99">
        <f>Tabla3[[#This Row],[EGRESOS]]/Tabla3[[#This Row],[TC]]</f>
        <v>4.2205882352941175E-3</v>
      </c>
      <c r="K550" s="99">
        <f>Tabla3[[#This Row],[INGRESOS]]/Tabla3[[#This Row],[TC]]</f>
        <v>0</v>
      </c>
      <c r="L550" s="7" t="s">
        <v>376</v>
      </c>
      <c r="M550" s="7" t="s">
        <v>377</v>
      </c>
      <c r="N550" s="7" t="s">
        <v>30</v>
      </c>
      <c r="O550" s="7" t="s">
        <v>184</v>
      </c>
      <c r="P550" s="7" t="s">
        <v>195</v>
      </c>
      <c r="Q550" s="7" t="s">
        <v>196</v>
      </c>
      <c r="R550" s="7" t="s">
        <v>394</v>
      </c>
      <c r="S550" s="7"/>
      <c r="T550" s="7"/>
      <c r="U550" s="7" t="s">
        <v>384</v>
      </c>
      <c r="V550" s="7"/>
      <c r="W550" s="7" t="s">
        <v>475</v>
      </c>
      <c r="X550" s="7" t="s">
        <v>99</v>
      </c>
      <c r="Y550" s="7" t="s">
        <v>23</v>
      </c>
    </row>
    <row r="551" spans="1:25" hidden="1" x14ac:dyDescent="0.25">
      <c r="A551" s="247" t="s">
        <v>320</v>
      </c>
      <c r="B551" s="248">
        <v>45944</v>
      </c>
      <c r="C551" s="244" t="s">
        <v>500</v>
      </c>
      <c r="D551" s="244"/>
      <c r="E551" s="249">
        <v>1.2</v>
      </c>
      <c r="F551" s="249">
        <v>0</v>
      </c>
      <c r="G551" s="266">
        <f>Tabla3[[#This Row],[INGRESOS]]-Tabla3[[#This Row],[EGRESOS]]</f>
        <v>-1.2</v>
      </c>
      <c r="H551" s="266">
        <v>-2506765.7999999998</v>
      </c>
      <c r="I551" s="119">
        <v>1360</v>
      </c>
      <c r="J551" s="99">
        <f>Tabla3[[#This Row],[EGRESOS]]/Tabla3[[#This Row],[TC]]</f>
        <v>8.8235294117647051E-4</v>
      </c>
      <c r="K551" s="99">
        <f>Tabla3[[#This Row],[INGRESOS]]/Tabla3[[#This Row],[TC]]</f>
        <v>0</v>
      </c>
      <c r="L551" s="7" t="s">
        <v>376</v>
      </c>
      <c r="M551" s="7" t="s">
        <v>377</v>
      </c>
      <c r="N551" s="7" t="s">
        <v>30</v>
      </c>
      <c r="O551" s="7" t="s">
        <v>184</v>
      </c>
      <c r="P551" s="7" t="s">
        <v>195</v>
      </c>
      <c r="Q551" s="7" t="s">
        <v>196</v>
      </c>
      <c r="R551" s="7" t="s">
        <v>394</v>
      </c>
      <c r="S551" s="7"/>
      <c r="T551" s="7"/>
      <c r="U551" s="7" t="s">
        <v>384</v>
      </c>
      <c r="V551" s="7"/>
      <c r="W551" s="7" t="s">
        <v>475</v>
      </c>
      <c r="X551" s="7" t="s">
        <v>99</v>
      </c>
      <c r="Y551" s="7" t="s">
        <v>23</v>
      </c>
    </row>
    <row r="552" spans="1:25" hidden="1" x14ac:dyDescent="0.25">
      <c r="A552" s="247" t="s">
        <v>320</v>
      </c>
      <c r="B552" s="248">
        <v>45947</v>
      </c>
      <c r="C552" s="244" t="s">
        <v>546</v>
      </c>
      <c r="D552" s="244"/>
      <c r="E552" s="249">
        <v>0</v>
      </c>
      <c r="F552" s="249">
        <v>2600000</v>
      </c>
      <c r="G552" s="266">
        <f>Tabla3[[#This Row],[INGRESOS]]-Tabla3[[#This Row],[EGRESOS]]</f>
        <v>2600000</v>
      </c>
      <c r="H552" s="401">
        <v>-27921.38</v>
      </c>
      <c r="I552" s="119">
        <v>1360</v>
      </c>
      <c r="J552" s="99">
        <f>Tabla3[[#This Row],[EGRESOS]]/Tabla3[[#This Row],[TC]]</f>
        <v>0</v>
      </c>
      <c r="K552" s="99">
        <f>Tabla3[[#This Row],[INGRESOS]]/Tabla3[[#This Row],[TC]]</f>
        <v>1911.7647058823529</v>
      </c>
      <c r="L552" s="7" t="s">
        <v>376</v>
      </c>
      <c r="M552" s="7" t="s">
        <v>377</v>
      </c>
      <c r="N552" s="7" t="s">
        <v>30</v>
      </c>
      <c r="O552" s="7" t="s">
        <v>244</v>
      </c>
      <c r="P552" s="7" t="s">
        <v>259</v>
      </c>
      <c r="Q552" s="7" t="s">
        <v>260</v>
      </c>
      <c r="R552" s="7" t="s">
        <v>405</v>
      </c>
      <c r="S552" s="7"/>
      <c r="T552" s="7"/>
      <c r="U552" s="7" t="s">
        <v>379</v>
      </c>
      <c r="V552" s="7"/>
      <c r="W552" s="7" t="s">
        <v>475</v>
      </c>
      <c r="X552" s="7"/>
      <c r="Y552" s="7"/>
    </row>
    <row r="553" spans="1:25" hidden="1" x14ac:dyDescent="0.25">
      <c r="A553" s="247" t="s">
        <v>320</v>
      </c>
      <c r="B553" s="248">
        <v>45958</v>
      </c>
      <c r="C553" s="244" t="s">
        <v>443</v>
      </c>
      <c r="D553" s="244"/>
      <c r="E553" s="249">
        <v>41371.32</v>
      </c>
      <c r="F553" s="249">
        <v>0</v>
      </c>
      <c r="G553" s="266">
        <f>Tabla3[[#This Row],[INGRESOS]]-Tabla3[[#This Row],[EGRESOS]]</f>
        <v>-41371.32</v>
      </c>
      <c r="H553" s="266">
        <v>0</v>
      </c>
      <c r="I553" s="119">
        <v>1410</v>
      </c>
      <c r="J553" s="99">
        <f>Tabla3[[#This Row],[EGRESOS]]/Tabla3[[#This Row],[TC]]</f>
        <v>29.34136170212766</v>
      </c>
      <c r="K553" s="99">
        <f>Tabla3[[#This Row],[INGRESOS]]/Tabla3[[#This Row],[TC]]</f>
        <v>0</v>
      </c>
      <c r="L553" s="7" t="s">
        <v>376</v>
      </c>
      <c r="M553" s="7" t="s">
        <v>377</v>
      </c>
      <c r="N553" s="7" t="s">
        <v>30</v>
      </c>
      <c r="O553" s="7" t="s">
        <v>184</v>
      </c>
      <c r="P553" s="7" t="s">
        <v>197</v>
      </c>
      <c r="Q553" s="7" t="s">
        <v>198</v>
      </c>
      <c r="R553" s="7" t="s">
        <v>419</v>
      </c>
      <c r="S553" s="7"/>
      <c r="T553" s="7"/>
      <c r="U553" s="7" t="s">
        <v>384</v>
      </c>
      <c r="V553" s="7"/>
      <c r="W553" s="7" t="s">
        <v>380</v>
      </c>
      <c r="X553" s="7" t="s">
        <v>99</v>
      </c>
      <c r="Y553" s="7" t="s">
        <v>23</v>
      </c>
    </row>
    <row r="554" spans="1:25" hidden="1" x14ac:dyDescent="0.25">
      <c r="A554" s="247" t="s">
        <v>320</v>
      </c>
      <c r="B554" s="248">
        <v>45958</v>
      </c>
      <c r="C554" s="244" t="s">
        <v>443</v>
      </c>
      <c r="D554" s="244"/>
      <c r="E554" s="249">
        <v>76162.210000000006</v>
      </c>
      <c r="F554" s="249">
        <v>0</v>
      </c>
      <c r="G554" s="266">
        <f>Tabla3[[#This Row],[INGRESOS]]-Tabla3[[#This Row],[EGRESOS]]</f>
        <v>-76162.210000000006</v>
      </c>
      <c r="H554" s="266">
        <v>0</v>
      </c>
      <c r="I554" s="119">
        <v>1410</v>
      </c>
      <c r="J554" s="99">
        <f>Tabla3[[#This Row],[EGRESOS]]/Tabla3[[#This Row],[TC]]</f>
        <v>54.015751773049651</v>
      </c>
      <c r="K554" s="99">
        <f>Tabla3[[#This Row],[INGRESOS]]/Tabla3[[#This Row],[TC]]</f>
        <v>0</v>
      </c>
      <c r="L554" s="7" t="s">
        <v>376</v>
      </c>
      <c r="M554" s="7" t="s">
        <v>377</v>
      </c>
      <c r="N554" s="7" t="s">
        <v>30</v>
      </c>
      <c r="O554" s="7" t="s">
        <v>184</v>
      </c>
      <c r="P554" s="7" t="s">
        <v>197</v>
      </c>
      <c r="Q554" s="7" t="s">
        <v>198</v>
      </c>
      <c r="R554" s="7" t="s">
        <v>419</v>
      </c>
      <c r="S554" s="7"/>
      <c r="T554" s="7"/>
      <c r="U554" s="7" t="s">
        <v>384</v>
      </c>
      <c r="V554" s="7"/>
      <c r="W554" s="7" t="s">
        <v>380</v>
      </c>
      <c r="X554" s="7" t="s">
        <v>99</v>
      </c>
      <c r="Y554" s="7" t="s">
        <v>23</v>
      </c>
    </row>
    <row r="555" spans="1:25" hidden="1" x14ac:dyDescent="0.25">
      <c r="A555" s="247" t="s">
        <v>320</v>
      </c>
      <c r="B555" s="248">
        <v>45958</v>
      </c>
      <c r="C555" s="244" t="s">
        <v>443</v>
      </c>
      <c r="D555" s="244"/>
      <c r="E555" s="249">
        <v>255.39</v>
      </c>
      <c r="F555" s="249">
        <v>0</v>
      </c>
      <c r="G555" s="266">
        <f>Tabla3[[#This Row],[INGRESOS]]-Tabla3[[#This Row],[EGRESOS]]</f>
        <v>-255.39</v>
      </c>
      <c r="H555" s="266">
        <v>0</v>
      </c>
      <c r="I555" s="119">
        <v>1410</v>
      </c>
      <c r="J555" s="99">
        <f>Tabla3[[#This Row],[EGRESOS]]/Tabla3[[#This Row],[TC]]</f>
        <v>0.18112765957446808</v>
      </c>
      <c r="K555" s="99">
        <f>Tabla3[[#This Row],[INGRESOS]]/Tabla3[[#This Row],[TC]]</f>
        <v>0</v>
      </c>
      <c r="L555" s="7" t="s">
        <v>376</v>
      </c>
      <c r="M555" s="7" t="s">
        <v>377</v>
      </c>
      <c r="N555" s="7" t="s">
        <v>30</v>
      </c>
      <c r="O555" s="7" t="s">
        <v>184</v>
      </c>
      <c r="P555" s="7" t="s">
        <v>197</v>
      </c>
      <c r="Q555" s="7" t="s">
        <v>198</v>
      </c>
      <c r="R555" s="7" t="s">
        <v>419</v>
      </c>
      <c r="S555" s="7"/>
      <c r="T555" s="7"/>
      <c r="U555" s="7" t="s">
        <v>384</v>
      </c>
      <c r="V555" s="7"/>
      <c r="W555" s="7" t="s">
        <v>380</v>
      </c>
      <c r="X555" s="7" t="s">
        <v>99</v>
      </c>
      <c r="Y555" s="7" t="s">
        <v>23</v>
      </c>
    </row>
    <row r="556" spans="1:25" hidden="1" x14ac:dyDescent="0.25">
      <c r="A556" s="247" t="s">
        <v>320</v>
      </c>
      <c r="B556" s="248">
        <v>45958</v>
      </c>
      <c r="C556" s="244" t="s">
        <v>443</v>
      </c>
      <c r="D556" s="244"/>
      <c r="E556" s="249">
        <v>3366.66</v>
      </c>
      <c r="F556" s="249">
        <v>0</v>
      </c>
      <c r="G556" s="266">
        <f>Tabla3[[#This Row],[INGRESOS]]-Tabla3[[#This Row],[EGRESOS]]</f>
        <v>-3366.66</v>
      </c>
      <c r="H556" s="266">
        <v>0</v>
      </c>
      <c r="I556" s="119">
        <v>1410</v>
      </c>
      <c r="J556" s="99">
        <f>Tabla3[[#This Row],[EGRESOS]]/Tabla3[[#This Row],[TC]]</f>
        <v>2.3877021276595745</v>
      </c>
      <c r="K556" s="99">
        <f>Tabla3[[#This Row],[INGRESOS]]/Tabla3[[#This Row],[TC]]</f>
        <v>0</v>
      </c>
      <c r="L556" s="7" t="s">
        <v>376</v>
      </c>
      <c r="M556" s="7" t="s">
        <v>377</v>
      </c>
      <c r="N556" s="7" t="s">
        <v>30</v>
      </c>
      <c r="O556" s="7" t="s">
        <v>184</v>
      </c>
      <c r="P556" s="7" t="s">
        <v>197</v>
      </c>
      <c r="Q556" s="7" t="s">
        <v>198</v>
      </c>
      <c r="R556" s="7" t="s">
        <v>419</v>
      </c>
      <c r="S556" s="7"/>
      <c r="T556" s="7"/>
      <c r="U556" s="7" t="s">
        <v>384</v>
      </c>
      <c r="V556" s="7"/>
      <c r="W556" s="7" t="s">
        <v>380</v>
      </c>
      <c r="X556" s="7" t="s">
        <v>99</v>
      </c>
      <c r="Y556" s="7" t="s">
        <v>23</v>
      </c>
    </row>
    <row r="557" spans="1:25" hidden="1" x14ac:dyDescent="0.25">
      <c r="A557" s="247" t="s">
        <v>320</v>
      </c>
      <c r="B557" s="248">
        <v>45958</v>
      </c>
      <c r="C557" s="244" t="s">
        <v>553</v>
      </c>
      <c r="D557" s="244"/>
      <c r="E557" s="249">
        <v>0</v>
      </c>
      <c r="F557" s="249">
        <v>6000000</v>
      </c>
      <c r="G557" s="266">
        <f>Tabla3[[#This Row],[INGRESOS]]-Tabla3[[#This Row],[EGRESOS]]</f>
        <v>6000000</v>
      </c>
      <c r="H557" s="266">
        <v>0</v>
      </c>
      <c r="I557" s="119">
        <v>1410</v>
      </c>
      <c r="J557" s="99">
        <f>Tabla3[[#This Row],[EGRESOS]]/Tabla3[[#This Row],[TC]]</f>
        <v>0</v>
      </c>
      <c r="K557" s="99">
        <f>Tabla3[[#This Row],[INGRESOS]]/Tabla3[[#This Row],[TC]]</f>
        <v>4255.3191489361698</v>
      </c>
      <c r="L557" s="7" t="s">
        <v>376</v>
      </c>
      <c r="M557" s="7" t="s">
        <v>377</v>
      </c>
      <c r="N557" s="7" t="s">
        <v>30</v>
      </c>
      <c r="O557" s="7" t="s">
        <v>244</v>
      </c>
      <c r="P557" s="7" t="s">
        <v>259</v>
      </c>
      <c r="Q557" s="7" t="s">
        <v>260</v>
      </c>
      <c r="R557" s="7" t="s">
        <v>554</v>
      </c>
      <c r="S557" s="7"/>
      <c r="T557" s="7"/>
      <c r="U557" s="7" t="s">
        <v>379</v>
      </c>
      <c r="V557" s="7"/>
      <c r="W557" s="7" t="s">
        <v>475</v>
      </c>
      <c r="X557" s="7"/>
      <c r="Y557" s="7"/>
    </row>
    <row r="558" spans="1:25" hidden="1" x14ac:dyDescent="0.25">
      <c r="A558" s="247" t="s">
        <v>320</v>
      </c>
      <c r="B558" s="248">
        <v>45958</v>
      </c>
      <c r="C558" s="244" t="s">
        <v>546</v>
      </c>
      <c r="D558" s="244"/>
      <c r="E558" s="249">
        <v>0</v>
      </c>
      <c r="F558" s="249">
        <v>4600000</v>
      </c>
      <c r="G558" s="266">
        <f>Tabla3[[#This Row],[INGRESOS]]-Tabla3[[#This Row],[EGRESOS]]</f>
        <v>4600000</v>
      </c>
      <c r="H558" s="266">
        <v>0</v>
      </c>
      <c r="I558" s="119">
        <v>1410</v>
      </c>
      <c r="J558" s="99">
        <f>Tabla3[[#This Row],[EGRESOS]]/Tabla3[[#This Row],[TC]]</f>
        <v>0</v>
      </c>
      <c r="K558" s="99">
        <f>Tabla3[[#This Row],[INGRESOS]]/Tabla3[[#This Row],[TC]]</f>
        <v>3262.4113475177305</v>
      </c>
      <c r="L558" s="7" t="s">
        <v>376</v>
      </c>
      <c r="M558" s="7" t="s">
        <v>377</v>
      </c>
      <c r="N558" s="7" t="s">
        <v>30</v>
      </c>
      <c r="O558" s="7" t="s">
        <v>244</v>
      </c>
      <c r="P558" s="7" t="s">
        <v>259</v>
      </c>
      <c r="Q558" s="7" t="s">
        <v>260</v>
      </c>
      <c r="R558" s="7" t="s">
        <v>447</v>
      </c>
      <c r="S558" s="7"/>
      <c r="T558" s="7"/>
      <c r="U558" s="7" t="s">
        <v>379</v>
      </c>
      <c r="V558" s="7"/>
      <c r="W558" s="7" t="s">
        <v>475</v>
      </c>
      <c r="X558" s="7"/>
      <c r="Y558" s="7"/>
    </row>
    <row r="559" spans="1:25" hidden="1" x14ac:dyDescent="0.25">
      <c r="A559" s="273" t="s">
        <v>313</v>
      </c>
      <c r="B559" s="251">
        <v>45734</v>
      </c>
      <c r="C559" s="252" t="s">
        <v>800</v>
      </c>
      <c r="D559" s="252"/>
      <c r="E559" s="253">
        <v>1000000</v>
      </c>
      <c r="F559" s="253">
        <v>0</v>
      </c>
      <c r="G559" s="274">
        <f>Tabla3[[#This Row],[INGRESOS]]-Tabla3[[#This Row],[EGRESOS]]</f>
        <v>-1000000</v>
      </c>
      <c r="H559" s="132">
        <v>-11084733.02</v>
      </c>
      <c r="I559" s="135">
        <v>1140</v>
      </c>
      <c r="J559" s="136">
        <f>Tabla3[[#This Row],[EGRESOS]]/Tabla3[[#This Row],[TC]]</f>
        <v>877.19298245614038</v>
      </c>
      <c r="K559" s="136">
        <f>Tabla3[[#This Row],[INGRESOS]]/Tabla3[[#This Row],[TC]]</f>
        <v>0</v>
      </c>
      <c r="L559" s="8" t="s">
        <v>376</v>
      </c>
      <c r="M559" s="8" t="s">
        <v>377</v>
      </c>
      <c r="N559" s="8" t="s">
        <v>20</v>
      </c>
      <c r="O559" s="8" t="s">
        <v>184</v>
      </c>
      <c r="P559" s="8" t="s">
        <v>203</v>
      </c>
      <c r="Q559" s="8" t="s">
        <v>208</v>
      </c>
      <c r="R559" s="8"/>
      <c r="S559" s="8" t="s">
        <v>386</v>
      </c>
      <c r="T559" s="8"/>
      <c r="U559" s="8" t="s">
        <v>387</v>
      </c>
      <c r="V559" s="8" t="s">
        <v>386</v>
      </c>
      <c r="W559" s="8" t="s">
        <v>380</v>
      </c>
      <c r="X559" s="8" t="s">
        <v>104</v>
      </c>
      <c r="Y559" s="8" t="s">
        <v>23</v>
      </c>
    </row>
    <row r="560" spans="1:25" hidden="1" x14ac:dyDescent="0.25">
      <c r="A560" s="247" t="s">
        <v>320</v>
      </c>
      <c r="B560" s="248">
        <v>45958</v>
      </c>
      <c r="C560" s="244" t="s">
        <v>539</v>
      </c>
      <c r="D560" s="244"/>
      <c r="E560" s="249">
        <v>13588061.93</v>
      </c>
      <c r="F560" s="249">
        <v>0</v>
      </c>
      <c r="G560" s="266">
        <f>Tabla3[[#This Row],[INGRESOS]]-Tabla3[[#This Row],[EGRESOS]]</f>
        <v>-13588061.93</v>
      </c>
      <c r="H560" s="266">
        <v>0</v>
      </c>
      <c r="I560" s="119">
        <v>1410</v>
      </c>
      <c r="J560" s="99">
        <f>Tabla3[[#This Row],[EGRESOS]]/Tabla3[[#This Row],[TC]]</f>
        <v>9636.9233546099294</v>
      </c>
      <c r="K560" s="99">
        <f>Tabla3[[#This Row],[INGRESOS]]/Tabla3[[#This Row],[TC]]</f>
        <v>0</v>
      </c>
      <c r="L560" s="7" t="s">
        <v>376</v>
      </c>
      <c r="M560" s="7" t="s">
        <v>377</v>
      </c>
      <c r="N560" s="7" t="s">
        <v>30</v>
      </c>
      <c r="O560" s="7" t="s">
        <v>244</v>
      </c>
      <c r="P560" s="7" t="s">
        <v>38</v>
      </c>
      <c r="Q560" s="7" t="s">
        <v>257</v>
      </c>
      <c r="R560" s="7" t="s">
        <v>559</v>
      </c>
      <c r="S560" s="7"/>
      <c r="T560" s="7"/>
      <c r="U560" s="7" t="s">
        <v>555</v>
      </c>
      <c r="V560" s="7"/>
      <c r="W560" s="7" t="s">
        <v>475</v>
      </c>
      <c r="X560" s="7" t="s">
        <v>556</v>
      </c>
      <c r="Y560" s="7" t="s">
        <v>23</v>
      </c>
    </row>
    <row r="561" spans="1:25" hidden="1" x14ac:dyDescent="0.25">
      <c r="A561" s="247" t="s">
        <v>320</v>
      </c>
      <c r="B561" s="248">
        <v>45958</v>
      </c>
      <c r="C561" s="244" t="s">
        <v>560</v>
      </c>
      <c r="D561" s="244"/>
      <c r="E561" s="249">
        <v>72460.850000000006</v>
      </c>
      <c r="F561" s="249">
        <v>0</v>
      </c>
      <c r="G561" s="266">
        <f>Tabla3[[#This Row],[INGRESOS]]-Tabla3[[#This Row],[EGRESOS]]</f>
        <v>-72460.850000000006</v>
      </c>
      <c r="H561" s="266">
        <v>0</v>
      </c>
      <c r="I561" s="119">
        <v>1410</v>
      </c>
      <c r="J561" s="99">
        <f>Tabla3[[#This Row],[EGRESOS]]/Tabla3[[#This Row],[TC]]</f>
        <v>51.390673758865255</v>
      </c>
      <c r="K561" s="99">
        <f>Tabla3[[#This Row],[INGRESOS]]/Tabla3[[#This Row],[TC]]</f>
        <v>0</v>
      </c>
      <c r="L561" s="7" t="s">
        <v>376</v>
      </c>
      <c r="M561" s="7" t="s">
        <v>377</v>
      </c>
      <c r="N561" s="7" t="s">
        <v>30</v>
      </c>
      <c r="O561" s="7" t="s">
        <v>244</v>
      </c>
      <c r="P561" s="7" t="s">
        <v>38</v>
      </c>
      <c r="Q561" s="7" t="s">
        <v>258</v>
      </c>
      <c r="R561" s="7" t="s">
        <v>561</v>
      </c>
      <c r="S561" s="7"/>
      <c r="T561" s="7"/>
      <c r="U561" s="7" t="s">
        <v>555</v>
      </c>
      <c r="V561" s="7"/>
      <c r="W561" s="7" t="s">
        <v>475</v>
      </c>
      <c r="X561" s="7" t="s">
        <v>556</v>
      </c>
      <c r="Y561" s="7" t="s">
        <v>23</v>
      </c>
    </row>
    <row r="562" spans="1:25" hidden="1" x14ac:dyDescent="0.25">
      <c r="A562" s="247" t="s">
        <v>320</v>
      </c>
      <c r="B562" s="248">
        <v>45958</v>
      </c>
      <c r="C562" s="244" t="s">
        <v>500</v>
      </c>
      <c r="D562" s="244"/>
      <c r="E562" s="249">
        <v>248.23</v>
      </c>
      <c r="F562" s="249">
        <v>0</v>
      </c>
      <c r="G562" s="266">
        <f>Tabla3[[#This Row],[INGRESOS]]-Tabla3[[#This Row],[EGRESOS]]</f>
        <v>-248.23</v>
      </c>
      <c r="H562" s="266">
        <v>0</v>
      </c>
      <c r="I562" s="119">
        <v>1410</v>
      </c>
      <c r="J562" s="99">
        <f>Tabla3[[#This Row],[EGRESOS]]/Tabla3[[#This Row],[TC]]</f>
        <v>0.17604964539007092</v>
      </c>
      <c r="K562" s="99">
        <f>Tabla3[[#This Row],[INGRESOS]]/Tabla3[[#This Row],[TC]]</f>
        <v>0</v>
      </c>
      <c r="L562" s="7" t="s">
        <v>376</v>
      </c>
      <c r="M562" s="7" t="s">
        <v>377</v>
      </c>
      <c r="N562" s="7" t="s">
        <v>30</v>
      </c>
      <c r="O562" s="7" t="s">
        <v>184</v>
      </c>
      <c r="P562" s="7" t="s">
        <v>195</v>
      </c>
      <c r="Q562" s="7" t="s">
        <v>196</v>
      </c>
      <c r="R562" s="7" t="s">
        <v>394</v>
      </c>
      <c r="S562" s="7"/>
      <c r="T562" s="7"/>
      <c r="U562" s="7" t="s">
        <v>384</v>
      </c>
      <c r="V562" s="7"/>
      <c r="W562" s="7" t="s">
        <v>475</v>
      </c>
      <c r="X562" s="7" t="s">
        <v>99</v>
      </c>
      <c r="Y562" s="7" t="s">
        <v>23</v>
      </c>
    </row>
    <row r="563" spans="1:25" hidden="1" x14ac:dyDescent="0.25">
      <c r="A563" s="247" t="s">
        <v>320</v>
      </c>
      <c r="B563" s="248">
        <v>45958</v>
      </c>
      <c r="C563" s="244" t="s">
        <v>500</v>
      </c>
      <c r="D563" s="244"/>
      <c r="E563" s="249">
        <v>456.97</v>
      </c>
      <c r="F563" s="249">
        <v>0</v>
      </c>
      <c r="G563" s="266">
        <f>Tabla3[[#This Row],[INGRESOS]]-Tabla3[[#This Row],[EGRESOS]]</f>
        <v>-456.97</v>
      </c>
      <c r="H563" s="266">
        <v>0</v>
      </c>
      <c r="I563" s="119">
        <v>1410</v>
      </c>
      <c r="J563" s="99">
        <f>Tabla3[[#This Row],[EGRESOS]]/Tabla3[[#This Row],[TC]]</f>
        <v>0.3240921985815603</v>
      </c>
      <c r="K563" s="99">
        <f>Tabla3[[#This Row],[INGRESOS]]/Tabla3[[#This Row],[TC]]</f>
        <v>0</v>
      </c>
      <c r="L563" s="7" t="s">
        <v>376</v>
      </c>
      <c r="M563" s="7" t="s">
        <v>377</v>
      </c>
      <c r="N563" s="7" t="s">
        <v>30</v>
      </c>
      <c r="O563" s="7" t="s">
        <v>184</v>
      </c>
      <c r="P563" s="7" t="s">
        <v>195</v>
      </c>
      <c r="Q563" s="7" t="s">
        <v>196</v>
      </c>
      <c r="R563" s="7" t="s">
        <v>394</v>
      </c>
      <c r="S563" s="7"/>
      <c r="T563" s="7"/>
      <c r="U563" s="7" t="s">
        <v>384</v>
      </c>
      <c r="V563" s="7"/>
      <c r="W563" s="7" t="s">
        <v>475</v>
      </c>
      <c r="X563" s="7" t="s">
        <v>99</v>
      </c>
      <c r="Y563" s="7" t="s">
        <v>23</v>
      </c>
    </row>
    <row r="564" spans="1:25" hidden="1" x14ac:dyDescent="0.25">
      <c r="A564" s="247" t="s">
        <v>320</v>
      </c>
      <c r="B564" s="248">
        <v>45958</v>
      </c>
      <c r="C564" s="244" t="s">
        <v>500</v>
      </c>
      <c r="D564" s="244"/>
      <c r="E564" s="249">
        <v>1.53</v>
      </c>
      <c r="F564" s="249">
        <v>0</v>
      </c>
      <c r="G564" s="266">
        <f>Tabla3[[#This Row],[INGRESOS]]-Tabla3[[#This Row],[EGRESOS]]</f>
        <v>-1.53</v>
      </c>
      <c r="H564" s="266">
        <v>0</v>
      </c>
      <c r="I564" s="119">
        <v>1410</v>
      </c>
      <c r="J564" s="99">
        <f>Tabla3[[#This Row],[EGRESOS]]/Tabla3[[#This Row],[TC]]</f>
        <v>1.0851063829787233E-3</v>
      </c>
      <c r="K564" s="99">
        <f>Tabla3[[#This Row],[INGRESOS]]/Tabla3[[#This Row],[TC]]</f>
        <v>0</v>
      </c>
      <c r="L564" s="7" t="s">
        <v>376</v>
      </c>
      <c r="M564" s="7" t="s">
        <v>377</v>
      </c>
      <c r="N564" s="7" t="s">
        <v>30</v>
      </c>
      <c r="O564" s="7" t="s">
        <v>184</v>
      </c>
      <c r="P564" s="7" t="s">
        <v>195</v>
      </c>
      <c r="Q564" s="7" t="s">
        <v>196</v>
      </c>
      <c r="R564" s="7" t="s">
        <v>394</v>
      </c>
      <c r="S564" s="7"/>
      <c r="T564" s="7"/>
      <c r="U564" s="7" t="s">
        <v>384</v>
      </c>
      <c r="V564" s="7"/>
      <c r="W564" s="7" t="s">
        <v>475</v>
      </c>
      <c r="X564" s="7" t="s">
        <v>99</v>
      </c>
      <c r="Y564" s="7" t="s">
        <v>23</v>
      </c>
    </row>
    <row r="565" spans="1:25" hidden="1" x14ac:dyDescent="0.25">
      <c r="A565" s="247" t="s">
        <v>320</v>
      </c>
      <c r="B565" s="248">
        <v>45958</v>
      </c>
      <c r="C565" s="244" t="s">
        <v>500</v>
      </c>
      <c r="D565" s="244"/>
      <c r="E565" s="249">
        <v>20.2</v>
      </c>
      <c r="F565" s="249">
        <v>0</v>
      </c>
      <c r="G565" s="266">
        <f>Tabla3[[#This Row],[INGRESOS]]-Tabla3[[#This Row],[EGRESOS]]</f>
        <v>-20.2</v>
      </c>
      <c r="H565" s="266">
        <v>0</v>
      </c>
      <c r="I565" s="119">
        <v>1410</v>
      </c>
      <c r="J565" s="99">
        <f>Tabla3[[#This Row],[EGRESOS]]/Tabla3[[#This Row],[TC]]</f>
        <v>1.4326241134751772E-2</v>
      </c>
      <c r="K565" s="99">
        <f>Tabla3[[#This Row],[INGRESOS]]/Tabla3[[#This Row],[TC]]</f>
        <v>0</v>
      </c>
      <c r="L565" s="7" t="s">
        <v>376</v>
      </c>
      <c r="M565" s="7" t="s">
        <v>377</v>
      </c>
      <c r="N565" s="7" t="s">
        <v>30</v>
      </c>
      <c r="O565" s="7" t="s">
        <v>184</v>
      </c>
      <c r="P565" s="7" t="s">
        <v>195</v>
      </c>
      <c r="Q565" s="7" t="s">
        <v>196</v>
      </c>
      <c r="R565" s="7" t="s">
        <v>394</v>
      </c>
      <c r="S565" s="7"/>
      <c r="T565" s="7"/>
      <c r="U565" s="7" t="s">
        <v>384</v>
      </c>
      <c r="V565" s="7"/>
      <c r="W565" s="7" t="s">
        <v>475</v>
      </c>
      <c r="X565" s="7" t="s">
        <v>99</v>
      </c>
      <c r="Y565" s="7" t="s">
        <v>23</v>
      </c>
    </row>
    <row r="566" spans="1:25" hidden="1" x14ac:dyDescent="0.25">
      <c r="A566" s="247" t="s">
        <v>320</v>
      </c>
      <c r="B566" s="248">
        <v>45958</v>
      </c>
      <c r="C566" s="244" t="s">
        <v>518</v>
      </c>
      <c r="D566" s="244"/>
      <c r="E566" s="249">
        <v>720</v>
      </c>
      <c r="F566" s="249">
        <v>0</v>
      </c>
      <c r="G566" s="266">
        <f>Tabla3[[#This Row],[INGRESOS]]-Tabla3[[#This Row],[EGRESOS]]</f>
        <v>-720</v>
      </c>
      <c r="H566" s="266">
        <v>0</v>
      </c>
      <c r="I566" s="119">
        <v>1410</v>
      </c>
      <c r="J566" s="99">
        <f>Tabla3[[#This Row],[EGRESOS]]/Tabla3[[#This Row],[TC]]</f>
        <v>0.51063829787234039</v>
      </c>
      <c r="K566" s="99">
        <f>Tabla3[[#This Row],[INGRESOS]]/Tabla3[[#This Row],[TC]]</f>
        <v>0</v>
      </c>
      <c r="L566" s="7" t="s">
        <v>376</v>
      </c>
      <c r="M566" s="7" t="s">
        <v>377</v>
      </c>
      <c r="N566" s="7" t="s">
        <v>30</v>
      </c>
      <c r="O566" s="7" t="s">
        <v>184</v>
      </c>
      <c r="P566" s="7" t="s">
        <v>195</v>
      </c>
      <c r="Q566" s="7" t="s">
        <v>196</v>
      </c>
      <c r="R566" s="7" t="s">
        <v>394</v>
      </c>
      <c r="S566" s="7"/>
      <c r="T566" s="7"/>
      <c r="U566" s="7" t="s">
        <v>384</v>
      </c>
      <c r="V566" s="7"/>
      <c r="W566" s="7" t="s">
        <v>475</v>
      </c>
      <c r="X566" s="7" t="s">
        <v>99</v>
      </c>
      <c r="Y566" s="7" t="s">
        <v>23</v>
      </c>
    </row>
    <row r="567" spans="1:25" hidden="1" x14ac:dyDescent="0.25">
      <c r="A567" s="247" t="s">
        <v>320</v>
      </c>
      <c r="B567" s="248">
        <v>45958</v>
      </c>
      <c r="C567" s="244" t="s">
        <v>500</v>
      </c>
      <c r="D567" s="244"/>
      <c r="E567" s="249">
        <v>81528.37</v>
      </c>
      <c r="F567" s="249">
        <v>0</v>
      </c>
      <c r="G567" s="266">
        <f>Tabla3[[#This Row],[INGRESOS]]-Tabla3[[#This Row],[EGRESOS]]</f>
        <v>-81528.37</v>
      </c>
      <c r="H567" s="266">
        <v>-3051419.46</v>
      </c>
      <c r="I567" s="119">
        <v>1410</v>
      </c>
      <c r="J567" s="99">
        <f>Tabla3[[#This Row],[EGRESOS]]/Tabla3[[#This Row],[TC]]</f>
        <v>57.821539007092198</v>
      </c>
      <c r="K567" s="99">
        <f>Tabla3[[#This Row],[INGRESOS]]/Tabla3[[#This Row],[TC]]</f>
        <v>0</v>
      </c>
      <c r="L567" s="7" t="s">
        <v>376</v>
      </c>
      <c r="M567" s="7" t="s">
        <v>377</v>
      </c>
      <c r="N567" s="7" t="s">
        <v>30</v>
      </c>
      <c r="O567" s="7" t="s">
        <v>184</v>
      </c>
      <c r="P567" s="7" t="s">
        <v>195</v>
      </c>
      <c r="Q567" s="7" t="s">
        <v>196</v>
      </c>
      <c r="R567" s="7" t="s">
        <v>394</v>
      </c>
      <c r="S567" s="7"/>
      <c r="T567" s="7"/>
      <c r="U567" s="7" t="s">
        <v>384</v>
      </c>
      <c r="V567" s="7"/>
      <c r="W567" s="7" t="s">
        <v>475</v>
      </c>
      <c r="X567" s="7" t="s">
        <v>99</v>
      </c>
      <c r="Y567" s="7" t="s">
        <v>23</v>
      </c>
    </row>
    <row r="568" spans="1:25" hidden="1" x14ac:dyDescent="0.25">
      <c r="A568" s="247" t="s">
        <v>320</v>
      </c>
      <c r="B568" s="248">
        <v>45958</v>
      </c>
      <c r="C568" s="244" t="s">
        <v>553</v>
      </c>
      <c r="D568" s="244"/>
      <c r="E568" s="249">
        <v>0</v>
      </c>
      <c r="F568" s="249">
        <v>60000</v>
      </c>
      <c r="G568" s="266">
        <f>Tabla3[[#This Row],[INGRESOS]]-Tabla3[[#This Row],[EGRESOS]]</f>
        <v>60000</v>
      </c>
      <c r="H568" s="266">
        <f>-3051419.46+60000</f>
        <v>-2991419.46</v>
      </c>
      <c r="I568" s="119">
        <v>1410</v>
      </c>
      <c r="J568" s="99">
        <f>Tabla3[[#This Row],[EGRESOS]]/Tabla3[[#This Row],[TC]]</f>
        <v>0</v>
      </c>
      <c r="K568" s="99">
        <f>Tabla3[[#This Row],[INGRESOS]]/Tabla3[[#This Row],[TC]]</f>
        <v>42.553191489361701</v>
      </c>
      <c r="L568" s="7" t="s">
        <v>376</v>
      </c>
      <c r="M568" s="7" t="s">
        <v>377</v>
      </c>
      <c r="N568" s="7" t="s">
        <v>30</v>
      </c>
      <c r="O568" s="7" t="s">
        <v>244</v>
      </c>
      <c r="P568" s="7" t="s">
        <v>259</v>
      </c>
      <c r="Q568" s="7" t="s">
        <v>260</v>
      </c>
      <c r="R568" s="7" t="s">
        <v>447</v>
      </c>
      <c r="S568" s="7"/>
      <c r="T568" s="7"/>
      <c r="U568" s="7" t="s">
        <v>379</v>
      </c>
      <c r="V568" s="7"/>
      <c r="W568" s="7" t="s">
        <v>475</v>
      </c>
      <c r="X568" s="7"/>
      <c r="Y568" s="7"/>
    </row>
    <row r="569" spans="1:25" hidden="1" x14ac:dyDescent="0.25">
      <c r="A569" s="247" t="str">
        <f>"NOVIEMBRE"</f>
        <v>NOVIEMBRE</v>
      </c>
      <c r="B569" s="248">
        <v>45964</v>
      </c>
      <c r="C569" s="244" t="s">
        <v>496</v>
      </c>
      <c r="D569" s="244"/>
      <c r="E569" s="249">
        <v>50000</v>
      </c>
      <c r="F569" s="249">
        <v>0</v>
      </c>
      <c r="G569" s="266">
        <f>Tabla3[[#This Row],[INGRESOS]]-Tabla3[[#This Row],[EGRESOS]]</f>
        <v>-50000</v>
      </c>
      <c r="H569" s="266">
        <v>0</v>
      </c>
      <c r="I569" s="119">
        <v>1465</v>
      </c>
      <c r="J569" s="99">
        <f>Tabla3[[#This Row],[EGRESOS]]/Tabla3[[#This Row],[TC]]</f>
        <v>34.129692832764505</v>
      </c>
      <c r="K569" s="99">
        <f>Tabla3[[#This Row],[INGRESOS]]/Tabla3[[#This Row],[TC]]</f>
        <v>0</v>
      </c>
      <c r="L569" s="7" t="s">
        <v>376</v>
      </c>
      <c r="M569" s="7" t="s">
        <v>377</v>
      </c>
      <c r="N569" s="7" t="s">
        <v>30</v>
      </c>
      <c r="O569" s="7" t="s">
        <v>184</v>
      </c>
      <c r="P569" s="7" t="s">
        <v>185</v>
      </c>
      <c r="Q569" s="7" t="s">
        <v>186</v>
      </c>
      <c r="R569" s="7"/>
      <c r="S569" s="7"/>
      <c r="T569" s="7"/>
      <c r="U569" s="7" t="s">
        <v>384</v>
      </c>
      <c r="V569" s="7"/>
      <c r="W569" s="7" t="s">
        <v>475</v>
      </c>
      <c r="X569" s="7" t="s">
        <v>99</v>
      </c>
      <c r="Y569" s="7" t="s">
        <v>23</v>
      </c>
    </row>
    <row r="570" spans="1:25" hidden="1" x14ac:dyDescent="0.25">
      <c r="A570" s="247" t="s">
        <v>321</v>
      </c>
      <c r="B570" s="248">
        <v>45964</v>
      </c>
      <c r="C570" s="244" t="s">
        <v>497</v>
      </c>
      <c r="D570" s="244"/>
      <c r="E570" s="249">
        <v>10500</v>
      </c>
      <c r="F570" s="249">
        <v>0</v>
      </c>
      <c r="G570" s="266">
        <f>Tabla3[[#This Row],[INGRESOS]]-Tabla3[[#This Row],[EGRESOS]]</f>
        <v>-10500</v>
      </c>
      <c r="H570" s="266">
        <v>0</v>
      </c>
      <c r="I570" s="119">
        <v>1465</v>
      </c>
      <c r="J570" s="99">
        <f>Tabla3[[#This Row],[EGRESOS]]/Tabla3[[#This Row],[TC]]</f>
        <v>7.1672354948805461</v>
      </c>
      <c r="K570" s="99">
        <f>Tabla3[[#This Row],[INGRESOS]]/Tabla3[[#This Row],[TC]]</f>
        <v>0</v>
      </c>
      <c r="L570" s="7" t="s">
        <v>376</v>
      </c>
      <c r="M570" s="7" t="s">
        <v>377</v>
      </c>
      <c r="N570" s="7" t="s">
        <v>30</v>
      </c>
      <c r="O570" s="7" t="s">
        <v>184</v>
      </c>
      <c r="P570" s="7" t="s">
        <v>195</v>
      </c>
      <c r="Q570" s="7" t="s">
        <v>196</v>
      </c>
      <c r="R570" s="7" t="s">
        <v>273</v>
      </c>
      <c r="S570" s="7"/>
      <c r="T570" s="7"/>
      <c r="U570" s="7" t="s">
        <v>384</v>
      </c>
      <c r="V570" s="7"/>
      <c r="W570" s="7" t="s">
        <v>475</v>
      </c>
      <c r="X570" s="7" t="s">
        <v>99</v>
      </c>
      <c r="Y570" s="7" t="s">
        <v>23</v>
      </c>
    </row>
    <row r="571" spans="1:25" hidden="1" x14ac:dyDescent="0.25">
      <c r="A571" s="247" t="s">
        <v>321</v>
      </c>
      <c r="B571" s="248">
        <v>45964</v>
      </c>
      <c r="C571" s="244" t="s">
        <v>498</v>
      </c>
      <c r="D571" s="244"/>
      <c r="E571" s="249">
        <v>1500</v>
      </c>
      <c r="F571" s="249">
        <v>0</v>
      </c>
      <c r="G571" s="266">
        <f>Tabla3[[#This Row],[INGRESOS]]-Tabla3[[#This Row],[EGRESOS]]</f>
        <v>-1500</v>
      </c>
      <c r="H571" s="266">
        <v>0</v>
      </c>
      <c r="I571" s="119">
        <v>1465</v>
      </c>
      <c r="J571" s="99">
        <f>Tabla3[[#This Row],[EGRESOS]]/Tabla3[[#This Row],[TC]]</f>
        <v>1.0238907849829351</v>
      </c>
      <c r="K571" s="99">
        <f>Tabla3[[#This Row],[INGRESOS]]/Tabla3[[#This Row],[TC]]</f>
        <v>0</v>
      </c>
      <c r="L571" s="7" t="s">
        <v>376</v>
      </c>
      <c r="M571" s="7" t="s">
        <v>377</v>
      </c>
      <c r="N571" s="7" t="s">
        <v>30</v>
      </c>
      <c r="O571" s="7" t="s">
        <v>184</v>
      </c>
      <c r="P571" s="7" t="s">
        <v>195</v>
      </c>
      <c r="Q571" s="7" t="s">
        <v>196</v>
      </c>
      <c r="R571" s="7" t="s">
        <v>499</v>
      </c>
      <c r="S571" s="7"/>
      <c r="T571" s="7"/>
      <c r="U571" s="7" t="s">
        <v>384</v>
      </c>
      <c r="V571" s="7"/>
      <c r="W571" s="7" t="s">
        <v>475</v>
      </c>
      <c r="X571" s="7" t="s">
        <v>99</v>
      </c>
      <c r="Y571" s="7" t="s">
        <v>23</v>
      </c>
    </row>
    <row r="572" spans="1:25" hidden="1" x14ac:dyDescent="0.25">
      <c r="A572" s="247" t="s">
        <v>321</v>
      </c>
      <c r="B572" s="248">
        <v>45964</v>
      </c>
      <c r="C572" s="244" t="s">
        <v>500</v>
      </c>
      <c r="D572" s="244"/>
      <c r="E572" s="249">
        <v>300</v>
      </c>
      <c r="F572" s="249">
        <v>0</v>
      </c>
      <c r="G572" s="266">
        <f>Tabla3[[#This Row],[INGRESOS]]-Tabla3[[#This Row],[EGRESOS]]</f>
        <v>-300</v>
      </c>
      <c r="H572" s="266">
        <v>0</v>
      </c>
      <c r="I572" s="119">
        <v>1465</v>
      </c>
      <c r="J572" s="99">
        <f>Tabla3[[#This Row],[EGRESOS]]/Tabla3[[#This Row],[TC]]</f>
        <v>0.20477815699658702</v>
      </c>
      <c r="K572" s="99">
        <f>Tabla3[[#This Row],[INGRESOS]]/Tabla3[[#This Row],[TC]]</f>
        <v>0</v>
      </c>
      <c r="L572" s="7" t="s">
        <v>376</v>
      </c>
      <c r="M572" s="7" t="s">
        <v>377</v>
      </c>
      <c r="N572" s="7" t="s">
        <v>30</v>
      </c>
      <c r="O572" s="7" t="s">
        <v>184</v>
      </c>
      <c r="P572" s="7" t="s">
        <v>195</v>
      </c>
      <c r="Q572" s="7" t="s">
        <v>196</v>
      </c>
      <c r="R572" s="7" t="s">
        <v>394</v>
      </c>
      <c r="S572" s="7"/>
      <c r="T572" s="7"/>
      <c r="U572" s="7" t="s">
        <v>384</v>
      </c>
      <c r="V572" s="7"/>
      <c r="W572" s="7" t="s">
        <v>475</v>
      </c>
      <c r="X572" s="7" t="s">
        <v>99</v>
      </c>
      <c r="Y572" s="7" t="s">
        <v>23</v>
      </c>
    </row>
    <row r="573" spans="1:25" hidden="1" x14ac:dyDescent="0.25">
      <c r="A573" s="247" t="s">
        <v>321</v>
      </c>
      <c r="B573" s="248">
        <v>45964</v>
      </c>
      <c r="C573" s="244" t="s">
        <v>500</v>
      </c>
      <c r="D573" s="244"/>
      <c r="E573" s="249">
        <v>63</v>
      </c>
      <c r="F573" s="249">
        <v>0</v>
      </c>
      <c r="G573" s="266">
        <f>Tabla3[[#This Row],[INGRESOS]]-Tabla3[[#This Row],[EGRESOS]]</f>
        <v>-63</v>
      </c>
      <c r="H573" s="266">
        <v>0</v>
      </c>
      <c r="I573" s="119">
        <v>1465</v>
      </c>
      <c r="J573" s="99">
        <f>Tabla3[[#This Row],[EGRESOS]]/Tabla3[[#This Row],[TC]]</f>
        <v>4.3003412969283276E-2</v>
      </c>
      <c r="K573" s="99">
        <f>Tabla3[[#This Row],[INGRESOS]]/Tabla3[[#This Row],[TC]]</f>
        <v>0</v>
      </c>
      <c r="L573" s="7" t="s">
        <v>376</v>
      </c>
      <c r="M573" s="7" t="s">
        <v>377</v>
      </c>
      <c r="N573" s="7" t="s">
        <v>30</v>
      </c>
      <c r="O573" s="7" t="s">
        <v>184</v>
      </c>
      <c r="P573" s="7" t="s">
        <v>195</v>
      </c>
      <c r="Q573" s="7" t="s">
        <v>196</v>
      </c>
      <c r="R573" s="7" t="s">
        <v>394</v>
      </c>
      <c r="S573" s="7"/>
      <c r="T573" s="7"/>
      <c r="U573" s="7" t="s">
        <v>384</v>
      </c>
      <c r="V573" s="7"/>
      <c r="W573" s="7" t="s">
        <v>475</v>
      </c>
      <c r="X573" s="7" t="s">
        <v>99</v>
      </c>
      <c r="Y573" s="7" t="s">
        <v>23</v>
      </c>
    </row>
    <row r="574" spans="1:25" hidden="1" x14ac:dyDescent="0.25">
      <c r="A574" s="247" t="s">
        <v>321</v>
      </c>
      <c r="B574" s="248">
        <v>45964</v>
      </c>
      <c r="C574" s="244" t="s">
        <v>500</v>
      </c>
      <c r="D574" s="244"/>
      <c r="E574" s="249">
        <v>9</v>
      </c>
      <c r="F574" s="249">
        <v>0</v>
      </c>
      <c r="G574" s="266">
        <f>Tabla3[[#This Row],[INGRESOS]]-Tabla3[[#This Row],[EGRESOS]]</f>
        <v>-9</v>
      </c>
      <c r="H574" s="266">
        <v>0</v>
      </c>
      <c r="I574" s="119">
        <v>1465</v>
      </c>
      <c r="J574" s="99">
        <f>Tabla3[[#This Row],[EGRESOS]]/Tabla3[[#This Row],[TC]]</f>
        <v>6.1433447098976105E-3</v>
      </c>
      <c r="K574" s="99">
        <f>Tabla3[[#This Row],[INGRESOS]]/Tabla3[[#This Row],[TC]]</f>
        <v>0</v>
      </c>
      <c r="L574" s="7" t="s">
        <v>376</v>
      </c>
      <c r="M574" s="7" t="s">
        <v>377</v>
      </c>
      <c r="N574" s="7" t="s">
        <v>30</v>
      </c>
      <c r="O574" s="7" t="s">
        <v>184</v>
      </c>
      <c r="P574" s="7" t="s">
        <v>195</v>
      </c>
      <c r="Q574" s="7" t="s">
        <v>196</v>
      </c>
      <c r="R574" s="7" t="s">
        <v>394</v>
      </c>
      <c r="S574" s="7"/>
      <c r="T574" s="7"/>
      <c r="U574" s="7" t="s">
        <v>384</v>
      </c>
      <c r="V574" s="7"/>
      <c r="W574" s="7" t="s">
        <v>475</v>
      </c>
      <c r="X574" s="7" t="s">
        <v>99</v>
      </c>
      <c r="Y574" s="7" t="s">
        <v>23</v>
      </c>
    </row>
    <row r="575" spans="1:25" hidden="1" x14ac:dyDescent="0.25">
      <c r="A575" s="273" t="s">
        <v>313</v>
      </c>
      <c r="B575" s="251">
        <v>45742</v>
      </c>
      <c r="C575" s="252" t="s">
        <v>800</v>
      </c>
      <c r="D575" s="252"/>
      <c r="E575" s="253">
        <v>245000</v>
      </c>
      <c r="F575" s="253">
        <v>0</v>
      </c>
      <c r="G575" s="274">
        <f>Tabla3[[#This Row],[INGRESOS]]-Tabla3[[#This Row],[EGRESOS]]</f>
        <v>-245000</v>
      </c>
      <c r="H575" s="137">
        <v>-19963214.25</v>
      </c>
      <c r="I575" s="135">
        <v>1140</v>
      </c>
      <c r="J575" s="136">
        <f>Tabla3[[#This Row],[EGRESOS]]/Tabla3[[#This Row],[TC]]</f>
        <v>214.91228070175438</v>
      </c>
      <c r="K575" s="136">
        <f>Tabla3[[#This Row],[INGRESOS]]/Tabla3[[#This Row],[TC]]</f>
        <v>0</v>
      </c>
      <c r="L575" s="8" t="s">
        <v>376</v>
      </c>
      <c r="M575" s="8" t="s">
        <v>377</v>
      </c>
      <c r="N575" s="8" t="s">
        <v>20</v>
      </c>
      <c r="O575" s="8" t="s">
        <v>184</v>
      </c>
      <c r="P575" s="8" t="s">
        <v>203</v>
      </c>
      <c r="Q575" s="8" t="s">
        <v>208</v>
      </c>
      <c r="R575" s="8" t="s">
        <v>401</v>
      </c>
      <c r="S575" s="8" t="s">
        <v>386</v>
      </c>
      <c r="T575" s="8"/>
      <c r="U575" s="8" t="s">
        <v>387</v>
      </c>
      <c r="V575" s="8" t="s">
        <v>386</v>
      </c>
      <c r="W575" s="8" t="s">
        <v>380</v>
      </c>
      <c r="X575" s="8" t="s">
        <v>104</v>
      </c>
      <c r="Y575" s="8" t="s">
        <v>23</v>
      </c>
    </row>
    <row r="576" spans="1:25" hidden="1" x14ac:dyDescent="0.25">
      <c r="A576" s="247" t="s">
        <v>321</v>
      </c>
      <c r="B576" s="248">
        <v>45966</v>
      </c>
      <c r="C576" s="244" t="s">
        <v>518</v>
      </c>
      <c r="D576" s="244"/>
      <c r="E576" s="249">
        <v>420</v>
      </c>
      <c r="F576" s="249">
        <v>0</v>
      </c>
      <c r="G576" s="266">
        <f>Tabla3[[#This Row],[INGRESOS]]-Tabla3[[#This Row],[EGRESOS]]</f>
        <v>-420</v>
      </c>
      <c r="H576" s="401">
        <v>-2990297.76</v>
      </c>
      <c r="I576" s="119">
        <v>1465</v>
      </c>
      <c r="J576" s="99">
        <f>Tabla3[[#This Row],[EGRESOS]]/Tabla3[[#This Row],[TC]]</f>
        <v>0.28668941979522183</v>
      </c>
      <c r="K576" s="99">
        <f>Tabla3[[#This Row],[INGRESOS]]/Tabla3[[#This Row],[TC]]</f>
        <v>0</v>
      </c>
      <c r="L576" s="7" t="s">
        <v>376</v>
      </c>
      <c r="M576" s="7" t="s">
        <v>377</v>
      </c>
      <c r="N576" s="7" t="s">
        <v>30</v>
      </c>
      <c r="O576" s="7" t="s">
        <v>184</v>
      </c>
      <c r="P576" s="7" t="s">
        <v>195</v>
      </c>
      <c r="Q576" s="7" t="s">
        <v>196</v>
      </c>
      <c r="R576" s="7" t="s">
        <v>394</v>
      </c>
      <c r="S576" s="7"/>
      <c r="T576" s="7"/>
      <c r="U576" s="7" t="s">
        <v>384</v>
      </c>
      <c r="V576" s="7"/>
      <c r="W576" s="7" t="s">
        <v>475</v>
      </c>
      <c r="X576" s="7" t="s">
        <v>99</v>
      </c>
      <c r="Y576" s="7" t="s">
        <v>23</v>
      </c>
    </row>
    <row r="577" spans="1:25" hidden="1" x14ac:dyDescent="0.25">
      <c r="A577" s="247" t="s">
        <v>321</v>
      </c>
      <c r="B577" s="248">
        <v>45988</v>
      </c>
      <c r="C577" s="244" t="s">
        <v>443</v>
      </c>
      <c r="D577" s="244"/>
      <c r="E577" s="249">
        <v>23473.98</v>
      </c>
      <c r="F577" s="249">
        <v>0</v>
      </c>
      <c r="G577" s="266">
        <f>Tabla3[[#This Row],[INGRESOS]]-Tabla3[[#This Row],[EGRESOS]]</f>
        <v>-23473.98</v>
      </c>
      <c r="H577" s="266">
        <v>0</v>
      </c>
      <c r="I577" s="119">
        <v>1465</v>
      </c>
      <c r="J577" s="99">
        <f>Tabla3[[#This Row],[EGRESOS]]/Tabla3[[#This Row],[TC]]</f>
        <v>16.023194539249147</v>
      </c>
      <c r="K577" s="99">
        <f>Tabla3[[#This Row],[INGRESOS]]/Tabla3[[#This Row],[TC]]</f>
        <v>0</v>
      </c>
      <c r="L577" s="7" t="s">
        <v>376</v>
      </c>
      <c r="M577" s="7" t="s">
        <v>377</v>
      </c>
      <c r="N577" s="7" t="s">
        <v>30</v>
      </c>
      <c r="O577" s="7" t="s">
        <v>184</v>
      </c>
      <c r="P577" s="7" t="s">
        <v>197</v>
      </c>
      <c r="Q577" s="7" t="s">
        <v>198</v>
      </c>
      <c r="R577" s="7" t="s">
        <v>419</v>
      </c>
      <c r="S577" s="7"/>
      <c r="T577" s="7"/>
      <c r="U577" s="7" t="s">
        <v>384</v>
      </c>
      <c r="V577" s="7"/>
      <c r="W577" s="7" t="s">
        <v>380</v>
      </c>
      <c r="X577" s="7" t="s">
        <v>99</v>
      </c>
      <c r="Y577" s="7" t="s">
        <v>23</v>
      </c>
    </row>
    <row r="578" spans="1:25" hidden="1" x14ac:dyDescent="0.25">
      <c r="A578" s="247" t="s">
        <v>321</v>
      </c>
      <c r="B578" s="248">
        <v>45988</v>
      </c>
      <c r="C578" s="244" t="s">
        <v>443</v>
      </c>
      <c r="D578" s="244"/>
      <c r="E578" s="249">
        <v>37263.599999999999</v>
      </c>
      <c r="F578" s="249">
        <v>0</v>
      </c>
      <c r="G578" s="266">
        <f>Tabla3[[#This Row],[INGRESOS]]-Tabla3[[#This Row],[EGRESOS]]</f>
        <v>-37263.599999999999</v>
      </c>
      <c r="H578" s="266">
        <v>0</v>
      </c>
      <c r="I578" s="119">
        <v>1465</v>
      </c>
      <c r="J578" s="99">
        <f>Tabla3[[#This Row],[EGRESOS]]/Tabla3[[#This Row],[TC]]</f>
        <v>25.435904436860067</v>
      </c>
      <c r="K578" s="99">
        <f>Tabla3[[#This Row],[INGRESOS]]/Tabla3[[#This Row],[TC]]</f>
        <v>0</v>
      </c>
      <c r="L578" s="7" t="s">
        <v>376</v>
      </c>
      <c r="M578" s="7" t="s">
        <v>377</v>
      </c>
      <c r="N578" s="7" t="s">
        <v>30</v>
      </c>
      <c r="O578" s="7" t="s">
        <v>184</v>
      </c>
      <c r="P578" s="7" t="s">
        <v>197</v>
      </c>
      <c r="Q578" s="7" t="s">
        <v>198</v>
      </c>
      <c r="R578" s="7" t="s">
        <v>419</v>
      </c>
      <c r="S578" s="7"/>
      <c r="T578" s="7"/>
      <c r="U578" s="7" t="s">
        <v>384</v>
      </c>
      <c r="V578" s="7"/>
      <c r="W578" s="7" t="s">
        <v>380</v>
      </c>
      <c r="X578" s="7" t="s">
        <v>99</v>
      </c>
      <c r="Y578" s="7" t="s">
        <v>23</v>
      </c>
    </row>
    <row r="579" spans="1:25" hidden="1" x14ac:dyDescent="0.25">
      <c r="A579" s="247" t="s">
        <v>321</v>
      </c>
      <c r="B579" s="248">
        <v>45988</v>
      </c>
      <c r="C579" s="244" t="s">
        <v>443</v>
      </c>
      <c r="D579" s="244"/>
      <c r="E579" s="249">
        <v>47530.18</v>
      </c>
      <c r="F579" s="249">
        <v>0</v>
      </c>
      <c r="G579" s="266">
        <f>Tabla3[[#This Row],[INGRESOS]]-Tabla3[[#This Row],[EGRESOS]]</f>
        <v>-47530.18</v>
      </c>
      <c r="H579" s="266">
        <v>0</v>
      </c>
      <c r="I579" s="119">
        <v>1465</v>
      </c>
      <c r="J579" s="99">
        <f>Tabla3[[#This Row],[EGRESOS]]/Tabla3[[#This Row],[TC]]</f>
        <v>32.443808873720137</v>
      </c>
      <c r="K579" s="99">
        <f>Tabla3[[#This Row],[INGRESOS]]/Tabla3[[#This Row],[TC]]</f>
        <v>0</v>
      </c>
      <c r="L579" s="7" t="s">
        <v>376</v>
      </c>
      <c r="M579" s="7" t="s">
        <v>377</v>
      </c>
      <c r="N579" s="7" t="s">
        <v>30</v>
      </c>
      <c r="O579" s="7" t="s">
        <v>184</v>
      </c>
      <c r="P579" s="7" t="s">
        <v>197</v>
      </c>
      <c r="Q579" s="7" t="s">
        <v>198</v>
      </c>
      <c r="R579" s="7" t="s">
        <v>419</v>
      </c>
      <c r="S579" s="7"/>
      <c r="T579" s="7"/>
      <c r="U579" s="7" t="s">
        <v>384</v>
      </c>
      <c r="V579" s="7"/>
      <c r="W579" s="7" t="s">
        <v>380</v>
      </c>
      <c r="X579" s="7" t="s">
        <v>99</v>
      </c>
      <c r="Y579" s="7" t="s">
        <v>23</v>
      </c>
    </row>
    <row r="580" spans="1:25" hidden="1" x14ac:dyDescent="0.25">
      <c r="A580" s="247" t="s">
        <v>321</v>
      </c>
      <c r="B580" s="248">
        <v>45988</v>
      </c>
      <c r="C580" s="244" t="s">
        <v>443</v>
      </c>
      <c r="D580" s="244"/>
      <c r="E580" s="249">
        <v>77075.95</v>
      </c>
      <c r="F580" s="249">
        <v>0</v>
      </c>
      <c r="G580" s="266">
        <f>Tabla3[[#This Row],[INGRESOS]]-Tabla3[[#This Row],[EGRESOS]]</f>
        <v>-77075.95</v>
      </c>
      <c r="H580" s="266">
        <v>0</v>
      </c>
      <c r="I580" s="119">
        <v>1465</v>
      </c>
      <c r="J580" s="99">
        <f>Tabla3[[#This Row],[EGRESOS]]/Tabla3[[#This Row],[TC]]</f>
        <v>52.611569965870302</v>
      </c>
      <c r="K580" s="99">
        <f>Tabla3[[#This Row],[INGRESOS]]/Tabla3[[#This Row],[TC]]</f>
        <v>0</v>
      </c>
      <c r="L580" s="7" t="s">
        <v>376</v>
      </c>
      <c r="M580" s="7" t="s">
        <v>377</v>
      </c>
      <c r="N580" s="7" t="s">
        <v>30</v>
      </c>
      <c r="O580" s="7" t="s">
        <v>184</v>
      </c>
      <c r="P580" s="7" t="s">
        <v>197</v>
      </c>
      <c r="Q580" s="7" t="s">
        <v>198</v>
      </c>
      <c r="R580" s="7" t="s">
        <v>419</v>
      </c>
      <c r="S580" s="7"/>
      <c r="T580" s="7"/>
      <c r="U580" s="7" t="s">
        <v>384</v>
      </c>
      <c r="V580" s="7"/>
      <c r="W580" s="7" t="s">
        <v>380</v>
      </c>
      <c r="X580" s="7" t="s">
        <v>99</v>
      </c>
      <c r="Y580" s="7" t="s">
        <v>23</v>
      </c>
    </row>
    <row r="581" spans="1:25" hidden="1" x14ac:dyDescent="0.25">
      <c r="A581" s="247" t="s">
        <v>321</v>
      </c>
      <c r="B581" s="248">
        <v>45988</v>
      </c>
      <c r="C581" s="244" t="s">
        <v>443</v>
      </c>
      <c r="D581" s="244"/>
      <c r="E581" s="249">
        <v>485.43</v>
      </c>
      <c r="F581" s="249">
        <v>0</v>
      </c>
      <c r="G581" s="266">
        <f>Tabla3[[#This Row],[INGRESOS]]-Tabla3[[#This Row],[EGRESOS]]</f>
        <v>-485.43</v>
      </c>
      <c r="H581" s="266">
        <v>0</v>
      </c>
      <c r="I581" s="119">
        <v>1465</v>
      </c>
      <c r="J581" s="99">
        <f>Tabla3[[#This Row],[EGRESOS]]/Tabla3[[#This Row],[TC]]</f>
        <v>0.33135153583617749</v>
      </c>
      <c r="K581" s="99">
        <f>Tabla3[[#This Row],[INGRESOS]]/Tabla3[[#This Row],[TC]]</f>
        <v>0</v>
      </c>
      <c r="L581" s="7" t="s">
        <v>376</v>
      </c>
      <c r="M581" s="7" t="s">
        <v>377</v>
      </c>
      <c r="N581" s="7" t="s">
        <v>30</v>
      </c>
      <c r="O581" s="7" t="s">
        <v>184</v>
      </c>
      <c r="P581" s="7" t="s">
        <v>197</v>
      </c>
      <c r="Q581" s="7" t="s">
        <v>198</v>
      </c>
      <c r="R581" s="7" t="s">
        <v>419</v>
      </c>
      <c r="S581" s="7"/>
      <c r="T581" s="7"/>
      <c r="U581" s="7" t="s">
        <v>384</v>
      </c>
      <c r="V581" s="7"/>
      <c r="W581" s="7" t="s">
        <v>380</v>
      </c>
      <c r="X581" s="7" t="s">
        <v>99</v>
      </c>
      <c r="Y581" s="7" t="s">
        <v>23</v>
      </c>
    </row>
    <row r="582" spans="1:25" hidden="1" x14ac:dyDescent="0.25">
      <c r="A582" s="247" t="s">
        <v>321</v>
      </c>
      <c r="B582" s="248">
        <v>45988</v>
      </c>
      <c r="C582" s="244" t="s">
        <v>443</v>
      </c>
      <c r="D582" s="244"/>
      <c r="E582" s="249">
        <v>3210.58</v>
      </c>
      <c r="F582" s="249">
        <v>0</v>
      </c>
      <c r="G582" s="266">
        <f>Tabla3[[#This Row],[INGRESOS]]-Tabla3[[#This Row],[EGRESOS]]</f>
        <v>-3210.58</v>
      </c>
      <c r="H582" s="266">
        <v>0</v>
      </c>
      <c r="I582" s="119">
        <v>1465</v>
      </c>
      <c r="J582" s="99">
        <f>Tabla3[[#This Row],[EGRESOS]]/Tabla3[[#This Row],[TC]]</f>
        <v>2.1915221843003412</v>
      </c>
      <c r="K582" s="99">
        <f>Tabla3[[#This Row],[INGRESOS]]/Tabla3[[#This Row],[TC]]</f>
        <v>0</v>
      </c>
      <c r="L582" s="7" t="s">
        <v>376</v>
      </c>
      <c r="M582" s="7" t="s">
        <v>377</v>
      </c>
      <c r="N582" s="7" t="s">
        <v>30</v>
      </c>
      <c r="O582" s="7" t="s">
        <v>184</v>
      </c>
      <c r="P582" s="7" t="s">
        <v>197</v>
      </c>
      <c r="Q582" s="7" t="s">
        <v>198</v>
      </c>
      <c r="R582" s="7" t="s">
        <v>419</v>
      </c>
      <c r="S582" s="7"/>
      <c r="T582" s="7"/>
      <c r="U582" s="7" t="s">
        <v>384</v>
      </c>
      <c r="V582" s="7"/>
      <c r="W582" s="7" t="s">
        <v>380</v>
      </c>
      <c r="X582" s="7" t="s">
        <v>99</v>
      </c>
      <c r="Y582" s="7" t="s">
        <v>23</v>
      </c>
    </row>
    <row r="583" spans="1:25" hidden="1" x14ac:dyDescent="0.25">
      <c r="A583" s="273" t="s">
        <v>321</v>
      </c>
      <c r="B583" s="251">
        <v>45988</v>
      </c>
      <c r="C583" s="252" t="s">
        <v>546</v>
      </c>
      <c r="D583" s="252"/>
      <c r="E583" s="253">
        <v>0</v>
      </c>
      <c r="F583" s="253">
        <v>200000</v>
      </c>
      <c r="G583" s="274">
        <f>Tabla3[[#This Row],[INGRESOS]]-Tabla3[[#This Row],[EGRESOS]]</f>
        <v>200000</v>
      </c>
      <c r="H583" s="274">
        <v>0</v>
      </c>
      <c r="I583" s="135">
        <v>1465</v>
      </c>
      <c r="J583" s="136">
        <f>Tabla3[[#This Row],[EGRESOS]]/Tabla3[[#This Row],[TC]]</f>
        <v>0</v>
      </c>
      <c r="K583" s="136">
        <f>Tabla3[[#This Row],[INGRESOS]]/Tabla3[[#This Row],[TC]]</f>
        <v>136.51877133105802</v>
      </c>
      <c r="L583" s="8" t="s">
        <v>376</v>
      </c>
      <c r="M583" s="8" t="s">
        <v>377</v>
      </c>
      <c r="N583" s="8" t="s">
        <v>30</v>
      </c>
      <c r="O583" s="8" t="s">
        <v>244</v>
      </c>
      <c r="P583" s="8" t="s">
        <v>259</v>
      </c>
      <c r="Q583" s="8" t="s">
        <v>260</v>
      </c>
      <c r="R583" s="8" t="s">
        <v>405</v>
      </c>
      <c r="S583" s="8"/>
      <c r="T583" s="8"/>
      <c r="U583" s="8" t="s">
        <v>379</v>
      </c>
      <c r="V583" s="8"/>
      <c r="W583" s="8" t="s">
        <v>380</v>
      </c>
      <c r="X583" s="8"/>
      <c r="Y583" s="8"/>
    </row>
    <row r="584" spans="1:25" hidden="1" x14ac:dyDescent="0.25">
      <c r="A584" s="273" t="s">
        <v>321</v>
      </c>
      <c r="B584" s="251">
        <v>45988</v>
      </c>
      <c r="C584" s="252" t="s">
        <v>500</v>
      </c>
      <c r="D584" s="252"/>
      <c r="E584" s="253">
        <v>140.84</v>
      </c>
      <c r="F584" s="253">
        <v>0</v>
      </c>
      <c r="G584" s="274">
        <f>Tabla3[[#This Row],[INGRESOS]]-Tabla3[[#This Row],[EGRESOS]]</f>
        <v>-140.84</v>
      </c>
      <c r="H584" s="274">
        <v>0</v>
      </c>
      <c r="I584" s="135">
        <v>1465</v>
      </c>
      <c r="J584" s="136">
        <f>Tabla3[[#This Row],[EGRESOS]]/Tabla3[[#This Row],[TC]]</f>
        <v>9.6136518771331059E-2</v>
      </c>
      <c r="K584" s="136">
        <f>Tabla3[[#This Row],[INGRESOS]]/Tabla3[[#This Row],[TC]]</f>
        <v>0</v>
      </c>
      <c r="L584" s="8" t="s">
        <v>376</v>
      </c>
      <c r="M584" s="8" t="s">
        <v>377</v>
      </c>
      <c r="N584" s="8" t="s">
        <v>30</v>
      </c>
      <c r="O584" s="8" t="s">
        <v>184</v>
      </c>
      <c r="P584" s="8" t="s">
        <v>195</v>
      </c>
      <c r="Q584" s="8" t="s">
        <v>196</v>
      </c>
      <c r="R584" s="8" t="s">
        <v>394</v>
      </c>
      <c r="S584" s="8"/>
      <c r="T584" s="8"/>
      <c r="U584" s="8" t="s">
        <v>384</v>
      </c>
      <c r="V584" s="8"/>
      <c r="W584" s="8" t="s">
        <v>380</v>
      </c>
      <c r="X584" s="8" t="s">
        <v>99</v>
      </c>
      <c r="Y584" s="8" t="s">
        <v>23</v>
      </c>
    </row>
    <row r="585" spans="1:25" hidden="1" x14ac:dyDescent="0.25">
      <c r="A585" s="273" t="s">
        <v>321</v>
      </c>
      <c r="B585" s="251">
        <v>45988</v>
      </c>
      <c r="C585" s="252" t="s">
        <v>500</v>
      </c>
      <c r="D585" s="252"/>
      <c r="E585" s="253">
        <v>223.58</v>
      </c>
      <c r="F585" s="253">
        <v>0</v>
      </c>
      <c r="G585" s="274">
        <f>Tabla3[[#This Row],[INGRESOS]]-Tabla3[[#This Row],[EGRESOS]]</f>
        <v>-223.58</v>
      </c>
      <c r="H585" s="274">
        <v>0</v>
      </c>
      <c r="I585" s="135">
        <v>1465</v>
      </c>
      <c r="J585" s="136">
        <f>Tabla3[[#This Row],[EGRESOS]]/Tabla3[[#This Row],[TC]]</f>
        <v>0.15261433447098977</v>
      </c>
      <c r="K585" s="136">
        <f>Tabla3[[#This Row],[INGRESOS]]/Tabla3[[#This Row],[TC]]</f>
        <v>0</v>
      </c>
      <c r="L585" s="8" t="s">
        <v>376</v>
      </c>
      <c r="M585" s="8" t="s">
        <v>377</v>
      </c>
      <c r="N585" s="8" t="s">
        <v>30</v>
      </c>
      <c r="O585" s="8" t="s">
        <v>184</v>
      </c>
      <c r="P585" s="8" t="s">
        <v>195</v>
      </c>
      <c r="Q585" s="8" t="s">
        <v>196</v>
      </c>
      <c r="R585" s="8" t="s">
        <v>394</v>
      </c>
      <c r="S585" s="8"/>
      <c r="T585" s="8"/>
      <c r="U585" s="8" t="s">
        <v>384</v>
      </c>
      <c r="V585" s="8"/>
      <c r="W585" s="8" t="s">
        <v>380</v>
      </c>
      <c r="X585" s="8" t="s">
        <v>99</v>
      </c>
      <c r="Y585" s="8" t="s">
        <v>23</v>
      </c>
    </row>
    <row r="586" spans="1:25" hidden="1" x14ac:dyDescent="0.25">
      <c r="A586" s="273" t="s">
        <v>321</v>
      </c>
      <c r="B586" s="251">
        <v>45988</v>
      </c>
      <c r="C586" s="252" t="s">
        <v>500</v>
      </c>
      <c r="D586" s="252"/>
      <c r="E586" s="253">
        <v>285.18</v>
      </c>
      <c r="F586" s="253">
        <v>0</v>
      </c>
      <c r="G586" s="274">
        <f>Tabla3[[#This Row],[INGRESOS]]-Tabla3[[#This Row],[EGRESOS]]</f>
        <v>-285.18</v>
      </c>
      <c r="H586" s="274">
        <v>0</v>
      </c>
      <c r="I586" s="135">
        <v>1465</v>
      </c>
      <c r="J586" s="136">
        <f>Tabla3[[#This Row],[EGRESOS]]/Tabla3[[#This Row],[TC]]</f>
        <v>0.19466211604095562</v>
      </c>
      <c r="K586" s="136">
        <f>Tabla3[[#This Row],[INGRESOS]]/Tabla3[[#This Row],[TC]]</f>
        <v>0</v>
      </c>
      <c r="L586" s="8" t="s">
        <v>376</v>
      </c>
      <c r="M586" s="8" t="s">
        <v>377</v>
      </c>
      <c r="N586" s="8" t="s">
        <v>30</v>
      </c>
      <c r="O586" s="8" t="s">
        <v>184</v>
      </c>
      <c r="P586" s="8" t="s">
        <v>195</v>
      </c>
      <c r="Q586" s="8" t="s">
        <v>196</v>
      </c>
      <c r="R586" s="8" t="s">
        <v>394</v>
      </c>
      <c r="S586" s="8"/>
      <c r="T586" s="8"/>
      <c r="U586" s="8" t="s">
        <v>384</v>
      </c>
      <c r="V586" s="8"/>
      <c r="W586" s="8" t="s">
        <v>380</v>
      </c>
      <c r="X586" s="8" t="s">
        <v>99</v>
      </c>
      <c r="Y586" s="8" t="s">
        <v>23</v>
      </c>
    </row>
    <row r="587" spans="1:25" hidden="1" x14ac:dyDescent="0.25">
      <c r="A587" s="273" t="s">
        <v>321</v>
      </c>
      <c r="B587" s="251">
        <v>45988</v>
      </c>
      <c r="C587" s="252" t="s">
        <v>500</v>
      </c>
      <c r="D587" s="252"/>
      <c r="E587" s="253">
        <v>462.46</v>
      </c>
      <c r="F587" s="253">
        <v>0</v>
      </c>
      <c r="G587" s="274">
        <f>Tabla3[[#This Row],[INGRESOS]]-Tabla3[[#This Row],[EGRESOS]]</f>
        <v>-462.46</v>
      </c>
      <c r="H587" s="274">
        <v>0</v>
      </c>
      <c r="I587" s="135">
        <v>1465</v>
      </c>
      <c r="J587" s="136">
        <f>Tabla3[[#This Row],[EGRESOS]]/Tabla3[[#This Row],[TC]]</f>
        <v>0.31567235494880547</v>
      </c>
      <c r="K587" s="136">
        <f>Tabla3[[#This Row],[INGRESOS]]/Tabla3[[#This Row],[TC]]</f>
        <v>0</v>
      </c>
      <c r="L587" s="8" t="s">
        <v>376</v>
      </c>
      <c r="M587" s="8" t="s">
        <v>377</v>
      </c>
      <c r="N587" s="8" t="s">
        <v>30</v>
      </c>
      <c r="O587" s="8" t="s">
        <v>184</v>
      </c>
      <c r="P587" s="8" t="s">
        <v>195</v>
      </c>
      <c r="Q587" s="8" t="s">
        <v>196</v>
      </c>
      <c r="R587" s="8" t="s">
        <v>394</v>
      </c>
      <c r="S587" s="8"/>
      <c r="T587" s="8"/>
      <c r="U587" s="8" t="s">
        <v>384</v>
      </c>
      <c r="V587" s="8"/>
      <c r="W587" s="8" t="s">
        <v>380</v>
      </c>
      <c r="X587" s="8" t="s">
        <v>99</v>
      </c>
      <c r="Y587" s="8" t="s">
        <v>23</v>
      </c>
    </row>
    <row r="588" spans="1:25" hidden="1" x14ac:dyDescent="0.25">
      <c r="A588" s="273" t="s">
        <v>321</v>
      </c>
      <c r="B588" s="251">
        <v>45988</v>
      </c>
      <c r="C588" s="252" t="s">
        <v>500</v>
      </c>
      <c r="D588" s="252"/>
      <c r="E588" s="253">
        <v>2.91</v>
      </c>
      <c r="F588" s="253">
        <v>0</v>
      </c>
      <c r="G588" s="274">
        <f>Tabla3[[#This Row],[INGRESOS]]-Tabla3[[#This Row],[EGRESOS]]</f>
        <v>-2.91</v>
      </c>
      <c r="H588" s="274">
        <v>0</v>
      </c>
      <c r="I588" s="135">
        <v>1465</v>
      </c>
      <c r="J588" s="136">
        <f>Tabla3[[#This Row],[EGRESOS]]/Tabla3[[#This Row],[TC]]</f>
        <v>1.9863481228668944E-3</v>
      </c>
      <c r="K588" s="136">
        <f>Tabla3[[#This Row],[INGRESOS]]/Tabla3[[#This Row],[TC]]</f>
        <v>0</v>
      </c>
      <c r="L588" s="8" t="s">
        <v>376</v>
      </c>
      <c r="M588" s="8" t="s">
        <v>377</v>
      </c>
      <c r="N588" s="8" t="s">
        <v>30</v>
      </c>
      <c r="O588" s="8" t="s">
        <v>184</v>
      </c>
      <c r="P588" s="8" t="s">
        <v>195</v>
      </c>
      <c r="Q588" s="8" t="s">
        <v>196</v>
      </c>
      <c r="R588" s="8" t="s">
        <v>394</v>
      </c>
      <c r="S588" s="8"/>
      <c r="T588" s="8"/>
      <c r="U588" s="8" t="s">
        <v>384</v>
      </c>
      <c r="V588" s="8"/>
      <c r="W588" s="8" t="s">
        <v>380</v>
      </c>
      <c r="X588" s="8" t="s">
        <v>99</v>
      </c>
      <c r="Y588" s="8" t="s">
        <v>23</v>
      </c>
    </row>
    <row r="589" spans="1:25" hidden="1" x14ac:dyDescent="0.25">
      <c r="A589" s="267" t="s">
        <v>321</v>
      </c>
      <c r="B589" s="268">
        <v>45988</v>
      </c>
      <c r="C589" s="269" t="s">
        <v>500</v>
      </c>
      <c r="D589" s="269"/>
      <c r="E589" s="270">
        <v>19.260000000000002</v>
      </c>
      <c r="F589" s="270">
        <v>0</v>
      </c>
      <c r="G589" s="335">
        <f>Tabla3[[#This Row],[INGRESOS]]-Tabla3[[#This Row],[EGRESOS]]</f>
        <v>-19.260000000000002</v>
      </c>
      <c r="H589" s="335">
        <v>-2980471.71</v>
      </c>
      <c r="I589" s="265">
        <v>1465</v>
      </c>
      <c r="J589" s="271">
        <f>Tabla3[[#This Row],[EGRESOS]]/Tabla3[[#This Row],[TC]]</f>
        <v>1.3146757679180889E-2</v>
      </c>
      <c r="K589" s="271">
        <f>Tabla3[[#This Row],[INGRESOS]]/Tabla3[[#This Row],[TC]]</f>
        <v>0</v>
      </c>
      <c r="L589" s="272" t="s">
        <v>376</v>
      </c>
      <c r="M589" s="272" t="s">
        <v>377</v>
      </c>
      <c r="N589" s="272" t="s">
        <v>30</v>
      </c>
      <c r="O589" s="272" t="s">
        <v>184</v>
      </c>
      <c r="P589" s="272" t="s">
        <v>195</v>
      </c>
      <c r="Q589" s="272" t="s">
        <v>196</v>
      </c>
      <c r="R589" s="272" t="s">
        <v>394</v>
      </c>
      <c r="S589" s="272"/>
      <c r="T589" s="272"/>
      <c r="U589" s="272" t="s">
        <v>384</v>
      </c>
      <c r="V589" s="272"/>
      <c r="W589" s="272" t="s">
        <v>380</v>
      </c>
      <c r="X589" s="272" t="s">
        <v>99</v>
      </c>
      <c r="Y589" s="272" t="s">
        <v>23</v>
      </c>
    </row>
    <row r="590" spans="1:25" hidden="1" x14ac:dyDescent="0.25">
      <c r="A590" s="267" t="str">
        <f t="shared" ref="A590:A595" si="7">"DICIEMBRE"</f>
        <v>DICIEMBRE</v>
      </c>
      <c r="B590" s="268">
        <v>45993</v>
      </c>
      <c r="C590" s="269" t="s">
        <v>553</v>
      </c>
      <c r="D590" s="269"/>
      <c r="E590" s="270">
        <v>0</v>
      </c>
      <c r="F590" s="270">
        <v>2300000</v>
      </c>
      <c r="G590" s="335">
        <f>Tabla3[[#This Row],[INGRESOS]]-Tabla3[[#This Row],[EGRESOS]]</f>
        <v>2300000</v>
      </c>
      <c r="H590" s="335"/>
      <c r="I590" s="265">
        <v>1465</v>
      </c>
      <c r="J590" s="271">
        <f>Tabla3[[#This Row],[EGRESOS]]/Tabla3[[#This Row],[TC]]</f>
        <v>0</v>
      </c>
      <c r="K590" s="271">
        <f>Tabla3[[#This Row],[INGRESOS]]/Tabla3[[#This Row],[TC]]</f>
        <v>1569.9658703071673</v>
      </c>
      <c r="L590" s="272" t="s">
        <v>376</v>
      </c>
      <c r="M590" s="272" t="s">
        <v>377</v>
      </c>
      <c r="N590" s="272" t="s">
        <v>30</v>
      </c>
      <c r="O590" s="272" t="s">
        <v>244</v>
      </c>
      <c r="P590" s="272" t="s">
        <v>259</v>
      </c>
      <c r="Q590" s="272" t="s">
        <v>260</v>
      </c>
      <c r="R590" s="272" t="s">
        <v>554</v>
      </c>
      <c r="S590" s="272"/>
      <c r="T590" s="272"/>
      <c r="U590" s="272" t="s">
        <v>379</v>
      </c>
      <c r="V590" s="272"/>
      <c r="W590" s="272" t="s">
        <v>380</v>
      </c>
      <c r="X590" s="272"/>
      <c r="Y590" s="272"/>
    </row>
    <row r="591" spans="1:25" hidden="1" x14ac:dyDescent="0.25">
      <c r="A591" s="267" t="str">
        <f t="shared" si="7"/>
        <v>DICIEMBRE</v>
      </c>
      <c r="B591" s="268">
        <v>45993</v>
      </c>
      <c r="C591" s="269" t="s">
        <v>539</v>
      </c>
      <c r="D591" s="269"/>
      <c r="E591" s="270">
        <v>2046445.71</v>
      </c>
      <c r="F591" s="270">
        <v>0</v>
      </c>
      <c r="G591" s="335">
        <f>Tabla3[[#This Row],[INGRESOS]]-Tabla3[[#This Row],[EGRESOS]]</f>
        <v>-2046445.71</v>
      </c>
      <c r="H591" s="335"/>
      <c r="I591" s="265">
        <v>1465</v>
      </c>
      <c r="J591" s="271">
        <f>Tabla3[[#This Row],[EGRESOS]]/Tabla3[[#This Row],[TC]]</f>
        <v>1396.8912696245734</v>
      </c>
      <c r="K591" s="271">
        <f>Tabla3[[#This Row],[INGRESOS]]/Tabla3[[#This Row],[TC]]</f>
        <v>0</v>
      </c>
      <c r="L591" s="272" t="s">
        <v>376</v>
      </c>
      <c r="M591" s="272" t="s">
        <v>377</v>
      </c>
      <c r="N591" s="272" t="s">
        <v>30</v>
      </c>
      <c r="O591" s="272" t="s">
        <v>244</v>
      </c>
      <c r="P591" s="272" t="s">
        <v>38</v>
      </c>
      <c r="Q591" s="272" t="s">
        <v>257</v>
      </c>
      <c r="R591" s="272" t="s">
        <v>559</v>
      </c>
      <c r="S591" s="272"/>
      <c r="T591" s="272"/>
      <c r="U591" s="272" t="s">
        <v>555</v>
      </c>
      <c r="V591" s="272"/>
      <c r="W591" s="272" t="s">
        <v>475</v>
      </c>
      <c r="X591" s="272" t="s">
        <v>556</v>
      </c>
      <c r="Y591" s="272" t="s">
        <v>23</v>
      </c>
    </row>
    <row r="592" spans="1:25" hidden="1" x14ac:dyDescent="0.25">
      <c r="A592" s="267" t="str">
        <f t="shared" si="7"/>
        <v>DICIEMBRE</v>
      </c>
      <c r="B592" s="268">
        <v>45993</v>
      </c>
      <c r="C592" s="269" t="s">
        <v>500</v>
      </c>
      <c r="D592" s="269"/>
      <c r="E592" s="270">
        <v>12278.67</v>
      </c>
      <c r="F592" s="270">
        <v>0</v>
      </c>
      <c r="G592" s="335">
        <f>Tabla3[[#This Row],[INGRESOS]]-Tabla3[[#This Row],[EGRESOS]]</f>
        <v>-12278.67</v>
      </c>
      <c r="H592" s="335">
        <v>-2801568.09</v>
      </c>
      <c r="I592" s="265">
        <v>1465</v>
      </c>
      <c r="J592" s="271">
        <f>Tabla3[[#This Row],[EGRESOS]]/Tabla3[[#This Row],[TC]]</f>
        <v>8.3813447098976113</v>
      </c>
      <c r="K592" s="271">
        <f>Tabla3[[#This Row],[INGRESOS]]/Tabla3[[#This Row],[TC]]</f>
        <v>0</v>
      </c>
      <c r="L592" s="272" t="s">
        <v>376</v>
      </c>
      <c r="M592" s="272" t="s">
        <v>377</v>
      </c>
      <c r="N592" s="272" t="s">
        <v>30</v>
      </c>
      <c r="O592" s="272" t="s">
        <v>184</v>
      </c>
      <c r="P592" s="272" t="s">
        <v>195</v>
      </c>
      <c r="Q592" s="272" t="s">
        <v>196</v>
      </c>
      <c r="R592" s="272" t="s">
        <v>394</v>
      </c>
      <c r="S592" s="272"/>
      <c r="T592" s="272"/>
      <c r="U592" s="272" t="s">
        <v>384</v>
      </c>
      <c r="V592" s="272"/>
      <c r="W592" s="272" t="s">
        <v>380</v>
      </c>
      <c r="X592" s="272" t="s">
        <v>99</v>
      </c>
      <c r="Y592" s="272" t="s">
        <v>23</v>
      </c>
    </row>
    <row r="593" spans="1:25" hidden="1" x14ac:dyDescent="0.25">
      <c r="A593" s="267" t="str">
        <f t="shared" si="7"/>
        <v>DICIEMBRE</v>
      </c>
      <c r="B593" s="268">
        <v>46006</v>
      </c>
      <c r="C593" s="269" t="s">
        <v>546</v>
      </c>
      <c r="D593" s="269"/>
      <c r="E593" s="270">
        <v>0</v>
      </c>
      <c r="F593" s="270">
        <v>14000000</v>
      </c>
      <c r="G593" s="335">
        <f>Tabla3[[#This Row],[INGRESOS]]-Tabla3[[#This Row],[EGRESOS]]</f>
        <v>14000000</v>
      </c>
      <c r="H593" s="335"/>
      <c r="I593" s="265">
        <v>1465</v>
      </c>
      <c r="J593" s="271">
        <f>Tabla3[[#This Row],[EGRESOS]]/Tabla3[[#This Row],[TC]]</f>
        <v>0</v>
      </c>
      <c r="K593" s="271">
        <f>Tabla3[[#This Row],[INGRESOS]]/Tabla3[[#This Row],[TC]]</f>
        <v>9556.3139931740607</v>
      </c>
      <c r="L593" s="272" t="s">
        <v>376</v>
      </c>
      <c r="M593" s="272" t="s">
        <v>377</v>
      </c>
      <c r="N593" s="272" t="s">
        <v>30</v>
      </c>
      <c r="O593" s="272" t="s">
        <v>244</v>
      </c>
      <c r="P593" s="272" t="s">
        <v>259</v>
      </c>
      <c r="Q593" s="272" t="s">
        <v>260</v>
      </c>
      <c r="R593" s="272" t="s">
        <v>405</v>
      </c>
      <c r="S593" s="272"/>
      <c r="T593" s="272"/>
      <c r="U593" s="272" t="s">
        <v>379</v>
      </c>
      <c r="V593" s="272"/>
      <c r="W593" s="272" t="s">
        <v>380</v>
      </c>
      <c r="X593" s="272"/>
      <c r="Y593" s="272"/>
    </row>
    <row r="594" spans="1:25" hidden="1" x14ac:dyDescent="0.25">
      <c r="A594" s="267" t="str">
        <f t="shared" si="7"/>
        <v>DICIEMBRE</v>
      </c>
      <c r="B594" s="268">
        <v>46007</v>
      </c>
      <c r="C594" s="269" t="s">
        <v>202</v>
      </c>
      <c r="D594" s="269"/>
      <c r="E594" s="270">
        <v>12960000</v>
      </c>
      <c r="F594" s="270">
        <v>0</v>
      </c>
      <c r="G594" s="335">
        <f>Tabla3[[#This Row],[INGRESOS]]-Tabla3[[#This Row],[EGRESOS]]</f>
        <v>-12960000</v>
      </c>
      <c r="H594" s="336"/>
      <c r="I594" s="265">
        <v>1465</v>
      </c>
      <c r="J594" s="271">
        <f>Tabla3[[#This Row],[EGRESOS]]/Tabla3[[#This Row],[TC]]</f>
        <v>8846.4163822525588</v>
      </c>
      <c r="K594" s="271">
        <f>Tabla3[[#This Row],[INGRESOS]]/Tabla3[[#This Row],[TC]]</f>
        <v>0</v>
      </c>
      <c r="L594" s="272" t="s">
        <v>376</v>
      </c>
      <c r="M594" s="272" t="s">
        <v>377</v>
      </c>
      <c r="N594" s="272" t="s">
        <v>30</v>
      </c>
      <c r="O594" s="272" t="s">
        <v>244</v>
      </c>
      <c r="P594" s="272" t="s">
        <v>38</v>
      </c>
      <c r="Q594" s="272" t="s">
        <v>257</v>
      </c>
      <c r="R594" s="272" t="s">
        <v>563</v>
      </c>
      <c r="S594" s="272"/>
      <c r="T594" s="272"/>
      <c r="U594" s="272" t="s">
        <v>555</v>
      </c>
      <c r="V594" s="272"/>
      <c r="W594" s="272" t="s">
        <v>475</v>
      </c>
      <c r="X594" s="272" t="s">
        <v>556</v>
      </c>
      <c r="Y594" s="272" t="s">
        <v>23</v>
      </c>
    </row>
    <row r="595" spans="1:25" hidden="1" x14ac:dyDescent="0.25">
      <c r="A595" s="267" t="str">
        <f t="shared" si="7"/>
        <v>DICIEMBRE</v>
      </c>
      <c r="B595" s="268">
        <v>46007</v>
      </c>
      <c r="C595" s="269" t="s">
        <v>500</v>
      </c>
      <c r="D595" s="269"/>
      <c r="E595" s="270">
        <v>77760</v>
      </c>
      <c r="F595" s="270">
        <v>0</v>
      </c>
      <c r="G595" s="335">
        <f>Tabla3[[#This Row],[INGRESOS]]-Tabla3[[#This Row],[EGRESOS]]</f>
        <v>-77760</v>
      </c>
      <c r="H595" s="336">
        <v>1839328.09</v>
      </c>
      <c r="I595" s="265">
        <v>1465</v>
      </c>
      <c r="J595" s="271">
        <f>Tabla3[[#This Row],[EGRESOS]]/Tabla3[[#This Row],[TC]]</f>
        <v>53.078498293515359</v>
      </c>
      <c r="K595" s="271">
        <f>Tabla3[[#This Row],[INGRESOS]]/Tabla3[[#This Row],[TC]]</f>
        <v>0</v>
      </c>
      <c r="L595" s="272" t="s">
        <v>376</v>
      </c>
      <c r="M595" s="272" t="s">
        <v>377</v>
      </c>
      <c r="N595" s="272" t="s">
        <v>30</v>
      </c>
      <c r="O595" s="272" t="s">
        <v>184</v>
      </c>
      <c r="P595" s="272" t="s">
        <v>195</v>
      </c>
      <c r="Q595" s="272" t="s">
        <v>196</v>
      </c>
      <c r="R595" s="272" t="s">
        <v>394</v>
      </c>
      <c r="S595" s="272"/>
      <c r="T595" s="272"/>
      <c r="U595" s="272" t="s">
        <v>384</v>
      </c>
      <c r="V595" s="272"/>
      <c r="W595" s="272" t="s">
        <v>380</v>
      </c>
      <c r="X595" s="272" t="s">
        <v>99</v>
      </c>
      <c r="Y595" s="272" t="s">
        <v>23</v>
      </c>
    </row>
    <row r="596" spans="1:25" x14ac:dyDescent="0.25">
      <c r="A596" s="247" t="s">
        <v>311</v>
      </c>
      <c r="B596" s="248">
        <v>45659</v>
      </c>
      <c r="C596" s="244" t="s">
        <v>564</v>
      </c>
      <c r="D596" s="244"/>
      <c r="E596" s="249">
        <v>1260</v>
      </c>
      <c r="F596" s="253">
        <v>0</v>
      </c>
      <c r="G596" s="266">
        <f>Tabla3[[#This Row],[INGRESOS]]-Tabla3[[#This Row],[EGRESOS]]</f>
        <v>-1260</v>
      </c>
      <c r="H596" s="132">
        <v>25700.49</v>
      </c>
      <c r="I596" s="135">
        <v>1140</v>
      </c>
      <c r="J596" s="99">
        <f>Tabla3[[#This Row],[EGRESOS]]/Tabla3[[#This Row],[TC]]</f>
        <v>1.1052631578947369</v>
      </c>
      <c r="K596" s="99">
        <f>Tabla3[[#This Row],[INGRESOS]]/Tabla3[[#This Row],[TC]]</f>
        <v>0</v>
      </c>
      <c r="L596" s="7" t="s">
        <v>376</v>
      </c>
      <c r="M596" s="7" t="s">
        <v>377</v>
      </c>
      <c r="N596" s="7" t="s">
        <v>28</v>
      </c>
      <c r="O596" s="7" t="s">
        <v>184</v>
      </c>
      <c r="P596" s="7" t="s">
        <v>195</v>
      </c>
      <c r="Q596" s="7" t="s">
        <v>196</v>
      </c>
      <c r="R596" s="7" t="s">
        <v>417</v>
      </c>
      <c r="S596" s="7" t="s">
        <v>383</v>
      </c>
      <c r="T596" s="7"/>
      <c r="U596" s="7" t="s">
        <v>384</v>
      </c>
      <c r="V596" s="7"/>
      <c r="W596" s="7" t="s">
        <v>380</v>
      </c>
      <c r="X596" s="7" t="s">
        <v>99</v>
      </c>
      <c r="Y596" s="7" t="s">
        <v>23</v>
      </c>
    </row>
    <row r="597" spans="1:25" x14ac:dyDescent="0.25">
      <c r="A597" s="247" t="s">
        <v>311</v>
      </c>
      <c r="B597" s="248">
        <v>45659</v>
      </c>
      <c r="C597" s="244" t="s">
        <v>273</v>
      </c>
      <c r="D597" s="244"/>
      <c r="E597" s="249">
        <v>8820</v>
      </c>
      <c r="F597" s="249">
        <v>0</v>
      </c>
      <c r="G597" s="266">
        <f>Tabla3[[#This Row],[INGRESOS]]-Tabla3[[#This Row],[EGRESOS]]</f>
        <v>-8820</v>
      </c>
      <c r="H597" s="132">
        <v>16880.490000000002</v>
      </c>
      <c r="I597" s="119">
        <v>1140</v>
      </c>
      <c r="J597" s="99">
        <f>Tabla3[[#This Row],[EGRESOS]]/Tabla3[[#This Row],[TC]]</f>
        <v>7.7368421052631575</v>
      </c>
      <c r="K597" s="99">
        <f>Tabla3[[#This Row],[INGRESOS]]/Tabla3[[#This Row],[TC]]</f>
        <v>0</v>
      </c>
      <c r="L597" s="7" t="s">
        <v>376</v>
      </c>
      <c r="M597" s="7" t="s">
        <v>377</v>
      </c>
      <c r="N597" s="7" t="s">
        <v>28</v>
      </c>
      <c r="O597" s="7" t="s">
        <v>184</v>
      </c>
      <c r="P597" s="7" t="s">
        <v>195</v>
      </c>
      <c r="Q597" s="7" t="s">
        <v>196</v>
      </c>
      <c r="R597" s="7" t="s">
        <v>382</v>
      </c>
      <c r="S597" s="7" t="s">
        <v>383</v>
      </c>
      <c r="T597" s="7"/>
      <c r="U597" s="7" t="s">
        <v>384</v>
      </c>
      <c r="V597" s="7"/>
      <c r="W597" s="7" t="s">
        <v>380</v>
      </c>
      <c r="X597" s="7" t="s">
        <v>99</v>
      </c>
      <c r="Y597" s="7" t="s">
        <v>23</v>
      </c>
    </row>
    <row r="598" spans="1:25" x14ac:dyDescent="0.25">
      <c r="A598" s="247" t="s">
        <v>311</v>
      </c>
      <c r="B598" s="248">
        <v>45659</v>
      </c>
      <c r="C598" s="244" t="s">
        <v>565</v>
      </c>
      <c r="D598" s="244"/>
      <c r="E598" s="249">
        <v>42000</v>
      </c>
      <c r="F598" s="249">
        <v>0</v>
      </c>
      <c r="G598" s="266">
        <f>Tabla3[[#This Row],[INGRESOS]]-Tabla3[[#This Row],[EGRESOS]]</f>
        <v>-42000</v>
      </c>
      <c r="H598" s="132">
        <v>-25119.51</v>
      </c>
      <c r="I598" s="119">
        <v>1140</v>
      </c>
      <c r="J598" s="99">
        <f>Tabla3[[#This Row],[EGRESOS]]/Tabla3[[#This Row],[TC]]</f>
        <v>36.842105263157897</v>
      </c>
      <c r="K598" s="99">
        <f>Tabla3[[#This Row],[INGRESOS]]/Tabla3[[#This Row],[TC]]</f>
        <v>0</v>
      </c>
      <c r="L598" s="7" t="s">
        <v>376</v>
      </c>
      <c r="M598" s="7" t="s">
        <v>377</v>
      </c>
      <c r="N598" s="7" t="s">
        <v>28</v>
      </c>
      <c r="O598" s="7" t="s">
        <v>184</v>
      </c>
      <c r="P598" s="7" t="s">
        <v>185</v>
      </c>
      <c r="Q598" s="7" t="s">
        <v>186</v>
      </c>
      <c r="R598" s="7" t="s">
        <v>227</v>
      </c>
      <c r="S598" s="7"/>
      <c r="T598" s="7"/>
      <c r="U598" s="7" t="s">
        <v>384</v>
      </c>
      <c r="V598" s="7"/>
      <c r="W598" s="7" t="s">
        <v>380</v>
      </c>
      <c r="X598" s="7" t="s">
        <v>99</v>
      </c>
      <c r="Y598" s="7" t="s">
        <v>23</v>
      </c>
    </row>
    <row r="599" spans="1:25" x14ac:dyDescent="0.25">
      <c r="A599" s="273" t="s">
        <v>311</v>
      </c>
      <c r="B599" s="251">
        <v>45659</v>
      </c>
      <c r="C599" s="252" t="s">
        <v>566</v>
      </c>
      <c r="D599" s="252"/>
      <c r="E599" s="253">
        <v>312.48</v>
      </c>
      <c r="F599" s="253">
        <v>0</v>
      </c>
      <c r="G599" s="274">
        <f>Tabla3[[#This Row],[INGRESOS]]-Tabla3[[#This Row],[EGRESOS]]</f>
        <v>-312.48</v>
      </c>
      <c r="H599" s="137">
        <v>-25431.99</v>
      </c>
      <c r="I599" s="135">
        <v>1140</v>
      </c>
      <c r="J599" s="136">
        <f>Tabla3[[#This Row],[EGRESOS]]/Tabla3[[#This Row],[TC]]</f>
        <v>0.27410526315789474</v>
      </c>
      <c r="K599" s="136">
        <f>Tabla3[[#This Row],[INGRESOS]]/Tabla3[[#This Row],[TC]]</f>
        <v>0</v>
      </c>
      <c r="L599" s="8" t="s">
        <v>376</v>
      </c>
      <c r="M599" s="8" t="s">
        <v>377</v>
      </c>
      <c r="N599" s="8" t="s">
        <v>28</v>
      </c>
      <c r="O599" s="8" t="s">
        <v>184</v>
      </c>
      <c r="P599" s="8" t="s">
        <v>195</v>
      </c>
      <c r="Q599" s="8" t="s">
        <v>196</v>
      </c>
      <c r="R599" s="8" t="s">
        <v>394</v>
      </c>
      <c r="S599" s="8" t="s">
        <v>383</v>
      </c>
      <c r="T599" s="8"/>
      <c r="U599" s="8" t="s">
        <v>384</v>
      </c>
      <c r="V599" s="8"/>
      <c r="W599" s="8" t="s">
        <v>380</v>
      </c>
      <c r="X599" s="8" t="s">
        <v>99</v>
      </c>
      <c r="Y599" s="8" t="s">
        <v>23</v>
      </c>
    </row>
    <row r="600" spans="1:25" x14ac:dyDescent="0.25">
      <c r="A600" s="394" t="s">
        <v>311</v>
      </c>
      <c r="B600" s="395">
        <v>45659</v>
      </c>
      <c r="C600" s="396" t="s">
        <v>567</v>
      </c>
      <c r="D600" s="396"/>
      <c r="E600" s="397">
        <v>58456.03</v>
      </c>
      <c r="F600" s="397">
        <v>0</v>
      </c>
      <c r="G600" s="337">
        <f>Tabla3[[#This Row],[INGRESOS]]-Tabla3[[#This Row],[EGRESOS]]</f>
        <v>-58456.03</v>
      </c>
      <c r="H600" s="133">
        <v>-83888.02</v>
      </c>
      <c r="I600" s="398">
        <v>1140</v>
      </c>
      <c r="J600" s="399">
        <f>Tabla3[[#This Row],[EGRESOS]]/Tabla3[[#This Row],[TC]]</f>
        <v>51.277219298245612</v>
      </c>
      <c r="K600" s="399">
        <f>Tabla3[[#This Row],[INGRESOS]]/Tabla3[[#This Row],[TC]]</f>
        <v>0</v>
      </c>
      <c r="L600" s="400" t="s">
        <v>376</v>
      </c>
      <c r="M600" s="400" t="s">
        <v>377</v>
      </c>
      <c r="N600" s="400" t="s">
        <v>28</v>
      </c>
      <c r="O600" s="400" t="s">
        <v>184</v>
      </c>
      <c r="P600" s="400" t="s">
        <v>197</v>
      </c>
      <c r="Q600" s="400" t="s">
        <v>198</v>
      </c>
      <c r="R600" s="400" t="s">
        <v>419</v>
      </c>
      <c r="S600" s="400"/>
      <c r="T600" s="400"/>
      <c r="U600" s="400" t="s">
        <v>384</v>
      </c>
      <c r="V600" s="400"/>
      <c r="W600" s="400" t="s">
        <v>380</v>
      </c>
      <c r="X600" s="400" t="s">
        <v>99</v>
      </c>
      <c r="Y600" s="400" t="s">
        <v>23</v>
      </c>
    </row>
    <row r="601" spans="1:25" x14ac:dyDescent="0.25">
      <c r="A601" s="273" t="s">
        <v>311</v>
      </c>
      <c r="B601" s="251">
        <v>45659</v>
      </c>
      <c r="C601" s="252" t="s">
        <v>463</v>
      </c>
      <c r="D601" s="252"/>
      <c r="E601" s="253">
        <v>1352.37</v>
      </c>
      <c r="F601" s="253">
        <v>0</v>
      </c>
      <c r="G601" s="274">
        <f>Tabla3[[#This Row],[INGRESOS]]-Tabla3[[#This Row],[EGRESOS]]</f>
        <v>-1352.37</v>
      </c>
      <c r="H601" s="137">
        <v>-85240.39</v>
      </c>
      <c r="I601" s="135">
        <v>1140</v>
      </c>
      <c r="J601" s="136">
        <f>Tabla3[[#This Row],[EGRESOS]]/Tabla3[[#This Row],[TC]]</f>
        <v>1.1862894736842104</v>
      </c>
      <c r="K601" s="136">
        <f>Tabla3[[#This Row],[INGRESOS]]/Tabla3[[#This Row],[TC]]</f>
        <v>0</v>
      </c>
      <c r="L601" s="8" t="s">
        <v>376</v>
      </c>
      <c r="M601" s="8" t="s">
        <v>377</v>
      </c>
      <c r="N601" s="8" t="s">
        <v>28</v>
      </c>
      <c r="O601" s="8" t="s">
        <v>184</v>
      </c>
      <c r="P601" s="8" t="s">
        <v>195</v>
      </c>
      <c r="Q601" s="8" t="s">
        <v>196</v>
      </c>
      <c r="R601" s="8" t="s">
        <v>423</v>
      </c>
      <c r="S601" s="8" t="s">
        <v>69</v>
      </c>
      <c r="T601" s="8"/>
      <c r="U601" s="8" t="s">
        <v>384</v>
      </c>
      <c r="V601" s="8"/>
      <c r="W601" s="8" t="s">
        <v>380</v>
      </c>
      <c r="X601" s="8" t="s">
        <v>99</v>
      </c>
      <c r="Y601" s="8" t="s">
        <v>23</v>
      </c>
    </row>
    <row r="602" spans="1:25" x14ac:dyDescent="0.25">
      <c r="A602" s="247" t="s">
        <v>311</v>
      </c>
      <c r="B602" s="248">
        <v>45659</v>
      </c>
      <c r="C602" s="244" t="s">
        <v>273</v>
      </c>
      <c r="D602" s="244"/>
      <c r="E602" s="249">
        <v>6137.88</v>
      </c>
      <c r="F602" s="249">
        <v>0</v>
      </c>
      <c r="G602" s="266">
        <f>Tabla3[[#This Row],[INGRESOS]]-Tabla3[[#This Row],[EGRESOS]]</f>
        <v>-6137.88</v>
      </c>
      <c r="H602" s="132">
        <v>-91378.27</v>
      </c>
      <c r="I602" s="119">
        <v>1140</v>
      </c>
      <c r="J602" s="99">
        <f>Tabla3[[#This Row],[EGRESOS]]/Tabla3[[#This Row],[TC]]</f>
        <v>5.3841052631578945</v>
      </c>
      <c r="K602" s="99">
        <f>Tabla3[[#This Row],[INGRESOS]]/Tabla3[[#This Row],[TC]]</f>
        <v>0</v>
      </c>
      <c r="L602" s="7" t="s">
        <v>376</v>
      </c>
      <c r="M602" s="7" t="s">
        <v>377</v>
      </c>
      <c r="N602" s="7" t="s">
        <v>28</v>
      </c>
      <c r="O602" s="7" t="s">
        <v>184</v>
      </c>
      <c r="P602" s="7" t="s">
        <v>195</v>
      </c>
      <c r="Q602" s="7" t="s">
        <v>196</v>
      </c>
      <c r="R602" s="7" t="s">
        <v>382</v>
      </c>
      <c r="S602" s="7" t="s">
        <v>383</v>
      </c>
      <c r="T602" s="7"/>
      <c r="U602" s="7" t="s">
        <v>384</v>
      </c>
      <c r="V602" s="7"/>
      <c r="W602" s="7" t="s">
        <v>380</v>
      </c>
      <c r="X602" s="7" t="s">
        <v>99</v>
      </c>
      <c r="Y602" s="7" t="s">
        <v>23</v>
      </c>
    </row>
    <row r="603" spans="1:25" x14ac:dyDescent="0.25">
      <c r="A603" s="247" t="s">
        <v>311</v>
      </c>
      <c r="B603" s="248">
        <v>45659</v>
      </c>
      <c r="C603" s="244" t="s">
        <v>564</v>
      </c>
      <c r="D603" s="244"/>
      <c r="E603" s="249">
        <v>876.84</v>
      </c>
      <c r="F603" s="249">
        <v>0</v>
      </c>
      <c r="G603" s="266">
        <f>Tabla3[[#This Row],[INGRESOS]]-Tabla3[[#This Row],[EGRESOS]]</f>
        <v>-876.84</v>
      </c>
      <c r="H603" s="132">
        <v>-92255.11</v>
      </c>
      <c r="I603" s="119">
        <v>1140</v>
      </c>
      <c r="J603" s="99">
        <f>Tabla3[[#This Row],[EGRESOS]]/Tabla3[[#This Row],[TC]]</f>
        <v>0.76915789473684215</v>
      </c>
      <c r="K603" s="99">
        <f>Tabla3[[#This Row],[INGRESOS]]/Tabla3[[#This Row],[TC]]</f>
        <v>0</v>
      </c>
      <c r="L603" s="7" t="s">
        <v>376</v>
      </c>
      <c r="M603" s="7" t="s">
        <v>377</v>
      </c>
      <c r="N603" s="7" t="s">
        <v>28</v>
      </c>
      <c r="O603" s="7" t="s">
        <v>184</v>
      </c>
      <c r="P603" s="7" t="s">
        <v>195</v>
      </c>
      <c r="Q603" s="7" t="s">
        <v>196</v>
      </c>
      <c r="R603" s="7" t="s">
        <v>417</v>
      </c>
      <c r="S603" s="7" t="s">
        <v>383</v>
      </c>
      <c r="T603" s="7"/>
      <c r="U603" s="7" t="s">
        <v>384</v>
      </c>
      <c r="V603" s="7"/>
      <c r="W603" s="7" t="s">
        <v>380</v>
      </c>
      <c r="X603" s="7" t="s">
        <v>99</v>
      </c>
      <c r="Y603" s="7" t="s">
        <v>23</v>
      </c>
    </row>
    <row r="604" spans="1:25" x14ac:dyDescent="0.25">
      <c r="A604" s="247" t="s">
        <v>311</v>
      </c>
      <c r="B604" s="248">
        <v>45659</v>
      </c>
      <c r="C604" s="244" t="s">
        <v>566</v>
      </c>
      <c r="D604" s="244"/>
      <c r="E604" s="249">
        <v>400.94</v>
      </c>
      <c r="F604" s="249">
        <v>0</v>
      </c>
      <c r="G604" s="266">
        <f>Tabla3[[#This Row],[INGRESOS]]-Tabla3[[#This Row],[EGRESOS]]</f>
        <v>-400.94</v>
      </c>
      <c r="H604" s="132">
        <v>-92656.05</v>
      </c>
      <c r="I604" s="119">
        <v>1140</v>
      </c>
      <c r="J604" s="99">
        <f>Tabla3[[#This Row],[EGRESOS]]/Tabla3[[#This Row],[TC]]</f>
        <v>0.3517017543859649</v>
      </c>
      <c r="K604" s="99">
        <f>Tabla3[[#This Row],[INGRESOS]]/Tabla3[[#This Row],[TC]]</f>
        <v>0</v>
      </c>
      <c r="L604" s="7" t="s">
        <v>376</v>
      </c>
      <c r="M604" s="7" t="s">
        <v>377</v>
      </c>
      <c r="N604" s="7" t="s">
        <v>28</v>
      </c>
      <c r="O604" s="7" t="s">
        <v>184</v>
      </c>
      <c r="P604" s="7" t="s">
        <v>195</v>
      </c>
      <c r="Q604" s="7" t="s">
        <v>196</v>
      </c>
      <c r="R604" s="7" t="s">
        <v>382</v>
      </c>
      <c r="S604" s="7" t="s">
        <v>383</v>
      </c>
      <c r="T604" s="7"/>
      <c r="U604" s="7" t="s">
        <v>384</v>
      </c>
      <c r="V604" s="7"/>
      <c r="W604" s="7" t="s">
        <v>380</v>
      </c>
      <c r="X604" s="7" t="s">
        <v>99</v>
      </c>
      <c r="Y604" s="7" t="s">
        <v>23</v>
      </c>
    </row>
    <row r="605" spans="1:25" hidden="1" x14ac:dyDescent="0.25">
      <c r="A605" s="247" t="s">
        <v>311</v>
      </c>
      <c r="B605" s="248">
        <v>45666</v>
      </c>
      <c r="C605" s="244" t="s">
        <v>568</v>
      </c>
      <c r="D605" s="244"/>
      <c r="E605" s="249">
        <v>326700</v>
      </c>
      <c r="F605" s="249">
        <v>0</v>
      </c>
      <c r="G605" s="266">
        <f>Tabla3[[#This Row],[INGRESOS]]-Tabla3[[#This Row],[EGRESOS]]</f>
        <v>-326700</v>
      </c>
      <c r="H605" s="132">
        <v>-419356.05</v>
      </c>
      <c r="I605" s="119">
        <v>1140</v>
      </c>
      <c r="J605" s="99">
        <f>Tabla3[[#This Row],[EGRESOS]]/Tabla3[[#This Row],[TC]]</f>
        <v>286.57894736842104</v>
      </c>
      <c r="K605" s="99">
        <f>Tabla3[[#This Row],[INGRESOS]]/Tabla3[[#This Row],[TC]]</f>
        <v>0</v>
      </c>
      <c r="L605" s="7" t="s">
        <v>376</v>
      </c>
      <c r="M605" s="7" t="s">
        <v>377</v>
      </c>
      <c r="N605" s="7" t="s">
        <v>28</v>
      </c>
      <c r="O605" s="7" t="s">
        <v>215</v>
      </c>
      <c r="P605" s="7" t="s">
        <v>216</v>
      </c>
      <c r="Q605" s="7" t="s">
        <v>219</v>
      </c>
      <c r="R605" s="7" t="s">
        <v>334</v>
      </c>
      <c r="S605" s="7" t="s">
        <v>569</v>
      </c>
      <c r="T605" s="7" t="s">
        <v>570</v>
      </c>
      <c r="U605" s="7" t="s">
        <v>398</v>
      </c>
      <c r="V605" s="7"/>
      <c r="W605" s="8" t="s">
        <v>399</v>
      </c>
      <c r="X605" s="7" t="s">
        <v>400</v>
      </c>
      <c r="Y605" s="7" t="s">
        <v>23</v>
      </c>
    </row>
    <row r="606" spans="1:25" x14ac:dyDescent="0.25">
      <c r="A606" s="247" t="s">
        <v>311</v>
      </c>
      <c r="B606" s="248">
        <v>45666</v>
      </c>
      <c r="C606" s="244" t="s">
        <v>566</v>
      </c>
      <c r="D606" s="244"/>
      <c r="E606" s="249">
        <v>1960.2</v>
      </c>
      <c r="F606" s="249">
        <v>0</v>
      </c>
      <c r="G606" s="266">
        <f>Tabla3[[#This Row],[INGRESOS]]-Tabla3[[#This Row],[EGRESOS]]</f>
        <v>-1960.2</v>
      </c>
      <c r="H606" s="137">
        <v>-421316.25</v>
      </c>
      <c r="I606" s="119">
        <v>1140</v>
      </c>
      <c r="J606" s="99">
        <f>Tabla3[[#This Row],[EGRESOS]]/Tabla3[[#This Row],[TC]]</f>
        <v>1.7194736842105263</v>
      </c>
      <c r="K606" s="99">
        <f>Tabla3[[#This Row],[INGRESOS]]/Tabla3[[#This Row],[TC]]</f>
        <v>0</v>
      </c>
      <c r="L606" s="7" t="s">
        <v>376</v>
      </c>
      <c r="M606" s="7" t="s">
        <v>377</v>
      </c>
      <c r="N606" s="7" t="s">
        <v>28</v>
      </c>
      <c r="O606" s="7" t="s">
        <v>184</v>
      </c>
      <c r="P606" s="7" t="s">
        <v>195</v>
      </c>
      <c r="Q606" s="7" t="s">
        <v>196</v>
      </c>
      <c r="R606" s="7" t="s">
        <v>394</v>
      </c>
      <c r="S606" s="7" t="s">
        <v>383</v>
      </c>
      <c r="T606" s="7"/>
      <c r="U606" s="7" t="s">
        <v>384</v>
      </c>
      <c r="V606" s="7"/>
      <c r="W606" s="8" t="s">
        <v>380</v>
      </c>
      <c r="X606" s="7" t="s">
        <v>99</v>
      </c>
      <c r="Y606" s="7" t="s">
        <v>23</v>
      </c>
    </row>
    <row r="607" spans="1:25" hidden="1" x14ac:dyDescent="0.25">
      <c r="A607" s="247" t="s">
        <v>311</v>
      </c>
      <c r="B607" s="248">
        <v>45670</v>
      </c>
      <c r="C607" s="244" t="s">
        <v>568</v>
      </c>
      <c r="D607" s="244"/>
      <c r="E607" s="249">
        <v>32500</v>
      </c>
      <c r="F607" s="249">
        <v>0</v>
      </c>
      <c r="G607" s="266">
        <f>Tabla3[[#This Row],[INGRESOS]]-Tabla3[[#This Row],[EGRESOS]]</f>
        <v>-32500</v>
      </c>
      <c r="H607" s="137">
        <v>-453816.25</v>
      </c>
      <c r="I607" s="119">
        <v>1140</v>
      </c>
      <c r="J607" s="99">
        <f>Tabla3[[#This Row],[EGRESOS]]/Tabla3[[#This Row],[TC]]</f>
        <v>28.508771929824562</v>
      </c>
      <c r="K607" s="99">
        <f>Tabla3[[#This Row],[INGRESOS]]/Tabla3[[#This Row],[TC]]</f>
        <v>0</v>
      </c>
      <c r="L607" s="7" t="s">
        <v>376</v>
      </c>
      <c r="M607" s="7" t="s">
        <v>377</v>
      </c>
      <c r="N607" s="7" t="s">
        <v>28</v>
      </c>
      <c r="O607" s="7" t="s">
        <v>225</v>
      </c>
      <c r="P607" s="7" t="s">
        <v>236</v>
      </c>
      <c r="Q607" s="7" t="s">
        <v>237</v>
      </c>
      <c r="R607" s="7" t="s">
        <v>571</v>
      </c>
      <c r="S607" s="7" t="s">
        <v>572</v>
      </c>
      <c r="T607" s="7"/>
      <c r="U607" s="7" t="s">
        <v>429</v>
      </c>
      <c r="V607" s="7"/>
      <c r="W607" s="8" t="s">
        <v>399</v>
      </c>
      <c r="X607" s="7" t="s">
        <v>29</v>
      </c>
      <c r="Y607" s="7" t="s">
        <v>23</v>
      </c>
    </row>
    <row r="608" spans="1:25" x14ac:dyDescent="0.25">
      <c r="A608" s="247" t="s">
        <v>311</v>
      </c>
      <c r="B608" s="248">
        <v>45670</v>
      </c>
      <c r="C608" s="244" t="s">
        <v>566</v>
      </c>
      <c r="D608" s="244"/>
      <c r="E608" s="249">
        <v>195</v>
      </c>
      <c r="F608" s="249">
        <v>0</v>
      </c>
      <c r="G608" s="266">
        <f>Tabla3[[#This Row],[INGRESOS]]-Tabla3[[#This Row],[EGRESOS]]</f>
        <v>-195</v>
      </c>
      <c r="H608" s="137">
        <v>-454011.25</v>
      </c>
      <c r="I608" s="119">
        <v>1140</v>
      </c>
      <c r="J608" s="99">
        <f>Tabla3[[#This Row],[EGRESOS]]/Tabla3[[#This Row],[TC]]</f>
        <v>0.17105263157894737</v>
      </c>
      <c r="K608" s="99">
        <f>Tabla3[[#This Row],[INGRESOS]]/Tabla3[[#This Row],[TC]]</f>
        <v>0</v>
      </c>
      <c r="L608" s="7" t="s">
        <v>376</v>
      </c>
      <c r="M608" s="7" t="s">
        <v>377</v>
      </c>
      <c r="N608" s="7" t="s">
        <v>28</v>
      </c>
      <c r="O608" s="7" t="s">
        <v>184</v>
      </c>
      <c r="P608" s="7" t="s">
        <v>195</v>
      </c>
      <c r="Q608" s="7" t="s">
        <v>196</v>
      </c>
      <c r="R608" s="7" t="s">
        <v>394</v>
      </c>
      <c r="S608" s="7" t="s">
        <v>383</v>
      </c>
      <c r="T608" s="7"/>
      <c r="U608" s="7" t="s">
        <v>384</v>
      </c>
      <c r="V608" s="7"/>
      <c r="W608" s="7" t="s">
        <v>380</v>
      </c>
      <c r="X608" s="7" t="s">
        <v>99</v>
      </c>
      <c r="Y608" s="7" t="s">
        <v>23</v>
      </c>
    </row>
    <row r="609" spans="1:25" hidden="1" x14ac:dyDescent="0.25">
      <c r="A609" s="247" t="s">
        <v>311</v>
      </c>
      <c r="B609" s="248">
        <v>45671</v>
      </c>
      <c r="C609" s="244" t="s">
        <v>573</v>
      </c>
      <c r="D609" s="244"/>
      <c r="E609" s="249">
        <v>1800000</v>
      </c>
      <c r="F609" s="249">
        <v>0</v>
      </c>
      <c r="G609" s="266">
        <f>Tabla3[[#This Row],[INGRESOS]]-Tabla3[[#This Row],[EGRESOS]]</f>
        <v>-1800000</v>
      </c>
      <c r="H609" s="137">
        <v>-2254011.25</v>
      </c>
      <c r="I609" s="119">
        <v>1140</v>
      </c>
      <c r="J609" s="99">
        <f>Tabla3[[#This Row],[EGRESOS]]/Tabla3[[#This Row],[TC]]</f>
        <v>1578.9473684210527</v>
      </c>
      <c r="K609" s="99">
        <f>Tabla3[[#This Row],[INGRESOS]]/Tabla3[[#This Row],[TC]]</f>
        <v>0</v>
      </c>
      <c r="L609" s="7" t="s">
        <v>376</v>
      </c>
      <c r="M609" s="7" t="s">
        <v>377</v>
      </c>
      <c r="N609" s="7" t="s">
        <v>28</v>
      </c>
      <c r="O609" s="7" t="s">
        <v>244</v>
      </c>
      <c r="P609" s="7" t="s">
        <v>259</v>
      </c>
      <c r="Q609" s="7" t="s">
        <v>260</v>
      </c>
      <c r="R609" s="7" t="s">
        <v>393</v>
      </c>
      <c r="S609" s="7"/>
      <c r="T609" s="7"/>
      <c r="U609" s="7" t="s">
        <v>379</v>
      </c>
      <c r="V609" s="7"/>
      <c r="W609" s="8" t="s">
        <v>380</v>
      </c>
      <c r="X609" s="7"/>
      <c r="Y609" s="7"/>
    </row>
    <row r="610" spans="1:25" x14ac:dyDescent="0.25">
      <c r="A610" s="247" t="s">
        <v>311</v>
      </c>
      <c r="B610" s="248">
        <v>45673</v>
      </c>
      <c r="C610" s="244" t="s">
        <v>566</v>
      </c>
      <c r="D610" s="244"/>
      <c r="E610" s="249">
        <v>61.43</v>
      </c>
      <c r="F610" s="249">
        <v>0</v>
      </c>
      <c r="G610" s="266">
        <f>Tabla3[[#This Row],[INGRESOS]]-Tabla3[[#This Row],[EGRESOS]]</f>
        <v>-61.43</v>
      </c>
      <c r="H610" s="137">
        <v>-2264311.83</v>
      </c>
      <c r="I610" s="119">
        <v>1140</v>
      </c>
      <c r="J610" s="99">
        <f>Tabla3[[#This Row],[EGRESOS]]/Tabla3[[#This Row],[TC]]</f>
        <v>5.3885964912280704E-2</v>
      </c>
      <c r="K610" s="99">
        <f>Tabla3[[#This Row],[INGRESOS]]/Tabla3[[#This Row],[TC]]</f>
        <v>0</v>
      </c>
      <c r="L610" s="7" t="s">
        <v>376</v>
      </c>
      <c r="M610" s="7" t="s">
        <v>377</v>
      </c>
      <c r="N610" s="7" t="s">
        <v>28</v>
      </c>
      <c r="O610" s="7" t="s">
        <v>184</v>
      </c>
      <c r="P610" s="7" t="s">
        <v>195</v>
      </c>
      <c r="Q610" s="7" t="s">
        <v>196</v>
      </c>
      <c r="R610" s="7" t="s">
        <v>394</v>
      </c>
      <c r="S610" s="7" t="s">
        <v>383</v>
      </c>
      <c r="T610" s="7"/>
      <c r="U610" s="7" t="s">
        <v>384</v>
      </c>
      <c r="V610" s="7"/>
      <c r="W610" s="7" t="s">
        <v>380</v>
      </c>
      <c r="X610" s="7" t="s">
        <v>99</v>
      </c>
      <c r="Y610" s="7" t="s">
        <v>23</v>
      </c>
    </row>
    <row r="611" spans="1:25" hidden="1" x14ac:dyDescent="0.25">
      <c r="A611" s="247" t="s">
        <v>311</v>
      </c>
      <c r="B611" s="248">
        <v>45673</v>
      </c>
      <c r="C611" s="244" t="s">
        <v>568</v>
      </c>
      <c r="D611" s="244"/>
      <c r="E611" s="249">
        <v>10239.15</v>
      </c>
      <c r="F611" s="249">
        <v>0</v>
      </c>
      <c r="G611" s="266">
        <f>Tabla3[[#This Row],[INGRESOS]]-Tabla3[[#This Row],[EGRESOS]]</f>
        <v>-10239.15</v>
      </c>
      <c r="H611" s="137">
        <v>-2264250.4</v>
      </c>
      <c r="I611" s="119">
        <v>1140</v>
      </c>
      <c r="J611" s="99">
        <f>Tabla3[[#This Row],[EGRESOS]]/Tabla3[[#This Row],[TC]]</f>
        <v>8.9817105263157888</v>
      </c>
      <c r="K611" s="99">
        <f>Tabla3[[#This Row],[INGRESOS]]/Tabla3[[#This Row],[TC]]</f>
        <v>0</v>
      </c>
      <c r="L611" s="7" t="s">
        <v>376</v>
      </c>
      <c r="M611" s="7" t="s">
        <v>377</v>
      </c>
      <c r="N611" s="7" t="s">
        <v>28</v>
      </c>
      <c r="O611" s="7" t="s">
        <v>225</v>
      </c>
      <c r="P611" s="7" t="s">
        <v>236</v>
      </c>
      <c r="Q611" s="7" t="s">
        <v>238</v>
      </c>
      <c r="R611" s="7" t="s">
        <v>574</v>
      </c>
      <c r="S611" s="7" t="s">
        <v>575</v>
      </c>
      <c r="T611" s="7" t="s">
        <v>576</v>
      </c>
      <c r="U611" s="7" t="s">
        <v>412</v>
      </c>
      <c r="V611" s="7"/>
      <c r="W611" s="8" t="s">
        <v>380</v>
      </c>
      <c r="X611" s="7" t="s">
        <v>55</v>
      </c>
      <c r="Y611" s="7" t="s">
        <v>23</v>
      </c>
    </row>
    <row r="612" spans="1:25" hidden="1" x14ac:dyDescent="0.25">
      <c r="A612" s="247" t="s">
        <v>312</v>
      </c>
      <c r="B612" s="248">
        <v>45691</v>
      </c>
      <c r="C612" s="244" t="s">
        <v>565</v>
      </c>
      <c r="D612" s="244"/>
      <c r="E612" s="249">
        <v>42000</v>
      </c>
      <c r="F612" s="249">
        <v>0</v>
      </c>
      <c r="G612" s="266">
        <f>Tabla3[[#This Row],[INGRESOS]]-Tabla3[[#This Row],[EGRESOS]]</f>
        <v>-42000</v>
      </c>
      <c r="H612" s="137">
        <v>-2306311.83</v>
      </c>
      <c r="I612" s="119">
        <v>1140</v>
      </c>
      <c r="J612" s="99">
        <f>Tabla3[[#This Row],[EGRESOS]]/Tabla3[[#This Row],[TC]]</f>
        <v>36.842105263157897</v>
      </c>
      <c r="K612" s="99">
        <f>Tabla3[[#This Row],[INGRESOS]]/Tabla3[[#This Row],[TC]]</f>
        <v>0</v>
      </c>
      <c r="L612" s="7" t="s">
        <v>376</v>
      </c>
      <c r="M612" s="7" t="s">
        <v>377</v>
      </c>
      <c r="N612" s="7" t="s">
        <v>28</v>
      </c>
      <c r="O612" s="7" t="s">
        <v>184</v>
      </c>
      <c r="P612" s="8" t="s">
        <v>185</v>
      </c>
      <c r="Q612" s="7" t="s">
        <v>186</v>
      </c>
      <c r="R612" s="7" t="s">
        <v>227</v>
      </c>
      <c r="S612" s="7"/>
      <c r="T612" s="7"/>
      <c r="U612" s="7" t="s">
        <v>384</v>
      </c>
      <c r="V612" s="7"/>
      <c r="W612" s="7" t="s">
        <v>380</v>
      </c>
      <c r="X612" s="7" t="s">
        <v>99</v>
      </c>
      <c r="Y612" s="7" t="s">
        <v>23</v>
      </c>
    </row>
    <row r="613" spans="1:25" hidden="1" x14ac:dyDescent="0.25">
      <c r="A613" s="247" t="s">
        <v>312</v>
      </c>
      <c r="B613" s="248">
        <v>45691</v>
      </c>
      <c r="C613" s="244" t="s">
        <v>273</v>
      </c>
      <c r="D613" s="244"/>
      <c r="E613" s="249">
        <v>8820</v>
      </c>
      <c r="F613" s="249">
        <v>0</v>
      </c>
      <c r="G613" s="266">
        <f>Tabla3[[#This Row],[INGRESOS]]-Tabla3[[#This Row],[EGRESOS]]</f>
        <v>-8820</v>
      </c>
      <c r="H613" s="137">
        <v>-2315131.83</v>
      </c>
      <c r="I613" s="119">
        <v>1140</v>
      </c>
      <c r="J613" s="99">
        <f>Tabla3[[#This Row],[EGRESOS]]/Tabla3[[#This Row],[TC]]</f>
        <v>7.7368421052631575</v>
      </c>
      <c r="K613" s="99">
        <f>Tabla3[[#This Row],[INGRESOS]]/Tabla3[[#This Row],[TC]]</f>
        <v>0</v>
      </c>
      <c r="L613" s="7" t="s">
        <v>376</v>
      </c>
      <c r="M613" s="7" t="s">
        <v>377</v>
      </c>
      <c r="N613" s="7" t="s">
        <v>28</v>
      </c>
      <c r="O613" s="7" t="s">
        <v>184</v>
      </c>
      <c r="P613" s="8" t="s">
        <v>195</v>
      </c>
      <c r="Q613" s="7" t="s">
        <v>196</v>
      </c>
      <c r="R613" s="7" t="s">
        <v>382</v>
      </c>
      <c r="S613" s="7" t="s">
        <v>383</v>
      </c>
      <c r="T613" s="7"/>
      <c r="U613" s="7" t="s">
        <v>384</v>
      </c>
      <c r="V613" s="7"/>
      <c r="W613" s="8" t="s">
        <v>380</v>
      </c>
      <c r="X613" s="7" t="s">
        <v>99</v>
      </c>
      <c r="Y613" s="7" t="s">
        <v>23</v>
      </c>
    </row>
    <row r="614" spans="1:25" hidden="1" x14ac:dyDescent="0.25">
      <c r="A614" s="247" t="s">
        <v>312</v>
      </c>
      <c r="B614" s="248">
        <v>45691</v>
      </c>
      <c r="C614" s="244" t="s">
        <v>564</v>
      </c>
      <c r="D614" s="244"/>
      <c r="E614" s="249">
        <v>1260</v>
      </c>
      <c r="F614" s="249">
        <v>0</v>
      </c>
      <c r="G614" s="266">
        <f>Tabla3[[#This Row],[INGRESOS]]-Tabla3[[#This Row],[EGRESOS]]</f>
        <v>-1260</v>
      </c>
      <c r="H614" s="137">
        <v>-2316391.83</v>
      </c>
      <c r="I614" s="119">
        <v>1140</v>
      </c>
      <c r="J614" s="99">
        <f>Tabla3[[#This Row],[EGRESOS]]/Tabla3[[#This Row],[TC]]</f>
        <v>1.1052631578947369</v>
      </c>
      <c r="K614" s="99">
        <f>Tabla3[[#This Row],[INGRESOS]]/Tabla3[[#This Row],[TC]]</f>
        <v>0</v>
      </c>
      <c r="L614" s="7" t="s">
        <v>376</v>
      </c>
      <c r="M614" s="7" t="s">
        <v>377</v>
      </c>
      <c r="N614" s="7" t="s">
        <v>28</v>
      </c>
      <c r="O614" s="7" t="s">
        <v>184</v>
      </c>
      <c r="P614" s="8" t="s">
        <v>195</v>
      </c>
      <c r="Q614" s="7" t="s">
        <v>196</v>
      </c>
      <c r="R614" s="7" t="s">
        <v>417</v>
      </c>
      <c r="S614" s="7" t="s">
        <v>383</v>
      </c>
      <c r="T614" s="7"/>
      <c r="U614" s="7" t="s">
        <v>384</v>
      </c>
      <c r="V614" s="7"/>
      <c r="W614" s="7" t="s">
        <v>380</v>
      </c>
      <c r="X614" s="7" t="s">
        <v>99</v>
      </c>
      <c r="Y614" s="7" t="s">
        <v>23</v>
      </c>
    </row>
    <row r="615" spans="1:25" hidden="1" x14ac:dyDescent="0.25">
      <c r="A615" s="247" t="s">
        <v>312</v>
      </c>
      <c r="B615" s="248">
        <v>45691</v>
      </c>
      <c r="C615" s="244" t="s">
        <v>566</v>
      </c>
      <c r="D615" s="244"/>
      <c r="E615" s="249">
        <v>312.48</v>
      </c>
      <c r="F615" s="249">
        <v>0</v>
      </c>
      <c r="G615" s="266">
        <f>Tabla3[[#This Row],[INGRESOS]]-Tabla3[[#This Row],[EGRESOS]]</f>
        <v>-312.48</v>
      </c>
      <c r="H615" s="137">
        <v>-2316704.31</v>
      </c>
      <c r="I615" s="119">
        <v>1140</v>
      </c>
      <c r="J615" s="99">
        <f>Tabla3[[#This Row],[EGRESOS]]/Tabla3[[#This Row],[TC]]</f>
        <v>0.27410526315789474</v>
      </c>
      <c r="K615" s="99">
        <f>Tabla3[[#This Row],[INGRESOS]]/Tabla3[[#This Row],[TC]]</f>
        <v>0</v>
      </c>
      <c r="L615" s="7" t="s">
        <v>376</v>
      </c>
      <c r="M615" s="7" t="s">
        <v>377</v>
      </c>
      <c r="N615" s="7" t="s">
        <v>28</v>
      </c>
      <c r="O615" s="7" t="s">
        <v>184</v>
      </c>
      <c r="P615" s="8" t="s">
        <v>195</v>
      </c>
      <c r="Q615" s="7" t="s">
        <v>196</v>
      </c>
      <c r="R615" s="7" t="s">
        <v>382</v>
      </c>
      <c r="S615" s="7" t="s">
        <v>383</v>
      </c>
      <c r="T615" s="7"/>
      <c r="U615" s="7" t="s">
        <v>384</v>
      </c>
      <c r="V615" s="7"/>
      <c r="W615" s="8" t="s">
        <v>380</v>
      </c>
      <c r="X615" s="7" t="s">
        <v>99</v>
      </c>
      <c r="Y615" s="7" t="s">
        <v>23</v>
      </c>
    </row>
    <row r="616" spans="1:25" hidden="1" x14ac:dyDescent="0.25">
      <c r="A616" s="387" t="s">
        <v>312</v>
      </c>
      <c r="B616" s="388">
        <v>45691</v>
      </c>
      <c r="C616" s="389" t="s">
        <v>567</v>
      </c>
      <c r="D616" s="389"/>
      <c r="E616" s="390">
        <v>59623.12</v>
      </c>
      <c r="F616" s="390">
        <v>0</v>
      </c>
      <c r="G616" s="336">
        <f>Tabla3[[#This Row],[INGRESOS]]-Tabla3[[#This Row],[EGRESOS]]</f>
        <v>-59623.12</v>
      </c>
      <c r="H616" s="134">
        <v>-2376327.4300000002</v>
      </c>
      <c r="I616" s="391">
        <v>1140</v>
      </c>
      <c r="J616" s="392">
        <f>Tabla3[[#This Row],[EGRESOS]]/Tabla3[[#This Row],[TC]]</f>
        <v>52.300982456140353</v>
      </c>
      <c r="K616" s="392">
        <f>Tabla3[[#This Row],[INGRESOS]]/Tabla3[[#This Row],[TC]]</f>
        <v>0</v>
      </c>
      <c r="L616" s="393" t="s">
        <v>376</v>
      </c>
      <c r="M616" s="393" t="s">
        <v>377</v>
      </c>
      <c r="N616" s="393" t="s">
        <v>28</v>
      </c>
      <c r="O616" s="393" t="s">
        <v>184</v>
      </c>
      <c r="P616" s="393" t="s">
        <v>197</v>
      </c>
      <c r="Q616" s="393" t="s">
        <v>198</v>
      </c>
      <c r="R616" s="393" t="s">
        <v>419</v>
      </c>
      <c r="S616" s="393"/>
      <c r="T616" s="393"/>
      <c r="U616" s="393" t="s">
        <v>384</v>
      </c>
      <c r="V616" s="393"/>
      <c r="W616" s="7" t="s">
        <v>380</v>
      </c>
      <c r="X616" s="393" t="s">
        <v>99</v>
      </c>
      <c r="Y616" s="393" t="s">
        <v>23</v>
      </c>
    </row>
    <row r="617" spans="1:25" hidden="1" x14ac:dyDescent="0.25">
      <c r="A617" s="247" t="s">
        <v>312</v>
      </c>
      <c r="B617" s="248">
        <v>45691</v>
      </c>
      <c r="C617" s="244" t="s">
        <v>463</v>
      </c>
      <c r="D617" s="244"/>
      <c r="E617" s="249">
        <v>1430.95</v>
      </c>
      <c r="F617" s="249">
        <v>0</v>
      </c>
      <c r="G617" s="266">
        <f>Tabla3[[#This Row],[INGRESOS]]-Tabla3[[#This Row],[EGRESOS]]</f>
        <v>-1430.95</v>
      </c>
      <c r="H617" s="137">
        <v>-2377758.38</v>
      </c>
      <c r="I617" s="119">
        <v>1140</v>
      </c>
      <c r="J617" s="99">
        <f>Tabla3[[#This Row],[EGRESOS]]/Tabla3[[#This Row],[TC]]</f>
        <v>1.2552192982456141</v>
      </c>
      <c r="K617" s="99">
        <f>Tabla3[[#This Row],[INGRESOS]]/Tabla3[[#This Row],[TC]]</f>
        <v>0</v>
      </c>
      <c r="L617" s="7" t="s">
        <v>376</v>
      </c>
      <c r="M617" s="7" t="s">
        <v>377</v>
      </c>
      <c r="N617" s="7" t="s">
        <v>28</v>
      </c>
      <c r="O617" s="7" t="s">
        <v>184</v>
      </c>
      <c r="P617" s="8" t="s">
        <v>195</v>
      </c>
      <c r="Q617" s="7" t="s">
        <v>196</v>
      </c>
      <c r="R617" s="7" t="s">
        <v>423</v>
      </c>
      <c r="S617" s="7" t="s">
        <v>69</v>
      </c>
      <c r="T617" s="7"/>
      <c r="U617" s="7" t="s">
        <v>384</v>
      </c>
      <c r="V617" s="7"/>
      <c r="W617" s="8" t="s">
        <v>380</v>
      </c>
      <c r="X617" s="7" t="s">
        <v>99</v>
      </c>
      <c r="Y617" s="7" t="s">
        <v>23</v>
      </c>
    </row>
    <row r="618" spans="1:25" hidden="1" x14ac:dyDescent="0.25">
      <c r="A618" s="247" t="s">
        <v>312</v>
      </c>
      <c r="B618" s="248">
        <v>45691</v>
      </c>
      <c r="C618" s="244" t="s">
        <v>273</v>
      </c>
      <c r="D618" s="244"/>
      <c r="E618" s="249">
        <v>6260.43</v>
      </c>
      <c r="F618" s="249">
        <v>0</v>
      </c>
      <c r="G618" s="266">
        <f>Tabla3[[#This Row],[INGRESOS]]-Tabla3[[#This Row],[EGRESOS]]</f>
        <v>-6260.43</v>
      </c>
      <c r="H618" s="266">
        <v>-2384018.81</v>
      </c>
      <c r="I618" s="119">
        <v>1140</v>
      </c>
      <c r="J618" s="99">
        <f>Tabla3[[#This Row],[EGRESOS]]/Tabla3[[#This Row],[TC]]</f>
        <v>5.4916052631578953</v>
      </c>
      <c r="K618" s="99">
        <f>Tabla3[[#This Row],[INGRESOS]]/Tabla3[[#This Row],[TC]]</f>
        <v>0</v>
      </c>
      <c r="L618" s="7" t="s">
        <v>376</v>
      </c>
      <c r="M618" s="7" t="s">
        <v>377</v>
      </c>
      <c r="N618" s="7" t="s">
        <v>28</v>
      </c>
      <c r="O618" s="7" t="s">
        <v>184</v>
      </c>
      <c r="P618" s="8" t="s">
        <v>195</v>
      </c>
      <c r="Q618" s="7" t="s">
        <v>196</v>
      </c>
      <c r="R618" s="7" t="s">
        <v>382</v>
      </c>
      <c r="S618" s="7" t="s">
        <v>383</v>
      </c>
      <c r="T618" s="7"/>
      <c r="U618" s="7" t="s">
        <v>384</v>
      </c>
      <c r="V618" s="7"/>
      <c r="W618" s="7" t="s">
        <v>380</v>
      </c>
      <c r="X618" s="7" t="s">
        <v>99</v>
      </c>
      <c r="Y618" s="7" t="s">
        <v>23</v>
      </c>
    </row>
    <row r="619" spans="1:25" hidden="1" x14ac:dyDescent="0.25">
      <c r="A619" s="247" t="s">
        <v>312</v>
      </c>
      <c r="B619" s="248">
        <v>45691</v>
      </c>
      <c r="C619" s="244" t="s">
        <v>564</v>
      </c>
      <c r="D619" s="244"/>
      <c r="E619" s="249">
        <v>894.35</v>
      </c>
      <c r="F619" s="249">
        <v>0</v>
      </c>
      <c r="G619" s="266">
        <f>Tabla3[[#This Row],[INGRESOS]]-Tabla3[[#This Row],[EGRESOS]]</f>
        <v>-894.35</v>
      </c>
      <c r="H619" s="266">
        <v>-2384913.16</v>
      </c>
      <c r="I619" s="119">
        <v>1140</v>
      </c>
      <c r="J619" s="99">
        <f>Tabla3[[#This Row],[EGRESOS]]/Tabla3[[#This Row],[TC]]</f>
        <v>0.78451754385964911</v>
      </c>
      <c r="K619" s="99">
        <f>Tabla3[[#This Row],[INGRESOS]]/Tabla3[[#This Row],[TC]]</f>
        <v>0</v>
      </c>
      <c r="L619" s="7" t="s">
        <v>376</v>
      </c>
      <c r="M619" s="7" t="s">
        <v>377</v>
      </c>
      <c r="N619" s="7" t="s">
        <v>28</v>
      </c>
      <c r="O619" s="7" t="s">
        <v>184</v>
      </c>
      <c r="P619" s="8" t="s">
        <v>195</v>
      </c>
      <c r="Q619" s="7" t="s">
        <v>196</v>
      </c>
      <c r="R619" s="7" t="s">
        <v>417</v>
      </c>
      <c r="S619" s="7" t="s">
        <v>383</v>
      </c>
      <c r="T619" s="7"/>
      <c r="U619" s="7" t="s">
        <v>384</v>
      </c>
      <c r="V619" s="7"/>
      <c r="W619" s="8" t="s">
        <v>380</v>
      </c>
      <c r="X619" s="7" t="s">
        <v>99</v>
      </c>
      <c r="Y619" s="7" t="s">
        <v>23</v>
      </c>
    </row>
    <row r="620" spans="1:25" hidden="1" x14ac:dyDescent="0.25">
      <c r="A620" s="247" t="s">
        <v>312</v>
      </c>
      <c r="B620" s="248">
        <v>45691</v>
      </c>
      <c r="C620" s="244" t="s">
        <v>566</v>
      </c>
      <c r="D620" s="244"/>
      <c r="E620" s="249">
        <v>409.25</v>
      </c>
      <c r="F620" s="249">
        <v>0</v>
      </c>
      <c r="G620" s="266">
        <f>Tabla3[[#This Row],[INGRESOS]]-Tabla3[[#This Row],[EGRESOS]]</f>
        <v>-409.25</v>
      </c>
      <c r="H620" s="266">
        <v>-2385322.41</v>
      </c>
      <c r="I620" s="119">
        <v>1140</v>
      </c>
      <c r="J620" s="99">
        <f>Tabla3[[#This Row],[EGRESOS]]/Tabla3[[#This Row],[TC]]</f>
        <v>0.35899122807017542</v>
      </c>
      <c r="K620" s="99">
        <f>Tabla3[[#This Row],[INGRESOS]]/Tabla3[[#This Row],[TC]]</f>
        <v>0</v>
      </c>
      <c r="L620" s="7" t="s">
        <v>376</v>
      </c>
      <c r="M620" s="7" t="s">
        <v>377</v>
      </c>
      <c r="N620" s="7" t="s">
        <v>28</v>
      </c>
      <c r="O620" s="7" t="s">
        <v>184</v>
      </c>
      <c r="P620" s="8" t="s">
        <v>195</v>
      </c>
      <c r="Q620" s="7" t="s">
        <v>196</v>
      </c>
      <c r="R620" s="7" t="s">
        <v>394</v>
      </c>
      <c r="S620" s="7" t="s">
        <v>383</v>
      </c>
      <c r="T620" s="7"/>
      <c r="U620" s="7" t="s">
        <v>384</v>
      </c>
      <c r="V620" s="7"/>
      <c r="W620" s="7" t="s">
        <v>380</v>
      </c>
      <c r="X620" s="7" t="s">
        <v>99</v>
      </c>
      <c r="Y620" s="7" t="s">
        <v>23</v>
      </c>
    </row>
    <row r="621" spans="1:25" hidden="1" x14ac:dyDescent="0.25">
      <c r="A621" s="247" t="s">
        <v>312</v>
      </c>
      <c r="B621" s="248">
        <v>45713</v>
      </c>
      <c r="C621" s="244" t="s">
        <v>577</v>
      </c>
      <c r="D621" s="244" t="s">
        <v>578</v>
      </c>
      <c r="E621" s="249">
        <v>1550000</v>
      </c>
      <c r="F621" s="249">
        <v>0</v>
      </c>
      <c r="G621" s="266">
        <f>Tabla3[[#This Row],[INGRESOS]]-Tabla3[[#This Row],[EGRESOS]]</f>
        <v>-1550000</v>
      </c>
      <c r="H621" s="266">
        <v>-3935322.41</v>
      </c>
      <c r="I621" s="119">
        <v>1140</v>
      </c>
      <c r="J621" s="99">
        <f>Tabla3[[#This Row],[EGRESOS]]/Tabla3[[#This Row],[TC]]</f>
        <v>1359.6491228070176</v>
      </c>
      <c r="K621" s="99">
        <f>Tabla3[[#This Row],[INGRESOS]]/Tabla3[[#This Row],[TC]]</f>
        <v>0</v>
      </c>
      <c r="L621" s="7" t="s">
        <v>376</v>
      </c>
      <c r="M621" s="7" t="s">
        <v>377</v>
      </c>
      <c r="N621" s="7" t="s">
        <v>28</v>
      </c>
      <c r="O621" s="7" t="s">
        <v>225</v>
      </c>
      <c r="P621" s="8" t="s">
        <v>226</v>
      </c>
      <c r="Q621" s="7" t="s">
        <v>228</v>
      </c>
      <c r="R621" s="7"/>
      <c r="S621" s="7" t="s">
        <v>505</v>
      </c>
      <c r="T621" s="7"/>
      <c r="U621" s="7" t="s">
        <v>403</v>
      </c>
      <c r="V621" s="7"/>
      <c r="W621" s="8" t="s">
        <v>380</v>
      </c>
      <c r="X621" s="7" t="s">
        <v>50</v>
      </c>
      <c r="Y621" s="7" t="s">
        <v>23</v>
      </c>
    </row>
    <row r="622" spans="1:25" hidden="1" x14ac:dyDescent="0.25">
      <c r="A622" s="247" t="s">
        <v>312</v>
      </c>
      <c r="B622" s="248">
        <v>45713</v>
      </c>
      <c r="C622" s="244" t="s">
        <v>566</v>
      </c>
      <c r="D622" s="244"/>
      <c r="E622" s="249">
        <v>9300</v>
      </c>
      <c r="F622" s="249">
        <v>0</v>
      </c>
      <c r="G622" s="266">
        <f>Tabla3[[#This Row],[INGRESOS]]-Tabla3[[#This Row],[EGRESOS]]</f>
        <v>-9300</v>
      </c>
      <c r="H622" s="266">
        <v>-3944622.41</v>
      </c>
      <c r="I622" s="119">
        <v>1140</v>
      </c>
      <c r="J622" s="99">
        <f>Tabla3[[#This Row],[EGRESOS]]/Tabla3[[#This Row],[TC]]</f>
        <v>8.1578947368421044</v>
      </c>
      <c r="K622" s="99">
        <f>Tabla3[[#This Row],[INGRESOS]]/Tabla3[[#This Row],[TC]]</f>
        <v>0</v>
      </c>
      <c r="L622" s="7" t="s">
        <v>376</v>
      </c>
      <c r="M622" s="7" t="s">
        <v>377</v>
      </c>
      <c r="N622" s="7" t="s">
        <v>28</v>
      </c>
      <c r="O622" s="7" t="s">
        <v>184</v>
      </c>
      <c r="P622" s="8" t="s">
        <v>195</v>
      </c>
      <c r="Q622" s="7" t="s">
        <v>196</v>
      </c>
      <c r="R622" s="7" t="s">
        <v>394</v>
      </c>
      <c r="S622" s="7" t="s">
        <v>383</v>
      </c>
      <c r="T622" s="7"/>
      <c r="U622" s="7" t="s">
        <v>384</v>
      </c>
      <c r="V622" s="7"/>
      <c r="W622" s="7" t="s">
        <v>380</v>
      </c>
      <c r="X622" s="7" t="s">
        <v>99</v>
      </c>
      <c r="Y622" s="7" t="s">
        <v>23</v>
      </c>
    </row>
    <row r="623" spans="1:25" hidden="1" x14ac:dyDescent="0.25">
      <c r="A623" s="273" t="s">
        <v>312</v>
      </c>
      <c r="B623" s="251">
        <v>45714</v>
      </c>
      <c r="C623" s="252" t="s">
        <v>573</v>
      </c>
      <c r="D623" s="252"/>
      <c r="E623" s="253">
        <v>1500000</v>
      </c>
      <c r="F623" s="253">
        <v>0</v>
      </c>
      <c r="G623" s="274">
        <f>Tabla3[[#This Row],[INGRESOS]]-Tabla3[[#This Row],[EGRESOS]]</f>
        <v>-1500000</v>
      </c>
      <c r="H623" s="274">
        <v>-5444622.4100000001</v>
      </c>
      <c r="I623" s="135">
        <v>1140</v>
      </c>
      <c r="J623" s="136">
        <f>Tabla3[[#This Row],[EGRESOS]]/Tabla3[[#This Row],[TC]]</f>
        <v>1315.7894736842106</v>
      </c>
      <c r="K623" s="136">
        <f>Tabla3[[#This Row],[INGRESOS]]/Tabla3[[#This Row],[TC]]</f>
        <v>0</v>
      </c>
      <c r="L623" s="8" t="s">
        <v>376</v>
      </c>
      <c r="M623" s="8" t="s">
        <v>377</v>
      </c>
      <c r="N623" s="8" t="s">
        <v>28</v>
      </c>
      <c r="O623" s="8" t="s">
        <v>244</v>
      </c>
      <c r="P623" s="8" t="s">
        <v>259</v>
      </c>
      <c r="Q623" s="8" t="s">
        <v>260</v>
      </c>
      <c r="R623" s="8" t="s">
        <v>579</v>
      </c>
      <c r="S623" s="8"/>
      <c r="T623" s="8"/>
      <c r="U623" s="8" t="s">
        <v>379</v>
      </c>
      <c r="V623" s="8"/>
      <c r="W623" s="8" t="s">
        <v>380</v>
      </c>
      <c r="X623" s="8"/>
      <c r="Y623" s="8"/>
    </row>
    <row r="624" spans="1:25" hidden="1" x14ac:dyDescent="0.25">
      <c r="A624" s="273" t="s">
        <v>313</v>
      </c>
      <c r="B624" s="251">
        <v>45721</v>
      </c>
      <c r="C624" s="252" t="s">
        <v>573</v>
      </c>
      <c r="D624" s="252"/>
      <c r="E624" s="253">
        <v>300000</v>
      </c>
      <c r="F624" s="253">
        <v>0</v>
      </c>
      <c r="G624" s="274">
        <f>Tabla3[[#This Row],[INGRESOS]]-Tabla3[[#This Row],[EGRESOS]]</f>
        <v>-300000</v>
      </c>
      <c r="H624" s="274">
        <v>-5744622.4100000001</v>
      </c>
      <c r="I624" s="135">
        <v>1140</v>
      </c>
      <c r="J624" s="136">
        <f>Tabla3[[#This Row],[EGRESOS]]/Tabla3[[#This Row],[TC]]</f>
        <v>263.15789473684208</v>
      </c>
      <c r="K624" s="136">
        <f>Tabla3[[#This Row],[INGRESOS]]/Tabla3[[#This Row],[TC]]</f>
        <v>0</v>
      </c>
      <c r="L624" s="8" t="s">
        <v>376</v>
      </c>
      <c r="M624" s="8" t="s">
        <v>377</v>
      </c>
      <c r="N624" s="8" t="s">
        <v>28</v>
      </c>
      <c r="O624" s="8" t="s">
        <v>244</v>
      </c>
      <c r="P624" s="8" t="s">
        <v>259</v>
      </c>
      <c r="Q624" s="8" t="s">
        <v>260</v>
      </c>
      <c r="R624" s="8" t="s">
        <v>393</v>
      </c>
      <c r="S624" s="8"/>
      <c r="T624" s="8"/>
      <c r="U624" s="8" t="s">
        <v>379</v>
      </c>
      <c r="V624" s="8"/>
      <c r="W624" s="7" t="s">
        <v>380</v>
      </c>
      <c r="X624" s="8"/>
      <c r="Y624" s="8"/>
    </row>
    <row r="625" spans="1:25" hidden="1" x14ac:dyDescent="0.25">
      <c r="A625" s="273" t="s">
        <v>313</v>
      </c>
      <c r="B625" s="251">
        <v>45721</v>
      </c>
      <c r="C625" s="252" t="s">
        <v>573</v>
      </c>
      <c r="D625" s="252"/>
      <c r="E625" s="253">
        <v>1400000</v>
      </c>
      <c r="F625" s="253">
        <v>0</v>
      </c>
      <c r="G625" s="274">
        <f>Tabla3[[#This Row],[INGRESOS]]-Tabla3[[#This Row],[EGRESOS]]</f>
        <v>-1400000</v>
      </c>
      <c r="H625" s="274">
        <v>-7144622.4100000001</v>
      </c>
      <c r="I625" s="135">
        <v>1140</v>
      </c>
      <c r="J625" s="136">
        <f>Tabla3[[#This Row],[EGRESOS]]/Tabla3[[#This Row],[TC]]</f>
        <v>1228.0701754385964</v>
      </c>
      <c r="K625" s="136">
        <f>Tabla3[[#This Row],[INGRESOS]]/Tabla3[[#This Row],[TC]]</f>
        <v>0</v>
      </c>
      <c r="L625" s="8" t="s">
        <v>376</v>
      </c>
      <c r="M625" s="8" t="s">
        <v>377</v>
      </c>
      <c r="N625" s="8" t="s">
        <v>28</v>
      </c>
      <c r="O625" s="8" t="s">
        <v>244</v>
      </c>
      <c r="P625" s="8" t="s">
        <v>259</v>
      </c>
      <c r="Q625" s="8" t="s">
        <v>260</v>
      </c>
      <c r="R625" s="8" t="s">
        <v>393</v>
      </c>
      <c r="S625" s="8"/>
      <c r="T625" s="8"/>
      <c r="U625" s="8" t="s">
        <v>379</v>
      </c>
      <c r="V625" s="8"/>
      <c r="W625" s="8" t="s">
        <v>380</v>
      </c>
      <c r="X625" s="8"/>
      <c r="Y625" s="8"/>
    </row>
    <row r="626" spans="1:25" hidden="1" x14ac:dyDescent="0.25">
      <c r="A626" s="273" t="s">
        <v>313</v>
      </c>
      <c r="B626" s="251">
        <v>45721</v>
      </c>
      <c r="C626" s="252" t="s">
        <v>565</v>
      </c>
      <c r="D626" s="252"/>
      <c r="E626" s="253">
        <v>42000</v>
      </c>
      <c r="F626" s="253">
        <v>0</v>
      </c>
      <c r="G626" s="274">
        <f>Tabla3[[#This Row],[INGRESOS]]-Tabla3[[#This Row],[EGRESOS]]</f>
        <v>-42000</v>
      </c>
      <c r="H626" s="274">
        <v>-7186622.4100000001</v>
      </c>
      <c r="I626" s="135">
        <v>1140</v>
      </c>
      <c r="J626" s="136">
        <f>Tabla3[[#This Row],[EGRESOS]]/Tabla3[[#This Row],[TC]]</f>
        <v>36.842105263157897</v>
      </c>
      <c r="K626" s="136">
        <f>Tabla3[[#This Row],[INGRESOS]]/Tabla3[[#This Row],[TC]]</f>
        <v>0</v>
      </c>
      <c r="L626" s="8" t="s">
        <v>376</v>
      </c>
      <c r="M626" s="8" t="s">
        <v>377</v>
      </c>
      <c r="N626" s="8" t="s">
        <v>28</v>
      </c>
      <c r="O626" s="8" t="s">
        <v>184</v>
      </c>
      <c r="P626" s="8" t="s">
        <v>185</v>
      </c>
      <c r="Q626" s="8" t="s">
        <v>186</v>
      </c>
      <c r="R626" s="8" t="s">
        <v>227</v>
      </c>
      <c r="S626" s="8"/>
      <c r="T626" s="8"/>
      <c r="U626" s="8" t="s">
        <v>384</v>
      </c>
      <c r="V626" s="8"/>
      <c r="W626" s="7" t="s">
        <v>380</v>
      </c>
      <c r="X626" s="8" t="s">
        <v>99</v>
      </c>
      <c r="Y626" s="8" t="s">
        <v>23</v>
      </c>
    </row>
    <row r="627" spans="1:25" hidden="1" x14ac:dyDescent="0.25">
      <c r="A627" s="273" t="s">
        <v>313</v>
      </c>
      <c r="B627" s="251">
        <v>45721</v>
      </c>
      <c r="C627" s="252" t="s">
        <v>273</v>
      </c>
      <c r="D627" s="252"/>
      <c r="E627" s="253">
        <v>8820</v>
      </c>
      <c r="F627" s="253">
        <v>0</v>
      </c>
      <c r="G627" s="274">
        <f>Tabla3[[#This Row],[INGRESOS]]-Tabla3[[#This Row],[EGRESOS]]</f>
        <v>-8820</v>
      </c>
      <c r="H627" s="274">
        <v>-7195442.4100000001</v>
      </c>
      <c r="I627" s="135">
        <v>1140</v>
      </c>
      <c r="J627" s="136">
        <f>Tabla3[[#This Row],[EGRESOS]]/Tabla3[[#This Row],[TC]]</f>
        <v>7.7368421052631575</v>
      </c>
      <c r="K627" s="136">
        <f>Tabla3[[#This Row],[INGRESOS]]/Tabla3[[#This Row],[TC]]</f>
        <v>0</v>
      </c>
      <c r="L627" s="8" t="s">
        <v>376</v>
      </c>
      <c r="M627" s="8" t="s">
        <v>377</v>
      </c>
      <c r="N627" s="8" t="s">
        <v>28</v>
      </c>
      <c r="O627" s="8" t="s">
        <v>184</v>
      </c>
      <c r="P627" s="8" t="s">
        <v>195</v>
      </c>
      <c r="Q627" s="8" t="s">
        <v>196</v>
      </c>
      <c r="R627" s="8" t="s">
        <v>273</v>
      </c>
      <c r="S627" s="8" t="s">
        <v>383</v>
      </c>
      <c r="T627" s="8"/>
      <c r="U627" s="8" t="s">
        <v>384</v>
      </c>
      <c r="V627" s="8"/>
      <c r="W627" s="8" t="s">
        <v>380</v>
      </c>
      <c r="X627" s="8" t="s">
        <v>99</v>
      </c>
      <c r="Y627" s="8" t="s">
        <v>23</v>
      </c>
    </row>
    <row r="628" spans="1:25" hidden="1" x14ac:dyDescent="0.25">
      <c r="A628" s="273" t="s">
        <v>313</v>
      </c>
      <c r="B628" s="251">
        <v>45721</v>
      </c>
      <c r="C628" s="252" t="s">
        <v>564</v>
      </c>
      <c r="D628" s="252"/>
      <c r="E628" s="253">
        <v>1260</v>
      </c>
      <c r="F628" s="253">
        <v>0</v>
      </c>
      <c r="G628" s="274">
        <f>Tabla3[[#This Row],[INGRESOS]]-Tabla3[[#This Row],[EGRESOS]]</f>
        <v>-1260</v>
      </c>
      <c r="H628" s="274">
        <v>-7196702.4100000001</v>
      </c>
      <c r="I628" s="135">
        <v>1140</v>
      </c>
      <c r="J628" s="136">
        <f>Tabla3[[#This Row],[EGRESOS]]/Tabla3[[#This Row],[TC]]</f>
        <v>1.1052631578947369</v>
      </c>
      <c r="K628" s="136">
        <f>Tabla3[[#This Row],[INGRESOS]]/Tabla3[[#This Row],[TC]]</f>
        <v>0</v>
      </c>
      <c r="L628" s="8" t="s">
        <v>376</v>
      </c>
      <c r="M628" s="8" t="s">
        <v>377</v>
      </c>
      <c r="N628" s="8" t="s">
        <v>28</v>
      </c>
      <c r="O628" s="8" t="s">
        <v>184</v>
      </c>
      <c r="P628" s="8" t="s">
        <v>195</v>
      </c>
      <c r="Q628" s="8" t="s">
        <v>196</v>
      </c>
      <c r="R628" s="8" t="s">
        <v>417</v>
      </c>
      <c r="S628" s="8" t="s">
        <v>383</v>
      </c>
      <c r="T628" s="8"/>
      <c r="U628" s="8" t="s">
        <v>384</v>
      </c>
      <c r="V628" s="8"/>
      <c r="W628" s="7" t="s">
        <v>380</v>
      </c>
      <c r="X628" s="8" t="s">
        <v>99</v>
      </c>
      <c r="Y628" s="8" t="s">
        <v>23</v>
      </c>
    </row>
    <row r="629" spans="1:25" hidden="1" x14ac:dyDescent="0.25">
      <c r="A629" s="273" t="s">
        <v>313</v>
      </c>
      <c r="B629" s="251">
        <v>45721</v>
      </c>
      <c r="C629" s="252" t="s">
        <v>580</v>
      </c>
      <c r="D629" s="252"/>
      <c r="E629" s="253">
        <v>1100</v>
      </c>
      <c r="F629" s="253">
        <v>0</v>
      </c>
      <c r="G629" s="274">
        <f>Tabla3[[#This Row],[INGRESOS]]-Tabla3[[#This Row],[EGRESOS]]</f>
        <v>-1100</v>
      </c>
      <c r="H629" s="274">
        <v>-7197802.4100000001</v>
      </c>
      <c r="I629" s="135">
        <v>1140</v>
      </c>
      <c r="J629" s="136">
        <f>Tabla3[[#This Row],[EGRESOS]]/Tabla3[[#This Row],[TC]]</f>
        <v>0.96491228070175439</v>
      </c>
      <c r="K629" s="136">
        <f>Tabla3[[#This Row],[INGRESOS]]/Tabla3[[#This Row],[TC]]</f>
        <v>0</v>
      </c>
      <c r="L629" s="8" t="s">
        <v>376</v>
      </c>
      <c r="M629" s="8" t="s">
        <v>377</v>
      </c>
      <c r="N629" s="8" t="s">
        <v>28</v>
      </c>
      <c r="O629" s="8" t="s">
        <v>184</v>
      </c>
      <c r="P629" s="8" t="s">
        <v>185</v>
      </c>
      <c r="Q629" s="8" t="s">
        <v>186</v>
      </c>
      <c r="R629" s="8" t="s">
        <v>227</v>
      </c>
      <c r="S629" s="8"/>
      <c r="T629" s="8"/>
      <c r="U629" s="8" t="s">
        <v>384</v>
      </c>
      <c r="V629" s="8"/>
      <c r="W629" s="8" t="s">
        <v>380</v>
      </c>
      <c r="X629" s="8" t="s">
        <v>99</v>
      </c>
      <c r="Y629" s="8" t="s">
        <v>23</v>
      </c>
    </row>
    <row r="630" spans="1:25" hidden="1" x14ac:dyDescent="0.25">
      <c r="A630" s="273" t="s">
        <v>313</v>
      </c>
      <c r="B630" s="251">
        <v>45721</v>
      </c>
      <c r="C630" s="252" t="s">
        <v>273</v>
      </c>
      <c r="D630" s="252"/>
      <c r="E630" s="253">
        <v>231</v>
      </c>
      <c r="F630" s="253">
        <v>0</v>
      </c>
      <c r="G630" s="274">
        <f>Tabla3[[#This Row],[INGRESOS]]-Tabla3[[#This Row],[EGRESOS]]</f>
        <v>-231</v>
      </c>
      <c r="H630" s="274">
        <v>-7198033.4100000001</v>
      </c>
      <c r="I630" s="135">
        <v>1140</v>
      </c>
      <c r="J630" s="136">
        <f>Tabla3[[#This Row],[EGRESOS]]/Tabla3[[#This Row],[TC]]</f>
        <v>0.20263157894736841</v>
      </c>
      <c r="K630" s="136">
        <f>Tabla3[[#This Row],[INGRESOS]]/Tabla3[[#This Row],[TC]]</f>
        <v>0</v>
      </c>
      <c r="L630" s="8" t="s">
        <v>376</v>
      </c>
      <c r="M630" s="8" t="s">
        <v>377</v>
      </c>
      <c r="N630" s="8" t="s">
        <v>28</v>
      </c>
      <c r="O630" s="8" t="s">
        <v>184</v>
      </c>
      <c r="P630" s="8" t="s">
        <v>195</v>
      </c>
      <c r="Q630" s="8" t="s">
        <v>196</v>
      </c>
      <c r="R630" s="8" t="s">
        <v>273</v>
      </c>
      <c r="S630" s="8" t="s">
        <v>383</v>
      </c>
      <c r="T630" s="8"/>
      <c r="U630" s="8" t="s">
        <v>384</v>
      </c>
      <c r="V630" s="8"/>
      <c r="W630" s="7" t="s">
        <v>380</v>
      </c>
      <c r="X630" s="8" t="s">
        <v>99</v>
      </c>
      <c r="Y630" s="8" t="s">
        <v>23</v>
      </c>
    </row>
    <row r="631" spans="1:25" hidden="1" x14ac:dyDescent="0.25">
      <c r="A631" s="273" t="s">
        <v>313</v>
      </c>
      <c r="B631" s="251">
        <v>45721</v>
      </c>
      <c r="C631" s="252" t="s">
        <v>566</v>
      </c>
      <c r="D631" s="252"/>
      <c r="E631" s="253">
        <v>320.47000000000003</v>
      </c>
      <c r="F631" s="253">
        <v>0</v>
      </c>
      <c r="G631" s="274">
        <f>Tabla3[[#This Row],[INGRESOS]]-Tabla3[[#This Row],[EGRESOS]]</f>
        <v>-320.47000000000003</v>
      </c>
      <c r="H631" s="274">
        <v>-7198353.8799999999</v>
      </c>
      <c r="I631" s="135">
        <v>1140</v>
      </c>
      <c r="J631" s="136">
        <f>Tabla3[[#This Row],[EGRESOS]]/Tabla3[[#This Row],[TC]]</f>
        <v>0.28111403508771932</v>
      </c>
      <c r="K631" s="136">
        <f>Tabla3[[#This Row],[INGRESOS]]/Tabla3[[#This Row],[TC]]</f>
        <v>0</v>
      </c>
      <c r="L631" s="8" t="s">
        <v>376</v>
      </c>
      <c r="M631" s="8" t="s">
        <v>377</v>
      </c>
      <c r="N631" s="8" t="s">
        <v>28</v>
      </c>
      <c r="O631" s="8" t="s">
        <v>184</v>
      </c>
      <c r="P631" s="8" t="s">
        <v>195</v>
      </c>
      <c r="Q631" s="8" t="s">
        <v>196</v>
      </c>
      <c r="R631" s="8" t="s">
        <v>394</v>
      </c>
      <c r="S631" s="8" t="s">
        <v>383</v>
      </c>
      <c r="T631" s="8"/>
      <c r="U631" s="8" t="s">
        <v>384</v>
      </c>
      <c r="V631" s="8"/>
      <c r="W631" s="8" t="s">
        <v>380</v>
      </c>
      <c r="X631" s="8" t="s">
        <v>99</v>
      </c>
      <c r="Y631" s="8" t="s">
        <v>23</v>
      </c>
    </row>
    <row r="632" spans="1:25" hidden="1" x14ac:dyDescent="0.25">
      <c r="A632" s="387" t="s">
        <v>313</v>
      </c>
      <c r="B632" s="388">
        <v>45721</v>
      </c>
      <c r="C632" s="389" t="s">
        <v>567</v>
      </c>
      <c r="D632" s="389"/>
      <c r="E632" s="390">
        <v>105868.78</v>
      </c>
      <c r="F632" s="390">
        <v>0</v>
      </c>
      <c r="G632" s="336">
        <f>Tabla3[[#This Row],[INGRESOS]]-Tabla3[[#This Row],[EGRESOS]]</f>
        <v>-105868.78</v>
      </c>
      <c r="H632" s="336">
        <v>-7304222.6600000001</v>
      </c>
      <c r="I632" s="391">
        <v>1140</v>
      </c>
      <c r="J632" s="392">
        <f>Tabla3[[#This Row],[EGRESOS]]/Tabla3[[#This Row],[TC]]</f>
        <v>92.867350877192976</v>
      </c>
      <c r="K632" s="392">
        <f>Tabla3[[#This Row],[INGRESOS]]/Tabla3[[#This Row],[TC]]</f>
        <v>0</v>
      </c>
      <c r="L632" s="393" t="s">
        <v>376</v>
      </c>
      <c r="M632" s="393" t="s">
        <v>377</v>
      </c>
      <c r="N632" s="393" t="s">
        <v>28</v>
      </c>
      <c r="O632" s="393" t="s">
        <v>184</v>
      </c>
      <c r="P632" s="393" t="s">
        <v>197</v>
      </c>
      <c r="Q632" s="393" t="s">
        <v>198</v>
      </c>
      <c r="R632" s="393" t="s">
        <v>419</v>
      </c>
      <c r="S632" s="393"/>
      <c r="T632" s="393"/>
      <c r="U632" s="393" t="s">
        <v>384</v>
      </c>
      <c r="V632" s="393"/>
      <c r="W632" s="7" t="s">
        <v>380</v>
      </c>
      <c r="X632" s="393" t="s">
        <v>99</v>
      </c>
      <c r="Y632" s="393" t="s">
        <v>23</v>
      </c>
    </row>
    <row r="633" spans="1:25" hidden="1" x14ac:dyDescent="0.25">
      <c r="A633" s="273" t="s">
        <v>313</v>
      </c>
      <c r="B633" s="251">
        <v>45721</v>
      </c>
      <c r="C633" s="252" t="s">
        <v>463</v>
      </c>
      <c r="D633" s="252"/>
      <c r="E633" s="253">
        <v>2540.85</v>
      </c>
      <c r="F633" s="253">
        <v>0</v>
      </c>
      <c r="G633" s="274">
        <f>Tabla3[[#This Row],[INGRESOS]]-Tabla3[[#This Row],[EGRESOS]]</f>
        <v>-2540.85</v>
      </c>
      <c r="H633" s="274">
        <v>-7306763.5099999998</v>
      </c>
      <c r="I633" s="135">
        <v>1140</v>
      </c>
      <c r="J633" s="136">
        <f>Tabla3[[#This Row],[EGRESOS]]/Tabla3[[#This Row],[TC]]</f>
        <v>2.2288157894736842</v>
      </c>
      <c r="K633" s="136">
        <f>Tabla3[[#This Row],[INGRESOS]]/Tabla3[[#This Row],[TC]]</f>
        <v>0</v>
      </c>
      <c r="L633" s="8" t="s">
        <v>376</v>
      </c>
      <c r="M633" s="8" t="s">
        <v>377</v>
      </c>
      <c r="N633" s="8" t="s">
        <v>28</v>
      </c>
      <c r="O633" s="8" t="s">
        <v>184</v>
      </c>
      <c r="P633" s="8" t="s">
        <v>195</v>
      </c>
      <c r="Q633" s="8" t="s">
        <v>196</v>
      </c>
      <c r="R633" s="8" t="s">
        <v>423</v>
      </c>
      <c r="S633" s="8" t="s">
        <v>69</v>
      </c>
      <c r="T633" s="8"/>
      <c r="U633" s="8" t="s">
        <v>384</v>
      </c>
      <c r="V633" s="8"/>
      <c r="W633" s="8" t="s">
        <v>380</v>
      </c>
      <c r="X633" s="8" t="s">
        <v>99</v>
      </c>
      <c r="Y633" s="8" t="s">
        <v>23</v>
      </c>
    </row>
    <row r="634" spans="1:25" hidden="1" x14ac:dyDescent="0.25">
      <c r="A634" s="273" t="s">
        <v>313</v>
      </c>
      <c r="B634" s="251">
        <v>45721</v>
      </c>
      <c r="C634" s="252" t="s">
        <v>273</v>
      </c>
      <c r="D634" s="252"/>
      <c r="E634" s="253">
        <v>11116.22</v>
      </c>
      <c r="F634" s="253">
        <v>0</v>
      </c>
      <c r="G634" s="274">
        <f>Tabla3[[#This Row],[INGRESOS]]-Tabla3[[#This Row],[EGRESOS]]</f>
        <v>-11116.22</v>
      </c>
      <c r="H634" s="274">
        <v>-7317879.7300000004</v>
      </c>
      <c r="I634" s="135">
        <v>1140</v>
      </c>
      <c r="J634" s="136">
        <f>Tabla3[[#This Row],[EGRESOS]]/Tabla3[[#This Row],[TC]]</f>
        <v>9.7510701754385956</v>
      </c>
      <c r="K634" s="136">
        <f>Tabla3[[#This Row],[INGRESOS]]/Tabla3[[#This Row],[TC]]</f>
        <v>0</v>
      </c>
      <c r="L634" s="8" t="s">
        <v>376</v>
      </c>
      <c r="M634" s="8" t="s">
        <v>377</v>
      </c>
      <c r="N634" s="8" t="s">
        <v>28</v>
      </c>
      <c r="O634" s="8" t="s">
        <v>184</v>
      </c>
      <c r="P634" s="8" t="s">
        <v>195</v>
      </c>
      <c r="Q634" s="8" t="s">
        <v>196</v>
      </c>
      <c r="R634" s="8" t="s">
        <v>273</v>
      </c>
      <c r="S634" s="8" t="s">
        <v>383</v>
      </c>
      <c r="T634" s="8"/>
      <c r="U634" s="8" t="s">
        <v>384</v>
      </c>
      <c r="V634" s="8"/>
      <c r="W634" s="7" t="s">
        <v>380</v>
      </c>
      <c r="X634" s="8" t="s">
        <v>99</v>
      </c>
      <c r="Y634" s="8" t="s">
        <v>23</v>
      </c>
    </row>
    <row r="635" spans="1:25" hidden="1" x14ac:dyDescent="0.25">
      <c r="A635" s="273" t="s">
        <v>313</v>
      </c>
      <c r="B635" s="251">
        <v>45721</v>
      </c>
      <c r="C635" s="252" t="s">
        <v>564</v>
      </c>
      <c r="D635" s="252"/>
      <c r="E635" s="253">
        <v>1588.03</v>
      </c>
      <c r="F635" s="253">
        <v>0</v>
      </c>
      <c r="G635" s="274">
        <f>Tabla3[[#This Row],[INGRESOS]]-Tabla3[[#This Row],[EGRESOS]]</f>
        <v>-1588.03</v>
      </c>
      <c r="H635" s="274">
        <v>-7319467.7599999998</v>
      </c>
      <c r="I635" s="135">
        <v>1140</v>
      </c>
      <c r="J635" s="136">
        <f>Tabla3[[#This Row],[EGRESOS]]/Tabla3[[#This Row],[TC]]</f>
        <v>1.3930087719298245</v>
      </c>
      <c r="K635" s="136">
        <f>Tabla3[[#This Row],[INGRESOS]]/Tabla3[[#This Row],[TC]]</f>
        <v>0</v>
      </c>
      <c r="L635" s="8" t="s">
        <v>376</v>
      </c>
      <c r="M635" s="8" t="s">
        <v>377</v>
      </c>
      <c r="N635" s="8" t="s">
        <v>28</v>
      </c>
      <c r="O635" s="8" t="s">
        <v>184</v>
      </c>
      <c r="P635" s="8" t="s">
        <v>195</v>
      </c>
      <c r="Q635" s="8" t="s">
        <v>196</v>
      </c>
      <c r="R635" s="8" t="s">
        <v>417</v>
      </c>
      <c r="S635" s="8" t="s">
        <v>383</v>
      </c>
      <c r="T635" s="8"/>
      <c r="U635" s="8" t="s">
        <v>384</v>
      </c>
      <c r="V635" s="8"/>
      <c r="W635" s="8" t="s">
        <v>380</v>
      </c>
      <c r="X635" s="8" t="s">
        <v>99</v>
      </c>
      <c r="Y635" s="8" t="s">
        <v>23</v>
      </c>
    </row>
    <row r="636" spans="1:25" hidden="1" x14ac:dyDescent="0.25">
      <c r="A636" s="273" t="s">
        <v>313</v>
      </c>
      <c r="B636" s="251">
        <v>45721</v>
      </c>
      <c r="C636" s="252" t="s">
        <v>566</v>
      </c>
      <c r="D636" s="252"/>
      <c r="E636" s="253">
        <v>726.68</v>
      </c>
      <c r="F636" s="253">
        <v>0</v>
      </c>
      <c r="G636" s="274">
        <f>Tabla3[[#This Row],[INGRESOS]]-Tabla3[[#This Row],[EGRESOS]]</f>
        <v>-726.68</v>
      </c>
      <c r="H636" s="274">
        <v>-7320194.4400000004</v>
      </c>
      <c r="I636" s="135">
        <v>1140</v>
      </c>
      <c r="J636" s="136">
        <f>Tabla3[[#This Row],[EGRESOS]]/Tabla3[[#This Row],[TC]]</f>
        <v>0.63743859649122803</v>
      </c>
      <c r="K636" s="136">
        <f>Tabla3[[#This Row],[INGRESOS]]/Tabla3[[#This Row],[TC]]</f>
        <v>0</v>
      </c>
      <c r="L636" s="8" t="s">
        <v>376</v>
      </c>
      <c r="M636" s="8" t="s">
        <v>377</v>
      </c>
      <c r="N636" s="8" t="s">
        <v>28</v>
      </c>
      <c r="O636" s="8" t="s">
        <v>184</v>
      </c>
      <c r="P636" s="8" t="s">
        <v>195</v>
      </c>
      <c r="Q636" s="8" t="s">
        <v>196</v>
      </c>
      <c r="R636" s="8" t="s">
        <v>394</v>
      </c>
      <c r="S636" s="8" t="s">
        <v>383</v>
      </c>
      <c r="T636" s="8"/>
      <c r="U636" s="8" t="s">
        <v>384</v>
      </c>
      <c r="V636" s="8"/>
      <c r="W636" s="7" t="s">
        <v>380</v>
      </c>
      <c r="X636" s="8" t="s">
        <v>99</v>
      </c>
      <c r="Y636" s="8" t="s">
        <v>23</v>
      </c>
    </row>
    <row r="637" spans="1:25" hidden="1" x14ac:dyDescent="0.25">
      <c r="A637" s="273" t="s">
        <v>313</v>
      </c>
      <c r="B637" s="251">
        <v>45723</v>
      </c>
      <c r="C637" s="252" t="s">
        <v>577</v>
      </c>
      <c r="D637" s="252" t="s">
        <v>581</v>
      </c>
      <c r="E637" s="253">
        <v>453725</v>
      </c>
      <c r="F637" s="253">
        <v>0</v>
      </c>
      <c r="G637" s="274">
        <f>Tabla3[[#This Row],[INGRESOS]]-Tabla3[[#This Row],[EGRESOS]]</f>
        <v>-453725</v>
      </c>
      <c r="H637" s="274">
        <v>-7773919.4400000004</v>
      </c>
      <c r="I637" s="135">
        <v>1140</v>
      </c>
      <c r="J637" s="136">
        <f>Tabla3[[#This Row],[EGRESOS]]/Tabla3[[#This Row],[TC]]</f>
        <v>398.00438596491227</v>
      </c>
      <c r="K637" s="136">
        <f>Tabla3[[#This Row],[INGRESOS]]/Tabla3[[#This Row],[TC]]</f>
        <v>0</v>
      </c>
      <c r="L637" s="8" t="s">
        <v>376</v>
      </c>
      <c r="M637" s="8" t="s">
        <v>377</v>
      </c>
      <c r="N637" s="8" t="s">
        <v>28</v>
      </c>
      <c r="O637" s="8" t="s">
        <v>225</v>
      </c>
      <c r="P637" s="8" t="s">
        <v>236</v>
      </c>
      <c r="Q637" s="8" t="s">
        <v>214</v>
      </c>
      <c r="R637" s="8" t="s">
        <v>582</v>
      </c>
      <c r="S637" s="8" t="s">
        <v>583</v>
      </c>
      <c r="T637" s="8"/>
      <c r="U637" s="8" t="s">
        <v>412</v>
      </c>
      <c r="V637" s="8"/>
      <c r="W637" s="8" t="s">
        <v>380</v>
      </c>
      <c r="X637" s="8" t="s">
        <v>99</v>
      </c>
      <c r="Y637" s="8" t="s">
        <v>23</v>
      </c>
    </row>
    <row r="638" spans="1:25" hidden="1" x14ac:dyDescent="0.25">
      <c r="A638" s="273" t="s">
        <v>313</v>
      </c>
      <c r="B638" s="251">
        <v>45723</v>
      </c>
      <c r="C638" s="252" t="s">
        <v>584</v>
      </c>
      <c r="D638" s="252"/>
      <c r="E638" s="253">
        <v>0</v>
      </c>
      <c r="F638" s="253">
        <v>600000</v>
      </c>
      <c r="G638" s="274">
        <f>Tabla3[[#This Row],[INGRESOS]]-Tabla3[[#This Row],[EGRESOS]]</f>
        <v>600000</v>
      </c>
      <c r="H638" s="274">
        <v>-7173919.4400000004</v>
      </c>
      <c r="I638" s="135">
        <v>1140</v>
      </c>
      <c r="J638" s="136">
        <f>Tabla3[[#This Row],[EGRESOS]]/Tabla3[[#This Row],[TC]]</f>
        <v>0</v>
      </c>
      <c r="K638" s="136">
        <f>Tabla3[[#This Row],[INGRESOS]]/Tabla3[[#This Row],[TC]]</f>
        <v>526.31578947368416</v>
      </c>
      <c r="L638" s="8" t="s">
        <v>376</v>
      </c>
      <c r="M638" s="8" t="s">
        <v>377</v>
      </c>
      <c r="N638" s="8" t="s">
        <v>28</v>
      </c>
      <c r="O638" s="8" t="s">
        <v>244</v>
      </c>
      <c r="P638" s="8" t="s">
        <v>259</v>
      </c>
      <c r="Q638" s="8" t="s">
        <v>260</v>
      </c>
      <c r="R638" s="8" t="s">
        <v>474</v>
      </c>
      <c r="S638" s="8"/>
      <c r="T638" s="8"/>
      <c r="U638" s="8" t="s">
        <v>379</v>
      </c>
      <c r="V638" s="8"/>
      <c r="W638" s="7" t="s">
        <v>380</v>
      </c>
      <c r="X638" s="8"/>
      <c r="Y638" s="8"/>
    </row>
    <row r="639" spans="1:25" hidden="1" x14ac:dyDescent="0.25">
      <c r="A639" s="273" t="s">
        <v>313</v>
      </c>
      <c r="B639" s="251">
        <v>45723</v>
      </c>
      <c r="C639" s="252" t="s">
        <v>566</v>
      </c>
      <c r="D639" s="252"/>
      <c r="E639" s="253">
        <v>2722.35</v>
      </c>
      <c r="F639" s="253">
        <v>0</v>
      </c>
      <c r="G639" s="274">
        <f>Tabla3[[#This Row],[INGRESOS]]-Tabla3[[#This Row],[EGRESOS]]</f>
        <v>-2722.35</v>
      </c>
      <c r="H639" s="274">
        <v>-7176641.79</v>
      </c>
      <c r="I639" s="135">
        <v>1140</v>
      </c>
      <c r="J639" s="136">
        <f>Tabla3[[#This Row],[EGRESOS]]/Tabla3[[#This Row],[TC]]</f>
        <v>2.3880263157894737</v>
      </c>
      <c r="K639" s="136">
        <f>Tabla3[[#This Row],[INGRESOS]]/Tabla3[[#This Row],[TC]]</f>
        <v>0</v>
      </c>
      <c r="L639" s="8" t="s">
        <v>376</v>
      </c>
      <c r="M639" s="8" t="s">
        <v>377</v>
      </c>
      <c r="N639" s="8" t="s">
        <v>28</v>
      </c>
      <c r="O639" s="8" t="s">
        <v>184</v>
      </c>
      <c r="P639" s="8" t="s">
        <v>195</v>
      </c>
      <c r="Q639" s="8" t="s">
        <v>196</v>
      </c>
      <c r="R639" s="8" t="s">
        <v>382</v>
      </c>
      <c r="S639" s="8" t="s">
        <v>383</v>
      </c>
      <c r="T639" s="8"/>
      <c r="U639" s="8" t="s">
        <v>384</v>
      </c>
      <c r="V639" s="8"/>
      <c r="W639" s="8" t="s">
        <v>380</v>
      </c>
      <c r="X639" s="8" t="s">
        <v>99</v>
      </c>
      <c r="Y639" s="8" t="s">
        <v>23</v>
      </c>
    </row>
    <row r="640" spans="1:25" hidden="1" x14ac:dyDescent="0.25">
      <c r="A640" s="273" t="s">
        <v>313</v>
      </c>
      <c r="B640" s="251">
        <v>45726</v>
      </c>
      <c r="C640" s="252" t="s">
        <v>573</v>
      </c>
      <c r="D640" s="252"/>
      <c r="E640" s="253">
        <v>20000</v>
      </c>
      <c r="F640" s="253">
        <v>0</v>
      </c>
      <c r="G640" s="274">
        <f>Tabla3[[#This Row],[INGRESOS]]-Tabla3[[#This Row],[EGRESOS]]</f>
        <v>-20000</v>
      </c>
      <c r="H640" s="274">
        <v>-7196641.79</v>
      </c>
      <c r="I640" s="135">
        <v>1140</v>
      </c>
      <c r="J640" s="136">
        <f>Tabla3[[#This Row],[EGRESOS]]/Tabla3[[#This Row],[TC]]</f>
        <v>17.543859649122808</v>
      </c>
      <c r="K640" s="136">
        <f>Tabla3[[#This Row],[INGRESOS]]/Tabla3[[#This Row],[TC]]</f>
        <v>0</v>
      </c>
      <c r="L640" s="8" t="s">
        <v>376</v>
      </c>
      <c r="M640" s="8" t="s">
        <v>377</v>
      </c>
      <c r="N640" s="8" t="s">
        <v>28</v>
      </c>
      <c r="O640" s="8" t="s">
        <v>244</v>
      </c>
      <c r="P640" s="8" t="s">
        <v>259</v>
      </c>
      <c r="Q640" s="8" t="s">
        <v>260</v>
      </c>
      <c r="R640" s="8" t="s">
        <v>393</v>
      </c>
      <c r="S640" s="8"/>
      <c r="T640" s="8"/>
      <c r="U640" s="8" t="s">
        <v>379</v>
      </c>
      <c r="V640" s="8"/>
      <c r="W640" s="7" t="s">
        <v>380</v>
      </c>
      <c r="X640" s="8"/>
      <c r="Y640" s="8"/>
    </row>
    <row r="641" spans="1:25" hidden="1" x14ac:dyDescent="0.25">
      <c r="A641" s="273" t="s">
        <v>313</v>
      </c>
      <c r="B641" s="251">
        <v>45727</v>
      </c>
      <c r="C641" s="252" t="s">
        <v>577</v>
      </c>
      <c r="D641" s="252" t="s">
        <v>585</v>
      </c>
      <c r="E641" s="253">
        <v>87437.25</v>
      </c>
      <c r="F641" s="253">
        <v>0</v>
      </c>
      <c r="G641" s="274">
        <f>Tabla3[[#This Row],[INGRESOS]]-Tabla3[[#This Row],[EGRESOS]]</f>
        <v>-87437.25</v>
      </c>
      <c r="H641" s="274">
        <v>-7284079.04</v>
      </c>
      <c r="I641" s="135">
        <v>1140</v>
      </c>
      <c r="J641" s="136">
        <f>Tabla3[[#This Row],[EGRESOS]]/Tabla3[[#This Row],[TC]]</f>
        <v>76.699342105263156</v>
      </c>
      <c r="K641" s="136">
        <f>Tabla3[[#This Row],[INGRESOS]]/Tabla3[[#This Row],[TC]]</f>
        <v>0</v>
      </c>
      <c r="L641" s="8" t="s">
        <v>376</v>
      </c>
      <c r="M641" s="8" t="s">
        <v>377</v>
      </c>
      <c r="N641" s="8" t="s">
        <v>28</v>
      </c>
      <c r="O641" s="8" t="s">
        <v>225</v>
      </c>
      <c r="P641" s="8" t="s">
        <v>236</v>
      </c>
      <c r="Q641" s="8" t="s">
        <v>240</v>
      </c>
      <c r="R641" s="8"/>
      <c r="S641" s="8" t="s">
        <v>586</v>
      </c>
      <c r="T641" s="8" t="s">
        <v>587</v>
      </c>
      <c r="U641" s="8" t="s">
        <v>412</v>
      </c>
      <c r="V641" s="8"/>
      <c r="W641" s="8" t="s">
        <v>380</v>
      </c>
      <c r="X641" s="8" t="s">
        <v>29</v>
      </c>
      <c r="Y641" s="8" t="s">
        <v>23</v>
      </c>
    </row>
    <row r="642" spans="1:25" hidden="1" x14ac:dyDescent="0.25">
      <c r="A642" s="273" t="s">
        <v>313</v>
      </c>
      <c r="B642" s="251">
        <v>45727</v>
      </c>
      <c r="C642" s="252" t="s">
        <v>577</v>
      </c>
      <c r="D642" s="252" t="s">
        <v>588</v>
      </c>
      <c r="E642" s="253">
        <v>448263.38</v>
      </c>
      <c r="F642" s="253">
        <v>0</v>
      </c>
      <c r="G642" s="274">
        <f>Tabla3[[#This Row],[INGRESOS]]-Tabla3[[#This Row],[EGRESOS]]</f>
        <v>-448263.38</v>
      </c>
      <c r="H642" s="274">
        <v>-7644905.1699999999</v>
      </c>
      <c r="I642" s="135">
        <v>1140</v>
      </c>
      <c r="J642" s="136">
        <f>Tabla3[[#This Row],[EGRESOS]]/Tabla3[[#This Row],[TC]]</f>
        <v>393.21349122807015</v>
      </c>
      <c r="K642" s="136">
        <f>Tabla3[[#This Row],[INGRESOS]]/Tabla3[[#This Row],[TC]]</f>
        <v>0</v>
      </c>
      <c r="L642" s="8" t="s">
        <v>376</v>
      </c>
      <c r="M642" s="8" t="s">
        <v>377</v>
      </c>
      <c r="N642" s="8" t="s">
        <v>28</v>
      </c>
      <c r="O642" s="8" t="s">
        <v>225</v>
      </c>
      <c r="P642" s="8" t="s">
        <v>233</v>
      </c>
      <c r="Q642" s="8" t="s">
        <v>235</v>
      </c>
      <c r="R642" s="8" t="s">
        <v>589</v>
      </c>
      <c r="S642" s="8" t="s">
        <v>590</v>
      </c>
      <c r="T642" s="8" t="s">
        <v>591</v>
      </c>
      <c r="U642" s="8" t="s">
        <v>412</v>
      </c>
      <c r="V642" s="8"/>
      <c r="W642" s="7" t="s">
        <v>380</v>
      </c>
      <c r="X642" s="8" t="s">
        <v>29</v>
      </c>
      <c r="Y642" s="8" t="s">
        <v>23</v>
      </c>
    </row>
    <row r="643" spans="1:25" hidden="1" x14ac:dyDescent="0.25">
      <c r="A643" s="273" t="s">
        <v>314</v>
      </c>
      <c r="B643" s="251">
        <v>45748</v>
      </c>
      <c r="C643" s="252" t="s">
        <v>888</v>
      </c>
      <c r="D643" s="252"/>
      <c r="E643" s="253">
        <v>0</v>
      </c>
      <c r="F643" s="253">
        <v>1500000</v>
      </c>
      <c r="G643" s="274">
        <f>Tabla3[[#This Row],[INGRESOS]]-Tabla3[[#This Row],[EGRESOS]]</f>
        <v>1500000</v>
      </c>
      <c r="H643" s="137">
        <v>-20947379.960000001</v>
      </c>
      <c r="I643" s="135">
        <v>1140</v>
      </c>
      <c r="J643" s="136">
        <f>Tabla3[[#This Row],[EGRESOS]]/Tabla3[[#This Row],[TC]]</f>
        <v>0</v>
      </c>
      <c r="K643" s="136">
        <f>Tabla3[[#This Row],[INGRESOS]]/Tabla3[[#This Row],[TC]]</f>
        <v>1315.7894736842106</v>
      </c>
      <c r="L643" s="8" t="s">
        <v>376</v>
      </c>
      <c r="M643" s="8" t="s">
        <v>377</v>
      </c>
      <c r="N643" s="8" t="s">
        <v>20</v>
      </c>
      <c r="O643" s="8" t="s">
        <v>184</v>
      </c>
      <c r="P643" s="8" t="s">
        <v>203</v>
      </c>
      <c r="Q643" s="8" t="s">
        <v>204</v>
      </c>
      <c r="R643" s="8"/>
      <c r="S643" s="8" t="s">
        <v>386</v>
      </c>
      <c r="T643" s="8"/>
      <c r="U643" s="8" t="s">
        <v>439</v>
      </c>
      <c r="V643" s="8" t="s">
        <v>386</v>
      </c>
      <c r="W643" s="8" t="s">
        <v>380</v>
      </c>
      <c r="X643" s="8" t="s">
        <v>23</v>
      </c>
      <c r="Y643" s="8" t="s">
        <v>98</v>
      </c>
    </row>
    <row r="644" spans="1:25" hidden="1" x14ac:dyDescent="0.25">
      <c r="A644" s="273" t="s">
        <v>313</v>
      </c>
      <c r="B644" s="251">
        <v>45727</v>
      </c>
      <c r="C644" s="252" t="s">
        <v>566</v>
      </c>
      <c r="D644" s="252"/>
      <c r="E644" s="253">
        <v>3214.2</v>
      </c>
      <c r="F644" s="253">
        <v>0</v>
      </c>
      <c r="G644" s="274">
        <f>Tabla3[[#This Row],[INGRESOS]]-Tabla3[[#This Row],[EGRESOS]]</f>
        <v>-3214.2</v>
      </c>
      <c r="H644" s="274">
        <v>-7185556.6200000001</v>
      </c>
      <c r="I644" s="135">
        <v>1140</v>
      </c>
      <c r="J644" s="136">
        <f>Tabla3[[#This Row],[EGRESOS]]/Tabla3[[#This Row],[TC]]</f>
        <v>2.8194736842105264</v>
      </c>
      <c r="K644" s="136">
        <f>Tabla3[[#This Row],[INGRESOS]]/Tabla3[[#This Row],[TC]]</f>
        <v>0</v>
      </c>
      <c r="L644" s="8" t="s">
        <v>376</v>
      </c>
      <c r="M644" s="8" t="s">
        <v>377</v>
      </c>
      <c r="N644" s="8" t="s">
        <v>28</v>
      </c>
      <c r="O644" s="8" t="s">
        <v>184</v>
      </c>
      <c r="P644" s="8" t="s">
        <v>195</v>
      </c>
      <c r="Q644" s="8" t="s">
        <v>196</v>
      </c>
      <c r="R644" s="8" t="s">
        <v>394</v>
      </c>
      <c r="S644" s="8" t="s">
        <v>383</v>
      </c>
      <c r="T644" s="8"/>
      <c r="U644" s="8" t="s">
        <v>384</v>
      </c>
      <c r="V644" s="8"/>
      <c r="W644" s="7" t="s">
        <v>380</v>
      </c>
      <c r="X644" s="8" t="s">
        <v>99</v>
      </c>
      <c r="Y644" s="8" t="s">
        <v>23</v>
      </c>
    </row>
    <row r="645" spans="1:25" hidden="1" x14ac:dyDescent="0.25">
      <c r="A645" s="273" t="s">
        <v>313</v>
      </c>
      <c r="B645" s="251">
        <v>45727</v>
      </c>
      <c r="C645" s="252" t="s">
        <v>593</v>
      </c>
      <c r="D645" s="252"/>
      <c r="E645" s="253">
        <v>3300</v>
      </c>
      <c r="F645" s="253">
        <v>0</v>
      </c>
      <c r="G645" s="274">
        <f>Tabla3[[#This Row],[INGRESOS]]-Tabla3[[#This Row],[EGRESOS]]</f>
        <v>-3300</v>
      </c>
      <c r="H645" s="274">
        <v>-7188856.6200000001</v>
      </c>
      <c r="I645" s="135">
        <v>1140</v>
      </c>
      <c r="J645" s="136">
        <f>Tabla3[[#This Row],[EGRESOS]]/Tabla3[[#This Row],[TC]]</f>
        <v>2.8947368421052633</v>
      </c>
      <c r="K645" s="136">
        <f>Tabla3[[#This Row],[INGRESOS]]/Tabla3[[#This Row],[TC]]</f>
        <v>0</v>
      </c>
      <c r="L645" s="8" t="s">
        <v>376</v>
      </c>
      <c r="M645" s="8" t="s">
        <v>377</v>
      </c>
      <c r="N645" s="8" t="s">
        <v>28</v>
      </c>
      <c r="O645" s="8" t="s">
        <v>184</v>
      </c>
      <c r="P645" s="8" t="s">
        <v>195</v>
      </c>
      <c r="Q645" s="8" t="s">
        <v>196</v>
      </c>
      <c r="R645" s="8" t="s">
        <v>394</v>
      </c>
      <c r="S645" s="8" t="s">
        <v>383</v>
      </c>
      <c r="T645" s="8"/>
      <c r="U645" s="8" t="s">
        <v>384</v>
      </c>
      <c r="V645" s="8"/>
      <c r="W645" s="8" t="s">
        <v>380</v>
      </c>
      <c r="X645" s="8" t="s">
        <v>99</v>
      </c>
      <c r="Y645" s="8" t="s">
        <v>23</v>
      </c>
    </row>
    <row r="646" spans="1:25" hidden="1" x14ac:dyDescent="0.25">
      <c r="A646" s="273" t="s">
        <v>313</v>
      </c>
      <c r="B646" s="251">
        <v>45728</v>
      </c>
      <c r="C646" s="252" t="s">
        <v>573</v>
      </c>
      <c r="D646" s="252"/>
      <c r="E646" s="253">
        <v>6100</v>
      </c>
      <c r="F646" s="253">
        <v>0</v>
      </c>
      <c r="G646" s="274">
        <f>Tabla3[[#This Row],[INGRESOS]]-Tabla3[[#This Row],[EGRESOS]]</f>
        <v>-6100</v>
      </c>
      <c r="H646" s="274">
        <v>-7199956.6200000001</v>
      </c>
      <c r="I646" s="135">
        <v>1140</v>
      </c>
      <c r="J646" s="136">
        <f>Tabla3[[#This Row],[EGRESOS]]/Tabla3[[#This Row],[TC]]</f>
        <v>5.3508771929824563</v>
      </c>
      <c r="K646" s="136">
        <f>Tabla3[[#This Row],[INGRESOS]]/Tabla3[[#This Row],[TC]]</f>
        <v>0</v>
      </c>
      <c r="L646" s="8" t="s">
        <v>376</v>
      </c>
      <c r="M646" s="8" t="s">
        <v>377</v>
      </c>
      <c r="N646" s="8" t="s">
        <v>28</v>
      </c>
      <c r="O646" s="8" t="s">
        <v>244</v>
      </c>
      <c r="P646" s="8" t="s">
        <v>259</v>
      </c>
      <c r="Q646" s="8" t="s">
        <v>260</v>
      </c>
      <c r="R646" s="8" t="s">
        <v>594</v>
      </c>
      <c r="S646" s="8"/>
      <c r="T646" s="8"/>
      <c r="U646" s="8" t="s">
        <v>379</v>
      </c>
      <c r="V646" s="8"/>
      <c r="W646" s="7" t="s">
        <v>380</v>
      </c>
      <c r="X646" s="8"/>
      <c r="Y646" s="8"/>
    </row>
    <row r="647" spans="1:25" hidden="1" x14ac:dyDescent="0.25">
      <c r="A647" s="273" t="s">
        <v>313</v>
      </c>
      <c r="B647" s="251">
        <v>45728</v>
      </c>
      <c r="C647" s="252" t="s">
        <v>573</v>
      </c>
      <c r="D647" s="252"/>
      <c r="E647" s="253">
        <v>5000</v>
      </c>
      <c r="F647" s="253">
        <v>0</v>
      </c>
      <c r="G647" s="274">
        <f>Tabla3[[#This Row],[INGRESOS]]-Tabla3[[#This Row],[EGRESOS]]</f>
        <v>-5000</v>
      </c>
      <c r="H647" s="274">
        <v>-7193856.6200000001</v>
      </c>
      <c r="I647" s="135">
        <v>1140</v>
      </c>
      <c r="J647" s="136">
        <f>Tabla3[[#This Row],[EGRESOS]]/Tabla3[[#This Row],[TC]]</f>
        <v>4.3859649122807021</v>
      </c>
      <c r="K647" s="136">
        <f>Tabla3[[#This Row],[INGRESOS]]/Tabla3[[#This Row],[TC]]</f>
        <v>0</v>
      </c>
      <c r="L647" s="8" t="s">
        <v>376</v>
      </c>
      <c r="M647" s="8" t="s">
        <v>377</v>
      </c>
      <c r="N647" s="8" t="s">
        <v>28</v>
      </c>
      <c r="O647" s="8" t="s">
        <v>244</v>
      </c>
      <c r="P647" s="8" t="s">
        <v>259</v>
      </c>
      <c r="Q647" s="8" t="s">
        <v>260</v>
      </c>
      <c r="R647" s="8" t="s">
        <v>393</v>
      </c>
      <c r="S647" s="8"/>
      <c r="T647" s="8"/>
      <c r="U647" s="8" t="s">
        <v>379</v>
      </c>
      <c r="V647" s="8"/>
      <c r="W647" s="8" t="s">
        <v>380</v>
      </c>
      <c r="X647" s="8"/>
      <c r="Y647" s="8"/>
    </row>
    <row r="648" spans="1:25" hidden="1" x14ac:dyDescent="0.25">
      <c r="A648" s="273" t="s">
        <v>313</v>
      </c>
      <c r="B648" s="251">
        <v>45734</v>
      </c>
      <c r="C648" s="252" t="s">
        <v>577</v>
      </c>
      <c r="D648" s="252" t="s">
        <v>595</v>
      </c>
      <c r="E648" s="253">
        <v>757427.09</v>
      </c>
      <c r="F648" s="253">
        <v>0</v>
      </c>
      <c r="G648" s="274">
        <f>Tabla3[[#This Row],[INGRESOS]]-Tabla3[[#This Row],[EGRESOS]]</f>
        <v>-757427.09</v>
      </c>
      <c r="H648" s="274">
        <v>-7957383.71</v>
      </c>
      <c r="I648" s="135">
        <v>1140</v>
      </c>
      <c r="J648" s="136">
        <f>Tabla3[[#This Row],[EGRESOS]]/Tabla3[[#This Row],[TC]]</f>
        <v>664.40972807017545</v>
      </c>
      <c r="K648" s="136">
        <f>Tabla3[[#This Row],[INGRESOS]]/Tabla3[[#This Row],[TC]]</f>
        <v>0</v>
      </c>
      <c r="L648" s="8" t="s">
        <v>376</v>
      </c>
      <c r="M648" s="8" t="s">
        <v>377</v>
      </c>
      <c r="N648" s="8" t="s">
        <v>28</v>
      </c>
      <c r="O648" s="8" t="s">
        <v>225</v>
      </c>
      <c r="P648" s="8" t="s">
        <v>236</v>
      </c>
      <c r="Q648" s="8" t="s">
        <v>239</v>
      </c>
      <c r="R648" s="8" t="s">
        <v>596</v>
      </c>
      <c r="S648" s="8" t="s">
        <v>597</v>
      </c>
      <c r="T648" s="8"/>
      <c r="U648" s="8" t="s">
        <v>412</v>
      </c>
      <c r="V648" s="8"/>
      <c r="W648" s="7" t="s">
        <v>380</v>
      </c>
      <c r="X648" s="8" t="s">
        <v>29</v>
      </c>
      <c r="Y648" s="8" t="s">
        <v>23</v>
      </c>
    </row>
    <row r="649" spans="1:25" hidden="1" x14ac:dyDescent="0.25">
      <c r="A649" s="273" t="s">
        <v>313</v>
      </c>
      <c r="B649" s="251">
        <v>45734</v>
      </c>
      <c r="C649" s="252" t="s">
        <v>598</v>
      </c>
      <c r="D649" s="252"/>
      <c r="E649" s="253">
        <v>0</v>
      </c>
      <c r="F649" s="253">
        <v>760000</v>
      </c>
      <c r="G649" s="274">
        <f>Tabla3[[#This Row],[INGRESOS]]-Tabla3[[#This Row],[EGRESOS]]</f>
        <v>760000</v>
      </c>
      <c r="H649" s="274">
        <v>-7197383.71</v>
      </c>
      <c r="I649" s="135">
        <v>1140</v>
      </c>
      <c r="J649" s="136">
        <f>Tabla3[[#This Row],[EGRESOS]]/Tabla3[[#This Row],[TC]]</f>
        <v>0</v>
      </c>
      <c r="K649" s="136">
        <f>Tabla3[[#This Row],[INGRESOS]]/Tabla3[[#This Row],[TC]]</f>
        <v>666.66666666666663</v>
      </c>
      <c r="L649" s="8" t="s">
        <v>376</v>
      </c>
      <c r="M649" s="8" t="s">
        <v>377</v>
      </c>
      <c r="N649" s="8" t="s">
        <v>28</v>
      </c>
      <c r="O649" s="8" t="s">
        <v>244</v>
      </c>
      <c r="P649" s="8" t="s">
        <v>259</v>
      </c>
      <c r="Q649" s="8" t="s">
        <v>260</v>
      </c>
      <c r="R649" s="8" t="s">
        <v>405</v>
      </c>
      <c r="S649" s="8"/>
      <c r="T649" s="8"/>
      <c r="U649" s="8" t="s">
        <v>379</v>
      </c>
      <c r="V649" s="8"/>
      <c r="W649" s="8" t="s">
        <v>380</v>
      </c>
      <c r="X649" s="8"/>
      <c r="Y649" s="8"/>
    </row>
    <row r="650" spans="1:25" hidden="1" x14ac:dyDescent="0.25">
      <c r="A650" s="273" t="s">
        <v>313</v>
      </c>
      <c r="B650" s="251">
        <v>45734</v>
      </c>
      <c r="C650" s="252" t="s">
        <v>566</v>
      </c>
      <c r="D650" s="252"/>
      <c r="E650" s="253">
        <v>4544.5600000000004</v>
      </c>
      <c r="F650" s="253">
        <v>0</v>
      </c>
      <c r="G650" s="274">
        <f>Tabla3[[#This Row],[INGRESOS]]-Tabla3[[#This Row],[EGRESOS]]</f>
        <v>-4544.5600000000004</v>
      </c>
      <c r="H650" s="274">
        <v>-7201928.2699999996</v>
      </c>
      <c r="I650" s="135">
        <v>1140</v>
      </c>
      <c r="J650" s="136">
        <f>Tabla3[[#This Row],[EGRESOS]]/Tabla3[[#This Row],[TC]]</f>
        <v>3.9864561403508776</v>
      </c>
      <c r="K650" s="136">
        <f>Tabla3[[#This Row],[INGRESOS]]/Tabla3[[#This Row],[TC]]</f>
        <v>0</v>
      </c>
      <c r="L650" s="8" t="s">
        <v>376</v>
      </c>
      <c r="M650" s="8" t="s">
        <v>377</v>
      </c>
      <c r="N650" s="8" t="s">
        <v>28</v>
      </c>
      <c r="O650" s="8" t="s">
        <v>184</v>
      </c>
      <c r="P650" s="8" t="s">
        <v>195</v>
      </c>
      <c r="Q650" s="8" t="s">
        <v>196</v>
      </c>
      <c r="R650" s="8" t="s">
        <v>394</v>
      </c>
      <c r="S650" s="8" t="s">
        <v>383</v>
      </c>
      <c r="T650" s="8"/>
      <c r="U650" s="8" t="s">
        <v>384</v>
      </c>
      <c r="V650" s="8"/>
      <c r="W650" s="7" t="s">
        <v>380</v>
      </c>
      <c r="X650" s="8" t="s">
        <v>99</v>
      </c>
      <c r="Y650" s="8" t="s">
        <v>23</v>
      </c>
    </row>
    <row r="651" spans="1:25" hidden="1" x14ac:dyDescent="0.25">
      <c r="A651" s="273" t="s">
        <v>313</v>
      </c>
      <c r="B651" s="251">
        <v>45735</v>
      </c>
      <c r="C651" s="252" t="s">
        <v>598</v>
      </c>
      <c r="D651" s="252"/>
      <c r="E651" s="253">
        <v>0</v>
      </c>
      <c r="F651" s="253">
        <v>20000</v>
      </c>
      <c r="G651" s="274">
        <f>Tabla3[[#This Row],[INGRESOS]]-Tabla3[[#This Row],[EGRESOS]]</f>
        <v>20000</v>
      </c>
      <c r="H651" s="274">
        <v>7181928.2699999996</v>
      </c>
      <c r="I651" s="135">
        <v>1140</v>
      </c>
      <c r="J651" s="136">
        <f>Tabla3[[#This Row],[EGRESOS]]/Tabla3[[#This Row],[TC]]</f>
        <v>0</v>
      </c>
      <c r="K651" s="136">
        <f>Tabla3[[#This Row],[INGRESOS]]/Tabla3[[#This Row],[TC]]</f>
        <v>17.543859649122808</v>
      </c>
      <c r="L651" s="8" t="s">
        <v>376</v>
      </c>
      <c r="M651" s="8" t="s">
        <v>377</v>
      </c>
      <c r="N651" s="8" t="s">
        <v>28</v>
      </c>
      <c r="O651" s="8" t="s">
        <v>244</v>
      </c>
      <c r="P651" s="8" t="s">
        <v>259</v>
      </c>
      <c r="Q651" s="8" t="s">
        <v>260</v>
      </c>
      <c r="R651" s="8" t="s">
        <v>405</v>
      </c>
      <c r="S651" s="8"/>
      <c r="T651" s="8"/>
      <c r="U651" s="8" t="s">
        <v>379</v>
      </c>
      <c r="V651" s="8"/>
      <c r="W651" s="8" t="s">
        <v>380</v>
      </c>
      <c r="X651" s="8"/>
      <c r="Y651" s="8"/>
    </row>
    <row r="652" spans="1:25" hidden="1" x14ac:dyDescent="0.25">
      <c r="A652" s="273" t="s">
        <v>313</v>
      </c>
      <c r="B652" s="251">
        <v>45742</v>
      </c>
      <c r="C652" s="252" t="s">
        <v>577</v>
      </c>
      <c r="D652" s="252" t="s">
        <v>599</v>
      </c>
      <c r="E652" s="253">
        <v>133425.44</v>
      </c>
      <c r="F652" s="253">
        <v>0</v>
      </c>
      <c r="G652" s="274">
        <f>Tabla3[[#This Row],[INGRESOS]]-Tabla3[[#This Row],[EGRESOS]]</f>
        <v>-133425.44</v>
      </c>
      <c r="H652" s="274">
        <v>-7315353.71</v>
      </c>
      <c r="I652" s="135">
        <v>1140</v>
      </c>
      <c r="J652" s="136">
        <f>Tabla3[[#This Row],[EGRESOS]]/Tabla3[[#This Row],[TC]]</f>
        <v>117.0398596491228</v>
      </c>
      <c r="K652" s="136">
        <f>Tabla3[[#This Row],[INGRESOS]]/Tabla3[[#This Row],[TC]]</f>
        <v>0</v>
      </c>
      <c r="L652" s="8" t="s">
        <v>376</v>
      </c>
      <c r="M652" s="8" t="s">
        <v>377</v>
      </c>
      <c r="N652" s="8" t="s">
        <v>28</v>
      </c>
      <c r="O652" s="8" t="s">
        <v>286</v>
      </c>
      <c r="P652" s="8" t="s">
        <v>287</v>
      </c>
      <c r="Q652" s="8" t="s">
        <v>289</v>
      </c>
      <c r="R652" s="8" t="s">
        <v>33</v>
      </c>
      <c r="S652" s="8" t="s">
        <v>600</v>
      </c>
      <c r="T652" s="8" t="s">
        <v>601</v>
      </c>
      <c r="U652" s="8" t="s">
        <v>412</v>
      </c>
      <c r="V652" s="8"/>
      <c r="W652" s="7" t="s">
        <v>380</v>
      </c>
      <c r="X652" s="8" t="s">
        <v>29</v>
      </c>
      <c r="Y652" s="8" t="s">
        <v>23</v>
      </c>
    </row>
    <row r="653" spans="1:25" hidden="1" x14ac:dyDescent="0.25">
      <c r="A653" s="273" t="s">
        <v>313</v>
      </c>
      <c r="B653" s="251">
        <v>45742</v>
      </c>
      <c r="C653" s="252" t="s">
        <v>577</v>
      </c>
      <c r="D653" s="252" t="s">
        <v>602</v>
      </c>
      <c r="E653" s="253">
        <v>1550000</v>
      </c>
      <c r="F653" s="253">
        <v>0</v>
      </c>
      <c r="G653" s="274">
        <f>Tabla3[[#This Row],[INGRESOS]]-Tabla3[[#This Row],[EGRESOS]]</f>
        <v>-1550000</v>
      </c>
      <c r="H653" s="274">
        <v>-8731928.2699999996</v>
      </c>
      <c r="I653" s="135">
        <v>1140</v>
      </c>
      <c r="J653" s="136">
        <f>Tabla3[[#This Row],[EGRESOS]]/Tabla3[[#This Row],[TC]]</f>
        <v>1359.6491228070176</v>
      </c>
      <c r="K653" s="136">
        <f>Tabla3[[#This Row],[INGRESOS]]/Tabla3[[#This Row],[TC]]</f>
        <v>0</v>
      </c>
      <c r="L653" s="8" t="s">
        <v>376</v>
      </c>
      <c r="M653" s="8" t="s">
        <v>377</v>
      </c>
      <c r="N653" s="8" t="s">
        <v>28</v>
      </c>
      <c r="O653" s="8" t="s">
        <v>225</v>
      </c>
      <c r="P653" s="8" t="s">
        <v>226</v>
      </c>
      <c r="Q653" s="8" t="s">
        <v>228</v>
      </c>
      <c r="R653" s="8"/>
      <c r="S653" s="8" t="s">
        <v>505</v>
      </c>
      <c r="T653" s="8"/>
      <c r="U653" s="8" t="s">
        <v>403</v>
      </c>
      <c r="V653" s="8"/>
      <c r="W653" s="8" t="s">
        <v>380</v>
      </c>
      <c r="X653" s="8" t="s">
        <v>50</v>
      </c>
      <c r="Y653" s="8" t="s">
        <v>23</v>
      </c>
    </row>
    <row r="654" spans="1:25" hidden="1" x14ac:dyDescent="0.25">
      <c r="A654" s="273" t="s">
        <v>313</v>
      </c>
      <c r="B654" s="251">
        <v>45742</v>
      </c>
      <c r="C654" s="252" t="s">
        <v>598</v>
      </c>
      <c r="D654" s="252"/>
      <c r="E654" s="253">
        <v>0</v>
      </c>
      <c r="F654" s="253">
        <v>1700000</v>
      </c>
      <c r="G654" s="274">
        <f>Tabla3[[#This Row],[INGRESOS]]-Tabla3[[#This Row],[EGRESOS]]</f>
        <v>1700000</v>
      </c>
      <c r="H654" s="274">
        <v>-7165353.71</v>
      </c>
      <c r="I654" s="135">
        <v>1140</v>
      </c>
      <c r="J654" s="136">
        <f>Tabla3[[#This Row],[EGRESOS]]/Tabla3[[#This Row],[TC]]</f>
        <v>0</v>
      </c>
      <c r="K654" s="136">
        <f>Tabla3[[#This Row],[INGRESOS]]/Tabla3[[#This Row],[TC]]</f>
        <v>1491.2280701754387</v>
      </c>
      <c r="L654" s="8" t="s">
        <v>376</v>
      </c>
      <c r="M654" s="8" t="s">
        <v>377</v>
      </c>
      <c r="N654" s="8" t="s">
        <v>28</v>
      </c>
      <c r="O654" s="8" t="s">
        <v>244</v>
      </c>
      <c r="P654" s="8" t="s">
        <v>259</v>
      </c>
      <c r="Q654" s="8" t="s">
        <v>260</v>
      </c>
      <c r="R654" s="8" t="s">
        <v>405</v>
      </c>
      <c r="S654" s="8"/>
      <c r="T654" s="8"/>
      <c r="U654" s="8" t="s">
        <v>379</v>
      </c>
      <c r="V654" s="8"/>
      <c r="W654" s="7" t="s">
        <v>380</v>
      </c>
      <c r="X654" s="8"/>
      <c r="Y654" s="8"/>
    </row>
    <row r="655" spans="1:25" hidden="1" x14ac:dyDescent="0.25">
      <c r="A655" s="273" t="s">
        <v>313</v>
      </c>
      <c r="B655" s="251">
        <v>45742</v>
      </c>
      <c r="C655" s="252" t="s">
        <v>566</v>
      </c>
      <c r="D655" s="252"/>
      <c r="E655" s="253">
        <v>10100.549999999999</v>
      </c>
      <c r="F655" s="253">
        <v>0</v>
      </c>
      <c r="G655" s="274">
        <f>Tabla3[[#This Row],[INGRESOS]]-Tabla3[[#This Row],[EGRESOS]]</f>
        <v>-10100.549999999999</v>
      </c>
      <c r="H655" s="274">
        <v>-7175454.2599999998</v>
      </c>
      <c r="I655" s="135">
        <v>1140</v>
      </c>
      <c r="J655" s="136">
        <f>Tabla3[[#This Row],[EGRESOS]]/Tabla3[[#This Row],[TC]]</f>
        <v>8.8601315789473674</v>
      </c>
      <c r="K655" s="136">
        <f>Tabla3[[#This Row],[INGRESOS]]/Tabla3[[#This Row],[TC]]</f>
        <v>0</v>
      </c>
      <c r="L655" s="8" t="s">
        <v>376</v>
      </c>
      <c r="M655" s="8" t="s">
        <v>377</v>
      </c>
      <c r="N655" s="8" t="s">
        <v>28</v>
      </c>
      <c r="O655" s="8" t="s">
        <v>184</v>
      </c>
      <c r="P655" s="8" t="s">
        <v>195</v>
      </c>
      <c r="Q655" s="8" t="s">
        <v>196</v>
      </c>
      <c r="R655" s="8" t="s">
        <v>394</v>
      </c>
      <c r="S655" s="8" t="s">
        <v>383</v>
      </c>
      <c r="T655" s="8"/>
      <c r="U655" s="8" t="s">
        <v>384</v>
      </c>
      <c r="V655" s="8"/>
      <c r="W655" s="8" t="s">
        <v>380</v>
      </c>
      <c r="X655" s="8" t="s">
        <v>99</v>
      </c>
      <c r="Y655" s="8" t="s">
        <v>23</v>
      </c>
    </row>
    <row r="656" spans="1:25" hidden="1" x14ac:dyDescent="0.25">
      <c r="A656" s="273" t="s">
        <v>313</v>
      </c>
      <c r="B656" s="251">
        <v>45744</v>
      </c>
      <c r="C656" s="252" t="s">
        <v>568</v>
      </c>
      <c r="D656" s="252"/>
      <c r="E656" s="253">
        <v>8800</v>
      </c>
      <c r="F656" s="253">
        <v>0</v>
      </c>
      <c r="G656" s="274">
        <f>Tabla3[[#This Row],[INGRESOS]]-Tabla3[[#This Row],[EGRESOS]]</f>
        <v>-8800</v>
      </c>
      <c r="H656" s="274">
        <v>-7184254.2599999998</v>
      </c>
      <c r="I656" s="135">
        <v>1140</v>
      </c>
      <c r="J656" s="136">
        <f>Tabla3[[#This Row],[EGRESOS]]/Tabla3[[#This Row],[TC]]</f>
        <v>7.7192982456140351</v>
      </c>
      <c r="K656" s="136">
        <f>Tabla3[[#This Row],[INGRESOS]]/Tabla3[[#This Row],[TC]]</f>
        <v>0</v>
      </c>
      <c r="L656" s="8" t="s">
        <v>376</v>
      </c>
      <c r="M656" s="8" t="s">
        <v>377</v>
      </c>
      <c r="N656" s="8" t="s">
        <v>28</v>
      </c>
      <c r="O656" s="8" t="s">
        <v>276</v>
      </c>
      <c r="P656" s="8" t="s">
        <v>282</v>
      </c>
      <c r="Q656" s="8" t="s">
        <v>283</v>
      </c>
      <c r="R656" s="8"/>
      <c r="S656" s="8" t="s">
        <v>289</v>
      </c>
      <c r="T656" s="8"/>
      <c r="U656" s="8" t="s">
        <v>384</v>
      </c>
      <c r="V656" s="8"/>
      <c r="W656" s="7" t="s">
        <v>380</v>
      </c>
      <c r="X656" s="8" t="s">
        <v>99</v>
      </c>
      <c r="Y656" s="8" t="s">
        <v>23</v>
      </c>
    </row>
    <row r="657" spans="1:25" hidden="1" x14ac:dyDescent="0.25">
      <c r="A657" s="273" t="s">
        <v>313</v>
      </c>
      <c r="B657" s="251">
        <v>45744</v>
      </c>
      <c r="C657" s="252" t="s">
        <v>566</v>
      </c>
      <c r="D657" s="252"/>
      <c r="E657" s="253">
        <v>52.8</v>
      </c>
      <c r="F657" s="253">
        <v>0</v>
      </c>
      <c r="G657" s="274">
        <f>Tabla3[[#This Row],[INGRESOS]]-Tabla3[[#This Row],[EGRESOS]]</f>
        <v>-52.8</v>
      </c>
      <c r="H657" s="274">
        <v>-7184307.0599999996</v>
      </c>
      <c r="I657" s="135">
        <v>1140</v>
      </c>
      <c r="J657" s="136">
        <f>Tabla3[[#This Row],[EGRESOS]]/Tabla3[[#This Row],[TC]]</f>
        <v>4.6315789473684206E-2</v>
      </c>
      <c r="K657" s="136">
        <f>Tabla3[[#This Row],[INGRESOS]]/Tabla3[[#This Row],[TC]]</f>
        <v>0</v>
      </c>
      <c r="L657" s="8" t="s">
        <v>376</v>
      </c>
      <c r="M657" s="8" t="s">
        <v>377</v>
      </c>
      <c r="N657" s="8" t="s">
        <v>28</v>
      </c>
      <c r="O657" s="8" t="s">
        <v>184</v>
      </c>
      <c r="P657" s="8" t="s">
        <v>195</v>
      </c>
      <c r="Q657" s="8" t="s">
        <v>196</v>
      </c>
      <c r="R657" s="8" t="s">
        <v>394</v>
      </c>
      <c r="S657" s="8" t="s">
        <v>383</v>
      </c>
      <c r="T657" s="8"/>
      <c r="U657" s="8" t="s">
        <v>384</v>
      </c>
      <c r="V657" s="8"/>
      <c r="W657" s="8" t="s">
        <v>380</v>
      </c>
      <c r="X657" s="8" t="s">
        <v>99</v>
      </c>
      <c r="Y657" s="8" t="s">
        <v>23</v>
      </c>
    </row>
    <row r="658" spans="1:25" hidden="1" x14ac:dyDescent="0.25">
      <c r="A658" s="273" t="s">
        <v>314</v>
      </c>
      <c r="B658" s="251">
        <v>45748</v>
      </c>
      <c r="C658" s="252" t="s">
        <v>584</v>
      </c>
      <c r="D658" s="252"/>
      <c r="E658" s="253">
        <v>0</v>
      </c>
      <c r="F658" s="253">
        <v>19600000</v>
      </c>
      <c r="G658" s="274">
        <f>Tabla3[[#This Row],[INGRESOS]]-Tabla3[[#This Row],[EGRESOS]]</f>
        <v>19600000</v>
      </c>
      <c r="H658" s="274">
        <v>12415692.939999999</v>
      </c>
      <c r="I658" s="135">
        <v>1140</v>
      </c>
      <c r="J658" s="136">
        <f>Tabla3[[#This Row],[EGRESOS]]/Tabla3[[#This Row],[TC]]</f>
        <v>0</v>
      </c>
      <c r="K658" s="136">
        <f>Tabla3[[#This Row],[INGRESOS]]/Tabla3[[#This Row],[TC]]</f>
        <v>17192.982456140351</v>
      </c>
      <c r="L658" s="8" t="s">
        <v>376</v>
      </c>
      <c r="M658" s="8" t="s">
        <v>377</v>
      </c>
      <c r="N658" s="8" t="s">
        <v>28</v>
      </c>
      <c r="O658" s="8" t="s">
        <v>244</v>
      </c>
      <c r="P658" s="8" t="s">
        <v>259</v>
      </c>
      <c r="Q658" s="8" t="s">
        <v>260</v>
      </c>
      <c r="R658" s="8" t="s">
        <v>554</v>
      </c>
      <c r="S658" s="8"/>
      <c r="T658" s="8"/>
      <c r="U658" s="8" t="s">
        <v>379</v>
      </c>
      <c r="V658" s="8"/>
      <c r="W658" s="7" t="s">
        <v>380</v>
      </c>
      <c r="X658" s="8"/>
      <c r="Y658" s="8"/>
    </row>
    <row r="659" spans="1:25" hidden="1" x14ac:dyDescent="0.25">
      <c r="A659" s="273" t="s">
        <v>314</v>
      </c>
      <c r="B659" s="251">
        <v>45748</v>
      </c>
      <c r="C659" s="252" t="s">
        <v>564</v>
      </c>
      <c r="D659" s="252"/>
      <c r="E659" s="253">
        <v>1260</v>
      </c>
      <c r="F659" s="253">
        <v>0</v>
      </c>
      <c r="G659" s="274">
        <f>Tabla3[[#This Row],[INGRESOS]]-Tabla3[[#This Row],[EGRESOS]]</f>
        <v>-1260</v>
      </c>
      <c r="H659" s="274">
        <v>12414432.939999999</v>
      </c>
      <c r="I659" s="135">
        <v>1140</v>
      </c>
      <c r="J659" s="136">
        <f>Tabla3[[#This Row],[EGRESOS]]/Tabla3[[#This Row],[TC]]</f>
        <v>1.1052631578947369</v>
      </c>
      <c r="K659" s="136">
        <f>Tabla3[[#This Row],[INGRESOS]]/Tabla3[[#This Row],[TC]]</f>
        <v>0</v>
      </c>
      <c r="L659" s="8" t="s">
        <v>376</v>
      </c>
      <c r="M659" s="8" t="s">
        <v>377</v>
      </c>
      <c r="N659" s="8" t="s">
        <v>28</v>
      </c>
      <c r="O659" s="8" t="s">
        <v>184</v>
      </c>
      <c r="P659" s="8" t="s">
        <v>195</v>
      </c>
      <c r="Q659" s="8" t="s">
        <v>196</v>
      </c>
      <c r="R659" s="8" t="s">
        <v>417</v>
      </c>
      <c r="S659" s="8" t="s">
        <v>383</v>
      </c>
      <c r="T659" s="8"/>
      <c r="U659" s="8" t="s">
        <v>384</v>
      </c>
      <c r="V659" s="8"/>
      <c r="W659" s="8" t="s">
        <v>380</v>
      </c>
      <c r="X659" s="8" t="s">
        <v>99</v>
      </c>
      <c r="Y659" s="8" t="s">
        <v>23</v>
      </c>
    </row>
    <row r="660" spans="1:25" hidden="1" x14ac:dyDescent="0.25">
      <c r="A660" s="273" t="s">
        <v>314</v>
      </c>
      <c r="B660" s="251">
        <v>45748</v>
      </c>
      <c r="C660" s="252" t="s">
        <v>273</v>
      </c>
      <c r="D660" s="252"/>
      <c r="E660" s="253">
        <v>8820</v>
      </c>
      <c r="F660" s="253">
        <v>0</v>
      </c>
      <c r="G660" s="274">
        <f>Tabla3[[#This Row],[INGRESOS]]-Tabla3[[#This Row],[EGRESOS]]</f>
        <v>-8820</v>
      </c>
      <c r="H660" s="274">
        <v>12405612.939999999</v>
      </c>
      <c r="I660" s="135">
        <v>1140</v>
      </c>
      <c r="J660" s="136">
        <f>Tabla3[[#This Row],[EGRESOS]]/Tabla3[[#This Row],[TC]]</f>
        <v>7.7368421052631575</v>
      </c>
      <c r="K660" s="136">
        <f>Tabla3[[#This Row],[INGRESOS]]/Tabla3[[#This Row],[TC]]</f>
        <v>0</v>
      </c>
      <c r="L660" s="8" t="s">
        <v>376</v>
      </c>
      <c r="M660" s="8" t="s">
        <v>377</v>
      </c>
      <c r="N660" s="8" t="s">
        <v>28</v>
      </c>
      <c r="O660" s="8" t="s">
        <v>184</v>
      </c>
      <c r="P660" s="8" t="s">
        <v>195</v>
      </c>
      <c r="Q660" s="8" t="s">
        <v>196</v>
      </c>
      <c r="R660" s="8" t="s">
        <v>382</v>
      </c>
      <c r="S660" s="8" t="s">
        <v>383</v>
      </c>
      <c r="T660" s="8"/>
      <c r="U660" s="8" t="s">
        <v>384</v>
      </c>
      <c r="V660" s="8"/>
      <c r="W660" s="7" t="s">
        <v>380</v>
      </c>
      <c r="X660" s="8" t="s">
        <v>99</v>
      </c>
      <c r="Y660" s="8" t="s">
        <v>23</v>
      </c>
    </row>
    <row r="661" spans="1:25" hidden="1" x14ac:dyDescent="0.25">
      <c r="A661" s="273" t="s">
        <v>314</v>
      </c>
      <c r="B661" s="251">
        <v>45748</v>
      </c>
      <c r="C661" s="252" t="s">
        <v>565</v>
      </c>
      <c r="D661" s="252"/>
      <c r="E661" s="253">
        <v>42000</v>
      </c>
      <c r="F661" s="253">
        <v>0</v>
      </c>
      <c r="G661" s="274">
        <f>Tabla3[[#This Row],[INGRESOS]]-Tabla3[[#This Row],[EGRESOS]]</f>
        <v>-42000</v>
      </c>
      <c r="H661" s="274">
        <v>12363612.939999999</v>
      </c>
      <c r="I661" s="135">
        <v>1140</v>
      </c>
      <c r="J661" s="136">
        <f>Tabla3[[#This Row],[EGRESOS]]/Tabla3[[#This Row],[TC]]</f>
        <v>36.842105263157897</v>
      </c>
      <c r="K661" s="136">
        <f>Tabla3[[#This Row],[INGRESOS]]/Tabla3[[#This Row],[TC]]</f>
        <v>0</v>
      </c>
      <c r="L661" s="8" t="s">
        <v>376</v>
      </c>
      <c r="M661" s="8" t="s">
        <v>377</v>
      </c>
      <c r="N661" s="8" t="s">
        <v>28</v>
      </c>
      <c r="O661" s="8" t="s">
        <v>184</v>
      </c>
      <c r="P661" s="8" t="s">
        <v>185</v>
      </c>
      <c r="Q661" s="8" t="s">
        <v>186</v>
      </c>
      <c r="R661" s="8" t="s">
        <v>227</v>
      </c>
      <c r="S661" s="8"/>
      <c r="T661" s="8"/>
      <c r="U661" s="8" t="s">
        <v>384</v>
      </c>
      <c r="V661" s="8"/>
      <c r="W661" s="8" t="s">
        <v>380</v>
      </c>
      <c r="X661" s="8" t="s">
        <v>99</v>
      </c>
      <c r="Y661" s="8" t="s">
        <v>23</v>
      </c>
    </row>
    <row r="662" spans="1:25" hidden="1" x14ac:dyDescent="0.25">
      <c r="A662" s="273" t="s">
        <v>314</v>
      </c>
      <c r="B662" s="251">
        <v>45748</v>
      </c>
      <c r="C662" s="252" t="s">
        <v>580</v>
      </c>
      <c r="D662" s="252"/>
      <c r="E662" s="253">
        <v>6600</v>
      </c>
      <c r="F662" s="253">
        <v>0</v>
      </c>
      <c r="G662" s="274">
        <f>Tabla3[[#This Row],[INGRESOS]]-Tabla3[[#This Row],[EGRESOS]]</f>
        <v>-6600</v>
      </c>
      <c r="H662" s="274">
        <v>12357012.939999999</v>
      </c>
      <c r="I662" s="135">
        <v>1140</v>
      </c>
      <c r="J662" s="136">
        <f>Tabla3[[#This Row],[EGRESOS]]/Tabla3[[#This Row],[TC]]</f>
        <v>5.7894736842105265</v>
      </c>
      <c r="K662" s="136">
        <f>Tabla3[[#This Row],[INGRESOS]]/Tabla3[[#This Row],[TC]]</f>
        <v>0</v>
      </c>
      <c r="L662" s="8" t="s">
        <v>376</v>
      </c>
      <c r="M662" s="8" t="s">
        <v>377</v>
      </c>
      <c r="N662" s="8" t="s">
        <v>28</v>
      </c>
      <c r="O662" s="8" t="s">
        <v>184</v>
      </c>
      <c r="P662" s="8" t="s">
        <v>185</v>
      </c>
      <c r="Q662" s="8" t="s">
        <v>186</v>
      </c>
      <c r="R662" s="8" t="s">
        <v>227</v>
      </c>
      <c r="S662" s="8"/>
      <c r="T662" s="8"/>
      <c r="U662" s="8" t="s">
        <v>384</v>
      </c>
      <c r="V662" s="8"/>
      <c r="W662" s="7" t="s">
        <v>380</v>
      </c>
      <c r="X662" s="8" t="s">
        <v>99</v>
      </c>
      <c r="Y662" s="8" t="s">
        <v>23</v>
      </c>
    </row>
    <row r="663" spans="1:25" hidden="1" x14ac:dyDescent="0.25">
      <c r="A663" s="273" t="s">
        <v>314</v>
      </c>
      <c r="B663" s="251">
        <v>45748</v>
      </c>
      <c r="C663" s="252" t="s">
        <v>273</v>
      </c>
      <c r="D663" s="252"/>
      <c r="E663" s="253">
        <v>1386</v>
      </c>
      <c r="F663" s="253">
        <v>0</v>
      </c>
      <c r="G663" s="274">
        <f>Tabla3[[#This Row],[INGRESOS]]-Tabla3[[#This Row],[EGRESOS]]</f>
        <v>-1386</v>
      </c>
      <c r="H663" s="274">
        <v>12355626.939999999</v>
      </c>
      <c r="I663" s="135">
        <v>1140</v>
      </c>
      <c r="J663" s="136">
        <f>Tabla3[[#This Row],[EGRESOS]]/Tabla3[[#This Row],[TC]]</f>
        <v>1.2157894736842105</v>
      </c>
      <c r="K663" s="136">
        <f>Tabla3[[#This Row],[INGRESOS]]/Tabla3[[#This Row],[TC]]</f>
        <v>0</v>
      </c>
      <c r="L663" s="8" t="s">
        <v>376</v>
      </c>
      <c r="M663" s="8" t="s">
        <v>377</v>
      </c>
      <c r="N663" s="8" t="s">
        <v>28</v>
      </c>
      <c r="O663" s="8" t="s">
        <v>184</v>
      </c>
      <c r="P663" s="8" t="s">
        <v>195</v>
      </c>
      <c r="Q663" s="8" t="s">
        <v>196</v>
      </c>
      <c r="R663" s="8" t="s">
        <v>382</v>
      </c>
      <c r="S663" s="8" t="s">
        <v>383</v>
      </c>
      <c r="T663" s="8"/>
      <c r="U663" s="8" t="s">
        <v>384</v>
      </c>
      <c r="V663" s="8"/>
      <c r="W663" s="8" t="s">
        <v>380</v>
      </c>
      <c r="X663" s="8" t="s">
        <v>99</v>
      </c>
      <c r="Y663" s="8" t="s">
        <v>23</v>
      </c>
    </row>
    <row r="664" spans="1:25" hidden="1" x14ac:dyDescent="0.25">
      <c r="A664" s="273" t="s">
        <v>314</v>
      </c>
      <c r="B664" s="251">
        <v>45748</v>
      </c>
      <c r="C664" s="252" t="s">
        <v>564</v>
      </c>
      <c r="D664" s="252"/>
      <c r="E664" s="253">
        <v>198</v>
      </c>
      <c r="F664" s="253">
        <v>0</v>
      </c>
      <c r="G664" s="274">
        <f>Tabla3[[#This Row],[INGRESOS]]-Tabla3[[#This Row],[EGRESOS]]</f>
        <v>-198</v>
      </c>
      <c r="H664" s="274">
        <v>12355428.939999999</v>
      </c>
      <c r="I664" s="135">
        <v>1140</v>
      </c>
      <c r="J664" s="136">
        <f>Tabla3[[#This Row],[EGRESOS]]/Tabla3[[#This Row],[TC]]</f>
        <v>0.1736842105263158</v>
      </c>
      <c r="K664" s="136">
        <f>Tabla3[[#This Row],[INGRESOS]]/Tabla3[[#This Row],[TC]]</f>
        <v>0</v>
      </c>
      <c r="L664" s="8" t="s">
        <v>376</v>
      </c>
      <c r="M664" s="8" t="s">
        <v>377</v>
      </c>
      <c r="N664" s="8" t="s">
        <v>28</v>
      </c>
      <c r="O664" s="8" t="s">
        <v>184</v>
      </c>
      <c r="P664" s="8" t="s">
        <v>195</v>
      </c>
      <c r="Q664" s="8" t="s">
        <v>196</v>
      </c>
      <c r="R664" s="8" t="s">
        <v>417</v>
      </c>
      <c r="S664" s="8" t="s">
        <v>383</v>
      </c>
      <c r="T664" s="8"/>
      <c r="U664" s="8" t="s">
        <v>384</v>
      </c>
      <c r="V664" s="8"/>
      <c r="W664" s="7" t="s">
        <v>380</v>
      </c>
      <c r="X664" s="8" t="s">
        <v>99</v>
      </c>
      <c r="Y664" s="8" t="s">
        <v>23</v>
      </c>
    </row>
    <row r="665" spans="1:25" hidden="1" x14ac:dyDescent="0.25">
      <c r="A665" s="273" t="s">
        <v>314</v>
      </c>
      <c r="B665" s="251">
        <v>45748</v>
      </c>
      <c r="C665" s="252" t="s">
        <v>566</v>
      </c>
      <c r="D665" s="252"/>
      <c r="E665" s="253">
        <v>361.58</v>
      </c>
      <c r="F665" s="253">
        <v>0</v>
      </c>
      <c r="G665" s="274">
        <f>Tabla3[[#This Row],[INGRESOS]]-Tabla3[[#This Row],[EGRESOS]]</f>
        <v>-361.58</v>
      </c>
      <c r="H665" s="274">
        <v>12355067.359999999</v>
      </c>
      <c r="I665" s="135">
        <v>1140</v>
      </c>
      <c r="J665" s="136">
        <f>Tabla3[[#This Row],[EGRESOS]]/Tabla3[[#This Row],[TC]]</f>
        <v>0.31717543859649122</v>
      </c>
      <c r="K665" s="136">
        <f>Tabla3[[#This Row],[INGRESOS]]/Tabla3[[#This Row],[TC]]</f>
        <v>0</v>
      </c>
      <c r="L665" s="8" t="s">
        <v>376</v>
      </c>
      <c r="M665" s="8" t="s">
        <v>377</v>
      </c>
      <c r="N665" s="8" t="s">
        <v>28</v>
      </c>
      <c r="O665" s="8" t="s">
        <v>184</v>
      </c>
      <c r="P665" s="8" t="s">
        <v>195</v>
      </c>
      <c r="Q665" s="8" t="s">
        <v>196</v>
      </c>
      <c r="R665" s="8" t="s">
        <v>394</v>
      </c>
      <c r="S665" s="8" t="s">
        <v>383</v>
      </c>
      <c r="T665" s="8"/>
      <c r="U665" s="8" t="s">
        <v>384</v>
      </c>
      <c r="V665" s="8"/>
      <c r="W665" s="8" t="s">
        <v>380</v>
      </c>
      <c r="X665" s="8" t="s">
        <v>99</v>
      </c>
      <c r="Y665" s="8" t="s">
        <v>23</v>
      </c>
    </row>
    <row r="666" spans="1:25" hidden="1" x14ac:dyDescent="0.25">
      <c r="A666" s="273" t="s">
        <v>314</v>
      </c>
      <c r="B666" s="251">
        <v>45748</v>
      </c>
      <c r="C666" s="252" t="s">
        <v>566</v>
      </c>
      <c r="D666" s="252"/>
      <c r="E666" s="253">
        <v>2032.49</v>
      </c>
      <c r="F666" s="253">
        <v>0</v>
      </c>
      <c r="G666" s="274">
        <f>Tabla3[[#This Row],[INGRESOS]]-Tabla3[[#This Row],[EGRESOS]]</f>
        <v>-2032.49</v>
      </c>
      <c r="H666" s="274">
        <v>12014286.6</v>
      </c>
      <c r="I666" s="135">
        <v>1140</v>
      </c>
      <c r="J666" s="136">
        <f>Tabla3[[#This Row],[EGRESOS]]/Tabla3[[#This Row],[TC]]</f>
        <v>1.7828859649122808</v>
      </c>
      <c r="K666" s="136">
        <f>Tabla3[[#This Row],[INGRESOS]]/Tabla3[[#This Row],[TC]]</f>
        <v>0</v>
      </c>
      <c r="L666" s="8" t="s">
        <v>376</v>
      </c>
      <c r="M666" s="8" t="s">
        <v>377</v>
      </c>
      <c r="N666" s="8" t="s">
        <v>28</v>
      </c>
      <c r="O666" s="8" t="s">
        <v>184</v>
      </c>
      <c r="P666" s="8" t="s">
        <v>195</v>
      </c>
      <c r="Q666" s="8" t="s">
        <v>196</v>
      </c>
      <c r="R666" s="8" t="s">
        <v>394</v>
      </c>
      <c r="S666" s="8" t="s">
        <v>383</v>
      </c>
      <c r="T666" s="8"/>
      <c r="U666" s="8" t="s">
        <v>384</v>
      </c>
      <c r="V666" s="8"/>
      <c r="W666" s="7" t="s">
        <v>380</v>
      </c>
      <c r="X666" s="8" t="s">
        <v>99</v>
      </c>
      <c r="Y666" s="8" t="s">
        <v>23</v>
      </c>
    </row>
    <row r="667" spans="1:25" hidden="1" x14ac:dyDescent="0.25">
      <c r="A667" s="273" t="s">
        <v>314</v>
      </c>
      <c r="B667" s="251">
        <v>45748</v>
      </c>
      <c r="C667" s="252" t="s">
        <v>564</v>
      </c>
      <c r="D667" s="252"/>
      <c r="E667" s="253">
        <v>4441.66</v>
      </c>
      <c r="F667" s="253">
        <v>0</v>
      </c>
      <c r="G667" s="274">
        <f>Tabla3[[#This Row],[INGRESOS]]-Tabla3[[#This Row],[EGRESOS]]</f>
        <v>-4441.66</v>
      </c>
      <c r="H667" s="274">
        <v>12016319.09</v>
      </c>
      <c r="I667" s="135">
        <v>1140</v>
      </c>
      <c r="J667" s="136">
        <f>Tabla3[[#This Row],[EGRESOS]]/Tabla3[[#This Row],[TC]]</f>
        <v>3.8961929824561401</v>
      </c>
      <c r="K667" s="136">
        <f>Tabla3[[#This Row],[INGRESOS]]/Tabla3[[#This Row],[TC]]</f>
        <v>0</v>
      </c>
      <c r="L667" s="8" t="s">
        <v>376</v>
      </c>
      <c r="M667" s="8" t="s">
        <v>377</v>
      </c>
      <c r="N667" s="8" t="s">
        <v>28</v>
      </c>
      <c r="O667" s="8" t="s">
        <v>184</v>
      </c>
      <c r="P667" s="8" t="s">
        <v>195</v>
      </c>
      <c r="Q667" s="8" t="s">
        <v>196</v>
      </c>
      <c r="R667" s="8" t="s">
        <v>417</v>
      </c>
      <c r="S667" s="8" t="s">
        <v>383</v>
      </c>
      <c r="T667" s="8"/>
      <c r="U667" s="8" t="s">
        <v>384</v>
      </c>
      <c r="V667" s="8"/>
      <c r="W667" s="8" t="s">
        <v>380</v>
      </c>
      <c r="X667" s="8" t="s">
        <v>99</v>
      </c>
      <c r="Y667" s="8" t="s">
        <v>23</v>
      </c>
    </row>
    <row r="668" spans="1:25" hidden="1" x14ac:dyDescent="0.25">
      <c r="A668" s="273" t="s">
        <v>314</v>
      </c>
      <c r="B668" s="251">
        <v>45748</v>
      </c>
      <c r="C668" s="252" t="s">
        <v>273</v>
      </c>
      <c r="D668" s="252"/>
      <c r="E668" s="253">
        <v>31091.599999999999</v>
      </c>
      <c r="F668" s="253">
        <v>0</v>
      </c>
      <c r="G668" s="274">
        <f>Tabla3[[#This Row],[INGRESOS]]-Tabla3[[#This Row],[EGRESOS]]</f>
        <v>-31091.599999999999</v>
      </c>
      <c r="H668" s="274">
        <v>12020760.75</v>
      </c>
      <c r="I668" s="135">
        <v>1140</v>
      </c>
      <c r="J668" s="136">
        <f>Tabla3[[#This Row],[EGRESOS]]/Tabla3[[#This Row],[TC]]</f>
        <v>27.273333333333333</v>
      </c>
      <c r="K668" s="136">
        <f>Tabla3[[#This Row],[INGRESOS]]/Tabla3[[#This Row],[TC]]</f>
        <v>0</v>
      </c>
      <c r="L668" s="8" t="s">
        <v>376</v>
      </c>
      <c r="M668" s="8" t="s">
        <v>377</v>
      </c>
      <c r="N668" s="8" t="s">
        <v>28</v>
      </c>
      <c r="O668" s="8" t="s">
        <v>184</v>
      </c>
      <c r="P668" s="8" t="s">
        <v>195</v>
      </c>
      <c r="Q668" s="8" t="s">
        <v>196</v>
      </c>
      <c r="R668" s="8" t="s">
        <v>382</v>
      </c>
      <c r="S668" s="8" t="s">
        <v>383</v>
      </c>
      <c r="T668" s="8"/>
      <c r="U668" s="8" t="s">
        <v>384</v>
      </c>
      <c r="V668" s="8"/>
      <c r="W668" s="7" t="s">
        <v>380</v>
      </c>
      <c r="X668" s="8" t="s">
        <v>99</v>
      </c>
      <c r="Y668" s="8" t="s">
        <v>23</v>
      </c>
    </row>
    <row r="669" spans="1:25" hidden="1" x14ac:dyDescent="0.25">
      <c r="A669" s="273" t="s">
        <v>314</v>
      </c>
      <c r="B669" s="251">
        <v>45748</v>
      </c>
      <c r="C669" s="252" t="s">
        <v>463</v>
      </c>
      <c r="D669" s="252"/>
      <c r="E669" s="253">
        <v>7104.58</v>
      </c>
      <c r="F669" s="253">
        <v>0</v>
      </c>
      <c r="G669" s="274">
        <f>Tabla3[[#This Row],[INGRESOS]]-Tabla3[[#This Row],[EGRESOS]]</f>
        <v>-7104.58</v>
      </c>
      <c r="H669" s="274">
        <v>12051852.35</v>
      </c>
      <c r="I669" s="135">
        <v>1140</v>
      </c>
      <c r="J669" s="136">
        <f>Tabla3[[#This Row],[EGRESOS]]/Tabla3[[#This Row],[TC]]</f>
        <v>6.2320877192982458</v>
      </c>
      <c r="K669" s="136">
        <f>Tabla3[[#This Row],[INGRESOS]]/Tabla3[[#This Row],[TC]]</f>
        <v>0</v>
      </c>
      <c r="L669" s="8" t="s">
        <v>376</v>
      </c>
      <c r="M669" s="8" t="s">
        <v>377</v>
      </c>
      <c r="N669" s="8" t="s">
        <v>28</v>
      </c>
      <c r="O669" s="8" t="s">
        <v>184</v>
      </c>
      <c r="P669" s="8" t="s">
        <v>195</v>
      </c>
      <c r="Q669" s="8" t="s">
        <v>196</v>
      </c>
      <c r="R669" s="8" t="s">
        <v>423</v>
      </c>
      <c r="S669" s="8" t="s">
        <v>69</v>
      </c>
      <c r="T669" s="8"/>
      <c r="U669" s="8" t="s">
        <v>384</v>
      </c>
      <c r="V669" s="8"/>
      <c r="W669" s="8" t="s">
        <v>380</v>
      </c>
      <c r="X669" s="8" t="s">
        <v>99</v>
      </c>
      <c r="Y669" s="8" t="s">
        <v>23</v>
      </c>
    </row>
    <row r="670" spans="1:25" hidden="1" x14ac:dyDescent="0.25">
      <c r="A670" s="387" t="s">
        <v>314</v>
      </c>
      <c r="B670" s="388">
        <v>45748</v>
      </c>
      <c r="C670" s="389" t="s">
        <v>567</v>
      </c>
      <c r="D670" s="389"/>
      <c r="E670" s="390">
        <v>296110.43</v>
      </c>
      <c r="F670" s="390">
        <v>0</v>
      </c>
      <c r="G670" s="336">
        <f>Tabla3[[#This Row],[INGRESOS]]-Tabla3[[#This Row],[EGRESOS]]</f>
        <v>-296110.43</v>
      </c>
      <c r="H670" s="336">
        <v>12058956.93</v>
      </c>
      <c r="I670" s="391">
        <v>1140</v>
      </c>
      <c r="J670" s="392">
        <f>Tabla3[[#This Row],[EGRESOS]]/Tabla3[[#This Row],[TC]]</f>
        <v>259.74599122807018</v>
      </c>
      <c r="K670" s="392">
        <f>Tabla3[[#This Row],[INGRESOS]]/Tabla3[[#This Row],[TC]]</f>
        <v>0</v>
      </c>
      <c r="L670" s="393" t="s">
        <v>376</v>
      </c>
      <c r="M670" s="393" t="s">
        <v>377</v>
      </c>
      <c r="N670" s="393" t="s">
        <v>28</v>
      </c>
      <c r="O670" s="393" t="s">
        <v>184</v>
      </c>
      <c r="P670" s="393" t="s">
        <v>197</v>
      </c>
      <c r="Q670" s="393" t="s">
        <v>198</v>
      </c>
      <c r="R670" s="393" t="s">
        <v>419</v>
      </c>
      <c r="S670" s="393"/>
      <c r="T670" s="393"/>
      <c r="U670" s="393" t="s">
        <v>384</v>
      </c>
      <c r="V670" s="393"/>
      <c r="W670" s="7" t="s">
        <v>380</v>
      </c>
      <c r="X670" s="393" t="s">
        <v>99</v>
      </c>
      <c r="Y670" s="393" t="s">
        <v>23</v>
      </c>
    </row>
    <row r="671" spans="1:25" hidden="1" x14ac:dyDescent="0.25">
      <c r="A671" s="273" t="s">
        <v>314</v>
      </c>
      <c r="B671" s="251">
        <v>45750</v>
      </c>
      <c r="C671" s="252" t="s">
        <v>592</v>
      </c>
      <c r="D671" s="252"/>
      <c r="E671" s="253">
        <v>0</v>
      </c>
      <c r="F671" s="253">
        <v>1500000</v>
      </c>
      <c r="G671" s="274">
        <f>Tabla3[[#This Row],[INGRESOS]]-Tabla3[[#This Row],[EGRESOS]]</f>
        <v>1500000</v>
      </c>
      <c r="H671" s="274">
        <v>13514286.6</v>
      </c>
      <c r="I671" s="135">
        <v>1140</v>
      </c>
      <c r="J671" s="136">
        <f>Tabla3[[#This Row],[EGRESOS]]/Tabla3[[#This Row],[TC]]</f>
        <v>0</v>
      </c>
      <c r="K671" s="136">
        <f>Tabla3[[#This Row],[INGRESOS]]/Tabla3[[#This Row],[TC]]</f>
        <v>1315.7894736842106</v>
      </c>
      <c r="L671" s="8" t="s">
        <v>376</v>
      </c>
      <c r="M671" s="8" t="s">
        <v>377</v>
      </c>
      <c r="N671" s="8" t="s">
        <v>28</v>
      </c>
      <c r="O671" s="8" t="s">
        <v>184</v>
      </c>
      <c r="P671" s="8" t="s">
        <v>210</v>
      </c>
      <c r="Q671" s="8" t="s">
        <v>204</v>
      </c>
      <c r="R671" s="8"/>
      <c r="S671" s="8" t="s">
        <v>452</v>
      </c>
      <c r="T671" s="8"/>
      <c r="U671" s="8" t="s">
        <v>453</v>
      </c>
      <c r="V671" s="8"/>
      <c r="W671" s="8" t="s">
        <v>380</v>
      </c>
      <c r="X671" s="8" t="s">
        <v>23</v>
      </c>
      <c r="Y671" s="8" t="s">
        <v>45</v>
      </c>
    </row>
    <row r="672" spans="1:25" hidden="1" x14ac:dyDescent="0.25">
      <c r="A672" s="273" t="s">
        <v>314</v>
      </c>
      <c r="B672" s="251">
        <v>45750</v>
      </c>
      <c r="C672" s="252" t="s">
        <v>592</v>
      </c>
      <c r="D672" s="252"/>
      <c r="E672" s="253">
        <v>0</v>
      </c>
      <c r="F672" s="253">
        <v>800000</v>
      </c>
      <c r="G672" s="274">
        <f>Tabla3[[#This Row],[INGRESOS]]-Tabla3[[#This Row],[EGRESOS]]</f>
        <v>800000</v>
      </c>
      <c r="H672" s="274">
        <v>14314286.6</v>
      </c>
      <c r="I672" s="135">
        <v>1140</v>
      </c>
      <c r="J672" s="136">
        <f>Tabla3[[#This Row],[EGRESOS]]/Tabla3[[#This Row],[TC]]</f>
        <v>0</v>
      </c>
      <c r="K672" s="136">
        <f>Tabla3[[#This Row],[INGRESOS]]/Tabla3[[#This Row],[TC]]</f>
        <v>701.75438596491233</v>
      </c>
      <c r="L672" s="8" t="s">
        <v>376</v>
      </c>
      <c r="M672" s="8" t="s">
        <v>377</v>
      </c>
      <c r="N672" s="8" t="s">
        <v>28</v>
      </c>
      <c r="O672" s="8" t="s">
        <v>184</v>
      </c>
      <c r="P672" s="8" t="s">
        <v>210</v>
      </c>
      <c r="Q672" s="8" t="s">
        <v>204</v>
      </c>
      <c r="R672" s="8"/>
      <c r="S672" s="8" t="s">
        <v>452</v>
      </c>
      <c r="T672" s="8"/>
      <c r="U672" s="8" t="s">
        <v>453</v>
      </c>
      <c r="V672" s="8"/>
      <c r="W672" s="7" t="s">
        <v>380</v>
      </c>
      <c r="X672" s="8" t="s">
        <v>23</v>
      </c>
      <c r="Y672" s="8" t="s">
        <v>45</v>
      </c>
    </row>
    <row r="673" spans="1:25" hidden="1" x14ac:dyDescent="0.25">
      <c r="A673" s="273" t="s">
        <v>314</v>
      </c>
      <c r="B673" s="251">
        <v>45750</v>
      </c>
      <c r="C673" s="252" t="s">
        <v>603</v>
      </c>
      <c r="D673" s="252"/>
      <c r="E673" s="253">
        <v>0</v>
      </c>
      <c r="F673" s="253">
        <v>2087000</v>
      </c>
      <c r="G673" s="274">
        <f>Tabla3[[#This Row],[INGRESOS]]-Tabla3[[#This Row],[EGRESOS]]</f>
        <v>2087000</v>
      </c>
      <c r="H673" s="274">
        <v>16401286.6</v>
      </c>
      <c r="I673" s="135">
        <v>1140</v>
      </c>
      <c r="J673" s="136">
        <f>Tabla3[[#This Row],[EGRESOS]]/Tabla3[[#This Row],[TC]]</f>
        <v>0</v>
      </c>
      <c r="K673" s="136">
        <f>Tabla3[[#This Row],[INGRESOS]]/Tabla3[[#This Row],[TC]]</f>
        <v>1830.7017543859649</v>
      </c>
      <c r="L673" s="8" t="s">
        <v>376</v>
      </c>
      <c r="M673" s="8" t="s">
        <v>377</v>
      </c>
      <c r="N673" s="8" t="s">
        <v>28</v>
      </c>
      <c r="O673" s="8" t="s">
        <v>184</v>
      </c>
      <c r="P673" s="8" t="s">
        <v>210</v>
      </c>
      <c r="Q673" s="8" t="s">
        <v>204</v>
      </c>
      <c r="R673" s="8"/>
      <c r="S673" s="8" t="s">
        <v>452</v>
      </c>
      <c r="T673" s="8"/>
      <c r="U673" s="8" t="s">
        <v>453</v>
      </c>
      <c r="V673" s="8"/>
      <c r="W673" s="8" t="s">
        <v>380</v>
      </c>
      <c r="X673" s="8" t="s">
        <v>23</v>
      </c>
      <c r="Y673" s="8" t="s">
        <v>45</v>
      </c>
    </row>
    <row r="674" spans="1:25" hidden="1" x14ac:dyDescent="0.25">
      <c r="A674" s="273" t="s">
        <v>314</v>
      </c>
      <c r="B674" s="251">
        <v>45750</v>
      </c>
      <c r="C674" s="252" t="s">
        <v>592</v>
      </c>
      <c r="D674" s="252"/>
      <c r="E674" s="253">
        <v>0</v>
      </c>
      <c r="F674" s="253">
        <v>113000</v>
      </c>
      <c r="G674" s="274">
        <f>Tabla3[[#This Row],[INGRESOS]]-Tabla3[[#This Row],[EGRESOS]]</f>
        <v>113000</v>
      </c>
      <c r="H674" s="274">
        <v>16514286.6</v>
      </c>
      <c r="I674" s="135">
        <v>1140</v>
      </c>
      <c r="J674" s="136">
        <f>Tabla3[[#This Row],[EGRESOS]]/Tabla3[[#This Row],[TC]]</f>
        <v>0</v>
      </c>
      <c r="K674" s="136">
        <f>Tabla3[[#This Row],[INGRESOS]]/Tabla3[[#This Row],[TC]]</f>
        <v>99.122807017543863</v>
      </c>
      <c r="L674" s="8" t="s">
        <v>376</v>
      </c>
      <c r="M674" s="8" t="s">
        <v>377</v>
      </c>
      <c r="N674" s="8" t="s">
        <v>28</v>
      </c>
      <c r="O674" s="8" t="s">
        <v>184</v>
      </c>
      <c r="P674" s="8" t="s">
        <v>210</v>
      </c>
      <c r="Q674" s="8" t="s">
        <v>204</v>
      </c>
      <c r="R674" s="8"/>
      <c r="S674" s="8" t="s">
        <v>452</v>
      </c>
      <c r="T674" s="8"/>
      <c r="U674" s="8" t="s">
        <v>453</v>
      </c>
      <c r="V674" s="8"/>
      <c r="W674" s="7" t="s">
        <v>380</v>
      </c>
      <c r="X674" s="8" t="s">
        <v>23</v>
      </c>
      <c r="Y674" s="8" t="s">
        <v>45</v>
      </c>
    </row>
    <row r="675" spans="1:25" hidden="1" x14ac:dyDescent="0.25">
      <c r="A675" s="345" t="s">
        <v>314</v>
      </c>
      <c r="B675" s="346">
        <v>45750</v>
      </c>
      <c r="C675" s="347" t="s">
        <v>604</v>
      </c>
      <c r="D675" s="347"/>
      <c r="E675" s="348">
        <v>17500000</v>
      </c>
      <c r="F675" s="348">
        <v>0</v>
      </c>
      <c r="G675" s="342">
        <f>Tabla3[[#This Row],[INGRESOS]]-Tabla3[[#This Row],[EGRESOS]]</f>
        <v>-17500000</v>
      </c>
      <c r="H675" s="342">
        <v>-6367927.0899999999</v>
      </c>
      <c r="I675" s="341">
        <v>1140</v>
      </c>
      <c r="J675" s="343">
        <f>Tabla3[[#This Row],[EGRESOS]]/Tabla3[[#This Row],[TC]]</f>
        <v>15350.877192982456</v>
      </c>
      <c r="K675" s="343">
        <f>Tabla3[[#This Row],[INGRESOS]]/Tabla3[[#This Row],[TC]]</f>
        <v>0</v>
      </c>
      <c r="L675" s="340" t="s">
        <v>376</v>
      </c>
      <c r="M675" s="340" t="s">
        <v>377</v>
      </c>
      <c r="N675" s="340" t="s">
        <v>28</v>
      </c>
      <c r="O675" s="340" t="s">
        <v>244</v>
      </c>
      <c r="P675" s="340" t="s">
        <v>38</v>
      </c>
      <c r="Q675" s="340" t="s">
        <v>248</v>
      </c>
      <c r="R675" s="340" t="s">
        <v>605</v>
      </c>
      <c r="S675" s="340" t="s">
        <v>606</v>
      </c>
      <c r="T675" s="340"/>
      <c r="U675" s="340" t="s">
        <v>607</v>
      </c>
      <c r="V675" s="340"/>
      <c r="W675" s="272" t="s">
        <v>380</v>
      </c>
      <c r="X675" s="340" t="s">
        <v>36</v>
      </c>
      <c r="Y675" s="340" t="s">
        <v>23</v>
      </c>
    </row>
    <row r="676" spans="1:25" hidden="1" x14ac:dyDescent="0.25">
      <c r="A676" s="345" t="s">
        <v>314</v>
      </c>
      <c r="B676" s="346">
        <v>45750</v>
      </c>
      <c r="C676" s="347" t="s">
        <v>604</v>
      </c>
      <c r="D676" s="347"/>
      <c r="E676" s="348">
        <v>5382213.6900000013</v>
      </c>
      <c r="F676" s="348">
        <v>0</v>
      </c>
      <c r="G676" s="342">
        <f>Tabla3[[#This Row],[INGRESOS]]-Tabla3[[#This Row],[EGRESOS]]</f>
        <v>-5382213.6900000013</v>
      </c>
      <c r="H676" s="342">
        <v>-6367927.0899999999</v>
      </c>
      <c r="I676" s="341">
        <v>1140</v>
      </c>
      <c r="J676" s="343">
        <f>Tabla3[[#This Row],[EGRESOS]]/Tabla3[[#This Row],[TC]]</f>
        <v>4721.2400789473695</v>
      </c>
      <c r="K676" s="343">
        <f>Tabla3[[#This Row],[INGRESOS]]/Tabla3[[#This Row],[TC]]</f>
        <v>0</v>
      </c>
      <c r="L676" s="340" t="s">
        <v>376</v>
      </c>
      <c r="M676" s="340" t="s">
        <v>377</v>
      </c>
      <c r="N676" s="340" t="s">
        <v>28</v>
      </c>
      <c r="O676" s="340" t="s">
        <v>244</v>
      </c>
      <c r="P676" s="340" t="s">
        <v>38</v>
      </c>
      <c r="Q676" s="340" t="s">
        <v>248</v>
      </c>
      <c r="R676" s="340" t="s">
        <v>605</v>
      </c>
      <c r="S676" s="340" t="s">
        <v>606</v>
      </c>
      <c r="T676" s="340"/>
      <c r="U676" s="340" t="s">
        <v>607</v>
      </c>
      <c r="V676" s="340"/>
      <c r="W676" s="272" t="s">
        <v>380</v>
      </c>
      <c r="X676" s="340" t="s">
        <v>109</v>
      </c>
      <c r="Y676" s="340" t="s">
        <v>23</v>
      </c>
    </row>
    <row r="677" spans="1:25" hidden="1" x14ac:dyDescent="0.25">
      <c r="A677" s="273" t="s">
        <v>314</v>
      </c>
      <c r="B677" s="251">
        <v>45750</v>
      </c>
      <c r="C677" s="252" t="s">
        <v>608</v>
      </c>
      <c r="D677" s="252"/>
      <c r="E677" s="253">
        <v>282723.28999999998</v>
      </c>
      <c r="F677" s="253">
        <v>0</v>
      </c>
      <c r="G677" s="274">
        <f>Tabla3[[#This Row],[INGRESOS]]-Tabla3[[#This Row],[EGRESOS]]</f>
        <v>-282723.28999999998</v>
      </c>
      <c r="H677" s="274">
        <v>-6650650.3799999999</v>
      </c>
      <c r="I677" s="135">
        <v>1140</v>
      </c>
      <c r="J677" s="136">
        <f>Tabla3[[#This Row],[EGRESOS]]/Tabla3[[#This Row],[TC]]</f>
        <v>248.00288596491225</v>
      </c>
      <c r="K677" s="136">
        <f>Tabla3[[#This Row],[INGRESOS]]/Tabla3[[#This Row],[TC]]</f>
        <v>0</v>
      </c>
      <c r="L677" s="8" t="s">
        <v>376</v>
      </c>
      <c r="M677" s="8" t="s">
        <v>377</v>
      </c>
      <c r="N677" s="8" t="s">
        <v>28</v>
      </c>
      <c r="O677" s="8" t="s">
        <v>184</v>
      </c>
      <c r="P677" s="8" t="s">
        <v>195</v>
      </c>
      <c r="Q677" s="8" t="s">
        <v>196</v>
      </c>
      <c r="R677" s="8" t="s">
        <v>609</v>
      </c>
      <c r="S677" s="8"/>
      <c r="T677" s="8"/>
      <c r="U677" s="8" t="s">
        <v>384</v>
      </c>
      <c r="V677" s="8"/>
      <c r="W677" s="8" t="s">
        <v>380</v>
      </c>
      <c r="X677" s="8" t="s">
        <v>99</v>
      </c>
      <c r="Y677" s="8" t="s">
        <v>23</v>
      </c>
    </row>
    <row r="678" spans="1:25" hidden="1" x14ac:dyDescent="0.25">
      <c r="A678" s="273" t="s">
        <v>314</v>
      </c>
      <c r="B678" s="251">
        <v>45750</v>
      </c>
      <c r="C678" s="252" t="s">
        <v>566</v>
      </c>
      <c r="D678" s="252"/>
      <c r="E678" s="253">
        <v>138989.62</v>
      </c>
      <c r="F678" s="253">
        <v>0</v>
      </c>
      <c r="G678" s="274">
        <f>Tabla3[[#This Row],[INGRESOS]]-Tabla3[[#This Row],[EGRESOS]]</f>
        <v>-138989.62</v>
      </c>
      <c r="H678" s="274">
        <v>-6789640</v>
      </c>
      <c r="I678" s="135">
        <v>1140</v>
      </c>
      <c r="J678" s="136">
        <f>Tabla3[[#This Row],[EGRESOS]]/Tabla3[[#This Row],[TC]]</f>
        <v>121.92071929824561</v>
      </c>
      <c r="K678" s="136">
        <f>Tabla3[[#This Row],[INGRESOS]]/Tabla3[[#This Row],[TC]]</f>
        <v>0</v>
      </c>
      <c r="L678" s="8" t="s">
        <v>376</v>
      </c>
      <c r="M678" s="8" t="s">
        <v>377</v>
      </c>
      <c r="N678" s="8" t="s">
        <v>28</v>
      </c>
      <c r="O678" s="8" t="s">
        <v>184</v>
      </c>
      <c r="P678" s="8" t="s">
        <v>195</v>
      </c>
      <c r="Q678" s="8" t="s">
        <v>196</v>
      </c>
      <c r="R678" s="8" t="s">
        <v>394</v>
      </c>
      <c r="S678" s="8" t="s">
        <v>383</v>
      </c>
      <c r="T678" s="8"/>
      <c r="U678" s="8" t="s">
        <v>384</v>
      </c>
      <c r="V678" s="8"/>
      <c r="W678" s="7" t="s">
        <v>380</v>
      </c>
      <c r="X678" s="8" t="s">
        <v>99</v>
      </c>
      <c r="Y678" s="8" t="s">
        <v>23</v>
      </c>
    </row>
    <row r="679" spans="1:25" hidden="1" x14ac:dyDescent="0.25">
      <c r="A679" s="273" t="s">
        <v>314</v>
      </c>
      <c r="B679" s="251">
        <v>45750</v>
      </c>
      <c r="C679" s="252" t="s">
        <v>593</v>
      </c>
      <c r="D679" s="252"/>
      <c r="E679" s="253">
        <v>27000</v>
      </c>
      <c r="F679" s="253">
        <v>0</v>
      </c>
      <c r="G679" s="274">
        <f>Tabla3[[#This Row],[INGRESOS]]-Tabla3[[#This Row],[EGRESOS]]</f>
        <v>-27000</v>
      </c>
      <c r="H679" s="274">
        <v>-6816640</v>
      </c>
      <c r="I679" s="135">
        <v>1140</v>
      </c>
      <c r="J679" s="136">
        <f>Tabla3[[#This Row],[EGRESOS]]/Tabla3[[#This Row],[TC]]</f>
        <v>23.684210526315791</v>
      </c>
      <c r="K679" s="136">
        <f>Tabla3[[#This Row],[INGRESOS]]/Tabla3[[#This Row],[TC]]</f>
        <v>0</v>
      </c>
      <c r="L679" s="8" t="s">
        <v>376</v>
      </c>
      <c r="M679" s="8" t="s">
        <v>377</v>
      </c>
      <c r="N679" s="8" t="s">
        <v>28</v>
      </c>
      <c r="O679" s="8" t="s">
        <v>184</v>
      </c>
      <c r="P679" s="8" t="s">
        <v>195</v>
      </c>
      <c r="Q679" s="8" t="s">
        <v>196</v>
      </c>
      <c r="R679" s="8" t="s">
        <v>394</v>
      </c>
      <c r="S679" s="8" t="s">
        <v>383</v>
      </c>
      <c r="T679" s="8"/>
      <c r="U679" s="8" t="s">
        <v>384</v>
      </c>
      <c r="V679" s="8"/>
      <c r="W679" s="8" t="s">
        <v>380</v>
      </c>
      <c r="X679" s="8" t="s">
        <v>99</v>
      </c>
      <c r="Y679" s="8" t="s">
        <v>23</v>
      </c>
    </row>
    <row r="680" spans="1:25" hidden="1" x14ac:dyDescent="0.25">
      <c r="A680" s="273" t="s">
        <v>314</v>
      </c>
      <c r="B680" s="251">
        <v>45755</v>
      </c>
      <c r="C680" s="252" t="s">
        <v>573</v>
      </c>
      <c r="D680" s="252"/>
      <c r="E680" s="253">
        <v>10000</v>
      </c>
      <c r="F680" s="253">
        <v>0</v>
      </c>
      <c r="G680" s="274">
        <f>Tabla3[[#This Row],[INGRESOS]]-Tabla3[[#This Row],[EGRESOS]]</f>
        <v>-10000</v>
      </c>
      <c r="H680" s="274">
        <v>-6826640</v>
      </c>
      <c r="I680" s="135">
        <v>1140</v>
      </c>
      <c r="J680" s="136">
        <f>Tabla3[[#This Row],[EGRESOS]]/Tabla3[[#This Row],[TC]]</f>
        <v>8.7719298245614041</v>
      </c>
      <c r="K680" s="136">
        <f>Tabla3[[#This Row],[INGRESOS]]/Tabla3[[#This Row],[TC]]</f>
        <v>0</v>
      </c>
      <c r="L680" s="8" t="s">
        <v>376</v>
      </c>
      <c r="M680" s="8" t="s">
        <v>377</v>
      </c>
      <c r="N680" s="8" t="s">
        <v>28</v>
      </c>
      <c r="O680" s="8" t="s">
        <v>244</v>
      </c>
      <c r="P680" s="8" t="s">
        <v>259</v>
      </c>
      <c r="Q680" s="8" t="s">
        <v>260</v>
      </c>
      <c r="R680" s="8" t="s">
        <v>472</v>
      </c>
      <c r="S680" s="8"/>
      <c r="T680" s="8"/>
      <c r="U680" s="8" t="s">
        <v>379</v>
      </c>
      <c r="V680" s="8"/>
      <c r="W680" s="7" t="s">
        <v>380</v>
      </c>
      <c r="X680" s="8"/>
      <c r="Y680" s="8"/>
    </row>
    <row r="681" spans="1:25" hidden="1" x14ac:dyDescent="0.25">
      <c r="A681" s="273" t="s">
        <v>314</v>
      </c>
      <c r="B681" s="251">
        <v>45755</v>
      </c>
      <c r="C681" s="252" t="s">
        <v>610</v>
      </c>
      <c r="D681" s="252"/>
      <c r="E681" s="253">
        <v>0</v>
      </c>
      <c r="F681" s="253">
        <v>10000000</v>
      </c>
      <c r="G681" s="274">
        <f>Tabla3[[#This Row],[INGRESOS]]-Tabla3[[#This Row],[EGRESOS]]</f>
        <v>10000000</v>
      </c>
      <c r="H681" s="274">
        <v>3173360</v>
      </c>
      <c r="I681" s="135">
        <v>1140</v>
      </c>
      <c r="J681" s="136">
        <f>Tabla3[[#This Row],[EGRESOS]]/Tabla3[[#This Row],[TC]]</f>
        <v>0</v>
      </c>
      <c r="K681" s="136">
        <f>Tabla3[[#This Row],[INGRESOS]]/Tabla3[[#This Row],[TC]]</f>
        <v>8771.9298245614027</v>
      </c>
      <c r="L681" s="8" t="s">
        <v>376</v>
      </c>
      <c r="M681" s="8" t="s">
        <v>377</v>
      </c>
      <c r="N681" s="8" t="s">
        <v>28</v>
      </c>
      <c r="O681" s="8" t="s">
        <v>244</v>
      </c>
      <c r="P681" s="8" t="s">
        <v>261</v>
      </c>
      <c r="Q681" s="8" t="s">
        <v>262</v>
      </c>
      <c r="R681" s="8" t="s">
        <v>262</v>
      </c>
      <c r="S681" s="8" t="s">
        <v>28</v>
      </c>
      <c r="T681" s="8"/>
      <c r="U681" s="8" t="s">
        <v>442</v>
      </c>
      <c r="V681" s="8"/>
      <c r="W681" s="8" t="s">
        <v>380</v>
      </c>
      <c r="X681" s="8" t="s">
        <v>23</v>
      </c>
      <c r="Y681" s="8" t="s">
        <v>93</v>
      </c>
    </row>
    <row r="682" spans="1:25" hidden="1" x14ac:dyDescent="0.25">
      <c r="A682" s="273" t="s">
        <v>314</v>
      </c>
      <c r="B682" s="251">
        <v>45756</v>
      </c>
      <c r="C682" s="252" t="s">
        <v>573</v>
      </c>
      <c r="D682" s="252"/>
      <c r="E682" s="253">
        <v>300000</v>
      </c>
      <c r="F682" s="253">
        <v>0</v>
      </c>
      <c r="G682" s="274">
        <f>Tabla3[[#This Row],[INGRESOS]]-Tabla3[[#This Row],[EGRESOS]]</f>
        <v>-300000</v>
      </c>
      <c r="H682" s="274">
        <v>2873360</v>
      </c>
      <c r="I682" s="135">
        <v>1140</v>
      </c>
      <c r="J682" s="136">
        <f>Tabla3[[#This Row],[EGRESOS]]/Tabla3[[#This Row],[TC]]</f>
        <v>263.15789473684208</v>
      </c>
      <c r="K682" s="136">
        <f>Tabla3[[#This Row],[INGRESOS]]/Tabla3[[#This Row],[TC]]</f>
        <v>0</v>
      </c>
      <c r="L682" s="8" t="s">
        <v>376</v>
      </c>
      <c r="M682" s="8" t="s">
        <v>377</v>
      </c>
      <c r="N682" s="8" t="s">
        <v>28</v>
      </c>
      <c r="O682" s="8" t="s">
        <v>244</v>
      </c>
      <c r="P682" s="8" t="s">
        <v>259</v>
      </c>
      <c r="Q682" s="8" t="s">
        <v>260</v>
      </c>
      <c r="R682" s="8" t="s">
        <v>378</v>
      </c>
      <c r="S682" s="8"/>
      <c r="T682" s="8"/>
      <c r="U682" s="8" t="s">
        <v>379</v>
      </c>
      <c r="V682" s="8"/>
      <c r="W682" s="7" t="s">
        <v>380</v>
      </c>
      <c r="X682" s="8"/>
      <c r="Y682" s="8"/>
    </row>
    <row r="683" spans="1:25" hidden="1" x14ac:dyDescent="0.25">
      <c r="A683" s="273" t="s">
        <v>314</v>
      </c>
      <c r="B683" s="251">
        <v>45756</v>
      </c>
      <c r="C683" s="252" t="s">
        <v>568</v>
      </c>
      <c r="D683" s="252"/>
      <c r="E683" s="253">
        <v>416620</v>
      </c>
      <c r="F683" s="253">
        <v>0</v>
      </c>
      <c r="G683" s="274">
        <f>Tabla3[[#This Row],[INGRESOS]]-Tabla3[[#This Row],[EGRESOS]]</f>
        <v>-416620</v>
      </c>
      <c r="H683" s="274">
        <v>2456740</v>
      </c>
      <c r="I683" s="135">
        <v>1140</v>
      </c>
      <c r="J683" s="136">
        <f>Tabla3[[#This Row],[EGRESOS]]/Tabla3[[#This Row],[TC]]</f>
        <v>365.45614035087721</v>
      </c>
      <c r="K683" s="136">
        <f>Tabla3[[#This Row],[INGRESOS]]/Tabla3[[#This Row],[TC]]</f>
        <v>0</v>
      </c>
      <c r="L683" s="8" t="s">
        <v>376</v>
      </c>
      <c r="M683" s="8" t="s">
        <v>377</v>
      </c>
      <c r="N683" s="8" t="s">
        <v>28</v>
      </c>
      <c r="O683" s="8" t="s">
        <v>215</v>
      </c>
      <c r="P683" s="8" t="s">
        <v>216</v>
      </c>
      <c r="Q683" s="8" t="s">
        <v>217</v>
      </c>
      <c r="R683" s="8" t="s">
        <v>188</v>
      </c>
      <c r="S683" s="8" t="s">
        <v>396</v>
      </c>
      <c r="T683" s="8" t="s">
        <v>611</v>
      </c>
      <c r="U683" s="8" t="s">
        <v>412</v>
      </c>
      <c r="V683" s="8"/>
      <c r="W683" s="8" t="s">
        <v>380</v>
      </c>
      <c r="X683" s="8" t="s">
        <v>29</v>
      </c>
      <c r="Y683" s="8" t="s">
        <v>23</v>
      </c>
    </row>
    <row r="684" spans="1:25" hidden="1" x14ac:dyDescent="0.25">
      <c r="A684" s="273" t="s">
        <v>314</v>
      </c>
      <c r="B684" s="251">
        <v>45756</v>
      </c>
      <c r="C684" s="252" t="s">
        <v>568</v>
      </c>
      <c r="D684" s="252"/>
      <c r="E684" s="253">
        <v>444371.68</v>
      </c>
      <c r="F684" s="253">
        <v>0</v>
      </c>
      <c r="G684" s="274">
        <f>Tabla3[[#This Row],[INGRESOS]]-Tabla3[[#This Row],[EGRESOS]]</f>
        <v>-444371.68</v>
      </c>
      <c r="H684" s="274">
        <v>2012368.32</v>
      </c>
      <c r="I684" s="135">
        <v>1140</v>
      </c>
      <c r="J684" s="136">
        <f>Tabla3[[#This Row],[EGRESOS]]/Tabla3[[#This Row],[TC]]</f>
        <v>389.79971929824563</v>
      </c>
      <c r="K684" s="136">
        <f>Tabla3[[#This Row],[INGRESOS]]/Tabla3[[#This Row],[TC]]</f>
        <v>0</v>
      </c>
      <c r="L684" s="8" t="s">
        <v>376</v>
      </c>
      <c r="M684" s="8" t="s">
        <v>377</v>
      </c>
      <c r="N684" s="8" t="s">
        <v>28</v>
      </c>
      <c r="O684" s="8" t="s">
        <v>184</v>
      </c>
      <c r="P684" s="8" t="s">
        <v>199</v>
      </c>
      <c r="Q684" s="8" t="s">
        <v>201</v>
      </c>
      <c r="R684" s="8" t="s">
        <v>612</v>
      </c>
      <c r="S684" s="8" t="s">
        <v>392</v>
      </c>
      <c r="T684" s="8"/>
      <c r="U684" s="8" t="s">
        <v>390</v>
      </c>
      <c r="V684" s="8"/>
      <c r="W684" s="7" t="s">
        <v>380</v>
      </c>
      <c r="X684" s="8" t="s">
        <v>99</v>
      </c>
      <c r="Y684" s="8" t="s">
        <v>23</v>
      </c>
    </row>
    <row r="685" spans="1:25" hidden="1" x14ac:dyDescent="0.25">
      <c r="A685" s="273" t="s">
        <v>314</v>
      </c>
      <c r="B685" s="251">
        <v>45756</v>
      </c>
      <c r="C685" s="252" t="s">
        <v>573</v>
      </c>
      <c r="D685" s="252"/>
      <c r="E685" s="253">
        <v>350000</v>
      </c>
      <c r="F685" s="253">
        <v>0</v>
      </c>
      <c r="G685" s="274">
        <f>Tabla3[[#This Row],[INGRESOS]]-Tabla3[[#This Row],[EGRESOS]]</f>
        <v>-350000</v>
      </c>
      <c r="H685" s="274">
        <v>1662368.32</v>
      </c>
      <c r="I685" s="135">
        <v>1140</v>
      </c>
      <c r="J685" s="136">
        <f>Tabla3[[#This Row],[EGRESOS]]/Tabla3[[#This Row],[TC]]</f>
        <v>307.01754385964909</v>
      </c>
      <c r="K685" s="136">
        <f>Tabla3[[#This Row],[INGRESOS]]/Tabla3[[#This Row],[TC]]</f>
        <v>0</v>
      </c>
      <c r="L685" s="8" t="s">
        <v>376</v>
      </c>
      <c r="M685" s="8" t="s">
        <v>377</v>
      </c>
      <c r="N685" s="8" t="s">
        <v>28</v>
      </c>
      <c r="O685" s="8" t="s">
        <v>244</v>
      </c>
      <c r="P685" s="8" t="s">
        <v>259</v>
      </c>
      <c r="Q685" s="8" t="s">
        <v>260</v>
      </c>
      <c r="R685" s="8" t="s">
        <v>467</v>
      </c>
      <c r="S685" s="8"/>
      <c r="T685" s="8"/>
      <c r="U685" s="8" t="s">
        <v>379</v>
      </c>
      <c r="V685" s="8"/>
      <c r="W685" s="8" t="s">
        <v>380</v>
      </c>
      <c r="X685" s="8"/>
      <c r="Y685" s="8"/>
    </row>
    <row r="686" spans="1:25" hidden="1" x14ac:dyDescent="0.25">
      <c r="A686" s="273" t="s">
        <v>314</v>
      </c>
      <c r="B686" s="251">
        <v>45751</v>
      </c>
      <c r="C686" s="252" t="s">
        <v>911</v>
      </c>
      <c r="D686" s="252"/>
      <c r="E686" s="253">
        <v>0</v>
      </c>
      <c r="F686" s="253">
        <v>700000</v>
      </c>
      <c r="G686" s="274">
        <f>Tabla3[[#This Row],[INGRESOS]]-Tabla3[[#This Row],[EGRESOS]]</f>
        <v>700000</v>
      </c>
      <c r="H686" s="137">
        <v>-25825398.100000001</v>
      </c>
      <c r="I686" s="135">
        <v>1140</v>
      </c>
      <c r="J686" s="136">
        <f>Tabla3[[#This Row],[EGRESOS]]/Tabla3[[#This Row],[TC]]</f>
        <v>0</v>
      </c>
      <c r="K686" s="136">
        <f>Tabla3[[#This Row],[INGRESOS]]/Tabla3[[#This Row],[TC]]</f>
        <v>614.03508771929819</v>
      </c>
      <c r="L686" s="8" t="s">
        <v>376</v>
      </c>
      <c r="M686" s="8" t="s">
        <v>377</v>
      </c>
      <c r="N686" s="8" t="s">
        <v>20</v>
      </c>
      <c r="O686" s="8" t="s">
        <v>184</v>
      </c>
      <c r="P686" s="8" t="s">
        <v>203</v>
      </c>
      <c r="Q686" s="8" t="s">
        <v>204</v>
      </c>
      <c r="R686" s="8"/>
      <c r="S686" s="8" t="s">
        <v>386</v>
      </c>
      <c r="T686" s="8"/>
      <c r="U686" s="8" t="s">
        <v>439</v>
      </c>
      <c r="V686" s="8" t="s">
        <v>386</v>
      </c>
      <c r="W686" s="8" t="s">
        <v>380</v>
      </c>
      <c r="X686" s="8" t="s">
        <v>23</v>
      </c>
      <c r="Y686" s="8" t="s">
        <v>98</v>
      </c>
    </row>
    <row r="687" spans="1:25" hidden="1" x14ac:dyDescent="0.25">
      <c r="A687" s="273" t="s">
        <v>314</v>
      </c>
      <c r="B687" s="251">
        <v>45756</v>
      </c>
      <c r="C687" s="252" t="s">
        <v>568</v>
      </c>
      <c r="D687" s="252"/>
      <c r="E687" s="253">
        <v>1050000</v>
      </c>
      <c r="F687" s="253">
        <v>0</v>
      </c>
      <c r="G687" s="274">
        <f>Tabla3[[#This Row],[INGRESOS]]-Tabla3[[#This Row],[EGRESOS]]</f>
        <v>-1050000</v>
      </c>
      <c r="H687" s="274">
        <v>-1387631.68</v>
      </c>
      <c r="I687" s="135">
        <v>1140</v>
      </c>
      <c r="J687" s="136">
        <f>Tabla3[[#This Row],[EGRESOS]]/Tabla3[[#This Row],[TC]]</f>
        <v>921.0526315789474</v>
      </c>
      <c r="K687" s="136">
        <f>Tabla3[[#This Row],[INGRESOS]]/Tabla3[[#This Row],[TC]]</f>
        <v>0</v>
      </c>
      <c r="L687" s="8" t="s">
        <v>376</v>
      </c>
      <c r="M687" s="8" t="s">
        <v>377</v>
      </c>
      <c r="N687" s="8" t="s">
        <v>28</v>
      </c>
      <c r="O687" s="8" t="s">
        <v>184</v>
      </c>
      <c r="P687" s="8" t="s">
        <v>199</v>
      </c>
      <c r="Q687" s="8" t="s">
        <v>201</v>
      </c>
      <c r="R687" s="8" t="s">
        <v>613</v>
      </c>
      <c r="S687" s="8" t="s">
        <v>389</v>
      </c>
      <c r="T687" s="8"/>
      <c r="U687" s="8" t="s">
        <v>390</v>
      </c>
      <c r="V687" s="8"/>
      <c r="W687" s="8" t="s">
        <v>380</v>
      </c>
      <c r="X687" s="8" t="s">
        <v>99</v>
      </c>
      <c r="Y687" s="8" t="s">
        <v>23</v>
      </c>
    </row>
    <row r="688" spans="1:25" hidden="1" x14ac:dyDescent="0.25">
      <c r="A688" s="273" t="s">
        <v>314</v>
      </c>
      <c r="B688" s="251">
        <v>45756</v>
      </c>
      <c r="C688" s="252" t="s">
        <v>573</v>
      </c>
      <c r="D688" s="252"/>
      <c r="E688" s="253">
        <v>4300000</v>
      </c>
      <c r="F688" s="253">
        <v>0</v>
      </c>
      <c r="G688" s="274">
        <f>Tabla3[[#This Row],[INGRESOS]]-Tabla3[[#This Row],[EGRESOS]]</f>
        <v>-4300000</v>
      </c>
      <c r="H688" s="274">
        <v>-5687631.6799999997</v>
      </c>
      <c r="I688" s="135">
        <v>1140</v>
      </c>
      <c r="J688" s="136">
        <f>Tabla3[[#This Row],[EGRESOS]]/Tabla3[[#This Row],[TC]]</f>
        <v>3771.9298245614036</v>
      </c>
      <c r="K688" s="136">
        <f>Tabla3[[#This Row],[INGRESOS]]/Tabla3[[#This Row],[TC]]</f>
        <v>0</v>
      </c>
      <c r="L688" s="8" t="s">
        <v>376</v>
      </c>
      <c r="M688" s="8" t="s">
        <v>377</v>
      </c>
      <c r="N688" s="8" t="s">
        <v>28</v>
      </c>
      <c r="O688" s="8" t="s">
        <v>244</v>
      </c>
      <c r="P688" s="8" t="s">
        <v>259</v>
      </c>
      <c r="Q688" s="8" t="s">
        <v>260</v>
      </c>
      <c r="R688" s="8" t="s">
        <v>378</v>
      </c>
      <c r="S688" s="8"/>
      <c r="T688" s="8"/>
      <c r="U688" s="8" t="s">
        <v>379</v>
      </c>
      <c r="V688" s="8"/>
      <c r="W688" s="7" t="s">
        <v>380</v>
      </c>
      <c r="X688" s="8"/>
      <c r="Y688" s="8"/>
    </row>
    <row r="689" spans="1:25" hidden="1" x14ac:dyDescent="0.25">
      <c r="A689" s="273" t="s">
        <v>314</v>
      </c>
      <c r="B689" s="251">
        <v>45756</v>
      </c>
      <c r="C689" s="252" t="s">
        <v>568</v>
      </c>
      <c r="D689" s="252"/>
      <c r="E689" s="253">
        <v>50000</v>
      </c>
      <c r="F689" s="253">
        <v>0</v>
      </c>
      <c r="G689" s="274">
        <f>Tabla3[[#This Row],[INGRESOS]]-Tabla3[[#This Row],[EGRESOS]]</f>
        <v>-50000</v>
      </c>
      <c r="H689" s="274">
        <v>-5737631.6799999997</v>
      </c>
      <c r="I689" s="135">
        <v>1140</v>
      </c>
      <c r="J689" s="136">
        <f>Tabla3[[#This Row],[EGRESOS]]/Tabla3[[#This Row],[TC]]</f>
        <v>43.859649122807021</v>
      </c>
      <c r="K689" s="136">
        <f>Tabla3[[#This Row],[INGRESOS]]/Tabla3[[#This Row],[TC]]</f>
        <v>0</v>
      </c>
      <c r="L689" s="8" t="s">
        <v>376</v>
      </c>
      <c r="M689" s="8" t="s">
        <v>377</v>
      </c>
      <c r="N689" s="8" t="s">
        <v>28</v>
      </c>
      <c r="O689" s="8" t="s">
        <v>215</v>
      </c>
      <c r="P689" s="8" t="s">
        <v>216</v>
      </c>
      <c r="Q689" s="8" t="s">
        <v>218</v>
      </c>
      <c r="R689" s="8" t="s">
        <v>614</v>
      </c>
      <c r="S689" s="8" t="s">
        <v>615</v>
      </c>
      <c r="T689" s="8" t="s">
        <v>616</v>
      </c>
      <c r="U689" s="8" t="s">
        <v>412</v>
      </c>
      <c r="V689" s="8"/>
      <c r="W689" s="8" t="s">
        <v>380</v>
      </c>
      <c r="X689" s="8" t="s">
        <v>29</v>
      </c>
      <c r="Y689" s="8" t="s">
        <v>23</v>
      </c>
    </row>
    <row r="690" spans="1:25" hidden="1" x14ac:dyDescent="0.25">
      <c r="A690" s="273" t="s">
        <v>314</v>
      </c>
      <c r="B690" s="251">
        <v>45756</v>
      </c>
      <c r="C690" s="252" t="s">
        <v>566</v>
      </c>
      <c r="D690" s="252"/>
      <c r="E690" s="253">
        <v>23765.95</v>
      </c>
      <c r="F690" s="253">
        <v>0</v>
      </c>
      <c r="G690" s="274">
        <f>Tabla3[[#This Row],[INGRESOS]]-Tabla3[[#This Row],[EGRESOS]]</f>
        <v>-23765.95</v>
      </c>
      <c r="H690" s="274">
        <v>-5761397.6299999999</v>
      </c>
      <c r="I690" s="135">
        <v>1140</v>
      </c>
      <c r="J690" s="136">
        <f>Tabla3[[#This Row],[EGRESOS]]/Tabla3[[#This Row],[TC]]</f>
        <v>20.847324561403511</v>
      </c>
      <c r="K690" s="136">
        <f>Tabla3[[#This Row],[INGRESOS]]/Tabla3[[#This Row],[TC]]</f>
        <v>0</v>
      </c>
      <c r="L690" s="8" t="s">
        <v>376</v>
      </c>
      <c r="M690" s="8" t="s">
        <v>377</v>
      </c>
      <c r="N690" s="8" t="s">
        <v>28</v>
      </c>
      <c r="O690" s="8" t="s">
        <v>184</v>
      </c>
      <c r="P690" s="8" t="s">
        <v>195</v>
      </c>
      <c r="Q690" s="8" t="s">
        <v>196</v>
      </c>
      <c r="R690" s="8" t="s">
        <v>394</v>
      </c>
      <c r="S690" s="8" t="s">
        <v>383</v>
      </c>
      <c r="T690" s="8"/>
      <c r="U690" s="8" t="s">
        <v>384</v>
      </c>
      <c r="V690" s="8"/>
      <c r="W690" s="7" t="s">
        <v>380</v>
      </c>
      <c r="X690" s="8" t="s">
        <v>29</v>
      </c>
      <c r="Y690" s="8" t="s">
        <v>23</v>
      </c>
    </row>
    <row r="691" spans="1:25" hidden="1" x14ac:dyDescent="0.25">
      <c r="A691" s="273" t="s">
        <v>314</v>
      </c>
      <c r="B691" s="251">
        <v>45757</v>
      </c>
      <c r="C691" s="252" t="s">
        <v>610</v>
      </c>
      <c r="D691" s="252"/>
      <c r="E691" s="253">
        <v>0</v>
      </c>
      <c r="F691" s="253">
        <v>7500000</v>
      </c>
      <c r="G691" s="274">
        <f>Tabla3[[#This Row],[INGRESOS]]-Tabla3[[#This Row],[EGRESOS]]</f>
        <v>7500000</v>
      </c>
      <c r="H691" s="274">
        <f>Tabla3[[#This Row],[INGRESOS]]-Tabla3[[#This Row],[EGRESOS]]</f>
        <v>7500000</v>
      </c>
      <c r="I691" s="135">
        <v>1140</v>
      </c>
      <c r="J691" s="136">
        <f>Tabla3[[#This Row],[EGRESOS]]/Tabla3[[#This Row],[TC]]</f>
        <v>0</v>
      </c>
      <c r="K691" s="136">
        <f>Tabla3[[#This Row],[INGRESOS]]/Tabla3[[#This Row],[TC]]</f>
        <v>6578.9473684210525</v>
      </c>
      <c r="L691" s="8" t="s">
        <v>376</v>
      </c>
      <c r="M691" s="8" t="s">
        <v>377</v>
      </c>
      <c r="N691" s="8" t="s">
        <v>28</v>
      </c>
      <c r="O691" s="8" t="s">
        <v>244</v>
      </c>
      <c r="P691" s="8" t="s">
        <v>261</v>
      </c>
      <c r="Q691" s="8" t="s">
        <v>262</v>
      </c>
      <c r="R691" s="8" t="s">
        <v>262</v>
      </c>
      <c r="S691" s="8" t="s">
        <v>28</v>
      </c>
      <c r="T691" s="8"/>
      <c r="U691" s="8" t="s">
        <v>442</v>
      </c>
      <c r="V691" s="8"/>
      <c r="W691" s="8" t="s">
        <v>380</v>
      </c>
      <c r="X691" s="8" t="s">
        <v>23</v>
      </c>
      <c r="Y691" s="8" t="s">
        <v>93</v>
      </c>
    </row>
    <row r="692" spans="1:25" hidden="1" x14ac:dyDescent="0.25">
      <c r="A692" s="273" t="s">
        <v>314</v>
      </c>
      <c r="B692" s="251">
        <v>45757</v>
      </c>
      <c r="C692" s="252" t="s">
        <v>573</v>
      </c>
      <c r="D692" s="252"/>
      <c r="E692" s="253">
        <v>3000000</v>
      </c>
      <c r="F692" s="253">
        <v>0</v>
      </c>
      <c r="G692" s="274">
        <f>Tabla3[[#This Row],[INGRESOS]]-Tabla3[[#This Row],[EGRESOS]]</f>
        <v>-3000000</v>
      </c>
      <c r="H692" s="274">
        <f>Tabla3[[#This Row],[INGRESOS]]-Tabla3[[#This Row],[EGRESOS]]</f>
        <v>-3000000</v>
      </c>
      <c r="I692" s="135">
        <v>1140</v>
      </c>
      <c r="J692" s="136">
        <f>Tabla3[[#This Row],[EGRESOS]]/Tabla3[[#This Row],[TC]]</f>
        <v>2631.5789473684213</v>
      </c>
      <c r="K692" s="136">
        <f>Tabla3[[#This Row],[INGRESOS]]/Tabla3[[#This Row],[TC]]</f>
        <v>0</v>
      </c>
      <c r="L692" s="8" t="s">
        <v>376</v>
      </c>
      <c r="M692" s="8" t="s">
        <v>377</v>
      </c>
      <c r="N692" s="8" t="s">
        <v>28</v>
      </c>
      <c r="O692" s="8" t="s">
        <v>244</v>
      </c>
      <c r="P692" s="8" t="s">
        <v>259</v>
      </c>
      <c r="Q692" s="8" t="s">
        <v>260</v>
      </c>
      <c r="R692" s="8" t="s">
        <v>617</v>
      </c>
      <c r="S692" s="8" t="s">
        <v>618</v>
      </c>
      <c r="T692" s="8"/>
      <c r="U692" s="8" t="s">
        <v>379</v>
      </c>
      <c r="V692" s="8"/>
      <c r="W692" s="7" t="s">
        <v>380</v>
      </c>
      <c r="X692" s="8"/>
      <c r="Y692" s="8"/>
    </row>
    <row r="693" spans="1:25" hidden="1" x14ac:dyDescent="0.25">
      <c r="A693" s="273" t="s">
        <v>314</v>
      </c>
      <c r="B693" s="251">
        <v>45757</v>
      </c>
      <c r="C693" s="252" t="s">
        <v>566</v>
      </c>
      <c r="D693" s="252"/>
      <c r="E693" s="253">
        <v>300</v>
      </c>
      <c r="F693" s="253">
        <v>0</v>
      </c>
      <c r="G693" s="274">
        <f>Tabla3[[#This Row],[INGRESOS]]-Tabla3[[#This Row],[EGRESOS]]</f>
        <v>-300</v>
      </c>
      <c r="H693" s="274">
        <f>Tabla3[[#This Row],[INGRESOS]]-Tabla3[[#This Row],[EGRESOS]]</f>
        <v>-300</v>
      </c>
      <c r="I693" s="135">
        <v>1140</v>
      </c>
      <c r="J693" s="136">
        <f>Tabla3[[#This Row],[EGRESOS]]/Tabla3[[#This Row],[TC]]</f>
        <v>0.26315789473684209</v>
      </c>
      <c r="K693" s="136">
        <f>Tabla3[[#This Row],[INGRESOS]]/Tabla3[[#This Row],[TC]]</f>
        <v>0</v>
      </c>
      <c r="L693" s="8" t="s">
        <v>376</v>
      </c>
      <c r="M693" s="8" t="s">
        <v>377</v>
      </c>
      <c r="N693" s="8" t="s">
        <v>28</v>
      </c>
      <c r="O693" s="8" t="s">
        <v>184</v>
      </c>
      <c r="P693" s="8" t="s">
        <v>195</v>
      </c>
      <c r="Q693" s="8" t="s">
        <v>196</v>
      </c>
      <c r="R693" s="8" t="s">
        <v>394</v>
      </c>
      <c r="S693" s="8" t="s">
        <v>383</v>
      </c>
      <c r="T693" s="8"/>
      <c r="U693" s="8" t="s">
        <v>384</v>
      </c>
      <c r="V693" s="8"/>
      <c r="W693" s="8" t="s">
        <v>380</v>
      </c>
      <c r="X693" s="8" t="s">
        <v>99</v>
      </c>
      <c r="Y693" s="8" t="s">
        <v>23</v>
      </c>
    </row>
    <row r="694" spans="1:25" hidden="1" x14ac:dyDescent="0.25">
      <c r="A694" s="273" t="s">
        <v>314</v>
      </c>
      <c r="B694" s="251">
        <v>45761</v>
      </c>
      <c r="C694" s="252" t="s">
        <v>568</v>
      </c>
      <c r="D694" s="252"/>
      <c r="E694" s="253">
        <v>550000</v>
      </c>
      <c r="F694" s="253">
        <v>0</v>
      </c>
      <c r="G694" s="274">
        <f>Tabla3[[#This Row],[INGRESOS]]-Tabla3[[#This Row],[EGRESOS]]</f>
        <v>-550000</v>
      </c>
      <c r="H694" s="274">
        <v>-2346520.63</v>
      </c>
      <c r="I694" s="135">
        <v>1140</v>
      </c>
      <c r="J694" s="136">
        <f>Tabla3[[#This Row],[EGRESOS]]/Tabla3[[#This Row],[TC]]</f>
        <v>482.45614035087721</v>
      </c>
      <c r="K694" s="136">
        <f>Tabla3[[#This Row],[INGRESOS]]/Tabla3[[#This Row],[TC]]</f>
        <v>0</v>
      </c>
      <c r="L694" s="8" t="s">
        <v>376</v>
      </c>
      <c r="M694" s="8" t="s">
        <v>377</v>
      </c>
      <c r="N694" s="8" t="s">
        <v>28</v>
      </c>
      <c r="O694" s="8" t="s">
        <v>184</v>
      </c>
      <c r="P694" s="8" t="s">
        <v>210</v>
      </c>
      <c r="Q694" s="8" t="s">
        <v>205</v>
      </c>
      <c r="R694" s="8"/>
      <c r="S694" s="8" t="s">
        <v>524</v>
      </c>
      <c r="T694" s="8"/>
      <c r="U694" s="8" t="s">
        <v>453</v>
      </c>
      <c r="V694" s="8"/>
      <c r="W694" s="7" t="s">
        <v>380</v>
      </c>
      <c r="X694" s="8" t="s">
        <v>39</v>
      </c>
      <c r="Y694" s="8" t="s">
        <v>23</v>
      </c>
    </row>
    <row r="695" spans="1:25" hidden="1" x14ac:dyDescent="0.25">
      <c r="A695" s="273" t="s">
        <v>314</v>
      </c>
      <c r="B695" s="251">
        <v>45761</v>
      </c>
      <c r="C695" s="252" t="s">
        <v>568</v>
      </c>
      <c r="D695" s="252"/>
      <c r="E695" s="253">
        <v>52644.52</v>
      </c>
      <c r="F695" s="253">
        <v>0</v>
      </c>
      <c r="G695" s="274">
        <f>Tabla3[[#This Row],[INGRESOS]]-Tabla3[[#This Row],[EGRESOS]]</f>
        <v>-52644.52</v>
      </c>
      <c r="H695" s="274">
        <v>-2346520.63</v>
      </c>
      <c r="I695" s="135">
        <v>1140</v>
      </c>
      <c r="J695" s="136">
        <f>Tabla3[[#This Row],[EGRESOS]]/Tabla3[[#This Row],[TC]]</f>
        <v>46.179403508771927</v>
      </c>
      <c r="K695" s="136">
        <f>Tabla3[[#This Row],[INGRESOS]]/Tabla3[[#This Row],[TC]]</f>
        <v>0</v>
      </c>
      <c r="L695" s="8" t="s">
        <v>376</v>
      </c>
      <c r="M695" s="8" t="s">
        <v>377</v>
      </c>
      <c r="N695" s="8" t="s">
        <v>28</v>
      </c>
      <c r="O695" s="8" t="s">
        <v>184</v>
      </c>
      <c r="P695" s="8" t="s">
        <v>199</v>
      </c>
      <c r="Q695" s="8" t="s">
        <v>201</v>
      </c>
      <c r="R695" s="8" t="s">
        <v>619</v>
      </c>
      <c r="S695" s="8" t="s">
        <v>389</v>
      </c>
      <c r="T695" s="8"/>
      <c r="U695" s="8" t="s">
        <v>390</v>
      </c>
      <c r="V695" s="8"/>
      <c r="W695" s="7" t="s">
        <v>380</v>
      </c>
      <c r="X695" s="8" t="s">
        <v>99</v>
      </c>
      <c r="Y695" s="8" t="s">
        <v>23</v>
      </c>
    </row>
    <row r="696" spans="1:25" hidden="1" x14ac:dyDescent="0.25">
      <c r="A696" s="273" t="s">
        <v>314</v>
      </c>
      <c r="B696" s="251">
        <v>45761</v>
      </c>
      <c r="C696" s="252" t="s">
        <v>568</v>
      </c>
      <c r="D696" s="252"/>
      <c r="E696" s="253">
        <v>150000</v>
      </c>
      <c r="F696" s="253">
        <v>0</v>
      </c>
      <c r="G696" s="274">
        <f>Tabla3[[#This Row],[INGRESOS]]-Tabla3[[#This Row],[EGRESOS]]</f>
        <v>-150000</v>
      </c>
      <c r="H696" s="274">
        <v>-2346520.63</v>
      </c>
      <c r="I696" s="135">
        <v>1140</v>
      </c>
      <c r="J696" s="136">
        <f>Tabla3[[#This Row],[EGRESOS]]/Tabla3[[#This Row],[TC]]</f>
        <v>131.57894736842104</v>
      </c>
      <c r="K696" s="136">
        <f>Tabla3[[#This Row],[INGRESOS]]/Tabla3[[#This Row],[TC]]</f>
        <v>0</v>
      </c>
      <c r="L696" s="8" t="s">
        <v>376</v>
      </c>
      <c r="M696" s="8" t="s">
        <v>377</v>
      </c>
      <c r="N696" s="8" t="s">
        <v>28</v>
      </c>
      <c r="O696" s="8" t="s">
        <v>184</v>
      </c>
      <c r="P696" s="8" t="s">
        <v>199</v>
      </c>
      <c r="Q696" s="8" t="s">
        <v>200</v>
      </c>
      <c r="R696" s="8"/>
      <c r="S696" s="8" t="s">
        <v>470</v>
      </c>
      <c r="T696" s="8"/>
      <c r="U696" s="8" t="s">
        <v>390</v>
      </c>
      <c r="V696" s="8"/>
      <c r="W696" s="7" t="s">
        <v>380</v>
      </c>
      <c r="X696" s="8" t="s">
        <v>99</v>
      </c>
      <c r="Y696" s="8" t="s">
        <v>23</v>
      </c>
    </row>
    <row r="697" spans="1:25" hidden="1" x14ac:dyDescent="0.25">
      <c r="A697" s="273" t="s">
        <v>314</v>
      </c>
      <c r="B697" s="251">
        <v>45751</v>
      </c>
      <c r="C697" s="252" t="s">
        <v>888</v>
      </c>
      <c r="D697" s="252"/>
      <c r="E697" s="253">
        <v>0</v>
      </c>
      <c r="F697" s="253">
        <v>30000</v>
      </c>
      <c r="G697" s="274">
        <f>Tabla3[[#This Row],[INGRESOS]]-Tabla3[[#This Row],[EGRESOS]]</f>
        <v>30000</v>
      </c>
      <c r="H697" s="137">
        <v>-25275398.100000001</v>
      </c>
      <c r="I697" s="135">
        <v>1140</v>
      </c>
      <c r="J697" s="136">
        <f>Tabla3[[#This Row],[EGRESOS]]/Tabla3[[#This Row],[TC]]</f>
        <v>0</v>
      </c>
      <c r="K697" s="136">
        <f>Tabla3[[#This Row],[INGRESOS]]/Tabla3[[#This Row],[TC]]</f>
        <v>26.315789473684209</v>
      </c>
      <c r="L697" s="8" t="s">
        <v>376</v>
      </c>
      <c r="M697" s="8" t="s">
        <v>377</v>
      </c>
      <c r="N697" s="8" t="s">
        <v>20</v>
      </c>
      <c r="O697" s="8" t="s">
        <v>184</v>
      </c>
      <c r="P697" s="8" t="s">
        <v>203</v>
      </c>
      <c r="Q697" s="8" t="s">
        <v>204</v>
      </c>
      <c r="R697" s="8"/>
      <c r="S697" s="8" t="s">
        <v>386</v>
      </c>
      <c r="T697" s="8"/>
      <c r="U697" s="8" t="s">
        <v>439</v>
      </c>
      <c r="V697" s="8" t="s">
        <v>386</v>
      </c>
      <c r="W697" s="8" t="s">
        <v>380</v>
      </c>
      <c r="X697" s="8" t="s">
        <v>23</v>
      </c>
      <c r="Y697" s="8" t="s">
        <v>98</v>
      </c>
    </row>
    <row r="698" spans="1:25" hidden="1" x14ac:dyDescent="0.25">
      <c r="A698" s="273" t="s">
        <v>314</v>
      </c>
      <c r="B698" s="251">
        <v>45761</v>
      </c>
      <c r="C698" s="252" t="s">
        <v>568</v>
      </c>
      <c r="D698" s="252"/>
      <c r="E698" s="253">
        <v>150000</v>
      </c>
      <c r="F698" s="253">
        <v>0</v>
      </c>
      <c r="G698" s="274">
        <f>Tabla3[[#This Row],[INGRESOS]]-Tabla3[[#This Row],[EGRESOS]]</f>
        <v>-150000</v>
      </c>
      <c r="H698" s="274">
        <v>-2346520.63</v>
      </c>
      <c r="I698" s="135">
        <v>1140</v>
      </c>
      <c r="J698" s="136">
        <f>Tabla3[[#This Row],[EGRESOS]]/Tabla3[[#This Row],[TC]]</f>
        <v>131.57894736842104</v>
      </c>
      <c r="K698" s="136">
        <f>Tabla3[[#This Row],[INGRESOS]]/Tabla3[[#This Row],[TC]]</f>
        <v>0</v>
      </c>
      <c r="L698" s="8" t="s">
        <v>376</v>
      </c>
      <c r="M698" s="8" t="s">
        <v>377</v>
      </c>
      <c r="N698" s="8" t="s">
        <v>28</v>
      </c>
      <c r="O698" s="8" t="s">
        <v>184</v>
      </c>
      <c r="P698" s="8" t="s">
        <v>199</v>
      </c>
      <c r="Q698" s="8" t="s">
        <v>200</v>
      </c>
      <c r="R698" s="8"/>
      <c r="S698" s="8" t="s">
        <v>470</v>
      </c>
      <c r="T698" s="8"/>
      <c r="U698" s="8" t="s">
        <v>390</v>
      </c>
      <c r="V698" s="8"/>
      <c r="W698" s="7" t="s">
        <v>380</v>
      </c>
      <c r="X698" s="8" t="s">
        <v>99</v>
      </c>
      <c r="Y698" s="8" t="s">
        <v>23</v>
      </c>
    </row>
    <row r="699" spans="1:25" hidden="1" x14ac:dyDescent="0.25">
      <c r="A699" s="273" t="s">
        <v>314</v>
      </c>
      <c r="B699" s="251">
        <v>45756</v>
      </c>
      <c r="C699" s="252" t="s">
        <v>568</v>
      </c>
      <c r="D699" s="252"/>
      <c r="E699" s="253">
        <v>2000000</v>
      </c>
      <c r="F699" s="253">
        <v>0</v>
      </c>
      <c r="G699" s="274">
        <f>Tabla3[[#This Row],[INGRESOS]]-Tabla3[[#This Row],[EGRESOS]]</f>
        <v>-2000000</v>
      </c>
      <c r="H699" s="274">
        <v>-337631.68</v>
      </c>
      <c r="I699" s="135">
        <v>1140</v>
      </c>
      <c r="J699" s="136">
        <f>Tabla3[[#This Row],[EGRESOS]]/Tabla3[[#This Row],[TC]]</f>
        <v>1754.3859649122808</v>
      </c>
      <c r="K699" s="136">
        <f>Tabla3[[#This Row],[INGRESOS]]/Tabla3[[#This Row],[TC]]</f>
        <v>0</v>
      </c>
      <c r="L699" s="8" t="s">
        <v>376</v>
      </c>
      <c r="M699" s="8" t="s">
        <v>377</v>
      </c>
      <c r="N699" s="8" t="s">
        <v>28</v>
      </c>
      <c r="O699" s="8" t="s">
        <v>184</v>
      </c>
      <c r="P699" s="8" t="s">
        <v>203</v>
      </c>
      <c r="Q699" s="8" t="s">
        <v>208</v>
      </c>
      <c r="R699" s="8"/>
      <c r="S699" s="8" t="s">
        <v>386</v>
      </c>
      <c r="T699" s="8"/>
      <c r="U699" s="8" t="s">
        <v>387</v>
      </c>
      <c r="V699" s="8" t="s">
        <v>386</v>
      </c>
      <c r="W699" s="7" t="s">
        <v>380</v>
      </c>
      <c r="X699" s="8" t="s">
        <v>104</v>
      </c>
      <c r="Y699" s="8" t="s">
        <v>23</v>
      </c>
    </row>
    <row r="700" spans="1:25" hidden="1" x14ac:dyDescent="0.25">
      <c r="A700" s="273" t="s">
        <v>314</v>
      </c>
      <c r="B700" s="251">
        <v>45761</v>
      </c>
      <c r="C700" s="252" t="s">
        <v>622</v>
      </c>
      <c r="D700" s="252"/>
      <c r="E700" s="253">
        <v>700</v>
      </c>
      <c r="F700" s="253">
        <v>0</v>
      </c>
      <c r="G700" s="274">
        <f>Tabla3[[#This Row],[INGRESOS]]-Tabla3[[#This Row],[EGRESOS]]</f>
        <v>-700</v>
      </c>
      <c r="H700" s="274">
        <v>-2347220.63</v>
      </c>
      <c r="I700" s="135">
        <v>1140</v>
      </c>
      <c r="J700" s="136">
        <f>Tabla3[[#This Row],[EGRESOS]]/Tabla3[[#This Row],[TC]]</f>
        <v>0.61403508771929827</v>
      </c>
      <c r="K700" s="136">
        <f>Tabla3[[#This Row],[INGRESOS]]/Tabla3[[#This Row],[TC]]</f>
        <v>0</v>
      </c>
      <c r="L700" s="8" t="s">
        <v>376</v>
      </c>
      <c r="M700" s="8" t="s">
        <v>377</v>
      </c>
      <c r="N700" s="8" t="s">
        <v>28</v>
      </c>
      <c r="O700" s="8" t="s">
        <v>184</v>
      </c>
      <c r="P700" s="8" t="s">
        <v>185</v>
      </c>
      <c r="Q700" s="8" t="s">
        <v>186</v>
      </c>
      <c r="R700" s="8" t="s">
        <v>227</v>
      </c>
      <c r="S700" s="8"/>
      <c r="T700" s="8"/>
      <c r="U700" s="8" t="s">
        <v>384</v>
      </c>
      <c r="V700" s="8"/>
      <c r="W700" s="7" t="s">
        <v>380</v>
      </c>
      <c r="X700" s="8" t="s">
        <v>99</v>
      </c>
      <c r="Y700" s="8" t="s">
        <v>23</v>
      </c>
    </row>
    <row r="701" spans="1:25" hidden="1" x14ac:dyDescent="0.25">
      <c r="A701" s="273" t="s">
        <v>314</v>
      </c>
      <c r="B701" s="251">
        <v>45761</v>
      </c>
      <c r="C701" s="252" t="s">
        <v>273</v>
      </c>
      <c r="D701" s="252"/>
      <c r="E701" s="253">
        <v>147</v>
      </c>
      <c r="F701" s="253">
        <v>0</v>
      </c>
      <c r="G701" s="274">
        <f>Tabla3[[#This Row],[INGRESOS]]-Tabla3[[#This Row],[EGRESOS]]</f>
        <v>-147</v>
      </c>
      <c r="H701" s="274">
        <v>-2347367.63</v>
      </c>
      <c r="I701" s="135">
        <v>1140</v>
      </c>
      <c r="J701" s="136">
        <f>Tabla3[[#This Row],[EGRESOS]]/Tabla3[[#This Row],[TC]]</f>
        <v>0.12894736842105264</v>
      </c>
      <c r="K701" s="136">
        <f>Tabla3[[#This Row],[INGRESOS]]/Tabla3[[#This Row],[TC]]</f>
        <v>0</v>
      </c>
      <c r="L701" s="8" t="s">
        <v>376</v>
      </c>
      <c r="M701" s="8" t="s">
        <v>377</v>
      </c>
      <c r="N701" s="8" t="s">
        <v>28</v>
      </c>
      <c r="O701" s="8" t="s">
        <v>184</v>
      </c>
      <c r="P701" s="8" t="s">
        <v>195</v>
      </c>
      <c r="Q701" s="8" t="s">
        <v>196</v>
      </c>
      <c r="R701" s="8" t="s">
        <v>382</v>
      </c>
      <c r="S701" s="8" t="s">
        <v>383</v>
      </c>
      <c r="T701" s="8"/>
      <c r="U701" s="8" t="s">
        <v>384</v>
      </c>
      <c r="V701" s="8"/>
      <c r="W701" s="7" t="s">
        <v>380</v>
      </c>
      <c r="X701" s="8" t="s">
        <v>99</v>
      </c>
      <c r="Y701" s="8" t="s">
        <v>23</v>
      </c>
    </row>
    <row r="702" spans="1:25" hidden="1" x14ac:dyDescent="0.25">
      <c r="A702" s="273" t="s">
        <v>314</v>
      </c>
      <c r="B702" s="251">
        <v>45761</v>
      </c>
      <c r="C702" s="252" t="s">
        <v>573</v>
      </c>
      <c r="D702" s="252"/>
      <c r="E702" s="253">
        <v>1200000</v>
      </c>
      <c r="F702" s="253">
        <v>0</v>
      </c>
      <c r="G702" s="274">
        <f>Tabla3[[#This Row],[INGRESOS]]-Tabla3[[#This Row],[EGRESOS]]</f>
        <v>-1200000</v>
      </c>
      <c r="H702" s="274">
        <v>-3547367.63</v>
      </c>
      <c r="I702" s="135">
        <v>1140</v>
      </c>
      <c r="J702" s="136">
        <f>Tabla3[[#This Row],[EGRESOS]]/Tabla3[[#This Row],[TC]]</f>
        <v>1052.6315789473683</v>
      </c>
      <c r="K702" s="136">
        <f>Tabla3[[#This Row],[INGRESOS]]/Tabla3[[#This Row],[TC]]</f>
        <v>0</v>
      </c>
      <c r="L702" s="8" t="s">
        <v>376</v>
      </c>
      <c r="M702" s="8" t="s">
        <v>377</v>
      </c>
      <c r="N702" s="8" t="s">
        <v>28</v>
      </c>
      <c r="O702" s="8" t="s">
        <v>244</v>
      </c>
      <c r="P702" s="8" t="s">
        <v>259</v>
      </c>
      <c r="Q702" s="8" t="s">
        <v>260</v>
      </c>
      <c r="R702" s="8" t="s">
        <v>378</v>
      </c>
      <c r="S702" s="8"/>
      <c r="T702" s="8"/>
      <c r="U702" s="8" t="s">
        <v>379</v>
      </c>
      <c r="V702" s="8"/>
      <c r="W702" s="7" t="s">
        <v>380</v>
      </c>
      <c r="X702" s="8"/>
      <c r="Y702" s="8"/>
    </row>
    <row r="703" spans="1:25" hidden="1" x14ac:dyDescent="0.25">
      <c r="A703" s="273" t="s">
        <v>314</v>
      </c>
      <c r="B703" s="251">
        <v>45761</v>
      </c>
      <c r="C703" s="252" t="s">
        <v>568</v>
      </c>
      <c r="D703" s="252"/>
      <c r="E703" s="253">
        <v>500000</v>
      </c>
      <c r="F703" s="253">
        <v>0</v>
      </c>
      <c r="G703" s="274">
        <f>Tabla3[[#This Row],[INGRESOS]]-Tabla3[[#This Row],[EGRESOS]]</f>
        <v>-500000</v>
      </c>
      <c r="H703" s="274">
        <v>-4047367.63</v>
      </c>
      <c r="I703" s="135">
        <v>1140</v>
      </c>
      <c r="J703" s="136">
        <f>Tabla3[[#This Row],[EGRESOS]]/Tabla3[[#This Row],[TC]]</f>
        <v>438.59649122807019</v>
      </c>
      <c r="K703" s="136">
        <f>Tabla3[[#This Row],[INGRESOS]]/Tabla3[[#This Row],[TC]]</f>
        <v>0</v>
      </c>
      <c r="L703" s="8" t="s">
        <v>376</v>
      </c>
      <c r="M703" s="8" t="s">
        <v>377</v>
      </c>
      <c r="N703" s="8" t="s">
        <v>28</v>
      </c>
      <c r="O703" s="8" t="s">
        <v>184</v>
      </c>
      <c r="P703" s="8" t="s">
        <v>203</v>
      </c>
      <c r="Q703" s="8" t="s">
        <v>208</v>
      </c>
      <c r="R703" s="8" t="s">
        <v>623</v>
      </c>
      <c r="S703" s="8" t="s">
        <v>414</v>
      </c>
      <c r="T703" s="8"/>
      <c r="U703" s="8" t="s">
        <v>530</v>
      </c>
      <c r="V703" s="8" t="s">
        <v>415</v>
      </c>
      <c r="W703" s="7" t="s">
        <v>380</v>
      </c>
      <c r="X703" s="8" t="s">
        <v>102</v>
      </c>
      <c r="Y703" s="8" t="s">
        <v>23</v>
      </c>
    </row>
    <row r="704" spans="1:25" hidden="1" x14ac:dyDescent="0.25">
      <c r="A704" s="273" t="s">
        <v>314</v>
      </c>
      <c r="B704" s="251">
        <v>45757</v>
      </c>
      <c r="C704" s="252" t="s">
        <v>568</v>
      </c>
      <c r="D704" s="252"/>
      <c r="E704" s="253">
        <v>50000</v>
      </c>
      <c r="F704" s="253">
        <v>0</v>
      </c>
      <c r="G704" s="274">
        <f>Tabla3[[#This Row],[INGRESOS]]-Tabla3[[#This Row],[EGRESOS]]</f>
        <v>-50000</v>
      </c>
      <c r="H704" s="274">
        <f>Tabla3[[#This Row],[INGRESOS]]-Tabla3[[#This Row],[EGRESOS]]</f>
        <v>-50000</v>
      </c>
      <c r="I704" s="135">
        <v>1140</v>
      </c>
      <c r="J704" s="136">
        <f>Tabla3[[#This Row],[EGRESOS]]/Tabla3[[#This Row],[TC]]</f>
        <v>43.859649122807021</v>
      </c>
      <c r="K704" s="136">
        <f>Tabla3[[#This Row],[INGRESOS]]/Tabla3[[#This Row],[TC]]</f>
        <v>0</v>
      </c>
      <c r="L704" s="8" t="s">
        <v>376</v>
      </c>
      <c r="M704" s="8" t="s">
        <v>377</v>
      </c>
      <c r="N704" s="8" t="s">
        <v>28</v>
      </c>
      <c r="O704" s="8" t="s">
        <v>184</v>
      </c>
      <c r="P704" s="8" t="s">
        <v>203</v>
      </c>
      <c r="Q704" s="8" t="s">
        <v>208</v>
      </c>
      <c r="R704" s="8" t="s">
        <v>624</v>
      </c>
      <c r="S704" s="8" t="s">
        <v>414</v>
      </c>
      <c r="T704" s="8"/>
      <c r="U704" s="8" t="s">
        <v>530</v>
      </c>
      <c r="V704" s="8" t="s">
        <v>415</v>
      </c>
      <c r="W704" s="7" t="s">
        <v>380</v>
      </c>
      <c r="X704" s="8" t="s">
        <v>102</v>
      </c>
      <c r="Y704" s="8" t="s">
        <v>23</v>
      </c>
    </row>
    <row r="705" spans="1:25" hidden="1" x14ac:dyDescent="0.25">
      <c r="A705" s="273" t="s">
        <v>314</v>
      </c>
      <c r="B705" s="251">
        <v>45761</v>
      </c>
      <c r="C705" s="252" t="s">
        <v>622</v>
      </c>
      <c r="D705" s="252"/>
      <c r="E705" s="253">
        <v>700</v>
      </c>
      <c r="F705" s="253">
        <v>0</v>
      </c>
      <c r="G705" s="274">
        <f>Tabla3[[#This Row],[INGRESOS]]-Tabla3[[#This Row],[EGRESOS]]</f>
        <v>-700</v>
      </c>
      <c r="H705" s="274">
        <v>-4048067.63</v>
      </c>
      <c r="I705" s="135">
        <v>1140</v>
      </c>
      <c r="J705" s="136">
        <f>Tabla3[[#This Row],[EGRESOS]]/Tabla3[[#This Row],[TC]]</f>
        <v>0.61403508771929827</v>
      </c>
      <c r="K705" s="136">
        <f>Tabla3[[#This Row],[INGRESOS]]/Tabla3[[#This Row],[TC]]</f>
        <v>0</v>
      </c>
      <c r="L705" s="8" t="s">
        <v>376</v>
      </c>
      <c r="M705" s="8" t="s">
        <v>377</v>
      </c>
      <c r="N705" s="8" t="s">
        <v>28</v>
      </c>
      <c r="O705" s="8" t="s">
        <v>184</v>
      </c>
      <c r="P705" s="8" t="s">
        <v>185</v>
      </c>
      <c r="Q705" s="8" t="s">
        <v>186</v>
      </c>
      <c r="R705" s="8" t="s">
        <v>227</v>
      </c>
      <c r="S705" s="8"/>
      <c r="T705" s="8"/>
      <c r="U705" s="8" t="s">
        <v>384</v>
      </c>
      <c r="V705" s="8"/>
      <c r="W705" s="7" t="s">
        <v>380</v>
      </c>
      <c r="X705" s="8" t="s">
        <v>99</v>
      </c>
      <c r="Y705" s="8" t="s">
        <v>23</v>
      </c>
    </row>
    <row r="706" spans="1:25" hidden="1" x14ac:dyDescent="0.25">
      <c r="A706" s="273" t="s">
        <v>314</v>
      </c>
      <c r="B706" s="251">
        <v>45761</v>
      </c>
      <c r="C706" s="252" t="s">
        <v>273</v>
      </c>
      <c r="D706" s="252"/>
      <c r="E706" s="253">
        <v>147</v>
      </c>
      <c r="F706" s="253">
        <v>0</v>
      </c>
      <c r="G706" s="274">
        <f>Tabla3[[#This Row],[INGRESOS]]-Tabla3[[#This Row],[EGRESOS]]</f>
        <v>-147</v>
      </c>
      <c r="H706" s="274">
        <v>-4048214.63</v>
      </c>
      <c r="I706" s="135">
        <v>1140</v>
      </c>
      <c r="J706" s="136">
        <f>Tabla3[[#This Row],[EGRESOS]]/Tabla3[[#This Row],[TC]]</f>
        <v>0.12894736842105264</v>
      </c>
      <c r="K706" s="136">
        <f>Tabla3[[#This Row],[INGRESOS]]/Tabla3[[#This Row],[TC]]</f>
        <v>0</v>
      </c>
      <c r="L706" s="8" t="s">
        <v>376</v>
      </c>
      <c r="M706" s="8" t="s">
        <v>377</v>
      </c>
      <c r="N706" s="8" t="s">
        <v>28</v>
      </c>
      <c r="O706" s="8" t="s">
        <v>184</v>
      </c>
      <c r="P706" s="8" t="s">
        <v>195</v>
      </c>
      <c r="Q706" s="8" t="s">
        <v>196</v>
      </c>
      <c r="R706" s="8" t="s">
        <v>382</v>
      </c>
      <c r="S706" s="8" t="s">
        <v>383</v>
      </c>
      <c r="T706" s="8"/>
      <c r="U706" s="8" t="s">
        <v>384</v>
      </c>
      <c r="V706" s="8"/>
      <c r="W706" s="7" t="s">
        <v>380</v>
      </c>
      <c r="X706" s="8" t="s">
        <v>99</v>
      </c>
      <c r="Y706" s="8" t="s">
        <v>23</v>
      </c>
    </row>
    <row r="707" spans="1:25" hidden="1" x14ac:dyDescent="0.25">
      <c r="A707" s="273" t="s">
        <v>314</v>
      </c>
      <c r="B707" s="251">
        <v>45761</v>
      </c>
      <c r="C707" s="252" t="s">
        <v>566</v>
      </c>
      <c r="D707" s="252"/>
      <c r="E707" s="253">
        <v>9219.1</v>
      </c>
      <c r="F707" s="253">
        <v>0</v>
      </c>
      <c r="G707" s="274">
        <f>Tabla3[[#This Row],[INGRESOS]]-Tabla3[[#This Row],[EGRESOS]]</f>
        <v>-9219.1</v>
      </c>
      <c r="H707" s="274">
        <v>-4057433.73</v>
      </c>
      <c r="I707" s="135">
        <v>1140</v>
      </c>
      <c r="J707" s="136">
        <f>Tabla3[[#This Row],[EGRESOS]]/Tabla3[[#This Row],[TC]]</f>
        <v>8.0869298245614036</v>
      </c>
      <c r="K707" s="136">
        <f>Tabla3[[#This Row],[INGRESOS]]/Tabla3[[#This Row],[TC]]</f>
        <v>0</v>
      </c>
      <c r="L707" s="8" t="s">
        <v>376</v>
      </c>
      <c r="M707" s="8" t="s">
        <v>377</v>
      </c>
      <c r="N707" s="8" t="s">
        <v>28</v>
      </c>
      <c r="O707" s="8" t="s">
        <v>184</v>
      </c>
      <c r="P707" s="8" t="s">
        <v>195</v>
      </c>
      <c r="Q707" s="8" t="s">
        <v>196</v>
      </c>
      <c r="R707" s="8" t="s">
        <v>394</v>
      </c>
      <c r="S707" s="8" t="s">
        <v>383</v>
      </c>
      <c r="T707" s="8"/>
      <c r="U707" s="8" t="s">
        <v>384</v>
      </c>
      <c r="V707" s="8"/>
      <c r="W707" s="7" t="s">
        <v>380</v>
      </c>
      <c r="X707" s="8" t="s">
        <v>99</v>
      </c>
      <c r="Y707" s="8" t="s">
        <v>23</v>
      </c>
    </row>
    <row r="708" spans="1:25" hidden="1" x14ac:dyDescent="0.25">
      <c r="A708" s="273" t="s">
        <v>314</v>
      </c>
      <c r="B708" s="251">
        <v>45761</v>
      </c>
      <c r="C708" s="252" t="s">
        <v>568</v>
      </c>
      <c r="D708" s="252"/>
      <c r="E708" s="253">
        <v>33079</v>
      </c>
      <c r="F708" s="253">
        <v>0</v>
      </c>
      <c r="G708" s="274">
        <f>Tabla3[[#This Row],[INGRESOS]]-Tabla3[[#This Row],[EGRESOS]]</f>
        <v>-33079</v>
      </c>
      <c r="H708" s="274">
        <v>-2346520.63</v>
      </c>
      <c r="I708" s="135">
        <v>1140</v>
      </c>
      <c r="J708" s="136">
        <f>Tabla3[[#This Row],[EGRESOS]]/Tabla3[[#This Row],[TC]]</f>
        <v>29.016666666666666</v>
      </c>
      <c r="K708" s="136">
        <f>Tabla3[[#This Row],[INGRESOS]]/Tabla3[[#This Row],[TC]]</f>
        <v>0</v>
      </c>
      <c r="L708" s="8" t="s">
        <v>376</v>
      </c>
      <c r="M708" s="8" t="s">
        <v>377</v>
      </c>
      <c r="N708" s="8" t="s">
        <v>28</v>
      </c>
      <c r="O708" s="8" t="s">
        <v>184</v>
      </c>
      <c r="P708" s="8" t="s">
        <v>203</v>
      </c>
      <c r="Q708" s="8" t="s">
        <v>208</v>
      </c>
      <c r="R708" s="8" t="s">
        <v>620</v>
      </c>
      <c r="S708" s="8" t="s">
        <v>386</v>
      </c>
      <c r="T708" s="8"/>
      <c r="U708" s="8" t="s">
        <v>387</v>
      </c>
      <c r="V708" s="8" t="s">
        <v>386</v>
      </c>
      <c r="W708" s="7" t="s">
        <v>380</v>
      </c>
      <c r="X708" s="8" t="s">
        <v>104</v>
      </c>
      <c r="Y708" s="8" t="s">
        <v>23</v>
      </c>
    </row>
    <row r="709" spans="1:25" hidden="1" x14ac:dyDescent="0.25">
      <c r="A709" s="273" t="s">
        <v>314</v>
      </c>
      <c r="B709" s="251">
        <v>45762</v>
      </c>
      <c r="C709" s="252" t="s">
        <v>622</v>
      </c>
      <c r="D709" s="252"/>
      <c r="E709" s="253">
        <v>700</v>
      </c>
      <c r="F709" s="253">
        <v>0</v>
      </c>
      <c r="G709" s="274">
        <f>Tabla3[[#This Row],[INGRESOS]]-Tabla3[[#This Row],[EGRESOS]]</f>
        <v>-700</v>
      </c>
      <c r="H709" s="274">
        <v>-5058133.7300000004</v>
      </c>
      <c r="I709" s="135">
        <v>1140</v>
      </c>
      <c r="J709" s="136">
        <f>Tabla3[[#This Row],[EGRESOS]]/Tabla3[[#This Row],[TC]]</f>
        <v>0.61403508771929827</v>
      </c>
      <c r="K709" s="136">
        <f>Tabla3[[#This Row],[INGRESOS]]/Tabla3[[#This Row],[TC]]</f>
        <v>0</v>
      </c>
      <c r="L709" s="8" t="s">
        <v>376</v>
      </c>
      <c r="M709" s="8" t="s">
        <v>377</v>
      </c>
      <c r="N709" s="8" t="s">
        <v>28</v>
      </c>
      <c r="O709" s="8" t="s">
        <v>184</v>
      </c>
      <c r="P709" s="8" t="s">
        <v>185</v>
      </c>
      <c r="Q709" s="8" t="s">
        <v>186</v>
      </c>
      <c r="R709" s="8" t="s">
        <v>227</v>
      </c>
      <c r="S709" s="8"/>
      <c r="T709" s="8"/>
      <c r="U709" s="8" t="s">
        <v>384</v>
      </c>
      <c r="V709" s="8"/>
      <c r="W709" s="7" t="s">
        <v>380</v>
      </c>
      <c r="X709" s="8" t="s">
        <v>99</v>
      </c>
      <c r="Y709" s="8" t="s">
        <v>23</v>
      </c>
    </row>
    <row r="710" spans="1:25" hidden="1" x14ac:dyDescent="0.25">
      <c r="A710" s="273" t="s">
        <v>314</v>
      </c>
      <c r="B710" s="251">
        <v>45762</v>
      </c>
      <c r="C710" s="252" t="s">
        <v>273</v>
      </c>
      <c r="D710" s="252"/>
      <c r="E710" s="253">
        <v>147</v>
      </c>
      <c r="F710" s="253">
        <v>0</v>
      </c>
      <c r="G710" s="274">
        <f>Tabla3[[#This Row],[INGRESOS]]-Tabla3[[#This Row],[EGRESOS]]</f>
        <v>-147</v>
      </c>
      <c r="H710" s="274">
        <v>-5058280.7300000004</v>
      </c>
      <c r="I710" s="135">
        <v>1140</v>
      </c>
      <c r="J710" s="136">
        <f>Tabla3[[#This Row],[EGRESOS]]/Tabla3[[#This Row],[TC]]</f>
        <v>0.12894736842105264</v>
      </c>
      <c r="K710" s="136">
        <f>Tabla3[[#This Row],[INGRESOS]]/Tabla3[[#This Row],[TC]]</f>
        <v>0</v>
      </c>
      <c r="L710" s="8" t="s">
        <v>376</v>
      </c>
      <c r="M710" s="8" t="s">
        <v>377</v>
      </c>
      <c r="N710" s="8" t="s">
        <v>28</v>
      </c>
      <c r="O710" s="8" t="s">
        <v>184</v>
      </c>
      <c r="P710" s="8" t="s">
        <v>195</v>
      </c>
      <c r="Q710" s="8" t="s">
        <v>196</v>
      </c>
      <c r="R710" s="8" t="s">
        <v>382</v>
      </c>
      <c r="S710" s="8" t="s">
        <v>383</v>
      </c>
      <c r="T710" s="8"/>
      <c r="U710" s="8" t="s">
        <v>384</v>
      </c>
      <c r="V710" s="8"/>
      <c r="W710" s="7" t="s">
        <v>380</v>
      </c>
      <c r="X710" s="8" t="s">
        <v>99</v>
      </c>
      <c r="Y710" s="8" t="s">
        <v>23</v>
      </c>
    </row>
    <row r="711" spans="1:25" hidden="1" x14ac:dyDescent="0.25">
      <c r="A711" s="273" t="s">
        <v>314</v>
      </c>
      <c r="B711" s="251">
        <v>45762</v>
      </c>
      <c r="C711" s="252" t="s">
        <v>566</v>
      </c>
      <c r="D711" s="252"/>
      <c r="E711" s="253">
        <v>6005.08</v>
      </c>
      <c r="F711" s="253">
        <v>0</v>
      </c>
      <c r="G711" s="274">
        <f>Tabla3[[#This Row],[INGRESOS]]-Tabla3[[#This Row],[EGRESOS]]</f>
        <v>-6005.08</v>
      </c>
      <c r="H711" s="274">
        <v>-5064285.8099999996</v>
      </c>
      <c r="I711" s="135">
        <v>1140</v>
      </c>
      <c r="J711" s="136">
        <f>Tabla3[[#This Row],[EGRESOS]]/Tabla3[[#This Row],[TC]]</f>
        <v>5.2676140350877194</v>
      </c>
      <c r="K711" s="136">
        <f>Tabla3[[#This Row],[INGRESOS]]/Tabla3[[#This Row],[TC]]</f>
        <v>0</v>
      </c>
      <c r="L711" s="8" t="s">
        <v>376</v>
      </c>
      <c r="M711" s="8" t="s">
        <v>377</v>
      </c>
      <c r="N711" s="8" t="s">
        <v>28</v>
      </c>
      <c r="O711" s="8" t="s">
        <v>184</v>
      </c>
      <c r="P711" s="8" t="s">
        <v>195</v>
      </c>
      <c r="Q711" s="8" t="s">
        <v>196</v>
      </c>
      <c r="R711" s="8" t="s">
        <v>394</v>
      </c>
      <c r="S711" s="8" t="s">
        <v>383</v>
      </c>
      <c r="T711" s="8"/>
      <c r="U711" s="8" t="s">
        <v>384</v>
      </c>
      <c r="V711" s="8"/>
      <c r="W711" s="7" t="s">
        <v>380</v>
      </c>
      <c r="X711" s="8" t="s">
        <v>99</v>
      </c>
      <c r="Y711" s="8" t="s">
        <v>23</v>
      </c>
    </row>
    <row r="712" spans="1:25" hidden="1" x14ac:dyDescent="0.25">
      <c r="A712" s="273" t="s">
        <v>314</v>
      </c>
      <c r="B712" s="251">
        <v>45763</v>
      </c>
      <c r="C712" s="252" t="s">
        <v>573</v>
      </c>
      <c r="D712" s="252"/>
      <c r="E712" s="253">
        <v>2100000</v>
      </c>
      <c r="F712" s="253">
        <v>0</v>
      </c>
      <c r="G712" s="274">
        <f>Tabla3[[#This Row],[INGRESOS]]-Tabla3[[#This Row],[EGRESOS]]</f>
        <v>-2100000</v>
      </c>
      <c r="H712" s="274">
        <v>-7164285.8099999996</v>
      </c>
      <c r="I712" s="135">
        <v>1140</v>
      </c>
      <c r="J712" s="136">
        <f>Tabla3[[#This Row],[EGRESOS]]/Tabla3[[#This Row],[TC]]</f>
        <v>1842.1052631578948</v>
      </c>
      <c r="K712" s="136">
        <f>Tabla3[[#This Row],[INGRESOS]]/Tabla3[[#This Row],[TC]]</f>
        <v>0</v>
      </c>
      <c r="L712" s="8" t="s">
        <v>376</v>
      </c>
      <c r="M712" s="8" t="s">
        <v>377</v>
      </c>
      <c r="N712" s="8" t="s">
        <v>28</v>
      </c>
      <c r="O712" s="8" t="s">
        <v>244</v>
      </c>
      <c r="P712" s="8" t="s">
        <v>259</v>
      </c>
      <c r="Q712" s="8" t="s">
        <v>260</v>
      </c>
      <c r="R712" s="8" t="s">
        <v>378</v>
      </c>
      <c r="S712" s="8"/>
      <c r="T712" s="8"/>
      <c r="U712" s="8" t="s">
        <v>379</v>
      </c>
      <c r="V712" s="8"/>
      <c r="W712" s="7" t="s">
        <v>380</v>
      </c>
      <c r="X712" s="8"/>
      <c r="Y712" s="8"/>
    </row>
    <row r="713" spans="1:25" hidden="1" x14ac:dyDescent="0.25">
      <c r="A713" s="273" t="s">
        <v>314</v>
      </c>
      <c r="B713" s="251">
        <v>45768</v>
      </c>
      <c r="C713" s="252" t="s">
        <v>568</v>
      </c>
      <c r="D713" s="252"/>
      <c r="E713" s="253">
        <v>35000</v>
      </c>
      <c r="F713" s="253">
        <v>0</v>
      </c>
      <c r="G713" s="274">
        <f>Tabla3[[#This Row],[INGRESOS]]-Tabla3[[#This Row],[EGRESOS]]</f>
        <v>-35000</v>
      </c>
      <c r="H713" s="274">
        <v>-7164285.8099999996</v>
      </c>
      <c r="I713" s="135">
        <v>1140</v>
      </c>
      <c r="J713" s="136">
        <f>Tabla3[[#This Row],[EGRESOS]]/Tabla3[[#This Row],[TC]]</f>
        <v>30.701754385964911</v>
      </c>
      <c r="K713" s="136">
        <f>Tabla3[[#This Row],[INGRESOS]]/Tabla3[[#This Row],[TC]]</f>
        <v>0</v>
      </c>
      <c r="L713" s="8" t="s">
        <v>376</v>
      </c>
      <c r="M713" s="8" t="s">
        <v>377</v>
      </c>
      <c r="N713" s="8" t="s">
        <v>28</v>
      </c>
      <c r="O713" s="8" t="s">
        <v>184</v>
      </c>
      <c r="P713" s="8" t="s">
        <v>199</v>
      </c>
      <c r="Q713" s="8" t="s">
        <v>200</v>
      </c>
      <c r="R713" s="8"/>
      <c r="S713" s="8" t="s">
        <v>470</v>
      </c>
      <c r="T713" s="8"/>
      <c r="U713" s="8" t="s">
        <v>390</v>
      </c>
      <c r="V713" s="8"/>
      <c r="W713" s="7" t="s">
        <v>380</v>
      </c>
      <c r="X713" s="8" t="s">
        <v>99</v>
      </c>
      <c r="Y713" s="8" t="s">
        <v>23</v>
      </c>
    </row>
    <row r="714" spans="1:25" hidden="1" x14ac:dyDescent="0.25">
      <c r="A714" s="273" t="s">
        <v>314</v>
      </c>
      <c r="B714" s="251">
        <v>45768</v>
      </c>
      <c r="C714" s="252" t="s">
        <v>566</v>
      </c>
      <c r="D714" s="252"/>
      <c r="E714" s="253">
        <v>210</v>
      </c>
      <c r="F714" s="253">
        <v>0</v>
      </c>
      <c r="G714" s="274">
        <f>Tabla3[[#This Row],[INGRESOS]]-Tabla3[[#This Row],[EGRESOS]]</f>
        <v>-210</v>
      </c>
      <c r="H714" s="274">
        <v>-7164285.8099999996</v>
      </c>
      <c r="I714" s="135">
        <v>1140</v>
      </c>
      <c r="J714" s="136">
        <f>Tabla3[[#This Row],[EGRESOS]]/Tabla3[[#This Row],[TC]]</f>
        <v>0.18421052631578946</v>
      </c>
      <c r="K714" s="136">
        <f>Tabla3[[#This Row],[INGRESOS]]/Tabla3[[#This Row],[TC]]</f>
        <v>0</v>
      </c>
      <c r="L714" s="8" t="s">
        <v>376</v>
      </c>
      <c r="M714" s="8" t="s">
        <v>377</v>
      </c>
      <c r="N714" s="8" t="s">
        <v>28</v>
      </c>
      <c r="O714" s="8" t="s">
        <v>184</v>
      </c>
      <c r="P714" s="8" t="s">
        <v>195</v>
      </c>
      <c r="Q714" s="8" t="s">
        <v>196</v>
      </c>
      <c r="R714" s="8" t="s">
        <v>394</v>
      </c>
      <c r="S714" s="8" t="s">
        <v>383</v>
      </c>
      <c r="T714" s="8"/>
      <c r="U714" s="8" t="s">
        <v>384</v>
      </c>
      <c r="V714" s="8"/>
      <c r="W714" s="7" t="s">
        <v>380</v>
      </c>
      <c r="X714" s="8" t="s">
        <v>99</v>
      </c>
      <c r="Y714" s="8" t="s">
        <v>23</v>
      </c>
    </row>
    <row r="715" spans="1:25" hidden="1" x14ac:dyDescent="0.25">
      <c r="A715" s="273" t="s">
        <v>314</v>
      </c>
      <c r="B715" s="251">
        <v>45772</v>
      </c>
      <c r="C715" s="252" t="s">
        <v>625</v>
      </c>
      <c r="D715" s="252"/>
      <c r="E715" s="253">
        <v>0</v>
      </c>
      <c r="F715" s="253">
        <v>2340000</v>
      </c>
      <c r="G715" s="274">
        <f>Tabla3[[#This Row],[INGRESOS]]-Tabla3[[#This Row],[EGRESOS]]</f>
        <v>2340000</v>
      </c>
      <c r="H715" s="274">
        <v>-4859495.8099999996</v>
      </c>
      <c r="I715" s="135">
        <v>1140</v>
      </c>
      <c r="J715" s="136">
        <f>Tabla3[[#This Row],[EGRESOS]]/Tabla3[[#This Row],[TC]]</f>
        <v>0</v>
      </c>
      <c r="K715" s="136">
        <f>Tabla3[[#This Row],[INGRESOS]]/Tabla3[[#This Row],[TC]]</f>
        <v>2052.6315789473683</v>
      </c>
      <c r="L715" s="8" t="s">
        <v>376</v>
      </c>
      <c r="M715" s="8" t="s">
        <v>377</v>
      </c>
      <c r="N715" s="8" t="s">
        <v>28</v>
      </c>
      <c r="O715" s="8" t="s">
        <v>184</v>
      </c>
      <c r="P715" s="8" t="s">
        <v>210</v>
      </c>
      <c r="Q715" s="8" t="s">
        <v>204</v>
      </c>
      <c r="R715" s="8" t="s">
        <v>451</v>
      </c>
      <c r="S715" s="8" t="s">
        <v>452</v>
      </c>
      <c r="T715" s="8"/>
      <c r="U715" s="8" t="s">
        <v>453</v>
      </c>
      <c r="V715" s="8"/>
      <c r="W715" s="7" t="s">
        <v>380</v>
      </c>
      <c r="X715" s="8" t="s">
        <v>23</v>
      </c>
      <c r="Y715" s="8" t="s">
        <v>45</v>
      </c>
    </row>
    <row r="716" spans="1:25" hidden="1" x14ac:dyDescent="0.25">
      <c r="A716" s="273" t="s">
        <v>314</v>
      </c>
      <c r="B716" s="251">
        <v>45772</v>
      </c>
      <c r="C716" s="252" t="s">
        <v>573</v>
      </c>
      <c r="D716" s="252"/>
      <c r="E716" s="253">
        <v>2340000</v>
      </c>
      <c r="F716" s="253">
        <v>0</v>
      </c>
      <c r="G716" s="274">
        <f>Tabla3[[#This Row],[INGRESOS]]-Tabla3[[#This Row],[EGRESOS]]</f>
        <v>-2340000</v>
      </c>
      <c r="H716" s="274">
        <v>-7199495.8099999996</v>
      </c>
      <c r="I716" s="135">
        <v>1140</v>
      </c>
      <c r="J716" s="136">
        <f>Tabla3[[#This Row],[EGRESOS]]/Tabla3[[#This Row],[TC]]</f>
        <v>2052.6315789473683</v>
      </c>
      <c r="K716" s="136">
        <f>Tabla3[[#This Row],[INGRESOS]]/Tabla3[[#This Row],[TC]]</f>
        <v>0</v>
      </c>
      <c r="L716" s="8" t="s">
        <v>376</v>
      </c>
      <c r="M716" s="8" t="s">
        <v>377</v>
      </c>
      <c r="N716" s="8" t="s">
        <v>28</v>
      </c>
      <c r="O716" s="8" t="s">
        <v>244</v>
      </c>
      <c r="P716" s="8" t="s">
        <v>259</v>
      </c>
      <c r="Q716" s="8" t="s">
        <v>260</v>
      </c>
      <c r="R716" s="8" t="s">
        <v>579</v>
      </c>
      <c r="S716" s="8"/>
      <c r="T716" s="8"/>
      <c r="U716" s="8" t="s">
        <v>379</v>
      </c>
      <c r="V716" s="8"/>
      <c r="W716" s="7" t="s">
        <v>380</v>
      </c>
      <c r="X716" s="8"/>
      <c r="Y716" s="8"/>
    </row>
    <row r="717" spans="1:25" hidden="1" x14ac:dyDescent="0.25">
      <c r="A717" s="273" t="s">
        <v>314</v>
      </c>
      <c r="B717" s="251">
        <v>45772</v>
      </c>
      <c r="C717" s="252" t="s">
        <v>593</v>
      </c>
      <c r="D717" s="252"/>
      <c r="E717" s="253">
        <v>14040</v>
      </c>
      <c r="F717" s="253">
        <v>0</v>
      </c>
      <c r="G717" s="274">
        <f>Tabla3[[#This Row],[INGRESOS]]-Tabla3[[#This Row],[EGRESOS]]</f>
        <v>-14040</v>
      </c>
      <c r="H717" s="274">
        <v>-7213535.8099999996</v>
      </c>
      <c r="I717" s="135">
        <v>1140</v>
      </c>
      <c r="J717" s="136">
        <f>Tabla3[[#This Row],[EGRESOS]]/Tabla3[[#This Row],[TC]]</f>
        <v>12.315789473684211</v>
      </c>
      <c r="K717" s="136">
        <f>Tabla3[[#This Row],[INGRESOS]]/Tabla3[[#This Row],[TC]]</f>
        <v>0</v>
      </c>
      <c r="L717" s="8" t="s">
        <v>376</v>
      </c>
      <c r="M717" s="8" t="s">
        <v>377</v>
      </c>
      <c r="N717" s="8" t="s">
        <v>28</v>
      </c>
      <c r="O717" s="8" t="s">
        <v>184</v>
      </c>
      <c r="P717" s="8" t="s">
        <v>195</v>
      </c>
      <c r="Q717" s="8" t="s">
        <v>196</v>
      </c>
      <c r="R717" s="8" t="s">
        <v>394</v>
      </c>
      <c r="S717" s="8" t="s">
        <v>383</v>
      </c>
      <c r="T717" s="8"/>
      <c r="U717" s="8" t="s">
        <v>384</v>
      </c>
      <c r="V717" s="8"/>
      <c r="W717" s="7" t="s">
        <v>380</v>
      </c>
      <c r="X717" s="8" t="s">
        <v>99</v>
      </c>
      <c r="Y717" s="8" t="s">
        <v>23</v>
      </c>
    </row>
    <row r="718" spans="1:25" hidden="1" x14ac:dyDescent="0.25">
      <c r="A718" s="273" t="s">
        <v>314</v>
      </c>
      <c r="B718" s="251">
        <v>45761</v>
      </c>
      <c r="C718" s="252" t="s">
        <v>568</v>
      </c>
      <c r="D718" s="252"/>
      <c r="E718" s="253">
        <v>99100</v>
      </c>
      <c r="F718" s="253">
        <v>0</v>
      </c>
      <c r="G718" s="274">
        <f>Tabla3[[#This Row],[INGRESOS]]-Tabla3[[#This Row],[EGRESOS]]</f>
        <v>-99100</v>
      </c>
      <c r="H718" s="274">
        <v>-2346520.63</v>
      </c>
      <c r="I718" s="135">
        <v>1140</v>
      </c>
      <c r="J718" s="136">
        <f>Tabla3[[#This Row],[EGRESOS]]/Tabla3[[#This Row],[TC]]</f>
        <v>86.929824561403507</v>
      </c>
      <c r="K718" s="136">
        <f>Tabla3[[#This Row],[INGRESOS]]/Tabla3[[#This Row],[TC]]</f>
        <v>0</v>
      </c>
      <c r="L718" s="8" t="s">
        <v>376</v>
      </c>
      <c r="M718" s="8" t="s">
        <v>377</v>
      </c>
      <c r="N718" s="8" t="s">
        <v>28</v>
      </c>
      <c r="O718" s="8" t="s">
        <v>184</v>
      </c>
      <c r="P718" s="8" t="s">
        <v>203</v>
      </c>
      <c r="Q718" s="8" t="s">
        <v>208</v>
      </c>
      <c r="R718" s="8" t="s">
        <v>621</v>
      </c>
      <c r="S718" s="8" t="s">
        <v>386</v>
      </c>
      <c r="T718" s="8"/>
      <c r="U718" s="8" t="s">
        <v>387</v>
      </c>
      <c r="V718" s="8" t="s">
        <v>386</v>
      </c>
      <c r="W718" s="7" t="s">
        <v>380</v>
      </c>
      <c r="X718" s="8" t="s">
        <v>104</v>
      </c>
      <c r="Y718" s="8" t="s">
        <v>23</v>
      </c>
    </row>
    <row r="719" spans="1:25" hidden="1" x14ac:dyDescent="0.25">
      <c r="A719" s="273" t="s">
        <v>314</v>
      </c>
      <c r="B719" s="251">
        <v>45776</v>
      </c>
      <c r="C719" s="252" t="s">
        <v>593</v>
      </c>
      <c r="D719" s="252"/>
      <c r="E719" s="253">
        <v>120</v>
      </c>
      <c r="F719" s="253">
        <v>0</v>
      </c>
      <c r="G719" s="274">
        <f>Tabla3[[#This Row],[INGRESOS]]-Tabla3[[#This Row],[EGRESOS]]</f>
        <v>-120</v>
      </c>
      <c r="H719" s="274">
        <v>-7193655.8099999996</v>
      </c>
      <c r="I719" s="135">
        <v>1140</v>
      </c>
      <c r="J719" s="136">
        <f>Tabla3[[#This Row],[EGRESOS]]/Tabla3[[#This Row],[TC]]</f>
        <v>0.10526315789473684</v>
      </c>
      <c r="K719" s="136">
        <f>Tabla3[[#This Row],[INGRESOS]]/Tabla3[[#This Row],[TC]]</f>
        <v>0</v>
      </c>
      <c r="L719" s="8" t="s">
        <v>376</v>
      </c>
      <c r="M719" s="8" t="s">
        <v>377</v>
      </c>
      <c r="N719" s="8" t="s">
        <v>28</v>
      </c>
      <c r="O719" s="8" t="s">
        <v>184</v>
      </c>
      <c r="P719" s="8" t="s">
        <v>195</v>
      </c>
      <c r="Q719" s="8" t="s">
        <v>196</v>
      </c>
      <c r="R719" s="8" t="s">
        <v>394</v>
      </c>
      <c r="S719" s="8" t="s">
        <v>383</v>
      </c>
      <c r="T719" s="8"/>
      <c r="U719" s="8" t="s">
        <v>384</v>
      </c>
      <c r="V719" s="8"/>
      <c r="W719" s="7" t="s">
        <v>380</v>
      </c>
      <c r="X719" s="8" t="s">
        <v>99</v>
      </c>
      <c r="Y719" s="8" t="s">
        <v>23</v>
      </c>
    </row>
    <row r="720" spans="1:25" hidden="1" x14ac:dyDescent="0.25">
      <c r="A720" s="273" t="s">
        <v>315</v>
      </c>
      <c r="B720" s="251">
        <v>45782</v>
      </c>
      <c r="C720" s="252" t="s">
        <v>565</v>
      </c>
      <c r="D720" s="252"/>
      <c r="E720" s="253">
        <v>48000</v>
      </c>
      <c r="F720" s="253">
        <v>0</v>
      </c>
      <c r="G720" s="274">
        <f>Tabla3[[#This Row],[INGRESOS]]-Tabla3[[#This Row],[EGRESOS]]</f>
        <v>-48000</v>
      </c>
      <c r="H720" s="274">
        <v>-7241655.8099999996</v>
      </c>
      <c r="I720" s="135">
        <v>1140</v>
      </c>
      <c r="J720" s="136">
        <f>Tabla3[[#This Row],[EGRESOS]]/Tabla3[[#This Row],[TC]]</f>
        <v>42.10526315789474</v>
      </c>
      <c r="K720" s="136">
        <f>Tabla3[[#This Row],[INGRESOS]]/Tabla3[[#This Row],[TC]]</f>
        <v>0</v>
      </c>
      <c r="L720" s="8" t="s">
        <v>376</v>
      </c>
      <c r="M720" s="8" t="s">
        <v>377</v>
      </c>
      <c r="N720" s="8" t="s">
        <v>28</v>
      </c>
      <c r="O720" s="8" t="s">
        <v>184</v>
      </c>
      <c r="P720" s="8" t="s">
        <v>185</v>
      </c>
      <c r="Q720" s="8" t="s">
        <v>186</v>
      </c>
      <c r="R720" s="8" t="s">
        <v>227</v>
      </c>
      <c r="S720" s="8"/>
      <c r="T720" s="8"/>
      <c r="U720" s="8" t="s">
        <v>384</v>
      </c>
      <c r="V720" s="8"/>
      <c r="W720" s="7" t="s">
        <v>380</v>
      </c>
      <c r="X720" s="8" t="s">
        <v>99</v>
      </c>
      <c r="Y720" s="8" t="s">
        <v>23</v>
      </c>
    </row>
    <row r="721" spans="1:25" hidden="1" x14ac:dyDescent="0.25">
      <c r="A721" s="273" t="s">
        <v>315</v>
      </c>
      <c r="B721" s="251">
        <v>45782</v>
      </c>
      <c r="C721" s="252" t="s">
        <v>273</v>
      </c>
      <c r="D721" s="252"/>
      <c r="E721" s="253">
        <v>10080</v>
      </c>
      <c r="F721" s="253">
        <v>0</v>
      </c>
      <c r="G721" s="274">
        <f>Tabla3[[#This Row],[INGRESOS]]-Tabla3[[#This Row],[EGRESOS]]</f>
        <v>-10080</v>
      </c>
      <c r="H721" s="274">
        <v>-7251735.8099999996</v>
      </c>
      <c r="I721" s="135">
        <v>1140</v>
      </c>
      <c r="J721" s="136">
        <f>Tabla3[[#This Row],[EGRESOS]]/Tabla3[[#This Row],[TC]]</f>
        <v>8.8421052631578956</v>
      </c>
      <c r="K721" s="136">
        <f>Tabla3[[#This Row],[INGRESOS]]/Tabla3[[#This Row],[TC]]</f>
        <v>0</v>
      </c>
      <c r="L721" s="8" t="s">
        <v>376</v>
      </c>
      <c r="M721" s="8" t="s">
        <v>377</v>
      </c>
      <c r="N721" s="8" t="s">
        <v>28</v>
      </c>
      <c r="O721" s="8" t="s">
        <v>184</v>
      </c>
      <c r="P721" s="8" t="s">
        <v>195</v>
      </c>
      <c r="Q721" s="8" t="s">
        <v>196</v>
      </c>
      <c r="R721" s="8" t="s">
        <v>382</v>
      </c>
      <c r="S721" s="8" t="s">
        <v>383</v>
      </c>
      <c r="T721" s="8"/>
      <c r="U721" s="8" t="s">
        <v>384</v>
      </c>
      <c r="V721" s="8"/>
      <c r="W721" s="7" t="s">
        <v>380</v>
      </c>
      <c r="X721" s="8" t="s">
        <v>99</v>
      </c>
      <c r="Y721" s="8" t="s">
        <v>23</v>
      </c>
    </row>
    <row r="722" spans="1:25" hidden="1" x14ac:dyDescent="0.25">
      <c r="A722" s="273" t="s">
        <v>315</v>
      </c>
      <c r="B722" s="251">
        <v>45782</v>
      </c>
      <c r="C722" s="252" t="s">
        <v>564</v>
      </c>
      <c r="D722" s="252"/>
      <c r="E722" s="253">
        <v>1440</v>
      </c>
      <c r="F722" s="253">
        <v>0</v>
      </c>
      <c r="G722" s="274">
        <f>Tabla3[[#This Row],[INGRESOS]]-Tabla3[[#This Row],[EGRESOS]]</f>
        <v>-1440</v>
      </c>
      <c r="H722" s="274">
        <v>-7253175.8099999996</v>
      </c>
      <c r="I722" s="135">
        <v>1140</v>
      </c>
      <c r="J722" s="136">
        <f>Tabla3[[#This Row],[EGRESOS]]/Tabla3[[#This Row],[TC]]</f>
        <v>1.263157894736842</v>
      </c>
      <c r="K722" s="136">
        <f>Tabla3[[#This Row],[INGRESOS]]/Tabla3[[#This Row],[TC]]</f>
        <v>0</v>
      </c>
      <c r="L722" s="8" t="s">
        <v>376</v>
      </c>
      <c r="M722" s="8" t="s">
        <v>377</v>
      </c>
      <c r="N722" s="8" t="s">
        <v>28</v>
      </c>
      <c r="O722" s="8" t="s">
        <v>184</v>
      </c>
      <c r="P722" s="8" t="s">
        <v>195</v>
      </c>
      <c r="Q722" s="8" t="s">
        <v>196</v>
      </c>
      <c r="R722" s="8" t="s">
        <v>417</v>
      </c>
      <c r="S722" s="8" t="s">
        <v>383</v>
      </c>
      <c r="T722" s="8"/>
      <c r="U722" s="8" t="s">
        <v>384</v>
      </c>
      <c r="V722" s="8"/>
      <c r="W722" s="7" t="s">
        <v>380</v>
      </c>
      <c r="X722" s="8" t="s">
        <v>99</v>
      </c>
      <c r="Y722" s="8" t="s">
        <v>23</v>
      </c>
    </row>
    <row r="723" spans="1:25" hidden="1" x14ac:dyDescent="0.25">
      <c r="A723" s="273" t="s">
        <v>315</v>
      </c>
      <c r="B723" s="251">
        <v>45782</v>
      </c>
      <c r="C723" s="252" t="s">
        <v>566</v>
      </c>
      <c r="D723" s="252"/>
      <c r="E723" s="253">
        <v>357.12</v>
      </c>
      <c r="F723" s="253">
        <v>0</v>
      </c>
      <c r="G723" s="274">
        <f>Tabla3[[#This Row],[INGRESOS]]-Tabla3[[#This Row],[EGRESOS]]</f>
        <v>-357.12</v>
      </c>
      <c r="H723" s="274">
        <v>-7253532.9299999997</v>
      </c>
      <c r="I723" s="135">
        <v>1140</v>
      </c>
      <c r="J723" s="136">
        <f>Tabla3[[#This Row],[EGRESOS]]/Tabla3[[#This Row],[TC]]</f>
        <v>0.31326315789473685</v>
      </c>
      <c r="K723" s="136">
        <f>Tabla3[[#This Row],[INGRESOS]]/Tabla3[[#This Row],[TC]]</f>
        <v>0</v>
      </c>
      <c r="L723" s="8" t="s">
        <v>376</v>
      </c>
      <c r="M723" s="8" t="s">
        <v>377</v>
      </c>
      <c r="N723" s="8" t="s">
        <v>28</v>
      </c>
      <c r="O723" s="8" t="s">
        <v>184</v>
      </c>
      <c r="P723" s="8" t="s">
        <v>195</v>
      </c>
      <c r="Q723" s="8" t="s">
        <v>196</v>
      </c>
      <c r="R723" s="8" t="s">
        <v>394</v>
      </c>
      <c r="S723" s="8" t="s">
        <v>383</v>
      </c>
      <c r="T723" s="8"/>
      <c r="U723" s="8" t="s">
        <v>384</v>
      </c>
      <c r="V723" s="8"/>
      <c r="W723" s="7" t="s">
        <v>380</v>
      </c>
      <c r="X723" s="8" t="s">
        <v>99</v>
      </c>
      <c r="Y723" s="8" t="s">
        <v>23</v>
      </c>
    </row>
    <row r="724" spans="1:25" hidden="1" x14ac:dyDescent="0.25">
      <c r="A724" s="387" t="s">
        <v>315</v>
      </c>
      <c r="B724" s="388">
        <v>45782</v>
      </c>
      <c r="C724" s="389" t="s">
        <v>567</v>
      </c>
      <c r="D724" s="389"/>
      <c r="E724" s="390">
        <v>250402.13</v>
      </c>
      <c r="F724" s="390">
        <v>0</v>
      </c>
      <c r="G724" s="336">
        <f>Tabla3[[#This Row],[INGRESOS]]-Tabla3[[#This Row],[EGRESOS]]</f>
        <v>-250402.13</v>
      </c>
      <c r="H724" s="336">
        <v>-7503935.0599999996</v>
      </c>
      <c r="I724" s="391">
        <v>1140</v>
      </c>
      <c r="J724" s="392">
        <f>Tabla3[[#This Row],[EGRESOS]]/Tabla3[[#This Row],[TC]]</f>
        <v>219.65099122807018</v>
      </c>
      <c r="K724" s="392">
        <f>Tabla3[[#This Row],[INGRESOS]]/Tabla3[[#This Row],[TC]]</f>
        <v>0</v>
      </c>
      <c r="L724" s="393" t="s">
        <v>376</v>
      </c>
      <c r="M724" s="393" t="s">
        <v>377</v>
      </c>
      <c r="N724" s="393" t="s">
        <v>28</v>
      </c>
      <c r="O724" s="393" t="s">
        <v>184</v>
      </c>
      <c r="P724" s="393" t="s">
        <v>197</v>
      </c>
      <c r="Q724" s="393" t="s">
        <v>198</v>
      </c>
      <c r="R724" s="393" t="s">
        <v>419</v>
      </c>
      <c r="S724" s="393"/>
      <c r="T724" s="393"/>
      <c r="U724" s="393" t="s">
        <v>384</v>
      </c>
      <c r="V724" s="393"/>
      <c r="W724" s="7" t="s">
        <v>380</v>
      </c>
      <c r="X724" s="393" t="s">
        <v>99</v>
      </c>
      <c r="Y724" s="393" t="s">
        <v>23</v>
      </c>
    </row>
    <row r="725" spans="1:25" hidden="1" x14ac:dyDescent="0.25">
      <c r="A725" s="273" t="s">
        <v>315</v>
      </c>
      <c r="B725" s="251">
        <v>45782</v>
      </c>
      <c r="C725" s="252" t="s">
        <v>463</v>
      </c>
      <c r="D725" s="252"/>
      <c r="E725" s="253">
        <v>5328.46</v>
      </c>
      <c r="F725" s="253">
        <v>0</v>
      </c>
      <c r="G725" s="274">
        <f>Tabla3[[#This Row],[INGRESOS]]-Tabla3[[#This Row],[EGRESOS]]</f>
        <v>-5328.46</v>
      </c>
      <c r="H725" s="274">
        <v>-7509263.5199999996</v>
      </c>
      <c r="I725" s="135">
        <v>1140</v>
      </c>
      <c r="J725" s="136">
        <f>Tabla3[[#This Row],[EGRESOS]]/Tabla3[[#This Row],[TC]]</f>
        <v>4.674087719298246</v>
      </c>
      <c r="K725" s="136">
        <f>Tabla3[[#This Row],[INGRESOS]]/Tabla3[[#This Row],[TC]]</f>
        <v>0</v>
      </c>
      <c r="L725" s="8" t="s">
        <v>376</v>
      </c>
      <c r="M725" s="8" t="s">
        <v>377</v>
      </c>
      <c r="N725" s="8" t="s">
        <v>28</v>
      </c>
      <c r="O725" s="8" t="s">
        <v>184</v>
      </c>
      <c r="P725" s="8" t="s">
        <v>195</v>
      </c>
      <c r="Q725" s="8" t="s">
        <v>196</v>
      </c>
      <c r="R725" s="8" t="s">
        <v>423</v>
      </c>
      <c r="S725" s="8" t="s">
        <v>69</v>
      </c>
      <c r="T725" s="8"/>
      <c r="U725" s="8" t="s">
        <v>384</v>
      </c>
      <c r="V725" s="8"/>
      <c r="W725" s="7" t="s">
        <v>380</v>
      </c>
      <c r="X725" s="8" t="s">
        <v>99</v>
      </c>
      <c r="Y725" s="8" t="s">
        <v>23</v>
      </c>
    </row>
    <row r="726" spans="1:25" hidden="1" x14ac:dyDescent="0.25">
      <c r="A726" s="273" t="s">
        <v>315</v>
      </c>
      <c r="B726" s="251">
        <v>45782</v>
      </c>
      <c r="C726" s="252" t="s">
        <v>273</v>
      </c>
      <c r="D726" s="252"/>
      <c r="E726" s="253">
        <v>26292.22</v>
      </c>
      <c r="F726" s="253">
        <v>0</v>
      </c>
      <c r="G726" s="274">
        <f>Tabla3[[#This Row],[INGRESOS]]-Tabla3[[#This Row],[EGRESOS]]</f>
        <v>-26292.22</v>
      </c>
      <c r="H726" s="274">
        <v>-7535555.7400000002</v>
      </c>
      <c r="I726" s="135">
        <v>1140</v>
      </c>
      <c r="J726" s="136">
        <f>Tabla3[[#This Row],[EGRESOS]]/Tabla3[[#This Row],[TC]]</f>
        <v>23.063350877192985</v>
      </c>
      <c r="K726" s="136">
        <f>Tabla3[[#This Row],[INGRESOS]]/Tabla3[[#This Row],[TC]]</f>
        <v>0</v>
      </c>
      <c r="L726" s="8" t="s">
        <v>376</v>
      </c>
      <c r="M726" s="8" t="s">
        <v>377</v>
      </c>
      <c r="N726" s="8" t="s">
        <v>28</v>
      </c>
      <c r="O726" s="8" t="s">
        <v>184</v>
      </c>
      <c r="P726" s="8" t="s">
        <v>195</v>
      </c>
      <c r="Q726" s="8" t="s">
        <v>196</v>
      </c>
      <c r="R726" s="8" t="s">
        <v>382</v>
      </c>
      <c r="S726" s="8" t="s">
        <v>383</v>
      </c>
      <c r="T726" s="8"/>
      <c r="U726" s="8" t="s">
        <v>384</v>
      </c>
      <c r="V726" s="8"/>
      <c r="W726" s="7" t="s">
        <v>380</v>
      </c>
      <c r="X726" s="8" t="s">
        <v>99</v>
      </c>
      <c r="Y726" s="8" t="s">
        <v>23</v>
      </c>
    </row>
    <row r="727" spans="1:25" hidden="1" x14ac:dyDescent="0.25">
      <c r="A727" s="273" t="s">
        <v>315</v>
      </c>
      <c r="B727" s="251">
        <v>45782</v>
      </c>
      <c r="C727" s="252" t="s">
        <v>564</v>
      </c>
      <c r="D727" s="252"/>
      <c r="E727" s="253">
        <v>3756.03</v>
      </c>
      <c r="F727" s="253">
        <v>0</v>
      </c>
      <c r="G727" s="274">
        <f>Tabla3[[#This Row],[INGRESOS]]-Tabla3[[#This Row],[EGRESOS]]</f>
        <v>-3756.03</v>
      </c>
      <c r="H727" s="274">
        <v>-7539311.7699999996</v>
      </c>
      <c r="I727" s="135">
        <v>1140</v>
      </c>
      <c r="J727" s="136">
        <f>Tabla3[[#This Row],[EGRESOS]]/Tabla3[[#This Row],[TC]]</f>
        <v>3.2947631578947369</v>
      </c>
      <c r="K727" s="136">
        <f>Tabla3[[#This Row],[INGRESOS]]/Tabla3[[#This Row],[TC]]</f>
        <v>0</v>
      </c>
      <c r="L727" s="8" t="s">
        <v>376</v>
      </c>
      <c r="M727" s="8" t="s">
        <v>377</v>
      </c>
      <c r="N727" s="8" t="s">
        <v>28</v>
      </c>
      <c r="O727" s="8" t="s">
        <v>184</v>
      </c>
      <c r="P727" s="8" t="s">
        <v>195</v>
      </c>
      <c r="Q727" s="8" t="s">
        <v>196</v>
      </c>
      <c r="R727" s="8" t="s">
        <v>417</v>
      </c>
      <c r="S727" s="8" t="s">
        <v>383</v>
      </c>
      <c r="T727" s="8"/>
      <c r="U727" s="8" t="s">
        <v>384</v>
      </c>
      <c r="V727" s="8"/>
      <c r="W727" s="7" t="s">
        <v>380</v>
      </c>
      <c r="X727" s="8" t="s">
        <v>99</v>
      </c>
      <c r="Y727" s="8" t="s">
        <v>23</v>
      </c>
    </row>
    <row r="728" spans="1:25" hidden="1" x14ac:dyDescent="0.25">
      <c r="A728" s="273" t="s">
        <v>315</v>
      </c>
      <c r="B728" s="251">
        <v>45782</v>
      </c>
      <c r="C728" s="252" t="s">
        <v>566</v>
      </c>
      <c r="D728" s="252"/>
      <c r="E728" s="253">
        <v>1714.67</v>
      </c>
      <c r="F728" s="253">
        <v>0</v>
      </c>
      <c r="G728" s="274">
        <f>Tabla3[[#This Row],[INGRESOS]]-Tabla3[[#This Row],[EGRESOS]]</f>
        <v>-1714.67</v>
      </c>
      <c r="H728" s="274">
        <v>-7541026.4400000004</v>
      </c>
      <c r="I728" s="135">
        <v>1140</v>
      </c>
      <c r="J728" s="136">
        <f>Tabla3[[#This Row],[EGRESOS]]/Tabla3[[#This Row],[TC]]</f>
        <v>1.5040964912280703</v>
      </c>
      <c r="K728" s="136">
        <f>Tabla3[[#This Row],[INGRESOS]]/Tabla3[[#This Row],[TC]]</f>
        <v>0</v>
      </c>
      <c r="L728" s="8" t="s">
        <v>376</v>
      </c>
      <c r="M728" s="8" t="s">
        <v>377</v>
      </c>
      <c r="N728" s="8" t="s">
        <v>28</v>
      </c>
      <c r="O728" s="8" t="s">
        <v>184</v>
      </c>
      <c r="P728" s="8" t="s">
        <v>195</v>
      </c>
      <c r="Q728" s="8" t="s">
        <v>196</v>
      </c>
      <c r="R728" s="8" t="s">
        <v>394</v>
      </c>
      <c r="S728" s="8" t="s">
        <v>383</v>
      </c>
      <c r="T728" s="8"/>
      <c r="U728" s="8" t="s">
        <v>384</v>
      </c>
      <c r="V728" s="8"/>
      <c r="W728" s="7" t="s">
        <v>380</v>
      </c>
      <c r="X728" s="8" t="s">
        <v>99</v>
      </c>
      <c r="Y728" s="8" t="s">
        <v>23</v>
      </c>
    </row>
    <row r="729" spans="1:25" hidden="1" x14ac:dyDescent="0.25">
      <c r="A729" s="273" t="s">
        <v>315</v>
      </c>
      <c r="B729" s="251">
        <v>45784</v>
      </c>
      <c r="C729" s="252" t="s">
        <v>598</v>
      </c>
      <c r="D729" s="252"/>
      <c r="E729" s="253">
        <v>0</v>
      </c>
      <c r="F729" s="253">
        <v>350000</v>
      </c>
      <c r="G729" s="274">
        <f>Tabla3[[#This Row],[INGRESOS]]-Tabla3[[#This Row],[EGRESOS]]</f>
        <v>350000</v>
      </c>
      <c r="H729" s="274">
        <v>-7191026.4400000004</v>
      </c>
      <c r="I729" s="135">
        <v>1140</v>
      </c>
      <c r="J729" s="136">
        <f>Tabla3[[#This Row],[EGRESOS]]/Tabla3[[#This Row],[TC]]</f>
        <v>0</v>
      </c>
      <c r="K729" s="136">
        <f>Tabla3[[#This Row],[INGRESOS]]/Tabla3[[#This Row],[TC]]</f>
        <v>307.01754385964909</v>
      </c>
      <c r="L729" s="8" t="s">
        <v>376</v>
      </c>
      <c r="M729" s="8" t="s">
        <v>377</v>
      </c>
      <c r="N729" s="8" t="s">
        <v>28</v>
      </c>
      <c r="O729" s="8" t="s">
        <v>244</v>
      </c>
      <c r="P729" s="8" t="s">
        <v>259</v>
      </c>
      <c r="Q729" s="8" t="s">
        <v>260</v>
      </c>
      <c r="R729" s="8"/>
      <c r="S729" s="8"/>
      <c r="T729" s="8"/>
      <c r="U729" s="8" t="s">
        <v>379</v>
      </c>
      <c r="V729" s="8"/>
      <c r="W729" s="7" t="s">
        <v>380</v>
      </c>
      <c r="X729" s="8"/>
      <c r="Y729" s="8"/>
    </row>
    <row r="730" spans="1:25" hidden="1" x14ac:dyDescent="0.25">
      <c r="A730" s="273" t="s">
        <v>315</v>
      </c>
      <c r="B730" s="251">
        <v>45792</v>
      </c>
      <c r="C730" s="252" t="s">
        <v>577</v>
      </c>
      <c r="D730" s="252" t="s">
        <v>626</v>
      </c>
      <c r="E730" s="253">
        <v>278300</v>
      </c>
      <c r="F730" s="253">
        <v>0</v>
      </c>
      <c r="G730" s="274">
        <f>Tabla3[[#This Row],[INGRESOS]]-Tabla3[[#This Row],[EGRESOS]]</f>
        <v>-278300</v>
      </c>
      <c r="H730" s="274">
        <v>-7469326.4400000004</v>
      </c>
      <c r="I730" s="135">
        <v>1140</v>
      </c>
      <c r="J730" s="136">
        <f>Tabla3[[#This Row],[EGRESOS]]/Tabla3[[#This Row],[TC]]</f>
        <v>244.12280701754386</v>
      </c>
      <c r="K730" s="136">
        <f>Tabla3[[#This Row],[INGRESOS]]/Tabla3[[#This Row],[TC]]</f>
        <v>0</v>
      </c>
      <c r="L730" s="8" t="s">
        <v>376</v>
      </c>
      <c r="M730" s="8" t="s">
        <v>377</v>
      </c>
      <c r="N730" s="8" t="s">
        <v>28</v>
      </c>
      <c r="O730" s="8" t="s">
        <v>225</v>
      </c>
      <c r="P730" s="8" t="s">
        <v>226</v>
      </c>
      <c r="Q730" s="8"/>
      <c r="R730" s="8"/>
      <c r="S730" s="8" t="s">
        <v>627</v>
      </c>
      <c r="T730" s="8" t="s">
        <v>628</v>
      </c>
      <c r="U730" s="8" t="s">
        <v>412</v>
      </c>
      <c r="V730" s="8"/>
      <c r="W730" s="7" t="s">
        <v>380</v>
      </c>
      <c r="X730" s="8" t="s">
        <v>50</v>
      </c>
      <c r="Y730" s="8" t="s">
        <v>23</v>
      </c>
    </row>
    <row r="731" spans="1:25" hidden="1" x14ac:dyDescent="0.25">
      <c r="A731" s="273" t="s">
        <v>315</v>
      </c>
      <c r="B731" s="251">
        <v>45792</v>
      </c>
      <c r="C731" s="252" t="s">
        <v>566</v>
      </c>
      <c r="D731" s="252"/>
      <c r="E731" s="253">
        <v>1669.8</v>
      </c>
      <c r="F731" s="253">
        <v>0</v>
      </c>
      <c r="G731" s="274">
        <f>Tabla3[[#This Row],[INGRESOS]]-Tabla3[[#This Row],[EGRESOS]]</f>
        <v>-1669.8</v>
      </c>
      <c r="H731" s="274">
        <v>-7470996.2400000002</v>
      </c>
      <c r="I731" s="135">
        <v>1140</v>
      </c>
      <c r="J731" s="136">
        <f>Tabla3[[#This Row],[EGRESOS]]/Tabla3[[#This Row],[TC]]</f>
        <v>1.4647368421052631</v>
      </c>
      <c r="K731" s="136">
        <f>Tabla3[[#This Row],[INGRESOS]]/Tabla3[[#This Row],[TC]]</f>
        <v>0</v>
      </c>
      <c r="L731" s="8" t="s">
        <v>376</v>
      </c>
      <c r="M731" s="8" t="s">
        <v>377</v>
      </c>
      <c r="N731" s="8" t="s">
        <v>28</v>
      </c>
      <c r="O731" s="8" t="s">
        <v>184</v>
      </c>
      <c r="P731" s="8" t="s">
        <v>195</v>
      </c>
      <c r="Q731" s="8" t="s">
        <v>196</v>
      </c>
      <c r="R731" s="8" t="s">
        <v>394</v>
      </c>
      <c r="S731" s="8" t="s">
        <v>383</v>
      </c>
      <c r="T731" s="8"/>
      <c r="U731" s="8" t="s">
        <v>384</v>
      </c>
      <c r="V731" s="8"/>
      <c r="W731" s="7" t="s">
        <v>380</v>
      </c>
      <c r="X731" s="8" t="s">
        <v>99</v>
      </c>
      <c r="Y731" s="8" t="s">
        <v>23</v>
      </c>
    </row>
    <row r="732" spans="1:25" hidden="1" x14ac:dyDescent="0.25">
      <c r="A732" s="273" t="s">
        <v>315</v>
      </c>
      <c r="B732" s="251">
        <v>45793</v>
      </c>
      <c r="C732" s="252" t="s">
        <v>629</v>
      </c>
      <c r="D732" s="252" t="s">
        <v>630</v>
      </c>
      <c r="E732" s="253">
        <v>1253833.94</v>
      </c>
      <c r="F732" s="253">
        <v>0</v>
      </c>
      <c r="G732" s="274">
        <f>Tabla3[[#This Row],[INGRESOS]]-Tabla3[[#This Row],[EGRESOS]]</f>
        <v>-1253833.94</v>
      </c>
      <c r="H732" s="274">
        <v>-8724830.1799999997</v>
      </c>
      <c r="I732" s="135">
        <v>1140</v>
      </c>
      <c r="J732" s="136">
        <f>Tabla3[[#This Row],[EGRESOS]]/Tabla3[[#This Row],[TC]]</f>
        <v>1099.8543333333332</v>
      </c>
      <c r="K732" s="136">
        <f>Tabla3[[#This Row],[INGRESOS]]/Tabla3[[#This Row],[TC]]</f>
        <v>0</v>
      </c>
      <c r="L732" s="8" t="s">
        <v>376</v>
      </c>
      <c r="M732" s="8" t="s">
        <v>377</v>
      </c>
      <c r="N732" s="8" t="s">
        <v>28</v>
      </c>
      <c r="O732" s="8" t="s">
        <v>215</v>
      </c>
      <c r="P732" s="8" t="s">
        <v>223</v>
      </c>
      <c r="Q732" s="8" t="s">
        <v>224</v>
      </c>
      <c r="R732" s="8" t="s">
        <v>328</v>
      </c>
      <c r="S732" s="8" t="s">
        <v>631</v>
      </c>
      <c r="T732" s="8" t="s">
        <v>632</v>
      </c>
      <c r="U732" s="8" t="s">
        <v>412</v>
      </c>
      <c r="V732" s="8"/>
      <c r="W732" s="7" t="s">
        <v>380</v>
      </c>
      <c r="X732" s="8" t="s">
        <v>41</v>
      </c>
      <c r="Y732" s="8" t="s">
        <v>23</v>
      </c>
    </row>
    <row r="733" spans="1:25" hidden="1" x14ac:dyDescent="0.25">
      <c r="A733" s="273" t="s">
        <v>315</v>
      </c>
      <c r="B733" s="251">
        <v>45793</v>
      </c>
      <c r="C733" s="252" t="s">
        <v>598</v>
      </c>
      <c r="D733" s="252"/>
      <c r="E733" s="253">
        <v>0</v>
      </c>
      <c r="F733" s="253">
        <v>1600000</v>
      </c>
      <c r="G733" s="274">
        <f>Tabla3[[#This Row],[INGRESOS]]-Tabla3[[#This Row],[EGRESOS]]</f>
        <v>1600000</v>
      </c>
      <c r="H733" s="274">
        <v>-7124830.1799999997</v>
      </c>
      <c r="I733" s="135">
        <v>1140</v>
      </c>
      <c r="J733" s="136">
        <f>Tabla3[[#This Row],[EGRESOS]]/Tabla3[[#This Row],[TC]]</f>
        <v>0</v>
      </c>
      <c r="K733" s="136">
        <f>Tabla3[[#This Row],[INGRESOS]]/Tabla3[[#This Row],[TC]]</f>
        <v>1403.5087719298247</v>
      </c>
      <c r="L733" s="8" t="s">
        <v>376</v>
      </c>
      <c r="M733" s="8" t="s">
        <v>377</v>
      </c>
      <c r="N733" s="8" t="s">
        <v>28</v>
      </c>
      <c r="O733" s="8" t="s">
        <v>244</v>
      </c>
      <c r="P733" s="8" t="s">
        <v>259</v>
      </c>
      <c r="Q733" s="8" t="s">
        <v>260</v>
      </c>
      <c r="R733" s="8" t="s">
        <v>405</v>
      </c>
      <c r="S733" s="8"/>
      <c r="T733" s="8"/>
      <c r="U733" s="8" t="s">
        <v>379</v>
      </c>
      <c r="V733" s="8"/>
      <c r="W733" s="7" t="s">
        <v>380</v>
      </c>
      <c r="X733" s="8"/>
      <c r="Y733" s="8"/>
    </row>
    <row r="734" spans="1:25" hidden="1" x14ac:dyDescent="0.25">
      <c r="A734" s="273" t="s">
        <v>315</v>
      </c>
      <c r="B734" s="251">
        <v>45793</v>
      </c>
      <c r="C734" s="252" t="s">
        <v>566</v>
      </c>
      <c r="D734" s="252"/>
      <c r="E734" s="253">
        <v>7523</v>
      </c>
      <c r="F734" s="253">
        <v>0</v>
      </c>
      <c r="G734" s="274">
        <f>Tabla3[[#This Row],[INGRESOS]]-Tabla3[[#This Row],[EGRESOS]]</f>
        <v>-7523</v>
      </c>
      <c r="H734" s="274">
        <v>-7132353.1799999997</v>
      </c>
      <c r="I734" s="135">
        <v>1140</v>
      </c>
      <c r="J734" s="136">
        <f>Tabla3[[#This Row],[EGRESOS]]/Tabla3[[#This Row],[TC]]</f>
        <v>6.5991228070175438</v>
      </c>
      <c r="K734" s="136">
        <f>Tabla3[[#This Row],[INGRESOS]]/Tabla3[[#This Row],[TC]]</f>
        <v>0</v>
      </c>
      <c r="L734" s="8" t="s">
        <v>376</v>
      </c>
      <c r="M734" s="8" t="s">
        <v>377</v>
      </c>
      <c r="N734" s="8" t="s">
        <v>28</v>
      </c>
      <c r="O734" s="8" t="s">
        <v>184</v>
      </c>
      <c r="P734" s="8" t="s">
        <v>195</v>
      </c>
      <c r="Q734" s="8" t="s">
        <v>196</v>
      </c>
      <c r="R734" s="8" t="s">
        <v>394</v>
      </c>
      <c r="S734" s="8" t="s">
        <v>383</v>
      </c>
      <c r="T734" s="8"/>
      <c r="U734" s="8" t="s">
        <v>384</v>
      </c>
      <c r="V734" s="8"/>
      <c r="W734" s="7" t="s">
        <v>380</v>
      </c>
      <c r="X734" s="8" t="s">
        <v>99</v>
      </c>
      <c r="Y734" s="8" t="s">
        <v>23</v>
      </c>
    </row>
    <row r="735" spans="1:25" hidden="1" x14ac:dyDescent="0.25">
      <c r="A735" s="273" t="s">
        <v>315</v>
      </c>
      <c r="B735" s="251">
        <v>45805</v>
      </c>
      <c r="C735" s="252" t="s">
        <v>629</v>
      </c>
      <c r="D735" s="252" t="s">
        <v>633</v>
      </c>
      <c r="E735" s="253">
        <v>1473622.75</v>
      </c>
      <c r="F735" s="253">
        <v>0</v>
      </c>
      <c r="G735" s="274">
        <f>Tabla3[[#This Row],[INGRESOS]]-Tabla3[[#This Row],[EGRESOS]]</f>
        <v>-1473622.75</v>
      </c>
      <c r="H735" s="274">
        <v>-8605975.9299999997</v>
      </c>
      <c r="I735" s="135">
        <v>1140</v>
      </c>
      <c r="J735" s="136">
        <f>Tabla3[[#This Row],[EGRESOS]]/Tabla3[[#This Row],[TC]]</f>
        <v>1292.6515350877194</v>
      </c>
      <c r="K735" s="136">
        <f>Tabla3[[#This Row],[INGRESOS]]/Tabla3[[#This Row],[TC]]</f>
        <v>0</v>
      </c>
      <c r="L735" s="8" t="s">
        <v>376</v>
      </c>
      <c r="M735" s="8" t="s">
        <v>377</v>
      </c>
      <c r="N735" s="8" t="s">
        <v>28</v>
      </c>
      <c r="O735" s="8" t="s">
        <v>215</v>
      </c>
      <c r="P735" s="8" t="s">
        <v>216</v>
      </c>
      <c r="Q735" s="8" t="s">
        <v>220</v>
      </c>
      <c r="R735" s="8" t="s">
        <v>329</v>
      </c>
      <c r="S735" s="8" t="s">
        <v>634</v>
      </c>
      <c r="T735" s="8" t="s">
        <v>635</v>
      </c>
      <c r="U735" s="8" t="s">
        <v>412</v>
      </c>
      <c r="V735" s="8"/>
      <c r="W735" s="7" t="s">
        <v>380</v>
      </c>
      <c r="X735" s="8" t="s">
        <v>29</v>
      </c>
      <c r="Y735" s="8" t="s">
        <v>23</v>
      </c>
    </row>
    <row r="736" spans="1:25" hidden="1" x14ac:dyDescent="0.25">
      <c r="A736" s="273" t="s">
        <v>315</v>
      </c>
      <c r="B736" s="251">
        <v>45805</v>
      </c>
      <c r="C736" s="252" t="s">
        <v>577</v>
      </c>
      <c r="D736" s="252" t="s">
        <v>636</v>
      </c>
      <c r="E736" s="253">
        <v>1215000</v>
      </c>
      <c r="F736" s="253">
        <v>0</v>
      </c>
      <c r="G736" s="274">
        <f>Tabla3[[#This Row],[INGRESOS]]-Tabla3[[#This Row],[EGRESOS]]</f>
        <v>-1215000</v>
      </c>
      <c r="H736" s="135">
        <f>H735-Tabla3[[#This Row],[EGRESOS]]</f>
        <v>-9820975.9299999997</v>
      </c>
      <c r="I736" s="135">
        <v>1140</v>
      </c>
      <c r="J736" s="136">
        <f>Tabla3[[#This Row],[EGRESOS]]/Tabla3[[#This Row],[TC]]</f>
        <v>1065.7894736842106</v>
      </c>
      <c r="K736" s="136">
        <f>Tabla3[[#This Row],[INGRESOS]]/Tabla3[[#This Row],[TC]]</f>
        <v>0</v>
      </c>
      <c r="L736" s="8" t="s">
        <v>376</v>
      </c>
      <c r="M736" s="8" t="s">
        <v>377</v>
      </c>
      <c r="N736" s="8" t="s">
        <v>28</v>
      </c>
      <c r="O736" s="8" t="s">
        <v>286</v>
      </c>
      <c r="P736" s="8" t="s">
        <v>287</v>
      </c>
      <c r="Q736" s="8" t="s">
        <v>288</v>
      </c>
      <c r="R736" s="8" t="s">
        <v>143</v>
      </c>
      <c r="S736" s="8" t="s">
        <v>637</v>
      </c>
      <c r="T736" s="8" t="s">
        <v>638</v>
      </c>
      <c r="U736" s="8" t="s">
        <v>412</v>
      </c>
      <c r="V736" s="8"/>
      <c r="W736" s="7" t="s">
        <v>380</v>
      </c>
      <c r="X736" s="8" t="s">
        <v>50</v>
      </c>
      <c r="Y736" s="8" t="s">
        <v>23</v>
      </c>
    </row>
    <row r="737" spans="1:25" hidden="1" x14ac:dyDescent="0.25">
      <c r="A737" s="273" t="s">
        <v>315</v>
      </c>
      <c r="B737" s="251">
        <v>45805</v>
      </c>
      <c r="C737" s="252" t="s">
        <v>598</v>
      </c>
      <c r="D737" s="252"/>
      <c r="E737" s="253">
        <v>0</v>
      </c>
      <c r="F737" s="253">
        <v>2750000</v>
      </c>
      <c r="G737" s="274">
        <f>Tabla3[[#This Row],[INGRESOS]]-Tabla3[[#This Row],[EGRESOS]]</f>
        <v>2750000</v>
      </c>
      <c r="H737" s="135">
        <v>-7070975.9299999997</v>
      </c>
      <c r="I737" s="135">
        <v>1140</v>
      </c>
      <c r="J737" s="136">
        <f>Tabla3[[#This Row],[EGRESOS]]/Tabla3[[#This Row],[TC]]</f>
        <v>0</v>
      </c>
      <c r="K737" s="136">
        <f>Tabla3[[#This Row],[INGRESOS]]/Tabla3[[#This Row],[TC]]</f>
        <v>2412.280701754386</v>
      </c>
      <c r="L737" s="8" t="s">
        <v>376</v>
      </c>
      <c r="M737" s="8" t="s">
        <v>377</v>
      </c>
      <c r="N737" s="8" t="s">
        <v>28</v>
      </c>
      <c r="O737" s="8" t="s">
        <v>244</v>
      </c>
      <c r="P737" s="8" t="s">
        <v>259</v>
      </c>
      <c r="Q737" s="8" t="s">
        <v>260</v>
      </c>
      <c r="R737" s="8" t="s">
        <v>405</v>
      </c>
      <c r="S737" s="8"/>
      <c r="T737" s="8"/>
      <c r="U737" s="8" t="s">
        <v>379</v>
      </c>
      <c r="V737" s="8"/>
      <c r="W737" s="7" t="s">
        <v>380</v>
      </c>
      <c r="X737" s="8"/>
      <c r="Y737" s="8"/>
    </row>
    <row r="738" spans="1:25" hidden="1" x14ac:dyDescent="0.25">
      <c r="A738" s="273" t="s">
        <v>315</v>
      </c>
      <c r="B738" s="251">
        <v>45805</v>
      </c>
      <c r="C738" s="252" t="s">
        <v>566</v>
      </c>
      <c r="D738" s="252"/>
      <c r="E738" s="253">
        <v>16131.74</v>
      </c>
      <c r="F738" s="253">
        <v>0</v>
      </c>
      <c r="G738" s="274">
        <f>Tabla3[[#This Row],[INGRESOS]]-Tabla3[[#This Row],[EGRESOS]]</f>
        <v>-16131.74</v>
      </c>
      <c r="H738" s="135">
        <v>-7087107.6699999999</v>
      </c>
      <c r="I738" s="135">
        <v>1140</v>
      </c>
      <c r="J738" s="136">
        <f>Tabla3[[#This Row],[EGRESOS]]/Tabla3[[#This Row],[TC]]</f>
        <v>14.150649122807017</v>
      </c>
      <c r="K738" s="136">
        <f>Tabla3[[#This Row],[INGRESOS]]/Tabla3[[#This Row],[TC]]</f>
        <v>0</v>
      </c>
      <c r="L738" s="8" t="s">
        <v>376</v>
      </c>
      <c r="M738" s="8" t="s">
        <v>377</v>
      </c>
      <c r="N738" s="8" t="s">
        <v>28</v>
      </c>
      <c r="O738" s="8" t="s">
        <v>184</v>
      </c>
      <c r="P738" s="8" t="s">
        <v>195</v>
      </c>
      <c r="Q738" s="8" t="s">
        <v>196</v>
      </c>
      <c r="R738" s="8" t="s">
        <v>394</v>
      </c>
      <c r="S738" s="8" t="s">
        <v>383</v>
      </c>
      <c r="T738" s="8"/>
      <c r="U738" s="8" t="s">
        <v>384</v>
      </c>
      <c r="V738" s="8"/>
      <c r="W738" s="7" t="s">
        <v>380</v>
      </c>
      <c r="X738" s="8" t="s">
        <v>99</v>
      </c>
      <c r="Y738" s="8" t="s">
        <v>23</v>
      </c>
    </row>
    <row r="739" spans="1:25" hidden="1" x14ac:dyDescent="0.25">
      <c r="A739" s="273" t="s">
        <v>315</v>
      </c>
      <c r="B739" s="251">
        <v>45807</v>
      </c>
      <c r="C739" s="252" t="s">
        <v>629</v>
      </c>
      <c r="D739" s="252" t="s">
        <v>639</v>
      </c>
      <c r="E739" s="253">
        <v>249382.72</v>
      </c>
      <c r="F739" s="253">
        <v>0</v>
      </c>
      <c r="G739" s="274">
        <f>Tabla3[[#This Row],[INGRESOS]]-Tabla3[[#This Row],[EGRESOS]]</f>
        <v>-249382.72</v>
      </c>
      <c r="H739" s="135">
        <v>-7336490.3899999997</v>
      </c>
      <c r="I739" s="135">
        <v>1140</v>
      </c>
      <c r="J739" s="136">
        <f>Tabla3[[#This Row],[EGRESOS]]/Tabla3[[#This Row],[TC]]</f>
        <v>218.75677192982457</v>
      </c>
      <c r="K739" s="136">
        <f>Tabla3[[#This Row],[INGRESOS]]/Tabla3[[#This Row],[TC]]</f>
        <v>0</v>
      </c>
      <c r="L739" s="8" t="s">
        <v>376</v>
      </c>
      <c r="M739" s="8" t="s">
        <v>377</v>
      </c>
      <c r="N739" s="8" t="s">
        <v>28</v>
      </c>
      <c r="O739" s="8" t="s">
        <v>225</v>
      </c>
      <c r="P739" s="8" t="s">
        <v>233</v>
      </c>
      <c r="Q739" s="8"/>
      <c r="R739" s="8"/>
      <c r="S739" s="8" t="s">
        <v>640</v>
      </c>
      <c r="T739" s="8" t="s">
        <v>641</v>
      </c>
      <c r="U739" s="8" t="s">
        <v>412</v>
      </c>
      <c r="V739" s="8"/>
      <c r="W739" s="7" t="s">
        <v>380</v>
      </c>
      <c r="X739" s="8" t="s">
        <v>50</v>
      </c>
      <c r="Y739" s="8" t="s">
        <v>23</v>
      </c>
    </row>
    <row r="740" spans="1:25" hidden="1" x14ac:dyDescent="0.25">
      <c r="A740" s="273" t="s">
        <v>315</v>
      </c>
      <c r="B740" s="251">
        <v>45807</v>
      </c>
      <c r="C740" s="252" t="s">
        <v>577</v>
      </c>
      <c r="D740" s="252" t="s">
        <v>642</v>
      </c>
      <c r="E740" s="253">
        <v>300000</v>
      </c>
      <c r="F740" s="253">
        <v>0</v>
      </c>
      <c r="G740" s="274">
        <f>Tabla3[[#This Row],[INGRESOS]]-Tabla3[[#This Row],[EGRESOS]]</f>
        <v>-300000</v>
      </c>
      <c r="H740" s="135">
        <v>-7636490.3899999997</v>
      </c>
      <c r="I740" s="135">
        <v>1140</v>
      </c>
      <c r="J740" s="136">
        <f>Tabla3[[#This Row],[EGRESOS]]/Tabla3[[#This Row],[TC]]</f>
        <v>263.15789473684208</v>
      </c>
      <c r="K740" s="136">
        <f>Tabla3[[#This Row],[INGRESOS]]/Tabla3[[#This Row],[TC]]</f>
        <v>0</v>
      </c>
      <c r="L740" s="8" t="s">
        <v>376</v>
      </c>
      <c r="M740" s="8" t="s">
        <v>377</v>
      </c>
      <c r="N740" s="8" t="s">
        <v>28</v>
      </c>
      <c r="O740" s="8" t="s">
        <v>225</v>
      </c>
      <c r="P740" s="8" t="s">
        <v>236</v>
      </c>
      <c r="Q740" s="8" t="s">
        <v>241</v>
      </c>
      <c r="R740" s="8" t="s">
        <v>643</v>
      </c>
      <c r="S740" s="8" t="s">
        <v>644</v>
      </c>
      <c r="T740" s="8" t="s">
        <v>645</v>
      </c>
      <c r="U740" s="8" t="s">
        <v>412</v>
      </c>
      <c r="V740" s="8"/>
      <c r="W740" s="7" t="s">
        <v>380</v>
      </c>
      <c r="X740" s="8" t="s">
        <v>50</v>
      </c>
      <c r="Y740" s="8" t="s">
        <v>23</v>
      </c>
    </row>
    <row r="741" spans="1:25" hidden="1" x14ac:dyDescent="0.25">
      <c r="A741" s="273" t="s">
        <v>315</v>
      </c>
      <c r="B741" s="251">
        <v>45807</v>
      </c>
      <c r="C741" s="252" t="s">
        <v>598</v>
      </c>
      <c r="D741" s="252"/>
      <c r="E741" s="253">
        <v>0</v>
      </c>
      <c r="F741" s="253">
        <v>500000</v>
      </c>
      <c r="G741" s="274">
        <f>Tabla3[[#This Row],[INGRESOS]]-Tabla3[[#This Row],[EGRESOS]]</f>
        <v>500000</v>
      </c>
      <c r="H741" s="135">
        <v>-7936490.3899999997</v>
      </c>
      <c r="I741" s="135">
        <v>1140</v>
      </c>
      <c r="J741" s="136">
        <f>Tabla3[[#This Row],[EGRESOS]]/Tabla3[[#This Row],[TC]]</f>
        <v>0</v>
      </c>
      <c r="K741" s="136">
        <f>Tabla3[[#This Row],[INGRESOS]]/Tabla3[[#This Row],[TC]]</f>
        <v>438.59649122807019</v>
      </c>
      <c r="L741" s="8" t="s">
        <v>376</v>
      </c>
      <c r="M741" s="8" t="s">
        <v>377</v>
      </c>
      <c r="N741" s="8" t="s">
        <v>28</v>
      </c>
      <c r="O741" s="8" t="s">
        <v>244</v>
      </c>
      <c r="P741" s="8" t="s">
        <v>259</v>
      </c>
      <c r="Q741" s="8" t="s">
        <v>260</v>
      </c>
      <c r="R741" s="8" t="s">
        <v>405</v>
      </c>
      <c r="S741" s="8"/>
      <c r="T741" s="8"/>
      <c r="U741" s="8" t="s">
        <v>379</v>
      </c>
      <c r="V741" s="8"/>
      <c r="W741" s="7" t="s">
        <v>380</v>
      </c>
      <c r="X741" s="8"/>
      <c r="Y741" s="8"/>
    </row>
    <row r="742" spans="1:25" hidden="1" x14ac:dyDescent="0.25">
      <c r="A742" s="273" t="s">
        <v>315</v>
      </c>
      <c r="B742" s="251">
        <v>45807</v>
      </c>
      <c r="C742" s="252" t="s">
        <v>566</v>
      </c>
      <c r="D742" s="252"/>
      <c r="E742" s="253">
        <v>3296.3</v>
      </c>
      <c r="F742" s="253">
        <v>0</v>
      </c>
      <c r="G742" s="274">
        <f>Tabla3[[#This Row],[INGRESOS]]-Tabla3[[#This Row],[EGRESOS]]</f>
        <v>-3296.3</v>
      </c>
      <c r="H742" s="135">
        <v>-8236490.3899999997</v>
      </c>
      <c r="I742" s="135">
        <v>1140</v>
      </c>
      <c r="J742" s="136">
        <f>Tabla3[[#This Row],[EGRESOS]]/Tabla3[[#This Row],[TC]]</f>
        <v>2.8914912280701754</v>
      </c>
      <c r="K742" s="136">
        <f>Tabla3[[#This Row],[INGRESOS]]/Tabla3[[#This Row],[TC]]</f>
        <v>0</v>
      </c>
      <c r="L742" s="8" t="s">
        <v>376</v>
      </c>
      <c r="M742" s="8" t="s">
        <v>377</v>
      </c>
      <c r="N742" s="8" t="s">
        <v>28</v>
      </c>
      <c r="O742" s="8" t="s">
        <v>184</v>
      </c>
      <c r="P742" s="8" t="s">
        <v>195</v>
      </c>
      <c r="Q742" s="8" t="s">
        <v>196</v>
      </c>
      <c r="R742" s="8" t="s">
        <v>394</v>
      </c>
      <c r="S742" s="8" t="s">
        <v>383</v>
      </c>
      <c r="T742" s="8"/>
      <c r="U742" s="8" t="s">
        <v>384</v>
      </c>
      <c r="V742" s="8"/>
      <c r="W742" s="7" t="s">
        <v>380</v>
      </c>
      <c r="X742" s="8" t="s">
        <v>99</v>
      </c>
      <c r="Y742" s="8" t="s">
        <v>23</v>
      </c>
    </row>
    <row r="743" spans="1:25" hidden="1" x14ac:dyDescent="0.25">
      <c r="A743" s="273" t="s">
        <v>316</v>
      </c>
      <c r="B743" s="251">
        <v>45810</v>
      </c>
      <c r="C743" s="252" t="s">
        <v>565</v>
      </c>
      <c r="D743" s="252"/>
      <c r="E743" s="253">
        <v>48000</v>
      </c>
      <c r="F743" s="253">
        <v>0</v>
      </c>
      <c r="G743" s="274">
        <f>Tabla3[[#This Row],[INGRESOS]]-Tabla3[[#This Row],[EGRESOS]]</f>
        <v>-48000</v>
      </c>
      <c r="H743" s="135">
        <v>-7187786.6900000004</v>
      </c>
      <c r="I743" s="135">
        <v>1140</v>
      </c>
      <c r="J743" s="136">
        <f>Tabla3[[#This Row],[EGRESOS]]/Tabla3[[#This Row],[TC]]</f>
        <v>42.10526315789474</v>
      </c>
      <c r="K743" s="136">
        <f>Tabla3[[#This Row],[INGRESOS]]/Tabla3[[#This Row],[TC]]</f>
        <v>0</v>
      </c>
      <c r="L743" s="8" t="s">
        <v>376</v>
      </c>
      <c r="M743" s="8" t="s">
        <v>377</v>
      </c>
      <c r="N743" s="8" t="s">
        <v>28</v>
      </c>
      <c r="O743" s="8" t="s">
        <v>184</v>
      </c>
      <c r="P743" s="8" t="s">
        <v>185</v>
      </c>
      <c r="Q743" s="8" t="s">
        <v>186</v>
      </c>
      <c r="R743" s="8" t="s">
        <v>227</v>
      </c>
      <c r="S743" s="8"/>
      <c r="T743" s="8"/>
      <c r="U743" s="8" t="s">
        <v>384</v>
      </c>
      <c r="V743" s="8"/>
      <c r="W743" s="7" t="s">
        <v>380</v>
      </c>
      <c r="X743" s="8" t="s">
        <v>99</v>
      </c>
      <c r="Y743" s="8" t="s">
        <v>23</v>
      </c>
    </row>
    <row r="744" spans="1:25" hidden="1" x14ac:dyDescent="0.25">
      <c r="A744" s="273" t="s">
        <v>316</v>
      </c>
      <c r="B744" s="251">
        <v>45810</v>
      </c>
      <c r="C744" s="252" t="s">
        <v>646</v>
      </c>
      <c r="D744" s="252"/>
      <c r="E744" s="253">
        <v>10080</v>
      </c>
      <c r="F744" s="253">
        <v>0</v>
      </c>
      <c r="G744" s="274">
        <f>Tabla3[[#This Row],[INGRESOS]]-Tabla3[[#This Row],[EGRESOS]]</f>
        <v>-10080</v>
      </c>
      <c r="H744" s="135">
        <v>-7197866.6900000004</v>
      </c>
      <c r="I744" s="135">
        <v>1140</v>
      </c>
      <c r="J744" s="136">
        <f>Tabla3[[#This Row],[EGRESOS]]/Tabla3[[#This Row],[TC]]</f>
        <v>8.8421052631578956</v>
      </c>
      <c r="K744" s="136">
        <f>Tabla3[[#This Row],[INGRESOS]]/Tabla3[[#This Row],[TC]]</f>
        <v>0</v>
      </c>
      <c r="L744" s="8" t="s">
        <v>376</v>
      </c>
      <c r="M744" s="8" t="s">
        <v>377</v>
      </c>
      <c r="N744" s="8" t="s">
        <v>28</v>
      </c>
      <c r="O744" s="8" t="s">
        <v>184</v>
      </c>
      <c r="P744" s="8" t="s">
        <v>195</v>
      </c>
      <c r="Q744" s="8" t="s">
        <v>196</v>
      </c>
      <c r="R744" s="8" t="s">
        <v>382</v>
      </c>
      <c r="S744" s="8" t="s">
        <v>383</v>
      </c>
      <c r="T744" s="8"/>
      <c r="U744" s="8" t="s">
        <v>384</v>
      </c>
      <c r="V744" s="8"/>
      <c r="W744" s="7" t="s">
        <v>380</v>
      </c>
      <c r="X744" s="8" t="s">
        <v>99</v>
      </c>
      <c r="Y744" s="8" t="s">
        <v>23</v>
      </c>
    </row>
    <row r="745" spans="1:25" hidden="1" x14ac:dyDescent="0.25">
      <c r="A745" s="273" t="s">
        <v>316</v>
      </c>
      <c r="B745" s="251">
        <v>45810</v>
      </c>
      <c r="C745" s="252" t="s">
        <v>647</v>
      </c>
      <c r="D745" s="252"/>
      <c r="E745" s="253">
        <v>1440</v>
      </c>
      <c r="F745" s="253">
        <v>0</v>
      </c>
      <c r="G745" s="274">
        <f>Tabla3[[#This Row],[INGRESOS]]-Tabla3[[#This Row],[EGRESOS]]</f>
        <v>-1440</v>
      </c>
      <c r="H745" s="135">
        <v>-7199306.6900000004</v>
      </c>
      <c r="I745" s="135">
        <v>1140</v>
      </c>
      <c r="J745" s="136">
        <f>Tabla3[[#This Row],[EGRESOS]]/Tabla3[[#This Row],[TC]]</f>
        <v>1.263157894736842</v>
      </c>
      <c r="K745" s="136">
        <f>Tabla3[[#This Row],[INGRESOS]]/Tabla3[[#This Row],[TC]]</f>
        <v>0</v>
      </c>
      <c r="L745" s="8" t="s">
        <v>376</v>
      </c>
      <c r="M745" s="8" t="s">
        <v>377</v>
      </c>
      <c r="N745" s="8" t="s">
        <v>28</v>
      </c>
      <c r="O745" s="8" t="s">
        <v>184</v>
      </c>
      <c r="P745" s="8" t="s">
        <v>195</v>
      </c>
      <c r="Q745" s="8" t="s">
        <v>196</v>
      </c>
      <c r="R745" s="8" t="s">
        <v>417</v>
      </c>
      <c r="S745" s="8" t="s">
        <v>383</v>
      </c>
      <c r="T745" s="8"/>
      <c r="U745" s="8" t="s">
        <v>384</v>
      </c>
      <c r="V745" s="8"/>
      <c r="W745" s="7" t="s">
        <v>380</v>
      </c>
      <c r="X745" s="8" t="s">
        <v>99</v>
      </c>
      <c r="Y745" s="8" t="s">
        <v>23</v>
      </c>
    </row>
    <row r="746" spans="1:25" hidden="1" x14ac:dyDescent="0.25">
      <c r="A746" s="273" t="s">
        <v>316</v>
      </c>
      <c r="B746" s="251">
        <v>45810</v>
      </c>
      <c r="C746" s="252" t="s">
        <v>648</v>
      </c>
      <c r="D746" s="252"/>
      <c r="E746" s="253">
        <v>7200</v>
      </c>
      <c r="F746" s="253">
        <v>0</v>
      </c>
      <c r="G746" s="274">
        <f>Tabla3[[#This Row],[INGRESOS]]-Tabla3[[#This Row],[EGRESOS]]</f>
        <v>-7200</v>
      </c>
      <c r="H746" s="135">
        <v>-7206506.6900000004</v>
      </c>
      <c r="I746" s="135">
        <v>1140</v>
      </c>
      <c r="J746" s="136">
        <f>Tabla3[[#This Row],[EGRESOS]]/Tabla3[[#This Row],[TC]]</f>
        <v>6.3157894736842106</v>
      </c>
      <c r="K746" s="136">
        <f>Tabla3[[#This Row],[INGRESOS]]/Tabla3[[#This Row],[TC]]</f>
        <v>0</v>
      </c>
      <c r="L746" s="8" t="s">
        <v>376</v>
      </c>
      <c r="M746" s="8" t="s">
        <v>377</v>
      </c>
      <c r="N746" s="8" t="s">
        <v>28</v>
      </c>
      <c r="O746" s="8" t="s">
        <v>184</v>
      </c>
      <c r="P746" s="8" t="s">
        <v>185</v>
      </c>
      <c r="Q746" s="8" t="s">
        <v>186</v>
      </c>
      <c r="R746" s="8" t="s">
        <v>227</v>
      </c>
      <c r="S746" s="8"/>
      <c r="T746" s="8"/>
      <c r="U746" s="8" t="s">
        <v>384</v>
      </c>
      <c r="V746" s="8"/>
      <c r="W746" s="7" t="s">
        <v>380</v>
      </c>
      <c r="X746" s="8" t="s">
        <v>99</v>
      </c>
      <c r="Y746" s="8" t="s">
        <v>23</v>
      </c>
    </row>
    <row r="747" spans="1:25" hidden="1" x14ac:dyDescent="0.25">
      <c r="A747" s="273" t="s">
        <v>316</v>
      </c>
      <c r="B747" s="251">
        <v>45810</v>
      </c>
      <c r="C747" s="252" t="s">
        <v>646</v>
      </c>
      <c r="D747" s="252"/>
      <c r="E747" s="253">
        <v>1512</v>
      </c>
      <c r="F747" s="253">
        <v>0</v>
      </c>
      <c r="G747" s="274">
        <f>Tabla3[[#This Row],[INGRESOS]]-Tabla3[[#This Row],[EGRESOS]]</f>
        <v>-1512</v>
      </c>
      <c r="H747" s="135">
        <v>-7208018.6900000004</v>
      </c>
      <c r="I747" s="135">
        <v>1140</v>
      </c>
      <c r="J747" s="136">
        <f>Tabla3[[#This Row],[EGRESOS]]/Tabla3[[#This Row],[TC]]</f>
        <v>1.3263157894736841</v>
      </c>
      <c r="K747" s="136">
        <f>Tabla3[[#This Row],[INGRESOS]]/Tabla3[[#This Row],[TC]]</f>
        <v>0</v>
      </c>
      <c r="L747" s="8" t="s">
        <v>376</v>
      </c>
      <c r="M747" s="8" t="s">
        <v>377</v>
      </c>
      <c r="N747" s="8" t="s">
        <v>28</v>
      </c>
      <c r="O747" s="8" t="s">
        <v>184</v>
      </c>
      <c r="P747" s="8" t="s">
        <v>195</v>
      </c>
      <c r="Q747" s="8" t="s">
        <v>196</v>
      </c>
      <c r="R747" s="8" t="s">
        <v>382</v>
      </c>
      <c r="S747" s="8" t="s">
        <v>383</v>
      </c>
      <c r="T747" s="8"/>
      <c r="U747" s="8" t="s">
        <v>384</v>
      </c>
      <c r="V747" s="8"/>
      <c r="W747" s="7" t="s">
        <v>380</v>
      </c>
      <c r="X747" s="8" t="s">
        <v>99</v>
      </c>
      <c r="Y747" s="8" t="s">
        <v>23</v>
      </c>
    </row>
    <row r="748" spans="1:25" hidden="1" x14ac:dyDescent="0.25">
      <c r="A748" s="273" t="s">
        <v>316</v>
      </c>
      <c r="B748" s="251">
        <v>45810</v>
      </c>
      <c r="C748" s="252" t="s">
        <v>647</v>
      </c>
      <c r="D748" s="252"/>
      <c r="E748" s="253">
        <v>216</v>
      </c>
      <c r="F748" s="253">
        <v>0</v>
      </c>
      <c r="G748" s="274">
        <f>Tabla3[[#This Row],[INGRESOS]]-Tabla3[[#This Row],[EGRESOS]]</f>
        <v>-216</v>
      </c>
      <c r="H748" s="135">
        <v>-7208234.6900000004</v>
      </c>
      <c r="I748" s="135">
        <v>1140</v>
      </c>
      <c r="J748" s="136">
        <f>Tabla3[[#This Row],[EGRESOS]]/Tabla3[[#This Row],[TC]]</f>
        <v>0.18947368421052632</v>
      </c>
      <c r="K748" s="136">
        <f>Tabla3[[#This Row],[INGRESOS]]/Tabla3[[#This Row],[TC]]</f>
        <v>0</v>
      </c>
      <c r="L748" s="8" t="s">
        <v>376</v>
      </c>
      <c r="M748" s="8" t="s">
        <v>377</v>
      </c>
      <c r="N748" s="8" t="s">
        <v>28</v>
      </c>
      <c r="O748" s="8" t="s">
        <v>184</v>
      </c>
      <c r="P748" s="8" t="s">
        <v>195</v>
      </c>
      <c r="Q748" s="8" t="s">
        <v>196</v>
      </c>
      <c r="R748" s="8" t="s">
        <v>417</v>
      </c>
      <c r="S748" s="8" t="s">
        <v>383</v>
      </c>
      <c r="T748" s="8"/>
      <c r="U748" s="8" t="s">
        <v>384</v>
      </c>
      <c r="V748" s="8"/>
      <c r="W748" s="7" t="s">
        <v>380</v>
      </c>
      <c r="X748" s="8" t="s">
        <v>99</v>
      </c>
      <c r="Y748" s="8" t="s">
        <v>23</v>
      </c>
    </row>
    <row r="749" spans="1:25" hidden="1" x14ac:dyDescent="0.25">
      <c r="A749" s="273" t="s">
        <v>316</v>
      </c>
      <c r="B749" s="251">
        <v>45810</v>
      </c>
      <c r="C749" s="252" t="s">
        <v>649</v>
      </c>
      <c r="D749" s="252"/>
      <c r="E749" s="253">
        <v>410.69</v>
      </c>
      <c r="F749" s="253">
        <v>0</v>
      </c>
      <c r="G749" s="274">
        <f>Tabla3[[#This Row],[INGRESOS]]-Tabla3[[#This Row],[EGRESOS]]</f>
        <v>-410.69</v>
      </c>
      <c r="H749" s="135">
        <v>-7208645.3799999999</v>
      </c>
      <c r="I749" s="135">
        <v>1140</v>
      </c>
      <c r="J749" s="136">
        <f>Tabla3[[#This Row],[EGRESOS]]/Tabla3[[#This Row],[TC]]</f>
        <v>0.36025438596491227</v>
      </c>
      <c r="K749" s="136">
        <f>Tabla3[[#This Row],[INGRESOS]]/Tabla3[[#This Row],[TC]]</f>
        <v>0</v>
      </c>
      <c r="L749" s="8" t="s">
        <v>376</v>
      </c>
      <c r="M749" s="8" t="s">
        <v>377</v>
      </c>
      <c r="N749" s="8" t="s">
        <v>28</v>
      </c>
      <c r="O749" s="8" t="s">
        <v>184</v>
      </c>
      <c r="P749" s="8" t="s">
        <v>195</v>
      </c>
      <c r="Q749" s="8" t="s">
        <v>196</v>
      </c>
      <c r="R749" s="8" t="s">
        <v>394</v>
      </c>
      <c r="S749" s="8" t="s">
        <v>383</v>
      </c>
      <c r="T749" s="8"/>
      <c r="U749" s="8" t="s">
        <v>384</v>
      </c>
      <c r="V749" s="8"/>
      <c r="W749" s="7" t="s">
        <v>380</v>
      </c>
      <c r="X749" s="8" t="s">
        <v>99</v>
      </c>
      <c r="Y749" s="8" t="s">
        <v>23</v>
      </c>
    </row>
    <row r="750" spans="1:25" hidden="1" x14ac:dyDescent="0.25">
      <c r="A750" s="387" t="s">
        <v>316</v>
      </c>
      <c r="B750" s="388">
        <v>45810</v>
      </c>
      <c r="C750" s="389" t="s">
        <v>650</v>
      </c>
      <c r="D750" s="389"/>
      <c r="E750" s="390">
        <v>323999.42</v>
      </c>
      <c r="F750" s="390">
        <v>0</v>
      </c>
      <c r="G750" s="336">
        <f>Tabla3[[#This Row],[INGRESOS]]-Tabla3[[#This Row],[EGRESOS]]</f>
        <v>-323999.42</v>
      </c>
      <c r="H750" s="391">
        <v>-7532644.7999999998</v>
      </c>
      <c r="I750" s="391">
        <v>1140</v>
      </c>
      <c r="J750" s="392">
        <f>Tabla3[[#This Row],[EGRESOS]]/Tabla3[[#This Row],[TC]]</f>
        <v>284.21001754385964</v>
      </c>
      <c r="K750" s="392">
        <f>Tabla3[[#This Row],[INGRESOS]]/Tabla3[[#This Row],[TC]]</f>
        <v>0</v>
      </c>
      <c r="L750" s="393" t="s">
        <v>376</v>
      </c>
      <c r="M750" s="393" t="s">
        <v>377</v>
      </c>
      <c r="N750" s="393" t="s">
        <v>28</v>
      </c>
      <c r="O750" s="393" t="s">
        <v>184</v>
      </c>
      <c r="P750" s="393" t="s">
        <v>197</v>
      </c>
      <c r="Q750" s="393" t="s">
        <v>198</v>
      </c>
      <c r="R750" s="393" t="s">
        <v>419</v>
      </c>
      <c r="S750" s="393"/>
      <c r="T750" s="393"/>
      <c r="U750" s="393" t="s">
        <v>384</v>
      </c>
      <c r="V750" s="393"/>
      <c r="W750" s="7" t="s">
        <v>380</v>
      </c>
      <c r="X750" s="393" t="s">
        <v>99</v>
      </c>
      <c r="Y750" s="393" t="s">
        <v>23</v>
      </c>
    </row>
    <row r="751" spans="1:25" hidden="1" x14ac:dyDescent="0.25">
      <c r="A751" s="273" t="s">
        <v>316</v>
      </c>
      <c r="B751" s="251">
        <v>45810</v>
      </c>
      <c r="C751" s="252" t="s">
        <v>651</v>
      </c>
      <c r="D751" s="252"/>
      <c r="E751" s="253">
        <v>7328.15</v>
      </c>
      <c r="F751" s="253">
        <v>0</v>
      </c>
      <c r="G751" s="274">
        <f>Tabla3[[#This Row],[INGRESOS]]-Tabla3[[#This Row],[EGRESOS]]</f>
        <v>-7328.15</v>
      </c>
      <c r="H751" s="135">
        <v>-7539972.9500000002</v>
      </c>
      <c r="I751" s="135">
        <v>1140</v>
      </c>
      <c r="J751" s="136">
        <f>Tabla3[[#This Row],[EGRESOS]]/Tabla3[[#This Row],[TC]]</f>
        <v>6.4282017543859649</v>
      </c>
      <c r="K751" s="136">
        <f>Tabla3[[#This Row],[INGRESOS]]/Tabla3[[#This Row],[TC]]</f>
        <v>0</v>
      </c>
      <c r="L751" s="8" t="s">
        <v>376</v>
      </c>
      <c r="M751" s="8" t="s">
        <v>377</v>
      </c>
      <c r="N751" s="8" t="s">
        <v>28</v>
      </c>
      <c r="O751" s="8" t="s">
        <v>184</v>
      </c>
      <c r="P751" s="8" t="s">
        <v>195</v>
      </c>
      <c r="Q751" s="8" t="s">
        <v>196</v>
      </c>
      <c r="R751" s="8" t="s">
        <v>423</v>
      </c>
      <c r="S751" s="8" t="s">
        <v>69</v>
      </c>
      <c r="T751" s="8"/>
      <c r="U751" s="8" t="s">
        <v>384</v>
      </c>
      <c r="V751" s="8"/>
      <c r="W751" s="7" t="s">
        <v>380</v>
      </c>
      <c r="X751" s="8" t="s">
        <v>99</v>
      </c>
      <c r="Y751" s="8" t="s">
        <v>23</v>
      </c>
    </row>
    <row r="752" spans="1:25" hidden="1" x14ac:dyDescent="0.25">
      <c r="A752" s="273" t="s">
        <v>316</v>
      </c>
      <c r="B752" s="251">
        <v>45810</v>
      </c>
      <c r="C752" s="252" t="s">
        <v>646</v>
      </c>
      <c r="D752" s="252"/>
      <c r="E752" s="253">
        <v>34019.94</v>
      </c>
      <c r="F752" s="253">
        <v>0</v>
      </c>
      <c r="G752" s="274">
        <f>Tabla3[[#This Row],[INGRESOS]]-Tabla3[[#This Row],[EGRESOS]]</f>
        <v>-34019.94</v>
      </c>
      <c r="H752" s="135">
        <v>-7573992.8899999997</v>
      </c>
      <c r="I752" s="135">
        <v>1140</v>
      </c>
      <c r="J752" s="136">
        <f>Tabla3[[#This Row],[EGRESOS]]/Tabla3[[#This Row],[TC]]</f>
        <v>29.842052631578948</v>
      </c>
      <c r="K752" s="136">
        <f>Tabla3[[#This Row],[INGRESOS]]/Tabla3[[#This Row],[TC]]</f>
        <v>0</v>
      </c>
      <c r="L752" s="8" t="s">
        <v>376</v>
      </c>
      <c r="M752" s="8" t="s">
        <v>377</v>
      </c>
      <c r="N752" s="8" t="s">
        <v>28</v>
      </c>
      <c r="O752" s="8" t="s">
        <v>184</v>
      </c>
      <c r="P752" s="8" t="s">
        <v>195</v>
      </c>
      <c r="Q752" s="8" t="s">
        <v>196</v>
      </c>
      <c r="R752" s="8" t="s">
        <v>382</v>
      </c>
      <c r="S752" s="8" t="s">
        <v>383</v>
      </c>
      <c r="T752" s="8"/>
      <c r="U752" s="8" t="s">
        <v>384</v>
      </c>
      <c r="V752" s="8"/>
      <c r="W752" s="7" t="s">
        <v>380</v>
      </c>
      <c r="X752" s="8" t="s">
        <v>99</v>
      </c>
      <c r="Y752" s="8" t="s">
        <v>23</v>
      </c>
    </row>
    <row r="753" spans="1:25" hidden="1" x14ac:dyDescent="0.25">
      <c r="A753" s="273" t="s">
        <v>316</v>
      </c>
      <c r="B753" s="251">
        <v>45810</v>
      </c>
      <c r="C753" s="252" t="s">
        <v>647</v>
      </c>
      <c r="D753" s="252"/>
      <c r="E753" s="253">
        <v>4859.99</v>
      </c>
      <c r="F753" s="253">
        <v>0</v>
      </c>
      <c r="G753" s="274">
        <f>Tabla3[[#This Row],[INGRESOS]]-Tabla3[[#This Row],[EGRESOS]]</f>
        <v>-4859.99</v>
      </c>
      <c r="H753" s="135">
        <v>-7578852.8799999999</v>
      </c>
      <c r="I753" s="135">
        <v>1140</v>
      </c>
      <c r="J753" s="136">
        <f>Tabla3[[#This Row],[EGRESOS]]/Tabla3[[#This Row],[TC]]</f>
        <v>4.2631491228070173</v>
      </c>
      <c r="K753" s="136">
        <f>Tabla3[[#This Row],[INGRESOS]]/Tabla3[[#This Row],[TC]]</f>
        <v>0</v>
      </c>
      <c r="L753" s="8" t="s">
        <v>376</v>
      </c>
      <c r="M753" s="8" t="s">
        <v>377</v>
      </c>
      <c r="N753" s="8" t="s">
        <v>28</v>
      </c>
      <c r="O753" s="8" t="s">
        <v>184</v>
      </c>
      <c r="P753" s="8" t="s">
        <v>195</v>
      </c>
      <c r="Q753" s="8" t="s">
        <v>196</v>
      </c>
      <c r="R753" s="8" t="s">
        <v>417</v>
      </c>
      <c r="S753" s="8" t="s">
        <v>383</v>
      </c>
      <c r="T753" s="8"/>
      <c r="U753" s="8" t="s">
        <v>384</v>
      </c>
      <c r="V753" s="8"/>
      <c r="W753" s="7" t="s">
        <v>380</v>
      </c>
      <c r="X753" s="8" t="s">
        <v>99</v>
      </c>
      <c r="Y753" s="8" t="s">
        <v>23</v>
      </c>
    </row>
    <row r="754" spans="1:25" hidden="1" x14ac:dyDescent="0.25">
      <c r="A754" s="273" t="s">
        <v>316</v>
      </c>
      <c r="B754" s="251">
        <v>45811</v>
      </c>
      <c r="C754" s="252" t="s">
        <v>577</v>
      </c>
      <c r="D754" s="252" t="s">
        <v>652</v>
      </c>
      <c r="E754" s="253">
        <v>122290</v>
      </c>
      <c r="F754" s="253">
        <v>0</v>
      </c>
      <c r="G754" s="274">
        <f>Tabla3[[#This Row],[INGRESOS]]-Tabla3[[#This Row],[EGRESOS]]</f>
        <v>-122290</v>
      </c>
      <c r="H754" s="135">
        <v>-7581074.1299999999</v>
      </c>
      <c r="I754" s="135">
        <v>1140</v>
      </c>
      <c r="J754" s="136">
        <f>Tabla3[[#This Row],[EGRESOS]]/Tabla3[[#This Row],[TC]]</f>
        <v>107.2719298245614</v>
      </c>
      <c r="K754" s="136">
        <f>Tabla3[[#This Row],[INGRESOS]]/Tabla3[[#This Row],[TC]]</f>
        <v>0</v>
      </c>
      <c r="L754" s="8" t="s">
        <v>376</v>
      </c>
      <c r="M754" s="8" t="s">
        <v>377</v>
      </c>
      <c r="N754" s="8" t="s">
        <v>28</v>
      </c>
      <c r="O754" s="8" t="s">
        <v>286</v>
      </c>
      <c r="P754" s="8" t="s">
        <v>287</v>
      </c>
      <c r="Q754" s="8" t="s">
        <v>289</v>
      </c>
      <c r="R754" s="8"/>
      <c r="S754" s="8" t="s">
        <v>653</v>
      </c>
      <c r="T754" s="8" t="s">
        <v>654</v>
      </c>
      <c r="U754" s="8" t="s">
        <v>412</v>
      </c>
      <c r="V754" s="8"/>
      <c r="W754" s="7" t="s">
        <v>380</v>
      </c>
      <c r="X754" s="8" t="s">
        <v>29</v>
      </c>
      <c r="Y754" s="8" t="s">
        <v>23</v>
      </c>
    </row>
    <row r="755" spans="1:25" hidden="1" x14ac:dyDescent="0.25">
      <c r="A755" s="273" t="s">
        <v>316</v>
      </c>
      <c r="B755" s="251">
        <v>45811</v>
      </c>
      <c r="C755" s="252" t="s">
        <v>577</v>
      </c>
      <c r="D755" s="252" t="s">
        <v>655</v>
      </c>
      <c r="E755" s="253">
        <v>440000</v>
      </c>
      <c r="F755" s="253">
        <v>0</v>
      </c>
      <c r="G755" s="274">
        <f>Tabla3[[#This Row],[INGRESOS]]-Tabla3[[#This Row],[EGRESOS]]</f>
        <v>-440000</v>
      </c>
      <c r="H755" s="135">
        <v>-8021074.1299999999</v>
      </c>
      <c r="I755" s="135">
        <v>1140</v>
      </c>
      <c r="J755" s="136">
        <f>Tabla3[[#This Row],[EGRESOS]]/Tabla3[[#This Row],[TC]]</f>
        <v>385.96491228070175</v>
      </c>
      <c r="K755" s="136">
        <f>Tabla3[[#This Row],[INGRESOS]]/Tabla3[[#This Row],[TC]]</f>
        <v>0</v>
      </c>
      <c r="L755" s="8" t="s">
        <v>376</v>
      </c>
      <c r="M755" s="8" t="s">
        <v>377</v>
      </c>
      <c r="N755" s="8" t="s">
        <v>28</v>
      </c>
      <c r="O755" s="8" t="s">
        <v>286</v>
      </c>
      <c r="P755" s="8" t="s">
        <v>287</v>
      </c>
      <c r="Q755" s="8" t="s">
        <v>217</v>
      </c>
      <c r="R755" s="8" t="s">
        <v>188</v>
      </c>
      <c r="S755" s="8" t="s">
        <v>656</v>
      </c>
      <c r="T755" s="8" t="s">
        <v>657</v>
      </c>
      <c r="U755" s="8" t="s">
        <v>412</v>
      </c>
      <c r="V755" s="8"/>
      <c r="W755" s="7" t="s">
        <v>380</v>
      </c>
      <c r="X755" s="8" t="s">
        <v>29</v>
      </c>
      <c r="Y755" s="8" t="s">
        <v>23</v>
      </c>
    </row>
    <row r="756" spans="1:25" hidden="1" x14ac:dyDescent="0.25">
      <c r="A756" s="273" t="s">
        <v>316</v>
      </c>
      <c r="B756" s="251">
        <v>45811</v>
      </c>
      <c r="C756" s="252" t="s">
        <v>598</v>
      </c>
      <c r="D756" s="252"/>
      <c r="E756" s="253">
        <v>0</v>
      </c>
      <c r="F756" s="253">
        <v>850000</v>
      </c>
      <c r="G756" s="274">
        <f>Tabla3[[#This Row],[INGRESOS]]-Tabla3[[#This Row],[EGRESOS]]</f>
        <v>850000</v>
      </c>
      <c r="H756" s="135">
        <v>-7293364.1299999999</v>
      </c>
      <c r="I756" s="135">
        <v>1140</v>
      </c>
      <c r="J756" s="136">
        <f>Tabla3[[#This Row],[EGRESOS]]/Tabla3[[#This Row],[TC]]</f>
        <v>0</v>
      </c>
      <c r="K756" s="136">
        <f>Tabla3[[#This Row],[INGRESOS]]/Tabla3[[#This Row],[TC]]</f>
        <v>745.61403508771934</v>
      </c>
      <c r="L756" s="8" t="s">
        <v>376</v>
      </c>
      <c r="M756" s="8" t="s">
        <v>377</v>
      </c>
      <c r="N756" s="8" t="s">
        <v>28</v>
      </c>
      <c r="O756" s="8" t="s">
        <v>244</v>
      </c>
      <c r="P756" s="8" t="s">
        <v>259</v>
      </c>
      <c r="Q756" s="8" t="s">
        <v>260</v>
      </c>
      <c r="R756" s="8" t="s">
        <v>405</v>
      </c>
      <c r="S756" s="8"/>
      <c r="T756" s="8"/>
      <c r="U756" s="8" t="s">
        <v>379</v>
      </c>
      <c r="V756" s="8"/>
      <c r="W756" s="7" t="s">
        <v>380</v>
      </c>
      <c r="X756" s="8"/>
      <c r="Y756" s="8"/>
    </row>
    <row r="757" spans="1:25" hidden="1" x14ac:dyDescent="0.25">
      <c r="A757" s="273" t="s">
        <v>316</v>
      </c>
      <c r="B757" s="251">
        <v>45811</v>
      </c>
      <c r="C757" s="252" t="s">
        <v>566</v>
      </c>
      <c r="D757" s="252"/>
      <c r="E757" s="253">
        <v>3373.74</v>
      </c>
      <c r="F757" s="253">
        <v>0</v>
      </c>
      <c r="G757" s="274">
        <f>Tabla3[[#This Row],[INGRESOS]]-Tabla3[[#This Row],[EGRESOS]]</f>
        <v>-3373.74</v>
      </c>
      <c r="H757" s="135">
        <v>-7296737.8700000001</v>
      </c>
      <c r="I757" s="135">
        <v>1140</v>
      </c>
      <c r="J757" s="136">
        <f>Tabla3[[#This Row],[EGRESOS]]/Tabla3[[#This Row],[TC]]</f>
        <v>2.959421052631579</v>
      </c>
      <c r="K757" s="136">
        <f>Tabla3[[#This Row],[INGRESOS]]/Tabla3[[#This Row],[TC]]</f>
        <v>0</v>
      </c>
      <c r="L757" s="8" t="s">
        <v>376</v>
      </c>
      <c r="M757" s="8" t="s">
        <v>377</v>
      </c>
      <c r="N757" s="8" t="s">
        <v>28</v>
      </c>
      <c r="O757" s="8" t="s">
        <v>184</v>
      </c>
      <c r="P757" s="8" t="s">
        <v>195</v>
      </c>
      <c r="Q757" s="8" t="s">
        <v>196</v>
      </c>
      <c r="R757" s="8" t="s">
        <v>394</v>
      </c>
      <c r="S757" s="8" t="s">
        <v>383</v>
      </c>
      <c r="T757" s="8"/>
      <c r="U757" s="8" t="s">
        <v>384</v>
      </c>
      <c r="V757" s="8"/>
      <c r="W757" s="7" t="s">
        <v>380</v>
      </c>
      <c r="X757" s="8" t="s">
        <v>99</v>
      </c>
      <c r="Y757" s="8" t="s">
        <v>23</v>
      </c>
    </row>
    <row r="758" spans="1:25" hidden="1" x14ac:dyDescent="0.25">
      <c r="A758" s="273" t="s">
        <v>316</v>
      </c>
      <c r="B758" s="251">
        <v>45812</v>
      </c>
      <c r="C758" s="252" t="s">
        <v>598</v>
      </c>
      <c r="D758" s="252"/>
      <c r="E758" s="253">
        <v>0</v>
      </c>
      <c r="F758" s="253">
        <v>150000</v>
      </c>
      <c r="G758" s="274">
        <f>Tabla3[[#This Row],[INGRESOS]]-Tabla3[[#This Row],[EGRESOS]]</f>
        <v>150000</v>
      </c>
      <c r="H758" s="135">
        <v>-7146737.8700000001</v>
      </c>
      <c r="I758" s="135">
        <v>1140</v>
      </c>
      <c r="J758" s="136">
        <f>Tabla3[[#This Row],[EGRESOS]]/Tabla3[[#This Row],[TC]]</f>
        <v>0</v>
      </c>
      <c r="K758" s="136">
        <f>Tabla3[[#This Row],[INGRESOS]]/Tabla3[[#This Row],[TC]]</f>
        <v>131.57894736842104</v>
      </c>
      <c r="L758" s="8" t="s">
        <v>376</v>
      </c>
      <c r="M758" s="8" t="s">
        <v>377</v>
      </c>
      <c r="N758" s="8" t="s">
        <v>28</v>
      </c>
      <c r="O758" s="8" t="s">
        <v>244</v>
      </c>
      <c r="P758" s="8" t="s">
        <v>259</v>
      </c>
      <c r="Q758" s="8" t="s">
        <v>260</v>
      </c>
      <c r="R758" s="8" t="s">
        <v>405</v>
      </c>
      <c r="S758" s="8"/>
      <c r="T758" s="8"/>
      <c r="U758" s="8" t="s">
        <v>379</v>
      </c>
      <c r="V758" s="8"/>
      <c r="W758" s="7" t="s">
        <v>380</v>
      </c>
      <c r="X758" s="8"/>
      <c r="Y758" s="8"/>
    </row>
    <row r="759" spans="1:25" hidden="1" x14ac:dyDescent="0.25">
      <c r="A759" s="273" t="s">
        <v>316</v>
      </c>
      <c r="B759" s="251">
        <v>45813</v>
      </c>
      <c r="C759" s="252" t="s">
        <v>577</v>
      </c>
      <c r="D759" s="252" t="s">
        <v>658</v>
      </c>
      <c r="E759" s="253">
        <v>1215000</v>
      </c>
      <c r="F759" s="253">
        <v>0</v>
      </c>
      <c r="G759" s="274">
        <f>Tabla3[[#This Row],[INGRESOS]]-Tabla3[[#This Row],[EGRESOS]]</f>
        <v>-1215000</v>
      </c>
      <c r="H759" s="135">
        <v>-8361737.8700000001</v>
      </c>
      <c r="I759" s="135">
        <v>1140</v>
      </c>
      <c r="J759" s="136">
        <f>Tabla3[[#This Row],[EGRESOS]]/Tabla3[[#This Row],[TC]]</f>
        <v>1065.7894736842106</v>
      </c>
      <c r="K759" s="136">
        <f>Tabla3[[#This Row],[INGRESOS]]/Tabla3[[#This Row],[TC]]</f>
        <v>0</v>
      </c>
      <c r="L759" s="8" t="s">
        <v>376</v>
      </c>
      <c r="M759" s="8" t="s">
        <v>377</v>
      </c>
      <c r="N759" s="8" t="s">
        <v>28</v>
      </c>
      <c r="O759" s="8" t="s">
        <v>286</v>
      </c>
      <c r="P759" s="8" t="s">
        <v>287</v>
      </c>
      <c r="Q759" s="8" t="s">
        <v>288</v>
      </c>
      <c r="R759" s="8" t="s">
        <v>143</v>
      </c>
      <c r="S759" s="8" t="s">
        <v>637</v>
      </c>
      <c r="T759" s="8" t="s">
        <v>638</v>
      </c>
      <c r="U759" s="8" t="s">
        <v>412</v>
      </c>
      <c r="V759" s="8"/>
      <c r="W759" s="7" t="s">
        <v>380</v>
      </c>
      <c r="X759" s="8" t="s">
        <v>50</v>
      </c>
      <c r="Y759" s="8" t="s">
        <v>23</v>
      </c>
    </row>
    <row r="760" spans="1:25" hidden="1" x14ac:dyDescent="0.25">
      <c r="A760" s="273" t="s">
        <v>316</v>
      </c>
      <c r="B760" s="251">
        <v>45813</v>
      </c>
      <c r="C760" s="252" t="s">
        <v>592</v>
      </c>
      <c r="D760" s="252"/>
      <c r="E760" s="253">
        <v>0</v>
      </c>
      <c r="F760" s="253">
        <v>1300000</v>
      </c>
      <c r="G760" s="274">
        <f>Tabla3[[#This Row],[INGRESOS]]-Tabla3[[#This Row],[EGRESOS]]</f>
        <v>1300000</v>
      </c>
      <c r="H760" s="135">
        <v>-7061737.8700000001</v>
      </c>
      <c r="I760" s="135">
        <v>1140</v>
      </c>
      <c r="J760" s="136">
        <f>Tabla3[[#This Row],[EGRESOS]]/Tabla3[[#This Row],[TC]]</f>
        <v>0</v>
      </c>
      <c r="K760" s="136">
        <f>Tabla3[[#This Row],[INGRESOS]]/Tabla3[[#This Row],[TC]]</f>
        <v>1140.3508771929824</v>
      </c>
      <c r="L760" s="8" t="s">
        <v>376</v>
      </c>
      <c r="M760" s="8" t="s">
        <v>377</v>
      </c>
      <c r="N760" s="8" t="s">
        <v>28</v>
      </c>
      <c r="O760" s="8" t="s">
        <v>184</v>
      </c>
      <c r="P760" s="8" t="s">
        <v>210</v>
      </c>
      <c r="Q760" s="8" t="s">
        <v>204</v>
      </c>
      <c r="R760" s="8" t="s">
        <v>659</v>
      </c>
      <c r="S760" s="8" t="s">
        <v>524</v>
      </c>
      <c r="T760" s="8"/>
      <c r="U760" s="8" t="s">
        <v>453</v>
      </c>
      <c r="V760" s="8"/>
      <c r="W760" s="7" t="s">
        <v>380</v>
      </c>
      <c r="X760" s="8" t="s">
        <v>23</v>
      </c>
      <c r="Y760" s="8" t="s">
        <v>39</v>
      </c>
    </row>
    <row r="761" spans="1:25" hidden="1" x14ac:dyDescent="0.25">
      <c r="A761" s="273" t="s">
        <v>316</v>
      </c>
      <c r="B761" s="251">
        <v>45813</v>
      </c>
      <c r="C761" s="252" t="s">
        <v>566</v>
      </c>
      <c r="D761" s="252"/>
      <c r="E761" s="253">
        <v>7290</v>
      </c>
      <c r="F761" s="253">
        <v>0</v>
      </c>
      <c r="G761" s="274">
        <f>Tabla3[[#This Row],[INGRESOS]]-Tabla3[[#This Row],[EGRESOS]]</f>
        <v>-7290</v>
      </c>
      <c r="H761" s="135">
        <v>-7069027.8700000001</v>
      </c>
      <c r="I761" s="135">
        <v>1140</v>
      </c>
      <c r="J761" s="136">
        <f>Tabla3[[#This Row],[EGRESOS]]/Tabla3[[#This Row],[TC]]</f>
        <v>6.3947368421052628</v>
      </c>
      <c r="K761" s="136">
        <f>Tabla3[[#This Row],[INGRESOS]]/Tabla3[[#This Row],[TC]]</f>
        <v>0</v>
      </c>
      <c r="L761" s="8" t="s">
        <v>376</v>
      </c>
      <c r="M761" s="8" t="s">
        <v>377</v>
      </c>
      <c r="N761" s="8" t="s">
        <v>28</v>
      </c>
      <c r="O761" s="8" t="s">
        <v>184</v>
      </c>
      <c r="P761" s="8" t="s">
        <v>195</v>
      </c>
      <c r="Q761" s="8" t="s">
        <v>196</v>
      </c>
      <c r="R761" s="8" t="s">
        <v>394</v>
      </c>
      <c r="S761" s="8" t="s">
        <v>383</v>
      </c>
      <c r="T761" s="8"/>
      <c r="U761" s="8" t="s">
        <v>384</v>
      </c>
      <c r="V761" s="8"/>
      <c r="W761" s="7" t="s">
        <v>380</v>
      </c>
      <c r="X761" s="8" t="s">
        <v>99</v>
      </c>
      <c r="Y761" s="8" t="s">
        <v>23</v>
      </c>
    </row>
    <row r="762" spans="1:25" hidden="1" x14ac:dyDescent="0.25">
      <c r="A762" s="273" t="s">
        <v>316</v>
      </c>
      <c r="B762" s="251">
        <v>45813</v>
      </c>
      <c r="C762" s="252" t="s">
        <v>593</v>
      </c>
      <c r="D762" s="252"/>
      <c r="E762" s="253">
        <v>7800</v>
      </c>
      <c r="F762" s="253">
        <v>0</v>
      </c>
      <c r="G762" s="274">
        <f>Tabla3[[#This Row],[INGRESOS]]-Tabla3[[#This Row],[EGRESOS]]</f>
        <v>-7800</v>
      </c>
      <c r="H762" s="135">
        <v>-7076827.8700000001</v>
      </c>
      <c r="I762" s="135">
        <v>1140</v>
      </c>
      <c r="J762" s="136">
        <f>Tabla3[[#This Row],[EGRESOS]]/Tabla3[[#This Row],[TC]]</f>
        <v>6.8421052631578947</v>
      </c>
      <c r="K762" s="136">
        <f>Tabla3[[#This Row],[INGRESOS]]/Tabla3[[#This Row],[TC]]</f>
        <v>0</v>
      </c>
      <c r="L762" s="8" t="s">
        <v>376</v>
      </c>
      <c r="M762" s="8" t="s">
        <v>377</v>
      </c>
      <c r="N762" s="8" t="s">
        <v>28</v>
      </c>
      <c r="O762" s="8" t="s">
        <v>184</v>
      </c>
      <c r="P762" s="8" t="s">
        <v>195</v>
      </c>
      <c r="Q762" s="8" t="s">
        <v>196</v>
      </c>
      <c r="R762" s="8" t="s">
        <v>394</v>
      </c>
      <c r="S762" s="8" t="s">
        <v>383</v>
      </c>
      <c r="T762" s="8"/>
      <c r="U762" s="8" t="s">
        <v>384</v>
      </c>
      <c r="V762" s="8"/>
      <c r="W762" s="7" t="s">
        <v>380</v>
      </c>
      <c r="X762" s="8" t="s">
        <v>99</v>
      </c>
      <c r="Y762" s="8" t="s">
        <v>23</v>
      </c>
    </row>
    <row r="763" spans="1:25" hidden="1" x14ac:dyDescent="0.25">
      <c r="A763" s="273" t="s">
        <v>316</v>
      </c>
      <c r="B763" s="251">
        <v>45818</v>
      </c>
      <c r="C763" s="252" t="s">
        <v>577</v>
      </c>
      <c r="D763" s="252" t="s">
        <v>660</v>
      </c>
      <c r="E763" s="253">
        <v>168370</v>
      </c>
      <c r="F763" s="253">
        <v>0</v>
      </c>
      <c r="G763" s="274">
        <f>Tabla3[[#This Row],[INGRESOS]]-Tabla3[[#This Row],[EGRESOS]]</f>
        <v>-168370</v>
      </c>
      <c r="H763" s="135">
        <v>-7245197.8700000001</v>
      </c>
      <c r="I763" s="135">
        <v>1140</v>
      </c>
      <c r="J763" s="136">
        <f>Tabla3[[#This Row],[EGRESOS]]/Tabla3[[#This Row],[TC]]</f>
        <v>147.69298245614036</v>
      </c>
      <c r="K763" s="136">
        <f>Tabla3[[#This Row],[INGRESOS]]/Tabla3[[#This Row],[TC]]</f>
        <v>0</v>
      </c>
      <c r="L763" s="8" t="s">
        <v>376</v>
      </c>
      <c r="M763" s="8" t="s">
        <v>377</v>
      </c>
      <c r="N763" s="8" t="s">
        <v>28</v>
      </c>
      <c r="O763" s="8" t="s">
        <v>225</v>
      </c>
      <c r="P763" s="8" t="s">
        <v>236</v>
      </c>
      <c r="Q763" s="8" t="s">
        <v>237</v>
      </c>
      <c r="R763" s="8" t="s">
        <v>661</v>
      </c>
      <c r="S763" s="8" t="s">
        <v>572</v>
      </c>
      <c r="T763" s="8"/>
      <c r="U763" s="8" t="s">
        <v>403</v>
      </c>
      <c r="V763" s="8"/>
      <c r="W763" s="7" t="s">
        <v>380</v>
      </c>
      <c r="X763" s="8" t="s">
        <v>29</v>
      </c>
      <c r="Y763" s="8" t="s">
        <v>23</v>
      </c>
    </row>
    <row r="764" spans="1:25" hidden="1" x14ac:dyDescent="0.25">
      <c r="A764" s="273" t="s">
        <v>316</v>
      </c>
      <c r="B764" s="251">
        <v>45818</v>
      </c>
      <c r="C764" s="252" t="s">
        <v>577</v>
      </c>
      <c r="D764" s="252" t="s">
        <v>662</v>
      </c>
      <c r="E764" s="253">
        <v>1253833.94</v>
      </c>
      <c r="F764" s="253">
        <v>0</v>
      </c>
      <c r="G764" s="274">
        <f>Tabla3[[#This Row],[INGRESOS]]-Tabla3[[#This Row],[EGRESOS]]</f>
        <v>-1253833.94</v>
      </c>
      <c r="H764" s="135">
        <v>-8330661.8099999996</v>
      </c>
      <c r="I764" s="135">
        <v>1140</v>
      </c>
      <c r="J764" s="136">
        <f>Tabla3[[#This Row],[EGRESOS]]/Tabla3[[#This Row],[TC]]</f>
        <v>1099.8543333333332</v>
      </c>
      <c r="K764" s="136">
        <f>Tabla3[[#This Row],[INGRESOS]]/Tabla3[[#This Row],[TC]]</f>
        <v>0</v>
      </c>
      <c r="L764" s="8" t="s">
        <v>376</v>
      </c>
      <c r="M764" s="8" t="s">
        <v>377</v>
      </c>
      <c r="N764" s="8" t="s">
        <v>28</v>
      </c>
      <c r="O764" s="8" t="s">
        <v>215</v>
      </c>
      <c r="P764" s="8" t="s">
        <v>223</v>
      </c>
      <c r="Q764" s="8" t="s">
        <v>224</v>
      </c>
      <c r="R764" s="8" t="s">
        <v>328</v>
      </c>
      <c r="S764" s="8" t="s">
        <v>631</v>
      </c>
      <c r="T764" s="8" t="s">
        <v>663</v>
      </c>
      <c r="U764" s="8" t="s">
        <v>412</v>
      </c>
      <c r="V764" s="8"/>
      <c r="W764" s="7" t="s">
        <v>380</v>
      </c>
      <c r="X764" s="8" t="s">
        <v>41</v>
      </c>
      <c r="Y764" s="8" t="s">
        <v>23</v>
      </c>
    </row>
    <row r="765" spans="1:25" hidden="1" x14ac:dyDescent="0.25">
      <c r="A765" s="273" t="s">
        <v>316</v>
      </c>
      <c r="B765" s="251">
        <v>45818</v>
      </c>
      <c r="C765" s="252" t="s">
        <v>598</v>
      </c>
      <c r="D765" s="252"/>
      <c r="E765" s="253">
        <v>0</v>
      </c>
      <c r="F765" s="253">
        <v>1500000</v>
      </c>
      <c r="G765" s="274">
        <f>Tabla3[[#This Row],[INGRESOS]]-Tabla3[[#This Row],[EGRESOS]]</f>
        <v>1500000</v>
      </c>
      <c r="H765" s="135">
        <v>-6999031.8099999996</v>
      </c>
      <c r="I765" s="135">
        <v>1140</v>
      </c>
      <c r="J765" s="136">
        <f>Tabla3[[#This Row],[EGRESOS]]/Tabla3[[#This Row],[TC]]</f>
        <v>0</v>
      </c>
      <c r="K765" s="136">
        <f>Tabla3[[#This Row],[INGRESOS]]/Tabla3[[#This Row],[TC]]</f>
        <v>1315.7894736842106</v>
      </c>
      <c r="L765" s="8" t="s">
        <v>376</v>
      </c>
      <c r="M765" s="8" t="s">
        <v>377</v>
      </c>
      <c r="N765" s="8" t="s">
        <v>28</v>
      </c>
      <c r="O765" s="8" t="s">
        <v>244</v>
      </c>
      <c r="P765" s="8" t="s">
        <v>259</v>
      </c>
      <c r="Q765" s="8" t="s">
        <v>260</v>
      </c>
      <c r="R765" s="8" t="s">
        <v>405</v>
      </c>
      <c r="S765" s="8"/>
      <c r="T765" s="8"/>
      <c r="U765" s="8" t="s">
        <v>379</v>
      </c>
      <c r="V765" s="8"/>
      <c r="W765" s="7" t="s">
        <v>380</v>
      </c>
      <c r="X765" s="8"/>
      <c r="Y765" s="8"/>
    </row>
    <row r="766" spans="1:25" hidden="1" x14ac:dyDescent="0.25">
      <c r="A766" s="273" t="s">
        <v>316</v>
      </c>
      <c r="B766" s="251">
        <v>45818</v>
      </c>
      <c r="C766" s="252" t="s">
        <v>566</v>
      </c>
      <c r="D766" s="252"/>
      <c r="E766" s="253">
        <v>8533.2199999999993</v>
      </c>
      <c r="F766" s="253">
        <v>0</v>
      </c>
      <c r="G766" s="274">
        <f>Tabla3[[#This Row],[INGRESOS]]-Tabla3[[#This Row],[EGRESOS]]</f>
        <v>-8533.2199999999993</v>
      </c>
      <c r="H766" s="135">
        <v>-7007565.0300000003</v>
      </c>
      <c r="I766" s="135">
        <v>1140</v>
      </c>
      <c r="J766" s="136">
        <f>Tabla3[[#This Row],[EGRESOS]]/Tabla3[[#This Row],[TC]]</f>
        <v>7.4852807017543856</v>
      </c>
      <c r="K766" s="136">
        <f>Tabla3[[#This Row],[INGRESOS]]/Tabla3[[#This Row],[TC]]</f>
        <v>0</v>
      </c>
      <c r="L766" s="8" t="s">
        <v>376</v>
      </c>
      <c r="M766" s="8" t="s">
        <v>377</v>
      </c>
      <c r="N766" s="8" t="s">
        <v>28</v>
      </c>
      <c r="O766" s="8" t="s">
        <v>184</v>
      </c>
      <c r="P766" s="8" t="s">
        <v>195</v>
      </c>
      <c r="Q766" s="8" t="s">
        <v>196</v>
      </c>
      <c r="R766" s="8" t="s">
        <v>394</v>
      </c>
      <c r="S766" s="8" t="s">
        <v>383</v>
      </c>
      <c r="T766" s="8"/>
      <c r="U766" s="8" t="s">
        <v>384</v>
      </c>
      <c r="V766" s="8"/>
      <c r="W766" s="7" t="s">
        <v>380</v>
      </c>
      <c r="X766" s="8" t="s">
        <v>99</v>
      </c>
      <c r="Y766" s="8" t="s">
        <v>23</v>
      </c>
    </row>
    <row r="767" spans="1:25" hidden="1" x14ac:dyDescent="0.25">
      <c r="A767" s="273" t="s">
        <v>316</v>
      </c>
      <c r="B767" s="251">
        <v>45820</v>
      </c>
      <c r="C767" s="252" t="s">
        <v>598</v>
      </c>
      <c r="D767" s="252"/>
      <c r="E767" s="253">
        <v>0</v>
      </c>
      <c r="F767" s="253">
        <v>7020000</v>
      </c>
      <c r="G767" s="274">
        <f>Tabla3[[#This Row],[INGRESOS]]-Tabla3[[#This Row],[EGRESOS]]</f>
        <v>7020000</v>
      </c>
      <c r="H767" s="135">
        <v>12434.97</v>
      </c>
      <c r="I767" s="135">
        <v>1140</v>
      </c>
      <c r="J767" s="136">
        <f>Tabla3[[#This Row],[EGRESOS]]/Tabla3[[#This Row],[TC]]</f>
        <v>0</v>
      </c>
      <c r="K767" s="136">
        <f>Tabla3[[#This Row],[INGRESOS]]/Tabla3[[#This Row],[TC]]</f>
        <v>6157.894736842105</v>
      </c>
      <c r="L767" s="8" t="s">
        <v>376</v>
      </c>
      <c r="M767" s="8" t="s">
        <v>377</v>
      </c>
      <c r="N767" s="8" t="s">
        <v>28</v>
      </c>
      <c r="O767" s="8" t="s">
        <v>244</v>
      </c>
      <c r="P767" s="8" t="s">
        <v>259</v>
      </c>
      <c r="Q767" s="8" t="s">
        <v>260</v>
      </c>
      <c r="R767" s="8" t="s">
        <v>405</v>
      </c>
      <c r="S767" s="8"/>
      <c r="T767" s="8"/>
      <c r="U767" s="8" t="s">
        <v>379</v>
      </c>
      <c r="V767" s="8"/>
      <c r="W767" s="7" t="s">
        <v>380</v>
      </c>
      <c r="X767" s="8"/>
      <c r="Y767" s="8"/>
    </row>
    <row r="768" spans="1:25" hidden="1" x14ac:dyDescent="0.25">
      <c r="A768" s="273" t="s">
        <v>316</v>
      </c>
      <c r="B768" s="251">
        <v>45821</v>
      </c>
      <c r="C768" s="252" t="s">
        <v>577</v>
      </c>
      <c r="D768" s="252" t="s">
        <v>664</v>
      </c>
      <c r="E768" s="253">
        <v>1800000</v>
      </c>
      <c r="F768" s="253">
        <v>0</v>
      </c>
      <c r="G768" s="274">
        <f>Tabla3[[#This Row],[INGRESOS]]-Tabla3[[#This Row],[EGRESOS]]</f>
        <v>-1800000</v>
      </c>
      <c r="H768" s="135">
        <v>-1787565.03</v>
      </c>
      <c r="I768" s="135">
        <v>1140</v>
      </c>
      <c r="J768" s="136">
        <f>Tabla3[[#This Row],[EGRESOS]]/Tabla3[[#This Row],[TC]]</f>
        <v>1578.9473684210527</v>
      </c>
      <c r="K768" s="136">
        <f>Tabla3[[#This Row],[INGRESOS]]/Tabla3[[#This Row],[TC]]</f>
        <v>0</v>
      </c>
      <c r="L768" s="8" t="s">
        <v>376</v>
      </c>
      <c r="M768" s="8" t="s">
        <v>377</v>
      </c>
      <c r="N768" s="8" t="s">
        <v>28</v>
      </c>
      <c r="O768" s="8" t="s">
        <v>286</v>
      </c>
      <c r="P768" s="8" t="s">
        <v>287</v>
      </c>
      <c r="Q768" s="8" t="s">
        <v>288</v>
      </c>
      <c r="R768" s="8" t="s">
        <v>143</v>
      </c>
      <c r="S768" s="8" t="s">
        <v>665</v>
      </c>
      <c r="T768" s="8" t="s">
        <v>666</v>
      </c>
      <c r="U768" s="8" t="s">
        <v>412</v>
      </c>
      <c r="V768" s="8"/>
      <c r="W768" s="7" t="s">
        <v>380</v>
      </c>
      <c r="X768" s="8" t="s">
        <v>29</v>
      </c>
      <c r="Y768" s="8" t="s">
        <v>23</v>
      </c>
    </row>
    <row r="769" spans="1:25" s="7" customFormat="1" hidden="1" x14ac:dyDescent="0.25">
      <c r="A769" s="273" t="s">
        <v>316</v>
      </c>
      <c r="B769" s="251">
        <v>45821</v>
      </c>
      <c r="C769" s="252" t="s">
        <v>598</v>
      </c>
      <c r="D769" s="252"/>
      <c r="E769" s="253">
        <v>0</v>
      </c>
      <c r="F769" s="253">
        <v>2000000</v>
      </c>
      <c r="G769" s="274">
        <f>Tabla3[[#This Row],[INGRESOS]]-Tabla3[[#This Row],[EGRESOS]]</f>
        <v>2000000</v>
      </c>
      <c r="H769" s="135">
        <v>212434.97</v>
      </c>
      <c r="I769" s="135">
        <v>1140</v>
      </c>
      <c r="J769" s="136">
        <f>Tabla3[[#This Row],[EGRESOS]]/Tabla3[[#This Row],[TC]]</f>
        <v>0</v>
      </c>
      <c r="K769" s="136">
        <f>Tabla3[[#This Row],[INGRESOS]]/Tabla3[[#This Row],[TC]]</f>
        <v>1754.3859649122808</v>
      </c>
      <c r="L769" s="8" t="s">
        <v>376</v>
      </c>
      <c r="M769" s="8" t="s">
        <v>377</v>
      </c>
      <c r="N769" s="8" t="s">
        <v>28</v>
      </c>
      <c r="O769" s="8" t="s">
        <v>244</v>
      </c>
      <c r="P769" s="8" t="s">
        <v>259</v>
      </c>
      <c r="Q769" s="8" t="s">
        <v>260</v>
      </c>
      <c r="R769" s="8" t="s">
        <v>405</v>
      </c>
      <c r="S769" s="8"/>
      <c r="T769" s="8"/>
      <c r="U769" s="8" t="s">
        <v>379</v>
      </c>
      <c r="V769" s="8"/>
      <c r="W769" s="7" t="s">
        <v>380</v>
      </c>
      <c r="X769" s="8"/>
      <c r="Y769" s="8"/>
    </row>
    <row r="770" spans="1:25" s="7" customFormat="1" hidden="1" x14ac:dyDescent="0.25">
      <c r="A770" s="273" t="s">
        <v>316</v>
      </c>
      <c r="B770" s="251">
        <v>45821</v>
      </c>
      <c r="C770" s="252" t="s">
        <v>566</v>
      </c>
      <c r="D770" s="252"/>
      <c r="E770" s="253">
        <v>10800</v>
      </c>
      <c r="F770" s="253">
        <v>0</v>
      </c>
      <c r="G770" s="274">
        <f>Tabla3[[#This Row],[INGRESOS]]-Tabla3[[#This Row],[EGRESOS]]</f>
        <v>-10800</v>
      </c>
      <c r="H770" s="135">
        <v>201634.97</v>
      </c>
      <c r="I770" s="135">
        <v>1140</v>
      </c>
      <c r="J770" s="136">
        <f>Tabla3[[#This Row],[EGRESOS]]/Tabla3[[#This Row],[TC]]</f>
        <v>9.473684210526315</v>
      </c>
      <c r="K770" s="136">
        <f>Tabla3[[#This Row],[INGRESOS]]/Tabla3[[#This Row],[TC]]</f>
        <v>0</v>
      </c>
      <c r="L770" s="8" t="s">
        <v>376</v>
      </c>
      <c r="M770" s="8" t="s">
        <v>377</v>
      </c>
      <c r="N770" s="8" t="s">
        <v>28</v>
      </c>
      <c r="O770" s="8" t="s">
        <v>184</v>
      </c>
      <c r="P770" s="8" t="s">
        <v>195</v>
      </c>
      <c r="Q770" s="8" t="s">
        <v>196</v>
      </c>
      <c r="R770" s="8" t="s">
        <v>394</v>
      </c>
      <c r="S770" s="8" t="s">
        <v>383</v>
      </c>
      <c r="T770" s="8"/>
      <c r="U770" s="8" t="s">
        <v>384</v>
      </c>
      <c r="V770" s="8"/>
      <c r="W770" s="7" t="s">
        <v>380</v>
      </c>
      <c r="X770" s="8" t="s">
        <v>99</v>
      </c>
      <c r="Y770" s="8" t="s">
        <v>23</v>
      </c>
    </row>
    <row r="771" spans="1:25" s="7" customFormat="1" hidden="1" x14ac:dyDescent="0.25">
      <c r="A771" s="273" t="s">
        <v>316</v>
      </c>
      <c r="B771" s="251">
        <v>45826</v>
      </c>
      <c r="C771" s="252" t="s">
        <v>629</v>
      </c>
      <c r="D771" s="252" t="s">
        <v>667</v>
      </c>
      <c r="E771" s="253">
        <v>166000</v>
      </c>
      <c r="F771" s="253">
        <v>0</v>
      </c>
      <c r="G771" s="274">
        <f>Tabla3[[#This Row],[INGRESOS]]-Tabla3[[#This Row],[EGRESOS]]</f>
        <v>-166000</v>
      </c>
      <c r="H771" s="135">
        <v>35634.97</v>
      </c>
      <c r="I771" s="135">
        <v>1140</v>
      </c>
      <c r="J771" s="136">
        <f>Tabla3[[#This Row],[EGRESOS]]/Tabla3[[#This Row],[TC]]</f>
        <v>145.61403508771929</v>
      </c>
      <c r="K771" s="136">
        <f>Tabla3[[#This Row],[INGRESOS]]/Tabla3[[#This Row],[TC]]</f>
        <v>0</v>
      </c>
      <c r="L771" s="8" t="s">
        <v>376</v>
      </c>
      <c r="M771" s="8" t="s">
        <v>377</v>
      </c>
      <c r="N771" s="8" t="s">
        <v>28</v>
      </c>
      <c r="O771" s="8" t="s">
        <v>225</v>
      </c>
      <c r="P771" s="8" t="s">
        <v>233</v>
      </c>
      <c r="Q771" s="8" t="s">
        <v>234</v>
      </c>
      <c r="R771" s="8"/>
      <c r="S771" s="8" t="s">
        <v>668</v>
      </c>
      <c r="T771" s="8" t="s">
        <v>669</v>
      </c>
      <c r="U771" s="8" t="s">
        <v>412</v>
      </c>
      <c r="V771" s="8"/>
      <c r="W771" s="7" t="s">
        <v>380</v>
      </c>
      <c r="X771" s="8" t="s">
        <v>29</v>
      </c>
      <c r="Y771" s="8" t="s">
        <v>23</v>
      </c>
    </row>
    <row r="772" spans="1:25" s="7" customFormat="1" hidden="1" x14ac:dyDescent="0.25">
      <c r="A772" s="273" t="s">
        <v>316</v>
      </c>
      <c r="B772" s="251">
        <v>45825</v>
      </c>
      <c r="C772" s="252" t="s">
        <v>670</v>
      </c>
      <c r="D772" s="252" t="s">
        <v>671</v>
      </c>
      <c r="E772" s="253">
        <v>1947415.84</v>
      </c>
      <c r="F772" s="253">
        <v>0</v>
      </c>
      <c r="G772" s="274">
        <f>Tabla3[[#This Row],[INGRESOS]]-Tabla3[[#This Row],[EGRESOS]]</f>
        <v>-1947415.84</v>
      </c>
      <c r="H772" s="135">
        <v>-1911780.87</v>
      </c>
      <c r="I772" s="135">
        <v>1140</v>
      </c>
      <c r="J772" s="136">
        <f>Tabla3[[#This Row],[EGRESOS]]/Tabla3[[#This Row],[TC]]</f>
        <v>1708.2595087719299</v>
      </c>
      <c r="K772" s="136">
        <f>Tabla3[[#This Row],[INGRESOS]]/Tabla3[[#This Row],[TC]]</f>
        <v>0</v>
      </c>
      <c r="L772" s="8" t="s">
        <v>376</v>
      </c>
      <c r="M772" s="8" t="s">
        <v>377</v>
      </c>
      <c r="N772" s="8" t="s">
        <v>28</v>
      </c>
      <c r="O772" s="8" t="s">
        <v>286</v>
      </c>
      <c r="P772" s="8" t="s">
        <v>287</v>
      </c>
      <c r="Q772" s="8" t="s">
        <v>288</v>
      </c>
      <c r="R772" s="361" t="s">
        <v>143</v>
      </c>
      <c r="S772" s="8" t="s">
        <v>665</v>
      </c>
      <c r="T772" s="8" t="s">
        <v>666</v>
      </c>
      <c r="U772" s="8" t="s">
        <v>412</v>
      </c>
      <c r="V772" s="8"/>
      <c r="W772" s="7" t="s">
        <v>380</v>
      </c>
      <c r="X772" s="8" t="s">
        <v>29</v>
      </c>
      <c r="Y772" s="8" t="s">
        <v>23</v>
      </c>
    </row>
    <row r="773" spans="1:25" s="7" customFormat="1" hidden="1" x14ac:dyDescent="0.25">
      <c r="A773" s="273" t="s">
        <v>316</v>
      </c>
      <c r="B773" s="251">
        <v>45826</v>
      </c>
      <c r="C773" s="252" t="s">
        <v>573</v>
      </c>
      <c r="D773" s="252"/>
      <c r="E773" s="253">
        <v>1000000</v>
      </c>
      <c r="F773" s="253">
        <v>0</v>
      </c>
      <c r="G773" s="274">
        <f>Tabla3[[#This Row],[INGRESOS]]-Tabla3[[#This Row],[EGRESOS]]</f>
        <v>-1000000</v>
      </c>
      <c r="H773" s="135">
        <v>-2923465.37</v>
      </c>
      <c r="I773" s="135">
        <v>1140</v>
      </c>
      <c r="J773" s="136">
        <f>Tabla3[[#This Row],[EGRESOS]]/Tabla3[[#This Row],[TC]]</f>
        <v>877.19298245614038</v>
      </c>
      <c r="K773" s="136">
        <f>Tabla3[[#This Row],[INGRESOS]]/Tabla3[[#This Row],[TC]]</f>
        <v>0</v>
      </c>
      <c r="L773" s="8" t="s">
        <v>376</v>
      </c>
      <c r="M773" s="8" t="s">
        <v>377</v>
      </c>
      <c r="N773" s="8" t="s">
        <v>28</v>
      </c>
      <c r="O773" s="8" t="s">
        <v>244</v>
      </c>
      <c r="P773" s="8" t="s">
        <v>259</v>
      </c>
      <c r="Q773" s="8" t="s">
        <v>260</v>
      </c>
      <c r="R773" s="8" t="s">
        <v>378</v>
      </c>
      <c r="S773" s="8"/>
      <c r="T773" s="8"/>
      <c r="U773" s="8" t="s">
        <v>379</v>
      </c>
      <c r="V773" s="8"/>
      <c r="W773" s="7" t="s">
        <v>380</v>
      </c>
      <c r="X773" s="8"/>
      <c r="Y773" s="8"/>
    </row>
    <row r="774" spans="1:25" s="7" customFormat="1" hidden="1" x14ac:dyDescent="0.25">
      <c r="A774" s="273" t="s">
        <v>316</v>
      </c>
      <c r="B774" s="251">
        <v>45826</v>
      </c>
      <c r="C774" s="252" t="s">
        <v>568</v>
      </c>
      <c r="D774" s="252"/>
      <c r="E774" s="253">
        <v>200000</v>
      </c>
      <c r="F774" s="253">
        <v>0</v>
      </c>
      <c r="G774" s="274">
        <f>Tabla3[[#This Row],[INGRESOS]]-Tabla3[[#This Row],[EGRESOS]]</f>
        <v>-200000</v>
      </c>
      <c r="H774" s="135">
        <v>-3481835.37</v>
      </c>
      <c r="I774" s="135">
        <v>1140</v>
      </c>
      <c r="J774" s="136">
        <f>Tabla3[[#This Row],[EGRESOS]]/Tabla3[[#This Row],[TC]]</f>
        <v>175.43859649122808</v>
      </c>
      <c r="K774" s="136">
        <f>Tabla3[[#This Row],[INGRESOS]]/Tabla3[[#This Row],[TC]]</f>
        <v>0</v>
      </c>
      <c r="L774" s="8" t="s">
        <v>376</v>
      </c>
      <c r="M774" s="8" t="s">
        <v>377</v>
      </c>
      <c r="N774" s="8" t="s">
        <v>28</v>
      </c>
      <c r="O774" s="8" t="s">
        <v>184</v>
      </c>
      <c r="P774" s="8" t="s">
        <v>199</v>
      </c>
      <c r="Q774" s="8" t="s">
        <v>200</v>
      </c>
      <c r="R774" s="8"/>
      <c r="S774" s="8" t="s">
        <v>470</v>
      </c>
      <c r="T774" s="8"/>
      <c r="U774" s="8" t="s">
        <v>390</v>
      </c>
      <c r="V774" s="8"/>
      <c r="W774" s="7" t="s">
        <v>380</v>
      </c>
      <c r="X774" s="8" t="s">
        <v>99</v>
      </c>
      <c r="Y774" s="8" t="s">
        <v>23</v>
      </c>
    </row>
    <row r="775" spans="1:25" s="7" customFormat="1" hidden="1" x14ac:dyDescent="0.25">
      <c r="A775" s="273" t="s">
        <v>316</v>
      </c>
      <c r="B775" s="251">
        <v>45826</v>
      </c>
      <c r="C775" s="252" t="s">
        <v>568</v>
      </c>
      <c r="D775" s="252"/>
      <c r="E775" s="253">
        <v>8370</v>
      </c>
      <c r="F775" s="253">
        <v>0</v>
      </c>
      <c r="G775" s="274">
        <f>Tabla3[[#This Row],[INGRESOS]]-Tabla3[[#This Row],[EGRESOS]]</f>
        <v>-8370</v>
      </c>
      <c r="H775" s="135">
        <v>-3690205.37</v>
      </c>
      <c r="I775" s="135">
        <v>1140</v>
      </c>
      <c r="J775" s="136">
        <f>Tabla3[[#This Row],[EGRESOS]]/Tabla3[[#This Row],[TC]]</f>
        <v>7.3421052631578947</v>
      </c>
      <c r="K775" s="136">
        <f>Tabla3[[#This Row],[INGRESOS]]/Tabla3[[#This Row],[TC]]</f>
        <v>0</v>
      </c>
      <c r="L775" s="8" t="s">
        <v>376</v>
      </c>
      <c r="M775" s="8" t="s">
        <v>377</v>
      </c>
      <c r="N775" s="8" t="s">
        <v>28</v>
      </c>
      <c r="O775" s="8" t="s">
        <v>184</v>
      </c>
      <c r="P775" s="8" t="s">
        <v>199</v>
      </c>
      <c r="Q775" s="8" t="s">
        <v>201</v>
      </c>
      <c r="R775" s="8" t="s">
        <v>672</v>
      </c>
      <c r="S775" s="8" t="s">
        <v>392</v>
      </c>
      <c r="T775" s="8"/>
      <c r="U775" s="8" t="s">
        <v>390</v>
      </c>
      <c r="V775" s="8"/>
      <c r="W775" s="7" t="s">
        <v>380</v>
      </c>
      <c r="X775" s="8" t="s">
        <v>99</v>
      </c>
      <c r="Y775" s="8" t="s">
        <v>23</v>
      </c>
    </row>
    <row r="776" spans="1:25" s="7" customFormat="1" hidden="1" x14ac:dyDescent="0.25">
      <c r="A776" s="273" t="s">
        <v>316</v>
      </c>
      <c r="B776" s="251">
        <v>45826</v>
      </c>
      <c r="C776" s="252" t="s">
        <v>566</v>
      </c>
      <c r="D776" s="252"/>
      <c r="E776" s="253">
        <v>4346.22</v>
      </c>
      <c r="F776" s="253">
        <v>0</v>
      </c>
      <c r="G776" s="274">
        <f>Tabla3[[#This Row],[INGRESOS]]-Tabla3[[#This Row],[EGRESOS]]</f>
        <v>-4346.22</v>
      </c>
      <c r="H776" s="135">
        <v>-3486181.59</v>
      </c>
      <c r="I776" s="135">
        <v>1140</v>
      </c>
      <c r="J776" s="136">
        <f>Tabla3[[#This Row],[EGRESOS]]/Tabla3[[#This Row],[TC]]</f>
        <v>3.8124736842105267</v>
      </c>
      <c r="K776" s="136">
        <f>Tabla3[[#This Row],[INGRESOS]]/Tabla3[[#This Row],[TC]]</f>
        <v>0</v>
      </c>
      <c r="L776" s="8" t="s">
        <v>376</v>
      </c>
      <c r="M776" s="8" t="s">
        <v>377</v>
      </c>
      <c r="N776" s="8" t="s">
        <v>28</v>
      </c>
      <c r="O776" s="8" t="s">
        <v>184</v>
      </c>
      <c r="P776" s="8" t="s">
        <v>195</v>
      </c>
      <c r="Q776" s="8" t="s">
        <v>196</v>
      </c>
      <c r="R776" s="8" t="s">
        <v>394</v>
      </c>
      <c r="S776" s="8" t="s">
        <v>383</v>
      </c>
      <c r="T776" s="8"/>
      <c r="U776" s="8" t="s">
        <v>384</v>
      </c>
      <c r="V776" s="8"/>
      <c r="W776" s="7" t="s">
        <v>380</v>
      </c>
      <c r="X776" s="8" t="s">
        <v>99</v>
      </c>
      <c r="Y776" s="8" t="s">
        <v>23</v>
      </c>
    </row>
    <row r="777" spans="1:25" s="7" customFormat="1" hidden="1" x14ac:dyDescent="0.25">
      <c r="A777" s="273" t="s">
        <v>316</v>
      </c>
      <c r="B777" s="251">
        <v>45826</v>
      </c>
      <c r="C777" s="252" t="s">
        <v>568</v>
      </c>
      <c r="D777" s="252"/>
      <c r="E777" s="253">
        <v>350000</v>
      </c>
      <c r="F777" s="253">
        <v>0</v>
      </c>
      <c r="G777" s="274">
        <f>Tabla3[[#This Row],[INGRESOS]]-Tabla3[[#This Row],[EGRESOS]]</f>
        <v>-350000</v>
      </c>
      <c r="H777" s="135">
        <v>-3273465.37</v>
      </c>
      <c r="I777" s="135">
        <v>1140</v>
      </c>
      <c r="J777" s="136">
        <f>Tabla3[[#This Row],[EGRESOS]]/Tabla3[[#This Row],[TC]]</f>
        <v>307.01754385964909</v>
      </c>
      <c r="K777" s="136">
        <f>Tabla3[[#This Row],[INGRESOS]]/Tabla3[[#This Row],[TC]]</f>
        <v>0</v>
      </c>
      <c r="L777" s="8" t="s">
        <v>376</v>
      </c>
      <c r="M777" s="8" t="s">
        <v>377</v>
      </c>
      <c r="N777" s="8" t="s">
        <v>28</v>
      </c>
      <c r="O777" s="8" t="s">
        <v>184</v>
      </c>
      <c r="P777" s="8" t="s">
        <v>203</v>
      </c>
      <c r="Q777" s="8" t="s">
        <v>208</v>
      </c>
      <c r="R777" s="8" t="s">
        <v>673</v>
      </c>
      <c r="S777" s="8" t="s">
        <v>414</v>
      </c>
      <c r="T777" s="8"/>
      <c r="U777" s="8" t="s">
        <v>530</v>
      </c>
      <c r="V777" s="8" t="s">
        <v>415</v>
      </c>
      <c r="W777" s="7" t="s">
        <v>380</v>
      </c>
      <c r="X777" s="8" t="s">
        <v>102</v>
      </c>
      <c r="Y777" s="8" t="s">
        <v>23</v>
      </c>
    </row>
    <row r="778" spans="1:25" hidden="1" x14ac:dyDescent="0.25">
      <c r="A778" s="273" t="s">
        <v>316</v>
      </c>
      <c r="B778" s="251">
        <v>45827</v>
      </c>
      <c r="C778" s="252" t="s">
        <v>568</v>
      </c>
      <c r="D778" s="252"/>
      <c r="E778" s="253">
        <v>34706.230000000003</v>
      </c>
      <c r="F778" s="253">
        <v>0</v>
      </c>
      <c r="G778" s="274">
        <f>Tabla3[[#This Row],[INGRESOS]]-Tabla3[[#This Row],[EGRESOS]]</f>
        <v>-34706.230000000003</v>
      </c>
      <c r="H778" s="135">
        <v>-3520887.82</v>
      </c>
      <c r="I778" s="135">
        <v>1140</v>
      </c>
      <c r="J778" s="136">
        <f>Tabla3[[#This Row],[EGRESOS]]/Tabla3[[#This Row],[TC]]</f>
        <v>30.444061403508776</v>
      </c>
      <c r="K778" s="136">
        <f>Tabla3[[#This Row],[INGRESOS]]/Tabla3[[#This Row],[TC]]</f>
        <v>0</v>
      </c>
      <c r="L778" s="8" t="s">
        <v>376</v>
      </c>
      <c r="M778" s="8" t="s">
        <v>377</v>
      </c>
      <c r="N778" s="8" t="s">
        <v>28</v>
      </c>
      <c r="O778" s="8" t="s">
        <v>215</v>
      </c>
      <c r="P778" s="8" t="s">
        <v>216</v>
      </c>
      <c r="Q778" s="8" t="s">
        <v>220</v>
      </c>
      <c r="R778" s="8" t="s">
        <v>674</v>
      </c>
      <c r="S778" s="8" t="s">
        <v>675</v>
      </c>
      <c r="T778" s="8"/>
      <c r="U778" s="8" t="s">
        <v>412</v>
      </c>
      <c r="V778" s="8"/>
      <c r="W778" s="7" t="s">
        <v>380</v>
      </c>
      <c r="X778" s="8" t="s">
        <v>99</v>
      </c>
      <c r="Y778" s="8" t="s">
        <v>23</v>
      </c>
    </row>
    <row r="779" spans="1:25" hidden="1" x14ac:dyDescent="0.25">
      <c r="A779" s="273" t="s">
        <v>316</v>
      </c>
      <c r="B779" s="251">
        <v>45827</v>
      </c>
      <c r="C779" s="252" t="s">
        <v>566</v>
      </c>
      <c r="D779" s="252"/>
      <c r="E779" s="253">
        <v>208.24</v>
      </c>
      <c r="F779" s="253">
        <v>0</v>
      </c>
      <c r="G779" s="274">
        <f>Tabla3[[#This Row],[INGRESOS]]-Tabla3[[#This Row],[EGRESOS]]</f>
        <v>-208.24</v>
      </c>
      <c r="H779" s="135">
        <v>-3521096.06</v>
      </c>
      <c r="I779" s="135">
        <v>1140</v>
      </c>
      <c r="J779" s="136">
        <f>Tabla3[[#This Row],[EGRESOS]]/Tabla3[[#This Row],[TC]]</f>
        <v>0.18266666666666667</v>
      </c>
      <c r="K779" s="136">
        <f>Tabla3[[#This Row],[INGRESOS]]/Tabla3[[#This Row],[TC]]</f>
        <v>0</v>
      </c>
      <c r="L779" s="8" t="s">
        <v>376</v>
      </c>
      <c r="M779" s="8" t="s">
        <v>377</v>
      </c>
      <c r="N779" s="8" t="s">
        <v>28</v>
      </c>
      <c r="O779" s="8" t="s">
        <v>184</v>
      </c>
      <c r="P779" s="8" t="s">
        <v>195</v>
      </c>
      <c r="Q779" s="8" t="s">
        <v>196</v>
      </c>
      <c r="R779" s="8" t="s">
        <v>394</v>
      </c>
      <c r="S779" s="8" t="s">
        <v>383</v>
      </c>
      <c r="T779" s="8"/>
      <c r="U779" s="8" t="s">
        <v>384</v>
      </c>
      <c r="V779" s="8"/>
      <c r="W779" s="7" t="s">
        <v>380</v>
      </c>
      <c r="X779" s="8" t="s">
        <v>99</v>
      </c>
      <c r="Y779" s="8" t="s">
        <v>23</v>
      </c>
    </row>
    <row r="780" spans="1:25" hidden="1" x14ac:dyDescent="0.25">
      <c r="A780" s="273" t="s">
        <v>316</v>
      </c>
      <c r="B780" s="251">
        <v>45831</v>
      </c>
      <c r="C780" s="252" t="s">
        <v>568</v>
      </c>
      <c r="D780" s="252"/>
      <c r="E780" s="253">
        <v>377406</v>
      </c>
      <c r="F780" s="253">
        <v>0</v>
      </c>
      <c r="G780" s="274">
        <f>Tabla3[[#This Row],[INGRESOS]]-Tabla3[[#This Row],[EGRESOS]]</f>
        <v>-377406</v>
      </c>
      <c r="H780" s="135">
        <v>-3898502.06</v>
      </c>
      <c r="I780" s="135">
        <v>1140</v>
      </c>
      <c r="J780" s="136">
        <f>Tabla3[[#This Row],[EGRESOS]]/Tabla3[[#This Row],[TC]]</f>
        <v>331.05789473684212</v>
      </c>
      <c r="K780" s="136">
        <f>Tabla3[[#This Row],[INGRESOS]]/Tabla3[[#This Row],[TC]]</f>
        <v>0</v>
      </c>
      <c r="L780" s="8" t="s">
        <v>376</v>
      </c>
      <c r="M780" s="8" t="s">
        <v>377</v>
      </c>
      <c r="N780" s="8" t="s">
        <v>28</v>
      </c>
      <c r="O780" s="8" t="s">
        <v>286</v>
      </c>
      <c r="P780" s="8" t="s">
        <v>287</v>
      </c>
      <c r="Q780" s="8" t="s">
        <v>291</v>
      </c>
      <c r="R780" s="8" t="s">
        <v>143</v>
      </c>
      <c r="S780" s="8" t="s">
        <v>676</v>
      </c>
      <c r="T780" s="8"/>
      <c r="U780" s="8" t="s">
        <v>412</v>
      </c>
      <c r="V780" s="8"/>
      <c r="W780" s="7" t="s">
        <v>380</v>
      </c>
      <c r="X780" s="8" t="s">
        <v>29</v>
      </c>
      <c r="Y780" s="8" t="s">
        <v>23</v>
      </c>
    </row>
    <row r="781" spans="1:25" hidden="1" x14ac:dyDescent="0.25">
      <c r="A781" s="273" t="s">
        <v>316</v>
      </c>
      <c r="B781" s="251">
        <v>45831</v>
      </c>
      <c r="C781" s="252" t="s">
        <v>568</v>
      </c>
      <c r="D781" s="252"/>
      <c r="E781" s="253">
        <v>593826</v>
      </c>
      <c r="F781" s="253">
        <v>0</v>
      </c>
      <c r="G781" s="274">
        <f>Tabla3[[#This Row],[INGRESOS]]-Tabla3[[#This Row],[EGRESOS]]</f>
        <v>-593826</v>
      </c>
      <c r="H781" s="135">
        <v>-4492328.0599999996</v>
      </c>
      <c r="I781" s="135">
        <v>1140</v>
      </c>
      <c r="J781" s="136">
        <f>Tabla3[[#This Row],[EGRESOS]]/Tabla3[[#This Row],[TC]]</f>
        <v>520.9</v>
      </c>
      <c r="K781" s="136">
        <f>Tabla3[[#This Row],[INGRESOS]]/Tabla3[[#This Row],[TC]]</f>
        <v>0</v>
      </c>
      <c r="L781" s="8" t="s">
        <v>376</v>
      </c>
      <c r="M781" s="8" t="s">
        <v>377</v>
      </c>
      <c r="N781" s="8" t="s">
        <v>28</v>
      </c>
      <c r="O781" s="8" t="s">
        <v>184</v>
      </c>
      <c r="P781" s="8" t="s">
        <v>210</v>
      </c>
      <c r="Q781" s="8" t="s">
        <v>205</v>
      </c>
      <c r="R781" s="8" t="s">
        <v>677</v>
      </c>
      <c r="S781" s="8" t="s">
        <v>524</v>
      </c>
      <c r="T781" s="8"/>
      <c r="U781" s="8" t="s">
        <v>453</v>
      </c>
      <c r="V781" s="8"/>
      <c r="W781" s="7" t="s">
        <v>380</v>
      </c>
      <c r="X781" s="8" t="s">
        <v>39</v>
      </c>
      <c r="Y781" s="8" t="s">
        <v>23</v>
      </c>
    </row>
    <row r="782" spans="1:25" hidden="1" x14ac:dyDescent="0.25">
      <c r="A782" s="273" t="s">
        <v>316</v>
      </c>
      <c r="B782" s="251">
        <v>45831</v>
      </c>
      <c r="C782" s="252" t="s">
        <v>568</v>
      </c>
      <c r="D782" s="252"/>
      <c r="E782" s="253">
        <v>200000</v>
      </c>
      <c r="F782" s="253">
        <v>0</v>
      </c>
      <c r="G782" s="274">
        <f>Tabla3[[#This Row],[INGRESOS]]-Tabla3[[#This Row],[EGRESOS]]</f>
        <v>-200000</v>
      </c>
      <c r="H782" s="135">
        <v>-4692328.0599999996</v>
      </c>
      <c r="I782" s="135">
        <v>1140</v>
      </c>
      <c r="J782" s="136">
        <f>Tabla3[[#This Row],[EGRESOS]]/Tabla3[[#This Row],[TC]]</f>
        <v>175.43859649122808</v>
      </c>
      <c r="K782" s="136">
        <f>Tabla3[[#This Row],[INGRESOS]]/Tabla3[[#This Row],[TC]]</f>
        <v>0</v>
      </c>
      <c r="L782" s="8" t="s">
        <v>376</v>
      </c>
      <c r="M782" s="8" t="s">
        <v>377</v>
      </c>
      <c r="N782" s="8" t="s">
        <v>28</v>
      </c>
      <c r="O782" s="8" t="s">
        <v>184</v>
      </c>
      <c r="P782" s="8" t="s">
        <v>203</v>
      </c>
      <c r="Q782" s="8" t="s">
        <v>208</v>
      </c>
      <c r="R782" s="8" t="s">
        <v>673</v>
      </c>
      <c r="S782" s="8" t="s">
        <v>414</v>
      </c>
      <c r="T782" s="8"/>
      <c r="U782" s="8" t="s">
        <v>530</v>
      </c>
      <c r="V782" s="8" t="s">
        <v>415</v>
      </c>
      <c r="W782" s="7" t="s">
        <v>380</v>
      </c>
      <c r="X782" s="8" t="s">
        <v>102</v>
      </c>
      <c r="Y782" s="8" t="s">
        <v>23</v>
      </c>
    </row>
    <row r="783" spans="1:25" hidden="1" x14ac:dyDescent="0.25">
      <c r="A783" s="273" t="s">
        <v>316</v>
      </c>
      <c r="B783" s="251">
        <v>45831</v>
      </c>
      <c r="C783" s="252" t="s">
        <v>566</v>
      </c>
      <c r="D783" s="252"/>
      <c r="E783" s="253">
        <v>7027.39</v>
      </c>
      <c r="F783" s="253">
        <v>0</v>
      </c>
      <c r="G783" s="274">
        <f>Tabla3[[#This Row],[INGRESOS]]-Tabla3[[#This Row],[EGRESOS]]</f>
        <v>-7027.39</v>
      </c>
      <c r="H783" s="135">
        <v>-4699355.45</v>
      </c>
      <c r="I783" s="135">
        <v>1140</v>
      </c>
      <c r="J783" s="136">
        <f>Tabla3[[#This Row],[EGRESOS]]/Tabla3[[#This Row],[TC]]</f>
        <v>6.1643771929824567</v>
      </c>
      <c r="K783" s="136">
        <f>Tabla3[[#This Row],[INGRESOS]]/Tabla3[[#This Row],[TC]]</f>
        <v>0</v>
      </c>
      <c r="L783" s="8" t="s">
        <v>376</v>
      </c>
      <c r="M783" s="8" t="s">
        <v>377</v>
      </c>
      <c r="N783" s="8" t="s">
        <v>28</v>
      </c>
      <c r="O783" s="8" t="s">
        <v>184</v>
      </c>
      <c r="P783" s="8" t="s">
        <v>195</v>
      </c>
      <c r="Q783" s="8" t="s">
        <v>196</v>
      </c>
      <c r="R783" s="8" t="s">
        <v>394</v>
      </c>
      <c r="S783" s="8" t="s">
        <v>383</v>
      </c>
      <c r="T783" s="8"/>
      <c r="U783" s="8" t="s">
        <v>384</v>
      </c>
      <c r="V783" s="8"/>
      <c r="W783" s="7" t="s">
        <v>380</v>
      </c>
      <c r="X783" s="8" t="s">
        <v>99</v>
      </c>
      <c r="Y783" s="8" t="s">
        <v>23</v>
      </c>
    </row>
    <row r="784" spans="1:25" hidden="1" x14ac:dyDescent="0.25">
      <c r="A784" s="273" t="s">
        <v>316</v>
      </c>
      <c r="B784" s="251">
        <v>45832</v>
      </c>
      <c r="C784" s="252" t="s">
        <v>678</v>
      </c>
      <c r="D784" s="252" t="s">
        <v>679</v>
      </c>
      <c r="E784" s="253">
        <v>8184079.3300000001</v>
      </c>
      <c r="F784" s="253">
        <v>0</v>
      </c>
      <c r="G784" s="274">
        <f>Tabla3[[#This Row],[INGRESOS]]-Tabla3[[#This Row],[EGRESOS]]</f>
        <v>-8184079.3300000001</v>
      </c>
      <c r="H784" s="135">
        <v>-12883434.779999999</v>
      </c>
      <c r="I784" s="135">
        <v>1140</v>
      </c>
      <c r="J784" s="136">
        <f>Tabla3[[#This Row],[EGRESOS]]/Tabla3[[#This Row],[TC]]</f>
        <v>7179.0169561403509</v>
      </c>
      <c r="K784" s="136">
        <f>Tabla3[[#This Row],[INGRESOS]]/Tabla3[[#This Row],[TC]]</f>
        <v>0</v>
      </c>
      <c r="L784" s="8" t="s">
        <v>376</v>
      </c>
      <c r="M784" s="8" t="s">
        <v>377</v>
      </c>
      <c r="N784" s="8" t="s">
        <v>28</v>
      </c>
      <c r="O784" s="8" t="s">
        <v>215</v>
      </c>
      <c r="P784" s="8" t="s">
        <v>216</v>
      </c>
      <c r="Q784" s="8" t="s">
        <v>219</v>
      </c>
      <c r="R784" s="8" t="s">
        <v>336</v>
      </c>
      <c r="S784" s="8" t="s">
        <v>680</v>
      </c>
      <c r="T784" s="8" t="s">
        <v>681</v>
      </c>
      <c r="U784" s="8" t="s">
        <v>412</v>
      </c>
      <c r="V784" s="8"/>
      <c r="W784" s="7" t="s">
        <v>380</v>
      </c>
      <c r="X784" s="8" t="s">
        <v>29</v>
      </c>
      <c r="Y784" s="8" t="s">
        <v>23</v>
      </c>
    </row>
    <row r="785" spans="1:25" hidden="1" x14ac:dyDescent="0.25">
      <c r="A785" s="273" t="s">
        <v>316</v>
      </c>
      <c r="B785" s="251">
        <v>45832</v>
      </c>
      <c r="C785" s="252" t="s">
        <v>584</v>
      </c>
      <c r="D785" s="252"/>
      <c r="E785" s="253">
        <v>0</v>
      </c>
      <c r="F785" s="253">
        <v>5000000</v>
      </c>
      <c r="G785" s="274">
        <f>Tabla3[[#This Row],[INGRESOS]]-Tabla3[[#This Row],[EGRESOS]]</f>
        <v>5000000</v>
      </c>
      <c r="H785" s="135">
        <v>-7883434.7800000003</v>
      </c>
      <c r="I785" s="135">
        <v>1140</v>
      </c>
      <c r="J785" s="136">
        <f>Tabla3[[#This Row],[EGRESOS]]/Tabla3[[#This Row],[TC]]</f>
        <v>0</v>
      </c>
      <c r="K785" s="136">
        <f>Tabla3[[#This Row],[INGRESOS]]/Tabla3[[#This Row],[TC]]</f>
        <v>4385.9649122807014</v>
      </c>
      <c r="L785" s="8" t="s">
        <v>376</v>
      </c>
      <c r="M785" s="8" t="s">
        <v>377</v>
      </c>
      <c r="N785" s="8" t="s">
        <v>28</v>
      </c>
      <c r="O785" s="8" t="s">
        <v>244</v>
      </c>
      <c r="P785" s="8" t="s">
        <v>259</v>
      </c>
      <c r="Q785" s="8" t="s">
        <v>260</v>
      </c>
      <c r="R785" s="8" t="s">
        <v>554</v>
      </c>
      <c r="S785" s="8"/>
      <c r="T785" s="8"/>
      <c r="U785" s="8" t="s">
        <v>379</v>
      </c>
      <c r="V785" s="8"/>
      <c r="W785" s="7" t="s">
        <v>380</v>
      </c>
      <c r="X785" s="8"/>
      <c r="Y785" s="8"/>
    </row>
    <row r="786" spans="1:25" hidden="1" x14ac:dyDescent="0.25">
      <c r="A786" s="273" t="s">
        <v>316</v>
      </c>
      <c r="B786" s="251">
        <v>45832</v>
      </c>
      <c r="C786" s="252" t="s">
        <v>584</v>
      </c>
      <c r="D786" s="252"/>
      <c r="E786" s="253">
        <v>0</v>
      </c>
      <c r="F786" s="253">
        <v>950000</v>
      </c>
      <c r="G786" s="274">
        <f>Tabla3[[#This Row],[INGRESOS]]-Tabla3[[#This Row],[EGRESOS]]</f>
        <v>950000</v>
      </c>
      <c r="H786" s="135">
        <v>-6933434.7800000003</v>
      </c>
      <c r="I786" s="135">
        <v>1140</v>
      </c>
      <c r="J786" s="136">
        <f>Tabla3[[#This Row],[EGRESOS]]/Tabla3[[#This Row],[TC]]</f>
        <v>0</v>
      </c>
      <c r="K786" s="136">
        <f>Tabla3[[#This Row],[INGRESOS]]/Tabla3[[#This Row],[TC]]</f>
        <v>833.33333333333337</v>
      </c>
      <c r="L786" s="8" t="s">
        <v>376</v>
      </c>
      <c r="M786" s="8" t="s">
        <v>377</v>
      </c>
      <c r="N786" s="8" t="s">
        <v>28</v>
      </c>
      <c r="O786" s="8" t="s">
        <v>244</v>
      </c>
      <c r="P786" s="8" t="s">
        <v>259</v>
      </c>
      <c r="Q786" s="8" t="s">
        <v>260</v>
      </c>
      <c r="R786" s="8" t="s">
        <v>474</v>
      </c>
      <c r="S786" s="8"/>
      <c r="T786" s="8"/>
      <c r="U786" s="8" t="s">
        <v>379</v>
      </c>
      <c r="V786" s="8"/>
      <c r="W786" s="7" t="s">
        <v>380</v>
      </c>
      <c r="X786" s="8"/>
      <c r="Y786" s="8"/>
    </row>
    <row r="787" spans="1:25" hidden="1" x14ac:dyDescent="0.25">
      <c r="A787" s="273" t="s">
        <v>316</v>
      </c>
      <c r="B787" s="251">
        <v>45832</v>
      </c>
      <c r="C787" s="252" t="s">
        <v>568</v>
      </c>
      <c r="D787" s="252"/>
      <c r="E787" s="253">
        <v>55200</v>
      </c>
      <c r="F787" s="253">
        <v>0</v>
      </c>
      <c r="G787" s="274">
        <f>Tabla3[[#This Row],[INGRESOS]]-Tabla3[[#This Row],[EGRESOS]]</f>
        <v>-55200</v>
      </c>
      <c r="H787" s="135">
        <v>-7140634.7800000003</v>
      </c>
      <c r="I787" s="135">
        <v>1140</v>
      </c>
      <c r="J787" s="136">
        <f>Tabla3[[#This Row],[EGRESOS]]/Tabla3[[#This Row],[TC]]</f>
        <v>48.421052631578945</v>
      </c>
      <c r="K787" s="136">
        <f>Tabla3[[#This Row],[INGRESOS]]/Tabla3[[#This Row],[TC]]</f>
        <v>0</v>
      </c>
      <c r="L787" s="8" t="s">
        <v>376</v>
      </c>
      <c r="M787" s="8" t="s">
        <v>377</v>
      </c>
      <c r="N787" s="8" t="s">
        <v>28</v>
      </c>
      <c r="O787" s="8" t="s">
        <v>286</v>
      </c>
      <c r="P787" s="8" t="s">
        <v>287</v>
      </c>
      <c r="Q787" s="8" t="s">
        <v>290</v>
      </c>
      <c r="R787" s="8" t="s">
        <v>143</v>
      </c>
      <c r="S787" s="8" t="s">
        <v>682</v>
      </c>
      <c r="T787" s="8"/>
      <c r="U787" s="8" t="s">
        <v>412</v>
      </c>
      <c r="V787" s="8"/>
      <c r="W787" s="7" t="s">
        <v>380</v>
      </c>
      <c r="X787" s="8" t="s">
        <v>29</v>
      </c>
      <c r="Y787" s="8" t="s">
        <v>23</v>
      </c>
    </row>
    <row r="788" spans="1:25" hidden="1" x14ac:dyDescent="0.25">
      <c r="A788" s="273" t="s">
        <v>316</v>
      </c>
      <c r="B788" s="251">
        <v>45832</v>
      </c>
      <c r="C788" s="252" t="s">
        <v>568</v>
      </c>
      <c r="D788" s="252"/>
      <c r="E788" s="253">
        <v>152000</v>
      </c>
      <c r="F788" s="253">
        <v>0</v>
      </c>
      <c r="G788" s="274">
        <f>Tabla3[[#This Row],[INGRESOS]]-Tabla3[[#This Row],[EGRESOS]]</f>
        <v>-152000</v>
      </c>
      <c r="H788" s="135">
        <v>-7140634.7800000003</v>
      </c>
      <c r="I788" s="135">
        <v>1140</v>
      </c>
      <c r="J788" s="136">
        <f>Tabla3[[#This Row],[EGRESOS]]/Tabla3[[#This Row],[TC]]</f>
        <v>133.33333333333334</v>
      </c>
      <c r="K788" s="136">
        <f>Tabla3[[#This Row],[INGRESOS]]/Tabla3[[#This Row],[TC]]</f>
        <v>0</v>
      </c>
      <c r="L788" s="8" t="s">
        <v>376</v>
      </c>
      <c r="M788" s="8" t="s">
        <v>377</v>
      </c>
      <c r="N788" s="8" t="s">
        <v>28</v>
      </c>
      <c r="O788" s="8" t="s">
        <v>184</v>
      </c>
      <c r="P788" s="8" t="s">
        <v>213</v>
      </c>
      <c r="Q788" s="8" t="s">
        <v>214</v>
      </c>
      <c r="R788" s="8" t="s">
        <v>620</v>
      </c>
      <c r="S788" s="8" t="s">
        <v>683</v>
      </c>
      <c r="T788" s="8"/>
      <c r="U788" s="8" t="s">
        <v>412</v>
      </c>
      <c r="V788" s="8"/>
      <c r="W788" s="7" t="s">
        <v>380</v>
      </c>
      <c r="X788" s="8" t="s">
        <v>29</v>
      </c>
      <c r="Y788" s="8" t="s">
        <v>23</v>
      </c>
    </row>
    <row r="789" spans="1:25" hidden="1" x14ac:dyDescent="0.25">
      <c r="A789" s="273" t="s">
        <v>316</v>
      </c>
      <c r="B789" s="251">
        <v>45832</v>
      </c>
      <c r="C789" s="252" t="s">
        <v>566</v>
      </c>
      <c r="D789" s="252"/>
      <c r="E789" s="253">
        <v>50347.68</v>
      </c>
      <c r="F789" s="253">
        <v>0</v>
      </c>
      <c r="G789" s="274">
        <f>Tabla3[[#This Row],[INGRESOS]]-Tabla3[[#This Row],[EGRESOS]]</f>
        <v>-50347.68</v>
      </c>
      <c r="H789" s="135">
        <v>-7190982.46</v>
      </c>
      <c r="I789" s="135">
        <v>1140</v>
      </c>
      <c r="J789" s="136">
        <f>Tabla3[[#This Row],[EGRESOS]]/Tabla3[[#This Row],[TC]]</f>
        <v>44.164631578947372</v>
      </c>
      <c r="K789" s="136">
        <f>Tabla3[[#This Row],[INGRESOS]]/Tabla3[[#This Row],[TC]]</f>
        <v>0</v>
      </c>
      <c r="L789" s="8" t="s">
        <v>376</v>
      </c>
      <c r="M789" s="8" t="s">
        <v>377</v>
      </c>
      <c r="N789" s="8" t="s">
        <v>28</v>
      </c>
      <c r="O789" s="8" t="s">
        <v>184</v>
      </c>
      <c r="P789" s="8" t="s">
        <v>195</v>
      </c>
      <c r="Q789" s="8" t="s">
        <v>196</v>
      </c>
      <c r="R789" s="8" t="s">
        <v>394</v>
      </c>
      <c r="S789" s="8" t="s">
        <v>383</v>
      </c>
      <c r="T789" s="8"/>
      <c r="U789" s="8" t="s">
        <v>384</v>
      </c>
      <c r="V789" s="8"/>
      <c r="W789" s="7" t="s">
        <v>380</v>
      </c>
      <c r="X789" s="8" t="s">
        <v>99</v>
      </c>
      <c r="Y789" s="8" t="s">
        <v>23</v>
      </c>
    </row>
    <row r="790" spans="1:25" hidden="1" x14ac:dyDescent="0.25">
      <c r="A790" s="273" t="s">
        <v>316</v>
      </c>
      <c r="B790" s="251">
        <v>45833</v>
      </c>
      <c r="C790" s="252" t="s">
        <v>598</v>
      </c>
      <c r="D790" s="252"/>
      <c r="E790" s="253">
        <v>0</v>
      </c>
      <c r="F790" s="253">
        <v>7200000</v>
      </c>
      <c r="G790" s="274">
        <f>Tabla3[[#This Row],[INGRESOS]]-Tabla3[[#This Row],[EGRESOS]]</f>
        <v>7200000</v>
      </c>
      <c r="H790" s="135">
        <v>9017.5400000000009</v>
      </c>
      <c r="I790" s="135">
        <v>1140</v>
      </c>
      <c r="J790" s="136">
        <f>Tabla3[[#This Row],[EGRESOS]]/Tabla3[[#This Row],[TC]]</f>
        <v>0</v>
      </c>
      <c r="K790" s="136">
        <f>Tabla3[[#This Row],[INGRESOS]]/Tabla3[[#This Row],[TC]]</f>
        <v>6315.7894736842109</v>
      </c>
      <c r="L790" s="8" t="s">
        <v>376</v>
      </c>
      <c r="M790" s="8" t="s">
        <v>377</v>
      </c>
      <c r="N790" s="8" t="s">
        <v>28</v>
      </c>
      <c r="O790" s="8" t="s">
        <v>244</v>
      </c>
      <c r="P790" s="8" t="s">
        <v>259</v>
      </c>
      <c r="Q790" s="8" t="s">
        <v>260</v>
      </c>
      <c r="R790" s="8" t="s">
        <v>405</v>
      </c>
      <c r="S790" s="8"/>
      <c r="T790" s="8"/>
      <c r="U790" s="8" t="s">
        <v>379</v>
      </c>
      <c r="V790" s="8"/>
      <c r="W790" s="7" t="s">
        <v>380</v>
      </c>
      <c r="X790" s="8"/>
      <c r="Y790" s="8"/>
    </row>
    <row r="791" spans="1:25" hidden="1" x14ac:dyDescent="0.25">
      <c r="A791" s="273" t="s">
        <v>316</v>
      </c>
      <c r="B791" s="251">
        <v>45833</v>
      </c>
      <c r="C791" s="252" t="s">
        <v>568</v>
      </c>
      <c r="D791" s="252"/>
      <c r="E791" s="253">
        <v>232500</v>
      </c>
      <c r="F791" s="253">
        <v>0</v>
      </c>
      <c r="G791" s="274">
        <f>Tabla3[[#This Row],[INGRESOS]]-Tabla3[[#This Row],[EGRESOS]]</f>
        <v>-232500</v>
      </c>
      <c r="H791" s="135">
        <v>-223482.46</v>
      </c>
      <c r="I791" s="135">
        <v>1140</v>
      </c>
      <c r="J791" s="136">
        <f>Tabla3[[#This Row],[EGRESOS]]/Tabla3[[#This Row],[TC]]</f>
        <v>203.94736842105263</v>
      </c>
      <c r="K791" s="136">
        <f>Tabla3[[#This Row],[INGRESOS]]/Tabla3[[#This Row],[TC]]</f>
        <v>0</v>
      </c>
      <c r="L791" s="8" t="s">
        <v>376</v>
      </c>
      <c r="M791" s="8" t="s">
        <v>377</v>
      </c>
      <c r="N791" s="8" t="s">
        <v>28</v>
      </c>
      <c r="O791" s="8" t="s">
        <v>225</v>
      </c>
      <c r="P791" s="8" t="s">
        <v>226</v>
      </c>
      <c r="Q791" s="8" t="s">
        <v>229</v>
      </c>
      <c r="R791" s="8"/>
      <c r="S791" s="8" t="s">
        <v>684</v>
      </c>
      <c r="T791" s="8" t="s">
        <v>685</v>
      </c>
      <c r="U791" s="8" t="s">
        <v>412</v>
      </c>
      <c r="V791" s="8"/>
      <c r="W791" s="7" t="s">
        <v>380</v>
      </c>
      <c r="X791" s="8" t="s">
        <v>29</v>
      </c>
      <c r="Y791" s="8" t="s">
        <v>23</v>
      </c>
    </row>
    <row r="792" spans="1:25" hidden="1" x14ac:dyDescent="0.25">
      <c r="A792" s="273" t="s">
        <v>316</v>
      </c>
      <c r="B792" s="251">
        <v>45833</v>
      </c>
      <c r="C792" s="252" t="s">
        <v>566</v>
      </c>
      <c r="D792" s="252"/>
      <c r="E792" s="253">
        <v>1395</v>
      </c>
      <c r="F792" s="253">
        <v>0</v>
      </c>
      <c r="G792" s="274">
        <f>Tabla3[[#This Row],[INGRESOS]]-Tabla3[[#This Row],[EGRESOS]]</f>
        <v>-1395</v>
      </c>
      <c r="H792" s="135">
        <v>-224877.46</v>
      </c>
      <c r="I792" s="135">
        <v>1140</v>
      </c>
      <c r="J792" s="136">
        <f>Tabla3[[#This Row],[EGRESOS]]/Tabla3[[#This Row],[TC]]</f>
        <v>1.2236842105263157</v>
      </c>
      <c r="K792" s="136">
        <f>Tabla3[[#This Row],[INGRESOS]]/Tabla3[[#This Row],[TC]]</f>
        <v>0</v>
      </c>
      <c r="L792" s="8" t="s">
        <v>376</v>
      </c>
      <c r="M792" s="8" t="s">
        <v>377</v>
      </c>
      <c r="N792" s="8" t="s">
        <v>28</v>
      </c>
      <c r="O792" s="8" t="s">
        <v>184</v>
      </c>
      <c r="P792" s="8" t="s">
        <v>195</v>
      </c>
      <c r="Q792" s="8" t="s">
        <v>196</v>
      </c>
      <c r="R792" s="8" t="s">
        <v>394</v>
      </c>
      <c r="S792" s="8" t="s">
        <v>383</v>
      </c>
      <c r="T792" s="8"/>
      <c r="U792" s="8" t="s">
        <v>384</v>
      </c>
      <c r="V792" s="8"/>
      <c r="W792" s="7" t="s">
        <v>380</v>
      </c>
      <c r="X792" s="8" t="s">
        <v>99</v>
      </c>
      <c r="Y792" s="8" t="s">
        <v>23</v>
      </c>
    </row>
    <row r="793" spans="1:25" hidden="1" x14ac:dyDescent="0.25">
      <c r="A793" s="273" t="s">
        <v>317</v>
      </c>
      <c r="B793" s="251">
        <v>45839</v>
      </c>
      <c r="C793" s="252" t="s">
        <v>565</v>
      </c>
      <c r="D793" s="252"/>
      <c r="E793" s="253">
        <v>48000</v>
      </c>
      <c r="F793" s="253">
        <v>0</v>
      </c>
      <c r="G793" s="274">
        <f>Tabla3[[#This Row],[INGRESOS]]-Tabla3[[#This Row],[EGRESOS]]</f>
        <v>-48000</v>
      </c>
      <c r="H793" s="135">
        <v>-272877.46000000002</v>
      </c>
      <c r="I793" s="135">
        <v>1140</v>
      </c>
      <c r="J793" s="136">
        <f>Tabla3[[#This Row],[EGRESOS]]/Tabla3[[#This Row],[TC]]</f>
        <v>42.10526315789474</v>
      </c>
      <c r="K793" s="136">
        <f>Tabla3[[#This Row],[INGRESOS]]/Tabla3[[#This Row],[TC]]</f>
        <v>0</v>
      </c>
      <c r="L793" s="8" t="s">
        <v>376</v>
      </c>
      <c r="M793" s="8" t="s">
        <v>377</v>
      </c>
      <c r="N793" s="8" t="s">
        <v>28</v>
      </c>
      <c r="O793" s="8" t="s">
        <v>184</v>
      </c>
      <c r="P793" s="8" t="s">
        <v>185</v>
      </c>
      <c r="Q793" s="8" t="s">
        <v>186</v>
      </c>
      <c r="R793" s="8" t="s">
        <v>227</v>
      </c>
      <c r="S793" s="8"/>
      <c r="T793" s="8"/>
      <c r="U793" s="8" t="s">
        <v>384</v>
      </c>
      <c r="V793" s="8"/>
      <c r="W793" s="7" t="s">
        <v>380</v>
      </c>
      <c r="X793" s="8" t="s">
        <v>99</v>
      </c>
      <c r="Y793" s="8" t="s">
        <v>23</v>
      </c>
    </row>
    <row r="794" spans="1:25" hidden="1" x14ac:dyDescent="0.25">
      <c r="A794" s="273" t="s">
        <v>317</v>
      </c>
      <c r="B794" s="251">
        <v>45839</v>
      </c>
      <c r="C794" s="252" t="s">
        <v>273</v>
      </c>
      <c r="D794" s="252"/>
      <c r="E794" s="253">
        <v>10080</v>
      </c>
      <c r="F794" s="253">
        <v>0</v>
      </c>
      <c r="G794" s="274">
        <f>Tabla3[[#This Row],[INGRESOS]]-Tabla3[[#This Row],[EGRESOS]]</f>
        <v>-10080</v>
      </c>
      <c r="H794" s="135">
        <v>-282957.46000000002</v>
      </c>
      <c r="I794" s="135">
        <v>1140</v>
      </c>
      <c r="J794" s="136">
        <f>Tabla3[[#This Row],[EGRESOS]]/Tabla3[[#This Row],[TC]]</f>
        <v>8.8421052631578956</v>
      </c>
      <c r="K794" s="136">
        <f>Tabla3[[#This Row],[INGRESOS]]/Tabla3[[#This Row],[TC]]</f>
        <v>0</v>
      </c>
      <c r="L794" s="8" t="s">
        <v>376</v>
      </c>
      <c r="M794" s="8" t="s">
        <v>377</v>
      </c>
      <c r="N794" s="8" t="s">
        <v>28</v>
      </c>
      <c r="O794" s="8" t="s">
        <v>184</v>
      </c>
      <c r="P794" s="8" t="s">
        <v>195</v>
      </c>
      <c r="Q794" s="8" t="s">
        <v>196</v>
      </c>
      <c r="R794" s="8"/>
      <c r="S794" s="8"/>
      <c r="T794" s="8"/>
      <c r="U794" s="8" t="s">
        <v>384</v>
      </c>
      <c r="V794" s="8"/>
      <c r="W794" s="7" t="s">
        <v>380</v>
      </c>
      <c r="X794" s="8" t="s">
        <v>99</v>
      </c>
      <c r="Y794" s="8" t="s">
        <v>23</v>
      </c>
    </row>
    <row r="795" spans="1:25" hidden="1" x14ac:dyDescent="0.25">
      <c r="A795" s="273" t="s">
        <v>317</v>
      </c>
      <c r="B795" s="251">
        <v>45839</v>
      </c>
      <c r="C795" s="252" t="s">
        <v>564</v>
      </c>
      <c r="D795" s="252"/>
      <c r="E795" s="253">
        <v>1440</v>
      </c>
      <c r="F795" s="253">
        <v>0</v>
      </c>
      <c r="G795" s="274">
        <f>Tabla3[[#This Row],[INGRESOS]]-Tabla3[[#This Row],[EGRESOS]]</f>
        <v>-1440</v>
      </c>
      <c r="H795" s="135">
        <v>-284397.46000000002</v>
      </c>
      <c r="I795" s="135">
        <v>1140</v>
      </c>
      <c r="J795" s="136">
        <f>Tabla3[[#This Row],[EGRESOS]]/Tabla3[[#This Row],[TC]]</f>
        <v>1.263157894736842</v>
      </c>
      <c r="K795" s="136">
        <f>Tabla3[[#This Row],[INGRESOS]]/Tabla3[[#This Row],[TC]]</f>
        <v>0</v>
      </c>
      <c r="L795" s="8" t="s">
        <v>376</v>
      </c>
      <c r="M795" s="8" t="s">
        <v>377</v>
      </c>
      <c r="N795" s="8" t="s">
        <v>28</v>
      </c>
      <c r="O795" s="8" t="s">
        <v>184</v>
      </c>
      <c r="P795" s="8" t="s">
        <v>195</v>
      </c>
      <c r="Q795" s="8" t="s">
        <v>196</v>
      </c>
      <c r="R795" s="8" t="s">
        <v>417</v>
      </c>
      <c r="S795" s="8" t="s">
        <v>383</v>
      </c>
      <c r="T795" s="8"/>
      <c r="U795" s="8" t="s">
        <v>384</v>
      </c>
      <c r="V795" s="8"/>
      <c r="W795" s="7" t="s">
        <v>380</v>
      </c>
      <c r="X795" s="8" t="s">
        <v>99</v>
      </c>
      <c r="Y795" s="8" t="s">
        <v>23</v>
      </c>
    </row>
    <row r="796" spans="1:25" hidden="1" x14ac:dyDescent="0.25">
      <c r="A796" s="273" t="s">
        <v>317</v>
      </c>
      <c r="B796" s="251">
        <v>45839</v>
      </c>
      <c r="C796" s="252" t="s">
        <v>580</v>
      </c>
      <c r="D796" s="252"/>
      <c r="E796" s="253">
        <v>9600</v>
      </c>
      <c r="F796" s="253">
        <v>0</v>
      </c>
      <c r="G796" s="274">
        <f>Tabla3[[#This Row],[INGRESOS]]-Tabla3[[#This Row],[EGRESOS]]</f>
        <v>-9600</v>
      </c>
      <c r="H796" s="135">
        <v>-293997.46000000002</v>
      </c>
      <c r="I796" s="135">
        <v>1140</v>
      </c>
      <c r="J796" s="136">
        <f>Tabla3[[#This Row],[EGRESOS]]/Tabla3[[#This Row],[TC]]</f>
        <v>8.4210526315789469</v>
      </c>
      <c r="K796" s="136">
        <f>Tabla3[[#This Row],[INGRESOS]]/Tabla3[[#This Row],[TC]]</f>
        <v>0</v>
      </c>
      <c r="L796" s="8" t="s">
        <v>376</v>
      </c>
      <c r="M796" s="8" t="s">
        <v>377</v>
      </c>
      <c r="N796" s="8" t="s">
        <v>28</v>
      </c>
      <c r="O796" s="8" t="s">
        <v>184</v>
      </c>
      <c r="P796" s="8" t="s">
        <v>185</v>
      </c>
      <c r="Q796" s="8" t="s">
        <v>186</v>
      </c>
      <c r="R796" s="8" t="s">
        <v>227</v>
      </c>
      <c r="S796" s="8"/>
      <c r="T796" s="8"/>
      <c r="U796" s="8" t="s">
        <v>384</v>
      </c>
      <c r="V796" s="8"/>
      <c r="W796" s="7" t="s">
        <v>380</v>
      </c>
      <c r="X796" s="8" t="s">
        <v>99</v>
      </c>
      <c r="Y796" s="8" t="s">
        <v>23</v>
      </c>
    </row>
    <row r="797" spans="1:25" hidden="1" x14ac:dyDescent="0.25">
      <c r="A797" s="273" t="s">
        <v>317</v>
      </c>
      <c r="B797" s="251">
        <v>45839</v>
      </c>
      <c r="C797" s="252" t="s">
        <v>273</v>
      </c>
      <c r="D797" s="252"/>
      <c r="E797" s="253">
        <v>2016</v>
      </c>
      <c r="F797" s="253">
        <v>0</v>
      </c>
      <c r="G797" s="274">
        <f>Tabla3[[#This Row],[INGRESOS]]-Tabla3[[#This Row],[EGRESOS]]</f>
        <v>-2016</v>
      </c>
      <c r="H797" s="135">
        <v>-296013.46000000002</v>
      </c>
      <c r="I797" s="135">
        <v>1140</v>
      </c>
      <c r="J797" s="136">
        <f>Tabla3[[#This Row],[EGRESOS]]/Tabla3[[#This Row],[TC]]</f>
        <v>1.7684210526315789</v>
      </c>
      <c r="K797" s="136">
        <f>Tabla3[[#This Row],[INGRESOS]]/Tabla3[[#This Row],[TC]]</f>
        <v>0</v>
      </c>
      <c r="L797" s="8" t="s">
        <v>376</v>
      </c>
      <c r="M797" s="8" t="s">
        <v>377</v>
      </c>
      <c r="N797" s="8" t="s">
        <v>28</v>
      </c>
      <c r="O797" s="8" t="s">
        <v>184</v>
      </c>
      <c r="P797" s="8" t="s">
        <v>195</v>
      </c>
      <c r="Q797" s="8" t="s">
        <v>196</v>
      </c>
      <c r="R797" s="8"/>
      <c r="S797" s="8"/>
      <c r="T797" s="8"/>
      <c r="U797" s="8" t="s">
        <v>384</v>
      </c>
      <c r="V797" s="8"/>
      <c r="W797" s="7" t="s">
        <v>380</v>
      </c>
      <c r="X797" s="8" t="s">
        <v>99</v>
      </c>
      <c r="Y797" s="8" t="s">
        <v>23</v>
      </c>
    </row>
    <row r="798" spans="1:25" hidden="1" x14ac:dyDescent="0.25">
      <c r="A798" s="273" t="s">
        <v>317</v>
      </c>
      <c r="B798" s="251">
        <v>45839</v>
      </c>
      <c r="C798" s="252" t="s">
        <v>564</v>
      </c>
      <c r="D798" s="252"/>
      <c r="E798" s="253">
        <v>288</v>
      </c>
      <c r="F798" s="253">
        <v>0</v>
      </c>
      <c r="G798" s="274">
        <f>Tabla3[[#This Row],[INGRESOS]]-Tabla3[[#This Row],[EGRESOS]]</f>
        <v>-288</v>
      </c>
      <c r="H798" s="135">
        <v>-296301.46000000002</v>
      </c>
      <c r="I798" s="135">
        <v>1140</v>
      </c>
      <c r="J798" s="136">
        <f>Tabla3[[#This Row],[EGRESOS]]/Tabla3[[#This Row],[TC]]</f>
        <v>0.25263157894736843</v>
      </c>
      <c r="K798" s="136">
        <f>Tabla3[[#This Row],[INGRESOS]]/Tabla3[[#This Row],[TC]]</f>
        <v>0</v>
      </c>
      <c r="L798" s="8" t="s">
        <v>376</v>
      </c>
      <c r="M798" s="8" t="s">
        <v>377</v>
      </c>
      <c r="N798" s="8" t="s">
        <v>28</v>
      </c>
      <c r="O798" s="8" t="s">
        <v>184</v>
      </c>
      <c r="P798" s="8" t="s">
        <v>195</v>
      </c>
      <c r="Q798" s="8" t="s">
        <v>196</v>
      </c>
      <c r="R798" s="8" t="s">
        <v>417</v>
      </c>
      <c r="S798" s="8" t="s">
        <v>383</v>
      </c>
      <c r="T798" s="8"/>
      <c r="U798" s="8" t="s">
        <v>384</v>
      </c>
      <c r="V798" s="8"/>
      <c r="W798" s="7" t="s">
        <v>380</v>
      </c>
      <c r="X798" s="8" t="s">
        <v>99</v>
      </c>
      <c r="Y798" s="8" t="s">
        <v>23</v>
      </c>
    </row>
    <row r="799" spans="1:25" hidden="1" x14ac:dyDescent="0.25">
      <c r="A799" s="273" t="s">
        <v>317</v>
      </c>
      <c r="B799" s="251">
        <v>45839</v>
      </c>
      <c r="C799" s="252" t="s">
        <v>686</v>
      </c>
      <c r="D799" s="252"/>
      <c r="E799" s="253">
        <v>4693.43</v>
      </c>
      <c r="F799" s="253">
        <v>0</v>
      </c>
      <c r="G799" s="274">
        <f>Tabla3[[#This Row],[INGRESOS]]-Tabla3[[#This Row],[EGRESOS]]</f>
        <v>-4693.43</v>
      </c>
      <c r="H799" s="135">
        <v>-300994.89</v>
      </c>
      <c r="I799" s="135">
        <v>1140</v>
      </c>
      <c r="J799" s="136">
        <f>Tabla3[[#This Row],[EGRESOS]]/Tabla3[[#This Row],[TC]]</f>
        <v>4.1170438596491232</v>
      </c>
      <c r="K799" s="136">
        <f>Tabla3[[#This Row],[INGRESOS]]/Tabla3[[#This Row],[TC]]</f>
        <v>0</v>
      </c>
      <c r="L799" s="8" t="s">
        <v>376</v>
      </c>
      <c r="M799" s="8" t="s">
        <v>377</v>
      </c>
      <c r="N799" s="8" t="s">
        <v>28</v>
      </c>
      <c r="O799" s="8" t="s">
        <v>184</v>
      </c>
      <c r="P799" s="8" t="s">
        <v>195</v>
      </c>
      <c r="Q799" s="8" t="s">
        <v>196</v>
      </c>
      <c r="R799" s="8"/>
      <c r="S799" s="8"/>
      <c r="T799" s="8"/>
      <c r="U799" s="8" t="s">
        <v>384</v>
      </c>
      <c r="V799" s="8"/>
      <c r="W799" s="7" t="s">
        <v>380</v>
      </c>
      <c r="X799" s="8" t="s">
        <v>99</v>
      </c>
      <c r="Y799" s="8" t="s">
        <v>23</v>
      </c>
    </row>
    <row r="800" spans="1:25" hidden="1" x14ac:dyDescent="0.25">
      <c r="A800" s="273" t="s">
        <v>317</v>
      </c>
      <c r="B800" s="251">
        <v>45839</v>
      </c>
      <c r="C800" s="252" t="s">
        <v>566</v>
      </c>
      <c r="D800" s="252"/>
      <c r="E800" s="253">
        <v>456.7</v>
      </c>
      <c r="F800" s="253">
        <v>0</v>
      </c>
      <c r="G800" s="274">
        <f>Tabla3[[#This Row],[INGRESOS]]-Tabla3[[#This Row],[EGRESOS]]</f>
        <v>-456.7</v>
      </c>
      <c r="H800" s="135">
        <v>-301451.59000000003</v>
      </c>
      <c r="I800" s="135">
        <v>1140</v>
      </c>
      <c r="J800" s="136">
        <f>Tabla3[[#This Row],[EGRESOS]]/Tabla3[[#This Row],[TC]]</f>
        <v>0.40061403508771931</v>
      </c>
      <c r="K800" s="136">
        <f>Tabla3[[#This Row],[INGRESOS]]/Tabla3[[#This Row],[TC]]</f>
        <v>0</v>
      </c>
      <c r="L800" s="8" t="s">
        <v>376</v>
      </c>
      <c r="M800" s="8" t="s">
        <v>377</v>
      </c>
      <c r="N800" s="8" t="s">
        <v>28</v>
      </c>
      <c r="O800" s="8" t="s">
        <v>184</v>
      </c>
      <c r="P800" s="8" t="s">
        <v>195</v>
      </c>
      <c r="Q800" s="8" t="s">
        <v>196</v>
      </c>
      <c r="R800" s="8" t="s">
        <v>394</v>
      </c>
      <c r="S800" s="8" t="s">
        <v>383</v>
      </c>
      <c r="T800" s="8"/>
      <c r="U800" s="8" t="s">
        <v>384</v>
      </c>
      <c r="V800" s="8"/>
      <c r="W800" s="7" t="s">
        <v>380</v>
      </c>
      <c r="X800" s="8" t="s">
        <v>99</v>
      </c>
      <c r="Y800" s="8" t="s">
        <v>23</v>
      </c>
    </row>
    <row r="801" spans="1:25" hidden="1" x14ac:dyDescent="0.25">
      <c r="A801" s="387" t="s">
        <v>317</v>
      </c>
      <c r="B801" s="388">
        <v>45839</v>
      </c>
      <c r="C801" s="389" t="s">
        <v>567</v>
      </c>
      <c r="D801" s="389"/>
      <c r="E801" s="390">
        <v>161538.82999999999</v>
      </c>
      <c r="F801" s="390">
        <v>0</v>
      </c>
      <c r="G801" s="336">
        <f>Tabla3[[#This Row],[INGRESOS]]-Tabla3[[#This Row],[EGRESOS]]</f>
        <v>-161538.82999999999</v>
      </c>
      <c r="H801" s="391">
        <v>-462990.42</v>
      </c>
      <c r="I801" s="391">
        <v>1140</v>
      </c>
      <c r="J801" s="392">
        <f>Tabla3[[#This Row],[EGRESOS]]/Tabla3[[#This Row],[TC]]</f>
        <v>141.70072807017542</v>
      </c>
      <c r="K801" s="392">
        <f>Tabla3[[#This Row],[INGRESOS]]/Tabla3[[#This Row],[TC]]</f>
        <v>0</v>
      </c>
      <c r="L801" s="393" t="s">
        <v>376</v>
      </c>
      <c r="M801" s="393" t="s">
        <v>377</v>
      </c>
      <c r="N801" s="393" t="s">
        <v>28</v>
      </c>
      <c r="O801" s="393" t="s">
        <v>184</v>
      </c>
      <c r="P801" s="393" t="s">
        <v>197</v>
      </c>
      <c r="Q801" s="393" t="s">
        <v>198</v>
      </c>
      <c r="R801" s="393" t="s">
        <v>419</v>
      </c>
      <c r="S801" s="393"/>
      <c r="T801" s="393"/>
      <c r="U801" s="393" t="s">
        <v>384</v>
      </c>
      <c r="V801" s="393"/>
      <c r="W801" s="7" t="s">
        <v>380</v>
      </c>
      <c r="X801" s="393" t="s">
        <v>99</v>
      </c>
      <c r="Y801" s="393" t="s">
        <v>23</v>
      </c>
    </row>
    <row r="802" spans="1:25" hidden="1" x14ac:dyDescent="0.25">
      <c r="A802" s="273" t="s">
        <v>317</v>
      </c>
      <c r="B802" s="251">
        <v>45839</v>
      </c>
      <c r="C802" s="252" t="s">
        <v>463</v>
      </c>
      <c r="D802" s="252"/>
      <c r="E802" s="253">
        <v>3653.63</v>
      </c>
      <c r="F802" s="253">
        <v>0</v>
      </c>
      <c r="G802" s="274">
        <f>Tabla3[[#This Row],[INGRESOS]]-Tabla3[[#This Row],[EGRESOS]]</f>
        <v>-3653.63</v>
      </c>
      <c r="H802" s="135">
        <v>-466644.05</v>
      </c>
      <c r="I802" s="135">
        <v>1140</v>
      </c>
      <c r="J802" s="136">
        <f>Tabla3[[#This Row],[EGRESOS]]/Tabla3[[#This Row],[TC]]</f>
        <v>3.2049385964912283</v>
      </c>
      <c r="K802" s="136">
        <f>Tabla3[[#This Row],[INGRESOS]]/Tabla3[[#This Row],[TC]]</f>
        <v>0</v>
      </c>
      <c r="L802" s="8" t="s">
        <v>376</v>
      </c>
      <c r="M802" s="8" t="s">
        <v>377</v>
      </c>
      <c r="N802" s="8" t="s">
        <v>28</v>
      </c>
      <c r="O802" s="8" t="s">
        <v>184</v>
      </c>
      <c r="P802" s="8" t="s">
        <v>195</v>
      </c>
      <c r="Q802" s="8" t="s">
        <v>196</v>
      </c>
      <c r="R802" s="8" t="s">
        <v>423</v>
      </c>
      <c r="S802" s="8" t="s">
        <v>69</v>
      </c>
      <c r="T802" s="8"/>
      <c r="U802" s="8" t="s">
        <v>384</v>
      </c>
      <c r="V802" s="8"/>
      <c r="W802" s="7" t="s">
        <v>380</v>
      </c>
      <c r="X802" s="8" t="s">
        <v>99</v>
      </c>
      <c r="Y802" s="8" t="s">
        <v>23</v>
      </c>
    </row>
    <row r="803" spans="1:25" hidden="1" x14ac:dyDescent="0.25">
      <c r="A803" s="273" t="s">
        <v>317</v>
      </c>
      <c r="B803" s="251">
        <v>45839</v>
      </c>
      <c r="C803" s="252" t="s">
        <v>273</v>
      </c>
      <c r="D803" s="252"/>
      <c r="E803" s="253">
        <v>16961.580000000002</v>
      </c>
      <c r="F803" s="253">
        <v>0</v>
      </c>
      <c r="G803" s="274">
        <f>Tabla3[[#This Row],[INGRESOS]]-Tabla3[[#This Row],[EGRESOS]]</f>
        <v>-16961.580000000002</v>
      </c>
      <c r="H803" s="135">
        <v>-483605.63</v>
      </c>
      <c r="I803" s="135">
        <v>1140</v>
      </c>
      <c r="J803" s="136">
        <f>Tabla3[[#This Row],[EGRESOS]]/Tabla3[[#This Row],[TC]]</f>
        <v>14.878578947368423</v>
      </c>
      <c r="K803" s="136">
        <f>Tabla3[[#This Row],[INGRESOS]]/Tabla3[[#This Row],[TC]]</f>
        <v>0</v>
      </c>
      <c r="L803" s="8" t="s">
        <v>376</v>
      </c>
      <c r="M803" s="8" t="s">
        <v>377</v>
      </c>
      <c r="N803" s="8" t="s">
        <v>28</v>
      </c>
      <c r="O803" s="8" t="s">
        <v>184</v>
      </c>
      <c r="P803" s="8" t="s">
        <v>195</v>
      </c>
      <c r="Q803" s="8" t="s">
        <v>196</v>
      </c>
      <c r="R803" s="8" t="s">
        <v>382</v>
      </c>
      <c r="S803" s="8" t="s">
        <v>383</v>
      </c>
      <c r="T803" s="8"/>
      <c r="U803" s="8" t="s">
        <v>384</v>
      </c>
      <c r="V803" s="8"/>
      <c r="W803" s="7" t="s">
        <v>380</v>
      </c>
      <c r="X803" s="8" t="s">
        <v>99</v>
      </c>
      <c r="Y803" s="8" t="s">
        <v>23</v>
      </c>
    </row>
    <row r="804" spans="1:25" hidden="1" x14ac:dyDescent="0.25">
      <c r="A804" s="273" t="s">
        <v>317</v>
      </c>
      <c r="B804" s="251">
        <v>45839</v>
      </c>
      <c r="C804" s="252" t="s">
        <v>564</v>
      </c>
      <c r="D804" s="252"/>
      <c r="E804" s="253">
        <v>2423.08</v>
      </c>
      <c r="F804" s="253">
        <v>0</v>
      </c>
      <c r="G804" s="274">
        <f>Tabla3[[#This Row],[INGRESOS]]-Tabla3[[#This Row],[EGRESOS]]</f>
        <v>-2423.08</v>
      </c>
      <c r="H804" s="135">
        <v>-486028.71</v>
      </c>
      <c r="I804" s="135">
        <v>1140</v>
      </c>
      <c r="J804" s="136">
        <f>Tabla3[[#This Row],[EGRESOS]]/Tabla3[[#This Row],[TC]]</f>
        <v>2.1255087719298245</v>
      </c>
      <c r="K804" s="136">
        <f>Tabla3[[#This Row],[INGRESOS]]/Tabla3[[#This Row],[TC]]</f>
        <v>0</v>
      </c>
      <c r="L804" s="8" t="s">
        <v>376</v>
      </c>
      <c r="M804" s="8" t="s">
        <v>377</v>
      </c>
      <c r="N804" s="8" t="s">
        <v>28</v>
      </c>
      <c r="O804" s="8" t="s">
        <v>184</v>
      </c>
      <c r="P804" s="8" t="s">
        <v>195</v>
      </c>
      <c r="Q804" s="8" t="s">
        <v>196</v>
      </c>
      <c r="R804" s="8" t="s">
        <v>417</v>
      </c>
      <c r="S804" s="8" t="s">
        <v>383</v>
      </c>
      <c r="T804" s="8"/>
      <c r="U804" s="8" t="s">
        <v>384</v>
      </c>
      <c r="V804" s="8"/>
      <c r="W804" s="7" t="s">
        <v>380</v>
      </c>
      <c r="X804" s="8" t="s">
        <v>99</v>
      </c>
      <c r="Y804" s="8" t="s">
        <v>23</v>
      </c>
    </row>
    <row r="805" spans="1:25" hidden="1" x14ac:dyDescent="0.25">
      <c r="A805" s="273" t="s">
        <v>317</v>
      </c>
      <c r="B805" s="251">
        <v>45839</v>
      </c>
      <c r="C805" s="252" t="s">
        <v>566</v>
      </c>
      <c r="D805" s="252"/>
      <c r="E805" s="253">
        <v>1107.46</v>
      </c>
      <c r="F805" s="253">
        <v>0</v>
      </c>
      <c r="G805" s="274">
        <f>Tabla3[[#This Row],[INGRESOS]]-Tabla3[[#This Row],[EGRESOS]]</f>
        <v>-1107.46</v>
      </c>
      <c r="H805" s="135">
        <v>-487136.17</v>
      </c>
      <c r="I805" s="135">
        <v>1140</v>
      </c>
      <c r="J805" s="136">
        <f>Tabla3[[#This Row],[EGRESOS]]/Tabla3[[#This Row],[TC]]</f>
        <v>0.97145614035087724</v>
      </c>
      <c r="K805" s="136">
        <f>Tabla3[[#This Row],[INGRESOS]]/Tabla3[[#This Row],[TC]]</f>
        <v>0</v>
      </c>
      <c r="L805" s="8" t="s">
        <v>376</v>
      </c>
      <c r="M805" s="8" t="s">
        <v>377</v>
      </c>
      <c r="N805" s="8" t="s">
        <v>28</v>
      </c>
      <c r="O805" s="8" t="s">
        <v>184</v>
      </c>
      <c r="P805" s="8" t="s">
        <v>195</v>
      </c>
      <c r="Q805" s="8" t="s">
        <v>196</v>
      </c>
      <c r="R805" s="8" t="s">
        <v>394</v>
      </c>
      <c r="S805" s="8" t="s">
        <v>383</v>
      </c>
      <c r="T805" s="8"/>
      <c r="U805" s="8" t="s">
        <v>384</v>
      </c>
      <c r="V805" s="8"/>
      <c r="W805" s="7" t="s">
        <v>380</v>
      </c>
      <c r="X805" s="8" t="s">
        <v>99</v>
      </c>
      <c r="Y805" s="8" t="s">
        <v>23</v>
      </c>
    </row>
    <row r="806" spans="1:25" hidden="1" x14ac:dyDescent="0.25">
      <c r="A806" s="273" t="s">
        <v>317</v>
      </c>
      <c r="B806" s="251">
        <v>45840</v>
      </c>
      <c r="C806" s="252" t="s">
        <v>577</v>
      </c>
      <c r="D806" s="252" t="s">
        <v>687</v>
      </c>
      <c r="E806" s="253">
        <v>1473622.75</v>
      </c>
      <c r="F806" s="253">
        <v>0</v>
      </c>
      <c r="G806" s="274">
        <f>Tabla3[[#This Row],[INGRESOS]]-Tabla3[[#This Row],[EGRESOS]]</f>
        <v>-1473622.75</v>
      </c>
      <c r="H806" s="135">
        <v>-1960758.92</v>
      </c>
      <c r="I806" s="135">
        <v>1140</v>
      </c>
      <c r="J806" s="136">
        <f>Tabla3[[#This Row],[EGRESOS]]/Tabla3[[#This Row],[TC]]</f>
        <v>1292.6515350877194</v>
      </c>
      <c r="K806" s="136">
        <f>Tabla3[[#This Row],[INGRESOS]]/Tabla3[[#This Row],[TC]]</f>
        <v>0</v>
      </c>
      <c r="L806" s="8" t="s">
        <v>376</v>
      </c>
      <c r="M806" s="8" t="s">
        <v>377</v>
      </c>
      <c r="N806" s="8" t="s">
        <v>28</v>
      </c>
      <c r="O806" s="8" t="s">
        <v>215</v>
      </c>
      <c r="P806" s="8" t="s">
        <v>216</v>
      </c>
      <c r="Q806" s="8" t="s">
        <v>220</v>
      </c>
      <c r="R806" s="8" t="s">
        <v>329</v>
      </c>
      <c r="S806" s="8" t="s">
        <v>634</v>
      </c>
      <c r="T806" s="8" t="s">
        <v>688</v>
      </c>
      <c r="U806" s="8" t="s">
        <v>412</v>
      </c>
      <c r="V806" s="8"/>
      <c r="W806" s="7" t="s">
        <v>380</v>
      </c>
      <c r="X806" s="8" t="s">
        <v>29</v>
      </c>
      <c r="Y806" s="8" t="s">
        <v>23</v>
      </c>
    </row>
    <row r="807" spans="1:25" hidden="1" x14ac:dyDescent="0.25">
      <c r="A807" s="273" t="s">
        <v>317</v>
      </c>
      <c r="B807" s="251">
        <v>45840</v>
      </c>
      <c r="C807" s="252" t="s">
        <v>598</v>
      </c>
      <c r="D807" s="252"/>
      <c r="E807" s="253">
        <v>0</v>
      </c>
      <c r="F807" s="253">
        <v>2000000</v>
      </c>
      <c r="G807" s="274">
        <f>Tabla3[[#This Row],[INGRESOS]]-Tabla3[[#This Row],[EGRESOS]]</f>
        <v>2000000</v>
      </c>
      <c r="H807" s="135">
        <v>39241.08</v>
      </c>
      <c r="I807" s="135">
        <v>1140</v>
      </c>
      <c r="J807" s="136">
        <f>Tabla3[[#This Row],[EGRESOS]]/Tabla3[[#This Row],[TC]]</f>
        <v>0</v>
      </c>
      <c r="K807" s="136">
        <f>Tabla3[[#This Row],[INGRESOS]]/Tabla3[[#This Row],[TC]]</f>
        <v>1754.3859649122808</v>
      </c>
      <c r="L807" s="8" t="s">
        <v>376</v>
      </c>
      <c r="M807" s="8" t="s">
        <v>377</v>
      </c>
      <c r="N807" s="8" t="s">
        <v>28</v>
      </c>
      <c r="O807" s="8" t="s">
        <v>244</v>
      </c>
      <c r="P807" s="8" t="s">
        <v>259</v>
      </c>
      <c r="Q807" s="8" t="s">
        <v>260</v>
      </c>
      <c r="R807" s="8" t="s">
        <v>405</v>
      </c>
      <c r="S807" s="8"/>
      <c r="T807" s="8"/>
      <c r="U807" s="8" t="s">
        <v>379</v>
      </c>
      <c r="V807" s="8"/>
      <c r="W807" s="7" t="s">
        <v>380</v>
      </c>
      <c r="X807" s="8"/>
      <c r="Y807" s="8"/>
    </row>
    <row r="808" spans="1:25" hidden="1" x14ac:dyDescent="0.25">
      <c r="A808" s="273" t="s">
        <v>317</v>
      </c>
      <c r="B808" s="251">
        <v>45840</v>
      </c>
      <c r="C808" s="252" t="s">
        <v>566</v>
      </c>
      <c r="D808" s="252"/>
      <c r="E808" s="253">
        <v>8841.74</v>
      </c>
      <c r="F808" s="253">
        <v>0</v>
      </c>
      <c r="G808" s="274">
        <f>Tabla3[[#This Row],[INGRESOS]]-Tabla3[[#This Row],[EGRESOS]]</f>
        <v>-8841.74</v>
      </c>
      <c r="H808" s="135">
        <v>30399.34</v>
      </c>
      <c r="I808" s="135">
        <v>1140</v>
      </c>
      <c r="J808" s="136">
        <f>Tabla3[[#This Row],[EGRESOS]]/Tabla3[[#This Row],[TC]]</f>
        <v>7.7559122807017538</v>
      </c>
      <c r="K808" s="136">
        <f>Tabla3[[#This Row],[INGRESOS]]/Tabla3[[#This Row],[TC]]</f>
        <v>0</v>
      </c>
      <c r="L808" s="8" t="s">
        <v>376</v>
      </c>
      <c r="M808" s="8" t="s">
        <v>377</v>
      </c>
      <c r="N808" s="8" t="s">
        <v>28</v>
      </c>
      <c r="O808" s="8" t="s">
        <v>184</v>
      </c>
      <c r="P808" s="8" t="s">
        <v>195</v>
      </c>
      <c r="Q808" s="8" t="s">
        <v>196</v>
      </c>
      <c r="R808" s="8" t="s">
        <v>394</v>
      </c>
      <c r="S808" s="8" t="s">
        <v>383</v>
      </c>
      <c r="T808" s="8"/>
      <c r="U808" s="8" t="s">
        <v>384</v>
      </c>
      <c r="V808" s="8"/>
      <c r="W808" s="7" t="s">
        <v>380</v>
      </c>
      <c r="X808" s="8" t="s">
        <v>99</v>
      </c>
      <c r="Y808" s="8" t="s">
        <v>23</v>
      </c>
    </row>
    <row r="809" spans="1:25" hidden="1" x14ac:dyDescent="0.25">
      <c r="A809" s="273" t="s">
        <v>317</v>
      </c>
      <c r="B809" s="251">
        <v>45845</v>
      </c>
      <c r="C809" s="252" t="s">
        <v>598</v>
      </c>
      <c r="D809" s="252"/>
      <c r="E809" s="253">
        <v>0</v>
      </c>
      <c r="F809" s="253">
        <v>60000000</v>
      </c>
      <c r="G809" s="274">
        <f>Tabla3[[#This Row],[INGRESOS]]-Tabla3[[#This Row],[EGRESOS]]</f>
        <v>60000000</v>
      </c>
      <c r="H809" s="135">
        <v>60030399.340000004</v>
      </c>
      <c r="I809" s="135">
        <v>1140</v>
      </c>
      <c r="J809" s="136">
        <f>Tabla3[[#This Row],[EGRESOS]]/Tabla3[[#This Row],[TC]]</f>
        <v>0</v>
      </c>
      <c r="K809" s="136">
        <f>Tabla3[[#This Row],[INGRESOS]]/Tabla3[[#This Row],[TC]]</f>
        <v>52631.57894736842</v>
      </c>
      <c r="L809" s="8" t="s">
        <v>376</v>
      </c>
      <c r="M809" s="8" t="s">
        <v>377</v>
      </c>
      <c r="N809" s="8" t="s">
        <v>28</v>
      </c>
      <c r="O809" s="8" t="s">
        <v>244</v>
      </c>
      <c r="P809" s="8" t="s">
        <v>259</v>
      </c>
      <c r="Q809" s="8" t="s">
        <v>260</v>
      </c>
      <c r="R809" s="8" t="s">
        <v>405</v>
      </c>
      <c r="S809" s="8"/>
      <c r="T809" s="8"/>
      <c r="U809" s="8" t="s">
        <v>379</v>
      </c>
      <c r="V809" s="8"/>
      <c r="W809" s="7" t="s">
        <v>380</v>
      </c>
      <c r="X809" s="8"/>
      <c r="Y809" s="8"/>
    </row>
    <row r="810" spans="1:25" hidden="1" x14ac:dyDescent="0.25">
      <c r="A810" s="273" t="s">
        <v>317</v>
      </c>
      <c r="B810" s="251">
        <v>45845</v>
      </c>
      <c r="C810" s="252" t="s">
        <v>568</v>
      </c>
      <c r="D810" s="252"/>
      <c r="E810" s="253">
        <v>60000000</v>
      </c>
      <c r="F810" s="253">
        <v>0</v>
      </c>
      <c r="G810" s="274">
        <f>Tabla3[[#This Row],[INGRESOS]]-Tabla3[[#This Row],[EGRESOS]]</f>
        <v>-60000000</v>
      </c>
      <c r="H810" s="135">
        <v>30399.34</v>
      </c>
      <c r="I810" s="135">
        <v>1140</v>
      </c>
      <c r="J810" s="136">
        <f>Tabla3[[#This Row],[EGRESOS]]/Tabla3[[#This Row],[TC]]</f>
        <v>52631.57894736842</v>
      </c>
      <c r="K810" s="136">
        <f>Tabla3[[#This Row],[INGRESOS]]/Tabla3[[#This Row],[TC]]</f>
        <v>0</v>
      </c>
      <c r="L810" s="8" t="s">
        <v>376</v>
      </c>
      <c r="M810" s="8" t="s">
        <v>377</v>
      </c>
      <c r="N810" s="8" t="s">
        <v>28</v>
      </c>
      <c r="O810" s="8" t="s">
        <v>286</v>
      </c>
      <c r="P810" s="8" t="s">
        <v>294</v>
      </c>
      <c r="Q810" s="8" t="s">
        <v>295</v>
      </c>
      <c r="R810" s="7"/>
      <c r="S810" s="8" t="s">
        <v>689</v>
      </c>
      <c r="T810" s="8"/>
      <c r="U810" s="8" t="s">
        <v>690</v>
      </c>
      <c r="V810" s="8"/>
      <c r="W810" s="7" t="s">
        <v>380</v>
      </c>
      <c r="X810" s="8" t="s">
        <v>99</v>
      </c>
      <c r="Y810" s="8" t="s">
        <v>23</v>
      </c>
    </row>
    <row r="811" spans="1:25" hidden="1" x14ac:dyDescent="0.25">
      <c r="A811" s="273" t="s">
        <v>317</v>
      </c>
      <c r="B811" s="251">
        <v>45845</v>
      </c>
      <c r="C811" s="252" t="s">
        <v>566</v>
      </c>
      <c r="D811" s="252"/>
      <c r="E811" s="253">
        <v>360000</v>
      </c>
      <c r="F811" s="253">
        <v>0</v>
      </c>
      <c r="G811" s="274">
        <f>Tabla3[[#This Row],[INGRESOS]]-Tabla3[[#This Row],[EGRESOS]]</f>
        <v>-360000</v>
      </c>
      <c r="H811" s="135">
        <v>-329600.65999999997</v>
      </c>
      <c r="I811" s="135">
        <v>1140</v>
      </c>
      <c r="J811" s="136">
        <f>Tabla3[[#This Row],[EGRESOS]]/Tabla3[[#This Row],[TC]]</f>
        <v>315.78947368421052</v>
      </c>
      <c r="K811" s="136">
        <f>Tabla3[[#This Row],[INGRESOS]]/Tabla3[[#This Row],[TC]]</f>
        <v>0</v>
      </c>
      <c r="L811" s="8" t="s">
        <v>376</v>
      </c>
      <c r="M811" s="8" t="s">
        <v>377</v>
      </c>
      <c r="N811" s="8" t="s">
        <v>28</v>
      </c>
      <c r="O811" s="8" t="s">
        <v>184</v>
      </c>
      <c r="P811" s="8" t="s">
        <v>195</v>
      </c>
      <c r="Q811" s="8" t="s">
        <v>196</v>
      </c>
      <c r="R811" s="8" t="s">
        <v>394</v>
      </c>
      <c r="S811" s="8" t="s">
        <v>383</v>
      </c>
      <c r="T811" s="8"/>
      <c r="U811" s="8" t="s">
        <v>384</v>
      </c>
      <c r="V811" s="8"/>
      <c r="W811" s="7" t="s">
        <v>380</v>
      </c>
      <c r="X811" s="8" t="s">
        <v>99</v>
      </c>
      <c r="Y811" s="8" t="s">
        <v>23</v>
      </c>
    </row>
    <row r="812" spans="1:25" hidden="1" x14ac:dyDescent="0.25">
      <c r="A812" s="273" t="s">
        <v>317</v>
      </c>
      <c r="B812" s="251">
        <v>45849</v>
      </c>
      <c r="C812" s="252" t="s">
        <v>577</v>
      </c>
      <c r="D812" s="252" t="s">
        <v>691</v>
      </c>
      <c r="E812" s="253">
        <v>1253833.94</v>
      </c>
      <c r="F812" s="253">
        <v>0</v>
      </c>
      <c r="G812" s="274">
        <f>Tabla3[[#This Row],[INGRESOS]]-Tabla3[[#This Row],[EGRESOS]]</f>
        <v>-1253833.94</v>
      </c>
      <c r="H812" s="135">
        <v>-1583434.6</v>
      </c>
      <c r="I812" s="135">
        <v>1140</v>
      </c>
      <c r="J812" s="136">
        <f>Tabla3[[#This Row],[EGRESOS]]/Tabla3[[#This Row],[TC]]</f>
        <v>1099.8543333333332</v>
      </c>
      <c r="K812" s="136">
        <f>Tabla3[[#This Row],[INGRESOS]]/Tabla3[[#This Row],[TC]]</f>
        <v>0</v>
      </c>
      <c r="L812" s="8" t="s">
        <v>376</v>
      </c>
      <c r="M812" s="8" t="s">
        <v>377</v>
      </c>
      <c r="N812" s="8" t="s">
        <v>28</v>
      </c>
      <c r="O812" s="8" t="s">
        <v>215</v>
      </c>
      <c r="P812" s="8" t="s">
        <v>223</v>
      </c>
      <c r="Q812" s="8" t="s">
        <v>224</v>
      </c>
      <c r="R812" s="8" t="s">
        <v>328</v>
      </c>
      <c r="S812" s="8" t="s">
        <v>631</v>
      </c>
      <c r="T812" s="8" t="s">
        <v>663</v>
      </c>
      <c r="U812" s="8" t="s">
        <v>412</v>
      </c>
      <c r="V812" s="8"/>
      <c r="W812" s="7" t="s">
        <v>380</v>
      </c>
      <c r="X812" s="8" t="s">
        <v>41</v>
      </c>
      <c r="Y812" s="8" t="s">
        <v>23</v>
      </c>
    </row>
    <row r="813" spans="1:25" hidden="1" x14ac:dyDescent="0.25">
      <c r="A813" s="273" t="s">
        <v>317</v>
      </c>
      <c r="B813" s="251">
        <v>45849</v>
      </c>
      <c r="C813" s="252" t="s">
        <v>566</v>
      </c>
      <c r="D813" s="252"/>
      <c r="E813" s="253">
        <v>7523</v>
      </c>
      <c r="F813" s="253">
        <v>0</v>
      </c>
      <c r="G813" s="274">
        <f>Tabla3[[#This Row],[INGRESOS]]-Tabla3[[#This Row],[EGRESOS]]</f>
        <v>-7523</v>
      </c>
      <c r="H813" s="135">
        <v>-1590957.6</v>
      </c>
      <c r="I813" s="135">
        <v>1140</v>
      </c>
      <c r="J813" s="136">
        <f>Tabla3[[#This Row],[EGRESOS]]/Tabla3[[#This Row],[TC]]</f>
        <v>6.5991228070175438</v>
      </c>
      <c r="K813" s="136">
        <f>Tabla3[[#This Row],[INGRESOS]]/Tabla3[[#This Row],[TC]]</f>
        <v>0</v>
      </c>
      <c r="L813" s="8" t="s">
        <v>376</v>
      </c>
      <c r="M813" s="8" t="s">
        <v>377</v>
      </c>
      <c r="N813" s="8" t="s">
        <v>28</v>
      </c>
      <c r="O813" s="8" t="s">
        <v>184</v>
      </c>
      <c r="P813" s="8" t="s">
        <v>195</v>
      </c>
      <c r="Q813" s="8" t="s">
        <v>196</v>
      </c>
      <c r="R813" s="8" t="s">
        <v>394</v>
      </c>
      <c r="S813" s="8" t="s">
        <v>383</v>
      </c>
      <c r="T813" s="8"/>
      <c r="U813" s="8" t="s">
        <v>384</v>
      </c>
      <c r="V813" s="8"/>
      <c r="W813" s="7" t="s">
        <v>380</v>
      </c>
      <c r="X813" s="8" t="s">
        <v>99</v>
      </c>
      <c r="Y813" s="8" t="s">
        <v>23</v>
      </c>
    </row>
    <row r="814" spans="1:25" hidden="1" x14ac:dyDescent="0.25">
      <c r="A814" s="273" t="s">
        <v>317</v>
      </c>
      <c r="B814" s="251">
        <v>45853</v>
      </c>
      <c r="C814" s="252" t="s">
        <v>598</v>
      </c>
      <c r="D814" s="252"/>
      <c r="E814" s="253">
        <v>0</v>
      </c>
      <c r="F814" s="253">
        <v>25000000</v>
      </c>
      <c r="G814" s="274">
        <f>Tabla3[[#This Row],[INGRESOS]]-Tabla3[[#This Row],[EGRESOS]]</f>
        <v>25000000</v>
      </c>
      <c r="H814" s="135">
        <v>23409042.399999999</v>
      </c>
      <c r="I814" s="135">
        <v>1140</v>
      </c>
      <c r="J814" s="136">
        <f>Tabla3[[#This Row],[EGRESOS]]/Tabla3[[#This Row],[TC]]</f>
        <v>0</v>
      </c>
      <c r="K814" s="136">
        <f>Tabla3[[#This Row],[INGRESOS]]/Tabla3[[#This Row],[TC]]</f>
        <v>21929.824561403508</v>
      </c>
      <c r="L814" s="8" t="s">
        <v>376</v>
      </c>
      <c r="M814" s="8" t="s">
        <v>377</v>
      </c>
      <c r="N814" s="8" t="s">
        <v>28</v>
      </c>
      <c r="O814" s="8" t="s">
        <v>244</v>
      </c>
      <c r="P814" s="8" t="s">
        <v>259</v>
      </c>
      <c r="Q814" s="8" t="s">
        <v>260</v>
      </c>
      <c r="R814" s="8" t="s">
        <v>405</v>
      </c>
      <c r="S814" s="8"/>
      <c r="T814" s="8"/>
      <c r="U814" s="8" t="s">
        <v>379</v>
      </c>
      <c r="V814" s="8"/>
      <c r="W814" s="7" t="s">
        <v>380</v>
      </c>
      <c r="X814" s="8"/>
      <c r="Y814" s="8"/>
    </row>
    <row r="815" spans="1:25" hidden="1" x14ac:dyDescent="0.25">
      <c r="A815" s="273" t="s">
        <v>317</v>
      </c>
      <c r="B815" s="251">
        <v>45853</v>
      </c>
      <c r="C815" s="252" t="s">
        <v>568</v>
      </c>
      <c r="D815" s="252"/>
      <c r="E815" s="253">
        <v>23285264.399999999</v>
      </c>
      <c r="F815" s="253">
        <v>0</v>
      </c>
      <c r="G815" s="274">
        <f>Tabla3[[#This Row],[INGRESOS]]-Tabla3[[#This Row],[EGRESOS]]</f>
        <v>-23285264.399999999</v>
      </c>
      <c r="H815" s="135">
        <v>123778</v>
      </c>
      <c r="I815" s="135">
        <v>1140</v>
      </c>
      <c r="J815" s="136">
        <f>Tabla3[[#This Row],[EGRESOS]]/Tabla3[[#This Row],[TC]]</f>
        <v>20425.670526315789</v>
      </c>
      <c r="K815" s="136">
        <f>Tabla3[[#This Row],[INGRESOS]]/Tabla3[[#This Row],[TC]]</f>
        <v>0</v>
      </c>
      <c r="L815" s="8" t="s">
        <v>376</v>
      </c>
      <c r="M815" s="8" t="s">
        <v>377</v>
      </c>
      <c r="N815" s="8" t="s">
        <v>28</v>
      </c>
      <c r="O815" s="8" t="s">
        <v>286</v>
      </c>
      <c r="P815" s="8" t="s">
        <v>294</v>
      </c>
      <c r="Q815" s="8" t="s">
        <v>295</v>
      </c>
      <c r="R815" s="7"/>
      <c r="S815" s="8" t="s">
        <v>689</v>
      </c>
      <c r="T815" s="8"/>
      <c r="U815" s="8" t="s">
        <v>690</v>
      </c>
      <c r="V815" s="8"/>
      <c r="W815" s="7" t="s">
        <v>380</v>
      </c>
      <c r="X815" s="8" t="s">
        <v>99</v>
      </c>
      <c r="Y815" s="8" t="s">
        <v>23</v>
      </c>
    </row>
    <row r="816" spans="1:25" hidden="1" x14ac:dyDescent="0.25">
      <c r="A816" s="273" t="s">
        <v>317</v>
      </c>
      <c r="B816" s="251">
        <v>45853</v>
      </c>
      <c r="C816" s="252" t="s">
        <v>566</v>
      </c>
      <c r="D816" s="252"/>
      <c r="E816" s="253">
        <v>139711.59</v>
      </c>
      <c r="F816" s="253">
        <v>0</v>
      </c>
      <c r="G816" s="274">
        <f>Tabla3[[#This Row],[INGRESOS]]-Tabla3[[#This Row],[EGRESOS]]</f>
        <v>-139711.59</v>
      </c>
      <c r="H816" s="135">
        <v>-15933.59</v>
      </c>
      <c r="I816" s="135">
        <v>1140</v>
      </c>
      <c r="J816" s="136">
        <f>Tabla3[[#This Row],[EGRESOS]]/Tabla3[[#This Row],[TC]]</f>
        <v>122.55402631578947</v>
      </c>
      <c r="K816" s="136">
        <f>Tabla3[[#This Row],[INGRESOS]]/Tabla3[[#This Row],[TC]]</f>
        <v>0</v>
      </c>
      <c r="L816" s="8" t="s">
        <v>376</v>
      </c>
      <c r="M816" s="8" t="s">
        <v>377</v>
      </c>
      <c r="N816" s="8" t="s">
        <v>28</v>
      </c>
      <c r="O816" s="8" t="s">
        <v>184</v>
      </c>
      <c r="P816" s="8" t="s">
        <v>195</v>
      </c>
      <c r="Q816" s="8" t="s">
        <v>196</v>
      </c>
      <c r="R816" s="8" t="s">
        <v>394</v>
      </c>
      <c r="S816" s="8" t="s">
        <v>383</v>
      </c>
      <c r="T816" s="8"/>
      <c r="U816" s="8" t="s">
        <v>384</v>
      </c>
      <c r="V816" s="8"/>
      <c r="W816" s="7" t="s">
        <v>380</v>
      </c>
      <c r="X816" s="8" t="s">
        <v>99</v>
      </c>
      <c r="Y816" s="8" t="s">
        <v>23</v>
      </c>
    </row>
    <row r="817" spans="1:25" hidden="1" x14ac:dyDescent="0.25">
      <c r="A817" s="273" t="s">
        <v>317</v>
      </c>
      <c r="B817" s="251">
        <v>45861</v>
      </c>
      <c r="C817" s="252" t="s">
        <v>678</v>
      </c>
      <c r="D817" s="252" t="s">
        <v>692</v>
      </c>
      <c r="E817" s="253">
        <v>4000000</v>
      </c>
      <c r="F817" s="253">
        <v>0</v>
      </c>
      <c r="G817" s="274">
        <f>Tabla3[[#This Row],[INGRESOS]]-Tabla3[[#This Row],[EGRESOS]]</f>
        <v>-4000000</v>
      </c>
      <c r="H817" s="135">
        <v>-4015933.59</v>
      </c>
      <c r="I817" s="135">
        <v>1140</v>
      </c>
      <c r="J817" s="136">
        <f>Tabla3[[#This Row],[EGRESOS]]/Tabla3[[#This Row],[TC]]</f>
        <v>3508.7719298245615</v>
      </c>
      <c r="K817" s="136">
        <f>Tabla3[[#This Row],[INGRESOS]]/Tabla3[[#This Row],[TC]]</f>
        <v>0</v>
      </c>
      <c r="L817" s="8" t="s">
        <v>376</v>
      </c>
      <c r="M817" s="8" t="s">
        <v>377</v>
      </c>
      <c r="N817" s="8" t="s">
        <v>28</v>
      </c>
      <c r="O817" s="8" t="s">
        <v>215</v>
      </c>
      <c r="P817" s="8" t="s">
        <v>216</v>
      </c>
      <c r="Q817" s="8" t="s">
        <v>219</v>
      </c>
      <c r="R817" s="8" t="s">
        <v>336</v>
      </c>
      <c r="S817" s="8" t="s">
        <v>680</v>
      </c>
      <c r="T817" s="8" t="s">
        <v>681</v>
      </c>
      <c r="U817" s="8" t="s">
        <v>412</v>
      </c>
      <c r="V817" s="8"/>
      <c r="W817" s="7" t="s">
        <v>380</v>
      </c>
      <c r="X817" s="8" t="s">
        <v>29</v>
      </c>
      <c r="Y817" s="8" t="s">
        <v>23</v>
      </c>
    </row>
    <row r="818" spans="1:25" hidden="1" x14ac:dyDescent="0.25">
      <c r="A818" s="273" t="s">
        <v>317</v>
      </c>
      <c r="B818" s="251">
        <v>45861</v>
      </c>
      <c r="C818" s="252" t="s">
        <v>598</v>
      </c>
      <c r="D818" s="252"/>
      <c r="E818" s="253">
        <v>0</v>
      </c>
      <c r="F818" s="253">
        <v>4100000</v>
      </c>
      <c r="G818" s="274">
        <f>Tabla3[[#This Row],[INGRESOS]]-Tabla3[[#This Row],[EGRESOS]]</f>
        <v>4100000</v>
      </c>
      <c r="H818" s="135">
        <v>84066.41</v>
      </c>
      <c r="I818" s="135">
        <v>1140</v>
      </c>
      <c r="J818" s="136">
        <f>Tabla3[[#This Row],[EGRESOS]]/Tabla3[[#This Row],[TC]]</f>
        <v>0</v>
      </c>
      <c r="K818" s="136">
        <f>Tabla3[[#This Row],[INGRESOS]]/Tabla3[[#This Row],[TC]]</f>
        <v>3596.4912280701756</v>
      </c>
      <c r="L818" s="8" t="s">
        <v>376</v>
      </c>
      <c r="M818" s="8" t="s">
        <v>377</v>
      </c>
      <c r="N818" s="8" t="s">
        <v>28</v>
      </c>
      <c r="O818" s="8" t="s">
        <v>244</v>
      </c>
      <c r="P818" s="8" t="s">
        <v>259</v>
      </c>
      <c r="Q818" s="8" t="s">
        <v>260</v>
      </c>
      <c r="R818" s="8" t="s">
        <v>405</v>
      </c>
      <c r="S818" s="8"/>
      <c r="T818" s="8"/>
      <c r="U818" s="8" t="s">
        <v>379</v>
      </c>
      <c r="V818" s="8"/>
      <c r="W818" s="7" t="s">
        <v>380</v>
      </c>
      <c r="X818" s="8"/>
      <c r="Y818" s="8"/>
    </row>
    <row r="819" spans="1:25" hidden="1" x14ac:dyDescent="0.25">
      <c r="A819" s="273" t="s">
        <v>317</v>
      </c>
      <c r="B819" s="251">
        <v>45861</v>
      </c>
      <c r="C819" s="252" t="s">
        <v>566</v>
      </c>
      <c r="D819" s="252"/>
      <c r="E819" s="253">
        <v>24000</v>
      </c>
      <c r="F819" s="253">
        <v>0</v>
      </c>
      <c r="G819" s="274">
        <f>Tabla3[[#This Row],[INGRESOS]]-Tabla3[[#This Row],[EGRESOS]]</f>
        <v>-24000</v>
      </c>
      <c r="H819" s="135">
        <v>60066.41</v>
      </c>
      <c r="I819" s="135">
        <v>1140</v>
      </c>
      <c r="J819" s="136">
        <f>Tabla3[[#This Row],[EGRESOS]]/Tabla3[[#This Row],[TC]]</f>
        <v>21.05263157894737</v>
      </c>
      <c r="K819" s="136">
        <f>Tabla3[[#This Row],[INGRESOS]]/Tabla3[[#This Row],[TC]]</f>
        <v>0</v>
      </c>
      <c r="L819" s="8" t="s">
        <v>376</v>
      </c>
      <c r="M819" s="8" t="s">
        <v>377</v>
      </c>
      <c r="N819" s="8" t="s">
        <v>28</v>
      </c>
      <c r="O819" s="8" t="s">
        <v>184</v>
      </c>
      <c r="P819" s="8" t="s">
        <v>195</v>
      </c>
      <c r="Q819" s="8" t="s">
        <v>196</v>
      </c>
      <c r="R819" s="8" t="s">
        <v>394</v>
      </c>
      <c r="S819" s="8" t="s">
        <v>383</v>
      </c>
      <c r="T819" s="8"/>
      <c r="U819" s="8" t="s">
        <v>384</v>
      </c>
      <c r="V819" s="8"/>
      <c r="W819" s="7" t="s">
        <v>380</v>
      </c>
      <c r="X819" s="8" t="s">
        <v>99</v>
      </c>
      <c r="Y819" s="8" t="s">
        <v>23</v>
      </c>
    </row>
    <row r="820" spans="1:25" hidden="1" x14ac:dyDescent="0.25">
      <c r="A820" s="273" t="s">
        <v>317</v>
      </c>
      <c r="B820" s="251">
        <v>45863</v>
      </c>
      <c r="C820" s="252" t="s">
        <v>678</v>
      </c>
      <c r="D820" s="252" t="s">
        <v>693</v>
      </c>
      <c r="E820" s="253">
        <v>4184079.33</v>
      </c>
      <c r="F820" s="253">
        <v>0</v>
      </c>
      <c r="G820" s="274">
        <f>Tabla3[[#This Row],[INGRESOS]]-Tabla3[[#This Row],[EGRESOS]]</f>
        <v>-4184079.33</v>
      </c>
      <c r="H820" s="135">
        <v>-4124012.92</v>
      </c>
      <c r="I820" s="135">
        <v>1290</v>
      </c>
      <c r="J820" s="136">
        <f>Tabla3[[#This Row],[EGRESOS]]/Tabla3[[#This Row],[TC]]</f>
        <v>3243.4723488372092</v>
      </c>
      <c r="K820" s="136">
        <f>Tabla3[[#This Row],[INGRESOS]]/Tabla3[[#This Row],[TC]]</f>
        <v>0</v>
      </c>
      <c r="L820" s="8" t="s">
        <v>376</v>
      </c>
      <c r="M820" s="8" t="s">
        <v>377</v>
      </c>
      <c r="N820" s="8" t="s">
        <v>28</v>
      </c>
      <c r="O820" s="8" t="s">
        <v>215</v>
      </c>
      <c r="P820" s="8" t="s">
        <v>216</v>
      </c>
      <c r="Q820" s="8" t="s">
        <v>219</v>
      </c>
      <c r="R820" s="8" t="s">
        <v>336</v>
      </c>
      <c r="S820" s="8" t="s">
        <v>680</v>
      </c>
      <c r="T820" s="8" t="s">
        <v>681</v>
      </c>
      <c r="U820" s="8" t="s">
        <v>412</v>
      </c>
      <c r="V820" s="8"/>
      <c r="W820" s="7" t="s">
        <v>380</v>
      </c>
      <c r="X820" s="8" t="s">
        <v>29</v>
      </c>
      <c r="Y820" s="8" t="s">
        <v>23</v>
      </c>
    </row>
    <row r="821" spans="1:25" hidden="1" x14ac:dyDescent="0.25">
      <c r="A821" s="273" t="s">
        <v>317</v>
      </c>
      <c r="B821" s="251">
        <v>45863</v>
      </c>
      <c r="C821" s="252" t="s">
        <v>598</v>
      </c>
      <c r="D821" s="252"/>
      <c r="E821" s="253">
        <v>0</v>
      </c>
      <c r="F821" s="253">
        <v>4200000</v>
      </c>
      <c r="G821" s="274">
        <f>Tabla3[[#This Row],[INGRESOS]]-Tabla3[[#This Row],[EGRESOS]]</f>
        <v>4200000</v>
      </c>
      <c r="H821" s="135">
        <v>75987.08</v>
      </c>
      <c r="I821" s="135">
        <v>1290</v>
      </c>
      <c r="J821" s="136">
        <f>Tabla3[[#This Row],[EGRESOS]]/Tabla3[[#This Row],[TC]]</f>
        <v>0</v>
      </c>
      <c r="K821" s="136">
        <f>Tabla3[[#This Row],[INGRESOS]]/Tabla3[[#This Row],[TC]]</f>
        <v>3255.8139534883721</v>
      </c>
      <c r="L821" s="8" t="s">
        <v>376</v>
      </c>
      <c r="M821" s="8" t="s">
        <v>377</v>
      </c>
      <c r="N821" s="8" t="s">
        <v>28</v>
      </c>
      <c r="O821" s="8" t="s">
        <v>244</v>
      </c>
      <c r="P821" s="8" t="s">
        <v>259</v>
      </c>
      <c r="Q821" s="8" t="s">
        <v>260</v>
      </c>
      <c r="R821" s="8" t="s">
        <v>405</v>
      </c>
      <c r="S821" s="8"/>
      <c r="T821" s="8"/>
      <c r="U821" s="8" t="s">
        <v>379</v>
      </c>
      <c r="V821" s="8"/>
      <c r="W821" s="7" t="s">
        <v>380</v>
      </c>
      <c r="X821" s="8"/>
      <c r="Y821" s="8"/>
    </row>
    <row r="822" spans="1:25" hidden="1" x14ac:dyDescent="0.25">
      <c r="A822" s="273" t="s">
        <v>317</v>
      </c>
      <c r="B822" s="251">
        <v>45863</v>
      </c>
      <c r="C822" s="252" t="s">
        <v>566</v>
      </c>
      <c r="D822" s="252"/>
      <c r="E822" s="253">
        <v>25104.48</v>
      </c>
      <c r="F822" s="253">
        <v>0</v>
      </c>
      <c r="G822" s="274">
        <f>Tabla3[[#This Row],[INGRESOS]]-Tabla3[[#This Row],[EGRESOS]]</f>
        <v>-25104.48</v>
      </c>
      <c r="H822" s="135">
        <v>50882.6</v>
      </c>
      <c r="I822" s="135">
        <v>1290</v>
      </c>
      <c r="J822" s="136">
        <f>Tabla3[[#This Row],[EGRESOS]]/Tabla3[[#This Row],[TC]]</f>
        <v>19.460837209302326</v>
      </c>
      <c r="K822" s="136">
        <f>Tabla3[[#This Row],[INGRESOS]]/Tabla3[[#This Row],[TC]]</f>
        <v>0</v>
      </c>
      <c r="L822" s="8" t="s">
        <v>376</v>
      </c>
      <c r="M822" s="8" t="s">
        <v>377</v>
      </c>
      <c r="N822" s="8" t="s">
        <v>28</v>
      </c>
      <c r="O822" s="8" t="s">
        <v>184</v>
      </c>
      <c r="P822" s="8" t="s">
        <v>195</v>
      </c>
      <c r="Q822" s="8" t="s">
        <v>196</v>
      </c>
      <c r="R822" s="8" t="s">
        <v>394</v>
      </c>
      <c r="S822" s="8" t="s">
        <v>383</v>
      </c>
      <c r="T822" s="8"/>
      <c r="U822" s="8" t="s">
        <v>384</v>
      </c>
      <c r="V822" s="8"/>
      <c r="W822" s="7" t="s">
        <v>380</v>
      </c>
      <c r="X822" s="8" t="s">
        <v>99</v>
      </c>
      <c r="Y822" s="8" t="s">
        <v>23</v>
      </c>
    </row>
    <row r="823" spans="1:25" hidden="1" x14ac:dyDescent="0.25">
      <c r="A823" s="273" t="s">
        <v>317</v>
      </c>
      <c r="B823" s="251">
        <v>45867</v>
      </c>
      <c r="C823" s="252" t="s">
        <v>598</v>
      </c>
      <c r="D823" s="252"/>
      <c r="E823" s="253">
        <v>4000000</v>
      </c>
      <c r="F823" s="253">
        <v>0</v>
      </c>
      <c r="G823" s="274">
        <f>Tabla3[[#This Row],[INGRESOS]]-Tabla3[[#This Row],[EGRESOS]]</f>
        <v>-4000000</v>
      </c>
      <c r="H823" s="135">
        <v>-3949117.4</v>
      </c>
      <c r="I823" s="135">
        <v>1290</v>
      </c>
      <c r="J823" s="136">
        <f>Tabla3[[#This Row],[EGRESOS]]/Tabla3[[#This Row],[TC]]</f>
        <v>3100.7751937984494</v>
      </c>
      <c r="K823" s="136">
        <f>Tabla3[[#This Row],[INGRESOS]]/Tabla3[[#This Row],[TC]]</f>
        <v>0</v>
      </c>
      <c r="L823" s="8" t="s">
        <v>376</v>
      </c>
      <c r="M823" s="8" t="s">
        <v>377</v>
      </c>
      <c r="N823" s="8" t="s">
        <v>28</v>
      </c>
      <c r="O823" s="8" t="s">
        <v>244</v>
      </c>
      <c r="P823" s="8" t="s">
        <v>259</v>
      </c>
      <c r="Q823" s="8" t="s">
        <v>260</v>
      </c>
      <c r="R823" s="8" t="s">
        <v>378</v>
      </c>
      <c r="S823" s="8"/>
      <c r="T823" s="8"/>
      <c r="U823" s="8" t="s">
        <v>379</v>
      </c>
      <c r="V823" s="8"/>
      <c r="W823" s="7" t="s">
        <v>380</v>
      </c>
      <c r="X823" s="8"/>
      <c r="Y823" s="8"/>
    </row>
    <row r="824" spans="1:25" hidden="1" x14ac:dyDescent="0.25">
      <c r="A824" s="273" t="s">
        <v>317</v>
      </c>
      <c r="B824" s="251">
        <v>45868</v>
      </c>
      <c r="C824" s="252" t="s">
        <v>573</v>
      </c>
      <c r="D824" s="252"/>
      <c r="E824" s="253">
        <v>1500000</v>
      </c>
      <c r="F824" s="253">
        <v>0</v>
      </c>
      <c r="G824" s="274">
        <f>Tabla3[[#This Row],[INGRESOS]]-Tabla3[[#This Row],[EGRESOS]]</f>
        <v>-1500000</v>
      </c>
      <c r="H824" s="135">
        <v>-5449117.4000000004</v>
      </c>
      <c r="I824" s="135">
        <v>1290</v>
      </c>
      <c r="J824" s="136">
        <f>Tabla3[[#This Row],[EGRESOS]]/Tabla3[[#This Row],[TC]]</f>
        <v>1162.7906976744187</v>
      </c>
      <c r="K824" s="136">
        <f>Tabla3[[#This Row],[INGRESOS]]/Tabla3[[#This Row],[TC]]</f>
        <v>0</v>
      </c>
      <c r="L824" s="8" t="s">
        <v>376</v>
      </c>
      <c r="M824" s="8" t="s">
        <v>377</v>
      </c>
      <c r="N824" s="8" t="s">
        <v>28</v>
      </c>
      <c r="O824" s="8" t="s">
        <v>244</v>
      </c>
      <c r="P824" s="8" t="s">
        <v>259</v>
      </c>
      <c r="Q824" s="8" t="s">
        <v>260</v>
      </c>
      <c r="R824" s="8" t="s">
        <v>378</v>
      </c>
      <c r="S824" s="8"/>
      <c r="T824" s="8"/>
      <c r="U824" s="8" t="s">
        <v>379</v>
      </c>
      <c r="V824" s="8"/>
      <c r="W824" s="7" t="s">
        <v>380</v>
      </c>
      <c r="X824" s="8"/>
      <c r="Y824" s="8"/>
    </row>
    <row r="825" spans="1:25" hidden="1" x14ac:dyDescent="0.25">
      <c r="A825" s="273" t="str">
        <f>"AGOSTO"</f>
        <v>AGOSTO</v>
      </c>
      <c r="B825" s="251">
        <v>45870</v>
      </c>
      <c r="C825" s="252" t="s">
        <v>598</v>
      </c>
      <c r="D825" s="252"/>
      <c r="E825" s="253">
        <v>0</v>
      </c>
      <c r="F825" s="253">
        <v>5500000</v>
      </c>
      <c r="G825" s="274">
        <f>Tabla3[[#This Row],[INGRESOS]]-Tabla3[[#This Row],[EGRESOS]]</f>
        <v>5500000</v>
      </c>
      <c r="H825" s="135">
        <v>50882.6</v>
      </c>
      <c r="I825" s="135">
        <v>1290</v>
      </c>
      <c r="J825" s="136">
        <f>Tabla3[[#This Row],[EGRESOS]]/Tabla3[[#This Row],[TC]]</f>
        <v>0</v>
      </c>
      <c r="K825" s="136">
        <f>Tabla3[[#This Row],[INGRESOS]]/Tabla3[[#This Row],[TC]]</f>
        <v>4263.5658914728683</v>
      </c>
      <c r="L825" s="8" t="s">
        <v>376</v>
      </c>
      <c r="M825" s="8" t="s">
        <v>377</v>
      </c>
      <c r="N825" s="8" t="s">
        <v>28</v>
      </c>
      <c r="O825" s="8" t="s">
        <v>244</v>
      </c>
      <c r="P825" s="8" t="s">
        <v>259</v>
      </c>
      <c r="Q825" s="8" t="s">
        <v>260</v>
      </c>
      <c r="R825" s="8" t="s">
        <v>405</v>
      </c>
      <c r="S825" s="8"/>
      <c r="T825" s="8"/>
      <c r="U825" s="8" t="s">
        <v>379</v>
      </c>
      <c r="V825" s="8"/>
      <c r="W825" s="7" t="s">
        <v>380</v>
      </c>
      <c r="X825" s="8"/>
      <c r="Y825" s="8"/>
    </row>
    <row r="826" spans="1:25" hidden="1" x14ac:dyDescent="0.25">
      <c r="A826" s="273" t="s">
        <v>318</v>
      </c>
      <c r="B826" s="251">
        <v>45870</v>
      </c>
      <c r="C826" s="252" t="s">
        <v>565</v>
      </c>
      <c r="D826" s="252"/>
      <c r="E826" s="253">
        <v>48000</v>
      </c>
      <c r="F826" s="253">
        <v>0</v>
      </c>
      <c r="G826" s="274">
        <f>Tabla3[[#This Row],[INGRESOS]]-Tabla3[[#This Row],[EGRESOS]]</f>
        <v>-48000</v>
      </c>
      <c r="H826" s="135">
        <v>2882.6</v>
      </c>
      <c r="I826" s="135">
        <v>1290</v>
      </c>
      <c r="J826" s="136">
        <f>Tabla3[[#This Row],[EGRESOS]]/Tabla3[[#This Row],[TC]]</f>
        <v>37.209302325581397</v>
      </c>
      <c r="K826" s="136">
        <f>Tabla3[[#This Row],[INGRESOS]]/Tabla3[[#This Row],[TC]]</f>
        <v>0</v>
      </c>
      <c r="L826" s="8" t="s">
        <v>376</v>
      </c>
      <c r="M826" s="8" t="s">
        <v>377</v>
      </c>
      <c r="N826" s="8" t="s">
        <v>28</v>
      </c>
      <c r="O826" s="8" t="s">
        <v>184</v>
      </c>
      <c r="P826" s="8" t="s">
        <v>185</v>
      </c>
      <c r="Q826" s="8" t="s">
        <v>186</v>
      </c>
      <c r="R826" s="8" t="s">
        <v>227</v>
      </c>
      <c r="S826" s="8"/>
      <c r="T826" s="8"/>
      <c r="U826" s="8" t="s">
        <v>384</v>
      </c>
      <c r="V826" s="8"/>
      <c r="W826" s="7" t="s">
        <v>380</v>
      </c>
      <c r="X826" s="8" t="s">
        <v>99</v>
      </c>
      <c r="Y826" s="8" t="s">
        <v>23</v>
      </c>
    </row>
    <row r="827" spans="1:25" hidden="1" x14ac:dyDescent="0.25">
      <c r="A827" s="273" t="s">
        <v>318</v>
      </c>
      <c r="B827" s="251">
        <v>45870</v>
      </c>
      <c r="C827" s="252" t="s">
        <v>273</v>
      </c>
      <c r="D827" s="252"/>
      <c r="E827" s="253">
        <v>10080</v>
      </c>
      <c r="F827" s="253">
        <v>0</v>
      </c>
      <c r="G827" s="274">
        <f>Tabla3[[#This Row],[INGRESOS]]-Tabla3[[#This Row],[EGRESOS]]</f>
        <v>-10080</v>
      </c>
      <c r="H827" s="135">
        <v>-7197.4</v>
      </c>
      <c r="I827" s="135">
        <v>1290</v>
      </c>
      <c r="J827" s="136">
        <f>Tabla3[[#This Row],[EGRESOS]]/Tabla3[[#This Row],[TC]]</f>
        <v>7.8139534883720927</v>
      </c>
      <c r="K827" s="136">
        <f>Tabla3[[#This Row],[INGRESOS]]/Tabla3[[#This Row],[TC]]</f>
        <v>0</v>
      </c>
      <c r="L827" s="8" t="s">
        <v>376</v>
      </c>
      <c r="M827" s="8" t="s">
        <v>377</v>
      </c>
      <c r="N827" s="8" t="s">
        <v>28</v>
      </c>
      <c r="O827" s="8" t="s">
        <v>184</v>
      </c>
      <c r="P827" s="8" t="s">
        <v>195</v>
      </c>
      <c r="Q827" s="8" t="s">
        <v>196</v>
      </c>
      <c r="R827" s="8" t="s">
        <v>382</v>
      </c>
      <c r="S827" s="8" t="s">
        <v>383</v>
      </c>
      <c r="T827" s="8"/>
      <c r="U827" s="8" t="s">
        <v>384</v>
      </c>
      <c r="V827" s="8"/>
      <c r="W827" s="7" t="s">
        <v>380</v>
      </c>
      <c r="X827" s="8" t="s">
        <v>99</v>
      </c>
      <c r="Y827" s="8" t="s">
        <v>23</v>
      </c>
    </row>
    <row r="828" spans="1:25" hidden="1" x14ac:dyDescent="0.25">
      <c r="A828" s="273" t="s">
        <v>318</v>
      </c>
      <c r="B828" s="251">
        <v>45870</v>
      </c>
      <c r="C828" s="252" t="s">
        <v>564</v>
      </c>
      <c r="D828" s="252"/>
      <c r="E828" s="253">
        <v>1440</v>
      </c>
      <c r="F828" s="253">
        <v>0</v>
      </c>
      <c r="G828" s="274">
        <f>Tabla3[[#This Row],[INGRESOS]]-Tabla3[[#This Row],[EGRESOS]]</f>
        <v>-1440</v>
      </c>
      <c r="H828" s="135">
        <v>-8637.4</v>
      </c>
      <c r="I828" s="135">
        <v>1290</v>
      </c>
      <c r="J828" s="136">
        <f>Tabla3[[#This Row],[EGRESOS]]/Tabla3[[#This Row],[TC]]</f>
        <v>1.1162790697674418</v>
      </c>
      <c r="K828" s="136">
        <f>Tabla3[[#This Row],[INGRESOS]]/Tabla3[[#This Row],[TC]]</f>
        <v>0</v>
      </c>
      <c r="L828" s="8" t="s">
        <v>376</v>
      </c>
      <c r="M828" s="8" t="s">
        <v>377</v>
      </c>
      <c r="N828" s="8" t="s">
        <v>28</v>
      </c>
      <c r="O828" s="8" t="s">
        <v>184</v>
      </c>
      <c r="P828" s="8" t="s">
        <v>195</v>
      </c>
      <c r="Q828" s="8" t="s">
        <v>196</v>
      </c>
      <c r="R828" s="8" t="s">
        <v>417</v>
      </c>
      <c r="S828" s="8" t="s">
        <v>383</v>
      </c>
      <c r="T828" s="8"/>
      <c r="U828" s="8" t="s">
        <v>384</v>
      </c>
      <c r="V828" s="8"/>
      <c r="W828" s="7" t="s">
        <v>380</v>
      </c>
      <c r="X828" s="8" t="s">
        <v>99</v>
      </c>
      <c r="Y828" s="8" t="s">
        <v>23</v>
      </c>
    </row>
    <row r="829" spans="1:25" hidden="1" x14ac:dyDescent="0.25">
      <c r="A829" s="273" t="s">
        <v>318</v>
      </c>
      <c r="B829" s="251">
        <v>45870</v>
      </c>
      <c r="C829" s="252" t="s">
        <v>694</v>
      </c>
      <c r="D829" s="252"/>
      <c r="E829" s="253">
        <v>2880</v>
      </c>
      <c r="F829" s="253">
        <v>0</v>
      </c>
      <c r="G829" s="274">
        <f>Tabla3[[#This Row],[INGRESOS]]-Tabla3[[#This Row],[EGRESOS]]</f>
        <v>-2880</v>
      </c>
      <c r="H829" s="135">
        <v>-11517.4</v>
      </c>
      <c r="I829" s="135">
        <v>1290</v>
      </c>
      <c r="J829" s="136">
        <f>Tabla3[[#This Row],[EGRESOS]]/Tabla3[[#This Row],[TC]]</f>
        <v>2.2325581395348837</v>
      </c>
      <c r="K829" s="136">
        <f>Tabla3[[#This Row],[INGRESOS]]/Tabla3[[#This Row],[TC]]</f>
        <v>0</v>
      </c>
      <c r="L829" s="8" t="s">
        <v>376</v>
      </c>
      <c r="M829" s="8" t="s">
        <v>377</v>
      </c>
      <c r="N829" s="8" t="s">
        <v>28</v>
      </c>
      <c r="O829" s="8" t="s">
        <v>184</v>
      </c>
      <c r="P829" s="8" t="s">
        <v>195</v>
      </c>
      <c r="Q829" s="8" t="s">
        <v>196</v>
      </c>
      <c r="R829" s="8" t="s">
        <v>609</v>
      </c>
      <c r="S829" s="8" t="s">
        <v>69</v>
      </c>
      <c r="T829" s="8"/>
      <c r="U829" s="8" t="s">
        <v>384</v>
      </c>
      <c r="V829" s="8"/>
      <c r="W829" s="7" t="s">
        <v>380</v>
      </c>
      <c r="X829" s="8" t="s">
        <v>99</v>
      </c>
      <c r="Y829" s="8" t="s">
        <v>23</v>
      </c>
    </row>
    <row r="830" spans="1:25" hidden="1" x14ac:dyDescent="0.25">
      <c r="A830" s="273" t="s">
        <v>318</v>
      </c>
      <c r="B830" s="251">
        <v>45870</v>
      </c>
      <c r="C830" s="252" t="s">
        <v>580</v>
      </c>
      <c r="D830" s="252"/>
      <c r="E830" s="253">
        <v>2400</v>
      </c>
      <c r="F830" s="253">
        <v>0</v>
      </c>
      <c r="G830" s="274">
        <f>Tabla3[[#This Row],[INGRESOS]]-Tabla3[[#This Row],[EGRESOS]]</f>
        <v>-2400</v>
      </c>
      <c r="H830" s="135">
        <v>-13917.4</v>
      </c>
      <c r="I830" s="135">
        <v>1290</v>
      </c>
      <c r="J830" s="136">
        <f>Tabla3[[#This Row],[EGRESOS]]/Tabla3[[#This Row],[TC]]</f>
        <v>1.8604651162790697</v>
      </c>
      <c r="K830" s="136">
        <f>Tabla3[[#This Row],[INGRESOS]]/Tabla3[[#This Row],[TC]]</f>
        <v>0</v>
      </c>
      <c r="L830" s="8" t="s">
        <v>376</v>
      </c>
      <c r="M830" s="8" t="s">
        <v>377</v>
      </c>
      <c r="N830" s="8" t="s">
        <v>28</v>
      </c>
      <c r="O830" s="8" t="s">
        <v>184</v>
      </c>
      <c r="P830" s="8" t="s">
        <v>185</v>
      </c>
      <c r="Q830" s="8" t="s">
        <v>186</v>
      </c>
      <c r="R830" s="8" t="s">
        <v>227</v>
      </c>
      <c r="S830" s="8"/>
      <c r="T830" s="8"/>
      <c r="U830" s="8" t="s">
        <v>384</v>
      </c>
      <c r="V830" s="8"/>
      <c r="W830" s="7" t="s">
        <v>380</v>
      </c>
      <c r="X830" s="8" t="s">
        <v>99</v>
      </c>
      <c r="Y830" s="8" t="s">
        <v>23</v>
      </c>
    </row>
    <row r="831" spans="1:25" hidden="1" x14ac:dyDescent="0.25">
      <c r="A831" s="273" t="s">
        <v>318</v>
      </c>
      <c r="B831" s="251">
        <v>45870</v>
      </c>
      <c r="C831" s="252" t="s">
        <v>273</v>
      </c>
      <c r="D831" s="252"/>
      <c r="E831" s="253">
        <v>504</v>
      </c>
      <c r="F831" s="253">
        <v>0</v>
      </c>
      <c r="G831" s="274">
        <f>Tabla3[[#This Row],[INGRESOS]]-Tabla3[[#This Row],[EGRESOS]]</f>
        <v>-504</v>
      </c>
      <c r="H831" s="135">
        <v>-14421.4</v>
      </c>
      <c r="I831" s="135">
        <v>1290</v>
      </c>
      <c r="J831" s="136">
        <f>Tabla3[[#This Row],[EGRESOS]]/Tabla3[[#This Row],[TC]]</f>
        <v>0.39069767441860465</v>
      </c>
      <c r="K831" s="136">
        <f>Tabla3[[#This Row],[INGRESOS]]/Tabla3[[#This Row],[TC]]</f>
        <v>0</v>
      </c>
      <c r="L831" s="8" t="s">
        <v>376</v>
      </c>
      <c r="M831" s="8" t="s">
        <v>377</v>
      </c>
      <c r="N831" s="8" t="s">
        <v>28</v>
      </c>
      <c r="O831" s="8" t="s">
        <v>184</v>
      </c>
      <c r="P831" s="8" t="s">
        <v>195</v>
      </c>
      <c r="Q831" s="8" t="s">
        <v>196</v>
      </c>
      <c r="R831" s="8" t="s">
        <v>382</v>
      </c>
      <c r="S831" s="8" t="s">
        <v>383</v>
      </c>
      <c r="T831" s="8"/>
      <c r="U831" s="8" t="s">
        <v>384</v>
      </c>
      <c r="V831" s="8"/>
      <c r="W831" s="7" t="s">
        <v>380</v>
      </c>
      <c r="X831" s="8" t="s">
        <v>99</v>
      </c>
      <c r="Y831" s="8" t="s">
        <v>23</v>
      </c>
    </row>
    <row r="832" spans="1:25" hidden="1" x14ac:dyDescent="0.25">
      <c r="A832" s="273" t="s">
        <v>318</v>
      </c>
      <c r="B832" s="251">
        <v>45870</v>
      </c>
      <c r="C832" s="252" t="s">
        <v>564</v>
      </c>
      <c r="D832" s="252"/>
      <c r="E832" s="253">
        <v>72</v>
      </c>
      <c r="F832" s="253">
        <v>0</v>
      </c>
      <c r="G832" s="274">
        <f>Tabla3[[#This Row],[INGRESOS]]-Tabla3[[#This Row],[EGRESOS]]</f>
        <v>-72</v>
      </c>
      <c r="H832" s="135">
        <v>-14493.4</v>
      </c>
      <c r="I832" s="135">
        <v>1290</v>
      </c>
      <c r="J832" s="136">
        <f>Tabla3[[#This Row],[EGRESOS]]/Tabla3[[#This Row],[TC]]</f>
        <v>5.5813953488372092E-2</v>
      </c>
      <c r="K832" s="136">
        <f>Tabla3[[#This Row],[INGRESOS]]/Tabla3[[#This Row],[TC]]</f>
        <v>0</v>
      </c>
      <c r="L832" s="8" t="s">
        <v>376</v>
      </c>
      <c r="M832" s="8" t="s">
        <v>377</v>
      </c>
      <c r="N832" s="8" t="s">
        <v>28</v>
      </c>
      <c r="O832" s="8" t="s">
        <v>184</v>
      </c>
      <c r="P832" s="8" t="s">
        <v>195</v>
      </c>
      <c r="Q832" s="8" t="s">
        <v>196</v>
      </c>
      <c r="R832" s="8" t="s">
        <v>417</v>
      </c>
      <c r="S832" s="8" t="s">
        <v>383</v>
      </c>
      <c r="T832" s="8"/>
      <c r="U832" s="8" t="s">
        <v>384</v>
      </c>
      <c r="V832" s="8"/>
      <c r="W832" s="7" t="s">
        <v>380</v>
      </c>
      <c r="X832" s="8" t="s">
        <v>99</v>
      </c>
      <c r="Y832" s="8" t="s">
        <v>23</v>
      </c>
    </row>
    <row r="833" spans="1:25" hidden="1" x14ac:dyDescent="0.25">
      <c r="A833" s="247" t="s">
        <v>318</v>
      </c>
      <c r="B833" s="248">
        <v>45870</v>
      </c>
      <c r="C833" s="244" t="s">
        <v>566</v>
      </c>
      <c r="D833" s="244"/>
      <c r="E833" s="249">
        <v>392.26</v>
      </c>
      <c r="F833" s="249">
        <v>0</v>
      </c>
      <c r="G833" s="266">
        <f>Tabla3[[#This Row],[INGRESOS]]-Tabla3[[#This Row],[EGRESOS]]</f>
        <v>-392.26</v>
      </c>
      <c r="H833" s="119">
        <v>-14885.66</v>
      </c>
      <c r="I833" s="119">
        <v>1290</v>
      </c>
      <c r="J833" s="99">
        <f>Tabla3[[#This Row],[EGRESOS]]/Tabla3[[#This Row],[TC]]</f>
        <v>0.30407751937984495</v>
      </c>
      <c r="K833" s="99">
        <f>Tabla3[[#This Row],[INGRESOS]]/Tabla3[[#This Row],[TC]]</f>
        <v>0</v>
      </c>
      <c r="L833" s="7" t="s">
        <v>376</v>
      </c>
      <c r="M833" s="7" t="s">
        <v>377</v>
      </c>
      <c r="N833" s="7" t="s">
        <v>28</v>
      </c>
      <c r="O833" s="7" t="s">
        <v>184</v>
      </c>
      <c r="P833" s="7" t="s">
        <v>195</v>
      </c>
      <c r="Q833" s="7" t="s">
        <v>196</v>
      </c>
      <c r="R833" s="7" t="s">
        <v>394</v>
      </c>
      <c r="S833" s="7" t="s">
        <v>383</v>
      </c>
      <c r="T833" s="7"/>
      <c r="U833" s="7" t="s">
        <v>384</v>
      </c>
      <c r="V833" s="7"/>
      <c r="W833" s="7" t="s">
        <v>380</v>
      </c>
      <c r="X833" s="7" t="s">
        <v>99</v>
      </c>
      <c r="Y833" s="7" t="s">
        <v>23</v>
      </c>
    </row>
    <row r="834" spans="1:25" hidden="1" x14ac:dyDescent="0.25">
      <c r="A834" s="387" t="s">
        <v>318</v>
      </c>
      <c r="B834" s="388">
        <v>45870</v>
      </c>
      <c r="C834" s="389" t="s">
        <v>567</v>
      </c>
      <c r="D834" s="389"/>
      <c r="E834" s="390">
        <v>39489.46</v>
      </c>
      <c r="F834" s="390">
        <v>0</v>
      </c>
      <c r="G834" s="336">
        <f>Tabla3[[#This Row],[INGRESOS]]-Tabla3[[#This Row],[EGRESOS]]</f>
        <v>-39489.46</v>
      </c>
      <c r="H834" s="391">
        <v>-54375.12</v>
      </c>
      <c r="I834" s="391">
        <v>1290</v>
      </c>
      <c r="J834" s="392">
        <f>Tabla3[[#This Row],[EGRESOS]]/Tabla3[[#This Row],[TC]]</f>
        <v>30.61198449612403</v>
      </c>
      <c r="K834" s="392">
        <f>Tabla3[[#This Row],[INGRESOS]]/Tabla3[[#This Row],[TC]]</f>
        <v>0</v>
      </c>
      <c r="L834" s="393" t="s">
        <v>376</v>
      </c>
      <c r="M834" s="393" t="s">
        <v>377</v>
      </c>
      <c r="N834" s="393" t="s">
        <v>28</v>
      </c>
      <c r="O834" s="393" t="s">
        <v>184</v>
      </c>
      <c r="P834" s="393" t="s">
        <v>197</v>
      </c>
      <c r="Q834" s="393" t="s">
        <v>198</v>
      </c>
      <c r="R834" s="393" t="s">
        <v>419</v>
      </c>
      <c r="S834" s="393"/>
      <c r="T834" s="393"/>
      <c r="U834" s="393" t="s">
        <v>384</v>
      </c>
      <c r="V834" s="393"/>
      <c r="W834" s="7" t="s">
        <v>380</v>
      </c>
      <c r="X834" s="393" t="s">
        <v>99</v>
      </c>
      <c r="Y834" s="393" t="s">
        <v>23</v>
      </c>
    </row>
    <row r="835" spans="1:25" hidden="1" x14ac:dyDescent="0.25">
      <c r="A835" s="247" t="s">
        <v>318</v>
      </c>
      <c r="B835" s="248">
        <v>45870</v>
      </c>
      <c r="C835" s="244" t="s">
        <v>463</v>
      </c>
      <c r="D835" s="244"/>
      <c r="E835" s="249">
        <v>760.9</v>
      </c>
      <c r="F835" s="249">
        <v>0</v>
      </c>
      <c r="G835" s="266">
        <f>Tabla3[[#This Row],[INGRESOS]]-Tabla3[[#This Row],[EGRESOS]]</f>
        <v>-760.9</v>
      </c>
      <c r="H835" s="119">
        <v>-55136.02</v>
      </c>
      <c r="I835" s="119">
        <v>1290</v>
      </c>
      <c r="J835" s="99">
        <f>Tabla3[[#This Row],[EGRESOS]]/Tabla3[[#This Row],[TC]]</f>
        <v>0.58984496124031005</v>
      </c>
      <c r="K835" s="99">
        <f>Tabla3[[#This Row],[INGRESOS]]/Tabla3[[#This Row],[TC]]</f>
        <v>0</v>
      </c>
      <c r="L835" s="7" t="s">
        <v>376</v>
      </c>
      <c r="M835" s="7" t="s">
        <v>377</v>
      </c>
      <c r="N835" s="7" t="s">
        <v>28</v>
      </c>
      <c r="O835" s="7" t="s">
        <v>184</v>
      </c>
      <c r="P835" s="7" t="s">
        <v>195</v>
      </c>
      <c r="Q835" s="7" t="s">
        <v>196</v>
      </c>
      <c r="R835" s="7" t="s">
        <v>423</v>
      </c>
      <c r="S835" s="7" t="s">
        <v>69</v>
      </c>
      <c r="T835" s="7"/>
      <c r="U835" s="7" t="s">
        <v>384</v>
      </c>
      <c r="V835" s="7"/>
      <c r="W835" s="7" t="s">
        <v>380</v>
      </c>
      <c r="X835" s="7" t="s">
        <v>99</v>
      </c>
      <c r="Y835" s="7" t="s">
        <v>23</v>
      </c>
    </row>
    <row r="836" spans="1:25" hidden="1" x14ac:dyDescent="0.25">
      <c r="A836" s="247" t="s">
        <v>318</v>
      </c>
      <c r="B836" s="248">
        <v>45870</v>
      </c>
      <c r="C836" s="244" t="s">
        <v>273</v>
      </c>
      <c r="D836" s="244"/>
      <c r="E836" s="249">
        <v>4146.3900000000003</v>
      </c>
      <c r="F836" s="249">
        <v>0</v>
      </c>
      <c r="G836" s="266">
        <f>Tabla3[[#This Row],[INGRESOS]]-Tabla3[[#This Row],[EGRESOS]]</f>
        <v>-4146.3900000000003</v>
      </c>
      <c r="H836" s="119">
        <v>-59282.41</v>
      </c>
      <c r="I836" s="119">
        <v>1290</v>
      </c>
      <c r="J836" s="99">
        <f>Tabla3[[#This Row],[EGRESOS]]/Tabla3[[#This Row],[TC]]</f>
        <v>3.2142558139534887</v>
      </c>
      <c r="K836" s="99">
        <f>Tabla3[[#This Row],[INGRESOS]]/Tabla3[[#This Row],[TC]]</f>
        <v>0</v>
      </c>
      <c r="L836" s="7" t="s">
        <v>376</v>
      </c>
      <c r="M836" s="7" t="s">
        <v>377</v>
      </c>
      <c r="N836" s="7" t="s">
        <v>28</v>
      </c>
      <c r="O836" s="7" t="s">
        <v>184</v>
      </c>
      <c r="P836" s="7" t="s">
        <v>195</v>
      </c>
      <c r="Q836" s="7" t="s">
        <v>196</v>
      </c>
      <c r="R836" s="7" t="s">
        <v>382</v>
      </c>
      <c r="S836" s="7" t="s">
        <v>383</v>
      </c>
      <c r="T836" s="7"/>
      <c r="U836" s="7" t="s">
        <v>384</v>
      </c>
      <c r="V836" s="7"/>
      <c r="W836" s="7" t="s">
        <v>380</v>
      </c>
      <c r="X836" s="7" t="s">
        <v>99</v>
      </c>
      <c r="Y836" s="7" t="s">
        <v>23</v>
      </c>
    </row>
    <row r="837" spans="1:25" hidden="1" x14ac:dyDescent="0.25">
      <c r="A837" s="247" t="s">
        <v>318</v>
      </c>
      <c r="B837" s="248">
        <v>45870</v>
      </c>
      <c r="C837" s="244" t="s">
        <v>564</v>
      </c>
      <c r="D837" s="244"/>
      <c r="E837" s="249">
        <v>592.34</v>
      </c>
      <c r="F837" s="249">
        <v>0</v>
      </c>
      <c r="G837" s="266">
        <f>Tabla3[[#This Row],[INGRESOS]]-Tabla3[[#This Row],[EGRESOS]]</f>
        <v>-592.34</v>
      </c>
      <c r="H837" s="119">
        <v>-59874.75</v>
      </c>
      <c r="I837" s="119">
        <v>1290</v>
      </c>
      <c r="J837" s="99">
        <f>Tabla3[[#This Row],[EGRESOS]]/Tabla3[[#This Row],[TC]]</f>
        <v>0.45917829457364345</v>
      </c>
      <c r="K837" s="99">
        <f>Tabla3[[#This Row],[INGRESOS]]/Tabla3[[#This Row],[TC]]</f>
        <v>0</v>
      </c>
      <c r="L837" s="7" t="s">
        <v>376</v>
      </c>
      <c r="M837" s="7" t="s">
        <v>377</v>
      </c>
      <c r="N837" s="7" t="s">
        <v>28</v>
      </c>
      <c r="O837" s="7" t="s">
        <v>184</v>
      </c>
      <c r="P837" s="7" t="s">
        <v>195</v>
      </c>
      <c r="Q837" s="7" t="s">
        <v>196</v>
      </c>
      <c r="R837" s="7" t="s">
        <v>417</v>
      </c>
      <c r="S837" s="7" t="s">
        <v>383</v>
      </c>
      <c r="T837" s="7"/>
      <c r="U837" s="7" t="s">
        <v>384</v>
      </c>
      <c r="V837" s="7"/>
      <c r="W837" s="7" t="s">
        <v>380</v>
      </c>
      <c r="X837" s="7" t="s">
        <v>99</v>
      </c>
      <c r="Y837" s="7" t="s">
        <v>23</v>
      </c>
    </row>
    <row r="838" spans="1:25" hidden="1" x14ac:dyDescent="0.25">
      <c r="A838" s="247" t="s">
        <v>318</v>
      </c>
      <c r="B838" s="248">
        <v>45870</v>
      </c>
      <c r="C838" s="244" t="s">
        <v>694</v>
      </c>
      <c r="D838" s="244"/>
      <c r="E838" s="249">
        <v>2369.37</v>
      </c>
      <c r="F838" s="249">
        <v>0</v>
      </c>
      <c r="G838" s="266">
        <f>Tabla3[[#This Row],[INGRESOS]]-Tabla3[[#This Row],[EGRESOS]]</f>
        <v>-2369.37</v>
      </c>
      <c r="H838" s="119">
        <v>-62244.12</v>
      </c>
      <c r="I838" s="119">
        <v>1290</v>
      </c>
      <c r="J838" s="99">
        <f>Tabla3[[#This Row],[EGRESOS]]/Tabla3[[#This Row],[TC]]</f>
        <v>1.836720930232558</v>
      </c>
      <c r="K838" s="99">
        <f>Tabla3[[#This Row],[INGRESOS]]/Tabla3[[#This Row],[TC]]</f>
        <v>0</v>
      </c>
      <c r="L838" s="7" t="s">
        <v>376</v>
      </c>
      <c r="M838" s="7" t="s">
        <v>377</v>
      </c>
      <c r="N838" s="7" t="s">
        <v>28</v>
      </c>
      <c r="O838" s="7" t="s">
        <v>184</v>
      </c>
      <c r="P838" s="7" t="s">
        <v>195</v>
      </c>
      <c r="Q838" s="7" t="s">
        <v>196</v>
      </c>
      <c r="R838" s="7" t="s">
        <v>609</v>
      </c>
      <c r="S838" s="7" t="s">
        <v>69</v>
      </c>
      <c r="T838" s="7"/>
      <c r="U838" s="7" t="s">
        <v>384</v>
      </c>
      <c r="V838" s="7"/>
      <c r="W838" s="7" t="s">
        <v>380</v>
      </c>
      <c r="X838" s="7" t="s">
        <v>99</v>
      </c>
      <c r="Y838" s="7" t="s">
        <v>23</v>
      </c>
    </row>
    <row r="839" spans="1:25" hidden="1" x14ac:dyDescent="0.25">
      <c r="A839" s="247" t="s">
        <v>318</v>
      </c>
      <c r="B839" s="248">
        <v>45870</v>
      </c>
      <c r="C839" s="244" t="s">
        <v>566</v>
      </c>
      <c r="D839" s="244"/>
      <c r="E839" s="249">
        <v>284.14999999999998</v>
      </c>
      <c r="F839" s="249">
        <v>0</v>
      </c>
      <c r="G839" s="266">
        <f>Tabla3[[#This Row],[INGRESOS]]-Tabla3[[#This Row],[EGRESOS]]</f>
        <v>-284.14999999999998</v>
      </c>
      <c r="H839" s="119">
        <v>-62528.27</v>
      </c>
      <c r="I839" s="119">
        <v>1290</v>
      </c>
      <c r="J839" s="99">
        <f>Tabla3[[#This Row],[EGRESOS]]/Tabla3[[#This Row],[TC]]</f>
        <v>0.22027131782945736</v>
      </c>
      <c r="K839" s="99">
        <f>Tabla3[[#This Row],[INGRESOS]]/Tabla3[[#This Row],[TC]]</f>
        <v>0</v>
      </c>
      <c r="L839" s="7" t="s">
        <v>376</v>
      </c>
      <c r="M839" s="7" t="s">
        <v>377</v>
      </c>
      <c r="N839" s="7" t="s">
        <v>28</v>
      </c>
      <c r="O839" s="7" t="s">
        <v>184</v>
      </c>
      <c r="P839" s="7" t="s">
        <v>195</v>
      </c>
      <c r="Q839" s="7" t="s">
        <v>196</v>
      </c>
      <c r="R839" s="7" t="s">
        <v>394</v>
      </c>
      <c r="S839" s="7" t="s">
        <v>383</v>
      </c>
      <c r="T839" s="7"/>
      <c r="U839" s="7" t="s">
        <v>384</v>
      </c>
      <c r="V839" s="7"/>
      <c r="W839" s="7" t="s">
        <v>380</v>
      </c>
      <c r="X839" s="7" t="s">
        <v>99</v>
      </c>
      <c r="Y839" s="7" t="s">
        <v>23</v>
      </c>
    </row>
    <row r="840" spans="1:25" hidden="1" x14ac:dyDescent="0.25">
      <c r="A840" s="273" t="s">
        <v>318</v>
      </c>
      <c r="B840" s="251">
        <v>45875</v>
      </c>
      <c r="C840" s="252" t="s">
        <v>598</v>
      </c>
      <c r="D840" s="252"/>
      <c r="E840" s="253">
        <v>0</v>
      </c>
      <c r="F840" s="253">
        <v>100000</v>
      </c>
      <c r="G840" s="274">
        <f>Tabla3[[#This Row],[INGRESOS]]-Tabla3[[#This Row],[EGRESOS]]</f>
        <v>100000</v>
      </c>
      <c r="H840" s="135">
        <v>37471.730000000003</v>
      </c>
      <c r="I840" s="135">
        <v>1290</v>
      </c>
      <c r="J840" s="136">
        <f>Tabla3[[#This Row],[EGRESOS]]/Tabla3[[#This Row],[TC]]</f>
        <v>0</v>
      </c>
      <c r="K840" s="136">
        <f>Tabla3[[#This Row],[INGRESOS]]/Tabla3[[#This Row],[TC]]</f>
        <v>77.519379844961236</v>
      </c>
      <c r="L840" s="8" t="s">
        <v>376</v>
      </c>
      <c r="M840" s="8" t="s">
        <v>377</v>
      </c>
      <c r="N840" s="8" t="s">
        <v>28</v>
      </c>
      <c r="O840" s="8" t="s">
        <v>244</v>
      </c>
      <c r="P840" s="8" t="s">
        <v>259</v>
      </c>
      <c r="Q840" s="8" t="s">
        <v>260</v>
      </c>
      <c r="R840" s="8" t="s">
        <v>405</v>
      </c>
      <c r="S840" s="8"/>
      <c r="T840" s="8"/>
      <c r="U840" s="8" t="s">
        <v>379</v>
      </c>
      <c r="V840" s="8"/>
      <c r="W840" s="7" t="s">
        <v>380</v>
      </c>
      <c r="X840" s="8"/>
      <c r="Y840" s="8"/>
    </row>
    <row r="841" spans="1:25" hidden="1" x14ac:dyDescent="0.25">
      <c r="A841" s="273" t="s">
        <v>318</v>
      </c>
      <c r="B841" s="251">
        <v>45883</v>
      </c>
      <c r="C841" s="252" t="s">
        <v>695</v>
      </c>
      <c r="D841" s="252"/>
      <c r="E841" s="253">
        <v>35000</v>
      </c>
      <c r="F841" s="253">
        <v>0</v>
      </c>
      <c r="G841" s="274">
        <f>Tabla3[[#This Row],[INGRESOS]]-Tabla3[[#This Row],[EGRESOS]]</f>
        <v>-35000</v>
      </c>
      <c r="H841" s="135">
        <v>2471.73</v>
      </c>
      <c r="I841" s="135">
        <v>1290</v>
      </c>
      <c r="J841" s="136">
        <f>Tabla3[[#This Row],[EGRESOS]]/Tabla3[[#This Row],[TC]]</f>
        <v>27.131782945736433</v>
      </c>
      <c r="K841" s="136">
        <f>Tabla3[[#This Row],[INGRESOS]]/Tabla3[[#This Row],[TC]]</f>
        <v>0</v>
      </c>
      <c r="L841" s="8" t="s">
        <v>376</v>
      </c>
      <c r="M841" s="8" t="s">
        <v>377</v>
      </c>
      <c r="N841" s="8" t="s">
        <v>28</v>
      </c>
      <c r="O841" s="8" t="s">
        <v>184</v>
      </c>
      <c r="P841" s="8" t="s">
        <v>185</v>
      </c>
      <c r="Q841" s="8" t="s">
        <v>186</v>
      </c>
      <c r="R841" s="8" t="s">
        <v>227</v>
      </c>
      <c r="S841" s="8"/>
      <c r="T841" s="8"/>
      <c r="U841" s="8" t="s">
        <v>384</v>
      </c>
      <c r="V841" s="8"/>
      <c r="W841" s="7" t="s">
        <v>380</v>
      </c>
      <c r="X841" s="8" t="s">
        <v>99</v>
      </c>
      <c r="Y841" s="8" t="s">
        <v>23</v>
      </c>
    </row>
    <row r="842" spans="1:25" hidden="1" x14ac:dyDescent="0.25">
      <c r="A842" s="273" t="s">
        <v>318</v>
      </c>
      <c r="B842" s="251">
        <v>45883</v>
      </c>
      <c r="C842" s="252" t="s">
        <v>273</v>
      </c>
      <c r="D842" s="252"/>
      <c r="E842" s="253">
        <v>7350</v>
      </c>
      <c r="F842" s="253">
        <v>0</v>
      </c>
      <c r="G842" s="274">
        <f>Tabla3[[#This Row],[INGRESOS]]-Tabla3[[#This Row],[EGRESOS]]</f>
        <v>-7350</v>
      </c>
      <c r="H842" s="135">
        <v>-4878.2700000000004</v>
      </c>
      <c r="I842" s="135">
        <v>1290</v>
      </c>
      <c r="J842" s="136">
        <f>Tabla3[[#This Row],[EGRESOS]]/Tabla3[[#This Row],[TC]]</f>
        <v>5.6976744186046515</v>
      </c>
      <c r="K842" s="136">
        <f>Tabla3[[#This Row],[INGRESOS]]/Tabla3[[#This Row],[TC]]</f>
        <v>0</v>
      </c>
      <c r="L842" s="8" t="s">
        <v>376</v>
      </c>
      <c r="M842" s="8" t="s">
        <v>377</v>
      </c>
      <c r="N842" s="8" t="s">
        <v>28</v>
      </c>
      <c r="O842" s="8" t="s">
        <v>184</v>
      </c>
      <c r="P842" s="8" t="s">
        <v>195</v>
      </c>
      <c r="Q842" s="8" t="s">
        <v>196</v>
      </c>
      <c r="R842" s="8" t="s">
        <v>382</v>
      </c>
      <c r="S842" s="8" t="s">
        <v>383</v>
      </c>
      <c r="T842" s="8"/>
      <c r="U842" s="8" t="s">
        <v>384</v>
      </c>
      <c r="V842" s="8"/>
      <c r="W842" s="7" t="s">
        <v>380</v>
      </c>
      <c r="X842" s="8" t="s">
        <v>99</v>
      </c>
      <c r="Y842" s="8" t="s">
        <v>23</v>
      </c>
    </row>
    <row r="843" spans="1:25" hidden="1" x14ac:dyDescent="0.25">
      <c r="A843" s="273" t="s">
        <v>318</v>
      </c>
      <c r="B843" s="251">
        <v>45883</v>
      </c>
      <c r="C843" s="252" t="s">
        <v>564</v>
      </c>
      <c r="D843" s="252"/>
      <c r="E843" s="253">
        <v>1050</v>
      </c>
      <c r="F843" s="253">
        <v>0</v>
      </c>
      <c r="G843" s="274">
        <f>Tabla3[[#This Row],[INGRESOS]]-Tabla3[[#This Row],[EGRESOS]]</f>
        <v>-1050</v>
      </c>
      <c r="H843" s="135">
        <v>-5928.27</v>
      </c>
      <c r="I843" s="135">
        <v>1290</v>
      </c>
      <c r="J843" s="136">
        <f>Tabla3[[#This Row],[EGRESOS]]/Tabla3[[#This Row],[TC]]</f>
        <v>0.81395348837209303</v>
      </c>
      <c r="K843" s="136">
        <f>Tabla3[[#This Row],[INGRESOS]]/Tabla3[[#This Row],[TC]]</f>
        <v>0</v>
      </c>
      <c r="L843" s="8" t="s">
        <v>376</v>
      </c>
      <c r="M843" s="8" t="s">
        <v>377</v>
      </c>
      <c r="N843" s="8" t="s">
        <v>28</v>
      </c>
      <c r="O843" s="8" t="s">
        <v>184</v>
      </c>
      <c r="P843" s="8" t="s">
        <v>195</v>
      </c>
      <c r="Q843" s="8" t="s">
        <v>196</v>
      </c>
      <c r="R843" s="8" t="s">
        <v>417</v>
      </c>
      <c r="S843" s="8" t="s">
        <v>383</v>
      </c>
      <c r="T843" s="8"/>
      <c r="U843" s="8" t="s">
        <v>384</v>
      </c>
      <c r="V843" s="8"/>
      <c r="W843" s="7" t="s">
        <v>380</v>
      </c>
      <c r="X843" s="8" t="s">
        <v>99</v>
      </c>
      <c r="Y843" s="8" t="s">
        <v>23</v>
      </c>
    </row>
    <row r="844" spans="1:25" hidden="1" x14ac:dyDescent="0.25">
      <c r="A844" s="273" t="s">
        <v>318</v>
      </c>
      <c r="B844" s="251">
        <v>45883</v>
      </c>
      <c r="C844" s="252" t="s">
        <v>694</v>
      </c>
      <c r="D844" s="252"/>
      <c r="E844" s="253">
        <v>2100</v>
      </c>
      <c r="F844" s="253">
        <v>0</v>
      </c>
      <c r="G844" s="274">
        <f>Tabla3[[#This Row],[INGRESOS]]-Tabla3[[#This Row],[EGRESOS]]</f>
        <v>-2100</v>
      </c>
      <c r="H844" s="135">
        <v>-8028.27</v>
      </c>
      <c r="I844" s="135">
        <v>1290</v>
      </c>
      <c r="J844" s="136">
        <f>Tabla3[[#This Row],[EGRESOS]]/Tabla3[[#This Row],[TC]]</f>
        <v>1.6279069767441861</v>
      </c>
      <c r="K844" s="136">
        <f>Tabla3[[#This Row],[INGRESOS]]/Tabla3[[#This Row],[TC]]</f>
        <v>0</v>
      </c>
      <c r="L844" s="8" t="s">
        <v>376</v>
      </c>
      <c r="M844" s="8" t="s">
        <v>377</v>
      </c>
      <c r="N844" s="8" t="s">
        <v>28</v>
      </c>
      <c r="O844" s="8" t="s">
        <v>184</v>
      </c>
      <c r="P844" s="8" t="s">
        <v>195</v>
      </c>
      <c r="Q844" s="8" t="s">
        <v>196</v>
      </c>
      <c r="R844" s="8" t="s">
        <v>609</v>
      </c>
      <c r="S844" s="8" t="s">
        <v>69</v>
      </c>
      <c r="T844" s="8"/>
      <c r="U844" s="8" t="s">
        <v>384</v>
      </c>
      <c r="V844" s="8"/>
      <c r="W844" s="7" t="s">
        <v>380</v>
      </c>
      <c r="X844" s="8" t="s">
        <v>99</v>
      </c>
      <c r="Y844" s="8" t="s">
        <v>23</v>
      </c>
    </row>
    <row r="845" spans="1:25" hidden="1" x14ac:dyDescent="0.25">
      <c r="A845" s="273" t="s">
        <v>318</v>
      </c>
      <c r="B845" s="251">
        <v>45887</v>
      </c>
      <c r="C845" s="252" t="s">
        <v>678</v>
      </c>
      <c r="D845" s="252" t="s">
        <v>696</v>
      </c>
      <c r="E845" s="253">
        <v>600000</v>
      </c>
      <c r="F845" s="253">
        <v>0</v>
      </c>
      <c r="G845" s="274">
        <f>Tabla3[[#This Row],[INGRESOS]]-Tabla3[[#This Row],[EGRESOS]]</f>
        <v>-600000</v>
      </c>
      <c r="H845" s="135">
        <v>-608301.27</v>
      </c>
      <c r="I845" s="135">
        <v>1290</v>
      </c>
      <c r="J845" s="136">
        <f>Tabla3[[#This Row],[EGRESOS]]/Tabla3[[#This Row],[TC]]</f>
        <v>465.11627906976742</v>
      </c>
      <c r="K845" s="136">
        <f>Tabla3[[#This Row],[INGRESOS]]/Tabla3[[#This Row],[TC]]</f>
        <v>0</v>
      </c>
      <c r="L845" s="8" t="s">
        <v>376</v>
      </c>
      <c r="M845" s="8" t="s">
        <v>377</v>
      </c>
      <c r="N845" s="8" t="s">
        <v>28</v>
      </c>
      <c r="O845" s="8" t="s">
        <v>286</v>
      </c>
      <c r="P845" s="8" t="s">
        <v>287</v>
      </c>
      <c r="Q845" s="8" t="s">
        <v>288</v>
      </c>
      <c r="R845" s="8" t="s">
        <v>143</v>
      </c>
      <c r="S845" s="8" t="s">
        <v>637</v>
      </c>
      <c r="T845" s="8" t="s">
        <v>697</v>
      </c>
      <c r="U845" s="8" t="s">
        <v>412</v>
      </c>
      <c r="V845" s="8"/>
      <c r="W845" s="7" t="s">
        <v>380</v>
      </c>
      <c r="X845" s="8" t="s">
        <v>29</v>
      </c>
      <c r="Y845" s="8" t="s">
        <v>23</v>
      </c>
    </row>
    <row r="846" spans="1:25" hidden="1" x14ac:dyDescent="0.25">
      <c r="A846" s="273" t="s">
        <v>318</v>
      </c>
      <c r="B846" s="251">
        <v>45887</v>
      </c>
      <c r="C846" s="252" t="s">
        <v>566</v>
      </c>
      <c r="D846" s="252"/>
      <c r="E846" s="253">
        <v>3600</v>
      </c>
      <c r="F846" s="253">
        <v>0</v>
      </c>
      <c r="G846" s="274">
        <f>Tabla3[[#This Row],[INGRESOS]]-Tabla3[[#This Row],[EGRESOS]]</f>
        <v>-3600</v>
      </c>
      <c r="H846" s="135">
        <v>-611901.27</v>
      </c>
      <c r="I846" s="135">
        <v>1350</v>
      </c>
      <c r="J846" s="136">
        <f>Tabla3[[#This Row],[EGRESOS]]/Tabla3[[#This Row],[TC]]</f>
        <v>2.6666666666666665</v>
      </c>
      <c r="K846" s="136">
        <f>Tabla3[[#This Row],[INGRESOS]]/Tabla3[[#This Row],[TC]]</f>
        <v>0</v>
      </c>
      <c r="L846" s="8" t="s">
        <v>376</v>
      </c>
      <c r="M846" s="8" t="s">
        <v>377</v>
      </c>
      <c r="N846" s="8" t="s">
        <v>28</v>
      </c>
      <c r="O846" s="8" t="s">
        <v>184</v>
      </c>
      <c r="P846" s="8" t="s">
        <v>195</v>
      </c>
      <c r="Q846" s="8" t="s">
        <v>196</v>
      </c>
      <c r="R846" s="8" t="s">
        <v>394</v>
      </c>
      <c r="S846" s="8" t="s">
        <v>383</v>
      </c>
      <c r="T846" s="8"/>
      <c r="U846" s="8" t="s">
        <v>384</v>
      </c>
      <c r="V846" s="8"/>
      <c r="W846" s="7" t="s">
        <v>380</v>
      </c>
      <c r="X846" s="8" t="s">
        <v>99</v>
      </c>
      <c r="Y846" s="8" t="s">
        <v>23</v>
      </c>
    </row>
    <row r="847" spans="1:25" hidden="1" x14ac:dyDescent="0.25">
      <c r="A847" s="273" t="s">
        <v>318</v>
      </c>
      <c r="B847" s="251">
        <v>45888</v>
      </c>
      <c r="C847" s="252" t="s">
        <v>577</v>
      </c>
      <c r="D847" s="252" t="s">
        <v>698</v>
      </c>
      <c r="E847" s="253">
        <v>563624</v>
      </c>
      <c r="F847" s="253">
        <v>0</v>
      </c>
      <c r="G847" s="274">
        <f>Tabla3[[#This Row],[INGRESOS]]-Tabla3[[#This Row],[EGRESOS]]</f>
        <v>-563624</v>
      </c>
      <c r="H847" s="135">
        <v>-1175525.27</v>
      </c>
      <c r="I847" s="135">
        <v>1350</v>
      </c>
      <c r="J847" s="136">
        <f>Tabla3[[#This Row],[EGRESOS]]/Tabla3[[#This Row],[TC]]</f>
        <v>417.49925925925925</v>
      </c>
      <c r="K847" s="136">
        <f>Tabla3[[#This Row],[INGRESOS]]/Tabla3[[#This Row],[TC]]</f>
        <v>0</v>
      </c>
      <c r="L847" s="8" t="s">
        <v>376</v>
      </c>
      <c r="M847" s="8" t="s">
        <v>377</v>
      </c>
      <c r="N847" s="8" t="s">
        <v>28</v>
      </c>
      <c r="O847" s="8" t="s">
        <v>286</v>
      </c>
      <c r="P847" s="8" t="s">
        <v>287</v>
      </c>
      <c r="Q847" s="8" t="s">
        <v>291</v>
      </c>
      <c r="R847" s="8" t="s">
        <v>143</v>
      </c>
      <c r="S847" s="8" t="s">
        <v>676</v>
      </c>
      <c r="T847" s="8" t="s">
        <v>699</v>
      </c>
      <c r="U847" s="8" t="s">
        <v>412</v>
      </c>
      <c r="V847" s="8"/>
      <c r="W847" s="7" t="s">
        <v>380</v>
      </c>
      <c r="X847" s="8" t="s">
        <v>29</v>
      </c>
      <c r="Y847" s="8" t="s">
        <v>23</v>
      </c>
    </row>
    <row r="848" spans="1:25" hidden="1" x14ac:dyDescent="0.25">
      <c r="A848" s="273" t="s">
        <v>318</v>
      </c>
      <c r="B848" s="251">
        <v>45888</v>
      </c>
      <c r="C848" s="252" t="s">
        <v>629</v>
      </c>
      <c r="D848" s="252" t="s">
        <v>700</v>
      </c>
      <c r="E848" s="253">
        <v>1000000</v>
      </c>
      <c r="F848" s="253">
        <v>0</v>
      </c>
      <c r="G848" s="274">
        <f>Tabla3[[#This Row],[INGRESOS]]-Tabla3[[#This Row],[EGRESOS]]</f>
        <v>-1000000</v>
      </c>
      <c r="H848" s="135">
        <v>-2175525.27</v>
      </c>
      <c r="I848" s="135">
        <v>1350</v>
      </c>
      <c r="J848" s="136">
        <f>Tabla3[[#This Row],[EGRESOS]]/Tabla3[[#This Row],[TC]]</f>
        <v>740.74074074074076</v>
      </c>
      <c r="K848" s="136">
        <f>Tabla3[[#This Row],[INGRESOS]]/Tabla3[[#This Row],[TC]]</f>
        <v>0</v>
      </c>
      <c r="L848" s="8" t="s">
        <v>376</v>
      </c>
      <c r="M848" s="8" t="s">
        <v>377</v>
      </c>
      <c r="N848" s="8" t="s">
        <v>28</v>
      </c>
      <c r="O848" s="8" t="s">
        <v>286</v>
      </c>
      <c r="P848" s="8" t="s">
        <v>287</v>
      </c>
      <c r="Q848" s="8" t="s">
        <v>291</v>
      </c>
      <c r="R848" s="8" t="s">
        <v>143</v>
      </c>
      <c r="S848" s="8" t="s">
        <v>676</v>
      </c>
      <c r="T848" s="8" t="s">
        <v>699</v>
      </c>
      <c r="U848" s="8" t="s">
        <v>412</v>
      </c>
      <c r="V848" s="8"/>
      <c r="W848" s="7" t="s">
        <v>380</v>
      </c>
      <c r="X848" s="8" t="s">
        <v>29</v>
      </c>
      <c r="Y848" s="8" t="s">
        <v>23</v>
      </c>
    </row>
    <row r="849" spans="1:25" hidden="1" x14ac:dyDescent="0.25">
      <c r="A849" s="273" t="s">
        <v>318</v>
      </c>
      <c r="B849" s="251">
        <v>45888</v>
      </c>
      <c r="C849" s="252" t="s">
        <v>598</v>
      </c>
      <c r="D849" s="252"/>
      <c r="E849" s="253">
        <v>0</v>
      </c>
      <c r="F849" s="253">
        <v>2200000</v>
      </c>
      <c r="G849" s="274">
        <f>Tabla3[[#This Row],[INGRESOS]]-Tabla3[[#This Row],[EGRESOS]]</f>
        <v>2200000</v>
      </c>
      <c r="H849" s="135">
        <v>24474.73</v>
      </c>
      <c r="I849" s="135">
        <v>1350</v>
      </c>
      <c r="J849" s="136">
        <f>Tabla3[[#This Row],[EGRESOS]]/Tabla3[[#This Row],[TC]]</f>
        <v>0</v>
      </c>
      <c r="K849" s="136">
        <f>Tabla3[[#This Row],[INGRESOS]]/Tabla3[[#This Row],[TC]]</f>
        <v>1629.6296296296296</v>
      </c>
      <c r="L849" s="8" t="s">
        <v>376</v>
      </c>
      <c r="M849" s="8" t="s">
        <v>377</v>
      </c>
      <c r="N849" s="8" t="s">
        <v>28</v>
      </c>
      <c r="O849" s="8" t="s">
        <v>244</v>
      </c>
      <c r="P849" s="8" t="s">
        <v>259</v>
      </c>
      <c r="Q849" s="8" t="s">
        <v>260</v>
      </c>
      <c r="R849" s="8" t="s">
        <v>405</v>
      </c>
      <c r="S849" s="8"/>
      <c r="T849" s="8"/>
      <c r="U849" s="8" t="s">
        <v>379</v>
      </c>
      <c r="V849" s="8"/>
      <c r="W849" s="7" t="s">
        <v>380</v>
      </c>
      <c r="X849" s="8"/>
      <c r="Y849" s="8"/>
    </row>
    <row r="850" spans="1:25" hidden="1" x14ac:dyDescent="0.25">
      <c r="A850" s="273" t="s">
        <v>318</v>
      </c>
      <c r="B850" s="251">
        <v>45888</v>
      </c>
      <c r="C850" s="252" t="s">
        <v>566</v>
      </c>
      <c r="D850" s="252"/>
      <c r="E850" s="253">
        <v>9381.74</v>
      </c>
      <c r="F850" s="253">
        <v>0</v>
      </c>
      <c r="G850" s="274">
        <f>Tabla3[[#This Row],[INGRESOS]]-Tabla3[[#This Row],[EGRESOS]]</f>
        <v>-9381.74</v>
      </c>
      <c r="H850" s="135">
        <v>15092.99</v>
      </c>
      <c r="I850" s="135">
        <v>1350</v>
      </c>
      <c r="J850" s="136">
        <f>Tabla3[[#This Row],[EGRESOS]]/Tabla3[[#This Row],[TC]]</f>
        <v>6.9494370370370371</v>
      </c>
      <c r="K850" s="136">
        <f>Tabla3[[#This Row],[INGRESOS]]/Tabla3[[#This Row],[TC]]</f>
        <v>0</v>
      </c>
      <c r="L850" s="8" t="s">
        <v>376</v>
      </c>
      <c r="M850" s="8" t="s">
        <v>377</v>
      </c>
      <c r="N850" s="8" t="s">
        <v>28</v>
      </c>
      <c r="O850" s="8" t="s">
        <v>184</v>
      </c>
      <c r="P850" s="8" t="s">
        <v>195</v>
      </c>
      <c r="Q850" s="8" t="s">
        <v>196</v>
      </c>
      <c r="R850" s="8" t="s">
        <v>394</v>
      </c>
      <c r="S850" s="8" t="s">
        <v>383</v>
      </c>
      <c r="T850" s="8"/>
      <c r="U850" s="8" t="s">
        <v>384</v>
      </c>
      <c r="V850" s="8"/>
      <c r="W850" s="7" t="s">
        <v>380</v>
      </c>
      <c r="X850" s="8" t="s">
        <v>99</v>
      </c>
      <c r="Y850" s="8" t="s">
        <v>23</v>
      </c>
    </row>
    <row r="851" spans="1:25" hidden="1" x14ac:dyDescent="0.25">
      <c r="A851" s="273" t="s">
        <v>318</v>
      </c>
      <c r="B851" s="251">
        <v>45889</v>
      </c>
      <c r="C851" s="252" t="s">
        <v>629</v>
      </c>
      <c r="D851" s="252" t="s">
        <v>701</v>
      </c>
      <c r="E851" s="253">
        <v>905236</v>
      </c>
      <c r="F851" s="253">
        <v>0</v>
      </c>
      <c r="G851" s="274">
        <f>Tabla3[[#This Row],[INGRESOS]]-Tabla3[[#This Row],[EGRESOS]]</f>
        <v>-905236</v>
      </c>
      <c r="H851" s="135">
        <v>-890143.01</v>
      </c>
      <c r="I851" s="135">
        <v>1350</v>
      </c>
      <c r="J851" s="136">
        <f>Tabla3[[#This Row],[EGRESOS]]/Tabla3[[#This Row],[TC]]</f>
        <v>670.54518518518523</v>
      </c>
      <c r="K851" s="136">
        <f>Tabla3[[#This Row],[INGRESOS]]/Tabla3[[#This Row],[TC]]</f>
        <v>0</v>
      </c>
      <c r="L851" s="8" t="s">
        <v>376</v>
      </c>
      <c r="M851" s="8" t="s">
        <v>377</v>
      </c>
      <c r="N851" s="8" t="s">
        <v>28</v>
      </c>
      <c r="O851" s="8" t="s">
        <v>286</v>
      </c>
      <c r="P851" s="8" t="s">
        <v>287</v>
      </c>
      <c r="Q851" s="8" t="s">
        <v>291</v>
      </c>
      <c r="R851" s="8" t="s">
        <v>143</v>
      </c>
      <c r="S851" s="8" t="s">
        <v>676</v>
      </c>
      <c r="T851" s="8" t="s">
        <v>699</v>
      </c>
      <c r="U851" s="8" t="s">
        <v>412</v>
      </c>
      <c r="V851" s="8"/>
      <c r="W851" s="7" t="s">
        <v>380</v>
      </c>
      <c r="X851" s="8" t="s">
        <v>29</v>
      </c>
      <c r="Y851" s="8" t="s">
        <v>23</v>
      </c>
    </row>
    <row r="852" spans="1:25" hidden="1" x14ac:dyDescent="0.25">
      <c r="A852" s="273" t="s">
        <v>318</v>
      </c>
      <c r="B852" s="251">
        <v>45889</v>
      </c>
      <c r="C852" s="252" t="s">
        <v>598</v>
      </c>
      <c r="D852" s="252"/>
      <c r="E852" s="253">
        <v>0</v>
      </c>
      <c r="F852" s="253">
        <v>1000000</v>
      </c>
      <c r="G852" s="274">
        <f>Tabla3[[#This Row],[INGRESOS]]-Tabla3[[#This Row],[EGRESOS]]</f>
        <v>1000000</v>
      </c>
      <c r="H852" s="135">
        <v>109856.99</v>
      </c>
      <c r="I852" s="135">
        <v>1350</v>
      </c>
      <c r="J852" s="136">
        <f>Tabla3[[#This Row],[EGRESOS]]/Tabla3[[#This Row],[TC]]</f>
        <v>0</v>
      </c>
      <c r="K852" s="136">
        <f>Tabla3[[#This Row],[INGRESOS]]/Tabla3[[#This Row],[TC]]</f>
        <v>740.74074074074076</v>
      </c>
      <c r="L852" s="8" t="s">
        <v>376</v>
      </c>
      <c r="M852" s="8" t="s">
        <v>377</v>
      </c>
      <c r="N852" s="8" t="s">
        <v>28</v>
      </c>
      <c r="O852" s="8" t="s">
        <v>244</v>
      </c>
      <c r="P852" s="8" t="s">
        <v>259</v>
      </c>
      <c r="Q852" s="8" t="s">
        <v>260</v>
      </c>
      <c r="R852" s="8" t="s">
        <v>405</v>
      </c>
      <c r="S852" s="8"/>
      <c r="T852" s="8"/>
      <c r="U852" s="8" t="s">
        <v>379</v>
      </c>
      <c r="V852" s="8"/>
      <c r="W852" s="7" t="s">
        <v>380</v>
      </c>
      <c r="X852" s="8"/>
      <c r="Y852" s="8"/>
    </row>
    <row r="853" spans="1:25" hidden="1" x14ac:dyDescent="0.25">
      <c r="A853" s="273" t="s">
        <v>318</v>
      </c>
      <c r="B853" s="251">
        <v>45889</v>
      </c>
      <c r="C853" s="252" t="s">
        <v>566</v>
      </c>
      <c r="D853" s="252"/>
      <c r="E853" s="253">
        <v>5431.42</v>
      </c>
      <c r="F853" s="253">
        <v>0</v>
      </c>
      <c r="G853" s="274">
        <f>Tabla3[[#This Row],[INGRESOS]]-Tabla3[[#This Row],[EGRESOS]]</f>
        <v>-5431.42</v>
      </c>
      <c r="H853" s="135">
        <v>104425.57</v>
      </c>
      <c r="I853" s="135">
        <v>1350</v>
      </c>
      <c r="J853" s="136">
        <f>Tabla3[[#This Row],[EGRESOS]]/Tabla3[[#This Row],[TC]]</f>
        <v>4.0232740740740738</v>
      </c>
      <c r="K853" s="136">
        <f>Tabla3[[#This Row],[INGRESOS]]/Tabla3[[#This Row],[TC]]</f>
        <v>0</v>
      </c>
      <c r="L853" s="8" t="s">
        <v>376</v>
      </c>
      <c r="M853" s="8" t="s">
        <v>377</v>
      </c>
      <c r="N853" s="8" t="s">
        <v>28</v>
      </c>
      <c r="O853" s="8" t="s">
        <v>184</v>
      </c>
      <c r="P853" s="8" t="s">
        <v>195</v>
      </c>
      <c r="Q853" s="8" t="s">
        <v>196</v>
      </c>
      <c r="R853" s="8" t="s">
        <v>394</v>
      </c>
      <c r="S853" s="8" t="s">
        <v>383</v>
      </c>
      <c r="T853" s="8"/>
      <c r="U853" s="8" t="s">
        <v>384</v>
      </c>
      <c r="V853" s="8"/>
      <c r="W853" s="7" t="s">
        <v>380</v>
      </c>
      <c r="X853" s="8" t="s">
        <v>99</v>
      </c>
      <c r="Y853" s="8" t="s">
        <v>23</v>
      </c>
    </row>
    <row r="854" spans="1:25" hidden="1" x14ac:dyDescent="0.25">
      <c r="A854" s="273" t="s">
        <v>318</v>
      </c>
      <c r="B854" s="251">
        <v>45891</v>
      </c>
      <c r="C854" s="252" t="s">
        <v>577</v>
      </c>
      <c r="D854" s="252" t="s">
        <v>702</v>
      </c>
      <c r="E854" s="253">
        <v>408315</v>
      </c>
      <c r="F854" s="253">
        <v>0</v>
      </c>
      <c r="G854" s="274">
        <f>Tabla3[[#This Row],[INGRESOS]]-Tabla3[[#This Row],[EGRESOS]]</f>
        <v>-408315</v>
      </c>
      <c r="H854" s="135">
        <v>-303889.43</v>
      </c>
      <c r="I854" s="135">
        <v>1350</v>
      </c>
      <c r="J854" s="136">
        <f>Tabla3[[#This Row],[EGRESOS]]/Tabla3[[#This Row],[TC]]</f>
        <v>302.45555555555558</v>
      </c>
      <c r="K854" s="136">
        <f>Tabla3[[#This Row],[INGRESOS]]/Tabla3[[#This Row],[TC]]</f>
        <v>0</v>
      </c>
      <c r="L854" s="8" t="s">
        <v>376</v>
      </c>
      <c r="M854" s="8" t="s">
        <v>377</v>
      </c>
      <c r="N854" s="8" t="s">
        <v>28</v>
      </c>
      <c r="O854" s="8" t="s">
        <v>286</v>
      </c>
      <c r="P854" s="8" t="s">
        <v>287</v>
      </c>
      <c r="Q854" s="8" t="s">
        <v>291</v>
      </c>
      <c r="R854" s="8" t="s">
        <v>143</v>
      </c>
      <c r="S854" s="8" t="s">
        <v>676</v>
      </c>
      <c r="T854" s="8" t="s">
        <v>699</v>
      </c>
      <c r="U854" s="8" t="s">
        <v>412</v>
      </c>
      <c r="V854" s="8"/>
      <c r="W854" s="7" t="s">
        <v>380</v>
      </c>
      <c r="X854" s="8" t="s">
        <v>29</v>
      </c>
      <c r="Y854" s="8" t="s">
        <v>23</v>
      </c>
    </row>
    <row r="855" spans="1:25" hidden="1" x14ac:dyDescent="0.25">
      <c r="A855" s="273" t="s">
        <v>318</v>
      </c>
      <c r="B855" s="251">
        <v>45891</v>
      </c>
      <c r="C855" s="252" t="s">
        <v>598</v>
      </c>
      <c r="D855" s="252"/>
      <c r="E855" s="253">
        <v>0</v>
      </c>
      <c r="F855" s="253">
        <v>400000</v>
      </c>
      <c r="G855" s="274">
        <f>Tabla3[[#This Row],[INGRESOS]]-Tabla3[[#This Row],[EGRESOS]]</f>
        <v>400000</v>
      </c>
      <c r="H855" s="135">
        <v>96110.57</v>
      </c>
      <c r="I855" s="135">
        <v>1350</v>
      </c>
      <c r="J855" s="136">
        <f>Tabla3[[#This Row],[EGRESOS]]/Tabla3[[#This Row],[TC]]</f>
        <v>0</v>
      </c>
      <c r="K855" s="136">
        <f>Tabla3[[#This Row],[INGRESOS]]/Tabla3[[#This Row],[TC]]</f>
        <v>296.2962962962963</v>
      </c>
      <c r="L855" s="8" t="s">
        <v>376</v>
      </c>
      <c r="M855" s="8" t="s">
        <v>377</v>
      </c>
      <c r="N855" s="8" t="s">
        <v>28</v>
      </c>
      <c r="O855" s="8" t="s">
        <v>244</v>
      </c>
      <c r="P855" s="8" t="s">
        <v>259</v>
      </c>
      <c r="Q855" s="8" t="s">
        <v>260</v>
      </c>
      <c r="R855" s="8" t="s">
        <v>405</v>
      </c>
      <c r="S855" s="8"/>
      <c r="T855" s="8"/>
      <c r="U855" s="8" t="s">
        <v>379</v>
      </c>
      <c r="V855" s="8"/>
      <c r="W855" s="7" t="s">
        <v>380</v>
      </c>
      <c r="X855" s="8"/>
      <c r="Y855" s="8"/>
    </row>
    <row r="856" spans="1:25" hidden="1" x14ac:dyDescent="0.25">
      <c r="A856" s="273" t="s">
        <v>318</v>
      </c>
      <c r="B856" s="251">
        <v>45891</v>
      </c>
      <c r="C856" s="252" t="s">
        <v>566</v>
      </c>
      <c r="D856" s="252"/>
      <c r="E856" s="253">
        <v>2449.89</v>
      </c>
      <c r="F856" s="253">
        <v>0</v>
      </c>
      <c r="G856" s="274">
        <f>Tabla3[[#This Row],[INGRESOS]]-Tabla3[[#This Row],[EGRESOS]]</f>
        <v>-2449.89</v>
      </c>
      <c r="H856" s="135">
        <v>93660.68</v>
      </c>
      <c r="I856" s="135">
        <v>1350</v>
      </c>
      <c r="J856" s="136">
        <f>Tabla3[[#This Row],[EGRESOS]]/Tabla3[[#This Row],[TC]]</f>
        <v>1.8147333333333333</v>
      </c>
      <c r="K856" s="136">
        <f>Tabla3[[#This Row],[INGRESOS]]/Tabla3[[#This Row],[TC]]</f>
        <v>0</v>
      </c>
      <c r="L856" s="8" t="s">
        <v>376</v>
      </c>
      <c r="M856" s="8" t="s">
        <v>377</v>
      </c>
      <c r="N856" s="8" t="s">
        <v>28</v>
      </c>
      <c r="O856" s="8" t="s">
        <v>184</v>
      </c>
      <c r="P856" s="8" t="s">
        <v>195</v>
      </c>
      <c r="Q856" s="8" t="s">
        <v>196</v>
      </c>
      <c r="R856" s="8" t="s">
        <v>394</v>
      </c>
      <c r="S856" s="8" t="s">
        <v>383</v>
      </c>
      <c r="T856" s="8"/>
      <c r="U856" s="8" t="s">
        <v>384</v>
      </c>
      <c r="V856" s="8"/>
      <c r="W856" s="7" t="s">
        <v>380</v>
      </c>
      <c r="X856" s="8" t="s">
        <v>99</v>
      </c>
      <c r="Y856" s="8" t="s">
        <v>23</v>
      </c>
    </row>
    <row r="857" spans="1:25" hidden="1" x14ac:dyDescent="0.25">
      <c r="A857" s="273" t="s">
        <v>318</v>
      </c>
      <c r="B857" s="251">
        <v>45894</v>
      </c>
      <c r="C857" s="252" t="s">
        <v>678</v>
      </c>
      <c r="D857" s="252" t="s">
        <v>703</v>
      </c>
      <c r="E857" s="253">
        <v>8184079.3300000001</v>
      </c>
      <c r="F857" s="253">
        <v>0</v>
      </c>
      <c r="G857" s="274">
        <f>Tabla3[[#This Row],[INGRESOS]]-Tabla3[[#This Row],[EGRESOS]]</f>
        <v>-8184079.3300000001</v>
      </c>
      <c r="H857" s="135">
        <v>-8090418.6500000004</v>
      </c>
      <c r="I857" s="135">
        <v>1350</v>
      </c>
      <c r="J857" s="136">
        <f>Tabla3[[#This Row],[EGRESOS]]/Tabla3[[#This Row],[TC]]</f>
        <v>6062.2809851851853</v>
      </c>
      <c r="K857" s="136">
        <f>Tabla3[[#This Row],[INGRESOS]]/Tabla3[[#This Row],[TC]]</f>
        <v>0</v>
      </c>
      <c r="L857" s="8" t="s">
        <v>376</v>
      </c>
      <c r="M857" s="8" t="s">
        <v>377</v>
      </c>
      <c r="N857" s="8" t="s">
        <v>28</v>
      </c>
      <c r="O857" s="8" t="s">
        <v>215</v>
      </c>
      <c r="P857" s="8" t="s">
        <v>216</v>
      </c>
      <c r="Q857" s="8" t="s">
        <v>219</v>
      </c>
      <c r="R857" s="8" t="s">
        <v>336</v>
      </c>
      <c r="S857" s="8" t="s">
        <v>680</v>
      </c>
      <c r="T857" s="8" t="s">
        <v>681</v>
      </c>
      <c r="U857" s="8" t="s">
        <v>412</v>
      </c>
      <c r="V857" s="8"/>
      <c r="W857" s="7" t="s">
        <v>380</v>
      </c>
      <c r="X857" s="8" t="s">
        <v>29</v>
      </c>
      <c r="Y857" s="8" t="s">
        <v>23</v>
      </c>
    </row>
    <row r="858" spans="1:25" hidden="1" x14ac:dyDescent="0.25">
      <c r="A858" s="273" t="s">
        <v>318</v>
      </c>
      <c r="B858" s="251">
        <v>45894</v>
      </c>
      <c r="C858" s="252" t="s">
        <v>598</v>
      </c>
      <c r="D858" s="252"/>
      <c r="E858" s="253">
        <v>0</v>
      </c>
      <c r="F858" s="253">
        <v>8200000</v>
      </c>
      <c r="G858" s="274">
        <f>Tabla3[[#This Row],[INGRESOS]]-Tabla3[[#This Row],[EGRESOS]]</f>
        <v>8200000</v>
      </c>
      <c r="H858" s="135">
        <v>109581.35</v>
      </c>
      <c r="I858" s="135">
        <v>1350</v>
      </c>
      <c r="J858" s="136">
        <f>Tabla3[[#This Row],[EGRESOS]]/Tabla3[[#This Row],[TC]]</f>
        <v>0</v>
      </c>
      <c r="K858" s="136">
        <f>Tabla3[[#This Row],[INGRESOS]]/Tabla3[[#This Row],[TC]]</f>
        <v>6074.0740740740739</v>
      </c>
      <c r="L858" s="8" t="s">
        <v>376</v>
      </c>
      <c r="M858" s="8" t="s">
        <v>377</v>
      </c>
      <c r="N858" s="8" t="s">
        <v>28</v>
      </c>
      <c r="O858" s="8" t="s">
        <v>244</v>
      </c>
      <c r="P858" s="8" t="s">
        <v>259</v>
      </c>
      <c r="Q858" s="8" t="s">
        <v>260</v>
      </c>
      <c r="R858" s="8" t="s">
        <v>405</v>
      </c>
      <c r="S858" s="8"/>
      <c r="T858" s="8"/>
      <c r="U858" s="8" t="s">
        <v>379</v>
      </c>
      <c r="V858" s="8"/>
      <c r="W858" s="7" t="s">
        <v>380</v>
      </c>
      <c r="X858" s="8"/>
      <c r="Y858" s="8"/>
    </row>
    <row r="859" spans="1:25" hidden="1" x14ac:dyDescent="0.25">
      <c r="A859" s="273" t="s">
        <v>318</v>
      </c>
      <c r="B859" s="251">
        <v>45894</v>
      </c>
      <c r="C859" s="252" t="s">
        <v>566</v>
      </c>
      <c r="D859" s="252"/>
      <c r="E859" s="253">
        <v>49104.480000000003</v>
      </c>
      <c r="F859" s="253">
        <v>0</v>
      </c>
      <c r="G859" s="274">
        <f>Tabla3[[#This Row],[INGRESOS]]-Tabla3[[#This Row],[EGRESOS]]</f>
        <v>-49104.480000000003</v>
      </c>
      <c r="H859" s="135">
        <v>60476.87</v>
      </c>
      <c r="I859" s="135">
        <v>1350</v>
      </c>
      <c r="J859" s="136">
        <f>Tabla3[[#This Row],[EGRESOS]]/Tabla3[[#This Row],[TC]]</f>
        <v>36.373688888888893</v>
      </c>
      <c r="K859" s="136">
        <f>Tabla3[[#This Row],[INGRESOS]]/Tabla3[[#This Row],[TC]]</f>
        <v>0</v>
      </c>
      <c r="L859" s="8" t="s">
        <v>376</v>
      </c>
      <c r="M859" s="8" t="s">
        <v>377</v>
      </c>
      <c r="N859" s="8" t="s">
        <v>28</v>
      </c>
      <c r="O859" s="8" t="s">
        <v>184</v>
      </c>
      <c r="P859" s="8" t="s">
        <v>195</v>
      </c>
      <c r="Q859" s="8" t="s">
        <v>196</v>
      </c>
      <c r="R859" s="8" t="s">
        <v>394</v>
      </c>
      <c r="S859" s="8" t="s">
        <v>383</v>
      </c>
      <c r="T859" s="8"/>
      <c r="U859" s="8" t="s">
        <v>384</v>
      </c>
      <c r="V859" s="8"/>
      <c r="W859" s="7" t="s">
        <v>380</v>
      </c>
      <c r="X859" s="8" t="s">
        <v>99</v>
      </c>
      <c r="Y859" s="8" t="s">
        <v>23</v>
      </c>
    </row>
    <row r="860" spans="1:25" hidden="1" x14ac:dyDescent="0.25">
      <c r="A860" s="273" t="s">
        <v>318</v>
      </c>
      <c r="B860" s="251">
        <v>45895</v>
      </c>
      <c r="C860" s="252" t="s">
        <v>629</v>
      </c>
      <c r="D860" s="252" t="s">
        <v>704</v>
      </c>
      <c r="E860" s="253">
        <v>1000000</v>
      </c>
      <c r="F860" s="253">
        <v>0</v>
      </c>
      <c r="G860" s="274">
        <f>Tabla3[[#This Row],[INGRESOS]]-Tabla3[[#This Row],[EGRESOS]]</f>
        <v>-1000000</v>
      </c>
      <c r="H860" s="135">
        <v>-939523.13</v>
      </c>
      <c r="I860" s="135">
        <v>1350</v>
      </c>
      <c r="J860" s="136">
        <f>Tabla3[[#This Row],[EGRESOS]]/Tabla3[[#This Row],[TC]]</f>
        <v>740.74074074074076</v>
      </c>
      <c r="K860" s="136">
        <f>Tabla3[[#This Row],[INGRESOS]]/Tabla3[[#This Row],[TC]]</f>
        <v>0</v>
      </c>
      <c r="L860" s="8" t="s">
        <v>376</v>
      </c>
      <c r="M860" s="8" t="s">
        <v>377</v>
      </c>
      <c r="N860" s="8" t="s">
        <v>28</v>
      </c>
      <c r="O860" s="8" t="s">
        <v>286</v>
      </c>
      <c r="P860" s="8" t="s">
        <v>287</v>
      </c>
      <c r="Q860" s="8" t="s">
        <v>291</v>
      </c>
      <c r="R860" s="8" t="s">
        <v>143</v>
      </c>
      <c r="S860" s="8" t="s">
        <v>676</v>
      </c>
      <c r="T860" s="8" t="s">
        <v>699</v>
      </c>
      <c r="U860" s="8" t="s">
        <v>412</v>
      </c>
      <c r="V860" s="8"/>
      <c r="W860" s="7" t="s">
        <v>380</v>
      </c>
      <c r="X860" s="8" t="s">
        <v>29</v>
      </c>
      <c r="Y860" s="8" t="s">
        <v>23</v>
      </c>
    </row>
    <row r="861" spans="1:25" hidden="1" x14ac:dyDescent="0.25">
      <c r="A861" s="273" t="s">
        <v>318</v>
      </c>
      <c r="B861" s="251">
        <v>45895</v>
      </c>
      <c r="C861" s="252" t="s">
        <v>598</v>
      </c>
      <c r="D861" s="252"/>
      <c r="E861" s="253">
        <v>0</v>
      </c>
      <c r="F861" s="253">
        <v>1000000</v>
      </c>
      <c r="G861" s="274">
        <f>Tabla3[[#This Row],[INGRESOS]]-Tabla3[[#This Row],[EGRESOS]]</f>
        <v>1000000</v>
      </c>
      <c r="H861" s="135">
        <v>60476.87</v>
      </c>
      <c r="I861" s="135">
        <v>1350</v>
      </c>
      <c r="J861" s="136">
        <f>Tabla3[[#This Row],[EGRESOS]]/Tabla3[[#This Row],[TC]]</f>
        <v>0</v>
      </c>
      <c r="K861" s="136">
        <f>Tabla3[[#This Row],[INGRESOS]]/Tabla3[[#This Row],[TC]]</f>
        <v>740.74074074074076</v>
      </c>
      <c r="L861" s="8" t="s">
        <v>376</v>
      </c>
      <c r="M861" s="8" t="s">
        <v>377</v>
      </c>
      <c r="N861" s="8" t="s">
        <v>28</v>
      </c>
      <c r="O861" s="8" t="s">
        <v>244</v>
      </c>
      <c r="P861" s="8" t="s">
        <v>259</v>
      </c>
      <c r="Q861" s="8" t="s">
        <v>260</v>
      </c>
      <c r="R861" s="8" t="s">
        <v>405</v>
      </c>
      <c r="S861" s="8"/>
      <c r="T861" s="8"/>
      <c r="U861" s="8" t="s">
        <v>379</v>
      </c>
      <c r="V861" s="8"/>
      <c r="W861" s="7" t="s">
        <v>380</v>
      </c>
      <c r="X861" s="8"/>
      <c r="Y861" s="8"/>
    </row>
    <row r="862" spans="1:25" hidden="1" x14ac:dyDescent="0.25">
      <c r="A862" s="273" t="s">
        <v>318</v>
      </c>
      <c r="B862" s="251">
        <v>45895</v>
      </c>
      <c r="C862" s="252" t="s">
        <v>566</v>
      </c>
      <c r="D862" s="252"/>
      <c r="E862" s="253">
        <v>6000</v>
      </c>
      <c r="F862" s="253">
        <v>0</v>
      </c>
      <c r="G862" s="274">
        <f>Tabla3[[#This Row],[INGRESOS]]-Tabla3[[#This Row],[EGRESOS]]</f>
        <v>-6000</v>
      </c>
      <c r="H862" s="135">
        <v>54476.87</v>
      </c>
      <c r="I862" s="135">
        <v>1350</v>
      </c>
      <c r="J862" s="136">
        <f>Tabla3[[#This Row],[EGRESOS]]/Tabla3[[#This Row],[TC]]</f>
        <v>4.4444444444444446</v>
      </c>
      <c r="K862" s="136">
        <f>Tabla3[[#This Row],[INGRESOS]]/Tabla3[[#This Row],[TC]]</f>
        <v>0</v>
      </c>
      <c r="L862" s="8" t="s">
        <v>376</v>
      </c>
      <c r="M862" s="8" t="s">
        <v>377</v>
      </c>
      <c r="N862" s="8" t="s">
        <v>28</v>
      </c>
      <c r="O862" s="8" t="s">
        <v>184</v>
      </c>
      <c r="P862" s="8" t="s">
        <v>195</v>
      </c>
      <c r="Q862" s="8" t="s">
        <v>196</v>
      </c>
      <c r="R862" s="8" t="s">
        <v>394</v>
      </c>
      <c r="S862" s="8" t="s">
        <v>383</v>
      </c>
      <c r="T862" s="8"/>
      <c r="U862" s="8" t="s">
        <v>384</v>
      </c>
      <c r="V862" s="8"/>
      <c r="W862" s="7" t="s">
        <v>380</v>
      </c>
      <c r="X862" s="8" t="s">
        <v>99</v>
      </c>
      <c r="Y862" s="8" t="s">
        <v>23</v>
      </c>
    </row>
    <row r="863" spans="1:25" hidden="1" x14ac:dyDescent="0.25">
      <c r="A863" s="273" t="s">
        <v>318</v>
      </c>
      <c r="B863" s="251">
        <v>45897</v>
      </c>
      <c r="C863" s="252" t="s">
        <v>592</v>
      </c>
      <c r="D863" s="252"/>
      <c r="E863" s="253">
        <v>0</v>
      </c>
      <c r="F863" s="253">
        <v>534991.80000000005</v>
      </c>
      <c r="G863" s="274">
        <f>Tabla3[[#This Row],[INGRESOS]]-Tabla3[[#This Row],[EGRESOS]]</f>
        <v>534991.80000000005</v>
      </c>
      <c r="H863" s="135">
        <v>589468.67000000004</v>
      </c>
      <c r="I863" s="135">
        <v>1350</v>
      </c>
      <c r="J863" s="136">
        <f>Tabla3[[#This Row],[EGRESOS]]/Tabla3[[#This Row],[TC]]</f>
        <v>0</v>
      </c>
      <c r="K863" s="136">
        <f>Tabla3[[#This Row],[INGRESOS]]/Tabla3[[#This Row],[TC]]</f>
        <v>396.29022222222227</v>
      </c>
      <c r="L863" s="8" t="s">
        <v>376</v>
      </c>
      <c r="M863" s="8" t="s">
        <v>377</v>
      </c>
      <c r="N863" s="8" t="s">
        <v>28</v>
      </c>
      <c r="O863" s="8" t="s">
        <v>215</v>
      </c>
      <c r="P863" s="8" t="s">
        <v>216</v>
      </c>
      <c r="Q863" s="8" t="s">
        <v>220</v>
      </c>
      <c r="R863" s="8" t="s">
        <v>705</v>
      </c>
      <c r="S863" s="8" t="s">
        <v>706</v>
      </c>
      <c r="T863" s="8"/>
      <c r="U863" s="8" t="s">
        <v>516</v>
      </c>
      <c r="V863" s="8"/>
      <c r="W863" s="7" t="s">
        <v>380</v>
      </c>
      <c r="X863" s="8" t="s">
        <v>23</v>
      </c>
      <c r="Y863" s="8" t="s">
        <v>97</v>
      </c>
    </row>
    <row r="864" spans="1:25" hidden="1" x14ac:dyDescent="0.25">
      <c r="A864" s="273" t="s">
        <v>318</v>
      </c>
      <c r="B864" s="251">
        <v>45897</v>
      </c>
      <c r="C864" s="252" t="s">
        <v>593</v>
      </c>
      <c r="D864" s="252"/>
      <c r="E864" s="253">
        <v>3209.95</v>
      </c>
      <c r="F864" s="253">
        <v>0</v>
      </c>
      <c r="G864" s="274">
        <f>Tabla3[[#This Row],[INGRESOS]]-Tabla3[[#This Row],[EGRESOS]]</f>
        <v>-3209.95</v>
      </c>
      <c r="H864" s="135">
        <v>586258.72</v>
      </c>
      <c r="I864" s="135">
        <v>1350</v>
      </c>
      <c r="J864" s="136">
        <f>Tabla3[[#This Row],[EGRESOS]]/Tabla3[[#This Row],[TC]]</f>
        <v>2.3777407407407405</v>
      </c>
      <c r="K864" s="136">
        <f>Tabla3[[#This Row],[INGRESOS]]/Tabla3[[#This Row],[TC]]</f>
        <v>0</v>
      </c>
      <c r="L864" s="8" t="s">
        <v>376</v>
      </c>
      <c r="M864" s="8" t="s">
        <v>377</v>
      </c>
      <c r="N864" s="8" t="s">
        <v>28</v>
      </c>
      <c r="O864" s="8" t="s">
        <v>184</v>
      </c>
      <c r="P864" s="8" t="s">
        <v>195</v>
      </c>
      <c r="Q864" s="8" t="s">
        <v>196</v>
      </c>
      <c r="R864" s="8" t="s">
        <v>394</v>
      </c>
      <c r="S864" s="8" t="s">
        <v>383</v>
      </c>
      <c r="T864" s="8"/>
      <c r="U864" s="8" t="s">
        <v>384</v>
      </c>
      <c r="V864" s="8"/>
      <c r="W864" s="7" t="s">
        <v>380</v>
      </c>
      <c r="X864" s="8" t="s">
        <v>99</v>
      </c>
      <c r="Y864" s="8" t="s">
        <v>23</v>
      </c>
    </row>
    <row r="865" spans="1:25" hidden="1" x14ac:dyDescent="0.25">
      <c r="A865" s="273" t="s">
        <v>318</v>
      </c>
      <c r="B865" s="251">
        <v>45898</v>
      </c>
      <c r="C865" s="252" t="s">
        <v>577</v>
      </c>
      <c r="D865" s="252" t="s">
        <v>707</v>
      </c>
      <c r="E865" s="253">
        <v>500000</v>
      </c>
      <c r="F865" s="253">
        <v>0</v>
      </c>
      <c r="G865" s="274">
        <f>Tabla3[[#This Row],[INGRESOS]]-Tabla3[[#This Row],[EGRESOS]]</f>
        <v>-500000</v>
      </c>
      <c r="H865" s="135">
        <v>86258.72</v>
      </c>
      <c r="I865" s="135">
        <v>1350</v>
      </c>
      <c r="J865" s="136">
        <f>Tabla3[[#This Row],[EGRESOS]]/Tabla3[[#This Row],[TC]]</f>
        <v>370.37037037037038</v>
      </c>
      <c r="K865" s="136">
        <f>Tabla3[[#This Row],[INGRESOS]]/Tabla3[[#This Row],[TC]]</f>
        <v>0</v>
      </c>
      <c r="L865" s="8" t="s">
        <v>376</v>
      </c>
      <c r="M865" s="8" t="s">
        <v>377</v>
      </c>
      <c r="N865" s="8" t="s">
        <v>28</v>
      </c>
      <c r="O865" s="8" t="s">
        <v>286</v>
      </c>
      <c r="P865" s="8" t="s">
        <v>287</v>
      </c>
      <c r="Q865" s="8" t="s">
        <v>291</v>
      </c>
      <c r="R865" s="8" t="s">
        <v>143</v>
      </c>
      <c r="S865" s="8" t="s">
        <v>676</v>
      </c>
      <c r="T865" s="8" t="s">
        <v>699</v>
      </c>
      <c r="U865" s="8" t="s">
        <v>412</v>
      </c>
      <c r="V865" s="8"/>
      <c r="W865" s="7" t="s">
        <v>380</v>
      </c>
      <c r="X865" s="8" t="s">
        <v>29</v>
      </c>
      <c r="Y865" s="8" t="s">
        <v>23</v>
      </c>
    </row>
    <row r="866" spans="1:25" hidden="1" x14ac:dyDescent="0.25">
      <c r="A866" s="273" t="s">
        <v>318</v>
      </c>
      <c r="B866" s="251">
        <v>45898</v>
      </c>
      <c r="C866" s="252" t="s">
        <v>566</v>
      </c>
      <c r="D866" s="252"/>
      <c r="E866" s="253">
        <v>3000</v>
      </c>
      <c r="F866" s="253">
        <v>0</v>
      </c>
      <c r="G866" s="274">
        <f>Tabla3[[#This Row],[INGRESOS]]-Tabla3[[#This Row],[EGRESOS]]</f>
        <v>-3000</v>
      </c>
      <c r="H866" s="135">
        <v>83258.720000000001</v>
      </c>
      <c r="I866" s="135">
        <v>1350</v>
      </c>
      <c r="J866" s="136">
        <f>Tabla3[[#This Row],[EGRESOS]]/Tabla3[[#This Row],[TC]]</f>
        <v>2.2222222222222223</v>
      </c>
      <c r="K866" s="136">
        <f>Tabla3[[#This Row],[INGRESOS]]/Tabla3[[#This Row],[TC]]</f>
        <v>0</v>
      </c>
      <c r="L866" s="8" t="s">
        <v>376</v>
      </c>
      <c r="M866" s="8" t="s">
        <v>377</v>
      </c>
      <c r="N866" s="8" t="s">
        <v>28</v>
      </c>
      <c r="O866" s="8" t="s">
        <v>184</v>
      </c>
      <c r="P866" s="8" t="s">
        <v>195</v>
      </c>
      <c r="Q866" s="8" t="s">
        <v>196</v>
      </c>
      <c r="R866" s="8" t="s">
        <v>394</v>
      </c>
      <c r="S866" s="8" t="s">
        <v>383</v>
      </c>
      <c r="T866" s="8"/>
      <c r="U866" s="8" t="s">
        <v>384</v>
      </c>
      <c r="V866" s="8"/>
      <c r="W866" s="7" t="s">
        <v>380</v>
      </c>
      <c r="X866" s="8" t="s">
        <v>99</v>
      </c>
      <c r="Y866" s="8" t="s">
        <v>23</v>
      </c>
    </row>
    <row r="867" spans="1:25" hidden="1" x14ac:dyDescent="0.25">
      <c r="A867" s="273" t="s">
        <v>319</v>
      </c>
      <c r="B867" s="251">
        <v>45901</v>
      </c>
      <c r="C867" s="252" t="s">
        <v>577</v>
      </c>
      <c r="D867" s="252" t="s">
        <v>708</v>
      </c>
      <c r="E867" s="253">
        <v>1276183</v>
      </c>
      <c r="F867" s="253">
        <v>0</v>
      </c>
      <c r="G867" s="274">
        <f>Tabla3[[#This Row],[INGRESOS]]-Tabla3[[#This Row],[EGRESOS]]</f>
        <v>-1276183</v>
      </c>
      <c r="H867" s="135">
        <v>-1192924.28</v>
      </c>
      <c r="I867" s="135">
        <v>1350</v>
      </c>
      <c r="J867" s="136">
        <f>Tabla3[[#This Row],[EGRESOS]]/Tabla3[[#This Row],[TC]]</f>
        <v>945.32074074074069</v>
      </c>
      <c r="K867" s="136">
        <f>Tabla3[[#This Row],[INGRESOS]]/Tabla3[[#This Row],[TC]]</f>
        <v>0</v>
      </c>
      <c r="L867" s="8" t="s">
        <v>376</v>
      </c>
      <c r="M867" s="8" t="s">
        <v>377</v>
      </c>
      <c r="N867" s="8" t="s">
        <v>28</v>
      </c>
      <c r="O867" s="8" t="s">
        <v>286</v>
      </c>
      <c r="P867" s="8" t="s">
        <v>287</v>
      </c>
      <c r="Q867" s="8" t="s">
        <v>291</v>
      </c>
      <c r="R867" s="8" t="s">
        <v>143</v>
      </c>
      <c r="S867" s="8" t="s">
        <v>676</v>
      </c>
      <c r="T867" s="8" t="s">
        <v>699</v>
      </c>
      <c r="U867" s="8" t="s">
        <v>412</v>
      </c>
      <c r="V867" s="8"/>
      <c r="W867" s="7" t="s">
        <v>380</v>
      </c>
      <c r="X867" s="8" t="s">
        <v>29</v>
      </c>
      <c r="Y867" s="8" t="s">
        <v>23</v>
      </c>
    </row>
    <row r="868" spans="1:25" hidden="1" x14ac:dyDescent="0.25">
      <c r="A868" s="273" t="s">
        <v>319</v>
      </c>
      <c r="B868" s="251">
        <v>45901</v>
      </c>
      <c r="C868" s="252" t="s">
        <v>584</v>
      </c>
      <c r="D868" s="252"/>
      <c r="E868" s="253">
        <v>0</v>
      </c>
      <c r="F868" s="253">
        <v>1200000</v>
      </c>
      <c r="G868" s="274">
        <f>Tabla3[[#This Row],[INGRESOS]]-Tabla3[[#This Row],[EGRESOS]]</f>
        <v>1200000</v>
      </c>
      <c r="H868" s="135">
        <v>7075.72</v>
      </c>
      <c r="I868" s="135">
        <v>1350</v>
      </c>
      <c r="J868" s="136">
        <f>Tabla3[[#This Row],[EGRESOS]]/Tabla3[[#This Row],[TC]]</f>
        <v>0</v>
      </c>
      <c r="K868" s="136">
        <f>Tabla3[[#This Row],[INGRESOS]]/Tabla3[[#This Row],[TC]]</f>
        <v>888.88888888888891</v>
      </c>
      <c r="L868" s="8" t="s">
        <v>376</v>
      </c>
      <c r="M868" s="8" t="s">
        <v>377</v>
      </c>
      <c r="N868" s="8" t="s">
        <v>28</v>
      </c>
      <c r="O868" s="8" t="s">
        <v>244</v>
      </c>
      <c r="P868" s="8" t="s">
        <v>259</v>
      </c>
      <c r="Q868" s="8" t="s">
        <v>260</v>
      </c>
      <c r="R868" s="8" t="s">
        <v>474</v>
      </c>
      <c r="S868" s="8"/>
      <c r="T868" s="8"/>
      <c r="U868" s="8" t="s">
        <v>379</v>
      </c>
      <c r="V868" s="8"/>
      <c r="W868" s="7" t="s">
        <v>380</v>
      </c>
      <c r="X868" s="8"/>
      <c r="Y868" s="8"/>
    </row>
    <row r="869" spans="1:25" hidden="1" x14ac:dyDescent="0.25">
      <c r="A869" s="273" t="s">
        <v>319</v>
      </c>
      <c r="B869" s="251">
        <v>45901</v>
      </c>
      <c r="C869" s="252" t="s">
        <v>592</v>
      </c>
      <c r="D869" s="252"/>
      <c r="E869" s="253">
        <v>0</v>
      </c>
      <c r="F869" s="253">
        <v>1391772.83</v>
      </c>
      <c r="G869" s="274">
        <f>Tabla3[[#This Row],[INGRESOS]]-Tabla3[[#This Row],[EGRESOS]]</f>
        <v>1391772.83</v>
      </c>
      <c r="H869" s="135">
        <v>1398848.55</v>
      </c>
      <c r="I869" s="135">
        <v>1350</v>
      </c>
      <c r="J869" s="136">
        <f>Tabla3[[#This Row],[EGRESOS]]/Tabla3[[#This Row],[TC]]</f>
        <v>0</v>
      </c>
      <c r="K869" s="136">
        <f>Tabla3[[#This Row],[INGRESOS]]/Tabla3[[#This Row],[TC]]</f>
        <v>1030.9428370370372</v>
      </c>
      <c r="L869" s="8" t="s">
        <v>376</v>
      </c>
      <c r="M869" s="8" t="s">
        <v>377</v>
      </c>
      <c r="N869" s="8" t="s">
        <v>28</v>
      </c>
      <c r="O869" s="8" t="s">
        <v>215</v>
      </c>
      <c r="P869" s="8" t="s">
        <v>216</v>
      </c>
      <c r="Q869" s="8" t="s">
        <v>220</v>
      </c>
      <c r="R869" s="8" t="s">
        <v>705</v>
      </c>
      <c r="S869" s="8" t="s">
        <v>706</v>
      </c>
      <c r="T869" s="8"/>
      <c r="U869" s="8" t="s">
        <v>516</v>
      </c>
      <c r="V869" s="8"/>
      <c r="W869" s="7" t="s">
        <v>380</v>
      </c>
      <c r="X869" s="8" t="s">
        <v>23</v>
      </c>
      <c r="Y869" s="8" t="s">
        <v>97</v>
      </c>
    </row>
    <row r="870" spans="1:25" hidden="1" x14ac:dyDescent="0.25">
      <c r="A870" s="273" t="s">
        <v>319</v>
      </c>
      <c r="B870" s="251">
        <v>45901</v>
      </c>
      <c r="C870" s="252" t="s">
        <v>566</v>
      </c>
      <c r="D870" s="252"/>
      <c r="E870" s="253">
        <v>7657.1</v>
      </c>
      <c r="F870" s="253">
        <v>0</v>
      </c>
      <c r="G870" s="274">
        <f>Tabla3[[#This Row],[INGRESOS]]-Tabla3[[#This Row],[EGRESOS]]</f>
        <v>-7657.1</v>
      </c>
      <c r="H870" s="135">
        <v>1391191.45</v>
      </c>
      <c r="I870" s="135">
        <v>1350</v>
      </c>
      <c r="J870" s="136">
        <f>Tabla3[[#This Row],[EGRESOS]]/Tabla3[[#This Row],[TC]]</f>
        <v>5.671925925925926</v>
      </c>
      <c r="K870" s="136">
        <f>Tabla3[[#This Row],[INGRESOS]]/Tabla3[[#This Row],[TC]]</f>
        <v>0</v>
      </c>
      <c r="L870" s="8" t="s">
        <v>376</v>
      </c>
      <c r="M870" s="8" t="s">
        <v>377</v>
      </c>
      <c r="N870" s="8" t="s">
        <v>28</v>
      </c>
      <c r="O870" s="8" t="s">
        <v>184</v>
      </c>
      <c r="P870" s="8" t="s">
        <v>195</v>
      </c>
      <c r="Q870" s="8" t="s">
        <v>196</v>
      </c>
      <c r="R870" s="8" t="s">
        <v>394</v>
      </c>
      <c r="S870" s="8"/>
      <c r="T870" s="8"/>
      <c r="U870" s="8" t="s">
        <v>384</v>
      </c>
      <c r="V870" s="8"/>
      <c r="W870" s="7" t="s">
        <v>380</v>
      </c>
      <c r="X870" s="8" t="s">
        <v>99</v>
      </c>
      <c r="Y870" s="8" t="s">
        <v>23</v>
      </c>
    </row>
    <row r="871" spans="1:25" hidden="1" x14ac:dyDescent="0.25">
      <c r="A871" s="273" t="s">
        <v>319</v>
      </c>
      <c r="B871" s="251">
        <v>45901</v>
      </c>
      <c r="C871" s="252" t="s">
        <v>593</v>
      </c>
      <c r="D871" s="252"/>
      <c r="E871" s="253">
        <v>8350.64</v>
      </c>
      <c r="F871" s="253">
        <v>0</v>
      </c>
      <c r="G871" s="274">
        <f>Tabla3[[#This Row],[INGRESOS]]-Tabla3[[#This Row],[EGRESOS]]</f>
        <v>-8350.64</v>
      </c>
      <c r="H871" s="135">
        <v>1382840.81</v>
      </c>
      <c r="I871" s="135">
        <v>1350</v>
      </c>
      <c r="J871" s="136">
        <f>Tabla3[[#This Row],[EGRESOS]]/Tabla3[[#This Row],[TC]]</f>
        <v>6.1856592592592587</v>
      </c>
      <c r="K871" s="136">
        <f>Tabla3[[#This Row],[INGRESOS]]/Tabla3[[#This Row],[TC]]</f>
        <v>0</v>
      </c>
      <c r="L871" s="8" t="s">
        <v>376</v>
      </c>
      <c r="M871" s="8" t="s">
        <v>377</v>
      </c>
      <c r="N871" s="8" t="s">
        <v>28</v>
      </c>
      <c r="O871" s="8" t="s">
        <v>184</v>
      </c>
      <c r="P871" s="8" t="s">
        <v>195</v>
      </c>
      <c r="Q871" s="8" t="s">
        <v>196</v>
      </c>
      <c r="R871" s="8" t="s">
        <v>394</v>
      </c>
      <c r="S871" s="8"/>
      <c r="T871" s="8"/>
      <c r="U871" s="8" t="s">
        <v>384</v>
      </c>
      <c r="V871" s="8"/>
      <c r="W871" s="7" t="s">
        <v>380</v>
      </c>
      <c r="X871" s="8" t="s">
        <v>99</v>
      </c>
      <c r="Y871" s="8" t="s">
        <v>23</v>
      </c>
    </row>
    <row r="872" spans="1:25" hidden="1" x14ac:dyDescent="0.25">
      <c r="A872" s="273" t="s">
        <v>319</v>
      </c>
      <c r="B872" s="251">
        <v>45901</v>
      </c>
      <c r="C872" s="252" t="s">
        <v>694</v>
      </c>
      <c r="D872" s="252"/>
      <c r="E872" s="253">
        <v>3300</v>
      </c>
      <c r="F872" s="253">
        <v>0</v>
      </c>
      <c r="G872" s="274">
        <f>Tabla3[[#This Row],[INGRESOS]]-Tabla3[[#This Row],[EGRESOS]]</f>
        <v>-3300</v>
      </c>
      <c r="H872" s="135">
        <v>1379540.81</v>
      </c>
      <c r="I872" s="135">
        <v>1350</v>
      </c>
      <c r="J872" s="136">
        <f>Tabla3[[#This Row],[EGRESOS]]/Tabla3[[#This Row],[TC]]</f>
        <v>2.4444444444444446</v>
      </c>
      <c r="K872" s="136">
        <f>Tabla3[[#This Row],[INGRESOS]]/Tabla3[[#This Row],[TC]]</f>
        <v>0</v>
      </c>
      <c r="L872" s="8" t="s">
        <v>376</v>
      </c>
      <c r="M872" s="8" t="s">
        <v>377</v>
      </c>
      <c r="N872" s="8" t="s">
        <v>28</v>
      </c>
      <c r="O872" s="8" t="s">
        <v>184</v>
      </c>
      <c r="P872" s="8" t="s">
        <v>195</v>
      </c>
      <c r="Q872" s="8" t="s">
        <v>196</v>
      </c>
      <c r="R872" s="8" t="s">
        <v>609</v>
      </c>
      <c r="S872" s="8"/>
      <c r="T872" s="8"/>
      <c r="U872" s="8" t="s">
        <v>384</v>
      </c>
      <c r="V872" s="8"/>
      <c r="W872" s="7" t="s">
        <v>380</v>
      </c>
      <c r="X872" s="8" t="s">
        <v>99</v>
      </c>
      <c r="Y872" s="8" t="s">
        <v>23</v>
      </c>
    </row>
    <row r="873" spans="1:25" hidden="1" x14ac:dyDescent="0.25">
      <c r="A873" s="273" t="s">
        <v>319</v>
      </c>
      <c r="B873" s="251">
        <v>45901</v>
      </c>
      <c r="C873" s="252" t="s">
        <v>564</v>
      </c>
      <c r="D873" s="252"/>
      <c r="E873" s="253">
        <v>1650</v>
      </c>
      <c r="F873" s="253">
        <v>0</v>
      </c>
      <c r="G873" s="274">
        <f>Tabla3[[#This Row],[INGRESOS]]-Tabla3[[#This Row],[EGRESOS]]</f>
        <v>-1650</v>
      </c>
      <c r="H873" s="135">
        <v>1377890.81</v>
      </c>
      <c r="I873" s="135">
        <v>1350</v>
      </c>
      <c r="J873" s="136">
        <f>Tabla3[[#This Row],[EGRESOS]]/Tabla3[[#This Row],[TC]]</f>
        <v>1.2222222222222223</v>
      </c>
      <c r="K873" s="136">
        <f>Tabla3[[#This Row],[INGRESOS]]/Tabla3[[#This Row],[TC]]</f>
        <v>0</v>
      </c>
      <c r="L873" s="8" t="s">
        <v>376</v>
      </c>
      <c r="M873" s="8" t="s">
        <v>377</v>
      </c>
      <c r="N873" s="8" t="s">
        <v>28</v>
      </c>
      <c r="O873" s="8" t="s">
        <v>184</v>
      </c>
      <c r="P873" s="8" t="s">
        <v>195</v>
      </c>
      <c r="Q873" s="8" t="s">
        <v>196</v>
      </c>
      <c r="R873" s="8" t="s">
        <v>417</v>
      </c>
      <c r="S873" s="8" t="s">
        <v>383</v>
      </c>
      <c r="T873" s="8"/>
      <c r="U873" s="8" t="s">
        <v>384</v>
      </c>
      <c r="V873" s="8"/>
      <c r="W873" s="7" t="s">
        <v>380</v>
      </c>
      <c r="X873" s="8" t="s">
        <v>99</v>
      </c>
      <c r="Y873" s="8" t="s">
        <v>23</v>
      </c>
    </row>
    <row r="874" spans="1:25" hidden="1" x14ac:dyDescent="0.25">
      <c r="A874" s="273" t="s">
        <v>319</v>
      </c>
      <c r="B874" s="251">
        <v>45901</v>
      </c>
      <c r="C874" s="252" t="s">
        <v>273</v>
      </c>
      <c r="D874" s="252"/>
      <c r="E874" s="253">
        <v>11550</v>
      </c>
      <c r="F874" s="253">
        <v>0</v>
      </c>
      <c r="G874" s="274">
        <f>Tabla3[[#This Row],[INGRESOS]]-Tabla3[[#This Row],[EGRESOS]]</f>
        <v>-11550</v>
      </c>
      <c r="H874" s="135">
        <v>1366340.81</v>
      </c>
      <c r="I874" s="135">
        <v>1350</v>
      </c>
      <c r="J874" s="136">
        <f>Tabla3[[#This Row],[EGRESOS]]/Tabla3[[#This Row],[TC]]</f>
        <v>8.5555555555555554</v>
      </c>
      <c r="K874" s="136">
        <f>Tabla3[[#This Row],[INGRESOS]]/Tabla3[[#This Row],[TC]]</f>
        <v>0</v>
      </c>
      <c r="L874" s="8" t="s">
        <v>376</v>
      </c>
      <c r="M874" s="8" t="s">
        <v>377</v>
      </c>
      <c r="N874" s="8" t="s">
        <v>28</v>
      </c>
      <c r="O874" s="8" t="s">
        <v>184</v>
      </c>
      <c r="P874" s="8" t="s">
        <v>195</v>
      </c>
      <c r="Q874" s="8" t="s">
        <v>196</v>
      </c>
      <c r="R874" s="8" t="s">
        <v>273</v>
      </c>
      <c r="S874" s="8"/>
      <c r="T874" s="8"/>
      <c r="U874" s="8" t="s">
        <v>384</v>
      </c>
      <c r="V874" s="8"/>
      <c r="W874" s="7" t="s">
        <v>380</v>
      </c>
      <c r="X874" s="8" t="s">
        <v>99</v>
      </c>
      <c r="Y874" s="8" t="s">
        <v>23</v>
      </c>
    </row>
    <row r="875" spans="1:25" hidden="1" x14ac:dyDescent="0.25">
      <c r="A875" s="273" t="s">
        <v>319</v>
      </c>
      <c r="B875" s="251">
        <v>45901</v>
      </c>
      <c r="C875" s="252" t="s">
        <v>565</v>
      </c>
      <c r="D875" s="252"/>
      <c r="E875" s="253">
        <v>55000</v>
      </c>
      <c r="F875" s="253">
        <v>0</v>
      </c>
      <c r="G875" s="274">
        <f>Tabla3[[#This Row],[INGRESOS]]-Tabla3[[#This Row],[EGRESOS]]</f>
        <v>-55000</v>
      </c>
      <c r="H875" s="135">
        <v>1311340.81</v>
      </c>
      <c r="I875" s="135">
        <v>1350</v>
      </c>
      <c r="J875" s="136">
        <f>Tabla3[[#This Row],[EGRESOS]]/Tabla3[[#This Row],[TC]]</f>
        <v>40.74074074074074</v>
      </c>
      <c r="K875" s="136">
        <f>Tabla3[[#This Row],[INGRESOS]]/Tabla3[[#This Row],[TC]]</f>
        <v>0</v>
      </c>
      <c r="L875" s="8" t="s">
        <v>376</v>
      </c>
      <c r="M875" s="8" t="s">
        <v>377</v>
      </c>
      <c r="N875" s="8" t="s">
        <v>28</v>
      </c>
      <c r="O875" s="8" t="s">
        <v>184</v>
      </c>
      <c r="P875" s="8" t="s">
        <v>185</v>
      </c>
      <c r="Q875" s="8" t="s">
        <v>186</v>
      </c>
      <c r="R875" s="8"/>
      <c r="S875" s="8"/>
      <c r="T875" s="8"/>
      <c r="U875" s="8" t="s">
        <v>384</v>
      </c>
      <c r="V875" s="8"/>
      <c r="W875" s="7" t="s">
        <v>380</v>
      </c>
      <c r="X875" s="8" t="s">
        <v>99</v>
      </c>
      <c r="Y875" s="8" t="s">
        <v>23</v>
      </c>
    </row>
    <row r="876" spans="1:25" hidden="1" x14ac:dyDescent="0.25">
      <c r="A876" s="273" t="s">
        <v>319</v>
      </c>
      <c r="B876" s="251">
        <v>45901</v>
      </c>
      <c r="C876" s="252" t="s">
        <v>580</v>
      </c>
      <c r="D876" s="252"/>
      <c r="E876" s="253">
        <v>8400</v>
      </c>
      <c r="F876" s="253">
        <v>0</v>
      </c>
      <c r="G876" s="274">
        <f>Tabla3[[#This Row],[INGRESOS]]-Tabla3[[#This Row],[EGRESOS]]</f>
        <v>-8400</v>
      </c>
      <c r="H876" s="135">
        <v>1302940.81</v>
      </c>
      <c r="I876" s="135">
        <v>1350</v>
      </c>
      <c r="J876" s="136">
        <f>Tabla3[[#This Row],[EGRESOS]]/Tabla3[[#This Row],[TC]]</f>
        <v>6.2222222222222223</v>
      </c>
      <c r="K876" s="136">
        <f>Tabla3[[#This Row],[INGRESOS]]/Tabla3[[#This Row],[TC]]</f>
        <v>0</v>
      </c>
      <c r="L876" s="8" t="s">
        <v>376</v>
      </c>
      <c r="M876" s="8" t="s">
        <v>377</v>
      </c>
      <c r="N876" s="8" t="s">
        <v>28</v>
      </c>
      <c r="O876" s="8" t="s">
        <v>184</v>
      </c>
      <c r="P876" s="8" t="s">
        <v>185</v>
      </c>
      <c r="Q876" s="8" t="s">
        <v>186</v>
      </c>
      <c r="R876" s="8"/>
      <c r="S876" s="8"/>
      <c r="T876" s="8"/>
      <c r="U876" s="8" t="s">
        <v>384</v>
      </c>
      <c r="V876" s="8"/>
      <c r="W876" s="7" t="s">
        <v>380</v>
      </c>
      <c r="X876" s="8" t="s">
        <v>99</v>
      </c>
      <c r="Y876" s="8" t="s">
        <v>23</v>
      </c>
    </row>
    <row r="877" spans="1:25" hidden="1" x14ac:dyDescent="0.25">
      <c r="A877" s="273" t="s">
        <v>319</v>
      </c>
      <c r="B877" s="251">
        <v>45901</v>
      </c>
      <c r="C877" s="252" t="s">
        <v>273</v>
      </c>
      <c r="D877" s="252"/>
      <c r="E877" s="253">
        <v>1764</v>
      </c>
      <c r="F877" s="253">
        <v>0</v>
      </c>
      <c r="G877" s="274">
        <f>Tabla3[[#This Row],[INGRESOS]]-Tabla3[[#This Row],[EGRESOS]]</f>
        <v>-1764</v>
      </c>
      <c r="H877" s="135">
        <v>1301176.81</v>
      </c>
      <c r="I877" s="135">
        <v>1350</v>
      </c>
      <c r="J877" s="136">
        <f>Tabla3[[#This Row],[EGRESOS]]/Tabla3[[#This Row],[TC]]</f>
        <v>1.3066666666666666</v>
      </c>
      <c r="K877" s="136">
        <f>Tabla3[[#This Row],[INGRESOS]]/Tabla3[[#This Row],[TC]]</f>
        <v>0</v>
      </c>
      <c r="L877" s="8" t="s">
        <v>376</v>
      </c>
      <c r="M877" s="8" t="s">
        <v>377</v>
      </c>
      <c r="N877" s="8" t="s">
        <v>28</v>
      </c>
      <c r="O877" s="8" t="s">
        <v>184</v>
      </c>
      <c r="P877" s="8" t="s">
        <v>195</v>
      </c>
      <c r="Q877" s="8" t="s">
        <v>196</v>
      </c>
      <c r="R877" s="8" t="s">
        <v>273</v>
      </c>
      <c r="S877" s="8"/>
      <c r="T877" s="8"/>
      <c r="U877" s="8" t="s">
        <v>384</v>
      </c>
      <c r="V877" s="8"/>
      <c r="W877" s="7" t="s">
        <v>380</v>
      </c>
      <c r="X877" s="8" t="s">
        <v>99</v>
      </c>
      <c r="Y877" s="8" t="s">
        <v>23</v>
      </c>
    </row>
    <row r="878" spans="1:25" hidden="1" x14ac:dyDescent="0.25">
      <c r="A878" s="273" t="s">
        <v>319</v>
      </c>
      <c r="B878" s="251">
        <v>45901</v>
      </c>
      <c r="C878" s="252" t="s">
        <v>564</v>
      </c>
      <c r="D878" s="252"/>
      <c r="E878" s="253">
        <v>252</v>
      </c>
      <c r="F878" s="253">
        <v>0</v>
      </c>
      <c r="G878" s="274">
        <f>Tabla3[[#This Row],[INGRESOS]]-Tabla3[[#This Row],[EGRESOS]]</f>
        <v>-252</v>
      </c>
      <c r="H878" s="135">
        <v>1300924.81</v>
      </c>
      <c r="I878" s="135">
        <v>1350</v>
      </c>
      <c r="J878" s="136">
        <f>Tabla3[[#This Row],[EGRESOS]]/Tabla3[[#This Row],[TC]]</f>
        <v>0.18666666666666668</v>
      </c>
      <c r="K878" s="136">
        <f>Tabla3[[#This Row],[INGRESOS]]/Tabla3[[#This Row],[TC]]</f>
        <v>0</v>
      </c>
      <c r="L878" s="8" t="s">
        <v>376</v>
      </c>
      <c r="M878" s="8" t="s">
        <v>377</v>
      </c>
      <c r="N878" s="8" t="s">
        <v>28</v>
      </c>
      <c r="O878" s="8" t="s">
        <v>184</v>
      </c>
      <c r="P878" s="8" t="s">
        <v>195</v>
      </c>
      <c r="Q878" s="8" t="s">
        <v>196</v>
      </c>
      <c r="R878" s="8" t="s">
        <v>417</v>
      </c>
      <c r="S878" s="8" t="s">
        <v>383</v>
      </c>
      <c r="T878" s="8"/>
      <c r="U878" s="8" t="s">
        <v>384</v>
      </c>
      <c r="V878" s="8"/>
      <c r="W878" s="7" t="s">
        <v>380</v>
      </c>
      <c r="X878" s="8" t="s">
        <v>99</v>
      </c>
      <c r="Y878" s="8" t="s">
        <v>23</v>
      </c>
    </row>
    <row r="879" spans="1:25" hidden="1" x14ac:dyDescent="0.25">
      <c r="A879" s="273" t="s">
        <v>319</v>
      </c>
      <c r="B879" s="251">
        <v>45901</v>
      </c>
      <c r="C879" s="252" t="s">
        <v>694</v>
      </c>
      <c r="D879" s="252"/>
      <c r="E879" s="253">
        <v>504</v>
      </c>
      <c r="F879" s="253">
        <v>0</v>
      </c>
      <c r="G879" s="274">
        <f>Tabla3[[#This Row],[INGRESOS]]-Tabla3[[#This Row],[EGRESOS]]</f>
        <v>-504</v>
      </c>
      <c r="H879" s="135">
        <v>1300420.81</v>
      </c>
      <c r="I879" s="135">
        <v>1350</v>
      </c>
      <c r="J879" s="136">
        <f>Tabla3[[#This Row],[EGRESOS]]/Tabla3[[#This Row],[TC]]</f>
        <v>0.37333333333333335</v>
      </c>
      <c r="K879" s="136">
        <f>Tabla3[[#This Row],[INGRESOS]]/Tabla3[[#This Row],[TC]]</f>
        <v>0</v>
      </c>
      <c r="L879" s="8" t="s">
        <v>376</v>
      </c>
      <c r="M879" s="8" t="s">
        <v>377</v>
      </c>
      <c r="N879" s="8" t="s">
        <v>28</v>
      </c>
      <c r="O879" s="8" t="s">
        <v>184</v>
      </c>
      <c r="P879" s="8" t="s">
        <v>195</v>
      </c>
      <c r="Q879" s="8" t="s">
        <v>196</v>
      </c>
      <c r="R879" s="8" t="s">
        <v>609</v>
      </c>
      <c r="S879" s="8"/>
      <c r="T879" s="8"/>
      <c r="U879" s="8" t="s">
        <v>384</v>
      </c>
      <c r="V879" s="8"/>
      <c r="W879" s="7" t="s">
        <v>380</v>
      </c>
      <c r="X879" s="8" t="s">
        <v>99</v>
      </c>
      <c r="Y879" s="8" t="s">
        <v>23</v>
      </c>
    </row>
    <row r="880" spans="1:25" hidden="1" x14ac:dyDescent="0.25">
      <c r="A880" s="273" t="s">
        <v>319</v>
      </c>
      <c r="B880" s="251">
        <v>45901</v>
      </c>
      <c r="C880" s="252" t="s">
        <v>566</v>
      </c>
      <c r="D880" s="252"/>
      <c r="E880" s="253">
        <v>494.52</v>
      </c>
      <c r="F880" s="253">
        <v>0</v>
      </c>
      <c r="G880" s="274">
        <f>Tabla3[[#This Row],[INGRESOS]]-Tabla3[[#This Row],[EGRESOS]]</f>
        <v>-494.52</v>
      </c>
      <c r="H880" s="135">
        <v>1299926.29</v>
      </c>
      <c r="I880" s="135">
        <v>1350</v>
      </c>
      <c r="J880" s="136">
        <f>Tabla3[[#This Row],[EGRESOS]]/Tabla3[[#This Row],[TC]]</f>
        <v>0.36631111111111109</v>
      </c>
      <c r="K880" s="136">
        <f>Tabla3[[#This Row],[INGRESOS]]/Tabla3[[#This Row],[TC]]</f>
        <v>0</v>
      </c>
      <c r="L880" s="8" t="s">
        <v>376</v>
      </c>
      <c r="M880" s="8" t="s">
        <v>377</v>
      </c>
      <c r="N880" s="8" t="s">
        <v>28</v>
      </c>
      <c r="O880" s="8" t="s">
        <v>184</v>
      </c>
      <c r="P880" s="8" t="s">
        <v>195</v>
      </c>
      <c r="Q880" s="8" t="s">
        <v>196</v>
      </c>
      <c r="R880" s="8" t="s">
        <v>394</v>
      </c>
      <c r="S880" s="8"/>
      <c r="T880" s="8"/>
      <c r="U880" s="8" t="s">
        <v>384</v>
      </c>
      <c r="V880" s="8"/>
      <c r="W880" s="7" t="s">
        <v>380</v>
      </c>
      <c r="X880" s="8" t="s">
        <v>99</v>
      </c>
      <c r="Y880" s="8" t="s">
        <v>23</v>
      </c>
    </row>
    <row r="881" spans="1:25" hidden="1" x14ac:dyDescent="0.25">
      <c r="A881" s="387" t="s">
        <v>319</v>
      </c>
      <c r="B881" s="388">
        <v>45901</v>
      </c>
      <c r="C881" s="389" t="s">
        <v>567</v>
      </c>
      <c r="D881" s="389"/>
      <c r="E881" s="390">
        <v>2200.4499999999998</v>
      </c>
      <c r="F881" s="390">
        <v>0</v>
      </c>
      <c r="G881" s="336">
        <f>Tabla3[[#This Row],[INGRESOS]]-Tabla3[[#This Row],[EGRESOS]]</f>
        <v>-2200.4499999999998</v>
      </c>
      <c r="H881" s="391">
        <v>1297725.8400000001</v>
      </c>
      <c r="I881" s="391">
        <v>1350</v>
      </c>
      <c r="J881" s="392">
        <f>Tabla3[[#This Row],[EGRESOS]]/Tabla3[[#This Row],[TC]]</f>
        <v>1.6299629629629628</v>
      </c>
      <c r="K881" s="392">
        <f>Tabla3[[#This Row],[INGRESOS]]/Tabla3[[#This Row],[TC]]</f>
        <v>0</v>
      </c>
      <c r="L881" s="393" t="s">
        <v>376</v>
      </c>
      <c r="M881" s="393" t="s">
        <v>377</v>
      </c>
      <c r="N881" s="393" t="s">
        <v>28</v>
      </c>
      <c r="O881" s="393" t="s">
        <v>184</v>
      </c>
      <c r="P881" s="393" t="s">
        <v>197</v>
      </c>
      <c r="Q881" s="393" t="s">
        <v>198</v>
      </c>
      <c r="R881" s="393" t="s">
        <v>419</v>
      </c>
      <c r="S881" s="393"/>
      <c r="T881" s="393"/>
      <c r="U881" s="393" t="s">
        <v>384</v>
      </c>
      <c r="V881" s="393"/>
      <c r="W881" s="7" t="s">
        <v>380</v>
      </c>
      <c r="X881" s="393" t="s">
        <v>99</v>
      </c>
      <c r="Y881" s="393" t="s">
        <v>23</v>
      </c>
    </row>
    <row r="882" spans="1:25" hidden="1" x14ac:dyDescent="0.25">
      <c r="A882" s="273" t="s">
        <v>319</v>
      </c>
      <c r="B882" s="251">
        <v>45901</v>
      </c>
      <c r="C882" s="252" t="s">
        <v>463</v>
      </c>
      <c r="D882" s="252"/>
      <c r="E882" s="253">
        <v>31.49</v>
      </c>
      <c r="F882" s="253">
        <v>0</v>
      </c>
      <c r="G882" s="274">
        <f>Tabla3[[#This Row],[INGRESOS]]-Tabla3[[#This Row],[EGRESOS]]</f>
        <v>-31.49</v>
      </c>
      <c r="H882" s="135">
        <v>1297694.3500000001</v>
      </c>
      <c r="I882" s="135">
        <v>1350</v>
      </c>
      <c r="J882" s="136">
        <f>Tabla3[[#This Row],[EGRESOS]]/Tabla3[[#This Row],[TC]]</f>
        <v>2.3325925925925924E-2</v>
      </c>
      <c r="K882" s="136">
        <f>Tabla3[[#This Row],[INGRESOS]]/Tabla3[[#This Row],[TC]]</f>
        <v>0</v>
      </c>
      <c r="L882" s="8" t="s">
        <v>376</v>
      </c>
      <c r="M882" s="8" t="s">
        <v>377</v>
      </c>
      <c r="N882" s="8" t="s">
        <v>28</v>
      </c>
      <c r="O882" s="8" t="s">
        <v>184</v>
      </c>
      <c r="P882" s="8" t="s">
        <v>195</v>
      </c>
      <c r="Q882" s="8" t="s">
        <v>196</v>
      </c>
      <c r="R882" s="8" t="s">
        <v>423</v>
      </c>
      <c r="S882" s="8"/>
      <c r="T882" s="8"/>
      <c r="U882" s="8" t="s">
        <v>384</v>
      </c>
      <c r="V882" s="8"/>
      <c r="W882" s="7" t="s">
        <v>380</v>
      </c>
      <c r="X882" s="8" t="s">
        <v>99</v>
      </c>
      <c r="Y882" s="8" t="s">
        <v>23</v>
      </c>
    </row>
    <row r="883" spans="1:25" hidden="1" x14ac:dyDescent="0.25">
      <c r="A883" s="273" t="s">
        <v>319</v>
      </c>
      <c r="B883" s="251">
        <v>45901</v>
      </c>
      <c r="C883" s="252" t="s">
        <v>273</v>
      </c>
      <c r="D883" s="252"/>
      <c r="E883" s="253">
        <v>231.05</v>
      </c>
      <c r="F883" s="253">
        <v>0</v>
      </c>
      <c r="G883" s="274">
        <f>Tabla3[[#This Row],[INGRESOS]]-Tabla3[[#This Row],[EGRESOS]]</f>
        <v>-231.05</v>
      </c>
      <c r="H883" s="135">
        <v>1297463.3</v>
      </c>
      <c r="I883" s="135">
        <v>1350</v>
      </c>
      <c r="J883" s="136">
        <f>Tabla3[[#This Row],[EGRESOS]]/Tabla3[[#This Row],[TC]]</f>
        <v>0.17114814814814816</v>
      </c>
      <c r="K883" s="136">
        <f>Tabla3[[#This Row],[INGRESOS]]/Tabla3[[#This Row],[TC]]</f>
        <v>0</v>
      </c>
      <c r="L883" s="8" t="s">
        <v>376</v>
      </c>
      <c r="M883" s="8" t="s">
        <v>377</v>
      </c>
      <c r="N883" s="8" t="s">
        <v>28</v>
      </c>
      <c r="O883" s="8" t="s">
        <v>184</v>
      </c>
      <c r="P883" s="8" t="s">
        <v>195</v>
      </c>
      <c r="Q883" s="8" t="s">
        <v>196</v>
      </c>
      <c r="R883" s="8" t="s">
        <v>273</v>
      </c>
      <c r="S883" s="8"/>
      <c r="T883" s="8"/>
      <c r="U883" s="8" t="s">
        <v>384</v>
      </c>
      <c r="V883" s="8"/>
      <c r="W883" s="7" t="s">
        <v>380</v>
      </c>
      <c r="X883" s="8" t="s">
        <v>99</v>
      </c>
      <c r="Y883" s="8" t="s">
        <v>23</v>
      </c>
    </row>
    <row r="884" spans="1:25" hidden="1" x14ac:dyDescent="0.25">
      <c r="A884" s="273" t="s">
        <v>319</v>
      </c>
      <c r="B884" s="251">
        <v>45901</v>
      </c>
      <c r="C884" s="252" t="s">
        <v>566</v>
      </c>
      <c r="D884" s="252"/>
      <c r="E884" s="253">
        <v>14.78</v>
      </c>
      <c r="F884" s="253">
        <v>0</v>
      </c>
      <c r="G884" s="274">
        <f>Tabla3[[#This Row],[INGRESOS]]-Tabla3[[#This Row],[EGRESOS]]</f>
        <v>-14.78</v>
      </c>
      <c r="H884" s="135">
        <v>1297448.52</v>
      </c>
      <c r="I884" s="135">
        <v>1350</v>
      </c>
      <c r="J884" s="136">
        <f>Tabla3[[#This Row],[EGRESOS]]/Tabla3[[#This Row],[TC]]</f>
        <v>1.0948148148148148E-2</v>
      </c>
      <c r="K884" s="136">
        <f>Tabla3[[#This Row],[INGRESOS]]/Tabla3[[#This Row],[TC]]</f>
        <v>0</v>
      </c>
      <c r="L884" s="8" t="s">
        <v>376</v>
      </c>
      <c r="M884" s="8" t="s">
        <v>377</v>
      </c>
      <c r="N884" s="8" t="s">
        <v>28</v>
      </c>
      <c r="O884" s="8" t="s">
        <v>184</v>
      </c>
      <c r="P884" s="8" t="s">
        <v>195</v>
      </c>
      <c r="Q884" s="8" t="s">
        <v>196</v>
      </c>
      <c r="R884" s="8" t="s">
        <v>394</v>
      </c>
      <c r="S884" s="8"/>
      <c r="T884" s="8"/>
      <c r="U884" s="8" t="s">
        <v>384</v>
      </c>
      <c r="V884" s="8"/>
      <c r="W884" s="7" t="s">
        <v>380</v>
      </c>
      <c r="X884" s="8" t="s">
        <v>99</v>
      </c>
      <c r="Y884" s="8" t="s">
        <v>23</v>
      </c>
    </row>
    <row r="885" spans="1:25" hidden="1" x14ac:dyDescent="0.25">
      <c r="A885" s="273" t="s">
        <v>319</v>
      </c>
      <c r="B885" s="251">
        <v>45902</v>
      </c>
      <c r="C885" s="252" t="s">
        <v>577</v>
      </c>
      <c r="D885" s="252" t="s">
        <v>709</v>
      </c>
      <c r="E885" s="253">
        <v>1315879</v>
      </c>
      <c r="F885" s="253">
        <v>0</v>
      </c>
      <c r="G885" s="274">
        <f>Tabla3[[#This Row],[INGRESOS]]-Tabla3[[#This Row],[EGRESOS]]</f>
        <v>-1315879</v>
      </c>
      <c r="H885" s="135">
        <v>-18430.48</v>
      </c>
      <c r="I885" s="135">
        <v>1350</v>
      </c>
      <c r="J885" s="136">
        <f>Tabla3[[#This Row],[EGRESOS]]/Tabla3[[#This Row],[TC]]</f>
        <v>974.72518518518518</v>
      </c>
      <c r="K885" s="136">
        <f>Tabla3[[#This Row],[INGRESOS]]/Tabla3[[#This Row],[TC]]</f>
        <v>0</v>
      </c>
      <c r="L885" s="8" t="s">
        <v>376</v>
      </c>
      <c r="M885" s="8" t="s">
        <v>377</v>
      </c>
      <c r="N885" s="8" t="s">
        <v>28</v>
      </c>
      <c r="O885" s="8" t="s">
        <v>286</v>
      </c>
      <c r="P885" s="8" t="s">
        <v>287</v>
      </c>
      <c r="Q885" s="8" t="s">
        <v>291</v>
      </c>
      <c r="R885" s="8" t="s">
        <v>143</v>
      </c>
      <c r="S885" s="8" t="s">
        <v>676</v>
      </c>
      <c r="T885" s="8" t="s">
        <v>699</v>
      </c>
      <c r="U885" s="8" t="s">
        <v>412</v>
      </c>
      <c r="V885" s="8"/>
      <c r="W885" s="7" t="s">
        <v>380</v>
      </c>
      <c r="X885" s="8" t="s">
        <v>29</v>
      </c>
      <c r="Y885" s="8" t="s">
        <v>23</v>
      </c>
    </row>
    <row r="886" spans="1:25" hidden="1" x14ac:dyDescent="0.25">
      <c r="A886" s="273" t="s">
        <v>319</v>
      </c>
      <c r="B886" s="251">
        <v>45902</v>
      </c>
      <c r="C886" s="252" t="s">
        <v>710</v>
      </c>
      <c r="D886" s="252"/>
      <c r="E886" s="253">
        <v>0</v>
      </c>
      <c r="F886" s="253">
        <v>1116154.1599999999</v>
      </c>
      <c r="G886" s="274">
        <f>Tabla3[[#This Row],[INGRESOS]]-Tabla3[[#This Row],[EGRESOS]]</f>
        <v>1116154.1599999999</v>
      </c>
      <c r="H886" s="135">
        <v>1097723.68</v>
      </c>
      <c r="I886" s="135">
        <v>1350</v>
      </c>
      <c r="J886" s="136">
        <f>Tabla3[[#This Row],[EGRESOS]]/Tabla3[[#This Row],[TC]]</f>
        <v>0</v>
      </c>
      <c r="K886" s="136">
        <f>Tabla3[[#This Row],[INGRESOS]]/Tabla3[[#This Row],[TC]]</f>
        <v>826.78085925925916</v>
      </c>
      <c r="L886" s="8" t="s">
        <v>376</v>
      </c>
      <c r="M886" s="8" t="s">
        <v>377</v>
      </c>
      <c r="N886" s="8" t="s">
        <v>28</v>
      </c>
      <c r="O886" s="8" t="s">
        <v>215</v>
      </c>
      <c r="P886" s="8" t="s">
        <v>216</v>
      </c>
      <c r="Q886" s="8" t="s">
        <v>220</v>
      </c>
      <c r="R886" s="8" t="s">
        <v>705</v>
      </c>
      <c r="S886" s="8" t="s">
        <v>706</v>
      </c>
      <c r="T886" s="8"/>
      <c r="U886" s="8" t="s">
        <v>516</v>
      </c>
      <c r="V886" s="8"/>
      <c r="W886" s="7" t="s">
        <v>380</v>
      </c>
      <c r="X886" s="8" t="s">
        <v>23</v>
      </c>
      <c r="Y886" s="8" t="s">
        <v>97</v>
      </c>
    </row>
    <row r="887" spans="1:25" hidden="1" x14ac:dyDescent="0.25">
      <c r="A887" s="273" t="s">
        <v>319</v>
      </c>
      <c r="B887" s="251">
        <v>45902</v>
      </c>
      <c r="C887" s="252" t="s">
        <v>566</v>
      </c>
      <c r="D887" s="252"/>
      <c r="E887" s="253">
        <v>7895.27</v>
      </c>
      <c r="F887" s="253">
        <v>0</v>
      </c>
      <c r="G887" s="274">
        <f>Tabla3[[#This Row],[INGRESOS]]-Tabla3[[#This Row],[EGRESOS]]</f>
        <v>-7895.27</v>
      </c>
      <c r="H887" s="135">
        <v>1089828.4099999999</v>
      </c>
      <c r="I887" s="135">
        <v>1350</v>
      </c>
      <c r="J887" s="136">
        <f>Tabla3[[#This Row],[EGRESOS]]/Tabla3[[#This Row],[TC]]</f>
        <v>5.8483481481481485</v>
      </c>
      <c r="K887" s="136">
        <f>Tabla3[[#This Row],[INGRESOS]]/Tabla3[[#This Row],[TC]]</f>
        <v>0</v>
      </c>
      <c r="L887" s="8" t="s">
        <v>376</v>
      </c>
      <c r="M887" s="8" t="s">
        <v>377</v>
      </c>
      <c r="N887" s="8" t="s">
        <v>28</v>
      </c>
      <c r="O887" s="8" t="s">
        <v>184</v>
      </c>
      <c r="P887" s="8" t="s">
        <v>195</v>
      </c>
      <c r="Q887" s="8" t="s">
        <v>196</v>
      </c>
      <c r="R887" s="8" t="s">
        <v>394</v>
      </c>
      <c r="S887" s="8"/>
      <c r="T887" s="8"/>
      <c r="U887" s="8" t="s">
        <v>384</v>
      </c>
      <c r="V887" s="8"/>
      <c r="W887" s="7" t="s">
        <v>380</v>
      </c>
      <c r="X887" s="8" t="s">
        <v>99</v>
      </c>
      <c r="Y887" s="8" t="s">
        <v>23</v>
      </c>
    </row>
    <row r="888" spans="1:25" hidden="1" x14ac:dyDescent="0.25">
      <c r="A888" s="273" t="s">
        <v>319</v>
      </c>
      <c r="B888" s="251">
        <v>45902</v>
      </c>
      <c r="C888" s="252" t="s">
        <v>593</v>
      </c>
      <c r="D888" s="252"/>
      <c r="E888" s="253">
        <v>6696.93</v>
      </c>
      <c r="F888" s="253">
        <v>0</v>
      </c>
      <c r="G888" s="274">
        <f>Tabla3[[#This Row],[INGRESOS]]-Tabla3[[#This Row],[EGRESOS]]</f>
        <v>-6696.93</v>
      </c>
      <c r="H888" s="135">
        <v>1083131.48</v>
      </c>
      <c r="I888" s="135">
        <v>1350</v>
      </c>
      <c r="J888" s="136">
        <f>Tabla3[[#This Row],[EGRESOS]]/Tabla3[[#This Row],[TC]]</f>
        <v>4.9606888888888889</v>
      </c>
      <c r="K888" s="136">
        <f>Tabla3[[#This Row],[INGRESOS]]/Tabla3[[#This Row],[TC]]</f>
        <v>0</v>
      </c>
      <c r="L888" s="8" t="s">
        <v>376</v>
      </c>
      <c r="M888" s="8" t="s">
        <v>377</v>
      </c>
      <c r="N888" s="8" t="s">
        <v>28</v>
      </c>
      <c r="O888" s="8" t="s">
        <v>184</v>
      </c>
      <c r="P888" s="8" t="s">
        <v>195</v>
      </c>
      <c r="Q888" s="8" t="s">
        <v>196</v>
      </c>
      <c r="R888" s="8" t="s">
        <v>394</v>
      </c>
      <c r="S888" s="8"/>
      <c r="T888" s="8"/>
      <c r="U888" s="8" t="s">
        <v>384</v>
      </c>
      <c r="V888" s="8"/>
      <c r="W888" s="7" t="s">
        <v>380</v>
      </c>
      <c r="X888" s="8" t="s">
        <v>99</v>
      </c>
      <c r="Y888" s="8" t="s">
        <v>23</v>
      </c>
    </row>
    <row r="889" spans="1:25" hidden="1" x14ac:dyDescent="0.25">
      <c r="A889" s="273" t="s">
        <v>319</v>
      </c>
      <c r="B889" s="251">
        <v>45903</v>
      </c>
      <c r="C889" s="252" t="s">
        <v>573</v>
      </c>
      <c r="D889" s="252"/>
      <c r="E889" s="253">
        <v>1000000</v>
      </c>
      <c r="F889" s="253">
        <v>0</v>
      </c>
      <c r="G889" s="274">
        <f>Tabla3[[#This Row],[INGRESOS]]-Tabla3[[#This Row],[EGRESOS]]</f>
        <v>-1000000</v>
      </c>
      <c r="H889" s="135">
        <v>83131.48</v>
      </c>
      <c r="I889" s="135">
        <v>1350</v>
      </c>
      <c r="J889" s="136">
        <f>Tabla3[[#This Row],[EGRESOS]]/Tabla3[[#This Row],[TC]]</f>
        <v>740.74074074074076</v>
      </c>
      <c r="K889" s="136">
        <f>Tabla3[[#This Row],[INGRESOS]]/Tabla3[[#This Row],[TC]]</f>
        <v>0</v>
      </c>
      <c r="L889" s="8" t="s">
        <v>376</v>
      </c>
      <c r="M889" s="8" t="s">
        <v>377</v>
      </c>
      <c r="N889" s="8" t="s">
        <v>28</v>
      </c>
      <c r="O889" s="8" t="s">
        <v>244</v>
      </c>
      <c r="P889" s="8" t="s">
        <v>259</v>
      </c>
      <c r="Q889" s="8" t="s">
        <v>260</v>
      </c>
      <c r="R889" s="8" t="s">
        <v>378</v>
      </c>
      <c r="S889" s="8"/>
      <c r="T889" s="8"/>
      <c r="U889" s="8" t="s">
        <v>379</v>
      </c>
      <c r="V889" s="8"/>
      <c r="W889" s="7" t="s">
        <v>380</v>
      </c>
      <c r="X889" s="8"/>
      <c r="Y889" s="8"/>
    </row>
    <row r="890" spans="1:25" hidden="1" x14ac:dyDescent="0.25">
      <c r="A890" s="273" t="s">
        <v>319</v>
      </c>
      <c r="B890" s="251">
        <v>45908</v>
      </c>
      <c r="C890" s="252" t="s">
        <v>670</v>
      </c>
      <c r="D890" s="252" t="s">
        <v>711</v>
      </c>
      <c r="E890" s="253">
        <v>2020893.6</v>
      </c>
      <c r="F890" s="253">
        <v>0</v>
      </c>
      <c r="G890" s="274">
        <f>Tabla3[[#This Row],[INGRESOS]]-Tabla3[[#This Row],[EGRESOS]]</f>
        <v>-2020893.6</v>
      </c>
      <c r="H890" s="135">
        <v>-1937762.12</v>
      </c>
      <c r="I890" s="135">
        <v>1350</v>
      </c>
      <c r="J890" s="136">
        <f>Tabla3[[#This Row],[EGRESOS]]/Tabla3[[#This Row],[TC]]</f>
        <v>1496.9582222222223</v>
      </c>
      <c r="K890" s="136">
        <f>Tabla3[[#This Row],[INGRESOS]]/Tabla3[[#This Row],[TC]]</f>
        <v>0</v>
      </c>
      <c r="L890" s="8" t="s">
        <v>376</v>
      </c>
      <c r="M890" s="8" t="s">
        <v>377</v>
      </c>
      <c r="N890" s="8" t="s">
        <v>28</v>
      </c>
      <c r="O890" s="8" t="s">
        <v>286</v>
      </c>
      <c r="P890" s="8" t="s">
        <v>287</v>
      </c>
      <c r="Q890" s="8" t="s">
        <v>291</v>
      </c>
      <c r="R890" s="8" t="s">
        <v>143</v>
      </c>
      <c r="S890" s="8" t="s">
        <v>712</v>
      </c>
      <c r="T890" s="8" t="s">
        <v>713</v>
      </c>
      <c r="U890" s="8" t="s">
        <v>412</v>
      </c>
      <c r="V890" s="8"/>
      <c r="W890" s="7" t="s">
        <v>380</v>
      </c>
      <c r="X890" s="8" t="s">
        <v>29</v>
      </c>
      <c r="Y890" s="8" t="s">
        <v>23</v>
      </c>
    </row>
    <row r="891" spans="1:25" hidden="1" x14ac:dyDescent="0.25">
      <c r="A891" s="273" t="s">
        <v>319</v>
      </c>
      <c r="B891" s="251">
        <v>45908</v>
      </c>
      <c r="C891" s="252" t="s">
        <v>566</v>
      </c>
      <c r="D891" s="252"/>
      <c r="E891" s="253">
        <v>12125.36</v>
      </c>
      <c r="F891" s="253">
        <v>0</v>
      </c>
      <c r="G891" s="274">
        <f>Tabla3[[#This Row],[INGRESOS]]-Tabla3[[#This Row],[EGRESOS]]</f>
        <v>-12125.36</v>
      </c>
      <c r="H891" s="135">
        <v>-1949887.48</v>
      </c>
      <c r="I891" s="135">
        <v>1350</v>
      </c>
      <c r="J891" s="136">
        <f>Tabla3[[#This Row],[EGRESOS]]/Tabla3[[#This Row],[TC]]</f>
        <v>8.9817481481481494</v>
      </c>
      <c r="K891" s="136">
        <f>Tabla3[[#This Row],[INGRESOS]]/Tabla3[[#This Row],[TC]]</f>
        <v>0</v>
      </c>
      <c r="L891" s="8" t="s">
        <v>376</v>
      </c>
      <c r="M891" s="8" t="s">
        <v>377</v>
      </c>
      <c r="N891" s="8" t="s">
        <v>28</v>
      </c>
      <c r="O891" s="8" t="s">
        <v>184</v>
      </c>
      <c r="P891" s="8" t="s">
        <v>195</v>
      </c>
      <c r="Q891" s="8" t="s">
        <v>196</v>
      </c>
      <c r="R891" s="8" t="s">
        <v>394</v>
      </c>
      <c r="S891" s="8"/>
      <c r="T891" s="8"/>
      <c r="U891" s="8" t="s">
        <v>384</v>
      </c>
      <c r="V891" s="8"/>
      <c r="W891" s="7" t="s">
        <v>380</v>
      </c>
      <c r="X891" s="8" t="s">
        <v>99</v>
      </c>
      <c r="Y891" s="8" t="s">
        <v>23</v>
      </c>
    </row>
    <row r="892" spans="1:25" hidden="1" x14ac:dyDescent="0.25">
      <c r="A892" s="273" t="s">
        <v>319</v>
      </c>
      <c r="B892" s="251">
        <v>45910</v>
      </c>
      <c r="C892" s="252" t="s">
        <v>577</v>
      </c>
      <c r="D892" s="252" t="s">
        <v>714</v>
      </c>
      <c r="E892" s="253">
        <v>2000000</v>
      </c>
      <c r="F892" s="253">
        <v>0</v>
      </c>
      <c r="G892" s="274">
        <f>Tabla3[[#This Row],[INGRESOS]]-Tabla3[[#This Row],[EGRESOS]]</f>
        <v>-2000000</v>
      </c>
      <c r="H892" s="135">
        <v>-3949887.48</v>
      </c>
      <c r="I892" s="135">
        <v>1410</v>
      </c>
      <c r="J892" s="136">
        <f>Tabla3[[#This Row],[EGRESOS]]/Tabla3[[#This Row],[TC]]</f>
        <v>1418.4397163120568</v>
      </c>
      <c r="K892" s="136">
        <f>Tabla3[[#This Row],[INGRESOS]]/Tabla3[[#This Row],[TC]]</f>
        <v>0</v>
      </c>
      <c r="L892" s="8" t="s">
        <v>376</v>
      </c>
      <c r="M892" s="8" t="s">
        <v>377</v>
      </c>
      <c r="N892" s="8" t="s">
        <v>28</v>
      </c>
      <c r="O892" s="8" t="s">
        <v>215</v>
      </c>
      <c r="P892" s="8" t="s">
        <v>216</v>
      </c>
      <c r="Q892" s="8" t="s">
        <v>217</v>
      </c>
      <c r="R892" s="8" t="s">
        <v>188</v>
      </c>
      <c r="S892" s="8" t="s">
        <v>396</v>
      </c>
      <c r="T892" s="8"/>
      <c r="U892" s="8" t="s">
        <v>412</v>
      </c>
      <c r="V892" s="8"/>
      <c r="W892" s="7" t="s">
        <v>380</v>
      </c>
      <c r="X892" s="8" t="s">
        <v>29</v>
      </c>
      <c r="Y892" s="8" t="s">
        <v>23</v>
      </c>
    </row>
    <row r="893" spans="1:25" hidden="1" x14ac:dyDescent="0.25">
      <c r="A893" s="273" t="s">
        <v>319</v>
      </c>
      <c r="B893" s="251">
        <v>45910</v>
      </c>
      <c r="C893" s="252" t="s">
        <v>610</v>
      </c>
      <c r="D893" s="252"/>
      <c r="E893" s="253">
        <v>0</v>
      </c>
      <c r="F893" s="253">
        <v>30000000</v>
      </c>
      <c r="G893" s="274">
        <f>Tabla3[[#This Row],[INGRESOS]]-Tabla3[[#This Row],[EGRESOS]]</f>
        <v>30000000</v>
      </c>
      <c r="H893" s="135">
        <v>26050112.52</v>
      </c>
      <c r="I893" s="135">
        <v>1410</v>
      </c>
      <c r="J893" s="136">
        <f>Tabla3[[#This Row],[EGRESOS]]/Tabla3[[#This Row],[TC]]</f>
        <v>0</v>
      </c>
      <c r="K893" s="136">
        <f>Tabla3[[#This Row],[INGRESOS]]/Tabla3[[#This Row],[TC]]</f>
        <v>21276.59574468085</v>
      </c>
      <c r="L893" s="8" t="s">
        <v>376</v>
      </c>
      <c r="M893" s="8" t="s">
        <v>377</v>
      </c>
      <c r="N893" s="8" t="s">
        <v>28</v>
      </c>
      <c r="O893" s="8" t="s">
        <v>244</v>
      </c>
      <c r="P893" s="8" t="s">
        <v>261</v>
      </c>
      <c r="Q893" s="8" t="s">
        <v>266</v>
      </c>
      <c r="R893" s="8" t="s">
        <v>262</v>
      </c>
      <c r="S893" s="8" t="s">
        <v>28</v>
      </c>
      <c r="T893" s="8"/>
      <c r="U893" s="8" t="s">
        <v>442</v>
      </c>
      <c r="V893" s="8"/>
      <c r="W893" s="7" t="s">
        <v>380</v>
      </c>
      <c r="X893" s="8" t="s">
        <v>23</v>
      </c>
      <c r="Y893" s="8" t="s">
        <v>715</v>
      </c>
    </row>
    <row r="894" spans="1:25" hidden="1" x14ac:dyDescent="0.25">
      <c r="A894" s="273" t="s">
        <v>319</v>
      </c>
      <c r="B894" s="251">
        <v>45910</v>
      </c>
      <c r="C894" s="252" t="s">
        <v>573</v>
      </c>
      <c r="D894" s="252"/>
      <c r="E894" s="253">
        <v>15000000</v>
      </c>
      <c r="F894" s="253">
        <v>0</v>
      </c>
      <c r="G894" s="274">
        <f>Tabla3[[#This Row],[INGRESOS]]-Tabla3[[#This Row],[EGRESOS]]</f>
        <v>-15000000</v>
      </c>
      <c r="H894" s="135">
        <v>11050112.52</v>
      </c>
      <c r="I894" s="135">
        <v>1410</v>
      </c>
      <c r="J894" s="136">
        <f>Tabla3[[#This Row],[EGRESOS]]/Tabla3[[#This Row],[TC]]</f>
        <v>10638.297872340425</v>
      </c>
      <c r="K894" s="136">
        <f>Tabla3[[#This Row],[INGRESOS]]/Tabla3[[#This Row],[TC]]</f>
        <v>0</v>
      </c>
      <c r="L894" s="8" t="s">
        <v>376</v>
      </c>
      <c r="M894" s="8" t="s">
        <v>377</v>
      </c>
      <c r="N894" s="8" t="s">
        <v>28</v>
      </c>
      <c r="O894" s="8" t="s">
        <v>244</v>
      </c>
      <c r="P894" s="8" t="s">
        <v>259</v>
      </c>
      <c r="Q894" s="8" t="s">
        <v>260</v>
      </c>
      <c r="R894" s="8" t="s">
        <v>378</v>
      </c>
      <c r="S894" s="8"/>
      <c r="T894" s="8"/>
      <c r="U894" s="8" t="s">
        <v>379</v>
      </c>
      <c r="V894" s="8"/>
      <c r="W894" s="7" t="s">
        <v>380</v>
      </c>
      <c r="X894" s="8"/>
      <c r="Y894" s="8"/>
    </row>
    <row r="895" spans="1:25" hidden="1" x14ac:dyDescent="0.25">
      <c r="A895" s="273" t="s">
        <v>319</v>
      </c>
      <c r="B895" s="251">
        <v>45910</v>
      </c>
      <c r="C895" s="252" t="s">
        <v>573</v>
      </c>
      <c r="D895" s="252"/>
      <c r="E895" s="253">
        <v>7000000</v>
      </c>
      <c r="F895" s="253">
        <v>0</v>
      </c>
      <c r="G895" s="274">
        <f>Tabla3[[#This Row],[INGRESOS]]-Tabla3[[#This Row],[EGRESOS]]</f>
        <v>-7000000</v>
      </c>
      <c r="H895" s="135">
        <v>4050112.52</v>
      </c>
      <c r="I895" s="135">
        <v>1410</v>
      </c>
      <c r="J895" s="136">
        <f>Tabla3[[#This Row],[EGRESOS]]/Tabla3[[#This Row],[TC]]</f>
        <v>4964.5390070921985</v>
      </c>
      <c r="K895" s="136">
        <f>Tabla3[[#This Row],[INGRESOS]]/Tabla3[[#This Row],[TC]]</f>
        <v>0</v>
      </c>
      <c r="L895" s="8" t="s">
        <v>376</v>
      </c>
      <c r="M895" s="8" t="s">
        <v>377</v>
      </c>
      <c r="N895" s="8" t="s">
        <v>28</v>
      </c>
      <c r="O895" s="8" t="s">
        <v>244</v>
      </c>
      <c r="P895" s="8" t="s">
        <v>259</v>
      </c>
      <c r="Q895" s="8" t="s">
        <v>260</v>
      </c>
      <c r="R895" s="8" t="s">
        <v>467</v>
      </c>
      <c r="S895" s="8"/>
      <c r="T895" s="8"/>
      <c r="U895" s="8" t="s">
        <v>379</v>
      </c>
      <c r="V895" s="8"/>
      <c r="W895" s="7" t="s">
        <v>380</v>
      </c>
      <c r="X895" s="8"/>
      <c r="Y895" s="8"/>
    </row>
    <row r="896" spans="1:25" hidden="1" x14ac:dyDescent="0.25">
      <c r="A896" s="273" t="s">
        <v>319</v>
      </c>
      <c r="B896" s="251">
        <v>45910</v>
      </c>
      <c r="C896" s="252" t="s">
        <v>716</v>
      </c>
      <c r="D896" s="252"/>
      <c r="E896" s="253">
        <v>710029.67</v>
      </c>
      <c r="F896" s="253">
        <v>0</v>
      </c>
      <c r="G896" s="274">
        <f>Tabla3[[#This Row],[INGRESOS]]-Tabla3[[#This Row],[EGRESOS]]</f>
        <v>-710029.67</v>
      </c>
      <c r="H896" s="135">
        <v>3340082.85</v>
      </c>
      <c r="I896" s="135">
        <v>1410</v>
      </c>
      <c r="J896" s="136">
        <f>Tabla3[[#This Row],[EGRESOS]]/Tabla3[[#This Row],[TC]]</f>
        <v>503.56714184397168</v>
      </c>
      <c r="K896" s="136">
        <f>Tabla3[[#This Row],[INGRESOS]]/Tabla3[[#This Row],[TC]]</f>
        <v>0</v>
      </c>
      <c r="L896" s="8" t="s">
        <v>376</v>
      </c>
      <c r="M896" s="8" t="s">
        <v>377</v>
      </c>
      <c r="N896" s="8" t="s">
        <v>28</v>
      </c>
      <c r="O896" s="8" t="s">
        <v>184</v>
      </c>
      <c r="P896" s="8" t="s">
        <v>199</v>
      </c>
      <c r="Q896" s="8" t="s">
        <v>201</v>
      </c>
      <c r="R896" s="8" t="s">
        <v>717</v>
      </c>
      <c r="S896" s="8" t="s">
        <v>392</v>
      </c>
      <c r="T896" s="8"/>
      <c r="U896" s="8" t="s">
        <v>390</v>
      </c>
      <c r="V896" s="8"/>
      <c r="W896" s="7" t="s">
        <v>380</v>
      </c>
      <c r="X896" s="8" t="s">
        <v>99</v>
      </c>
      <c r="Y896" s="8" t="s">
        <v>23</v>
      </c>
    </row>
    <row r="897" spans="1:25" hidden="1" x14ac:dyDescent="0.25">
      <c r="A897" s="273" t="s">
        <v>319</v>
      </c>
      <c r="B897" s="251">
        <v>45910</v>
      </c>
      <c r="C897" s="252" t="s">
        <v>622</v>
      </c>
      <c r="D897" s="252"/>
      <c r="E897" s="253">
        <v>1000</v>
      </c>
      <c r="F897" s="253">
        <v>0</v>
      </c>
      <c r="G897" s="274">
        <f>Tabla3[[#This Row],[INGRESOS]]-Tabla3[[#This Row],[EGRESOS]]</f>
        <v>-1000</v>
      </c>
      <c r="H897" s="135">
        <v>3339082.85</v>
      </c>
      <c r="I897" s="135">
        <v>1410</v>
      </c>
      <c r="J897" s="136">
        <f>Tabla3[[#This Row],[EGRESOS]]/Tabla3[[#This Row],[TC]]</f>
        <v>0.70921985815602839</v>
      </c>
      <c r="K897" s="136">
        <v>0</v>
      </c>
      <c r="L897" s="8" t="s">
        <v>376</v>
      </c>
      <c r="M897" s="8" t="s">
        <v>377</v>
      </c>
      <c r="N897" s="8" t="s">
        <v>28</v>
      </c>
      <c r="O897" s="8" t="s">
        <v>184</v>
      </c>
      <c r="P897" s="8" t="s">
        <v>185</v>
      </c>
      <c r="Q897" s="8" t="s">
        <v>186</v>
      </c>
      <c r="R897" s="8"/>
      <c r="S897" s="8"/>
      <c r="T897" s="8"/>
      <c r="U897" s="8" t="s">
        <v>384</v>
      </c>
      <c r="V897" s="8"/>
      <c r="W897" s="7" t="s">
        <v>380</v>
      </c>
      <c r="X897" s="8" t="s">
        <v>99</v>
      </c>
      <c r="Y897" s="8" t="s">
        <v>23</v>
      </c>
    </row>
    <row r="898" spans="1:25" hidden="1" x14ac:dyDescent="0.25">
      <c r="A898" s="273" t="s">
        <v>319</v>
      </c>
      <c r="B898" s="251">
        <v>45910</v>
      </c>
      <c r="C898" s="252" t="s">
        <v>273</v>
      </c>
      <c r="D898" s="252"/>
      <c r="E898" s="253">
        <v>210</v>
      </c>
      <c r="F898" s="253">
        <v>0</v>
      </c>
      <c r="G898" s="274">
        <f>Tabla3[[#This Row],[INGRESOS]]-Tabla3[[#This Row],[EGRESOS]]</f>
        <v>-210</v>
      </c>
      <c r="H898" s="135">
        <v>3338872.85</v>
      </c>
      <c r="I898" s="135">
        <v>1410</v>
      </c>
      <c r="J898" s="136">
        <f>Tabla3[[#This Row],[EGRESOS]]/Tabla3[[#This Row],[TC]]</f>
        <v>0.14893617021276595</v>
      </c>
      <c r="K898" s="136">
        <v>0</v>
      </c>
      <c r="L898" s="8" t="s">
        <v>376</v>
      </c>
      <c r="M898" s="8" t="s">
        <v>377</v>
      </c>
      <c r="N898" s="8" t="s">
        <v>28</v>
      </c>
      <c r="O898" s="8" t="s">
        <v>184</v>
      </c>
      <c r="P898" s="8" t="s">
        <v>195</v>
      </c>
      <c r="Q898" s="8" t="s">
        <v>196</v>
      </c>
      <c r="R898" s="8" t="s">
        <v>273</v>
      </c>
      <c r="S898" s="8"/>
      <c r="T898" s="8"/>
      <c r="U898" s="8" t="s">
        <v>384</v>
      </c>
      <c r="V898" s="8"/>
      <c r="W898" s="7" t="s">
        <v>380</v>
      </c>
      <c r="X898" s="8" t="s">
        <v>99</v>
      </c>
      <c r="Y898" s="8" t="s">
        <v>23</v>
      </c>
    </row>
    <row r="899" spans="1:25" hidden="1" x14ac:dyDescent="0.25">
      <c r="A899" s="273" t="s">
        <v>319</v>
      </c>
      <c r="B899" s="251">
        <v>45910</v>
      </c>
      <c r="C899" s="252" t="s">
        <v>716</v>
      </c>
      <c r="D899" s="252"/>
      <c r="E899" s="253">
        <v>529588</v>
      </c>
      <c r="F899" s="253">
        <v>0</v>
      </c>
      <c r="G899" s="274">
        <f>Tabla3[[#This Row],[INGRESOS]]-Tabla3[[#This Row],[EGRESOS]]</f>
        <v>-529588</v>
      </c>
      <c r="H899" s="135">
        <v>2809284.85</v>
      </c>
      <c r="I899" s="135">
        <v>1410</v>
      </c>
      <c r="J899" s="136">
        <f>Tabla3[[#This Row],[EGRESOS]]/Tabla3[[#This Row],[TC]]</f>
        <v>375.59432624113475</v>
      </c>
      <c r="K899" s="136">
        <v>0</v>
      </c>
      <c r="L899" s="8" t="s">
        <v>376</v>
      </c>
      <c r="M899" s="8" t="s">
        <v>377</v>
      </c>
      <c r="N899" s="8" t="s">
        <v>28</v>
      </c>
      <c r="O899" s="8" t="s">
        <v>184</v>
      </c>
      <c r="P899" s="8" t="s">
        <v>210</v>
      </c>
      <c r="Q899" s="8" t="s">
        <v>205</v>
      </c>
      <c r="R899" s="8" t="s">
        <v>718</v>
      </c>
      <c r="S899" s="8" t="s">
        <v>524</v>
      </c>
      <c r="T899" s="8"/>
      <c r="U899" s="8" t="s">
        <v>453</v>
      </c>
      <c r="V899" s="8"/>
      <c r="W899" s="7" t="s">
        <v>380</v>
      </c>
      <c r="X899" s="8" t="s">
        <v>39</v>
      </c>
      <c r="Y899" s="8" t="s">
        <v>23</v>
      </c>
    </row>
    <row r="900" spans="1:25" hidden="1" x14ac:dyDescent="0.25">
      <c r="A900" s="273" t="s">
        <v>319</v>
      </c>
      <c r="B900" s="251">
        <v>45910</v>
      </c>
      <c r="C900" s="252" t="s">
        <v>622</v>
      </c>
      <c r="D900" s="252"/>
      <c r="E900" s="253">
        <v>1000</v>
      </c>
      <c r="F900" s="253">
        <v>0</v>
      </c>
      <c r="G900" s="274">
        <f>Tabla3[[#This Row],[INGRESOS]]-Tabla3[[#This Row],[EGRESOS]]</f>
        <v>-1000</v>
      </c>
      <c r="H900" s="135">
        <v>2808284.85</v>
      </c>
      <c r="I900" s="135">
        <v>1410</v>
      </c>
      <c r="J900" s="136">
        <f>Tabla3[[#This Row],[EGRESOS]]/Tabla3[[#This Row],[TC]]</f>
        <v>0.70921985815602839</v>
      </c>
      <c r="K900" s="136">
        <v>0</v>
      </c>
      <c r="L900" s="8" t="s">
        <v>376</v>
      </c>
      <c r="M900" s="8" t="s">
        <v>377</v>
      </c>
      <c r="N900" s="8" t="s">
        <v>28</v>
      </c>
      <c r="O900" s="8" t="s">
        <v>184</v>
      </c>
      <c r="P900" s="8" t="s">
        <v>185</v>
      </c>
      <c r="Q900" s="8" t="s">
        <v>186</v>
      </c>
      <c r="R900" s="8"/>
      <c r="S900" s="8"/>
      <c r="T900" s="8"/>
      <c r="U900" s="8" t="s">
        <v>384</v>
      </c>
      <c r="V900" s="8"/>
      <c r="W900" s="7" t="s">
        <v>380</v>
      </c>
      <c r="X900" s="8" t="s">
        <v>99</v>
      </c>
      <c r="Y900" s="8" t="s">
        <v>23</v>
      </c>
    </row>
    <row r="901" spans="1:25" hidden="1" x14ac:dyDescent="0.25">
      <c r="A901" s="273" t="s">
        <v>319</v>
      </c>
      <c r="B901" s="251">
        <v>45910</v>
      </c>
      <c r="C901" s="252" t="s">
        <v>273</v>
      </c>
      <c r="D901" s="252"/>
      <c r="E901" s="253">
        <v>210</v>
      </c>
      <c r="F901" s="253">
        <v>0</v>
      </c>
      <c r="G901" s="274">
        <f>Tabla3[[#This Row],[INGRESOS]]-Tabla3[[#This Row],[EGRESOS]]</f>
        <v>-210</v>
      </c>
      <c r="H901" s="135">
        <v>2808074.85</v>
      </c>
      <c r="I901" s="135">
        <v>1410</v>
      </c>
      <c r="J901" s="136">
        <f>Tabla3[[#This Row],[EGRESOS]]/Tabla3[[#This Row],[TC]]</f>
        <v>0.14893617021276595</v>
      </c>
      <c r="K901" s="136">
        <v>0</v>
      </c>
      <c r="L901" s="8" t="s">
        <v>376</v>
      </c>
      <c r="M901" s="8" t="s">
        <v>377</v>
      </c>
      <c r="N901" s="8" t="s">
        <v>28</v>
      </c>
      <c r="O901" s="8" t="s">
        <v>184</v>
      </c>
      <c r="P901" s="8" t="s">
        <v>195</v>
      </c>
      <c r="Q901" s="8" t="s">
        <v>196</v>
      </c>
      <c r="R901" s="8"/>
      <c r="S901" s="8"/>
      <c r="T901" s="8"/>
      <c r="U901" s="8" t="s">
        <v>384</v>
      </c>
      <c r="V901" s="8"/>
      <c r="W901" s="7" t="s">
        <v>380</v>
      </c>
      <c r="X901" s="8" t="s">
        <v>99</v>
      </c>
      <c r="Y901" s="8" t="s">
        <v>23</v>
      </c>
    </row>
    <row r="902" spans="1:25" hidden="1" x14ac:dyDescent="0.25">
      <c r="A902" s="273" t="s">
        <v>319</v>
      </c>
      <c r="B902" s="251">
        <v>45910</v>
      </c>
      <c r="C902" s="252" t="s">
        <v>566</v>
      </c>
      <c r="D902" s="252"/>
      <c r="E902" s="253">
        <v>19452.23</v>
      </c>
      <c r="F902" s="253">
        <v>0</v>
      </c>
      <c r="G902" s="274">
        <f>Tabla3[[#This Row],[INGRESOS]]-Tabla3[[#This Row],[EGRESOS]]</f>
        <v>-19452.23</v>
      </c>
      <c r="H902" s="135">
        <v>2788622.62</v>
      </c>
      <c r="I902" s="135">
        <v>1410</v>
      </c>
      <c r="J902" s="136">
        <f>Tabla3[[#This Row],[EGRESOS]]/Tabla3[[#This Row],[TC]]</f>
        <v>13.795907801418439</v>
      </c>
      <c r="K902" s="136">
        <v>0</v>
      </c>
      <c r="L902" s="8" t="s">
        <v>376</v>
      </c>
      <c r="M902" s="8" t="s">
        <v>377</v>
      </c>
      <c r="N902" s="8" t="s">
        <v>28</v>
      </c>
      <c r="O902" s="8" t="s">
        <v>184</v>
      </c>
      <c r="P902" s="8" t="s">
        <v>195</v>
      </c>
      <c r="Q902" s="8" t="s">
        <v>196</v>
      </c>
      <c r="R902" s="8"/>
      <c r="S902" s="8"/>
      <c r="T902" s="8"/>
      <c r="U902" s="8" t="s">
        <v>384</v>
      </c>
      <c r="V902" s="8"/>
      <c r="W902" s="7" t="s">
        <v>380</v>
      </c>
      <c r="X902" s="8" t="s">
        <v>99</v>
      </c>
      <c r="Y902" s="8" t="s">
        <v>23</v>
      </c>
    </row>
    <row r="903" spans="1:25" hidden="1" x14ac:dyDescent="0.25">
      <c r="A903" s="273" t="s">
        <v>319</v>
      </c>
      <c r="B903" s="251">
        <v>45911</v>
      </c>
      <c r="C903" s="252" t="s">
        <v>716</v>
      </c>
      <c r="D903" s="252"/>
      <c r="E903" s="253">
        <v>185824</v>
      </c>
      <c r="F903" s="253">
        <v>0</v>
      </c>
      <c r="G903" s="274">
        <f>Tabla3[[#This Row],[INGRESOS]]-Tabla3[[#This Row],[EGRESOS]]</f>
        <v>-185824</v>
      </c>
      <c r="H903" s="135">
        <v>2602798.62</v>
      </c>
      <c r="I903" s="135">
        <v>1410</v>
      </c>
      <c r="J903" s="136">
        <f>Tabla3[[#This Row],[EGRESOS]]/Tabla3[[#This Row],[TC]]</f>
        <v>131.7900709219858</v>
      </c>
      <c r="K903" s="136">
        <v>0</v>
      </c>
      <c r="L903" s="8" t="s">
        <v>376</v>
      </c>
      <c r="M903" s="8" t="s">
        <v>377</v>
      </c>
      <c r="N903" s="8" t="s">
        <v>28</v>
      </c>
      <c r="O903" s="8" t="s">
        <v>184</v>
      </c>
      <c r="P903" s="8" t="s">
        <v>210</v>
      </c>
      <c r="Q903" s="8" t="s">
        <v>205</v>
      </c>
      <c r="R903" s="8" t="s">
        <v>718</v>
      </c>
      <c r="S903" s="8" t="s">
        <v>524</v>
      </c>
      <c r="T903" s="8"/>
      <c r="U903" s="8" t="s">
        <v>453</v>
      </c>
      <c r="V903" s="8"/>
      <c r="W903" s="7" t="s">
        <v>380</v>
      </c>
      <c r="X903" s="8" t="s">
        <v>39</v>
      </c>
      <c r="Y903" s="8" t="s">
        <v>23</v>
      </c>
    </row>
    <row r="904" spans="1:25" hidden="1" x14ac:dyDescent="0.25">
      <c r="A904" s="273" t="s">
        <v>319</v>
      </c>
      <c r="B904" s="251">
        <v>45911</v>
      </c>
      <c r="C904" s="252" t="s">
        <v>566</v>
      </c>
      <c r="D904" s="252"/>
      <c r="E904" s="253">
        <v>1114.94</v>
      </c>
      <c r="F904" s="253">
        <v>0</v>
      </c>
      <c r="G904" s="274">
        <f>Tabla3[[#This Row],[INGRESOS]]-Tabla3[[#This Row],[EGRESOS]]</f>
        <v>-1114.94</v>
      </c>
      <c r="H904" s="135">
        <v>2601683.6800000002</v>
      </c>
      <c r="I904" s="135">
        <v>1410</v>
      </c>
      <c r="J904" s="136">
        <f>Tabla3[[#This Row],[EGRESOS]]/Tabla3[[#This Row],[TC]]</f>
        <v>0.79073758865248234</v>
      </c>
      <c r="K904" s="136">
        <v>0</v>
      </c>
      <c r="L904" s="8" t="s">
        <v>376</v>
      </c>
      <c r="M904" s="8" t="s">
        <v>377</v>
      </c>
      <c r="N904" s="8" t="s">
        <v>28</v>
      </c>
      <c r="O904" s="8" t="s">
        <v>184</v>
      </c>
      <c r="P904" s="8" t="s">
        <v>195</v>
      </c>
      <c r="Q904" s="8" t="s">
        <v>196</v>
      </c>
      <c r="R904" s="8"/>
      <c r="S904" s="8"/>
      <c r="T904" s="8"/>
      <c r="U904" s="8" t="s">
        <v>384</v>
      </c>
      <c r="V904" s="8"/>
      <c r="W904" s="7" t="s">
        <v>380</v>
      </c>
      <c r="X904" s="8" t="s">
        <v>99</v>
      </c>
      <c r="Y904" s="8" t="s">
        <v>23</v>
      </c>
    </row>
    <row r="905" spans="1:25" hidden="1" x14ac:dyDescent="0.25">
      <c r="A905" s="273" t="s">
        <v>319</v>
      </c>
      <c r="B905" s="251">
        <v>45916</v>
      </c>
      <c r="C905" s="252" t="s">
        <v>629</v>
      </c>
      <c r="D905" s="252" t="s">
        <v>719</v>
      </c>
      <c r="E905" s="253">
        <v>500000</v>
      </c>
      <c r="F905" s="253">
        <v>0</v>
      </c>
      <c r="G905" s="274">
        <f>Tabla3[[#This Row],[INGRESOS]]-Tabla3[[#This Row],[EGRESOS]]</f>
        <v>-500000</v>
      </c>
      <c r="H905" s="135">
        <v>1994041.68</v>
      </c>
      <c r="I905" s="135">
        <v>1410</v>
      </c>
      <c r="J905" s="136">
        <f>Tabla3[[#This Row],[EGRESOS]]/Tabla3[[#This Row],[TC]]</f>
        <v>354.6099290780142</v>
      </c>
      <c r="K905" s="136">
        <v>0</v>
      </c>
      <c r="L905" s="8" t="s">
        <v>376</v>
      </c>
      <c r="M905" s="8" t="s">
        <v>377</v>
      </c>
      <c r="N905" s="8" t="s">
        <v>28</v>
      </c>
      <c r="O905" s="8" t="s">
        <v>286</v>
      </c>
      <c r="P905" s="8" t="s">
        <v>287</v>
      </c>
      <c r="Q905" s="8" t="s">
        <v>291</v>
      </c>
      <c r="R905" s="8" t="s">
        <v>143</v>
      </c>
      <c r="S905" s="8" t="s">
        <v>676</v>
      </c>
      <c r="T905" s="8" t="s">
        <v>699</v>
      </c>
      <c r="U905" s="8" t="s">
        <v>412</v>
      </c>
      <c r="V905" s="8"/>
      <c r="W905" s="7" t="s">
        <v>380</v>
      </c>
      <c r="X905" s="8" t="s">
        <v>29</v>
      </c>
      <c r="Y905" s="8" t="s">
        <v>23</v>
      </c>
    </row>
    <row r="906" spans="1:25" hidden="1" x14ac:dyDescent="0.25">
      <c r="A906" s="273" t="s">
        <v>319</v>
      </c>
      <c r="B906" s="251">
        <v>45916</v>
      </c>
      <c r="C906" s="252" t="s">
        <v>577</v>
      </c>
      <c r="D906" s="252" t="s">
        <v>720</v>
      </c>
      <c r="E906" s="253">
        <v>1512164.32</v>
      </c>
      <c r="F906" s="253">
        <v>0</v>
      </c>
      <c r="G906" s="274">
        <f>Tabla3[[#This Row],[INGRESOS]]-Tabla3[[#This Row],[EGRESOS]]</f>
        <v>-1512164.32</v>
      </c>
      <c r="H906" s="135">
        <v>481877.36</v>
      </c>
      <c r="I906" s="135">
        <v>1410</v>
      </c>
      <c r="J906" s="136">
        <f>Tabla3[[#This Row],[EGRESOS]]/Tabla3[[#This Row],[TC]]</f>
        <v>1072.4569645390072</v>
      </c>
      <c r="K906" s="136">
        <v>0</v>
      </c>
      <c r="L906" s="8" t="s">
        <v>376</v>
      </c>
      <c r="M906" s="8" t="s">
        <v>377</v>
      </c>
      <c r="N906" s="8" t="s">
        <v>28</v>
      </c>
      <c r="O906" s="8" t="s">
        <v>286</v>
      </c>
      <c r="P906" s="8" t="s">
        <v>287</v>
      </c>
      <c r="Q906" s="8" t="s">
        <v>291</v>
      </c>
      <c r="R906" s="8" t="s">
        <v>143</v>
      </c>
      <c r="S906" s="8" t="s">
        <v>676</v>
      </c>
      <c r="T906" s="8" t="s">
        <v>699</v>
      </c>
      <c r="U906" s="8" t="s">
        <v>412</v>
      </c>
      <c r="V906" s="8"/>
      <c r="W906" s="7" t="s">
        <v>380</v>
      </c>
      <c r="X906" s="8" t="s">
        <v>29</v>
      </c>
      <c r="Y906" s="8" t="s">
        <v>23</v>
      </c>
    </row>
    <row r="907" spans="1:25" hidden="1" x14ac:dyDescent="0.25">
      <c r="A907" s="273" t="s">
        <v>319</v>
      </c>
      <c r="B907" s="251">
        <v>45916</v>
      </c>
      <c r="C907" s="252" t="s">
        <v>568</v>
      </c>
      <c r="D907" s="252"/>
      <c r="E907" s="253">
        <v>2000000</v>
      </c>
      <c r="F907" s="253">
        <v>0</v>
      </c>
      <c r="G907" s="274">
        <f>Tabla3[[#This Row],[INGRESOS]]-Tabla3[[#This Row],[EGRESOS]]</f>
        <v>-2000000</v>
      </c>
      <c r="H907" s="274">
        <v>-1518122.64</v>
      </c>
      <c r="I907" s="135">
        <v>1410</v>
      </c>
      <c r="J907" s="136">
        <f>Tabla3[[#This Row],[EGRESOS]]/Tabla3[[#This Row],[TC]]</f>
        <v>1418.4397163120568</v>
      </c>
      <c r="K907" s="136">
        <v>0</v>
      </c>
      <c r="L907" s="8" t="s">
        <v>376</v>
      </c>
      <c r="M907" s="8" t="s">
        <v>377</v>
      </c>
      <c r="N907" s="8" t="s">
        <v>28</v>
      </c>
      <c r="O907" s="8" t="s">
        <v>215</v>
      </c>
      <c r="P907" s="8" t="s">
        <v>216</v>
      </c>
      <c r="Q907" s="8" t="s">
        <v>219</v>
      </c>
      <c r="R907" s="8" t="s">
        <v>335</v>
      </c>
      <c r="S907" s="8" t="s">
        <v>721</v>
      </c>
      <c r="T907" s="8"/>
      <c r="U907" s="8" t="s">
        <v>412</v>
      </c>
      <c r="V907" s="8"/>
      <c r="W907" s="7" t="s">
        <v>380</v>
      </c>
      <c r="X907" s="8" t="s">
        <v>29</v>
      </c>
      <c r="Y907" s="8" t="s">
        <v>23</v>
      </c>
    </row>
    <row r="908" spans="1:25" hidden="1" x14ac:dyDescent="0.25">
      <c r="A908" s="273" t="s">
        <v>319</v>
      </c>
      <c r="B908" s="251">
        <v>45916</v>
      </c>
      <c r="C908" s="252" t="s">
        <v>622</v>
      </c>
      <c r="D908" s="252"/>
      <c r="E908" s="253">
        <v>1000</v>
      </c>
      <c r="F908" s="253">
        <v>0</v>
      </c>
      <c r="G908" s="274">
        <f>Tabla3[[#This Row],[INGRESOS]]-Tabla3[[#This Row],[EGRESOS]]</f>
        <v>-1000</v>
      </c>
      <c r="H908" s="274">
        <v>-1519122.64</v>
      </c>
      <c r="I908" s="135">
        <v>1410</v>
      </c>
      <c r="J908" s="136">
        <f>Tabla3[[#This Row],[EGRESOS]]/Tabla3[[#This Row],[TC]]</f>
        <v>0.70921985815602839</v>
      </c>
      <c r="K908" s="136">
        <v>0</v>
      </c>
      <c r="L908" s="8" t="s">
        <v>376</v>
      </c>
      <c r="M908" s="8" t="s">
        <v>377</v>
      </c>
      <c r="N908" s="8" t="s">
        <v>28</v>
      </c>
      <c r="O908" s="8" t="s">
        <v>184</v>
      </c>
      <c r="P908" s="8" t="s">
        <v>185</v>
      </c>
      <c r="Q908" s="8" t="s">
        <v>186</v>
      </c>
      <c r="R908" s="8"/>
      <c r="S908" s="8"/>
      <c r="T908" s="8"/>
      <c r="U908" s="8" t="s">
        <v>384</v>
      </c>
      <c r="V908" s="8"/>
      <c r="W908" s="7" t="s">
        <v>380</v>
      </c>
      <c r="X908" s="8" t="s">
        <v>99</v>
      </c>
      <c r="Y908" s="8" t="s">
        <v>23</v>
      </c>
    </row>
    <row r="909" spans="1:25" hidden="1" x14ac:dyDescent="0.25">
      <c r="A909" s="273" t="s">
        <v>319</v>
      </c>
      <c r="B909" s="251">
        <v>45916</v>
      </c>
      <c r="C909" s="252" t="s">
        <v>273</v>
      </c>
      <c r="D909" s="252"/>
      <c r="E909" s="253">
        <v>210</v>
      </c>
      <c r="F909" s="253">
        <v>0</v>
      </c>
      <c r="G909" s="274">
        <f>Tabla3[[#This Row],[INGRESOS]]-Tabla3[[#This Row],[EGRESOS]]</f>
        <v>-210</v>
      </c>
      <c r="H909" s="274">
        <v>-1519332.64</v>
      </c>
      <c r="I909" s="135">
        <v>1410</v>
      </c>
      <c r="J909" s="136">
        <f>Tabla3[[#This Row],[EGRESOS]]/Tabla3[[#This Row],[TC]]</f>
        <v>0.14893617021276595</v>
      </c>
      <c r="K909" s="136">
        <v>0</v>
      </c>
      <c r="L909" s="8" t="s">
        <v>376</v>
      </c>
      <c r="M909" s="8" t="s">
        <v>377</v>
      </c>
      <c r="N909" s="8" t="s">
        <v>28</v>
      </c>
      <c r="O909" s="8" t="s">
        <v>184</v>
      </c>
      <c r="P909" s="8" t="s">
        <v>195</v>
      </c>
      <c r="Q909" s="8" t="s">
        <v>196</v>
      </c>
      <c r="R909" s="8"/>
      <c r="S909" s="8"/>
      <c r="T909" s="8"/>
      <c r="U909" s="8" t="s">
        <v>384</v>
      </c>
      <c r="V909" s="8"/>
      <c r="W909" s="7" t="s">
        <v>380</v>
      </c>
      <c r="X909" s="8" t="s">
        <v>99</v>
      </c>
      <c r="Y909" s="8" t="s">
        <v>23</v>
      </c>
    </row>
    <row r="910" spans="1:25" hidden="1" x14ac:dyDescent="0.25">
      <c r="A910" s="273" t="s">
        <v>319</v>
      </c>
      <c r="B910" s="251">
        <v>45916</v>
      </c>
      <c r="C910" s="252" t="s">
        <v>566</v>
      </c>
      <c r="D910" s="252"/>
      <c r="E910" s="253">
        <v>24080.25</v>
      </c>
      <c r="F910" s="253">
        <v>0</v>
      </c>
      <c r="G910" s="274">
        <f>Tabla3[[#This Row],[INGRESOS]]-Tabla3[[#This Row],[EGRESOS]]</f>
        <v>-24080.25</v>
      </c>
      <c r="H910" s="274">
        <v>-1543412.89</v>
      </c>
      <c r="I910" s="135">
        <v>1410</v>
      </c>
      <c r="J910" s="136">
        <f>Tabla3[[#This Row],[EGRESOS]]/Tabla3[[#This Row],[TC]]</f>
        <v>17.078191489361704</v>
      </c>
      <c r="K910" s="136">
        <v>0</v>
      </c>
      <c r="L910" s="8" t="s">
        <v>376</v>
      </c>
      <c r="M910" s="8" t="s">
        <v>377</v>
      </c>
      <c r="N910" s="8" t="s">
        <v>28</v>
      </c>
      <c r="O910" s="8" t="s">
        <v>184</v>
      </c>
      <c r="P910" s="8" t="s">
        <v>195</v>
      </c>
      <c r="Q910" s="8" t="s">
        <v>196</v>
      </c>
      <c r="R910" s="8"/>
      <c r="S910" s="8"/>
      <c r="T910" s="8"/>
      <c r="U910" s="8" t="s">
        <v>384</v>
      </c>
      <c r="V910" s="8"/>
      <c r="W910" s="7" t="s">
        <v>380</v>
      </c>
      <c r="X910" s="8" t="s">
        <v>99</v>
      </c>
      <c r="Y910" s="8" t="s">
        <v>23</v>
      </c>
    </row>
    <row r="911" spans="1:25" hidden="1" x14ac:dyDescent="0.25">
      <c r="A911" s="273" t="s">
        <v>319</v>
      </c>
      <c r="B911" s="251">
        <v>45919</v>
      </c>
      <c r="C911" s="252" t="s">
        <v>610</v>
      </c>
      <c r="D911" s="252"/>
      <c r="E911" s="253">
        <v>0</v>
      </c>
      <c r="F911" s="253">
        <v>23000000</v>
      </c>
      <c r="G911" s="274">
        <f>Tabla3[[#This Row],[INGRESOS]]-Tabla3[[#This Row],[EGRESOS]]</f>
        <v>23000000</v>
      </c>
      <c r="H911" s="274">
        <v>21456587.109999999</v>
      </c>
      <c r="I911" s="135">
        <v>1410</v>
      </c>
      <c r="J911" s="136">
        <f>Tabla3[[#This Row],[EGRESOS]]/Tabla3[[#This Row],[TC]]</f>
        <v>0</v>
      </c>
      <c r="K911" s="136">
        <f>Tabla3[[#This Row],[INGRESOS]]/Tabla3[[#This Row],[TC]]</f>
        <v>16312.056737588653</v>
      </c>
      <c r="L911" s="8" t="s">
        <v>376</v>
      </c>
      <c r="M911" s="8" t="s">
        <v>377</v>
      </c>
      <c r="N911" s="8" t="s">
        <v>28</v>
      </c>
      <c r="O911" s="8" t="s">
        <v>244</v>
      </c>
      <c r="P911" s="8" t="s">
        <v>261</v>
      </c>
      <c r="Q911" s="8" t="s">
        <v>262</v>
      </c>
      <c r="R911" s="8" t="s">
        <v>262</v>
      </c>
      <c r="S911" s="8" t="s">
        <v>28</v>
      </c>
      <c r="T911" s="8"/>
      <c r="U911" s="8" t="s">
        <v>442</v>
      </c>
      <c r="V911" s="8"/>
      <c r="W911" s="7" t="s">
        <v>380</v>
      </c>
      <c r="X911" s="8" t="s">
        <v>23</v>
      </c>
      <c r="Y911" s="8" t="s">
        <v>93</v>
      </c>
    </row>
    <row r="912" spans="1:25" hidden="1" x14ac:dyDescent="0.25">
      <c r="A912" s="273" t="s">
        <v>319</v>
      </c>
      <c r="B912" s="251">
        <v>45919</v>
      </c>
      <c r="C912" s="252" t="s">
        <v>568</v>
      </c>
      <c r="D912" s="252"/>
      <c r="E912" s="253">
        <v>15372355.52</v>
      </c>
      <c r="F912" s="253">
        <v>0</v>
      </c>
      <c r="G912" s="274">
        <f>Tabla3[[#This Row],[INGRESOS]]-Tabla3[[#This Row],[EGRESOS]]</f>
        <v>-15372355.52</v>
      </c>
      <c r="H912" s="274">
        <v>6084231.5899999999</v>
      </c>
      <c r="I912" s="135">
        <v>1410</v>
      </c>
      <c r="J912" s="136">
        <f>Tabla3[[#This Row],[EGRESOS]]/Tabla3[[#This Row],[TC]]</f>
        <v>10902.379801418439</v>
      </c>
      <c r="K912" s="136">
        <v>0</v>
      </c>
      <c r="L912" s="8" t="s">
        <v>376</v>
      </c>
      <c r="M912" s="8" t="s">
        <v>377</v>
      </c>
      <c r="N912" s="8" t="s">
        <v>28</v>
      </c>
      <c r="O912" s="8" t="s">
        <v>215</v>
      </c>
      <c r="P912" s="8" t="s">
        <v>216</v>
      </c>
      <c r="Q912" s="8" t="s">
        <v>220</v>
      </c>
      <c r="R912" s="8" t="s">
        <v>722</v>
      </c>
      <c r="S912" s="8" t="s">
        <v>84</v>
      </c>
      <c r="T912" s="8"/>
      <c r="U912" s="8" t="s">
        <v>398</v>
      </c>
      <c r="V912" s="8"/>
      <c r="W912" s="7" t="s">
        <v>399</v>
      </c>
      <c r="X912" s="8" t="s">
        <v>722</v>
      </c>
      <c r="Y912" s="8" t="s">
        <v>23</v>
      </c>
    </row>
    <row r="913" spans="1:25" hidden="1" x14ac:dyDescent="0.25">
      <c r="A913" s="273" t="s">
        <v>319</v>
      </c>
      <c r="B913" s="251">
        <v>45919</v>
      </c>
      <c r="C913" s="252" t="s">
        <v>622</v>
      </c>
      <c r="D913" s="252"/>
      <c r="E913" s="253">
        <v>1000</v>
      </c>
      <c r="F913" s="253">
        <v>0</v>
      </c>
      <c r="G913" s="274">
        <f>Tabla3[[#This Row],[INGRESOS]]-Tabla3[[#This Row],[EGRESOS]]</f>
        <v>-1000</v>
      </c>
      <c r="H913" s="274">
        <v>6083231.5899999999</v>
      </c>
      <c r="I913" s="135">
        <v>1410</v>
      </c>
      <c r="J913" s="136">
        <f>Tabla3[[#This Row],[EGRESOS]]/Tabla3[[#This Row],[TC]]</f>
        <v>0.70921985815602839</v>
      </c>
      <c r="K913" s="136">
        <v>0</v>
      </c>
      <c r="L913" s="8" t="s">
        <v>376</v>
      </c>
      <c r="M913" s="8" t="s">
        <v>377</v>
      </c>
      <c r="N913" s="8" t="s">
        <v>28</v>
      </c>
      <c r="O913" s="8" t="s">
        <v>184</v>
      </c>
      <c r="P913" s="8" t="s">
        <v>185</v>
      </c>
      <c r="Q913" s="8" t="s">
        <v>186</v>
      </c>
      <c r="R913" s="8"/>
      <c r="S913" s="8"/>
      <c r="T913" s="8"/>
      <c r="U913" s="8" t="s">
        <v>384</v>
      </c>
      <c r="V913" s="8"/>
      <c r="W913" s="7" t="s">
        <v>380</v>
      </c>
      <c r="X913" s="8" t="s">
        <v>99</v>
      </c>
      <c r="Y913" s="8" t="s">
        <v>23</v>
      </c>
    </row>
    <row r="914" spans="1:25" hidden="1" x14ac:dyDescent="0.25">
      <c r="A914" s="273" t="s">
        <v>319</v>
      </c>
      <c r="B914" s="251">
        <v>45919</v>
      </c>
      <c r="C914" s="252" t="s">
        <v>273</v>
      </c>
      <c r="D914" s="252"/>
      <c r="E914" s="253">
        <v>210</v>
      </c>
      <c r="F914" s="253">
        <v>0</v>
      </c>
      <c r="G914" s="274">
        <f>Tabla3[[#This Row],[INGRESOS]]-Tabla3[[#This Row],[EGRESOS]]</f>
        <v>-210</v>
      </c>
      <c r="H914" s="274">
        <v>6083021.5899999999</v>
      </c>
      <c r="I914" s="135">
        <v>1410</v>
      </c>
      <c r="J914" s="136">
        <f>Tabla3[[#This Row],[EGRESOS]]/Tabla3[[#This Row],[TC]]</f>
        <v>0.14893617021276595</v>
      </c>
      <c r="K914" s="136">
        <v>0</v>
      </c>
      <c r="L914" s="8" t="s">
        <v>376</v>
      </c>
      <c r="M914" s="8" t="s">
        <v>377</v>
      </c>
      <c r="N914" s="8" t="s">
        <v>28</v>
      </c>
      <c r="O914" s="8" t="s">
        <v>184</v>
      </c>
      <c r="P914" s="8" t="s">
        <v>195</v>
      </c>
      <c r="Q914" s="8" t="s">
        <v>196</v>
      </c>
      <c r="R914" s="8" t="s">
        <v>394</v>
      </c>
      <c r="S914" s="8"/>
      <c r="T914" s="8"/>
      <c r="U914" s="8" t="s">
        <v>384</v>
      </c>
      <c r="V914" s="8"/>
      <c r="W914" s="7" t="s">
        <v>380</v>
      </c>
      <c r="X914" s="8" t="s">
        <v>99</v>
      </c>
      <c r="Y914" s="8" t="s">
        <v>23</v>
      </c>
    </row>
    <row r="915" spans="1:25" hidden="1" x14ac:dyDescent="0.25">
      <c r="A915" s="273" t="s">
        <v>319</v>
      </c>
      <c r="B915" s="251">
        <v>45919</v>
      </c>
      <c r="C915" s="252" t="s">
        <v>568</v>
      </c>
      <c r="D915" s="252"/>
      <c r="E915" s="253">
        <v>8698340.9000000004</v>
      </c>
      <c r="F915" s="253">
        <v>0</v>
      </c>
      <c r="G915" s="274">
        <f>Tabla3[[#This Row],[INGRESOS]]-Tabla3[[#This Row],[EGRESOS]]</f>
        <v>-8698340.9000000004</v>
      </c>
      <c r="H915" s="274">
        <v>-2615319.31</v>
      </c>
      <c r="I915" s="135">
        <v>1410</v>
      </c>
      <c r="J915" s="136">
        <f>Tabla3[[#This Row],[EGRESOS]]/Tabla3[[#This Row],[TC]]</f>
        <v>6169.0360992907808</v>
      </c>
      <c r="K915" s="136">
        <v>0</v>
      </c>
      <c r="L915" s="8" t="s">
        <v>376</v>
      </c>
      <c r="M915" s="8" t="s">
        <v>377</v>
      </c>
      <c r="N915" s="8" t="s">
        <v>28</v>
      </c>
      <c r="O915" s="8" t="s">
        <v>215</v>
      </c>
      <c r="P915" s="8" t="s">
        <v>216</v>
      </c>
      <c r="Q915" s="8" t="s">
        <v>220</v>
      </c>
      <c r="R915" s="8" t="s">
        <v>722</v>
      </c>
      <c r="S915" s="8" t="s">
        <v>82</v>
      </c>
      <c r="T915" s="8"/>
      <c r="U915" s="8" t="s">
        <v>398</v>
      </c>
      <c r="V915" s="8"/>
      <c r="W915" s="7" t="s">
        <v>399</v>
      </c>
      <c r="X915" s="8" t="s">
        <v>722</v>
      </c>
      <c r="Y915" s="8" t="s">
        <v>23</v>
      </c>
    </row>
    <row r="916" spans="1:25" hidden="1" x14ac:dyDescent="0.25">
      <c r="A916" s="273" t="s">
        <v>319</v>
      </c>
      <c r="B916" s="251">
        <v>45919</v>
      </c>
      <c r="C916" s="252" t="s">
        <v>622</v>
      </c>
      <c r="D916" s="252"/>
      <c r="E916" s="253">
        <v>1000</v>
      </c>
      <c r="F916" s="253">
        <v>0</v>
      </c>
      <c r="G916" s="274">
        <f>Tabla3[[#This Row],[INGRESOS]]-Tabla3[[#This Row],[EGRESOS]]</f>
        <v>-1000</v>
      </c>
      <c r="H916" s="274">
        <v>-2616319.31</v>
      </c>
      <c r="I916" s="135">
        <v>1410</v>
      </c>
      <c r="J916" s="136">
        <f>Tabla3[[#This Row],[EGRESOS]]/Tabla3[[#This Row],[TC]]</f>
        <v>0.70921985815602839</v>
      </c>
      <c r="K916" s="136">
        <v>0</v>
      </c>
      <c r="L916" s="8" t="s">
        <v>376</v>
      </c>
      <c r="M916" s="8" t="s">
        <v>377</v>
      </c>
      <c r="N916" s="8" t="s">
        <v>28</v>
      </c>
      <c r="O916" s="8" t="s">
        <v>184</v>
      </c>
      <c r="P916" s="8" t="s">
        <v>185</v>
      </c>
      <c r="Q916" s="8" t="s">
        <v>186</v>
      </c>
      <c r="R916" s="8"/>
      <c r="S916" s="8"/>
      <c r="T916" s="8"/>
      <c r="U916" s="8" t="s">
        <v>384</v>
      </c>
      <c r="V916" s="8"/>
      <c r="W916" s="7" t="s">
        <v>380</v>
      </c>
      <c r="X916" s="8" t="s">
        <v>99</v>
      </c>
      <c r="Y916" s="8" t="s">
        <v>23</v>
      </c>
    </row>
    <row r="917" spans="1:25" hidden="1" x14ac:dyDescent="0.25">
      <c r="A917" s="273" t="s">
        <v>319</v>
      </c>
      <c r="B917" s="251">
        <v>45919</v>
      </c>
      <c r="C917" s="252" t="s">
        <v>273</v>
      </c>
      <c r="D917" s="252"/>
      <c r="E917" s="253">
        <v>210</v>
      </c>
      <c r="F917" s="253">
        <v>0</v>
      </c>
      <c r="G917" s="274">
        <f>Tabla3[[#This Row],[INGRESOS]]-Tabla3[[#This Row],[EGRESOS]]</f>
        <v>-210</v>
      </c>
      <c r="H917" s="274">
        <v>-2616529.31</v>
      </c>
      <c r="I917" s="135">
        <v>1410</v>
      </c>
      <c r="J917" s="136">
        <f>Tabla3[[#This Row],[EGRESOS]]/Tabla3[[#This Row],[TC]]</f>
        <v>0.14893617021276595</v>
      </c>
      <c r="K917" s="136">
        <v>0</v>
      </c>
      <c r="L917" s="8" t="s">
        <v>376</v>
      </c>
      <c r="M917" s="8" t="s">
        <v>377</v>
      </c>
      <c r="N917" s="8" t="s">
        <v>28</v>
      </c>
      <c r="O917" s="8" t="s">
        <v>184</v>
      </c>
      <c r="P917" s="8" t="s">
        <v>195</v>
      </c>
      <c r="Q917" s="8" t="s">
        <v>196</v>
      </c>
      <c r="R917" s="8"/>
      <c r="S917" s="8"/>
      <c r="T917" s="8"/>
      <c r="U917" s="8" t="s">
        <v>384</v>
      </c>
      <c r="V917" s="8"/>
      <c r="W917" s="7" t="s">
        <v>380</v>
      </c>
      <c r="X917" s="8" t="s">
        <v>99</v>
      </c>
      <c r="Y917" s="8" t="s">
        <v>23</v>
      </c>
    </row>
    <row r="918" spans="1:25" hidden="1" x14ac:dyDescent="0.25">
      <c r="A918" s="273" t="s">
        <v>319</v>
      </c>
      <c r="B918" s="251">
        <v>45919</v>
      </c>
      <c r="C918" s="252" t="s">
        <v>566</v>
      </c>
      <c r="D918" s="252"/>
      <c r="E918" s="253">
        <v>144438.70000000001</v>
      </c>
      <c r="F918" s="253">
        <v>0</v>
      </c>
      <c r="G918" s="274">
        <f>Tabla3[[#This Row],[INGRESOS]]-Tabla3[[#This Row],[EGRESOS]]</f>
        <v>-144438.70000000001</v>
      </c>
      <c r="H918" s="274">
        <v>-2760968.01</v>
      </c>
      <c r="I918" s="135">
        <v>1410</v>
      </c>
      <c r="J918" s="136">
        <f>Tabla3[[#This Row],[EGRESOS]]/Tabla3[[#This Row],[TC]]</f>
        <v>102.43879432624114</v>
      </c>
      <c r="K918" s="136">
        <v>0</v>
      </c>
      <c r="L918" s="8" t="s">
        <v>376</v>
      </c>
      <c r="M918" s="8" t="s">
        <v>377</v>
      </c>
      <c r="N918" s="8" t="s">
        <v>28</v>
      </c>
      <c r="O918" s="8" t="s">
        <v>184</v>
      </c>
      <c r="P918" s="8" t="s">
        <v>195</v>
      </c>
      <c r="Q918" s="8" t="s">
        <v>196</v>
      </c>
      <c r="R918" s="8"/>
      <c r="S918" s="8"/>
      <c r="T918" s="8"/>
      <c r="U918" s="8" t="s">
        <v>384</v>
      </c>
      <c r="V918" s="8"/>
      <c r="W918" s="7" t="s">
        <v>380</v>
      </c>
      <c r="X918" s="8" t="s">
        <v>99</v>
      </c>
      <c r="Y918" s="8" t="s">
        <v>23</v>
      </c>
    </row>
    <row r="919" spans="1:25" hidden="1" x14ac:dyDescent="0.25">
      <c r="A919" s="273" t="s">
        <v>319</v>
      </c>
      <c r="B919" s="251">
        <v>45922</v>
      </c>
      <c r="C919" s="252" t="s">
        <v>723</v>
      </c>
      <c r="D919" s="252" t="s">
        <v>724</v>
      </c>
      <c r="E919" s="253">
        <v>1000000</v>
      </c>
      <c r="F919" s="253">
        <v>0</v>
      </c>
      <c r="G919" s="274">
        <f>Tabla3[[#This Row],[INGRESOS]]-Tabla3[[#This Row],[EGRESOS]]</f>
        <v>-1000000</v>
      </c>
      <c r="H919" s="274">
        <v>-3760968.01</v>
      </c>
      <c r="I919" s="135">
        <v>1410</v>
      </c>
      <c r="J919" s="136">
        <f>Tabla3[[#This Row],[EGRESOS]]/Tabla3[[#This Row],[TC]]</f>
        <v>709.21985815602841</v>
      </c>
      <c r="K919" s="136">
        <v>0</v>
      </c>
      <c r="L919" s="8" t="s">
        <v>376</v>
      </c>
      <c r="M919" s="8" t="s">
        <v>377</v>
      </c>
      <c r="N919" s="8" t="s">
        <v>28</v>
      </c>
      <c r="O919" s="8" t="s">
        <v>286</v>
      </c>
      <c r="P919" s="8" t="s">
        <v>287</v>
      </c>
      <c r="Q919" s="8" t="s">
        <v>291</v>
      </c>
      <c r="R919" s="8" t="s">
        <v>143</v>
      </c>
      <c r="S919" s="8" t="s">
        <v>676</v>
      </c>
      <c r="T919" s="8" t="s">
        <v>699</v>
      </c>
      <c r="U919" s="8" t="s">
        <v>412</v>
      </c>
      <c r="V919" s="8"/>
      <c r="W919" s="7" t="s">
        <v>380</v>
      </c>
      <c r="X919" s="8" t="s">
        <v>29</v>
      </c>
      <c r="Y919" s="8" t="s">
        <v>23</v>
      </c>
    </row>
    <row r="920" spans="1:25" hidden="1" x14ac:dyDescent="0.25">
      <c r="A920" s="273" t="s">
        <v>319</v>
      </c>
      <c r="B920" s="251">
        <v>45923</v>
      </c>
      <c r="C920" s="252" t="s">
        <v>577</v>
      </c>
      <c r="D920" s="252" t="s">
        <v>725</v>
      </c>
      <c r="E920" s="253">
        <v>2020893.6</v>
      </c>
      <c r="F920" s="253">
        <v>0</v>
      </c>
      <c r="G920" s="274">
        <f>Tabla3[[#This Row],[INGRESOS]]-Tabla3[[#This Row],[EGRESOS]]</f>
        <v>-2020893.6</v>
      </c>
      <c r="H920" s="274">
        <v>-5781861.6100000003</v>
      </c>
      <c r="I920" s="135">
        <v>1410</v>
      </c>
      <c r="J920" s="136">
        <f>Tabla3[[#This Row],[EGRESOS]]/Tabla3[[#This Row],[TC]]</f>
        <v>1433.2578723404256</v>
      </c>
      <c r="K920" s="136">
        <v>0</v>
      </c>
      <c r="L920" s="8" t="s">
        <v>376</v>
      </c>
      <c r="M920" s="8" t="s">
        <v>377</v>
      </c>
      <c r="N920" s="8" t="s">
        <v>28</v>
      </c>
      <c r="O920" s="8" t="s">
        <v>286</v>
      </c>
      <c r="P920" s="8" t="s">
        <v>287</v>
      </c>
      <c r="Q920" s="8" t="s">
        <v>291</v>
      </c>
      <c r="R920" s="8" t="s">
        <v>143</v>
      </c>
      <c r="S920" s="8" t="s">
        <v>712</v>
      </c>
      <c r="T920" s="8" t="s">
        <v>713</v>
      </c>
      <c r="U920" s="8" t="s">
        <v>412</v>
      </c>
      <c r="V920" s="8"/>
      <c r="W920" s="7" t="s">
        <v>380</v>
      </c>
      <c r="X920" s="8" t="s">
        <v>29</v>
      </c>
      <c r="Y920" s="8" t="s">
        <v>23</v>
      </c>
    </row>
    <row r="921" spans="1:25" hidden="1" x14ac:dyDescent="0.25">
      <c r="A921" s="273" t="s">
        <v>319</v>
      </c>
      <c r="B921" s="251">
        <v>45923</v>
      </c>
      <c r="C921" s="252" t="s">
        <v>716</v>
      </c>
      <c r="D921" s="252"/>
      <c r="E921" s="253">
        <v>114000</v>
      </c>
      <c r="F921" s="253">
        <v>0</v>
      </c>
      <c r="G921" s="274">
        <f>Tabla3[[#This Row],[INGRESOS]]-Tabla3[[#This Row],[EGRESOS]]</f>
        <v>-114000</v>
      </c>
      <c r="H921" s="274">
        <v>-5901861.6100000003</v>
      </c>
      <c r="I921" s="135">
        <v>1410</v>
      </c>
      <c r="J921" s="136">
        <f>Tabla3[[#This Row],[EGRESOS]]/Tabla3[[#This Row],[TC]]</f>
        <v>80.851063829787236</v>
      </c>
      <c r="K921" s="136">
        <v>0</v>
      </c>
      <c r="L921" s="8" t="s">
        <v>376</v>
      </c>
      <c r="M921" s="8" t="s">
        <v>377</v>
      </c>
      <c r="N921" s="8" t="s">
        <v>28</v>
      </c>
      <c r="O921" s="8" t="s">
        <v>225</v>
      </c>
      <c r="P921" s="8" t="s">
        <v>236</v>
      </c>
      <c r="Q921" s="8" t="s">
        <v>214</v>
      </c>
      <c r="R921" s="8"/>
      <c r="S921" s="8" t="s">
        <v>726</v>
      </c>
      <c r="T921" s="8"/>
      <c r="U921" s="8" t="s">
        <v>403</v>
      </c>
      <c r="V921" s="8"/>
      <c r="W921" s="7" t="s">
        <v>380</v>
      </c>
      <c r="X921" s="8" t="s">
        <v>29</v>
      </c>
      <c r="Y921" s="8" t="s">
        <v>23</v>
      </c>
    </row>
    <row r="922" spans="1:25" hidden="1" x14ac:dyDescent="0.25">
      <c r="A922" s="273" t="s">
        <v>319</v>
      </c>
      <c r="B922" s="251">
        <v>45923</v>
      </c>
      <c r="C922" s="252" t="s">
        <v>566</v>
      </c>
      <c r="D922" s="252"/>
      <c r="E922" s="253">
        <v>12809.36</v>
      </c>
      <c r="F922" s="253">
        <v>0</v>
      </c>
      <c r="G922" s="274">
        <f>Tabla3[[#This Row],[INGRESOS]]-Tabla3[[#This Row],[EGRESOS]]</f>
        <v>-12809.36</v>
      </c>
      <c r="H922" s="274">
        <v>-5914670.9699999997</v>
      </c>
      <c r="I922" s="135">
        <v>1410</v>
      </c>
      <c r="J922" s="136">
        <f>Tabla3[[#This Row],[EGRESOS]]/Tabla3[[#This Row],[TC]]</f>
        <v>9.0846524822695045</v>
      </c>
      <c r="K922" s="136">
        <v>0</v>
      </c>
      <c r="L922" s="8" t="s">
        <v>376</v>
      </c>
      <c r="M922" s="8" t="s">
        <v>377</v>
      </c>
      <c r="N922" s="8" t="s">
        <v>28</v>
      </c>
      <c r="O922" s="8" t="s">
        <v>184</v>
      </c>
      <c r="P922" s="8" t="s">
        <v>195</v>
      </c>
      <c r="Q922" s="8" t="s">
        <v>196</v>
      </c>
      <c r="R922" s="8" t="s">
        <v>394</v>
      </c>
      <c r="S922" s="8"/>
      <c r="T922" s="8"/>
      <c r="U922" s="8" t="s">
        <v>384</v>
      </c>
      <c r="V922" s="8"/>
      <c r="W922" s="7" t="s">
        <v>380</v>
      </c>
      <c r="X922" s="8" t="s">
        <v>99</v>
      </c>
      <c r="Y922" s="8" t="s">
        <v>23</v>
      </c>
    </row>
    <row r="923" spans="1:25" hidden="1" x14ac:dyDescent="0.25">
      <c r="A923" s="273" t="s">
        <v>319</v>
      </c>
      <c r="B923" s="251">
        <v>45925</v>
      </c>
      <c r="C923" s="252" t="s">
        <v>577</v>
      </c>
      <c r="D923" s="252" t="s">
        <v>727</v>
      </c>
      <c r="E923" s="253">
        <v>2737657</v>
      </c>
      <c r="F923" s="253">
        <v>0</v>
      </c>
      <c r="G923" s="274">
        <f>Tabla3[[#This Row],[INGRESOS]]-Tabla3[[#This Row],[EGRESOS]]</f>
        <v>-2737657</v>
      </c>
      <c r="H923" s="274">
        <v>-8652327.9700000007</v>
      </c>
      <c r="I923" s="135">
        <v>1410</v>
      </c>
      <c r="J923" s="136">
        <f>Tabla3[[#This Row],[EGRESOS]]/Tabla3[[#This Row],[TC]]</f>
        <v>1941.6007092198581</v>
      </c>
      <c r="K923" s="136">
        <v>0</v>
      </c>
      <c r="L923" s="8" t="s">
        <v>376</v>
      </c>
      <c r="M923" s="8" t="s">
        <v>377</v>
      </c>
      <c r="N923" s="8" t="s">
        <v>28</v>
      </c>
      <c r="O923" s="8" t="s">
        <v>215</v>
      </c>
      <c r="P923" s="8" t="s">
        <v>216</v>
      </c>
      <c r="Q923" s="8" t="s">
        <v>217</v>
      </c>
      <c r="R923" s="8" t="s">
        <v>188</v>
      </c>
      <c r="S923" s="8" t="s">
        <v>396</v>
      </c>
      <c r="T923" s="8" t="s">
        <v>728</v>
      </c>
      <c r="U923" s="8" t="s">
        <v>412</v>
      </c>
      <c r="V923" s="8"/>
      <c r="W923" s="7" t="s">
        <v>380</v>
      </c>
      <c r="X923" s="8" t="s">
        <v>29</v>
      </c>
      <c r="Y923" s="8" t="s">
        <v>23</v>
      </c>
    </row>
    <row r="924" spans="1:25" hidden="1" x14ac:dyDescent="0.25">
      <c r="A924" s="273" t="s">
        <v>319</v>
      </c>
      <c r="B924" s="251">
        <v>45925</v>
      </c>
      <c r="C924" s="252" t="s">
        <v>573</v>
      </c>
      <c r="D924" s="252"/>
      <c r="E924" s="253">
        <v>100000</v>
      </c>
      <c r="F924" s="253">
        <v>0</v>
      </c>
      <c r="G924" s="274">
        <f>Tabla3[[#This Row],[INGRESOS]]-Tabla3[[#This Row],[EGRESOS]]</f>
        <v>-100000</v>
      </c>
      <c r="H924" s="274">
        <v>-8752327.9700000007</v>
      </c>
      <c r="I924" s="135">
        <v>1410</v>
      </c>
      <c r="J924" s="136">
        <f>Tabla3[[#This Row],[EGRESOS]]/Tabla3[[#This Row],[TC]]</f>
        <v>70.921985815602838</v>
      </c>
      <c r="K924" s="136">
        <v>0</v>
      </c>
      <c r="L924" s="8" t="s">
        <v>376</v>
      </c>
      <c r="M924" s="8" t="s">
        <v>377</v>
      </c>
      <c r="N924" s="8" t="s">
        <v>28</v>
      </c>
      <c r="O924" s="8" t="s">
        <v>244</v>
      </c>
      <c r="P924" s="8" t="s">
        <v>259</v>
      </c>
      <c r="Q924" s="8" t="s">
        <v>260</v>
      </c>
      <c r="R924" s="8" t="s">
        <v>467</v>
      </c>
      <c r="S924" s="8"/>
      <c r="T924" s="8"/>
      <c r="U924" s="8" t="s">
        <v>379</v>
      </c>
      <c r="V924" s="8"/>
      <c r="W924" s="7" t="s">
        <v>380</v>
      </c>
      <c r="X924" s="8"/>
      <c r="Y924" s="8"/>
    </row>
    <row r="925" spans="1:25" hidden="1" x14ac:dyDescent="0.25">
      <c r="A925" s="273" t="s">
        <v>319</v>
      </c>
      <c r="B925" s="251">
        <v>45925</v>
      </c>
      <c r="C925" s="252" t="s">
        <v>566</v>
      </c>
      <c r="D925" s="252"/>
      <c r="E925" s="253">
        <v>16425.939999999999</v>
      </c>
      <c r="F925" s="253">
        <v>0</v>
      </c>
      <c r="G925" s="274">
        <f>Tabla3[[#This Row],[INGRESOS]]-Tabla3[[#This Row],[EGRESOS]]</f>
        <v>-16425.939999999999</v>
      </c>
      <c r="H925" s="274">
        <v>-8768753.9100000001</v>
      </c>
      <c r="I925" s="135">
        <v>1410</v>
      </c>
      <c r="J925" s="136">
        <f>Tabla3[[#This Row],[EGRESOS]]/Tabla3[[#This Row],[TC]]</f>
        <v>11.649602836879431</v>
      </c>
      <c r="K925" s="136">
        <v>0</v>
      </c>
      <c r="L925" s="8" t="s">
        <v>376</v>
      </c>
      <c r="M925" s="8" t="s">
        <v>377</v>
      </c>
      <c r="N925" s="8" t="s">
        <v>28</v>
      </c>
      <c r="O925" s="8" t="s">
        <v>184</v>
      </c>
      <c r="P925" s="8" t="s">
        <v>195</v>
      </c>
      <c r="Q925" s="8" t="s">
        <v>196</v>
      </c>
      <c r="R925" s="8" t="s">
        <v>394</v>
      </c>
      <c r="S925" s="8"/>
      <c r="T925" s="8"/>
      <c r="U925" s="8" t="s">
        <v>384</v>
      </c>
      <c r="V925" s="8"/>
      <c r="W925" s="7" t="s">
        <v>380</v>
      </c>
      <c r="X925" s="8" t="s">
        <v>99</v>
      </c>
      <c r="Y925" s="8" t="s">
        <v>23</v>
      </c>
    </row>
    <row r="926" spans="1:25" hidden="1" x14ac:dyDescent="0.25">
      <c r="A926" s="273" t="s">
        <v>319</v>
      </c>
      <c r="B926" s="251">
        <v>45926</v>
      </c>
      <c r="C926" s="252" t="s">
        <v>577</v>
      </c>
      <c r="D926" s="252" t="s">
        <v>729</v>
      </c>
      <c r="E926" s="253">
        <v>1533312</v>
      </c>
      <c r="F926" s="253">
        <v>0</v>
      </c>
      <c r="G926" s="274">
        <f>Tabla3[[#This Row],[INGRESOS]]-Tabla3[[#This Row],[EGRESOS]]</f>
        <v>-1533312</v>
      </c>
      <c r="H926" s="274">
        <v>-10302065.91</v>
      </c>
      <c r="I926" s="135">
        <v>1410</v>
      </c>
      <c r="J926" s="136">
        <f>Tabla3[[#This Row],[EGRESOS]]/Tabla3[[#This Row],[TC]]</f>
        <v>1087.4553191489363</v>
      </c>
      <c r="K926" s="136">
        <v>0</v>
      </c>
      <c r="L926" s="8" t="s">
        <v>376</v>
      </c>
      <c r="M926" s="8" t="s">
        <v>377</v>
      </c>
      <c r="N926" s="8" t="s">
        <v>28</v>
      </c>
      <c r="O926" s="8" t="s">
        <v>215</v>
      </c>
      <c r="P926" s="8" t="s">
        <v>216</v>
      </c>
      <c r="Q926" s="8" t="s">
        <v>220</v>
      </c>
      <c r="R926" s="8" t="s">
        <v>291</v>
      </c>
      <c r="S926" s="8" t="s">
        <v>730</v>
      </c>
      <c r="T926" s="8"/>
      <c r="U926" s="8" t="s">
        <v>412</v>
      </c>
      <c r="V926" s="8"/>
      <c r="W926" s="7" t="s">
        <v>380</v>
      </c>
      <c r="X926" s="8" t="s">
        <v>29</v>
      </c>
      <c r="Y926" s="8" t="s">
        <v>23</v>
      </c>
    </row>
    <row r="927" spans="1:25" hidden="1" x14ac:dyDescent="0.25">
      <c r="A927" s="273" t="s">
        <v>314</v>
      </c>
      <c r="B927" s="251">
        <v>45762</v>
      </c>
      <c r="C927" s="252" t="s">
        <v>568</v>
      </c>
      <c r="D927" s="252"/>
      <c r="E927" s="253">
        <v>1000000</v>
      </c>
      <c r="F927" s="253">
        <v>0</v>
      </c>
      <c r="G927" s="274">
        <f>Tabla3[[#This Row],[INGRESOS]]-Tabla3[[#This Row],[EGRESOS]]</f>
        <v>-1000000</v>
      </c>
      <c r="H927" s="274">
        <v>-5057433.7300000004</v>
      </c>
      <c r="I927" s="135">
        <v>1140</v>
      </c>
      <c r="J927" s="136">
        <f>Tabla3[[#This Row],[EGRESOS]]/Tabla3[[#This Row],[TC]]</f>
        <v>877.19298245614038</v>
      </c>
      <c r="K927" s="136">
        <f>Tabla3[[#This Row],[INGRESOS]]/Tabla3[[#This Row],[TC]]</f>
        <v>0</v>
      </c>
      <c r="L927" s="8" t="s">
        <v>376</v>
      </c>
      <c r="M927" s="8" t="s">
        <v>377</v>
      </c>
      <c r="N927" s="8" t="s">
        <v>28</v>
      </c>
      <c r="O927" s="8" t="s">
        <v>184</v>
      </c>
      <c r="P927" s="8" t="s">
        <v>203</v>
      </c>
      <c r="Q927" s="8" t="s">
        <v>208</v>
      </c>
      <c r="R927" s="8"/>
      <c r="S927" s="8" t="s">
        <v>386</v>
      </c>
      <c r="T927" s="8"/>
      <c r="U927" s="8" t="s">
        <v>387</v>
      </c>
      <c r="V927" s="8" t="s">
        <v>386</v>
      </c>
      <c r="W927" s="7" t="s">
        <v>380</v>
      </c>
      <c r="X927" s="8" t="s">
        <v>104</v>
      </c>
      <c r="Y927" s="8" t="s">
        <v>23</v>
      </c>
    </row>
    <row r="928" spans="1:25" hidden="1" x14ac:dyDescent="0.25">
      <c r="A928" s="273" t="s">
        <v>319</v>
      </c>
      <c r="B928" s="251">
        <v>45926</v>
      </c>
      <c r="C928" s="252" t="s">
        <v>566</v>
      </c>
      <c r="D928" s="252"/>
      <c r="E928" s="253">
        <v>9199.8700000000008</v>
      </c>
      <c r="F928" s="253">
        <v>0</v>
      </c>
      <c r="G928" s="274">
        <f>Tabla3[[#This Row],[INGRESOS]]-Tabla3[[#This Row],[EGRESOS]]</f>
        <v>-9199.8700000000008</v>
      </c>
      <c r="H928" s="274">
        <v>-8711265.7799999993</v>
      </c>
      <c r="I928" s="135">
        <v>1410</v>
      </c>
      <c r="J928" s="136">
        <f>Tabla3[[#This Row],[EGRESOS]]/Tabla3[[#This Row],[TC]]</f>
        <v>6.524730496453901</v>
      </c>
      <c r="K928" s="136">
        <v>0</v>
      </c>
      <c r="L928" s="8" t="s">
        <v>376</v>
      </c>
      <c r="M928" s="8" t="s">
        <v>377</v>
      </c>
      <c r="N928" s="8" t="s">
        <v>28</v>
      </c>
      <c r="O928" s="8" t="s">
        <v>184</v>
      </c>
      <c r="P928" s="8" t="s">
        <v>195</v>
      </c>
      <c r="Q928" s="8" t="s">
        <v>196</v>
      </c>
      <c r="R928" s="8" t="s">
        <v>394</v>
      </c>
      <c r="S928" s="8"/>
      <c r="T928" s="8"/>
      <c r="U928" s="8" t="s">
        <v>384</v>
      </c>
      <c r="V928" s="8"/>
      <c r="W928" s="7" t="s">
        <v>380</v>
      </c>
      <c r="X928" s="8" t="s">
        <v>99</v>
      </c>
      <c r="Y928" s="8" t="s">
        <v>23</v>
      </c>
    </row>
    <row r="929" spans="1:25" hidden="1" x14ac:dyDescent="0.25">
      <c r="A929" s="273" t="s">
        <v>319</v>
      </c>
      <c r="B929" s="251">
        <v>45926</v>
      </c>
      <c r="C929" s="252" t="s">
        <v>593</v>
      </c>
      <c r="D929" s="252"/>
      <c r="E929" s="253">
        <v>9600</v>
      </c>
      <c r="F929" s="253">
        <v>0</v>
      </c>
      <c r="G929" s="274">
        <f>Tabla3[[#This Row],[INGRESOS]]-Tabla3[[#This Row],[EGRESOS]]</f>
        <v>-9600</v>
      </c>
      <c r="H929" s="274">
        <v>-8720865.7799999993</v>
      </c>
      <c r="I929" s="135">
        <v>1410</v>
      </c>
      <c r="J929" s="136">
        <f>Tabla3[[#This Row],[EGRESOS]]/Tabla3[[#This Row],[TC]]</f>
        <v>6.8085106382978724</v>
      </c>
      <c r="K929" s="136">
        <v>0</v>
      </c>
      <c r="L929" s="8" t="s">
        <v>376</v>
      </c>
      <c r="M929" s="8" t="s">
        <v>377</v>
      </c>
      <c r="N929" s="8" t="s">
        <v>28</v>
      </c>
      <c r="O929" s="8" t="s">
        <v>184</v>
      </c>
      <c r="P929" s="8" t="s">
        <v>195</v>
      </c>
      <c r="Q929" s="8" t="s">
        <v>196</v>
      </c>
      <c r="R929" s="8" t="s">
        <v>394</v>
      </c>
      <c r="S929" s="8"/>
      <c r="T929" s="8"/>
      <c r="U929" s="8" t="s">
        <v>384</v>
      </c>
      <c r="V929" s="8"/>
      <c r="W929" s="7" t="s">
        <v>380</v>
      </c>
      <c r="X929" s="8" t="s">
        <v>99</v>
      </c>
      <c r="Y929" s="8" t="s">
        <v>23</v>
      </c>
    </row>
    <row r="930" spans="1:25" hidden="1" x14ac:dyDescent="0.25">
      <c r="A930" s="273" t="s">
        <v>320</v>
      </c>
      <c r="B930" s="251">
        <v>45931</v>
      </c>
      <c r="C930" s="252" t="s">
        <v>565</v>
      </c>
      <c r="D930" s="252"/>
      <c r="E930" s="253">
        <v>55000</v>
      </c>
      <c r="F930" s="253">
        <v>0</v>
      </c>
      <c r="G930" s="274">
        <f>Tabla3[[#This Row],[INGRESOS]]-Tabla3[[#This Row],[EGRESOS]]</f>
        <v>-55000</v>
      </c>
      <c r="H930" s="274">
        <v>-8775865.7799999993</v>
      </c>
      <c r="I930" s="135">
        <v>1410</v>
      </c>
      <c r="J930" s="136">
        <f>Tabla3[[#This Row],[EGRESOS]]/Tabla3[[#This Row],[TC]]</f>
        <v>39.00709219858156</v>
      </c>
      <c r="K930" s="136">
        <v>0</v>
      </c>
      <c r="L930" s="8" t="s">
        <v>376</v>
      </c>
      <c r="M930" s="8" t="s">
        <v>377</v>
      </c>
      <c r="N930" s="8" t="s">
        <v>28</v>
      </c>
      <c r="O930" s="8" t="s">
        <v>184</v>
      </c>
      <c r="P930" s="8" t="s">
        <v>185</v>
      </c>
      <c r="Q930" s="8" t="s">
        <v>186</v>
      </c>
      <c r="R930" s="8"/>
      <c r="S930" s="8"/>
      <c r="T930" s="8"/>
      <c r="U930" s="8" t="s">
        <v>384</v>
      </c>
      <c r="V930" s="8"/>
      <c r="W930" s="7" t="s">
        <v>380</v>
      </c>
      <c r="X930" s="8" t="s">
        <v>99</v>
      </c>
      <c r="Y930" s="8" t="s">
        <v>23</v>
      </c>
    </row>
    <row r="931" spans="1:25" hidden="1" x14ac:dyDescent="0.25">
      <c r="A931" s="273" t="s">
        <v>320</v>
      </c>
      <c r="B931" s="251">
        <v>45931</v>
      </c>
      <c r="C931" s="252" t="s">
        <v>273</v>
      </c>
      <c r="D931" s="252"/>
      <c r="E931" s="253">
        <v>11550</v>
      </c>
      <c r="F931" s="253">
        <v>0</v>
      </c>
      <c r="G931" s="274">
        <f>Tabla3[[#This Row],[INGRESOS]]-Tabla3[[#This Row],[EGRESOS]]</f>
        <v>-11550</v>
      </c>
      <c r="H931" s="274">
        <v>-8787415.7799999993</v>
      </c>
      <c r="I931" s="135">
        <v>1410</v>
      </c>
      <c r="J931" s="136">
        <f>Tabla3[[#This Row],[EGRESOS]]/Tabla3[[#This Row],[TC]]</f>
        <v>8.1914893617021285</v>
      </c>
      <c r="K931" s="136">
        <v>0</v>
      </c>
      <c r="L931" s="8" t="s">
        <v>376</v>
      </c>
      <c r="M931" s="8" t="s">
        <v>377</v>
      </c>
      <c r="N931" s="8" t="s">
        <v>28</v>
      </c>
      <c r="O931" s="8" t="s">
        <v>184</v>
      </c>
      <c r="P931" s="8" t="s">
        <v>195</v>
      </c>
      <c r="Q931" s="8" t="s">
        <v>196</v>
      </c>
      <c r="R931" s="8" t="s">
        <v>273</v>
      </c>
      <c r="S931" s="8"/>
      <c r="T931" s="8"/>
      <c r="U931" s="8" t="s">
        <v>384</v>
      </c>
      <c r="V931" s="8"/>
      <c r="W931" s="7" t="s">
        <v>380</v>
      </c>
      <c r="X931" s="8" t="s">
        <v>99</v>
      </c>
      <c r="Y931" s="8" t="s">
        <v>23</v>
      </c>
    </row>
    <row r="932" spans="1:25" hidden="1" x14ac:dyDescent="0.25">
      <c r="A932" s="273" t="s">
        <v>320</v>
      </c>
      <c r="B932" s="251">
        <v>45931</v>
      </c>
      <c r="C932" s="252" t="s">
        <v>564</v>
      </c>
      <c r="D932" s="252"/>
      <c r="E932" s="253">
        <v>1650</v>
      </c>
      <c r="F932" s="253">
        <v>0</v>
      </c>
      <c r="G932" s="274">
        <f>Tabla3[[#This Row],[INGRESOS]]-Tabla3[[#This Row],[EGRESOS]]</f>
        <v>-1650</v>
      </c>
      <c r="H932" s="274">
        <v>-8789065.7799999993</v>
      </c>
      <c r="I932" s="135">
        <v>1410</v>
      </c>
      <c r="J932" s="136">
        <f>Tabla3[[#This Row],[EGRESOS]]/Tabla3[[#This Row],[TC]]</f>
        <v>1.1702127659574468</v>
      </c>
      <c r="K932" s="136">
        <v>0</v>
      </c>
      <c r="L932" s="8" t="s">
        <v>376</v>
      </c>
      <c r="M932" s="8" t="s">
        <v>377</v>
      </c>
      <c r="N932" s="8" t="s">
        <v>28</v>
      </c>
      <c r="O932" s="8" t="s">
        <v>184</v>
      </c>
      <c r="P932" s="8" t="s">
        <v>195</v>
      </c>
      <c r="Q932" s="8" t="s">
        <v>196</v>
      </c>
      <c r="R932" s="8" t="s">
        <v>417</v>
      </c>
      <c r="S932" s="8" t="s">
        <v>383</v>
      </c>
      <c r="T932" s="8"/>
      <c r="U932" s="8" t="s">
        <v>384</v>
      </c>
      <c r="V932" s="8"/>
      <c r="W932" s="7" t="s">
        <v>380</v>
      </c>
      <c r="X932" s="8" t="s">
        <v>99</v>
      </c>
      <c r="Y932" s="8" t="s">
        <v>23</v>
      </c>
    </row>
    <row r="933" spans="1:25" hidden="1" x14ac:dyDescent="0.25">
      <c r="A933" s="273" t="s">
        <v>320</v>
      </c>
      <c r="B933" s="251">
        <v>45931</v>
      </c>
      <c r="C933" s="252" t="s">
        <v>694</v>
      </c>
      <c r="D933" s="252"/>
      <c r="E933" s="253">
        <v>3300</v>
      </c>
      <c r="F933" s="253">
        <v>0</v>
      </c>
      <c r="G933" s="274">
        <f>Tabla3[[#This Row],[INGRESOS]]-Tabla3[[#This Row],[EGRESOS]]</f>
        <v>-3300</v>
      </c>
      <c r="H933" s="274">
        <v>-8792365.7799999993</v>
      </c>
      <c r="I933" s="135">
        <v>1410</v>
      </c>
      <c r="J933" s="136">
        <f>Tabla3[[#This Row],[EGRESOS]]/Tabla3[[#This Row],[TC]]</f>
        <v>2.3404255319148937</v>
      </c>
      <c r="K933" s="136">
        <v>0</v>
      </c>
      <c r="L933" s="8" t="s">
        <v>376</v>
      </c>
      <c r="M933" s="8" t="s">
        <v>377</v>
      </c>
      <c r="N933" s="8" t="s">
        <v>28</v>
      </c>
      <c r="O933" s="8" t="s">
        <v>184</v>
      </c>
      <c r="P933" s="8" t="s">
        <v>195</v>
      </c>
      <c r="Q933" s="8" t="s">
        <v>196</v>
      </c>
      <c r="R933" s="8" t="s">
        <v>609</v>
      </c>
      <c r="S933" s="8"/>
      <c r="T933" s="8"/>
      <c r="U933" s="8" t="s">
        <v>384</v>
      </c>
      <c r="V933" s="8"/>
      <c r="W933" s="7" t="s">
        <v>380</v>
      </c>
      <c r="X933" s="8" t="s">
        <v>99</v>
      </c>
      <c r="Y933" s="8" t="s">
        <v>23</v>
      </c>
    </row>
    <row r="934" spans="1:25" hidden="1" x14ac:dyDescent="0.25">
      <c r="A934" s="273" t="s">
        <v>320</v>
      </c>
      <c r="B934" s="251">
        <v>45931</v>
      </c>
      <c r="C934" s="252" t="s">
        <v>580</v>
      </c>
      <c r="D934" s="252"/>
      <c r="E934" s="253">
        <v>14000</v>
      </c>
      <c r="F934" s="253">
        <v>0</v>
      </c>
      <c r="G934" s="274">
        <f>Tabla3[[#This Row],[INGRESOS]]-Tabla3[[#This Row],[EGRESOS]]</f>
        <v>-14000</v>
      </c>
      <c r="H934" s="274">
        <v>-8806365.7799999993</v>
      </c>
      <c r="I934" s="135">
        <v>1410</v>
      </c>
      <c r="J934" s="136">
        <f>Tabla3[[#This Row],[EGRESOS]]/Tabla3[[#This Row],[TC]]</f>
        <v>9.9290780141843964</v>
      </c>
      <c r="K934" s="136">
        <v>0</v>
      </c>
      <c r="L934" s="8" t="s">
        <v>376</v>
      </c>
      <c r="M934" s="8" t="s">
        <v>377</v>
      </c>
      <c r="N934" s="8" t="s">
        <v>28</v>
      </c>
      <c r="O934" s="8" t="s">
        <v>184</v>
      </c>
      <c r="P934" s="8" t="s">
        <v>185</v>
      </c>
      <c r="Q934" s="8" t="s">
        <v>186</v>
      </c>
      <c r="R934" s="8"/>
      <c r="S934" s="8"/>
      <c r="T934" s="8"/>
      <c r="U934" s="8" t="s">
        <v>384</v>
      </c>
      <c r="V934" s="8"/>
      <c r="W934" s="7" t="s">
        <v>380</v>
      </c>
      <c r="X934" s="8" t="s">
        <v>99</v>
      </c>
      <c r="Y934" s="8" t="s">
        <v>23</v>
      </c>
    </row>
    <row r="935" spans="1:25" hidden="1" x14ac:dyDescent="0.25">
      <c r="A935" s="273" t="s">
        <v>320</v>
      </c>
      <c r="B935" s="251">
        <v>45931</v>
      </c>
      <c r="C935" s="252" t="s">
        <v>273</v>
      </c>
      <c r="D935" s="252"/>
      <c r="E935" s="253">
        <v>2940</v>
      </c>
      <c r="F935" s="253">
        <v>0</v>
      </c>
      <c r="G935" s="274">
        <f>Tabla3[[#This Row],[INGRESOS]]-Tabla3[[#This Row],[EGRESOS]]</f>
        <v>-2940</v>
      </c>
      <c r="H935" s="274">
        <v>-8809305.7799999993</v>
      </c>
      <c r="I935" s="135">
        <v>1410</v>
      </c>
      <c r="J935" s="136">
        <f>Tabla3[[#This Row],[EGRESOS]]/Tabla3[[#This Row],[TC]]</f>
        <v>2.0851063829787235</v>
      </c>
      <c r="K935" s="136">
        <v>0</v>
      </c>
      <c r="L935" s="8" t="s">
        <v>376</v>
      </c>
      <c r="M935" s="8" t="s">
        <v>377</v>
      </c>
      <c r="N935" s="8" t="s">
        <v>28</v>
      </c>
      <c r="O935" s="8" t="s">
        <v>184</v>
      </c>
      <c r="P935" s="8" t="s">
        <v>195</v>
      </c>
      <c r="Q935" s="8" t="s">
        <v>196</v>
      </c>
      <c r="R935" s="8" t="s">
        <v>273</v>
      </c>
      <c r="S935" s="8"/>
      <c r="T935" s="8"/>
      <c r="U935" s="8" t="s">
        <v>384</v>
      </c>
      <c r="V935" s="8"/>
      <c r="W935" s="7" t="s">
        <v>380</v>
      </c>
      <c r="X935" s="8" t="s">
        <v>99</v>
      </c>
      <c r="Y935" s="8" t="s">
        <v>23</v>
      </c>
    </row>
    <row r="936" spans="1:25" hidden="1" x14ac:dyDescent="0.25">
      <c r="A936" s="273" t="s">
        <v>320</v>
      </c>
      <c r="B936" s="251">
        <v>45931</v>
      </c>
      <c r="C936" s="252" t="s">
        <v>564</v>
      </c>
      <c r="D936" s="252"/>
      <c r="E936" s="253">
        <v>420</v>
      </c>
      <c r="F936" s="253">
        <v>0</v>
      </c>
      <c r="G936" s="274">
        <f>Tabla3[[#This Row],[INGRESOS]]-Tabla3[[#This Row],[EGRESOS]]</f>
        <v>-420</v>
      </c>
      <c r="H936" s="274">
        <v>-8809725.7799999993</v>
      </c>
      <c r="I936" s="135">
        <v>1410</v>
      </c>
      <c r="J936" s="136">
        <f>Tabla3[[#This Row],[EGRESOS]]/Tabla3[[#This Row],[TC]]</f>
        <v>0.2978723404255319</v>
      </c>
      <c r="K936" s="136">
        <v>0</v>
      </c>
      <c r="L936" s="8" t="s">
        <v>376</v>
      </c>
      <c r="M936" s="8" t="s">
        <v>377</v>
      </c>
      <c r="N936" s="8" t="s">
        <v>28</v>
      </c>
      <c r="O936" s="8" t="s">
        <v>184</v>
      </c>
      <c r="P936" s="8" t="s">
        <v>195</v>
      </c>
      <c r="Q936" s="8" t="s">
        <v>196</v>
      </c>
      <c r="R936" s="8" t="s">
        <v>417</v>
      </c>
      <c r="S936" s="8" t="s">
        <v>383</v>
      </c>
      <c r="T936" s="8"/>
      <c r="U936" s="8" t="s">
        <v>384</v>
      </c>
      <c r="V936" s="8"/>
      <c r="W936" s="7" t="s">
        <v>380</v>
      </c>
      <c r="X936" s="8" t="s">
        <v>99</v>
      </c>
      <c r="Y936" s="8" t="s">
        <v>23</v>
      </c>
    </row>
    <row r="937" spans="1:25" hidden="1" x14ac:dyDescent="0.25">
      <c r="A937" s="273" t="s">
        <v>320</v>
      </c>
      <c r="B937" s="251">
        <v>45931</v>
      </c>
      <c r="C937" s="252" t="s">
        <v>694</v>
      </c>
      <c r="D937" s="252"/>
      <c r="E937" s="253">
        <v>840</v>
      </c>
      <c r="F937" s="253">
        <v>0</v>
      </c>
      <c r="G937" s="274">
        <f>Tabla3[[#This Row],[INGRESOS]]-Tabla3[[#This Row],[EGRESOS]]</f>
        <v>-840</v>
      </c>
      <c r="H937" s="274">
        <v>-8810565.7799999993</v>
      </c>
      <c r="I937" s="135">
        <v>1410</v>
      </c>
      <c r="J937" s="136">
        <f>Tabla3[[#This Row],[EGRESOS]]/Tabla3[[#This Row],[TC]]</f>
        <v>0.5957446808510638</v>
      </c>
      <c r="K937" s="136">
        <v>0</v>
      </c>
      <c r="L937" s="8" t="s">
        <v>376</v>
      </c>
      <c r="M937" s="8" t="s">
        <v>377</v>
      </c>
      <c r="N937" s="8" t="s">
        <v>28</v>
      </c>
      <c r="O937" s="8" t="s">
        <v>184</v>
      </c>
      <c r="P937" s="8" t="s">
        <v>195</v>
      </c>
      <c r="Q937" s="8" t="s">
        <v>196</v>
      </c>
      <c r="R937" s="8" t="s">
        <v>609</v>
      </c>
      <c r="S937" s="8"/>
      <c r="T937" s="8"/>
      <c r="U937" s="8" t="s">
        <v>384</v>
      </c>
      <c r="V937" s="8"/>
      <c r="W937" s="7" t="s">
        <v>380</v>
      </c>
      <c r="X937" s="8" t="s">
        <v>99</v>
      </c>
      <c r="Y937" s="8" t="s">
        <v>23</v>
      </c>
    </row>
    <row r="938" spans="1:25" hidden="1" x14ac:dyDescent="0.25">
      <c r="A938" s="273" t="s">
        <v>320</v>
      </c>
      <c r="B938" s="251">
        <v>45931</v>
      </c>
      <c r="C938" s="252" t="s">
        <v>566</v>
      </c>
      <c r="D938" s="252"/>
      <c r="E938" s="253">
        <v>538.20000000000005</v>
      </c>
      <c r="F938" s="253">
        <v>0</v>
      </c>
      <c r="G938" s="274">
        <f>Tabla3[[#This Row],[INGRESOS]]-Tabla3[[#This Row],[EGRESOS]]</f>
        <v>-538.20000000000005</v>
      </c>
      <c r="H938" s="274">
        <v>-8811103.9800000004</v>
      </c>
      <c r="I938" s="135">
        <v>1410</v>
      </c>
      <c r="J938" s="136">
        <f>Tabla3[[#This Row],[EGRESOS]]/Tabla3[[#This Row],[TC]]</f>
        <v>0.38170212765957451</v>
      </c>
      <c r="K938" s="136">
        <v>0</v>
      </c>
      <c r="L938" s="8" t="s">
        <v>376</v>
      </c>
      <c r="M938" s="8" t="s">
        <v>377</v>
      </c>
      <c r="N938" s="8" t="s">
        <v>28</v>
      </c>
      <c r="O938" s="8" t="s">
        <v>184</v>
      </c>
      <c r="P938" s="8" t="s">
        <v>195</v>
      </c>
      <c r="Q938" s="8" t="s">
        <v>196</v>
      </c>
      <c r="R938" s="8" t="s">
        <v>394</v>
      </c>
      <c r="S938" s="8"/>
      <c r="T938" s="8"/>
      <c r="U938" s="8" t="s">
        <v>384</v>
      </c>
      <c r="V938" s="8"/>
      <c r="W938" s="7" t="s">
        <v>380</v>
      </c>
      <c r="X938" s="8" t="s">
        <v>99</v>
      </c>
      <c r="Y938" s="8" t="s">
        <v>23</v>
      </c>
    </row>
    <row r="939" spans="1:25" hidden="1" x14ac:dyDescent="0.25">
      <c r="A939" s="273" t="s">
        <v>320</v>
      </c>
      <c r="B939" s="251">
        <v>45931</v>
      </c>
      <c r="C939" s="252" t="s">
        <v>694</v>
      </c>
      <c r="D939" s="252"/>
      <c r="E939" s="253">
        <v>9835.5</v>
      </c>
      <c r="F939" s="253">
        <v>0</v>
      </c>
      <c r="G939" s="274">
        <f>Tabla3[[#This Row],[INGRESOS]]-Tabla3[[#This Row],[EGRESOS]]</f>
        <v>-9835.5</v>
      </c>
      <c r="H939" s="274">
        <v>-8820939.4800000004</v>
      </c>
      <c r="I939" s="135">
        <v>1410</v>
      </c>
      <c r="J939" s="136">
        <f>Tabla3[[#This Row],[EGRESOS]]/Tabla3[[#This Row],[TC]]</f>
        <v>6.975531914893617</v>
      </c>
      <c r="K939" s="136">
        <v>0</v>
      </c>
      <c r="L939" s="8" t="s">
        <v>376</v>
      </c>
      <c r="M939" s="8" t="s">
        <v>377</v>
      </c>
      <c r="N939" s="8" t="s">
        <v>28</v>
      </c>
      <c r="O939" s="8" t="s">
        <v>184</v>
      </c>
      <c r="P939" s="8" t="s">
        <v>195</v>
      </c>
      <c r="Q939" s="8" t="s">
        <v>196</v>
      </c>
      <c r="R939" s="8" t="s">
        <v>609</v>
      </c>
      <c r="S939" s="8"/>
      <c r="T939" s="8"/>
      <c r="U939" s="8" t="s">
        <v>384</v>
      </c>
      <c r="V939" s="8"/>
      <c r="W939" s="7" t="s">
        <v>380</v>
      </c>
      <c r="X939" s="8" t="s">
        <v>99</v>
      </c>
      <c r="Y939" s="8" t="s">
        <v>23</v>
      </c>
    </row>
    <row r="940" spans="1:25" hidden="1" x14ac:dyDescent="0.25">
      <c r="A940" s="273" t="s">
        <v>320</v>
      </c>
      <c r="B940" s="251">
        <v>45931</v>
      </c>
      <c r="C940" s="252" t="s">
        <v>564</v>
      </c>
      <c r="D940" s="252"/>
      <c r="E940" s="253">
        <v>2458.88</v>
      </c>
      <c r="F940" s="253">
        <v>0</v>
      </c>
      <c r="G940" s="274">
        <f>Tabla3[[#This Row],[INGRESOS]]-Tabla3[[#This Row],[EGRESOS]]</f>
        <v>-2458.88</v>
      </c>
      <c r="H940" s="274">
        <v>-8823398.3599999994</v>
      </c>
      <c r="I940" s="135">
        <v>1410</v>
      </c>
      <c r="J940" s="136">
        <f>Tabla3[[#This Row],[EGRESOS]]/Tabla3[[#This Row],[TC]]</f>
        <v>1.7438865248226951</v>
      </c>
      <c r="K940" s="136">
        <v>0</v>
      </c>
      <c r="L940" s="8" t="s">
        <v>376</v>
      </c>
      <c r="M940" s="8" t="s">
        <v>377</v>
      </c>
      <c r="N940" s="8" t="s">
        <v>28</v>
      </c>
      <c r="O940" s="8" t="s">
        <v>184</v>
      </c>
      <c r="P940" s="8" t="s">
        <v>195</v>
      </c>
      <c r="Q940" s="8" t="s">
        <v>196</v>
      </c>
      <c r="R940" s="8" t="s">
        <v>417</v>
      </c>
      <c r="S940" s="8" t="s">
        <v>383</v>
      </c>
      <c r="T940" s="8"/>
      <c r="U940" s="8" t="s">
        <v>384</v>
      </c>
      <c r="V940" s="8"/>
      <c r="W940" s="7" t="s">
        <v>380</v>
      </c>
      <c r="X940" s="8" t="s">
        <v>99</v>
      </c>
      <c r="Y940" s="8" t="s">
        <v>23</v>
      </c>
    </row>
    <row r="941" spans="1:25" hidden="1" x14ac:dyDescent="0.25">
      <c r="A941" s="273" t="s">
        <v>320</v>
      </c>
      <c r="B941" s="251">
        <v>45931</v>
      </c>
      <c r="C941" s="252" t="s">
        <v>273</v>
      </c>
      <c r="D941" s="252"/>
      <c r="E941" s="253">
        <v>17212.13</v>
      </c>
      <c r="F941" s="253">
        <v>0</v>
      </c>
      <c r="G941" s="274">
        <f>Tabla3[[#This Row],[INGRESOS]]-Tabla3[[#This Row],[EGRESOS]]</f>
        <v>-17212.13</v>
      </c>
      <c r="H941" s="274">
        <v>-8840610.4900000002</v>
      </c>
      <c r="I941" s="135">
        <v>1410</v>
      </c>
      <c r="J941" s="136">
        <f>Tabla3[[#This Row],[EGRESOS]]/Tabla3[[#This Row],[TC]]</f>
        <v>12.207184397163122</v>
      </c>
      <c r="K941" s="136">
        <v>0</v>
      </c>
      <c r="L941" s="8" t="s">
        <v>376</v>
      </c>
      <c r="M941" s="8" t="s">
        <v>377</v>
      </c>
      <c r="N941" s="8" t="s">
        <v>28</v>
      </c>
      <c r="O941" s="8" t="s">
        <v>184</v>
      </c>
      <c r="P941" s="8" t="s">
        <v>195</v>
      </c>
      <c r="Q941" s="8" t="s">
        <v>196</v>
      </c>
      <c r="R941" s="8" t="s">
        <v>273</v>
      </c>
      <c r="S941" s="8"/>
      <c r="T941" s="8"/>
      <c r="U941" s="8" t="s">
        <v>384</v>
      </c>
      <c r="V941" s="8"/>
      <c r="W941" s="7" t="s">
        <v>380</v>
      </c>
      <c r="X941" s="8" t="s">
        <v>99</v>
      </c>
      <c r="Y941" s="8" t="s">
        <v>23</v>
      </c>
    </row>
    <row r="942" spans="1:25" hidden="1" x14ac:dyDescent="0.25">
      <c r="A942" s="273" t="s">
        <v>320</v>
      </c>
      <c r="B942" s="251">
        <v>45931</v>
      </c>
      <c r="C942" s="252" t="s">
        <v>463</v>
      </c>
      <c r="D942" s="252"/>
      <c r="E942" s="253">
        <v>2787.36</v>
      </c>
      <c r="F942" s="253">
        <v>0</v>
      </c>
      <c r="G942" s="274">
        <f>Tabla3[[#This Row],[INGRESOS]]-Tabla3[[#This Row],[EGRESOS]]</f>
        <v>-2787.36</v>
      </c>
      <c r="H942" s="274">
        <v>-8843397.8499999996</v>
      </c>
      <c r="I942" s="135">
        <v>1410</v>
      </c>
      <c r="J942" s="136">
        <f>Tabla3[[#This Row],[EGRESOS]]/Tabla3[[#This Row],[TC]]</f>
        <v>1.9768510638297874</v>
      </c>
      <c r="K942" s="136">
        <v>0</v>
      </c>
      <c r="L942" s="8" t="s">
        <v>376</v>
      </c>
      <c r="M942" s="8" t="s">
        <v>377</v>
      </c>
      <c r="N942" s="8" t="s">
        <v>28</v>
      </c>
      <c r="O942" s="8" t="s">
        <v>184</v>
      </c>
      <c r="P942" s="8" t="s">
        <v>195</v>
      </c>
      <c r="Q942" s="8" t="s">
        <v>196</v>
      </c>
      <c r="R942" s="8" t="s">
        <v>423</v>
      </c>
      <c r="S942" s="8"/>
      <c r="T942" s="8"/>
      <c r="U942" s="8" t="s">
        <v>384</v>
      </c>
      <c r="V942" s="8"/>
      <c r="W942" s="7" t="s">
        <v>380</v>
      </c>
      <c r="X942" s="8" t="s">
        <v>99</v>
      </c>
      <c r="Y942" s="8" t="s">
        <v>23</v>
      </c>
    </row>
    <row r="943" spans="1:25" hidden="1" x14ac:dyDescent="0.25">
      <c r="A943" s="387" t="s">
        <v>320</v>
      </c>
      <c r="B943" s="388">
        <v>45931</v>
      </c>
      <c r="C943" s="389" t="s">
        <v>567</v>
      </c>
      <c r="D943" s="389"/>
      <c r="E943" s="390">
        <v>163925.04</v>
      </c>
      <c r="F943" s="390">
        <v>0</v>
      </c>
      <c r="G943" s="336">
        <f>Tabla3[[#This Row],[INGRESOS]]-Tabla3[[#This Row],[EGRESOS]]</f>
        <v>-163925.04</v>
      </c>
      <c r="H943" s="336">
        <v>-9007322.8900000006</v>
      </c>
      <c r="I943" s="391">
        <v>1410</v>
      </c>
      <c r="J943" s="392">
        <f>Tabla3[[#This Row],[EGRESOS]]/Tabla3[[#This Row],[TC]]</f>
        <v>116.25889361702129</v>
      </c>
      <c r="K943" s="392">
        <v>0</v>
      </c>
      <c r="L943" s="393" t="s">
        <v>376</v>
      </c>
      <c r="M943" s="393" t="s">
        <v>377</v>
      </c>
      <c r="N943" s="393" t="s">
        <v>28</v>
      </c>
      <c r="O943" s="393" t="s">
        <v>184</v>
      </c>
      <c r="P943" s="393" t="s">
        <v>197</v>
      </c>
      <c r="Q943" s="393" t="s">
        <v>198</v>
      </c>
      <c r="R943" s="393" t="s">
        <v>419</v>
      </c>
      <c r="S943" s="393"/>
      <c r="T943" s="393"/>
      <c r="U943" s="393" t="s">
        <v>384</v>
      </c>
      <c r="V943" s="393"/>
      <c r="W943" s="7" t="s">
        <v>380</v>
      </c>
      <c r="X943" s="393" t="s">
        <v>99</v>
      </c>
      <c r="Y943" s="393" t="s">
        <v>23</v>
      </c>
    </row>
    <row r="944" spans="1:25" hidden="1" x14ac:dyDescent="0.25">
      <c r="A944" s="273" t="s">
        <v>320</v>
      </c>
      <c r="B944" s="251">
        <v>45931</v>
      </c>
      <c r="C944" s="252" t="s">
        <v>566</v>
      </c>
      <c r="D944" s="252"/>
      <c r="E944" s="253">
        <v>1177.31</v>
      </c>
      <c r="F944" s="253">
        <v>0</v>
      </c>
      <c r="G944" s="274">
        <f>Tabla3[[#This Row],[INGRESOS]]-Tabla3[[#This Row],[EGRESOS]]</f>
        <v>-1177.31</v>
      </c>
      <c r="H944" s="274">
        <v>-9008500.1999999993</v>
      </c>
      <c r="I944" s="135">
        <v>1410</v>
      </c>
      <c r="J944" s="136">
        <f>Tabla3[[#This Row],[EGRESOS]]/Tabla3[[#This Row],[TC]]</f>
        <v>0.83497163120567375</v>
      </c>
      <c r="K944" s="136">
        <v>0</v>
      </c>
      <c r="L944" s="8" t="s">
        <v>376</v>
      </c>
      <c r="M944" s="8" t="s">
        <v>377</v>
      </c>
      <c r="N944" s="8" t="s">
        <v>28</v>
      </c>
      <c r="O944" s="8" t="s">
        <v>184</v>
      </c>
      <c r="P944" s="8" t="s">
        <v>195</v>
      </c>
      <c r="Q944" s="8" t="s">
        <v>196</v>
      </c>
      <c r="R944" s="8" t="s">
        <v>394</v>
      </c>
      <c r="S944" s="8"/>
      <c r="T944" s="8"/>
      <c r="U944" s="8" t="s">
        <v>384</v>
      </c>
      <c r="V944" s="8"/>
      <c r="W944" s="7" t="s">
        <v>380</v>
      </c>
      <c r="X944" s="8" t="s">
        <v>99</v>
      </c>
      <c r="Y944" s="8" t="s">
        <v>23</v>
      </c>
    </row>
    <row r="945" spans="1:25" hidden="1" x14ac:dyDescent="0.25">
      <c r="A945" s="273" t="s">
        <v>320</v>
      </c>
      <c r="B945" s="251">
        <v>45938</v>
      </c>
      <c r="C945" s="252" t="s">
        <v>598</v>
      </c>
      <c r="D945" s="252"/>
      <c r="E945" s="253">
        <v>0</v>
      </c>
      <c r="F945" s="253">
        <v>22700000</v>
      </c>
      <c r="G945" s="274">
        <f>Tabla3[[#This Row],[INGRESOS]]-Tabla3[[#This Row],[EGRESOS]]</f>
        <v>22700000</v>
      </c>
      <c r="H945" s="137">
        <v>13691499.800000001</v>
      </c>
      <c r="I945" s="135">
        <v>1410</v>
      </c>
      <c r="J945" s="136">
        <f>Tabla3[[#This Row],[EGRESOS]]/Tabla3[[#This Row],[TC]]</f>
        <v>0</v>
      </c>
      <c r="K945" s="136">
        <v>0</v>
      </c>
      <c r="L945" s="8" t="s">
        <v>376</v>
      </c>
      <c r="M945" s="8" t="s">
        <v>377</v>
      </c>
      <c r="N945" s="8" t="s">
        <v>28</v>
      </c>
      <c r="O945" s="8" t="s">
        <v>244</v>
      </c>
      <c r="P945" s="8" t="s">
        <v>259</v>
      </c>
      <c r="Q945" s="8" t="s">
        <v>260</v>
      </c>
      <c r="R945" s="8" t="s">
        <v>405</v>
      </c>
      <c r="S945" s="8"/>
      <c r="T945" s="8"/>
      <c r="U945" s="8" t="s">
        <v>379</v>
      </c>
      <c r="V945" s="8"/>
      <c r="W945" s="7" t="s">
        <v>380</v>
      </c>
      <c r="X945" s="8"/>
      <c r="Y945" s="8"/>
    </row>
    <row r="946" spans="1:25" hidden="1" x14ac:dyDescent="0.25">
      <c r="A946" s="273" t="s">
        <v>320</v>
      </c>
      <c r="B946" s="251">
        <v>45938</v>
      </c>
      <c r="C946" s="252" t="s">
        <v>604</v>
      </c>
      <c r="D946" s="252"/>
      <c r="E946" s="253">
        <v>12699375.35</v>
      </c>
      <c r="F946" s="253">
        <v>0</v>
      </c>
      <c r="G946" s="274">
        <f>Tabla3[[#This Row],[INGRESOS]]-Tabla3[[#This Row],[EGRESOS]]</f>
        <v>-12699375.35</v>
      </c>
      <c r="H946" s="137">
        <v>992124.45</v>
      </c>
      <c r="I946" s="135">
        <v>1410</v>
      </c>
      <c r="J946" s="136">
        <f>Tabla3[[#This Row],[EGRESOS]]/Tabla3[[#This Row],[TC]]</f>
        <v>9006.6491843971635</v>
      </c>
      <c r="K946" s="136">
        <v>0</v>
      </c>
      <c r="L946" s="8" t="s">
        <v>376</v>
      </c>
      <c r="M946" s="8" t="s">
        <v>377</v>
      </c>
      <c r="N946" s="8" t="s">
        <v>28</v>
      </c>
      <c r="O946" s="8" t="s">
        <v>244</v>
      </c>
      <c r="P946" s="8" t="s">
        <v>38</v>
      </c>
      <c r="Q946" s="8" t="s">
        <v>245</v>
      </c>
      <c r="R946" s="8" t="s">
        <v>605</v>
      </c>
      <c r="S946" s="8" t="s">
        <v>606</v>
      </c>
      <c r="T946" s="8"/>
      <c r="U946" s="8" t="s">
        <v>607</v>
      </c>
      <c r="V946" s="8"/>
      <c r="W946" s="7" t="s">
        <v>380</v>
      </c>
      <c r="X946" s="8" t="s">
        <v>36</v>
      </c>
      <c r="Y946" s="8" t="s">
        <v>23</v>
      </c>
    </row>
    <row r="947" spans="1:25" hidden="1" x14ac:dyDescent="0.25">
      <c r="A947" s="273" t="s">
        <v>320</v>
      </c>
      <c r="B947" s="251">
        <v>45938</v>
      </c>
      <c r="C947" s="252" t="s">
        <v>608</v>
      </c>
      <c r="D947" s="252"/>
      <c r="E947" s="253">
        <v>141386.29999999999</v>
      </c>
      <c r="F947" s="253">
        <v>0</v>
      </c>
      <c r="G947" s="274">
        <f>Tabla3[[#This Row],[INGRESOS]]-Tabla3[[#This Row],[EGRESOS]]</f>
        <v>-141386.29999999999</v>
      </c>
      <c r="H947" s="137">
        <v>850738.15</v>
      </c>
      <c r="I947" s="135">
        <v>1410</v>
      </c>
      <c r="J947" s="136">
        <f>Tabla3[[#This Row],[EGRESOS]]/Tabla3[[#This Row],[TC]]</f>
        <v>100.27397163120567</v>
      </c>
      <c r="K947" s="136">
        <v>0</v>
      </c>
      <c r="L947" s="8" t="s">
        <v>376</v>
      </c>
      <c r="M947" s="8" t="s">
        <v>377</v>
      </c>
      <c r="N947" s="8" t="s">
        <v>28</v>
      </c>
      <c r="O947" s="8" t="s">
        <v>184</v>
      </c>
      <c r="P947" s="8" t="s">
        <v>195</v>
      </c>
      <c r="Q947" s="8" t="s">
        <v>196</v>
      </c>
      <c r="R947" s="8" t="s">
        <v>609</v>
      </c>
      <c r="S947" s="8"/>
      <c r="T947" s="8"/>
      <c r="U947" s="8" t="s">
        <v>384</v>
      </c>
      <c r="V947" s="8"/>
      <c r="W947" s="7" t="s">
        <v>380</v>
      </c>
      <c r="X947" s="8" t="s">
        <v>99</v>
      </c>
      <c r="Y947" s="8" t="s">
        <v>23</v>
      </c>
    </row>
    <row r="948" spans="1:25" hidden="1" x14ac:dyDescent="0.25">
      <c r="A948" s="273" t="s">
        <v>320</v>
      </c>
      <c r="B948" s="251">
        <v>45939</v>
      </c>
      <c r="C948" s="252" t="s">
        <v>598</v>
      </c>
      <c r="D948" s="252"/>
      <c r="E948" s="253">
        <v>0</v>
      </c>
      <c r="F948" s="253">
        <v>717043.72</v>
      </c>
      <c r="G948" s="274">
        <f>Tabla3[[#This Row],[INGRESOS]]-Tabla3[[#This Row],[EGRESOS]]</f>
        <v>717043.72</v>
      </c>
      <c r="H948" s="137">
        <v>1567781.87</v>
      </c>
      <c r="I948" s="135">
        <v>1410</v>
      </c>
      <c r="J948" s="136">
        <f>Tabla3[[#This Row],[EGRESOS]]/Tabla3[[#This Row],[TC]]</f>
        <v>0</v>
      </c>
      <c r="K948" s="136">
        <v>0</v>
      </c>
      <c r="L948" s="8" t="s">
        <v>376</v>
      </c>
      <c r="M948" s="8" t="s">
        <v>377</v>
      </c>
      <c r="N948" s="8" t="s">
        <v>28</v>
      </c>
      <c r="O948" s="8" t="s">
        <v>244</v>
      </c>
      <c r="P948" s="8" t="s">
        <v>259</v>
      </c>
      <c r="Q948" s="8" t="s">
        <v>260</v>
      </c>
      <c r="R948" s="8" t="s">
        <v>405</v>
      </c>
      <c r="S948" s="8"/>
      <c r="T948" s="8"/>
      <c r="U948" s="8" t="s">
        <v>379</v>
      </c>
      <c r="V948" s="8"/>
      <c r="W948" s="7" t="s">
        <v>380</v>
      </c>
      <c r="X948" s="8"/>
      <c r="Y948" s="8"/>
    </row>
    <row r="949" spans="1:25" hidden="1" x14ac:dyDescent="0.25">
      <c r="A949" s="273" t="s">
        <v>320</v>
      </c>
      <c r="B949" s="251">
        <v>45939</v>
      </c>
      <c r="C949" s="252" t="s">
        <v>716</v>
      </c>
      <c r="D949" s="252"/>
      <c r="E949" s="253">
        <v>717043.72</v>
      </c>
      <c r="F949" s="253">
        <v>0</v>
      </c>
      <c r="G949" s="274">
        <f>Tabla3[[#This Row],[INGRESOS]]-Tabla3[[#This Row],[EGRESOS]]</f>
        <v>-717043.72</v>
      </c>
      <c r="H949" s="137">
        <v>850738.15</v>
      </c>
      <c r="I949" s="135">
        <v>1410</v>
      </c>
      <c r="J949" s="136">
        <f>Tabla3[[#This Row],[EGRESOS]]/Tabla3[[#This Row],[TC]]</f>
        <v>508.54164539007093</v>
      </c>
      <c r="K949" s="136">
        <v>0</v>
      </c>
      <c r="L949" s="8" t="s">
        <v>376</v>
      </c>
      <c r="M949" s="8" t="s">
        <v>377</v>
      </c>
      <c r="N949" s="8" t="s">
        <v>28</v>
      </c>
      <c r="O949" s="8" t="s">
        <v>184</v>
      </c>
      <c r="P949" s="8" t="s">
        <v>210</v>
      </c>
      <c r="Q949" s="8" t="s">
        <v>201</v>
      </c>
      <c r="R949" s="8" t="s">
        <v>731</v>
      </c>
      <c r="S949" s="8" t="s">
        <v>392</v>
      </c>
      <c r="T949" s="8"/>
      <c r="U949" s="8" t="s">
        <v>390</v>
      </c>
      <c r="V949" s="8"/>
      <c r="W949" s="7" t="s">
        <v>380</v>
      </c>
      <c r="X949" s="8" t="s">
        <v>99</v>
      </c>
      <c r="Y949" s="8" t="s">
        <v>23</v>
      </c>
    </row>
    <row r="950" spans="1:25" hidden="1" x14ac:dyDescent="0.25">
      <c r="A950" s="273" t="s">
        <v>320</v>
      </c>
      <c r="B950" s="251">
        <v>45939</v>
      </c>
      <c r="C950" s="252" t="s">
        <v>566</v>
      </c>
      <c r="D950" s="252"/>
      <c r="E950" s="253">
        <v>4302.26</v>
      </c>
      <c r="F950" s="253">
        <v>0</v>
      </c>
      <c r="G950" s="274">
        <f>Tabla3[[#This Row],[INGRESOS]]-Tabla3[[#This Row],[EGRESOS]]</f>
        <v>-4302.26</v>
      </c>
      <c r="H950" s="137">
        <v>846435.89</v>
      </c>
      <c r="I950" s="135">
        <v>1410</v>
      </c>
      <c r="J950" s="136">
        <f>Tabla3[[#This Row],[EGRESOS]]/Tabla3[[#This Row],[TC]]</f>
        <v>3.0512482269503547</v>
      </c>
      <c r="K950" s="136">
        <v>0</v>
      </c>
      <c r="L950" s="8" t="s">
        <v>376</v>
      </c>
      <c r="M950" s="8" t="s">
        <v>377</v>
      </c>
      <c r="N950" s="8" t="s">
        <v>28</v>
      </c>
      <c r="O950" s="8" t="s">
        <v>184</v>
      </c>
      <c r="P950" s="8" t="s">
        <v>195</v>
      </c>
      <c r="Q950" s="8" t="s">
        <v>196</v>
      </c>
      <c r="R950" s="8" t="s">
        <v>394</v>
      </c>
      <c r="S950" s="8"/>
      <c r="T950" s="8"/>
      <c r="U950" s="8" t="s">
        <v>384</v>
      </c>
      <c r="V950" s="8"/>
      <c r="W950" s="7" t="s">
        <v>380</v>
      </c>
      <c r="X950" s="8" t="s">
        <v>99</v>
      </c>
      <c r="Y950" s="8" t="s">
        <v>23</v>
      </c>
    </row>
    <row r="951" spans="1:25" hidden="1" x14ac:dyDescent="0.25">
      <c r="A951" s="273" t="s">
        <v>320</v>
      </c>
      <c r="B951" s="251">
        <v>45943</v>
      </c>
      <c r="C951" s="252" t="s">
        <v>598</v>
      </c>
      <c r="D951" s="252"/>
      <c r="E951" s="253">
        <v>0</v>
      </c>
      <c r="F951" s="253">
        <v>8700000</v>
      </c>
      <c r="G951" s="274">
        <f>Tabla3[[#This Row],[INGRESOS]]-Tabla3[[#This Row],[EGRESOS]]</f>
        <v>8700000</v>
      </c>
      <c r="H951" s="137">
        <v>9546435.8900000006</v>
      </c>
      <c r="I951" s="135">
        <v>1410</v>
      </c>
      <c r="J951" s="136">
        <f>Tabla3[[#This Row],[EGRESOS]]/Tabla3[[#This Row],[TC]]</f>
        <v>0</v>
      </c>
      <c r="K951" s="136">
        <v>0</v>
      </c>
      <c r="L951" s="8" t="s">
        <v>376</v>
      </c>
      <c r="M951" s="8" t="s">
        <v>377</v>
      </c>
      <c r="N951" s="8" t="s">
        <v>28</v>
      </c>
      <c r="O951" s="8" t="s">
        <v>244</v>
      </c>
      <c r="P951" s="8" t="s">
        <v>259</v>
      </c>
      <c r="Q951" s="8" t="s">
        <v>260</v>
      </c>
      <c r="R951" s="8" t="s">
        <v>405</v>
      </c>
      <c r="S951" s="8"/>
      <c r="T951" s="8"/>
      <c r="U951" s="8" t="s">
        <v>379</v>
      </c>
      <c r="V951" s="8"/>
      <c r="W951" s="7" t="s">
        <v>380</v>
      </c>
      <c r="X951" s="8"/>
      <c r="Y951" s="8"/>
    </row>
    <row r="952" spans="1:25" hidden="1" x14ac:dyDescent="0.25">
      <c r="A952" s="273" t="s">
        <v>314</v>
      </c>
      <c r="B952" s="251">
        <v>45768</v>
      </c>
      <c r="C952" s="252" t="s">
        <v>1338</v>
      </c>
      <c r="D952" s="252"/>
      <c r="E952" s="253">
        <v>0</v>
      </c>
      <c r="F952" s="253">
        <v>45000</v>
      </c>
      <c r="G952" s="274">
        <f>Tabla3[[#This Row],[INGRESOS]]-Tabla3[[#This Row],[EGRESOS]]</f>
        <v>45000</v>
      </c>
      <c r="H952" s="135">
        <v>0</v>
      </c>
      <c r="I952" s="135">
        <v>1170</v>
      </c>
      <c r="J952" s="136">
        <f>Tabla3[[#This Row],[EGRESOS]]/Tabla3[[#This Row],[TC]]</f>
        <v>0</v>
      </c>
      <c r="K952" s="136">
        <f>Tabla3[[#This Row],[INGRESOS]]/Tabla3[[#This Row],[TC]]</f>
        <v>38.46153846153846</v>
      </c>
      <c r="L952" s="8" t="s">
        <v>1336</v>
      </c>
      <c r="M952" s="8" t="s">
        <v>1336</v>
      </c>
      <c r="N952" s="8" t="s">
        <v>1336</v>
      </c>
      <c r="O952" s="8" t="s">
        <v>184</v>
      </c>
      <c r="P952" s="8" t="s">
        <v>203</v>
      </c>
      <c r="Q952" s="8" t="s">
        <v>204</v>
      </c>
      <c r="R952" s="8" t="s">
        <v>1337</v>
      </c>
      <c r="S952" s="8" t="s">
        <v>386</v>
      </c>
      <c r="T952" s="8"/>
      <c r="U952" s="8" t="s">
        <v>439</v>
      </c>
      <c r="V952" s="8" t="s">
        <v>386</v>
      </c>
      <c r="W952" s="8" t="s">
        <v>380</v>
      </c>
      <c r="X952" s="8" t="s">
        <v>23</v>
      </c>
      <c r="Y952" s="8" t="s">
        <v>98</v>
      </c>
    </row>
    <row r="953" spans="1:25" hidden="1" x14ac:dyDescent="0.25">
      <c r="A953" s="273" t="s">
        <v>320</v>
      </c>
      <c r="B953" s="251">
        <v>45943</v>
      </c>
      <c r="C953" s="252" t="s">
        <v>566</v>
      </c>
      <c r="D953" s="252"/>
      <c r="E953" s="253">
        <v>12000</v>
      </c>
      <c r="F953" s="253">
        <v>0</v>
      </c>
      <c r="G953" s="274">
        <f>Tabla3[[#This Row],[INGRESOS]]-Tabla3[[#This Row],[EGRESOS]]</f>
        <v>-12000</v>
      </c>
      <c r="H953" s="137">
        <v>7534435.8899999997</v>
      </c>
      <c r="I953" s="135">
        <v>1410</v>
      </c>
      <c r="J953" s="136">
        <f>Tabla3[[#This Row],[EGRESOS]]/Tabla3[[#This Row],[TC]]</f>
        <v>8.5106382978723403</v>
      </c>
      <c r="K953" s="136">
        <v>0</v>
      </c>
      <c r="L953" s="8" t="s">
        <v>376</v>
      </c>
      <c r="M953" s="8" t="s">
        <v>377</v>
      </c>
      <c r="N953" s="8" t="s">
        <v>28</v>
      </c>
      <c r="O953" s="8" t="s">
        <v>184</v>
      </c>
      <c r="P953" s="8" t="s">
        <v>195</v>
      </c>
      <c r="Q953" s="8" t="s">
        <v>196</v>
      </c>
      <c r="R953" s="8" t="s">
        <v>394</v>
      </c>
      <c r="S953" s="8"/>
      <c r="T953" s="8"/>
      <c r="U953" s="8" t="s">
        <v>384</v>
      </c>
      <c r="V953" s="8"/>
      <c r="W953" s="7" t="s">
        <v>380</v>
      </c>
      <c r="X953" s="8" t="s">
        <v>99</v>
      </c>
      <c r="Y953" s="8" t="s">
        <v>23</v>
      </c>
    </row>
    <row r="954" spans="1:25" hidden="1" x14ac:dyDescent="0.25">
      <c r="A954" s="273" t="s">
        <v>320</v>
      </c>
      <c r="B954" s="251">
        <v>45943</v>
      </c>
      <c r="C954" s="252" t="s">
        <v>604</v>
      </c>
      <c r="D954" s="252"/>
      <c r="E954" s="253">
        <v>9524531.5099999998</v>
      </c>
      <c r="F954" s="253">
        <v>0</v>
      </c>
      <c r="G954" s="274">
        <f>Tabla3[[#This Row],[INGRESOS]]-Tabla3[[#This Row],[EGRESOS]]</f>
        <v>-9524531.5099999998</v>
      </c>
      <c r="H954" s="137">
        <v>-1990095.62</v>
      </c>
      <c r="I954" s="135">
        <v>1410</v>
      </c>
      <c r="J954" s="136">
        <f>Tabla3[[#This Row],[EGRESOS]]/Tabla3[[#This Row],[TC]]</f>
        <v>6754.9868865248227</v>
      </c>
      <c r="K954" s="136">
        <v>0</v>
      </c>
      <c r="L954" s="8" t="s">
        <v>376</v>
      </c>
      <c r="M954" s="8" t="s">
        <v>377</v>
      </c>
      <c r="N954" s="8" t="s">
        <v>28</v>
      </c>
      <c r="O954" s="8" t="s">
        <v>244</v>
      </c>
      <c r="P954" s="8" t="s">
        <v>38</v>
      </c>
      <c r="Q954" s="8" t="s">
        <v>245</v>
      </c>
      <c r="R954" s="8" t="s">
        <v>605</v>
      </c>
      <c r="S954" s="8" t="s">
        <v>606</v>
      </c>
      <c r="T954" s="8"/>
      <c r="U954" s="8" t="s">
        <v>607</v>
      </c>
      <c r="V954" s="8"/>
      <c r="W954" s="7" t="s">
        <v>380</v>
      </c>
      <c r="X954" s="8" t="s">
        <v>36</v>
      </c>
      <c r="Y954" s="8" t="s">
        <v>23</v>
      </c>
    </row>
    <row r="955" spans="1:25" hidden="1" x14ac:dyDescent="0.25">
      <c r="A955" s="273" t="s">
        <v>320</v>
      </c>
      <c r="B955" s="251">
        <v>45943</v>
      </c>
      <c r="C955" s="252" t="s">
        <v>733</v>
      </c>
      <c r="D955" s="252"/>
      <c r="E955" s="253">
        <v>106039.73</v>
      </c>
      <c r="F955" s="253">
        <v>0</v>
      </c>
      <c r="G955" s="274">
        <f>Tabla3[[#This Row],[INGRESOS]]-Tabla3[[#This Row],[EGRESOS]]</f>
        <v>-106039.73</v>
      </c>
      <c r="H955" s="137">
        <v>-2096135.35</v>
      </c>
      <c r="I955" s="135">
        <v>1410</v>
      </c>
      <c r="J955" s="136">
        <f>Tabla3[[#This Row],[EGRESOS]]/Tabla3[[#This Row],[TC]]</f>
        <v>75.205482269503548</v>
      </c>
      <c r="K955" s="136">
        <v>0</v>
      </c>
      <c r="L955" s="8" t="s">
        <v>376</v>
      </c>
      <c r="M955" s="8" t="s">
        <v>377</v>
      </c>
      <c r="N955" s="8" t="s">
        <v>28</v>
      </c>
      <c r="O955" s="8" t="s">
        <v>184</v>
      </c>
      <c r="P955" s="8" t="s">
        <v>195</v>
      </c>
      <c r="Q955" s="8" t="s">
        <v>196</v>
      </c>
      <c r="R955" s="8" t="s">
        <v>609</v>
      </c>
      <c r="S955" s="8"/>
      <c r="T955" s="8"/>
      <c r="U955" s="8" t="s">
        <v>384</v>
      </c>
      <c r="V955" s="8"/>
      <c r="W955" s="7" t="s">
        <v>380</v>
      </c>
      <c r="X955" s="8" t="s">
        <v>99</v>
      </c>
      <c r="Y955" s="8" t="s">
        <v>23</v>
      </c>
    </row>
    <row r="956" spans="1:25" hidden="1" x14ac:dyDescent="0.25">
      <c r="A956" s="273" t="s">
        <v>320</v>
      </c>
      <c r="B956" s="251">
        <v>45943</v>
      </c>
      <c r="C956" s="252" t="s">
        <v>566</v>
      </c>
      <c r="D956" s="252"/>
      <c r="E956" s="253">
        <v>57783.43</v>
      </c>
      <c r="F956" s="253">
        <v>0</v>
      </c>
      <c r="G956" s="274">
        <f>Tabla3[[#This Row],[INGRESOS]]-Tabla3[[#This Row],[EGRESOS]]</f>
        <v>-57783.43</v>
      </c>
      <c r="H956" s="137">
        <v>-2153918.7799999998</v>
      </c>
      <c r="I956" s="135">
        <v>1410</v>
      </c>
      <c r="J956" s="136">
        <f>Tabla3[[#This Row],[EGRESOS]]/Tabla3[[#This Row],[TC]]</f>
        <v>40.981156028368794</v>
      </c>
      <c r="K956" s="136">
        <v>0</v>
      </c>
      <c r="L956" s="8" t="s">
        <v>376</v>
      </c>
      <c r="M956" s="8" t="s">
        <v>377</v>
      </c>
      <c r="N956" s="8" t="s">
        <v>28</v>
      </c>
      <c r="O956" s="8" t="s">
        <v>184</v>
      </c>
      <c r="P956" s="8" t="s">
        <v>195</v>
      </c>
      <c r="Q956" s="8" t="s">
        <v>196</v>
      </c>
      <c r="R956" s="8" t="s">
        <v>394</v>
      </c>
      <c r="S956" s="8"/>
      <c r="T956" s="8"/>
      <c r="U956" s="8" t="s">
        <v>384</v>
      </c>
      <c r="V956" s="8"/>
      <c r="W956" s="7" t="s">
        <v>380</v>
      </c>
      <c r="X956" s="8" t="s">
        <v>99</v>
      </c>
      <c r="Y956" s="8" t="s">
        <v>23</v>
      </c>
    </row>
    <row r="957" spans="1:25" hidden="1" x14ac:dyDescent="0.25">
      <c r="A957" s="273" t="s">
        <v>320</v>
      </c>
      <c r="B957" s="251">
        <v>45944</v>
      </c>
      <c r="C957" s="252" t="s">
        <v>716</v>
      </c>
      <c r="D957" s="252"/>
      <c r="E957" s="253">
        <v>900000</v>
      </c>
      <c r="F957" s="253">
        <v>0</v>
      </c>
      <c r="G957" s="274">
        <f>Tabla3[[#This Row],[INGRESOS]]-Tabla3[[#This Row],[EGRESOS]]</f>
        <v>-900000</v>
      </c>
      <c r="H957" s="137">
        <v>-3053918.78</v>
      </c>
      <c r="I957" s="135">
        <v>1410</v>
      </c>
      <c r="J957" s="136">
        <f>Tabla3[[#This Row],[EGRESOS]]/Tabla3[[#This Row],[TC]]</f>
        <v>638.29787234042556</v>
      </c>
      <c r="K957" s="136">
        <v>0</v>
      </c>
      <c r="L957" s="8" t="s">
        <v>376</v>
      </c>
      <c r="M957" s="8" t="s">
        <v>377</v>
      </c>
      <c r="N957" s="8" t="s">
        <v>28</v>
      </c>
      <c r="O957" s="8" t="s">
        <v>184</v>
      </c>
      <c r="P957" s="8" t="s">
        <v>203</v>
      </c>
      <c r="Q957" s="8" t="s">
        <v>208</v>
      </c>
      <c r="R957" s="8" t="s">
        <v>734</v>
      </c>
      <c r="S957" s="8" t="s">
        <v>414</v>
      </c>
      <c r="T957" s="8"/>
      <c r="U957" s="8" t="s">
        <v>530</v>
      </c>
      <c r="V957" s="8" t="s">
        <v>415</v>
      </c>
      <c r="W957" s="7" t="s">
        <v>380</v>
      </c>
      <c r="X957" s="8" t="s">
        <v>102</v>
      </c>
      <c r="Y957" s="8" t="s">
        <v>23</v>
      </c>
    </row>
    <row r="958" spans="1:25" hidden="1" x14ac:dyDescent="0.25">
      <c r="A958" s="273" t="s">
        <v>320</v>
      </c>
      <c r="B958" s="251">
        <v>45944</v>
      </c>
      <c r="C958" s="252" t="s">
        <v>568</v>
      </c>
      <c r="D958" s="252"/>
      <c r="E958" s="253">
        <v>320000</v>
      </c>
      <c r="F958" s="253">
        <v>0</v>
      </c>
      <c r="G958" s="274">
        <f>Tabla3[[#This Row],[INGRESOS]]-Tabla3[[#This Row],[EGRESOS]]</f>
        <v>-320000</v>
      </c>
      <c r="H958" s="137">
        <v>-3373918.78</v>
      </c>
      <c r="I958" s="135">
        <v>1410</v>
      </c>
      <c r="J958" s="136">
        <f>Tabla3[[#This Row],[EGRESOS]]/Tabla3[[#This Row],[TC]]</f>
        <v>226.95035460992906</v>
      </c>
      <c r="K958" s="136">
        <v>0</v>
      </c>
      <c r="L958" s="8" t="s">
        <v>376</v>
      </c>
      <c r="M958" s="8" t="s">
        <v>377</v>
      </c>
      <c r="N958" s="8" t="s">
        <v>28</v>
      </c>
      <c r="O958" s="8" t="s">
        <v>184</v>
      </c>
      <c r="P958" s="8" t="s">
        <v>210</v>
      </c>
      <c r="Q958" s="8" t="s">
        <v>205</v>
      </c>
      <c r="R958" s="8" t="s">
        <v>718</v>
      </c>
      <c r="S958" s="8" t="s">
        <v>524</v>
      </c>
      <c r="T958" s="8"/>
      <c r="U958" s="8" t="s">
        <v>453</v>
      </c>
      <c r="V958" s="8"/>
      <c r="W958" s="7" t="s">
        <v>380</v>
      </c>
      <c r="X958" s="8" t="s">
        <v>39</v>
      </c>
      <c r="Y958" s="8" t="s">
        <v>23</v>
      </c>
    </row>
    <row r="959" spans="1:25" hidden="1" x14ac:dyDescent="0.25">
      <c r="A959" s="273" t="s">
        <v>320</v>
      </c>
      <c r="B959" s="251">
        <v>45944</v>
      </c>
      <c r="C959" s="252" t="s">
        <v>566</v>
      </c>
      <c r="D959" s="252"/>
      <c r="E959" s="253">
        <v>7320</v>
      </c>
      <c r="F959" s="253">
        <v>0</v>
      </c>
      <c r="G959" s="274">
        <f>Tabla3[[#This Row],[INGRESOS]]-Tabla3[[#This Row],[EGRESOS]]</f>
        <v>-7320</v>
      </c>
      <c r="H959" s="137">
        <v>-3381238.78</v>
      </c>
      <c r="I959" s="135">
        <v>1410</v>
      </c>
      <c r="J959" s="136">
        <f>Tabla3[[#This Row],[EGRESOS]]/Tabla3[[#This Row],[TC]]</f>
        <v>5.1914893617021276</v>
      </c>
      <c r="K959" s="136">
        <v>0</v>
      </c>
      <c r="L959" s="8" t="s">
        <v>376</v>
      </c>
      <c r="M959" s="8" t="s">
        <v>377</v>
      </c>
      <c r="N959" s="8" t="s">
        <v>28</v>
      </c>
      <c r="O959" s="8" t="s">
        <v>184</v>
      </c>
      <c r="P959" s="8" t="s">
        <v>195</v>
      </c>
      <c r="Q959" s="8" t="s">
        <v>196</v>
      </c>
      <c r="R959" s="8" t="s">
        <v>394</v>
      </c>
      <c r="S959" s="8"/>
      <c r="T959" s="8"/>
      <c r="U959" s="8" t="s">
        <v>384</v>
      </c>
      <c r="V959" s="8"/>
      <c r="W959" s="7" t="s">
        <v>380</v>
      </c>
      <c r="X959" s="8" t="s">
        <v>99</v>
      </c>
      <c r="Y959" s="8" t="s">
        <v>23</v>
      </c>
    </row>
    <row r="960" spans="1:25" hidden="1" x14ac:dyDescent="0.25">
      <c r="A960" s="273" t="s">
        <v>320</v>
      </c>
      <c r="B960" s="251">
        <v>45947</v>
      </c>
      <c r="C960" s="252" t="s">
        <v>568</v>
      </c>
      <c r="D960" s="252"/>
      <c r="E960" s="253">
        <v>186000</v>
      </c>
      <c r="F960" s="253">
        <v>0</v>
      </c>
      <c r="G960" s="274">
        <f>Tabla3[[#This Row],[INGRESOS]]-Tabla3[[#This Row],[EGRESOS]]</f>
        <v>-186000</v>
      </c>
      <c r="H960" s="274">
        <v>-3567238.78</v>
      </c>
      <c r="I960" s="135">
        <v>1410</v>
      </c>
      <c r="J960" s="136">
        <f>Tabla3[[#This Row],[EGRESOS]]/Tabla3[[#This Row],[TC]]</f>
        <v>131.91489361702128</v>
      </c>
      <c r="K960" s="136">
        <v>0</v>
      </c>
      <c r="L960" s="8" t="s">
        <v>376</v>
      </c>
      <c r="M960" s="8" t="s">
        <v>377</v>
      </c>
      <c r="N960" s="8" t="s">
        <v>28</v>
      </c>
      <c r="O960" s="8" t="s">
        <v>276</v>
      </c>
      <c r="P960" s="8" t="s">
        <v>277</v>
      </c>
      <c r="Q960" s="8" t="s">
        <v>278</v>
      </c>
      <c r="R960" s="8" t="s">
        <v>278</v>
      </c>
      <c r="S960" s="8" t="s">
        <v>735</v>
      </c>
      <c r="T960" s="8"/>
      <c r="U960" s="8" t="s">
        <v>384</v>
      </c>
      <c r="V960" s="8"/>
      <c r="W960" s="7" t="s">
        <v>380</v>
      </c>
      <c r="X960" s="8" t="s">
        <v>99</v>
      </c>
      <c r="Y960" s="8" t="s">
        <v>23</v>
      </c>
    </row>
    <row r="961" spans="1:25" hidden="1" x14ac:dyDescent="0.25">
      <c r="A961" s="273" t="s">
        <v>320</v>
      </c>
      <c r="B961" s="251">
        <v>45947</v>
      </c>
      <c r="C961" s="252" t="s">
        <v>598</v>
      </c>
      <c r="D961" s="252"/>
      <c r="E961" s="253">
        <v>0</v>
      </c>
      <c r="F961" s="253">
        <v>4000000</v>
      </c>
      <c r="G961" s="274">
        <f>Tabla3[[#This Row],[INGRESOS]]-Tabla3[[#This Row],[EGRESOS]]</f>
        <v>4000000</v>
      </c>
      <c r="H961" s="274">
        <v>432761.22</v>
      </c>
      <c r="I961" s="135">
        <v>1410</v>
      </c>
      <c r="J961" s="136">
        <f>Tabla3[[#This Row],[EGRESOS]]/Tabla3[[#This Row],[TC]]</f>
        <v>0</v>
      </c>
      <c r="K961" s="136">
        <v>0</v>
      </c>
      <c r="L961" s="8" t="s">
        <v>376</v>
      </c>
      <c r="M961" s="8" t="s">
        <v>377</v>
      </c>
      <c r="N961" s="8" t="s">
        <v>28</v>
      </c>
      <c r="O961" s="8" t="s">
        <v>244</v>
      </c>
      <c r="P961" s="8" t="s">
        <v>259</v>
      </c>
      <c r="Q961" s="8" t="s">
        <v>260</v>
      </c>
      <c r="R961" s="8" t="s">
        <v>447</v>
      </c>
      <c r="S961" s="8"/>
      <c r="T961" s="8"/>
      <c r="U961" s="8" t="s">
        <v>379</v>
      </c>
      <c r="V961" s="8"/>
      <c r="W961" s="7" t="s">
        <v>380</v>
      </c>
      <c r="X961" s="8"/>
      <c r="Y961" s="8"/>
    </row>
    <row r="962" spans="1:25" hidden="1" x14ac:dyDescent="0.25">
      <c r="A962" s="273" t="s">
        <v>320</v>
      </c>
      <c r="B962" s="251">
        <v>45947</v>
      </c>
      <c r="C962" s="252" t="s">
        <v>566</v>
      </c>
      <c r="D962" s="252"/>
      <c r="E962" s="253">
        <v>1116</v>
      </c>
      <c r="F962" s="253">
        <v>0</v>
      </c>
      <c r="G962" s="274">
        <f>Tabla3[[#This Row],[INGRESOS]]-Tabla3[[#This Row],[EGRESOS]]</f>
        <v>-1116</v>
      </c>
      <c r="H962" s="274">
        <v>431645.22</v>
      </c>
      <c r="I962" s="135">
        <v>1410</v>
      </c>
      <c r="J962" s="136">
        <f>Tabla3[[#This Row],[EGRESOS]]/Tabla3[[#This Row],[TC]]</f>
        <v>0.79148936170212769</v>
      </c>
      <c r="K962" s="136">
        <v>0</v>
      </c>
      <c r="L962" s="8" t="s">
        <v>376</v>
      </c>
      <c r="M962" s="8" t="s">
        <v>377</v>
      </c>
      <c r="N962" s="8" t="s">
        <v>28</v>
      </c>
      <c r="O962" s="8" t="s">
        <v>184</v>
      </c>
      <c r="P962" s="8" t="s">
        <v>195</v>
      </c>
      <c r="Q962" s="8" t="s">
        <v>196</v>
      </c>
      <c r="R962" s="8" t="s">
        <v>394</v>
      </c>
      <c r="S962" s="8"/>
      <c r="T962" s="8"/>
      <c r="U962" s="8" t="s">
        <v>384</v>
      </c>
      <c r="V962" s="8"/>
      <c r="W962" s="7" t="s">
        <v>380</v>
      </c>
      <c r="X962" s="8" t="s">
        <v>99</v>
      </c>
      <c r="Y962" s="8" t="s">
        <v>23</v>
      </c>
    </row>
    <row r="963" spans="1:25" hidden="1" x14ac:dyDescent="0.25">
      <c r="A963" s="273" t="s">
        <v>320</v>
      </c>
      <c r="B963" s="251">
        <v>45950</v>
      </c>
      <c r="C963" s="252" t="s">
        <v>716</v>
      </c>
      <c r="D963" s="252"/>
      <c r="E963" s="253">
        <v>220000</v>
      </c>
      <c r="F963" s="253">
        <v>0</v>
      </c>
      <c r="G963" s="274">
        <f>Tabla3[[#This Row],[INGRESOS]]-Tabla3[[#This Row],[EGRESOS]]</f>
        <v>-220000</v>
      </c>
      <c r="H963" s="274">
        <v>11645.22</v>
      </c>
      <c r="I963" s="135">
        <v>1410</v>
      </c>
      <c r="J963" s="136">
        <f>Tabla3[[#This Row],[EGRESOS]]/Tabla3[[#This Row],[TC]]</f>
        <v>156.02836879432624</v>
      </c>
      <c r="K963" s="136">
        <v>0</v>
      </c>
      <c r="L963" s="8" t="s">
        <v>376</v>
      </c>
      <c r="M963" s="8" t="s">
        <v>377</v>
      </c>
      <c r="N963" s="8" t="s">
        <v>28</v>
      </c>
      <c r="O963" s="8" t="s">
        <v>184</v>
      </c>
      <c r="P963" s="8" t="s">
        <v>199</v>
      </c>
      <c r="Q963" s="8" t="s">
        <v>200</v>
      </c>
      <c r="R963" s="8"/>
      <c r="S963" s="8" t="s">
        <v>736</v>
      </c>
      <c r="T963" s="8"/>
      <c r="U963" s="8" t="s">
        <v>390</v>
      </c>
      <c r="V963" s="8"/>
      <c r="W963" s="7" t="s">
        <v>380</v>
      </c>
      <c r="X963" s="8" t="s">
        <v>99</v>
      </c>
      <c r="Y963" s="8" t="s">
        <v>23</v>
      </c>
    </row>
    <row r="964" spans="1:25" hidden="1" x14ac:dyDescent="0.25">
      <c r="A964" s="273" t="s">
        <v>320</v>
      </c>
      <c r="B964" s="251">
        <v>45950</v>
      </c>
      <c r="C964" s="252" t="s">
        <v>716</v>
      </c>
      <c r="D964" s="252"/>
      <c r="E964" s="253">
        <v>200000</v>
      </c>
      <c r="F964" s="253">
        <v>0</v>
      </c>
      <c r="G964" s="274">
        <f>Tabla3[[#This Row],[INGRESOS]]-Tabla3[[#This Row],[EGRESOS]]</f>
        <v>-200000</v>
      </c>
      <c r="H964" s="274">
        <v>11645.22</v>
      </c>
      <c r="I964" s="135">
        <v>1410</v>
      </c>
      <c r="J964" s="136">
        <f>Tabla3[[#This Row],[EGRESOS]]/Tabla3[[#This Row],[TC]]</f>
        <v>141.84397163120568</v>
      </c>
      <c r="K964" s="136">
        <v>0</v>
      </c>
      <c r="L964" s="8" t="s">
        <v>376</v>
      </c>
      <c r="M964" s="8" t="s">
        <v>377</v>
      </c>
      <c r="N964" s="8" t="s">
        <v>28</v>
      </c>
      <c r="O964" s="8" t="s">
        <v>184</v>
      </c>
      <c r="P964" s="8" t="s">
        <v>199</v>
      </c>
      <c r="Q964" s="8" t="s">
        <v>200</v>
      </c>
      <c r="R964" s="8"/>
      <c r="S964" s="8" t="s">
        <v>737</v>
      </c>
      <c r="T964" s="8"/>
      <c r="U964" s="8" t="s">
        <v>390</v>
      </c>
      <c r="V964" s="8"/>
      <c r="W964" s="7" t="s">
        <v>380</v>
      </c>
      <c r="X964" s="8" t="s">
        <v>99</v>
      </c>
      <c r="Y964" s="8" t="s">
        <v>23</v>
      </c>
    </row>
    <row r="965" spans="1:25" hidden="1" x14ac:dyDescent="0.25">
      <c r="A965" s="273" t="s">
        <v>320</v>
      </c>
      <c r="B965" s="251">
        <v>45950</v>
      </c>
      <c r="C965" s="252" t="s">
        <v>566</v>
      </c>
      <c r="D965" s="252"/>
      <c r="E965" s="253">
        <v>2520</v>
      </c>
      <c r="F965" s="253">
        <v>0</v>
      </c>
      <c r="G965" s="274">
        <f>Tabla3[[#This Row],[INGRESOS]]-Tabla3[[#This Row],[EGRESOS]]</f>
        <v>-2520</v>
      </c>
      <c r="H965" s="274">
        <v>9125.2199999999993</v>
      </c>
      <c r="I965" s="135">
        <v>1410</v>
      </c>
      <c r="J965" s="136">
        <f>Tabla3[[#This Row],[EGRESOS]]/Tabla3[[#This Row],[TC]]</f>
        <v>1.7872340425531914</v>
      </c>
      <c r="K965" s="136">
        <v>0</v>
      </c>
      <c r="L965" s="8" t="s">
        <v>376</v>
      </c>
      <c r="M965" s="8" t="s">
        <v>377</v>
      </c>
      <c r="N965" s="8" t="s">
        <v>28</v>
      </c>
      <c r="O965" s="8" t="s">
        <v>184</v>
      </c>
      <c r="P965" s="8" t="s">
        <v>195</v>
      </c>
      <c r="Q965" s="8" t="s">
        <v>196</v>
      </c>
      <c r="R965" s="8" t="s">
        <v>394</v>
      </c>
      <c r="S965" s="8"/>
      <c r="T965" s="8"/>
      <c r="U965" s="8" t="s">
        <v>384</v>
      </c>
      <c r="V965" s="8"/>
      <c r="W965" s="7" t="s">
        <v>380</v>
      </c>
      <c r="X965" s="8" t="s">
        <v>99</v>
      </c>
      <c r="Y965" s="8" t="s">
        <v>23</v>
      </c>
    </row>
    <row r="966" spans="1:25" hidden="1" x14ac:dyDescent="0.25">
      <c r="A966" s="273" t="s">
        <v>320</v>
      </c>
      <c r="B966" s="251">
        <v>45954</v>
      </c>
      <c r="C966" s="252" t="s">
        <v>716</v>
      </c>
      <c r="D966" s="252"/>
      <c r="E966" s="253">
        <v>267216.42</v>
      </c>
      <c r="F966" s="253">
        <v>0</v>
      </c>
      <c r="G966" s="274">
        <f>Tabla3[[#This Row],[INGRESOS]]-Tabla3[[#This Row],[EGRESOS]]</f>
        <v>-267216.42</v>
      </c>
      <c r="H966" s="274">
        <v>-258091.2</v>
      </c>
      <c r="I966" s="135">
        <v>1410</v>
      </c>
      <c r="J966" s="136">
        <f>Tabla3[[#This Row],[EGRESOS]]/Tabla3[[#This Row],[TC]]</f>
        <v>189.51519148936168</v>
      </c>
      <c r="K966" s="136">
        <v>0</v>
      </c>
      <c r="L966" s="8" t="s">
        <v>376</v>
      </c>
      <c r="M966" s="8" t="s">
        <v>377</v>
      </c>
      <c r="N966" s="8" t="s">
        <v>28</v>
      </c>
      <c r="O966" s="8" t="s">
        <v>276</v>
      </c>
      <c r="P966" s="8" t="s">
        <v>202</v>
      </c>
      <c r="Q966" s="8"/>
      <c r="R966" s="8" t="s">
        <v>738</v>
      </c>
      <c r="S966" s="8" t="s">
        <v>739</v>
      </c>
      <c r="T966" s="8"/>
      <c r="U966" s="8" t="s">
        <v>384</v>
      </c>
      <c r="V966" s="8"/>
      <c r="W966" s="7" t="s">
        <v>380</v>
      </c>
      <c r="X966" s="8" t="s">
        <v>99</v>
      </c>
      <c r="Y966" s="8" t="s">
        <v>23</v>
      </c>
    </row>
    <row r="967" spans="1:25" hidden="1" x14ac:dyDescent="0.25">
      <c r="A967" s="273" t="s">
        <v>320</v>
      </c>
      <c r="B967" s="251">
        <v>45954</v>
      </c>
      <c r="C967" s="252" t="s">
        <v>568</v>
      </c>
      <c r="D967" s="252"/>
      <c r="E967" s="253">
        <v>1914576.35</v>
      </c>
      <c r="F967" s="253">
        <v>0</v>
      </c>
      <c r="G967" s="274">
        <f>Tabla3[[#This Row],[INGRESOS]]-Tabla3[[#This Row],[EGRESOS]]</f>
        <v>-1914576.35</v>
      </c>
      <c r="H967" s="274">
        <v>-2172667.5499999998</v>
      </c>
      <c r="I967" s="135">
        <v>1410</v>
      </c>
      <c r="J967" s="136">
        <f>Tabla3[[#This Row],[EGRESOS]]/Tabla3[[#This Row],[TC]]</f>
        <v>1357.8555673758865</v>
      </c>
      <c r="K967" s="136">
        <v>0</v>
      </c>
      <c r="L967" s="8" t="s">
        <v>376</v>
      </c>
      <c r="M967" s="8" t="s">
        <v>377</v>
      </c>
      <c r="N967" s="8" t="s">
        <v>28</v>
      </c>
      <c r="O967" s="8" t="s">
        <v>286</v>
      </c>
      <c r="P967" s="8" t="s">
        <v>287</v>
      </c>
      <c r="Q967" s="8" t="s">
        <v>292</v>
      </c>
      <c r="R967" s="8" t="s">
        <v>293</v>
      </c>
      <c r="S967" s="8" t="s">
        <v>740</v>
      </c>
      <c r="T967" s="8"/>
      <c r="U967" s="8" t="s">
        <v>412</v>
      </c>
      <c r="V967" s="8"/>
      <c r="W967" s="7" t="s">
        <v>380</v>
      </c>
      <c r="X967" s="8" t="s">
        <v>29</v>
      </c>
      <c r="Y967" s="8" t="s">
        <v>23</v>
      </c>
    </row>
    <row r="968" spans="1:25" hidden="1" x14ac:dyDescent="0.25">
      <c r="A968" s="273" t="str">
        <f>"ABRIL"</f>
        <v>ABRIL</v>
      </c>
      <c r="B968" s="251">
        <v>45769</v>
      </c>
      <c r="C968" s="252" t="s">
        <v>527</v>
      </c>
      <c r="D968" s="252"/>
      <c r="E968" s="253">
        <v>0</v>
      </c>
      <c r="F968" s="253">
        <v>5000</v>
      </c>
      <c r="G968" s="274">
        <f>Tabla3[[#This Row],[INGRESOS]]-Tabla3[[#This Row],[EGRESOS]]</f>
        <v>5000</v>
      </c>
      <c r="H968" s="274"/>
      <c r="I968" s="135">
        <v>1140</v>
      </c>
      <c r="J968" s="136">
        <f>Tabla3[[#This Row],[EGRESOS]]/Tabla3[[#This Row],[TC]]</f>
        <v>0</v>
      </c>
      <c r="K968" s="136">
        <f>Tabla3[[#This Row],[INGRESOS]]/Tabla3[[#This Row],[TC]]</f>
        <v>4.3859649122807021</v>
      </c>
      <c r="L968" s="8" t="s">
        <v>376</v>
      </c>
      <c r="M968" s="8" t="s">
        <v>377</v>
      </c>
      <c r="N968" s="8" t="s">
        <v>30</v>
      </c>
      <c r="O968" s="8" t="s">
        <v>184</v>
      </c>
      <c r="P968" s="8" t="s">
        <v>203</v>
      </c>
      <c r="Q968" s="8" t="s">
        <v>204</v>
      </c>
      <c r="R968" s="8" t="s">
        <v>540</v>
      </c>
      <c r="S968" s="8" t="s">
        <v>386</v>
      </c>
      <c r="T968" s="8"/>
      <c r="U968" s="8" t="s">
        <v>439</v>
      </c>
      <c r="V968" s="8" t="s">
        <v>386</v>
      </c>
      <c r="W968" s="8" t="s">
        <v>380</v>
      </c>
      <c r="X968" s="8" t="s">
        <v>23</v>
      </c>
      <c r="Y968" s="8" t="s">
        <v>98</v>
      </c>
    </row>
    <row r="969" spans="1:25" hidden="1" x14ac:dyDescent="0.25">
      <c r="A969" s="273" t="s">
        <v>320</v>
      </c>
      <c r="B969" s="251">
        <v>45954</v>
      </c>
      <c r="C969" s="252" t="s">
        <v>566</v>
      </c>
      <c r="D969" s="252"/>
      <c r="E969" s="253">
        <v>17890.759999999998</v>
      </c>
      <c r="F969" s="253">
        <v>0</v>
      </c>
      <c r="G969" s="274">
        <f>Tabla3[[#This Row],[INGRESOS]]-Tabla3[[#This Row],[EGRESOS]]</f>
        <v>-17890.759999999998</v>
      </c>
      <c r="H969" s="274">
        <v>-2990558.31</v>
      </c>
      <c r="I969" s="135">
        <v>1410</v>
      </c>
      <c r="J969" s="136">
        <f>Tabla3[[#This Row],[EGRESOS]]/Tabla3[[#This Row],[TC]]</f>
        <v>12.688482269503545</v>
      </c>
      <c r="K969" s="136">
        <v>0</v>
      </c>
      <c r="L969" s="8" t="s">
        <v>376</v>
      </c>
      <c r="M969" s="8" t="s">
        <v>377</v>
      </c>
      <c r="N969" s="8" t="s">
        <v>28</v>
      </c>
      <c r="O969" s="8" t="s">
        <v>184</v>
      </c>
      <c r="P969" s="8" t="s">
        <v>195</v>
      </c>
      <c r="Q969" s="8" t="s">
        <v>196</v>
      </c>
      <c r="R969" s="8" t="s">
        <v>394</v>
      </c>
      <c r="S969" s="8"/>
      <c r="T969" s="8"/>
      <c r="U969" s="8" t="s">
        <v>384</v>
      </c>
      <c r="V969" s="8"/>
      <c r="W969" s="7" t="s">
        <v>380</v>
      </c>
      <c r="X969" s="8" t="s">
        <v>99</v>
      </c>
      <c r="Y969" s="8" t="s">
        <v>23</v>
      </c>
    </row>
    <row r="970" spans="1:25" hidden="1" x14ac:dyDescent="0.25">
      <c r="A970" s="273" t="s">
        <v>320</v>
      </c>
      <c r="B970" s="251">
        <v>45958</v>
      </c>
      <c r="C970" s="252" t="s">
        <v>573</v>
      </c>
      <c r="D970" s="252"/>
      <c r="E970" s="253">
        <v>1190000</v>
      </c>
      <c r="F970" s="253">
        <v>0</v>
      </c>
      <c r="G970" s="274">
        <f>Tabla3[[#This Row],[INGRESOS]]-Tabla3[[#This Row],[EGRESOS]]</f>
        <v>-1190000</v>
      </c>
      <c r="H970" s="274">
        <v>-4180558.31</v>
      </c>
      <c r="I970" s="135">
        <v>1410</v>
      </c>
      <c r="J970" s="136">
        <f>Tabla3[[#This Row],[EGRESOS]]/Tabla3[[#This Row],[TC]]</f>
        <v>843.9716312056737</v>
      </c>
      <c r="K970" s="136">
        <v>0</v>
      </c>
      <c r="L970" s="8" t="s">
        <v>376</v>
      </c>
      <c r="M970" s="8" t="s">
        <v>377</v>
      </c>
      <c r="N970" s="8" t="s">
        <v>28</v>
      </c>
      <c r="O970" s="8" t="s">
        <v>244</v>
      </c>
      <c r="P970" s="8" t="s">
        <v>259</v>
      </c>
      <c r="Q970" s="8" t="s">
        <v>260</v>
      </c>
      <c r="R970" s="8" t="s">
        <v>378</v>
      </c>
      <c r="S970" s="8"/>
      <c r="T970" s="8"/>
      <c r="U970" s="8" t="s">
        <v>379</v>
      </c>
      <c r="V970" s="8"/>
      <c r="W970" s="7" t="s">
        <v>380</v>
      </c>
      <c r="X970" s="8"/>
      <c r="Y970" s="8"/>
    </row>
    <row r="971" spans="1:25" hidden="1" x14ac:dyDescent="0.25">
      <c r="A971" s="273" t="s">
        <v>320</v>
      </c>
      <c r="B971" s="251">
        <v>45958</v>
      </c>
      <c r="C971" s="252" t="s">
        <v>573</v>
      </c>
      <c r="D971" s="252"/>
      <c r="E971" s="253">
        <v>4600000</v>
      </c>
      <c r="F971" s="253">
        <v>0</v>
      </c>
      <c r="G971" s="274">
        <f>Tabla3[[#This Row],[INGRESOS]]-Tabla3[[#This Row],[EGRESOS]]</f>
        <v>-4600000</v>
      </c>
      <c r="H971" s="274">
        <v>-8780558.3100000005</v>
      </c>
      <c r="I971" s="135">
        <v>1410</v>
      </c>
      <c r="J971" s="136">
        <f>Tabla3[[#This Row],[EGRESOS]]/Tabla3[[#This Row],[TC]]</f>
        <v>3262.4113475177305</v>
      </c>
      <c r="K971" s="136">
        <v>0</v>
      </c>
      <c r="L971" s="8" t="s">
        <v>376</v>
      </c>
      <c r="M971" s="8" t="s">
        <v>377</v>
      </c>
      <c r="N971" s="8" t="s">
        <v>28</v>
      </c>
      <c r="O971" s="8" t="s">
        <v>244</v>
      </c>
      <c r="P971" s="8" t="s">
        <v>259</v>
      </c>
      <c r="Q971" s="8" t="s">
        <v>260</v>
      </c>
      <c r="R971" s="8" t="s">
        <v>472</v>
      </c>
      <c r="S971" s="8"/>
      <c r="T971" s="8"/>
      <c r="U971" s="8" t="s">
        <v>379</v>
      </c>
      <c r="V971" s="8"/>
      <c r="W971" s="7" t="s">
        <v>380</v>
      </c>
      <c r="X971" s="8"/>
      <c r="Y971" s="8"/>
    </row>
    <row r="972" spans="1:25" hidden="1" x14ac:dyDescent="0.25">
      <c r="A972" s="273" t="s">
        <v>320</v>
      </c>
      <c r="B972" s="251">
        <v>45961</v>
      </c>
      <c r="C972" s="252" t="s">
        <v>573</v>
      </c>
      <c r="D972" s="252"/>
      <c r="E972" s="253">
        <v>60000</v>
      </c>
      <c r="F972" s="253">
        <v>0</v>
      </c>
      <c r="G972" s="274">
        <f>Tabla3[[#This Row],[INGRESOS]]-Tabla3[[#This Row],[EGRESOS]]</f>
        <v>-60000</v>
      </c>
      <c r="H972" s="274">
        <v>-8840558.3100000005</v>
      </c>
      <c r="I972" s="135">
        <v>1410</v>
      </c>
      <c r="J972" s="136">
        <f>Tabla3[[#This Row],[EGRESOS]]/Tabla3[[#This Row],[TC]]</f>
        <v>42.553191489361701</v>
      </c>
      <c r="K972" s="136">
        <v>0</v>
      </c>
      <c r="L972" s="8" t="s">
        <v>376</v>
      </c>
      <c r="M972" s="8" t="s">
        <v>377</v>
      </c>
      <c r="N972" s="8" t="s">
        <v>28</v>
      </c>
      <c r="O972" s="8" t="s">
        <v>244</v>
      </c>
      <c r="P972" s="8" t="s">
        <v>259</v>
      </c>
      <c r="Q972" s="8" t="s">
        <v>260</v>
      </c>
      <c r="R972" s="8" t="s">
        <v>472</v>
      </c>
      <c r="S972" s="8"/>
      <c r="T972" s="8"/>
      <c r="U972" s="8" t="s">
        <v>379</v>
      </c>
      <c r="V972" s="8"/>
      <c r="W972" s="7" t="s">
        <v>380</v>
      </c>
      <c r="X972" s="8"/>
      <c r="Y972" s="8"/>
    </row>
    <row r="973" spans="1:25" hidden="1" x14ac:dyDescent="0.25">
      <c r="A973" s="273" t="s">
        <v>321</v>
      </c>
      <c r="B973" s="251">
        <v>45964</v>
      </c>
      <c r="C973" s="252" t="s">
        <v>694</v>
      </c>
      <c r="D973" s="252"/>
      <c r="E973" s="253">
        <v>3300</v>
      </c>
      <c r="F973" s="253">
        <v>0</v>
      </c>
      <c r="G973" s="274">
        <f>Tabla3[[#This Row],[INGRESOS]]-Tabla3[[#This Row],[EGRESOS]]</f>
        <v>-3300</v>
      </c>
      <c r="H973" s="274">
        <v>-8843858.3100000005</v>
      </c>
      <c r="I973" s="135">
        <v>1410</v>
      </c>
      <c r="J973" s="136">
        <f>Tabla3[[#This Row],[EGRESOS]]/Tabla3[[#This Row],[TC]]</f>
        <v>2.3404255319148937</v>
      </c>
      <c r="K973" s="136">
        <v>0</v>
      </c>
      <c r="L973" s="8" t="s">
        <v>376</v>
      </c>
      <c r="M973" s="8" t="s">
        <v>377</v>
      </c>
      <c r="N973" s="8" t="s">
        <v>28</v>
      </c>
      <c r="O973" s="8" t="s">
        <v>184</v>
      </c>
      <c r="P973" s="8" t="s">
        <v>195</v>
      </c>
      <c r="Q973" s="8" t="s">
        <v>196</v>
      </c>
      <c r="R973" s="8" t="s">
        <v>609</v>
      </c>
      <c r="S973" s="8"/>
      <c r="T973" s="8"/>
      <c r="U973" s="8" t="s">
        <v>384</v>
      </c>
      <c r="V973" s="8"/>
      <c r="W973" s="7" t="s">
        <v>380</v>
      </c>
      <c r="X973" s="8" t="s">
        <v>99</v>
      </c>
      <c r="Y973" s="8" t="s">
        <v>23</v>
      </c>
    </row>
    <row r="974" spans="1:25" hidden="1" x14ac:dyDescent="0.25">
      <c r="A974" s="273" t="s">
        <v>321</v>
      </c>
      <c r="B974" s="251">
        <v>45964</v>
      </c>
      <c r="C974" s="252" t="s">
        <v>564</v>
      </c>
      <c r="D974" s="252"/>
      <c r="E974" s="253">
        <v>1650</v>
      </c>
      <c r="F974" s="253">
        <v>0</v>
      </c>
      <c r="G974" s="274">
        <f>Tabla3[[#This Row],[INGRESOS]]-Tabla3[[#This Row],[EGRESOS]]</f>
        <v>-1650</v>
      </c>
      <c r="H974" s="274">
        <v>-8845508.3100000005</v>
      </c>
      <c r="I974" s="135">
        <v>1410</v>
      </c>
      <c r="J974" s="136">
        <f>Tabla3[[#This Row],[EGRESOS]]/Tabla3[[#This Row],[TC]]</f>
        <v>1.1702127659574468</v>
      </c>
      <c r="K974" s="136">
        <v>0</v>
      </c>
      <c r="L974" s="8" t="s">
        <v>376</v>
      </c>
      <c r="M974" s="8" t="s">
        <v>377</v>
      </c>
      <c r="N974" s="8" t="s">
        <v>28</v>
      </c>
      <c r="O974" s="8" t="s">
        <v>184</v>
      </c>
      <c r="P974" s="8" t="s">
        <v>195</v>
      </c>
      <c r="Q974" s="8" t="s">
        <v>196</v>
      </c>
      <c r="R974" s="8" t="s">
        <v>417</v>
      </c>
      <c r="S974" s="8" t="s">
        <v>383</v>
      </c>
      <c r="T974" s="8"/>
      <c r="U974" s="8" t="s">
        <v>384</v>
      </c>
      <c r="V974" s="8"/>
      <c r="W974" s="7" t="s">
        <v>380</v>
      </c>
      <c r="X974" s="8" t="s">
        <v>99</v>
      </c>
      <c r="Y974" s="8" t="s">
        <v>23</v>
      </c>
    </row>
    <row r="975" spans="1:25" hidden="1" x14ac:dyDescent="0.25">
      <c r="A975" s="273" t="s">
        <v>321</v>
      </c>
      <c r="B975" s="251">
        <v>45964</v>
      </c>
      <c r="C975" s="252" t="s">
        <v>273</v>
      </c>
      <c r="D975" s="252"/>
      <c r="E975" s="253">
        <v>11550</v>
      </c>
      <c r="F975" s="253">
        <v>0</v>
      </c>
      <c r="G975" s="274">
        <f>Tabla3[[#This Row],[INGRESOS]]-Tabla3[[#This Row],[EGRESOS]]</f>
        <v>-11550</v>
      </c>
      <c r="H975" s="274">
        <v>-8857058.3100000005</v>
      </c>
      <c r="I975" s="135">
        <v>1410</v>
      </c>
      <c r="J975" s="136">
        <f>Tabla3[[#This Row],[EGRESOS]]/Tabla3[[#This Row],[TC]]</f>
        <v>8.1914893617021285</v>
      </c>
      <c r="K975" s="136">
        <v>0</v>
      </c>
      <c r="L975" s="8" t="s">
        <v>376</v>
      </c>
      <c r="M975" s="8" t="s">
        <v>377</v>
      </c>
      <c r="N975" s="8" t="s">
        <v>28</v>
      </c>
      <c r="O975" s="8" t="s">
        <v>184</v>
      </c>
      <c r="P975" s="8" t="s">
        <v>195</v>
      </c>
      <c r="Q975" s="8" t="s">
        <v>196</v>
      </c>
      <c r="R975" s="8" t="s">
        <v>273</v>
      </c>
      <c r="S975" s="8"/>
      <c r="T975" s="8"/>
      <c r="U975" s="8" t="s">
        <v>384</v>
      </c>
      <c r="V975" s="8"/>
      <c r="W975" s="7" t="s">
        <v>380</v>
      </c>
      <c r="X975" s="8" t="s">
        <v>99</v>
      </c>
      <c r="Y975" s="8" t="s">
        <v>23</v>
      </c>
    </row>
    <row r="976" spans="1:25" hidden="1" x14ac:dyDescent="0.25">
      <c r="A976" s="273" t="s">
        <v>321</v>
      </c>
      <c r="B976" s="251">
        <v>45964</v>
      </c>
      <c r="C976" s="252" t="s">
        <v>565</v>
      </c>
      <c r="D976" s="252"/>
      <c r="E976" s="253">
        <v>55000</v>
      </c>
      <c r="F976" s="253">
        <v>0</v>
      </c>
      <c r="G976" s="274">
        <f>Tabla3[[#This Row],[INGRESOS]]-Tabla3[[#This Row],[EGRESOS]]</f>
        <v>-55000</v>
      </c>
      <c r="H976" s="274">
        <v>-8912058.3100000005</v>
      </c>
      <c r="I976" s="135">
        <v>1410</v>
      </c>
      <c r="J976" s="136">
        <f>Tabla3[[#This Row],[EGRESOS]]/Tabla3[[#This Row],[TC]]</f>
        <v>39.00709219858156</v>
      </c>
      <c r="K976" s="136">
        <v>0</v>
      </c>
      <c r="L976" s="8" t="s">
        <v>376</v>
      </c>
      <c r="M976" s="8" t="s">
        <v>377</v>
      </c>
      <c r="N976" s="8" t="s">
        <v>28</v>
      </c>
      <c r="O976" s="8" t="s">
        <v>184</v>
      </c>
      <c r="P976" s="8" t="s">
        <v>185</v>
      </c>
      <c r="Q976" s="8" t="s">
        <v>186</v>
      </c>
      <c r="R976" s="8"/>
      <c r="S976" s="8"/>
      <c r="T976" s="8"/>
      <c r="U976" s="8" t="s">
        <v>384</v>
      </c>
      <c r="V976" s="8"/>
      <c r="W976" s="7" t="s">
        <v>380</v>
      </c>
      <c r="X976" s="8" t="s">
        <v>99</v>
      </c>
      <c r="Y976" s="8" t="s">
        <v>23</v>
      </c>
    </row>
    <row r="977" spans="1:25" hidden="1" x14ac:dyDescent="0.25">
      <c r="A977" s="273" t="s">
        <v>321</v>
      </c>
      <c r="B977" s="251">
        <v>45964</v>
      </c>
      <c r="C977" s="252" t="s">
        <v>566</v>
      </c>
      <c r="D977" s="252"/>
      <c r="E977" s="253">
        <v>429</v>
      </c>
      <c r="F977" s="253">
        <v>0</v>
      </c>
      <c r="G977" s="274">
        <f>Tabla3[[#This Row],[INGRESOS]]-Tabla3[[#This Row],[EGRESOS]]</f>
        <v>-429</v>
      </c>
      <c r="H977" s="274">
        <v>-8912487.3100000005</v>
      </c>
      <c r="I977" s="135">
        <v>1410</v>
      </c>
      <c r="J977" s="136">
        <f>Tabla3[[#This Row],[EGRESOS]]/Tabla3[[#This Row],[TC]]</f>
        <v>0.30425531914893617</v>
      </c>
      <c r="K977" s="136">
        <v>0</v>
      </c>
      <c r="L977" s="8" t="s">
        <v>376</v>
      </c>
      <c r="M977" s="8" t="s">
        <v>377</v>
      </c>
      <c r="N977" s="8" t="s">
        <v>28</v>
      </c>
      <c r="O977" s="8" t="s">
        <v>184</v>
      </c>
      <c r="P977" s="8" t="s">
        <v>195</v>
      </c>
      <c r="Q977" s="8" t="s">
        <v>196</v>
      </c>
      <c r="R977" s="8" t="s">
        <v>394</v>
      </c>
      <c r="S977" s="8"/>
      <c r="T977" s="8"/>
      <c r="U977" s="8" t="s">
        <v>384</v>
      </c>
      <c r="V977" s="8"/>
      <c r="W977" s="7" t="s">
        <v>380</v>
      </c>
      <c r="X977" s="8" t="s">
        <v>99</v>
      </c>
      <c r="Y977" s="8" t="s">
        <v>23</v>
      </c>
    </row>
    <row r="978" spans="1:25" hidden="1" x14ac:dyDescent="0.25">
      <c r="A978" s="273" t="s">
        <v>321</v>
      </c>
      <c r="B978" s="251">
        <v>45964</v>
      </c>
      <c r="C978" s="252" t="s">
        <v>694</v>
      </c>
      <c r="D978" s="252"/>
      <c r="E978" s="253">
        <v>17754.509999999998</v>
      </c>
      <c r="F978" s="253">
        <v>0</v>
      </c>
      <c r="G978" s="274">
        <f>Tabla3[[#This Row],[INGRESOS]]-Tabla3[[#This Row],[EGRESOS]]</f>
        <v>-17754.509999999998</v>
      </c>
      <c r="H978" s="274">
        <v>-8930241.8200000003</v>
      </c>
      <c r="I978" s="135">
        <v>1410</v>
      </c>
      <c r="J978" s="136">
        <f>Tabla3[[#This Row],[EGRESOS]]/Tabla3[[#This Row],[TC]]</f>
        <v>12.591851063829786</v>
      </c>
      <c r="K978" s="136">
        <v>0</v>
      </c>
      <c r="L978" s="8" t="s">
        <v>376</v>
      </c>
      <c r="M978" s="8" t="s">
        <v>377</v>
      </c>
      <c r="N978" s="8" t="s">
        <v>28</v>
      </c>
      <c r="O978" s="8" t="s">
        <v>184</v>
      </c>
      <c r="P978" s="8" t="s">
        <v>195</v>
      </c>
      <c r="Q978" s="8" t="s">
        <v>196</v>
      </c>
      <c r="R978" s="8" t="s">
        <v>609</v>
      </c>
      <c r="S978" s="8"/>
      <c r="T978" s="8"/>
      <c r="U978" s="8" t="s">
        <v>384</v>
      </c>
      <c r="V978" s="8"/>
      <c r="W978" s="7" t="s">
        <v>380</v>
      </c>
      <c r="X978" s="8" t="s">
        <v>99</v>
      </c>
      <c r="Y978" s="8" t="s">
        <v>23</v>
      </c>
    </row>
    <row r="979" spans="1:25" hidden="1" x14ac:dyDescent="0.25">
      <c r="A979" s="273" t="s">
        <v>321</v>
      </c>
      <c r="B979" s="251">
        <v>45964</v>
      </c>
      <c r="C979" s="252" t="s">
        <v>564</v>
      </c>
      <c r="D979" s="252"/>
      <c r="E979" s="253">
        <v>4438.63</v>
      </c>
      <c r="F979" s="253">
        <v>0</v>
      </c>
      <c r="G979" s="274">
        <f>Tabla3[[#This Row],[INGRESOS]]-Tabla3[[#This Row],[EGRESOS]]</f>
        <v>-4438.63</v>
      </c>
      <c r="H979" s="274">
        <v>-8934680.4499999993</v>
      </c>
      <c r="I979" s="135">
        <v>1410</v>
      </c>
      <c r="J979" s="136">
        <f>Tabla3[[#This Row],[EGRESOS]]/Tabla3[[#This Row],[TC]]</f>
        <v>3.1479645390070923</v>
      </c>
      <c r="K979" s="136">
        <v>0</v>
      </c>
      <c r="L979" s="8" t="s">
        <v>376</v>
      </c>
      <c r="M979" s="8" t="s">
        <v>377</v>
      </c>
      <c r="N979" s="8" t="s">
        <v>28</v>
      </c>
      <c r="O979" s="8" t="s">
        <v>184</v>
      </c>
      <c r="P979" s="8" t="s">
        <v>195</v>
      </c>
      <c r="Q979" s="8" t="s">
        <v>196</v>
      </c>
      <c r="R979" s="8" t="s">
        <v>417</v>
      </c>
      <c r="S979" s="8" t="s">
        <v>383</v>
      </c>
      <c r="T979" s="8"/>
      <c r="U979" s="8" t="s">
        <v>384</v>
      </c>
      <c r="V979" s="8"/>
      <c r="W979" s="7" t="s">
        <v>380</v>
      </c>
      <c r="X979" s="8" t="s">
        <v>99</v>
      </c>
      <c r="Y979" s="8" t="s">
        <v>23</v>
      </c>
    </row>
    <row r="980" spans="1:25" hidden="1" x14ac:dyDescent="0.25">
      <c r="A980" s="273" t="s">
        <v>321</v>
      </c>
      <c r="B980" s="251">
        <v>45964</v>
      </c>
      <c r="C980" s="252" t="s">
        <v>273</v>
      </c>
      <c r="D980" s="252"/>
      <c r="E980" s="253">
        <v>31070.39</v>
      </c>
      <c r="F980" s="253">
        <v>0</v>
      </c>
      <c r="G980" s="274">
        <f>Tabla3[[#This Row],[INGRESOS]]-Tabla3[[#This Row],[EGRESOS]]</f>
        <v>-31070.39</v>
      </c>
      <c r="H980" s="274">
        <v>-8965750.8399999999</v>
      </c>
      <c r="I980" s="135">
        <v>1410</v>
      </c>
      <c r="J980" s="136">
        <f>Tabla3[[#This Row],[EGRESOS]]/Tabla3[[#This Row],[TC]]</f>
        <v>22.035737588652481</v>
      </c>
      <c r="K980" s="136">
        <v>0</v>
      </c>
      <c r="L980" s="8" t="s">
        <v>376</v>
      </c>
      <c r="M980" s="8" t="s">
        <v>377</v>
      </c>
      <c r="N980" s="8" t="s">
        <v>28</v>
      </c>
      <c r="O980" s="8" t="s">
        <v>184</v>
      </c>
      <c r="P980" s="8" t="s">
        <v>195</v>
      </c>
      <c r="Q980" s="8" t="s">
        <v>196</v>
      </c>
      <c r="R980" s="8" t="s">
        <v>273</v>
      </c>
      <c r="S980" s="8"/>
      <c r="T980" s="8"/>
      <c r="U980" s="8" t="s">
        <v>384</v>
      </c>
      <c r="V980" s="8"/>
      <c r="W980" s="8" t="s">
        <v>380</v>
      </c>
      <c r="X980" s="8" t="s">
        <v>99</v>
      </c>
      <c r="Y980" s="8" t="s">
        <v>23</v>
      </c>
    </row>
    <row r="981" spans="1:25" hidden="1" x14ac:dyDescent="0.25">
      <c r="A981" s="273" t="s">
        <v>321</v>
      </c>
      <c r="B981" s="251">
        <v>45964</v>
      </c>
      <c r="C981" s="252" t="s">
        <v>463</v>
      </c>
      <c r="D981" s="252"/>
      <c r="E981" s="253">
        <v>4027.45</v>
      </c>
      <c r="F981" s="253">
        <v>0</v>
      </c>
      <c r="G981" s="274">
        <f>Tabla3[[#This Row],[INGRESOS]]-Tabla3[[#This Row],[EGRESOS]]</f>
        <v>-4027.45</v>
      </c>
      <c r="H981" s="274">
        <v>-8969778.2899999991</v>
      </c>
      <c r="I981" s="135">
        <v>1410</v>
      </c>
      <c r="J981" s="136">
        <f>Tabla3[[#This Row],[EGRESOS]]/Tabla3[[#This Row],[TC]]</f>
        <v>2.8563475177304962</v>
      </c>
      <c r="K981" s="136">
        <v>0</v>
      </c>
      <c r="L981" s="8" t="s">
        <v>376</v>
      </c>
      <c r="M981" s="8" t="s">
        <v>377</v>
      </c>
      <c r="N981" s="8" t="s">
        <v>28</v>
      </c>
      <c r="O981" s="8" t="s">
        <v>184</v>
      </c>
      <c r="P981" s="8" t="s">
        <v>195</v>
      </c>
      <c r="Q981" s="8" t="s">
        <v>196</v>
      </c>
      <c r="R981" s="8" t="s">
        <v>423</v>
      </c>
      <c r="S981" s="8"/>
      <c r="T981" s="8"/>
      <c r="U981" s="8" t="s">
        <v>384</v>
      </c>
      <c r="V981" s="8"/>
      <c r="W981" s="8" t="s">
        <v>380</v>
      </c>
      <c r="X981" s="8" t="s">
        <v>99</v>
      </c>
      <c r="Y981" s="8" t="s">
        <v>23</v>
      </c>
    </row>
    <row r="982" spans="1:25" hidden="1" x14ac:dyDescent="0.25">
      <c r="A982" s="273" t="s">
        <v>321</v>
      </c>
      <c r="B982" s="251">
        <v>45964</v>
      </c>
      <c r="C982" s="252" t="s">
        <v>567</v>
      </c>
      <c r="D982" s="252"/>
      <c r="E982" s="253">
        <v>295908.49</v>
      </c>
      <c r="F982" s="253">
        <v>0</v>
      </c>
      <c r="G982" s="274">
        <f>Tabla3[[#This Row],[INGRESOS]]-Tabla3[[#This Row],[EGRESOS]]</f>
        <v>-295908.49</v>
      </c>
      <c r="H982" s="274">
        <v>-9265686.7799999993</v>
      </c>
      <c r="I982" s="135">
        <v>1410</v>
      </c>
      <c r="J982" s="136">
        <f>Tabla3[[#This Row],[EGRESOS]]/Tabla3[[#This Row],[TC]]</f>
        <v>209.86417730496453</v>
      </c>
      <c r="K982" s="136">
        <v>0</v>
      </c>
      <c r="L982" s="8" t="s">
        <v>376</v>
      </c>
      <c r="M982" s="8" t="s">
        <v>377</v>
      </c>
      <c r="N982" s="8" t="s">
        <v>28</v>
      </c>
      <c r="O982" s="8" t="s">
        <v>184</v>
      </c>
      <c r="P982" s="8" t="s">
        <v>197</v>
      </c>
      <c r="Q982" s="8" t="s">
        <v>198</v>
      </c>
      <c r="R982" s="8" t="s">
        <v>419</v>
      </c>
      <c r="S982" s="8"/>
      <c r="T982" s="8"/>
      <c r="U982" s="8" t="s">
        <v>384</v>
      </c>
      <c r="V982" s="8"/>
      <c r="W982" s="8" t="s">
        <v>380</v>
      </c>
      <c r="X982" s="8" t="s">
        <v>99</v>
      </c>
      <c r="Y982" s="8" t="s">
        <v>23</v>
      </c>
    </row>
    <row r="983" spans="1:25" hidden="1" x14ac:dyDescent="0.25">
      <c r="A983" s="273" t="s">
        <v>321</v>
      </c>
      <c r="B983" s="251">
        <v>45964</v>
      </c>
      <c r="C983" s="252" t="s">
        <v>566</v>
      </c>
      <c r="D983" s="252"/>
      <c r="E983" s="253">
        <v>2119.1999999999998</v>
      </c>
      <c r="F983" s="253">
        <v>0</v>
      </c>
      <c r="G983" s="274">
        <f>Tabla3[[#This Row],[INGRESOS]]-Tabla3[[#This Row],[EGRESOS]]</f>
        <v>-2119.1999999999998</v>
      </c>
      <c r="H983" s="274">
        <v>-9267805.9800000004</v>
      </c>
      <c r="I983" s="135">
        <v>1410</v>
      </c>
      <c r="J983" s="136">
        <f>Tabla3[[#This Row],[EGRESOS]]/Tabla3[[#This Row],[TC]]</f>
        <v>1.5029787234042551</v>
      </c>
      <c r="K983" s="136">
        <v>0</v>
      </c>
      <c r="L983" s="8" t="s">
        <v>376</v>
      </c>
      <c r="M983" s="8" t="s">
        <v>377</v>
      </c>
      <c r="N983" s="8" t="s">
        <v>28</v>
      </c>
      <c r="O983" s="8" t="s">
        <v>184</v>
      </c>
      <c r="P983" s="8" t="s">
        <v>195</v>
      </c>
      <c r="Q983" s="8" t="s">
        <v>196</v>
      </c>
      <c r="R983" s="8" t="s">
        <v>394</v>
      </c>
      <c r="S983" s="8"/>
      <c r="T983" s="8"/>
      <c r="U983" s="8" t="s">
        <v>384</v>
      </c>
      <c r="V983" s="8"/>
      <c r="W983" s="8" t="s">
        <v>380</v>
      </c>
      <c r="X983" s="8" t="s">
        <v>99</v>
      </c>
      <c r="Y983" s="8" t="s">
        <v>23</v>
      </c>
    </row>
    <row r="984" spans="1:25" hidden="1" x14ac:dyDescent="0.25">
      <c r="A984" s="273" t="s">
        <v>321</v>
      </c>
      <c r="B984" s="251">
        <v>45972</v>
      </c>
      <c r="C984" s="252" t="s">
        <v>598</v>
      </c>
      <c r="D984" s="252"/>
      <c r="E984" s="253">
        <v>0</v>
      </c>
      <c r="F984" s="253">
        <v>9400000</v>
      </c>
      <c r="G984" s="274">
        <f>Tabla3[[#This Row],[INGRESOS]]-Tabla3[[#This Row],[EGRESOS]]</f>
        <v>9400000</v>
      </c>
      <c r="H984" s="274">
        <v>132194.01999999999</v>
      </c>
      <c r="I984" s="135">
        <v>1410</v>
      </c>
      <c r="J984" s="136">
        <f>Tabla3[[#This Row],[EGRESOS]]/Tabla3[[#This Row],[TC]]</f>
        <v>0</v>
      </c>
      <c r="K984" s="136">
        <v>0</v>
      </c>
      <c r="L984" s="8" t="s">
        <v>376</v>
      </c>
      <c r="M984" s="8" t="s">
        <v>377</v>
      </c>
      <c r="N984" s="8" t="s">
        <v>28</v>
      </c>
      <c r="O984" s="8" t="s">
        <v>244</v>
      </c>
      <c r="P984" s="8" t="s">
        <v>259</v>
      </c>
      <c r="Q984" s="8" t="s">
        <v>260</v>
      </c>
      <c r="R984" s="8" t="s">
        <v>378</v>
      </c>
      <c r="S984" s="8"/>
      <c r="T984" s="8"/>
      <c r="U984" s="8" t="s">
        <v>379</v>
      </c>
      <c r="V984" s="8"/>
      <c r="W984" s="8" t="s">
        <v>380</v>
      </c>
      <c r="X984" s="8"/>
      <c r="Y984" s="8"/>
    </row>
    <row r="985" spans="1:25" hidden="1" x14ac:dyDescent="0.25">
      <c r="A985" s="273" t="s">
        <v>321</v>
      </c>
      <c r="B985" s="251">
        <v>45972</v>
      </c>
      <c r="C985" s="252" t="s">
        <v>568</v>
      </c>
      <c r="D985" s="252"/>
      <c r="E985" s="253">
        <v>2000000</v>
      </c>
      <c r="F985" s="253">
        <v>0</v>
      </c>
      <c r="G985" s="274">
        <f>Tabla3[[#This Row],[INGRESOS]]-Tabla3[[#This Row],[EGRESOS]]</f>
        <v>-2000000</v>
      </c>
      <c r="H985" s="274">
        <v>-1867805.98</v>
      </c>
      <c r="I985" s="135">
        <v>1410</v>
      </c>
      <c r="J985" s="136">
        <f>Tabla3[[#This Row],[EGRESOS]]/Tabla3[[#This Row],[TC]]</f>
        <v>1418.4397163120568</v>
      </c>
      <c r="K985" s="136">
        <v>0</v>
      </c>
      <c r="L985" s="8" t="s">
        <v>376</v>
      </c>
      <c r="M985" s="8" t="s">
        <v>377</v>
      </c>
      <c r="N985" s="8" t="s">
        <v>28</v>
      </c>
      <c r="O985" s="8" t="s">
        <v>184</v>
      </c>
      <c r="P985" s="8" t="s">
        <v>203</v>
      </c>
      <c r="Q985" s="8" t="s">
        <v>208</v>
      </c>
      <c r="R985" s="8"/>
      <c r="S985" s="8" t="s">
        <v>414</v>
      </c>
      <c r="T985" s="8"/>
      <c r="U985" s="8" t="s">
        <v>530</v>
      </c>
      <c r="V985" s="8" t="s">
        <v>415</v>
      </c>
      <c r="W985" s="8" t="s">
        <v>380</v>
      </c>
      <c r="X985" s="8" t="s">
        <v>102</v>
      </c>
      <c r="Y985" s="8" t="s">
        <v>23</v>
      </c>
    </row>
    <row r="986" spans="1:25" hidden="1" x14ac:dyDescent="0.25">
      <c r="A986" s="273" t="s">
        <v>321</v>
      </c>
      <c r="B986" s="251">
        <v>45972</v>
      </c>
      <c r="C986" s="252" t="s">
        <v>568</v>
      </c>
      <c r="D986" s="252"/>
      <c r="E986" s="253">
        <v>2000000</v>
      </c>
      <c r="F986" s="253">
        <v>0</v>
      </c>
      <c r="G986" s="274">
        <f>Tabla3[[#This Row],[INGRESOS]]-Tabla3[[#This Row],[EGRESOS]]</f>
        <v>-2000000</v>
      </c>
      <c r="H986" s="274">
        <v>-3867805.98</v>
      </c>
      <c r="I986" s="135">
        <v>1410</v>
      </c>
      <c r="J986" s="136">
        <f>Tabla3[[#This Row],[EGRESOS]]/Tabla3[[#This Row],[TC]]</f>
        <v>1418.4397163120568</v>
      </c>
      <c r="K986" s="136">
        <v>0</v>
      </c>
      <c r="L986" s="8" t="s">
        <v>376</v>
      </c>
      <c r="M986" s="8" t="s">
        <v>377</v>
      </c>
      <c r="N986" s="8" t="s">
        <v>28</v>
      </c>
      <c r="O986" s="8" t="s">
        <v>184</v>
      </c>
      <c r="P986" s="8" t="s">
        <v>203</v>
      </c>
      <c r="Q986" s="8" t="s">
        <v>206</v>
      </c>
      <c r="R986" s="8" t="s">
        <v>509</v>
      </c>
      <c r="S986" s="8" t="s">
        <v>510</v>
      </c>
      <c r="T986" s="8"/>
      <c r="U986" s="8" t="s">
        <v>511</v>
      </c>
      <c r="V986" s="8" t="s">
        <v>512</v>
      </c>
      <c r="W986" s="8" t="s">
        <v>380</v>
      </c>
      <c r="X986" s="8" t="s">
        <v>103</v>
      </c>
      <c r="Y986" s="8" t="s">
        <v>23</v>
      </c>
    </row>
    <row r="987" spans="1:25" hidden="1" x14ac:dyDescent="0.25">
      <c r="A987" s="273" t="s">
        <v>321</v>
      </c>
      <c r="B987" s="251">
        <v>45972</v>
      </c>
      <c r="C987" s="252" t="s">
        <v>566</v>
      </c>
      <c r="D987" s="252"/>
      <c r="E987" s="253">
        <v>24000</v>
      </c>
      <c r="F987" s="253">
        <v>0</v>
      </c>
      <c r="G987" s="274">
        <f>Tabla3[[#This Row],[INGRESOS]]-Tabla3[[#This Row],[EGRESOS]]</f>
        <v>-24000</v>
      </c>
      <c r="H987" s="274">
        <v>-3891805.98</v>
      </c>
      <c r="I987" s="135">
        <v>1410</v>
      </c>
      <c r="J987" s="136">
        <f>Tabla3[[#This Row],[EGRESOS]]/Tabla3[[#This Row],[TC]]</f>
        <v>17.021276595744681</v>
      </c>
      <c r="K987" s="136">
        <v>0</v>
      </c>
      <c r="L987" s="8" t="s">
        <v>376</v>
      </c>
      <c r="M987" s="8" t="s">
        <v>377</v>
      </c>
      <c r="N987" s="8" t="s">
        <v>28</v>
      </c>
      <c r="O987" s="8" t="s">
        <v>184</v>
      </c>
      <c r="P987" s="8" t="s">
        <v>195</v>
      </c>
      <c r="Q987" s="8" t="s">
        <v>196</v>
      </c>
      <c r="R987" s="8" t="s">
        <v>394</v>
      </c>
      <c r="S987" s="8"/>
      <c r="T987" s="8"/>
      <c r="U987" s="8" t="s">
        <v>384</v>
      </c>
      <c r="V987" s="8"/>
      <c r="W987" s="8" t="s">
        <v>380</v>
      </c>
      <c r="X987" s="8" t="s">
        <v>99</v>
      </c>
      <c r="Y987" s="8" t="s">
        <v>23</v>
      </c>
    </row>
    <row r="988" spans="1:25" hidden="1" x14ac:dyDescent="0.25">
      <c r="A988" s="273" t="s">
        <v>321</v>
      </c>
      <c r="B988" s="251">
        <v>45981</v>
      </c>
      <c r="C988" s="252" t="s">
        <v>568</v>
      </c>
      <c r="D988" s="252"/>
      <c r="E988" s="253">
        <v>510250</v>
      </c>
      <c r="F988" s="253">
        <v>0</v>
      </c>
      <c r="G988" s="274">
        <f>Tabla3[[#This Row],[INGRESOS]]-Tabla3[[#This Row],[EGRESOS]]</f>
        <v>-510250</v>
      </c>
      <c r="H988" s="274">
        <v>-4602055.9800000004</v>
      </c>
      <c r="I988" s="135">
        <v>1410</v>
      </c>
      <c r="J988" s="136">
        <f>Tabla3[[#This Row],[EGRESOS]]/Tabla3[[#This Row],[TC]]</f>
        <v>361.87943262411346</v>
      </c>
      <c r="K988" s="136">
        <v>0</v>
      </c>
      <c r="L988" s="8" t="s">
        <v>376</v>
      </c>
      <c r="M988" s="8" t="s">
        <v>377</v>
      </c>
      <c r="N988" s="8" t="s">
        <v>28</v>
      </c>
      <c r="O988" s="8" t="s">
        <v>184</v>
      </c>
      <c r="P988" s="8" t="s">
        <v>185</v>
      </c>
      <c r="Q988" s="8" t="s">
        <v>192</v>
      </c>
      <c r="R988" s="8" t="s">
        <v>741</v>
      </c>
      <c r="S988" s="8"/>
      <c r="T988" s="8"/>
      <c r="U988" s="8" t="s">
        <v>384</v>
      </c>
      <c r="V988" s="8"/>
      <c r="W988" s="8" t="s">
        <v>380</v>
      </c>
      <c r="X988" s="8" t="s">
        <v>99</v>
      </c>
      <c r="Y988" s="8" t="s">
        <v>23</v>
      </c>
    </row>
    <row r="989" spans="1:25" hidden="1" x14ac:dyDescent="0.25">
      <c r="A989" s="273" t="s">
        <v>321</v>
      </c>
      <c r="B989" s="251">
        <v>45981</v>
      </c>
      <c r="C989" s="252" t="s">
        <v>568</v>
      </c>
      <c r="D989" s="252"/>
      <c r="E989" s="253">
        <v>200000</v>
      </c>
      <c r="F989" s="253">
        <v>0</v>
      </c>
      <c r="G989" s="274">
        <f>Tabla3[[#This Row],[INGRESOS]]-Tabla3[[#This Row],[EGRESOS]]</f>
        <v>-200000</v>
      </c>
      <c r="H989" s="274">
        <v>-4091805.98</v>
      </c>
      <c r="I989" s="135">
        <v>1410</v>
      </c>
      <c r="J989" s="136">
        <f>Tabla3[[#This Row],[EGRESOS]]/Tabla3[[#This Row],[TC]]</f>
        <v>141.84397163120568</v>
      </c>
      <c r="K989" s="136">
        <v>0</v>
      </c>
      <c r="L989" s="8" t="s">
        <v>376</v>
      </c>
      <c r="M989" s="8" t="s">
        <v>377</v>
      </c>
      <c r="N989" s="8" t="s">
        <v>28</v>
      </c>
      <c r="O989" s="8" t="s">
        <v>184</v>
      </c>
      <c r="P989" s="8" t="s">
        <v>185</v>
      </c>
      <c r="Q989" s="8" t="s">
        <v>192</v>
      </c>
      <c r="R989" s="8" t="s">
        <v>741</v>
      </c>
      <c r="S989" s="8"/>
      <c r="T989" s="8"/>
      <c r="U989" s="8" t="s">
        <v>384</v>
      </c>
      <c r="V989" s="8"/>
      <c r="W989" s="8" t="s">
        <v>380</v>
      </c>
      <c r="X989" s="8" t="s">
        <v>99</v>
      </c>
      <c r="Y989" s="8" t="s">
        <v>23</v>
      </c>
    </row>
    <row r="990" spans="1:25" hidden="1" x14ac:dyDescent="0.25">
      <c r="A990" s="273" t="s">
        <v>321</v>
      </c>
      <c r="B990" s="251">
        <v>45981</v>
      </c>
      <c r="C990" s="252" t="s">
        <v>566</v>
      </c>
      <c r="D990" s="252"/>
      <c r="E990" s="253">
        <v>4261.5</v>
      </c>
      <c r="F990" s="253">
        <v>0</v>
      </c>
      <c r="G990" s="274">
        <f>Tabla3[[#This Row],[INGRESOS]]-Tabla3[[#This Row],[EGRESOS]]</f>
        <v>-4261.5</v>
      </c>
      <c r="H990" s="274">
        <v>-4606317.4800000004</v>
      </c>
      <c r="I990" s="135">
        <v>1410</v>
      </c>
      <c r="J990" s="136">
        <f>Tabla3[[#This Row],[EGRESOS]]/Tabla3[[#This Row],[TC]]</f>
        <v>3.0223404255319148</v>
      </c>
      <c r="K990" s="136">
        <v>0</v>
      </c>
      <c r="L990" s="8" t="s">
        <v>376</v>
      </c>
      <c r="M990" s="8" t="s">
        <v>377</v>
      </c>
      <c r="N990" s="8" t="s">
        <v>28</v>
      </c>
      <c r="O990" s="8" t="s">
        <v>184</v>
      </c>
      <c r="P990" s="8" t="s">
        <v>195</v>
      </c>
      <c r="Q990" s="8" t="s">
        <v>196</v>
      </c>
      <c r="R990" s="8" t="s">
        <v>394</v>
      </c>
      <c r="S990" s="8"/>
      <c r="T990" s="8"/>
      <c r="U990" s="8" t="s">
        <v>384</v>
      </c>
      <c r="V990" s="8"/>
      <c r="W990" s="8" t="s">
        <v>380</v>
      </c>
      <c r="X990" s="8" t="s">
        <v>99</v>
      </c>
      <c r="Y990" s="8" t="s">
        <v>23</v>
      </c>
    </row>
    <row r="991" spans="1:25" hidden="1" x14ac:dyDescent="0.25">
      <c r="A991" s="273" t="s">
        <v>321</v>
      </c>
      <c r="B991" s="251">
        <v>45986</v>
      </c>
      <c r="C991" s="252" t="s">
        <v>568</v>
      </c>
      <c r="D991" s="252"/>
      <c r="E991" s="253">
        <v>65502.5</v>
      </c>
      <c r="F991" s="253">
        <v>0</v>
      </c>
      <c r="G991" s="274">
        <f>Tabla3[[#This Row],[INGRESOS]]-Tabla3[[#This Row],[EGRESOS]]</f>
        <v>-65502.5</v>
      </c>
      <c r="H991" s="274">
        <v>-4671819.9800000004</v>
      </c>
      <c r="I991" s="135">
        <v>1410</v>
      </c>
      <c r="J991" s="136">
        <f>Tabla3[[#This Row],[EGRESOS]]/Tabla3[[#This Row],[TC]]</f>
        <v>46.455673758865245</v>
      </c>
      <c r="K991" s="136">
        <v>0</v>
      </c>
      <c r="L991" s="8" t="s">
        <v>376</v>
      </c>
      <c r="M991" s="8" t="s">
        <v>377</v>
      </c>
      <c r="N991" s="8" t="s">
        <v>28</v>
      </c>
      <c r="O991" s="8" t="s">
        <v>286</v>
      </c>
      <c r="P991" s="8" t="s">
        <v>287</v>
      </c>
      <c r="Q991" s="8" t="s">
        <v>288</v>
      </c>
      <c r="R991" s="8" t="s">
        <v>143</v>
      </c>
      <c r="S991" s="8" t="s">
        <v>637</v>
      </c>
      <c r="T991" s="8"/>
      <c r="U991" s="8" t="s">
        <v>412</v>
      </c>
      <c r="V991" s="8"/>
      <c r="W991" s="8" t="s">
        <v>380</v>
      </c>
      <c r="X991" s="8" t="s">
        <v>29</v>
      </c>
      <c r="Y991" s="8" t="s">
        <v>23</v>
      </c>
    </row>
    <row r="992" spans="1:25" hidden="1" x14ac:dyDescent="0.25">
      <c r="A992" s="273" t="s">
        <v>314</v>
      </c>
      <c r="B992" s="251">
        <v>45772</v>
      </c>
      <c r="C992" s="252" t="s">
        <v>448</v>
      </c>
      <c r="D992" s="252"/>
      <c r="E992" s="253">
        <v>0</v>
      </c>
      <c r="F992" s="253">
        <v>50000</v>
      </c>
      <c r="G992" s="274">
        <f>Tabla3[[#This Row],[INGRESOS]]-Tabla3[[#This Row],[EGRESOS]]</f>
        <v>50000</v>
      </c>
      <c r="H992" s="137">
        <f>Tabla3[[#This Row],[SALDO]]+H991</f>
        <v>-4621819.9800000004</v>
      </c>
      <c r="I992" s="135">
        <v>1140</v>
      </c>
      <c r="J992" s="136">
        <f>Tabla3[[#This Row],[EGRESOS]]/Tabla3[[#This Row],[TC]]</f>
        <v>0</v>
      </c>
      <c r="K992" s="136">
        <f>Tabla3[[#This Row],[INGRESOS]]/Tabla3[[#This Row],[TC]]</f>
        <v>43.859649122807021</v>
      </c>
      <c r="L992" s="8" t="s">
        <v>376</v>
      </c>
      <c r="M992" s="8" t="s">
        <v>377</v>
      </c>
      <c r="N992" s="8" t="s">
        <v>25</v>
      </c>
      <c r="O992" s="8" t="s">
        <v>184</v>
      </c>
      <c r="P992" s="8" t="s">
        <v>203</v>
      </c>
      <c r="Q992" s="8" t="s">
        <v>204</v>
      </c>
      <c r="R992" s="8"/>
      <c r="S992" s="8" t="s">
        <v>386</v>
      </c>
      <c r="T992" s="8"/>
      <c r="U992" s="8" t="s">
        <v>439</v>
      </c>
      <c r="V992" s="8" t="s">
        <v>386</v>
      </c>
      <c r="W992" s="8" t="s">
        <v>380</v>
      </c>
      <c r="X992" s="8" t="s">
        <v>23</v>
      </c>
      <c r="Y992" s="8" t="s">
        <v>98</v>
      </c>
    </row>
    <row r="993" spans="1:25" hidden="1" x14ac:dyDescent="0.25">
      <c r="A993" s="273" t="s">
        <v>314</v>
      </c>
      <c r="B993" s="251">
        <v>45775</v>
      </c>
      <c r="C993" s="252" t="s">
        <v>888</v>
      </c>
      <c r="D993" s="252"/>
      <c r="E993" s="253">
        <v>0</v>
      </c>
      <c r="F993" s="253">
        <v>110000</v>
      </c>
      <c r="G993" s="274">
        <f>Tabla3[[#This Row],[INGRESOS]]-Tabla3[[#This Row],[EGRESOS]]</f>
        <v>110000</v>
      </c>
      <c r="H993" s="137">
        <v>-20992205.41</v>
      </c>
      <c r="I993" s="135">
        <v>1170</v>
      </c>
      <c r="J993" s="136">
        <f>Tabla3[[#This Row],[EGRESOS]]/Tabla3[[#This Row],[TC]]</f>
        <v>0</v>
      </c>
      <c r="K993" s="136">
        <f>Tabla3[[#This Row],[INGRESOS]]/Tabla3[[#This Row],[TC]]</f>
        <v>94.017094017094024</v>
      </c>
      <c r="L993" s="8" t="s">
        <v>376</v>
      </c>
      <c r="M993" s="8" t="s">
        <v>377</v>
      </c>
      <c r="N993" s="8" t="s">
        <v>20</v>
      </c>
      <c r="O993" s="8" t="s">
        <v>184</v>
      </c>
      <c r="P993" s="8" t="s">
        <v>203</v>
      </c>
      <c r="Q993" s="8" t="s">
        <v>204</v>
      </c>
      <c r="R993" s="8"/>
      <c r="S993" s="8" t="s">
        <v>386</v>
      </c>
      <c r="T993" s="8"/>
      <c r="U993" s="8" t="s">
        <v>439</v>
      </c>
      <c r="V993" s="8" t="s">
        <v>386</v>
      </c>
      <c r="W993" s="8" t="s">
        <v>380</v>
      </c>
      <c r="X993" s="8" t="s">
        <v>23</v>
      </c>
      <c r="Y993" s="8" t="s">
        <v>98</v>
      </c>
    </row>
    <row r="994" spans="1:25" hidden="1" x14ac:dyDescent="0.25">
      <c r="A994" s="247" t="s">
        <v>321</v>
      </c>
      <c r="B994" s="248">
        <v>45986</v>
      </c>
      <c r="C994" s="244" t="s">
        <v>568</v>
      </c>
      <c r="D994" s="244"/>
      <c r="E994" s="249">
        <v>4807</v>
      </c>
      <c r="F994" s="249">
        <v>0</v>
      </c>
      <c r="G994" s="266">
        <f>Tabla3[[#This Row],[INGRESOS]]-Tabla3[[#This Row],[EGRESOS]]</f>
        <v>-4807</v>
      </c>
      <c r="H994" s="266">
        <v>-5343819.9800000004</v>
      </c>
      <c r="I994" s="119">
        <v>1410</v>
      </c>
      <c r="J994" s="99">
        <f>Tabla3[[#This Row],[EGRESOS]]/Tabla3[[#This Row],[TC]]</f>
        <v>3.4092198581560282</v>
      </c>
      <c r="K994" s="99">
        <v>0</v>
      </c>
      <c r="L994" s="7" t="s">
        <v>376</v>
      </c>
      <c r="M994" s="7" t="s">
        <v>377</v>
      </c>
      <c r="N994" s="7" t="s">
        <v>28</v>
      </c>
      <c r="O994" s="7" t="s">
        <v>184</v>
      </c>
      <c r="P994" s="7" t="s">
        <v>199</v>
      </c>
      <c r="Q994" s="7" t="s">
        <v>200</v>
      </c>
      <c r="R994" s="7"/>
      <c r="S994" s="7" t="s">
        <v>736</v>
      </c>
      <c r="T994" s="7"/>
      <c r="U994" s="7" t="s">
        <v>390</v>
      </c>
      <c r="V994" s="7"/>
      <c r="W994" s="7" t="s">
        <v>475</v>
      </c>
      <c r="X994" s="7" t="s">
        <v>99</v>
      </c>
      <c r="Y994" s="7" t="s">
        <v>23</v>
      </c>
    </row>
    <row r="995" spans="1:25" hidden="1" x14ac:dyDescent="0.25">
      <c r="A995" s="273" t="s">
        <v>314</v>
      </c>
      <c r="B995" s="251">
        <v>45776</v>
      </c>
      <c r="C995" s="252" t="s">
        <v>448</v>
      </c>
      <c r="D995" s="252"/>
      <c r="E995" s="253">
        <v>0</v>
      </c>
      <c r="F995" s="253">
        <v>1000</v>
      </c>
      <c r="G995" s="274">
        <f>Tabla3[[#This Row],[INGRESOS]]-Tabla3[[#This Row],[EGRESOS]]</f>
        <v>1000</v>
      </c>
      <c r="H995" s="137">
        <f>Tabla3[[#This Row],[SALDO]]+H994</f>
        <v>-5342819.9800000004</v>
      </c>
      <c r="I995" s="135">
        <v>1140</v>
      </c>
      <c r="J995" s="136">
        <f>Tabla3[[#This Row],[EGRESOS]]/Tabla3[[#This Row],[TC]]</f>
        <v>0</v>
      </c>
      <c r="K995" s="136">
        <f>Tabla3[[#This Row],[INGRESOS]]/Tabla3[[#This Row],[TC]]</f>
        <v>0.8771929824561403</v>
      </c>
      <c r="L995" s="8" t="s">
        <v>376</v>
      </c>
      <c r="M995" s="8" t="s">
        <v>377</v>
      </c>
      <c r="N995" s="8" t="s">
        <v>25</v>
      </c>
      <c r="O995" s="8" t="s">
        <v>184</v>
      </c>
      <c r="P995" s="8" t="s">
        <v>203</v>
      </c>
      <c r="Q995" s="8" t="s">
        <v>204</v>
      </c>
      <c r="R995" s="8"/>
      <c r="S995" s="8" t="s">
        <v>386</v>
      </c>
      <c r="T995" s="8"/>
      <c r="U995" s="8" t="s">
        <v>439</v>
      </c>
      <c r="V995" s="8" t="s">
        <v>386</v>
      </c>
      <c r="W995" s="8" t="s">
        <v>380</v>
      </c>
      <c r="X995" s="8" t="s">
        <v>23</v>
      </c>
      <c r="Y995" s="8" t="s">
        <v>98</v>
      </c>
    </row>
    <row r="996" spans="1:25" hidden="1" x14ac:dyDescent="0.25">
      <c r="A996" s="273" t="s">
        <v>321</v>
      </c>
      <c r="B996" s="251">
        <v>45986</v>
      </c>
      <c r="C996" s="252" t="s">
        <v>568</v>
      </c>
      <c r="D996" s="252"/>
      <c r="E996" s="253">
        <v>220000</v>
      </c>
      <c r="F996" s="253">
        <v>0</v>
      </c>
      <c r="G996" s="274">
        <f>Tabla3[[#This Row],[INGRESOS]]-Tabla3[[#This Row],[EGRESOS]]</f>
        <v>-220000</v>
      </c>
      <c r="H996" s="274">
        <v>-5664653.3133333297</v>
      </c>
      <c r="I996" s="135">
        <v>1410</v>
      </c>
      <c r="J996" s="136">
        <f>Tabla3[[#This Row],[EGRESOS]]/Tabla3[[#This Row],[TC]]</f>
        <v>156.02836879432624</v>
      </c>
      <c r="K996" s="136">
        <v>0</v>
      </c>
      <c r="L996" s="8" t="s">
        <v>376</v>
      </c>
      <c r="M996" s="8" t="s">
        <v>377</v>
      </c>
      <c r="N996" s="8" t="s">
        <v>28</v>
      </c>
      <c r="O996" s="8" t="s">
        <v>184</v>
      </c>
      <c r="P996" s="8" t="s">
        <v>199</v>
      </c>
      <c r="Q996" s="8" t="s">
        <v>200</v>
      </c>
      <c r="R996" s="8"/>
      <c r="S996" s="8" t="s">
        <v>736</v>
      </c>
      <c r="T996" s="8"/>
      <c r="U996" s="8" t="s">
        <v>390</v>
      </c>
      <c r="V996" s="8"/>
      <c r="W996" s="8" t="s">
        <v>475</v>
      </c>
      <c r="X996" s="8" t="s">
        <v>99</v>
      </c>
      <c r="Y996" s="8" t="s">
        <v>23</v>
      </c>
    </row>
    <row r="997" spans="1:25" hidden="1" x14ac:dyDescent="0.25">
      <c r="A997" s="273" t="s">
        <v>321</v>
      </c>
      <c r="B997" s="251">
        <v>45986</v>
      </c>
      <c r="C997" s="252" t="s">
        <v>568</v>
      </c>
      <c r="D997" s="252"/>
      <c r="E997" s="253">
        <v>25000</v>
      </c>
      <c r="F997" s="253">
        <v>0</v>
      </c>
      <c r="G997" s="274">
        <f>Tabla3[[#This Row],[INGRESOS]]-Tabla3[[#This Row],[EGRESOS]]</f>
        <v>-25000</v>
      </c>
      <c r="H997" s="274">
        <v>-5857153.3133333297</v>
      </c>
      <c r="I997" s="135">
        <v>1410</v>
      </c>
      <c r="J997" s="136">
        <f>Tabla3[[#This Row],[EGRESOS]]/Tabla3[[#This Row],[TC]]</f>
        <v>17.730496453900709</v>
      </c>
      <c r="K997" s="136">
        <v>0</v>
      </c>
      <c r="L997" s="8" t="s">
        <v>376</v>
      </c>
      <c r="M997" s="8" t="s">
        <v>377</v>
      </c>
      <c r="N997" s="8" t="s">
        <v>28</v>
      </c>
      <c r="O997" s="8" t="s">
        <v>225</v>
      </c>
      <c r="P997" s="8" t="s">
        <v>233</v>
      </c>
      <c r="Q997" s="8" t="s">
        <v>234</v>
      </c>
      <c r="R997" s="8" t="s">
        <v>430</v>
      </c>
      <c r="S997" s="8"/>
      <c r="T997" s="8"/>
      <c r="U997" s="8" t="s">
        <v>403</v>
      </c>
      <c r="V997" s="8"/>
      <c r="W997" s="8" t="s">
        <v>380</v>
      </c>
      <c r="X997" s="8" t="s">
        <v>29</v>
      </c>
      <c r="Y997" s="8" t="s">
        <v>23</v>
      </c>
    </row>
    <row r="998" spans="1:25" hidden="1" x14ac:dyDescent="0.25">
      <c r="A998" s="273" t="s">
        <v>321</v>
      </c>
      <c r="B998" s="251">
        <v>45986</v>
      </c>
      <c r="C998" s="252" t="s">
        <v>568</v>
      </c>
      <c r="D998" s="252"/>
      <c r="E998" s="253">
        <v>19000</v>
      </c>
      <c r="F998" s="253">
        <v>0</v>
      </c>
      <c r="G998" s="274">
        <f>Tabla3[[#This Row],[INGRESOS]]-Tabla3[[#This Row],[EGRESOS]]</f>
        <v>-19000</v>
      </c>
      <c r="H998" s="274">
        <v>-6049653.3133333297</v>
      </c>
      <c r="I998" s="135">
        <v>1410</v>
      </c>
      <c r="J998" s="136">
        <f>Tabla3[[#This Row],[EGRESOS]]/Tabla3[[#This Row],[TC]]</f>
        <v>13.475177304964539</v>
      </c>
      <c r="K998" s="136">
        <v>0</v>
      </c>
      <c r="L998" s="8" t="s">
        <v>376</v>
      </c>
      <c r="M998" s="8" t="s">
        <v>377</v>
      </c>
      <c r="N998" s="8" t="s">
        <v>28</v>
      </c>
      <c r="O998" s="8" t="s">
        <v>184</v>
      </c>
      <c r="P998" s="8" t="s">
        <v>199</v>
      </c>
      <c r="Q998" s="8" t="s">
        <v>201</v>
      </c>
      <c r="R998" s="8" t="s">
        <v>506</v>
      </c>
      <c r="S998" s="8" t="s">
        <v>389</v>
      </c>
      <c r="T998" s="8"/>
      <c r="U998" s="8" t="s">
        <v>390</v>
      </c>
      <c r="V998" s="8"/>
      <c r="W998" s="8" t="s">
        <v>380</v>
      </c>
      <c r="X998" s="8" t="s">
        <v>99</v>
      </c>
      <c r="Y998" s="8" t="s">
        <v>23</v>
      </c>
    </row>
    <row r="999" spans="1:25" hidden="1" x14ac:dyDescent="0.25">
      <c r="A999" s="273" t="s">
        <v>321</v>
      </c>
      <c r="B999" s="251">
        <v>45986</v>
      </c>
      <c r="C999" s="252" t="s">
        <v>568</v>
      </c>
      <c r="D999" s="252"/>
      <c r="E999" s="253">
        <f>31000-19000</f>
        <v>12000</v>
      </c>
      <c r="F999" s="253">
        <v>0</v>
      </c>
      <c r="G999" s="274">
        <f>Tabla3[[#This Row],[INGRESOS]]-Tabla3[[#This Row],[EGRESOS]]</f>
        <v>-12000</v>
      </c>
      <c r="H999" s="274">
        <v>-6242153.3133333297</v>
      </c>
      <c r="I999" s="135">
        <v>1410</v>
      </c>
      <c r="J999" s="136">
        <f>Tabla3[[#This Row],[EGRESOS]]/Tabla3[[#This Row],[TC]]</f>
        <v>8.5106382978723403</v>
      </c>
      <c r="K999" s="136">
        <v>0</v>
      </c>
      <c r="L999" s="8" t="s">
        <v>376</v>
      </c>
      <c r="M999" s="8" t="s">
        <v>377</v>
      </c>
      <c r="N999" s="8" t="s">
        <v>28</v>
      </c>
      <c r="O999" s="8" t="s">
        <v>184</v>
      </c>
      <c r="P999" s="8" t="s">
        <v>199</v>
      </c>
      <c r="Q999" s="8" t="s">
        <v>201</v>
      </c>
      <c r="R999" s="8" t="s">
        <v>745</v>
      </c>
      <c r="S999" s="8" t="s">
        <v>392</v>
      </c>
      <c r="T999" s="8"/>
      <c r="U999" s="8" t="s">
        <v>390</v>
      </c>
      <c r="V999" s="8"/>
      <c r="W999" s="8" t="s">
        <v>380</v>
      </c>
      <c r="X999" s="8" t="s">
        <v>99</v>
      </c>
      <c r="Y999" s="8" t="s">
        <v>23</v>
      </c>
    </row>
    <row r="1000" spans="1:25" hidden="1" x14ac:dyDescent="0.25">
      <c r="A1000" s="273" t="s">
        <v>321</v>
      </c>
      <c r="B1000" s="251">
        <v>45986</v>
      </c>
      <c r="C1000" s="252" t="s">
        <v>568</v>
      </c>
      <c r="D1000" s="252"/>
      <c r="E1000" s="253">
        <v>812000</v>
      </c>
      <c r="F1000" s="253">
        <v>0</v>
      </c>
      <c r="G1000" s="274">
        <f>Tabla3[[#This Row],[INGRESOS]]-Tabla3[[#This Row],[EGRESOS]]</f>
        <v>-812000</v>
      </c>
      <c r="H1000" s="274">
        <v>-6155819.9800000004</v>
      </c>
      <c r="I1000" s="135">
        <v>1410</v>
      </c>
      <c r="J1000" s="136">
        <f>Tabla3[[#This Row],[EGRESOS]]/Tabla3[[#This Row],[TC]]</f>
        <v>575.88652482269504</v>
      </c>
      <c r="K1000" s="136">
        <v>0</v>
      </c>
      <c r="L1000" s="8" t="s">
        <v>376</v>
      </c>
      <c r="M1000" s="8" t="s">
        <v>377</v>
      </c>
      <c r="N1000" s="8" t="s">
        <v>28</v>
      </c>
      <c r="O1000" s="8" t="s">
        <v>215</v>
      </c>
      <c r="P1000" s="8" t="s">
        <v>216</v>
      </c>
      <c r="Q1000" s="8" t="s">
        <v>220</v>
      </c>
      <c r="R1000" s="8" t="s">
        <v>329</v>
      </c>
      <c r="S1000" s="8" t="s">
        <v>634</v>
      </c>
      <c r="T1000" s="8" t="s">
        <v>746</v>
      </c>
      <c r="U1000" s="8" t="s">
        <v>412</v>
      </c>
      <c r="V1000" s="8"/>
      <c r="W1000" s="8" t="s">
        <v>380</v>
      </c>
      <c r="X1000" s="8" t="s">
        <v>29</v>
      </c>
      <c r="Y1000" s="8" t="s">
        <v>23</v>
      </c>
    </row>
    <row r="1001" spans="1:25" hidden="1" x14ac:dyDescent="0.25">
      <c r="A1001" s="273" t="s">
        <v>321</v>
      </c>
      <c r="B1001" s="251">
        <v>45986</v>
      </c>
      <c r="C1001" s="252" t="s">
        <v>566</v>
      </c>
      <c r="D1001" s="252"/>
      <c r="E1001" s="253">
        <v>9297.02</v>
      </c>
      <c r="F1001" s="253">
        <v>0</v>
      </c>
      <c r="G1001" s="274">
        <f>Tabla3[[#This Row],[INGRESOS]]-Tabla3[[#This Row],[EGRESOS]]</f>
        <v>-9297.02</v>
      </c>
      <c r="H1001" s="274">
        <v>-6165117</v>
      </c>
      <c r="I1001" s="135">
        <v>1410</v>
      </c>
      <c r="J1001" s="136">
        <f>Tabla3[[#This Row],[EGRESOS]]/Tabla3[[#This Row],[TC]]</f>
        <v>6.5936312056737592</v>
      </c>
      <c r="K1001" s="136">
        <v>0</v>
      </c>
      <c r="L1001" s="8" t="s">
        <v>376</v>
      </c>
      <c r="M1001" s="8" t="s">
        <v>377</v>
      </c>
      <c r="N1001" s="8" t="s">
        <v>28</v>
      </c>
      <c r="O1001" s="8" t="s">
        <v>184</v>
      </c>
      <c r="P1001" s="8" t="s">
        <v>195</v>
      </c>
      <c r="Q1001" s="8" t="s">
        <v>196</v>
      </c>
      <c r="R1001" s="8" t="s">
        <v>394</v>
      </c>
      <c r="S1001" s="8"/>
      <c r="T1001" s="8"/>
      <c r="U1001" s="8" t="s">
        <v>384</v>
      </c>
      <c r="V1001" s="8"/>
      <c r="W1001" s="8" t="s">
        <v>380</v>
      </c>
      <c r="X1001" s="8" t="s">
        <v>99</v>
      </c>
      <c r="Y1001" s="8" t="s">
        <v>23</v>
      </c>
    </row>
    <row r="1002" spans="1:25" hidden="1" x14ac:dyDescent="0.25">
      <c r="A1002" s="273" t="s">
        <v>321</v>
      </c>
      <c r="B1002" s="251">
        <v>45987</v>
      </c>
      <c r="C1002" s="252" t="s">
        <v>716</v>
      </c>
      <c r="D1002" s="252"/>
      <c r="E1002" s="253">
        <v>360000</v>
      </c>
      <c r="F1002" s="253">
        <v>0</v>
      </c>
      <c r="G1002" s="274">
        <f>Tabla3[[#This Row],[INGRESOS]]-Tabla3[[#This Row],[EGRESOS]]</f>
        <v>-360000</v>
      </c>
      <c r="H1002" s="274">
        <v>-6525117</v>
      </c>
      <c r="I1002" s="135">
        <v>1410</v>
      </c>
      <c r="J1002" s="136">
        <f>Tabla3[[#This Row],[EGRESOS]]/Tabla3[[#This Row],[TC]]</f>
        <v>255.31914893617022</v>
      </c>
      <c r="K1002" s="136">
        <v>0</v>
      </c>
      <c r="L1002" s="8" t="s">
        <v>376</v>
      </c>
      <c r="M1002" s="8" t="s">
        <v>377</v>
      </c>
      <c r="N1002" s="8" t="s">
        <v>28</v>
      </c>
      <c r="O1002" s="8" t="s">
        <v>184</v>
      </c>
      <c r="P1002" s="8" t="s">
        <v>199</v>
      </c>
      <c r="Q1002" s="8" t="s">
        <v>200</v>
      </c>
      <c r="R1002" s="8"/>
      <c r="S1002" s="8" t="s">
        <v>736</v>
      </c>
      <c r="T1002" s="8"/>
      <c r="U1002" s="8" t="s">
        <v>390</v>
      </c>
      <c r="V1002" s="8"/>
      <c r="W1002" s="8" t="s">
        <v>475</v>
      </c>
      <c r="X1002" s="8" t="s">
        <v>99</v>
      </c>
      <c r="Y1002" s="8" t="s">
        <v>23</v>
      </c>
    </row>
    <row r="1003" spans="1:25" hidden="1" x14ac:dyDescent="0.25">
      <c r="A1003" s="273" t="s">
        <v>321</v>
      </c>
      <c r="B1003" s="251">
        <v>45987</v>
      </c>
      <c r="C1003" s="252" t="s">
        <v>566</v>
      </c>
      <c r="D1003" s="252"/>
      <c r="E1003" s="253">
        <v>2160</v>
      </c>
      <c r="F1003" s="253">
        <v>0</v>
      </c>
      <c r="G1003" s="274">
        <f>Tabla3[[#This Row],[INGRESOS]]-Tabla3[[#This Row],[EGRESOS]]</f>
        <v>-2160</v>
      </c>
      <c r="H1003" s="274">
        <v>-6527277</v>
      </c>
      <c r="I1003" s="135">
        <v>1410</v>
      </c>
      <c r="J1003" s="136">
        <f>Tabla3[[#This Row],[EGRESOS]]/Tabla3[[#This Row],[TC]]</f>
        <v>1.5319148936170213</v>
      </c>
      <c r="K1003" s="136">
        <v>0</v>
      </c>
      <c r="L1003" s="8" t="s">
        <v>376</v>
      </c>
      <c r="M1003" s="8" t="s">
        <v>377</v>
      </c>
      <c r="N1003" s="8" t="s">
        <v>28</v>
      </c>
      <c r="O1003" s="8" t="s">
        <v>184</v>
      </c>
      <c r="P1003" s="8" t="s">
        <v>195</v>
      </c>
      <c r="Q1003" s="8" t="s">
        <v>196</v>
      </c>
      <c r="R1003" s="8" t="s">
        <v>394</v>
      </c>
      <c r="S1003" s="8"/>
      <c r="T1003" s="8"/>
      <c r="U1003" s="8" t="s">
        <v>384</v>
      </c>
      <c r="V1003" s="8"/>
      <c r="W1003" s="8" t="s">
        <v>380</v>
      </c>
      <c r="X1003" s="8" t="s">
        <v>99</v>
      </c>
      <c r="Y1003" s="8" t="s">
        <v>23</v>
      </c>
    </row>
    <row r="1004" spans="1:25" hidden="1" x14ac:dyDescent="0.25">
      <c r="A1004" s="273" t="s">
        <v>321</v>
      </c>
      <c r="B1004" s="251">
        <v>45988</v>
      </c>
      <c r="C1004" s="252" t="s">
        <v>568</v>
      </c>
      <c r="D1004" s="252"/>
      <c r="E1004" s="253">
        <v>1400000</v>
      </c>
      <c r="F1004" s="253">
        <v>0</v>
      </c>
      <c r="G1004" s="274">
        <f>Tabla3[[#This Row],[INGRESOS]]-Tabla3[[#This Row],[EGRESOS]]</f>
        <v>-1400000</v>
      </c>
      <c r="H1004" s="274">
        <v>-7927277</v>
      </c>
      <c r="I1004" s="135">
        <v>1410</v>
      </c>
      <c r="J1004" s="136">
        <f>Tabla3[[#This Row],[EGRESOS]]/Tabla3[[#This Row],[TC]]</f>
        <v>992.9078014184397</v>
      </c>
      <c r="K1004" s="136">
        <v>0</v>
      </c>
      <c r="L1004" s="8" t="s">
        <v>376</v>
      </c>
      <c r="M1004" s="8" t="s">
        <v>377</v>
      </c>
      <c r="N1004" s="8" t="s">
        <v>28</v>
      </c>
      <c r="O1004" s="8" t="s">
        <v>225</v>
      </c>
      <c r="P1004" s="8" t="s">
        <v>233</v>
      </c>
      <c r="Q1004" s="8" t="s">
        <v>235</v>
      </c>
      <c r="R1004" s="8" t="s">
        <v>589</v>
      </c>
      <c r="S1004" s="8" t="s">
        <v>747</v>
      </c>
      <c r="T1004" s="8"/>
      <c r="U1004" s="8" t="s">
        <v>403</v>
      </c>
      <c r="V1004" s="8"/>
      <c r="W1004" s="8" t="s">
        <v>380</v>
      </c>
      <c r="X1004" s="8" t="s">
        <v>29</v>
      </c>
      <c r="Y1004" s="8" t="s">
        <v>23</v>
      </c>
    </row>
    <row r="1005" spans="1:25" hidden="1" x14ac:dyDescent="0.25">
      <c r="A1005" s="273" t="s">
        <v>321</v>
      </c>
      <c r="B1005" s="251">
        <v>45988</v>
      </c>
      <c r="C1005" s="252" t="s">
        <v>566</v>
      </c>
      <c r="D1005" s="252"/>
      <c r="E1005" s="253">
        <v>8400</v>
      </c>
      <c r="F1005" s="253">
        <v>0</v>
      </c>
      <c r="G1005" s="274">
        <f>Tabla3[[#This Row],[INGRESOS]]-Tabla3[[#This Row],[EGRESOS]]</f>
        <v>-8400</v>
      </c>
      <c r="H1005" s="274">
        <v>-7935677</v>
      </c>
      <c r="I1005" s="135">
        <v>1410</v>
      </c>
      <c r="J1005" s="136">
        <f>Tabla3[[#This Row],[EGRESOS]]/Tabla3[[#This Row],[TC]]</f>
        <v>5.957446808510638</v>
      </c>
      <c r="K1005" s="136">
        <v>0</v>
      </c>
      <c r="L1005" s="8" t="s">
        <v>376</v>
      </c>
      <c r="M1005" s="8" t="s">
        <v>377</v>
      </c>
      <c r="N1005" s="8" t="s">
        <v>28</v>
      </c>
      <c r="O1005" s="8" t="s">
        <v>184</v>
      </c>
      <c r="P1005" s="8" t="s">
        <v>195</v>
      </c>
      <c r="Q1005" s="8" t="s">
        <v>196</v>
      </c>
      <c r="R1005" s="8" t="s">
        <v>394</v>
      </c>
      <c r="S1005" s="8"/>
      <c r="T1005" s="8"/>
      <c r="U1005" s="8" t="s">
        <v>384</v>
      </c>
      <c r="V1005" s="8"/>
      <c r="W1005" s="8" t="s">
        <v>380</v>
      </c>
      <c r="X1005" s="8" t="s">
        <v>99</v>
      </c>
      <c r="Y1005" s="8" t="s">
        <v>23</v>
      </c>
    </row>
    <row r="1006" spans="1:25" hidden="1" x14ac:dyDescent="0.25">
      <c r="A1006" s="273" t="s">
        <v>322</v>
      </c>
      <c r="B1006" s="251">
        <v>45992</v>
      </c>
      <c r="C1006" s="252" t="s">
        <v>565</v>
      </c>
      <c r="D1006" s="252"/>
      <c r="E1006" s="253">
        <v>55000</v>
      </c>
      <c r="F1006" s="253">
        <v>0</v>
      </c>
      <c r="G1006" s="274">
        <f>Tabla3[[#This Row],[INGRESOS]]-Tabla3[[#This Row],[EGRESOS]]</f>
        <v>-55000</v>
      </c>
      <c r="H1006" s="274">
        <v>-7990677</v>
      </c>
      <c r="I1006" s="135">
        <v>1410</v>
      </c>
      <c r="J1006" s="136">
        <f>Tabla3[[#This Row],[EGRESOS]]/Tabla3[[#This Row],[TC]]</f>
        <v>39.00709219858156</v>
      </c>
      <c r="K1006" s="136">
        <v>0</v>
      </c>
      <c r="L1006" s="8" t="s">
        <v>376</v>
      </c>
      <c r="M1006" s="8" t="s">
        <v>377</v>
      </c>
      <c r="N1006" s="8" t="s">
        <v>28</v>
      </c>
      <c r="O1006" s="8" t="s">
        <v>184</v>
      </c>
      <c r="P1006" s="8" t="s">
        <v>185</v>
      </c>
      <c r="Q1006" s="8" t="s">
        <v>186</v>
      </c>
      <c r="R1006" s="8"/>
      <c r="S1006" s="8"/>
      <c r="T1006" s="8"/>
      <c r="U1006" s="8" t="s">
        <v>384</v>
      </c>
      <c r="V1006" s="8"/>
      <c r="W1006" s="8" t="s">
        <v>380</v>
      </c>
      <c r="X1006" s="8" t="s">
        <v>99</v>
      </c>
      <c r="Y1006" s="8" t="s">
        <v>23</v>
      </c>
    </row>
    <row r="1007" spans="1:25" hidden="1" x14ac:dyDescent="0.25">
      <c r="A1007" s="273" t="s">
        <v>322</v>
      </c>
      <c r="B1007" s="251">
        <v>45992</v>
      </c>
      <c r="C1007" s="252" t="s">
        <v>273</v>
      </c>
      <c r="D1007" s="252"/>
      <c r="E1007" s="253">
        <v>11550</v>
      </c>
      <c r="F1007" s="253">
        <v>0</v>
      </c>
      <c r="G1007" s="274">
        <f>Tabla3[[#This Row],[INGRESOS]]-Tabla3[[#This Row],[EGRESOS]]</f>
        <v>-11550</v>
      </c>
      <c r="H1007" s="274">
        <v>-8002227</v>
      </c>
      <c r="I1007" s="135">
        <v>1410</v>
      </c>
      <c r="J1007" s="136">
        <f>Tabla3[[#This Row],[EGRESOS]]/Tabla3[[#This Row],[TC]]</f>
        <v>8.1914893617021285</v>
      </c>
      <c r="K1007" s="136">
        <v>0</v>
      </c>
      <c r="L1007" s="8" t="s">
        <v>376</v>
      </c>
      <c r="M1007" s="8" t="s">
        <v>377</v>
      </c>
      <c r="N1007" s="8" t="s">
        <v>28</v>
      </c>
      <c r="O1007" s="8" t="s">
        <v>184</v>
      </c>
      <c r="P1007" s="8" t="s">
        <v>195</v>
      </c>
      <c r="Q1007" s="8" t="s">
        <v>196</v>
      </c>
      <c r="R1007" s="8" t="s">
        <v>273</v>
      </c>
      <c r="S1007" s="8"/>
      <c r="T1007" s="8"/>
      <c r="U1007" s="8" t="s">
        <v>384</v>
      </c>
      <c r="V1007" s="8"/>
      <c r="W1007" s="8" t="s">
        <v>380</v>
      </c>
      <c r="X1007" s="8" t="s">
        <v>99</v>
      </c>
      <c r="Y1007" s="8" t="s">
        <v>23</v>
      </c>
    </row>
    <row r="1008" spans="1:25" hidden="1" x14ac:dyDescent="0.25">
      <c r="A1008" s="273" t="s">
        <v>322</v>
      </c>
      <c r="B1008" s="251">
        <v>45992</v>
      </c>
      <c r="C1008" s="252" t="s">
        <v>564</v>
      </c>
      <c r="D1008" s="252"/>
      <c r="E1008" s="253">
        <v>1650</v>
      </c>
      <c r="F1008" s="253">
        <v>0</v>
      </c>
      <c r="G1008" s="274">
        <f>Tabla3[[#This Row],[INGRESOS]]-Tabla3[[#This Row],[EGRESOS]]</f>
        <v>-1650</v>
      </c>
      <c r="H1008" s="274">
        <v>-8003877</v>
      </c>
      <c r="I1008" s="135">
        <v>1410</v>
      </c>
      <c r="J1008" s="136">
        <f>Tabla3[[#This Row],[EGRESOS]]/Tabla3[[#This Row],[TC]]</f>
        <v>1.1702127659574468</v>
      </c>
      <c r="K1008" s="136">
        <v>0</v>
      </c>
      <c r="L1008" s="8" t="s">
        <v>376</v>
      </c>
      <c r="M1008" s="8" t="s">
        <v>377</v>
      </c>
      <c r="N1008" s="8" t="s">
        <v>28</v>
      </c>
      <c r="O1008" s="8" t="s">
        <v>184</v>
      </c>
      <c r="P1008" s="8" t="s">
        <v>195</v>
      </c>
      <c r="Q1008" s="8" t="s">
        <v>196</v>
      </c>
      <c r="R1008" s="8" t="s">
        <v>417</v>
      </c>
      <c r="S1008" s="8" t="s">
        <v>383</v>
      </c>
      <c r="T1008" s="8"/>
      <c r="U1008" s="8" t="s">
        <v>384</v>
      </c>
      <c r="V1008" s="8"/>
      <c r="W1008" s="8" t="s">
        <v>380</v>
      </c>
      <c r="X1008" s="8" t="s">
        <v>99</v>
      </c>
      <c r="Y1008" s="8" t="s">
        <v>23</v>
      </c>
    </row>
    <row r="1009" spans="1:25" hidden="1" x14ac:dyDescent="0.25">
      <c r="A1009" s="273" t="s">
        <v>322</v>
      </c>
      <c r="B1009" s="251">
        <v>45992</v>
      </c>
      <c r="C1009" s="252" t="s">
        <v>694</v>
      </c>
      <c r="D1009" s="252"/>
      <c r="E1009" s="253">
        <v>3300</v>
      </c>
      <c r="F1009" s="253">
        <v>0</v>
      </c>
      <c r="G1009" s="274">
        <f>Tabla3[[#This Row],[INGRESOS]]-Tabla3[[#This Row],[EGRESOS]]</f>
        <v>-3300</v>
      </c>
      <c r="H1009" s="274">
        <v>-8007177</v>
      </c>
      <c r="I1009" s="135">
        <v>1410</v>
      </c>
      <c r="J1009" s="136">
        <f>Tabla3[[#This Row],[EGRESOS]]/Tabla3[[#This Row],[TC]]</f>
        <v>2.3404255319148937</v>
      </c>
      <c r="K1009" s="136">
        <v>0</v>
      </c>
      <c r="L1009" s="8" t="s">
        <v>376</v>
      </c>
      <c r="M1009" s="8" t="s">
        <v>377</v>
      </c>
      <c r="N1009" s="8" t="s">
        <v>28</v>
      </c>
      <c r="O1009" s="8" t="s">
        <v>184</v>
      </c>
      <c r="P1009" s="8" t="s">
        <v>195</v>
      </c>
      <c r="Q1009" s="8" t="s">
        <v>196</v>
      </c>
      <c r="R1009" s="8" t="s">
        <v>609</v>
      </c>
      <c r="S1009" s="8"/>
      <c r="T1009" s="8"/>
      <c r="U1009" s="8" t="s">
        <v>384</v>
      </c>
      <c r="V1009" s="8"/>
      <c r="W1009" s="8" t="s">
        <v>380</v>
      </c>
      <c r="X1009" s="8" t="s">
        <v>99</v>
      </c>
      <c r="Y1009" s="8" t="s">
        <v>23</v>
      </c>
    </row>
    <row r="1010" spans="1:25" hidden="1" x14ac:dyDescent="0.25">
      <c r="A1010" s="273" t="s">
        <v>322</v>
      </c>
      <c r="B1010" s="251">
        <v>45992</v>
      </c>
      <c r="C1010" s="252" t="s">
        <v>566</v>
      </c>
      <c r="D1010" s="252"/>
      <c r="E1010" s="253">
        <v>429</v>
      </c>
      <c r="F1010" s="253">
        <v>0</v>
      </c>
      <c r="G1010" s="274">
        <f>Tabla3[[#This Row],[INGRESOS]]-Tabla3[[#This Row],[EGRESOS]]</f>
        <v>-429</v>
      </c>
      <c r="H1010" s="274">
        <v>-8007606</v>
      </c>
      <c r="I1010" s="135">
        <v>1410</v>
      </c>
      <c r="J1010" s="136">
        <f>Tabla3[[#This Row],[EGRESOS]]/Tabla3[[#This Row],[TC]]</f>
        <v>0.30425531914893617</v>
      </c>
      <c r="K1010" s="136">
        <v>0</v>
      </c>
      <c r="L1010" s="8" t="s">
        <v>376</v>
      </c>
      <c r="M1010" s="8" t="s">
        <v>377</v>
      </c>
      <c r="N1010" s="8" t="s">
        <v>28</v>
      </c>
      <c r="O1010" s="8" t="s">
        <v>184</v>
      </c>
      <c r="P1010" s="8" t="s">
        <v>195</v>
      </c>
      <c r="Q1010" s="8" t="s">
        <v>196</v>
      </c>
      <c r="R1010" s="8" t="s">
        <v>394</v>
      </c>
      <c r="S1010" s="8"/>
      <c r="T1010" s="8"/>
      <c r="U1010" s="8" t="s">
        <v>384</v>
      </c>
      <c r="V1010" s="8"/>
      <c r="W1010" s="8" t="s">
        <v>380</v>
      </c>
      <c r="X1010" s="8" t="s">
        <v>99</v>
      </c>
      <c r="Y1010" s="8" t="s">
        <v>23</v>
      </c>
    </row>
    <row r="1011" spans="1:25" hidden="1" x14ac:dyDescent="0.25">
      <c r="A1011" s="273" t="s">
        <v>322</v>
      </c>
      <c r="B1011" s="251">
        <v>45992</v>
      </c>
      <c r="C1011" s="252" t="s">
        <v>567</v>
      </c>
      <c r="D1011" s="252"/>
      <c r="E1011" s="253">
        <v>317959.13</v>
      </c>
      <c r="F1011" s="253">
        <v>0</v>
      </c>
      <c r="G1011" s="274">
        <f>Tabla3[[#This Row],[INGRESOS]]-Tabla3[[#This Row],[EGRESOS]]</f>
        <v>-317959.13</v>
      </c>
      <c r="H1011" s="274">
        <v>-8325565.1299999999</v>
      </c>
      <c r="I1011" s="135">
        <v>1410</v>
      </c>
      <c r="J1011" s="136">
        <f>Tabla3[[#This Row],[EGRESOS]]/Tabla3[[#This Row],[TC]]</f>
        <v>225.50292907801418</v>
      </c>
      <c r="K1011" s="136">
        <v>0</v>
      </c>
      <c r="L1011" s="8" t="s">
        <v>376</v>
      </c>
      <c r="M1011" s="8" t="s">
        <v>377</v>
      </c>
      <c r="N1011" s="8" t="s">
        <v>28</v>
      </c>
      <c r="O1011" s="8" t="s">
        <v>184</v>
      </c>
      <c r="P1011" s="8" t="s">
        <v>197</v>
      </c>
      <c r="Q1011" s="8" t="s">
        <v>198</v>
      </c>
      <c r="R1011" s="8" t="s">
        <v>419</v>
      </c>
      <c r="S1011" s="8"/>
      <c r="T1011" s="8"/>
      <c r="U1011" s="8" t="s">
        <v>384</v>
      </c>
      <c r="V1011" s="8"/>
      <c r="W1011" s="8" t="s">
        <v>380</v>
      </c>
      <c r="X1011" s="8" t="s">
        <v>99</v>
      </c>
      <c r="Y1011" s="8" t="s">
        <v>23</v>
      </c>
    </row>
    <row r="1012" spans="1:25" hidden="1" x14ac:dyDescent="0.25">
      <c r="A1012" s="273" t="s">
        <v>322</v>
      </c>
      <c r="B1012" s="251">
        <v>45992</v>
      </c>
      <c r="C1012" s="252" t="s">
        <v>463</v>
      </c>
      <c r="D1012" s="252"/>
      <c r="E1012" s="253">
        <v>6388.49</v>
      </c>
      <c r="F1012" s="253">
        <v>0</v>
      </c>
      <c r="G1012" s="274">
        <f>Tabla3[[#This Row],[INGRESOS]]-Tabla3[[#This Row],[EGRESOS]]</f>
        <v>-6388.49</v>
      </c>
      <c r="H1012" s="274">
        <v>-8331953.6200000001</v>
      </c>
      <c r="I1012" s="135">
        <v>1410</v>
      </c>
      <c r="J1012" s="136">
        <f>Tabla3[[#This Row],[EGRESOS]]/Tabla3[[#This Row],[TC]]</f>
        <v>4.5308439716312057</v>
      </c>
      <c r="K1012" s="136">
        <v>0</v>
      </c>
      <c r="L1012" s="8" t="s">
        <v>376</v>
      </c>
      <c r="M1012" s="8" t="s">
        <v>377</v>
      </c>
      <c r="N1012" s="8" t="s">
        <v>28</v>
      </c>
      <c r="O1012" s="8" t="s">
        <v>184</v>
      </c>
      <c r="P1012" s="8" t="s">
        <v>195</v>
      </c>
      <c r="Q1012" s="8" t="s">
        <v>196</v>
      </c>
      <c r="R1012" s="8" t="s">
        <v>423</v>
      </c>
      <c r="S1012" s="8"/>
      <c r="T1012" s="8"/>
      <c r="U1012" s="8" t="s">
        <v>384</v>
      </c>
      <c r="V1012" s="8"/>
      <c r="W1012" s="8" t="s">
        <v>380</v>
      </c>
      <c r="X1012" s="8" t="s">
        <v>99</v>
      </c>
      <c r="Y1012" s="8" t="s">
        <v>23</v>
      </c>
    </row>
    <row r="1013" spans="1:25" hidden="1" x14ac:dyDescent="0.25">
      <c r="A1013" s="273" t="s">
        <v>322</v>
      </c>
      <c r="B1013" s="251">
        <v>45992</v>
      </c>
      <c r="C1013" s="252" t="s">
        <v>273</v>
      </c>
      <c r="D1013" s="252"/>
      <c r="E1013" s="253">
        <v>33385.71</v>
      </c>
      <c r="F1013" s="253">
        <v>0</v>
      </c>
      <c r="G1013" s="274">
        <f>Tabla3[[#This Row],[INGRESOS]]-Tabla3[[#This Row],[EGRESOS]]</f>
        <v>-33385.71</v>
      </c>
      <c r="H1013" s="274">
        <v>-8365339.3300000001</v>
      </c>
      <c r="I1013" s="135">
        <v>1410</v>
      </c>
      <c r="J1013" s="136">
        <f>Tabla3[[#This Row],[EGRESOS]]/Tabla3[[#This Row],[TC]]</f>
        <v>23.677808510638297</v>
      </c>
      <c r="K1013" s="136">
        <v>0</v>
      </c>
      <c r="L1013" s="8" t="s">
        <v>376</v>
      </c>
      <c r="M1013" s="8" t="s">
        <v>377</v>
      </c>
      <c r="N1013" s="8" t="s">
        <v>28</v>
      </c>
      <c r="O1013" s="8" t="s">
        <v>184</v>
      </c>
      <c r="P1013" s="8" t="s">
        <v>195</v>
      </c>
      <c r="Q1013" s="8" t="s">
        <v>196</v>
      </c>
      <c r="R1013" s="8" t="s">
        <v>273</v>
      </c>
      <c r="S1013" s="8"/>
      <c r="T1013" s="8"/>
      <c r="U1013" s="8" t="s">
        <v>384</v>
      </c>
      <c r="V1013" s="8"/>
      <c r="W1013" s="8" t="s">
        <v>380</v>
      </c>
      <c r="X1013" s="8" t="s">
        <v>99</v>
      </c>
      <c r="Y1013" s="8" t="s">
        <v>23</v>
      </c>
    </row>
    <row r="1014" spans="1:25" hidden="1" x14ac:dyDescent="0.25">
      <c r="A1014" s="273" t="s">
        <v>322</v>
      </c>
      <c r="B1014" s="251">
        <v>45992</v>
      </c>
      <c r="C1014" s="252" t="s">
        <v>564</v>
      </c>
      <c r="D1014" s="252"/>
      <c r="E1014" s="253">
        <v>4769.3900000000003</v>
      </c>
      <c r="F1014" s="253">
        <v>0</v>
      </c>
      <c r="G1014" s="274">
        <f>Tabla3[[#This Row],[INGRESOS]]-Tabla3[[#This Row],[EGRESOS]]</f>
        <v>-4769.3900000000003</v>
      </c>
      <c r="H1014" s="274">
        <v>-8370108.7199999997</v>
      </c>
      <c r="I1014" s="135">
        <v>1410</v>
      </c>
      <c r="J1014" s="136">
        <f>Tabla3[[#This Row],[EGRESOS]]/Tabla3[[#This Row],[TC]]</f>
        <v>3.3825460992907805</v>
      </c>
      <c r="K1014" s="136">
        <v>0</v>
      </c>
      <c r="L1014" s="8" t="s">
        <v>376</v>
      </c>
      <c r="M1014" s="8" t="s">
        <v>377</v>
      </c>
      <c r="N1014" s="8" t="s">
        <v>28</v>
      </c>
      <c r="O1014" s="8" t="s">
        <v>184</v>
      </c>
      <c r="P1014" s="8" t="s">
        <v>195</v>
      </c>
      <c r="Q1014" s="8" t="s">
        <v>196</v>
      </c>
      <c r="R1014" s="8" t="s">
        <v>417</v>
      </c>
      <c r="S1014" s="8" t="s">
        <v>383</v>
      </c>
      <c r="T1014" s="8"/>
      <c r="U1014" s="8" t="s">
        <v>384</v>
      </c>
      <c r="V1014" s="8"/>
      <c r="W1014" s="8" t="s">
        <v>380</v>
      </c>
      <c r="X1014" s="8" t="s">
        <v>99</v>
      </c>
      <c r="Y1014" s="8" t="s">
        <v>23</v>
      </c>
    </row>
    <row r="1015" spans="1:25" hidden="1" x14ac:dyDescent="0.25">
      <c r="A1015" s="273" t="s">
        <v>322</v>
      </c>
      <c r="B1015" s="251">
        <v>45992</v>
      </c>
      <c r="C1015" s="252" t="s">
        <v>694</v>
      </c>
      <c r="D1015" s="252"/>
      <c r="E1015" s="253">
        <v>19077.55</v>
      </c>
      <c r="F1015" s="253">
        <v>0</v>
      </c>
      <c r="G1015" s="274">
        <f>Tabla3[[#This Row],[INGRESOS]]-Tabla3[[#This Row],[EGRESOS]]</f>
        <v>-19077.55</v>
      </c>
      <c r="H1015" s="274">
        <v>-8389186.2699999996</v>
      </c>
      <c r="I1015" s="135">
        <v>1410</v>
      </c>
      <c r="J1015" s="136">
        <f>Tabla3[[#This Row],[EGRESOS]]/Tabla3[[#This Row],[TC]]</f>
        <v>13.530177304964539</v>
      </c>
      <c r="K1015" s="136">
        <v>0</v>
      </c>
      <c r="L1015" s="8" t="s">
        <v>376</v>
      </c>
      <c r="M1015" s="8" t="s">
        <v>377</v>
      </c>
      <c r="N1015" s="8" t="s">
        <v>28</v>
      </c>
      <c r="O1015" s="8" t="s">
        <v>184</v>
      </c>
      <c r="P1015" s="8" t="s">
        <v>195</v>
      </c>
      <c r="Q1015" s="8" t="s">
        <v>196</v>
      </c>
      <c r="R1015" s="8" t="s">
        <v>609</v>
      </c>
      <c r="S1015" s="8"/>
      <c r="T1015" s="8"/>
      <c r="U1015" s="8" t="s">
        <v>384</v>
      </c>
      <c r="V1015" s="8"/>
      <c r="W1015" s="8" t="s">
        <v>380</v>
      </c>
      <c r="X1015" s="8" t="s">
        <v>99</v>
      </c>
      <c r="Y1015" s="8" t="s">
        <v>23</v>
      </c>
    </row>
    <row r="1016" spans="1:25" hidden="1" x14ac:dyDescent="0.25">
      <c r="A1016" s="273" t="s">
        <v>322</v>
      </c>
      <c r="B1016" s="251">
        <v>45992</v>
      </c>
      <c r="C1016" s="252" t="s">
        <v>566</v>
      </c>
      <c r="D1016" s="252"/>
      <c r="E1016" s="253">
        <v>2289.48</v>
      </c>
      <c r="F1016" s="253">
        <v>0</v>
      </c>
      <c r="G1016" s="274">
        <f>Tabla3[[#This Row],[INGRESOS]]-Tabla3[[#This Row],[EGRESOS]]</f>
        <v>-2289.48</v>
      </c>
      <c r="H1016" s="274">
        <v>-8391475.75</v>
      </c>
      <c r="I1016" s="135">
        <v>1410</v>
      </c>
      <c r="J1016" s="136">
        <f>Tabla3[[#This Row],[EGRESOS]]/Tabla3[[#This Row],[TC]]</f>
        <v>1.6237446808510638</v>
      </c>
      <c r="K1016" s="136">
        <v>0</v>
      </c>
      <c r="L1016" s="8" t="s">
        <v>376</v>
      </c>
      <c r="M1016" s="8" t="s">
        <v>377</v>
      </c>
      <c r="N1016" s="8" t="s">
        <v>28</v>
      </c>
      <c r="O1016" s="8" t="s">
        <v>184</v>
      </c>
      <c r="P1016" s="8" t="s">
        <v>195</v>
      </c>
      <c r="Q1016" s="8" t="s">
        <v>196</v>
      </c>
      <c r="R1016" s="8" t="s">
        <v>394</v>
      </c>
      <c r="S1016" s="8"/>
      <c r="T1016" s="8"/>
      <c r="U1016" s="8" t="s">
        <v>384</v>
      </c>
      <c r="V1016" s="8"/>
      <c r="W1016" s="8" t="s">
        <v>380</v>
      </c>
      <c r="X1016" s="8" t="s">
        <v>99</v>
      </c>
      <c r="Y1016" s="8" t="s">
        <v>23</v>
      </c>
    </row>
    <row r="1017" spans="1:25" hidden="1" x14ac:dyDescent="0.25">
      <c r="A1017" s="273" t="s">
        <v>322</v>
      </c>
      <c r="B1017" s="251">
        <v>45993</v>
      </c>
      <c r="C1017" s="252" t="s">
        <v>573</v>
      </c>
      <c r="D1017" s="252"/>
      <c r="E1017" s="253">
        <v>200000</v>
      </c>
      <c r="F1017" s="253">
        <v>0</v>
      </c>
      <c r="G1017" s="274">
        <f>Tabla3[[#This Row],[INGRESOS]]-Tabla3[[#This Row],[EGRESOS]]</f>
        <v>-200000</v>
      </c>
      <c r="H1017" s="274">
        <v>-8591475.75</v>
      </c>
      <c r="I1017" s="135">
        <v>1410</v>
      </c>
      <c r="J1017" s="136">
        <f>Tabla3[[#This Row],[EGRESOS]]/Tabla3[[#This Row],[TC]]</f>
        <v>141.84397163120568</v>
      </c>
      <c r="K1017" s="136">
        <v>0</v>
      </c>
      <c r="L1017" s="8" t="s">
        <v>376</v>
      </c>
      <c r="M1017" s="8" t="s">
        <v>377</v>
      </c>
      <c r="N1017" s="8" t="s">
        <v>28</v>
      </c>
      <c r="O1017" s="8" t="s">
        <v>244</v>
      </c>
      <c r="P1017" s="8" t="s">
        <v>259</v>
      </c>
      <c r="Q1017" s="8" t="s">
        <v>260</v>
      </c>
      <c r="R1017" s="8" t="s">
        <v>378</v>
      </c>
      <c r="S1017" s="8"/>
      <c r="T1017" s="8"/>
      <c r="U1017" s="8" t="s">
        <v>379</v>
      </c>
      <c r="V1017" s="8"/>
      <c r="W1017" s="8" t="s">
        <v>380</v>
      </c>
      <c r="X1017" s="8"/>
      <c r="Y1017" s="8"/>
    </row>
    <row r="1018" spans="1:25" hidden="1" x14ac:dyDescent="0.25">
      <c r="A1018" s="273" t="s">
        <v>322</v>
      </c>
      <c r="B1018" s="251">
        <v>46000</v>
      </c>
      <c r="C1018" s="252" t="s">
        <v>573</v>
      </c>
      <c r="D1018" s="252"/>
      <c r="E1018" s="253">
        <v>200000</v>
      </c>
      <c r="F1018" s="253">
        <v>0</v>
      </c>
      <c r="G1018" s="274">
        <f>Tabla3[[#This Row],[INGRESOS]]-Tabla3[[#This Row],[EGRESOS]]</f>
        <v>-200000</v>
      </c>
      <c r="H1018" s="274">
        <v>-8791475.75</v>
      </c>
      <c r="I1018" s="135">
        <v>1410</v>
      </c>
      <c r="J1018" s="136">
        <f>Tabla3[[#This Row],[EGRESOS]]/Tabla3[[#This Row],[TC]]</f>
        <v>141.84397163120568</v>
      </c>
      <c r="K1018" s="136">
        <v>0</v>
      </c>
      <c r="L1018" s="8" t="s">
        <v>376</v>
      </c>
      <c r="M1018" s="8" t="s">
        <v>377</v>
      </c>
      <c r="N1018" s="8" t="s">
        <v>28</v>
      </c>
      <c r="O1018" s="8" t="s">
        <v>244</v>
      </c>
      <c r="P1018" s="8" t="s">
        <v>259</v>
      </c>
      <c r="Q1018" s="8" t="s">
        <v>260</v>
      </c>
      <c r="R1018" s="8" t="s">
        <v>378</v>
      </c>
      <c r="S1018" s="8"/>
      <c r="T1018" s="8"/>
      <c r="U1018" s="8" t="s">
        <v>379</v>
      </c>
      <c r="V1018" s="8"/>
      <c r="W1018" s="8" t="s">
        <v>380</v>
      </c>
      <c r="X1018" s="8"/>
      <c r="Y1018" s="8"/>
    </row>
    <row r="1019" spans="1:25" hidden="1" x14ac:dyDescent="0.25">
      <c r="A1019" s="273" t="s">
        <v>322</v>
      </c>
      <c r="B1019" s="251">
        <v>46001</v>
      </c>
      <c r="C1019" s="252" t="s">
        <v>610</v>
      </c>
      <c r="D1019" s="252"/>
      <c r="E1019" s="253">
        <v>0</v>
      </c>
      <c r="F1019" s="253">
        <v>5000000</v>
      </c>
      <c r="G1019" s="274">
        <f>Tabla3[[#This Row],[INGRESOS]]-Tabla3[[#This Row],[EGRESOS]]</f>
        <v>5000000</v>
      </c>
      <c r="H1019" s="135">
        <v>-3791475.75</v>
      </c>
      <c r="I1019" s="135">
        <v>1410</v>
      </c>
      <c r="J1019" s="136">
        <f>Tabla3[[#This Row],[EGRESOS]]/Tabla3[[#This Row],[TC]]</f>
        <v>0</v>
      </c>
      <c r="K1019" s="136">
        <f>Tabla3[[#This Row],[INGRESOS]]/Tabla3[[#This Row],[TC]]</f>
        <v>3546.0992907801419</v>
      </c>
      <c r="L1019" s="8" t="s">
        <v>376</v>
      </c>
      <c r="M1019" s="8" t="s">
        <v>377</v>
      </c>
      <c r="N1019" s="8" t="s">
        <v>28</v>
      </c>
      <c r="O1019" s="8" t="s">
        <v>244</v>
      </c>
      <c r="P1019" s="8" t="s">
        <v>261</v>
      </c>
      <c r="Q1019" s="8" t="s">
        <v>269</v>
      </c>
      <c r="R1019" s="8"/>
      <c r="S1019" s="8" t="s">
        <v>28</v>
      </c>
      <c r="T1019" s="8"/>
      <c r="U1019" s="8" t="s">
        <v>442</v>
      </c>
      <c r="V1019" s="8"/>
      <c r="W1019" s="8" t="s">
        <v>380</v>
      </c>
      <c r="X1019" s="8" t="s">
        <v>23</v>
      </c>
      <c r="Y1019" s="8" t="s">
        <v>715</v>
      </c>
    </row>
    <row r="1020" spans="1:25" hidden="1" x14ac:dyDescent="0.25">
      <c r="A1020" s="273" t="s">
        <v>322</v>
      </c>
      <c r="B1020" s="251">
        <v>46001</v>
      </c>
      <c r="C1020" s="252" t="s">
        <v>573</v>
      </c>
      <c r="D1020" s="252"/>
      <c r="E1020" s="253">
        <v>1200000</v>
      </c>
      <c r="F1020" s="253">
        <v>0</v>
      </c>
      <c r="G1020" s="274">
        <f>Tabla3[[#This Row],[INGRESOS]]-Tabla3[[#This Row],[EGRESOS]]</f>
        <v>-1200000</v>
      </c>
      <c r="H1020" s="135">
        <v>-4991475.75</v>
      </c>
      <c r="I1020" s="135">
        <v>1410</v>
      </c>
      <c r="J1020" s="136">
        <f>Tabla3[[#This Row],[EGRESOS]]/Tabla3[[#This Row],[TC]]</f>
        <v>851.063829787234</v>
      </c>
      <c r="K1020" s="136">
        <v>0</v>
      </c>
      <c r="L1020" s="8" t="s">
        <v>376</v>
      </c>
      <c r="M1020" s="8" t="s">
        <v>377</v>
      </c>
      <c r="N1020" s="8" t="s">
        <v>28</v>
      </c>
      <c r="O1020" s="8" t="s">
        <v>244</v>
      </c>
      <c r="P1020" s="8" t="s">
        <v>259</v>
      </c>
      <c r="Q1020" s="8" t="s">
        <v>260</v>
      </c>
      <c r="R1020" s="8" t="s">
        <v>378</v>
      </c>
      <c r="S1020" s="8"/>
      <c r="T1020" s="8"/>
      <c r="U1020" s="8" t="s">
        <v>379</v>
      </c>
      <c r="V1020" s="8"/>
      <c r="W1020" s="8" t="s">
        <v>380</v>
      </c>
      <c r="X1020" s="8"/>
      <c r="Y1020" s="8"/>
    </row>
    <row r="1021" spans="1:25" hidden="1" x14ac:dyDescent="0.25">
      <c r="A1021" s="273" t="s">
        <v>322</v>
      </c>
      <c r="B1021" s="251">
        <v>46001</v>
      </c>
      <c r="C1021" s="252" t="s">
        <v>716</v>
      </c>
      <c r="D1021" s="252"/>
      <c r="E1021" s="253">
        <v>800000</v>
      </c>
      <c r="F1021" s="253">
        <v>0</v>
      </c>
      <c r="G1021" s="274">
        <f>Tabla3[[#This Row],[INGRESOS]]-Tabla3[[#This Row],[EGRESOS]]</f>
        <v>-800000</v>
      </c>
      <c r="H1021" s="135">
        <v>-5791475.75</v>
      </c>
      <c r="I1021" s="135">
        <v>1410</v>
      </c>
      <c r="J1021" s="136">
        <f>Tabla3[[#This Row],[EGRESOS]]/Tabla3[[#This Row],[TC]]</f>
        <v>567.3758865248227</v>
      </c>
      <c r="K1021" s="136">
        <v>0</v>
      </c>
      <c r="L1021" s="8" t="s">
        <v>376</v>
      </c>
      <c r="M1021" s="8" t="s">
        <v>377</v>
      </c>
      <c r="N1021" s="8" t="s">
        <v>28</v>
      </c>
      <c r="O1021" s="8" t="s">
        <v>184</v>
      </c>
      <c r="P1021" s="8" t="s">
        <v>199</v>
      </c>
      <c r="Q1021" s="8" t="s">
        <v>201</v>
      </c>
      <c r="R1021" s="8" t="s">
        <v>748</v>
      </c>
      <c r="S1021" s="8" t="s">
        <v>392</v>
      </c>
      <c r="T1021" s="8"/>
      <c r="U1021" s="8" t="s">
        <v>390</v>
      </c>
      <c r="V1021" s="8"/>
      <c r="W1021" s="8" t="s">
        <v>380</v>
      </c>
      <c r="X1021" s="8" t="s">
        <v>99</v>
      </c>
      <c r="Y1021" s="8" t="s">
        <v>23</v>
      </c>
    </row>
    <row r="1022" spans="1:25" hidden="1" x14ac:dyDescent="0.25">
      <c r="A1022" s="273" t="s">
        <v>322</v>
      </c>
      <c r="B1022" s="251">
        <v>46001</v>
      </c>
      <c r="C1022" s="252" t="s">
        <v>716</v>
      </c>
      <c r="D1022" s="252"/>
      <c r="E1022" s="253">
        <v>1250000</v>
      </c>
      <c r="F1022" s="253">
        <v>0</v>
      </c>
      <c r="G1022" s="274">
        <f>Tabla3[[#This Row],[INGRESOS]]-Tabla3[[#This Row],[EGRESOS]]</f>
        <v>-1250000</v>
      </c>
      <c r="H1022" s="135">
        <v>-7041475.75</v>
      </c>
      <c r="I1022" s="135">
        <v>1410</v>
      </c>
      <c r="J1022" s="136">
        <f>Tabla3[[#This Row],[EGRESOS]]/Tabla3[[#This Row],[TC]]</f>
        <v>886.52482269503548</v>
      </c>
      <c r="K1022" s="136">
        <v>0</v>
      </c>
      <c r="L1022" s="8" t="s">
        <v>376</v>
      </c>
      <c r="M1022" s="8" t="s">
        <v>377</v>
      </c>
      <c r="N1022" s="8" t="s">
        <v>28</v>
      </c>
      <c r="O1022" s="8" t="s">
        <v>184</v>
      </c>
      <c r="P1022" s="8" t="s">
        <v>199</v>
      </c>
      <c r="Q1022" s="8" t="s">
        <v>201</v>
      </c>
      <c r="R1022" s="8" t="s">
        <v>749</v>
      </c>
      <c r="S1022" s="8" t="s">
        <v>389</v>
      </c>
      <c r="T1022" s="8"/>
      <c r="U1022" s="8" t="s">
        <v>390</v>
      </c>
      <c r="V1022" s="8"/>
      <c r="W1022" s="8" t="s">
        <v>380</v>
      </c>
      <c r="X1022" s="8" t="s">
        <v>99</v>
      </c>
      <c r="Y1022" s="8" t="s">
        <v>23</v>
      </c>
    </row>
    <row r="1023" spans="1:25" hidden="1" x14ac:dyDescent="0.25">
      <c r="A1023" s="273" t="s">
        <v>322</v>
      </c>
      <c r="B1023" s="251">
        <v>46001</v>
      </c>
      <c r="C1023" s="252" t="s">
        <v>566</v>
      </c>
      <c r="D1023" s="252"/>
      <c r="E1023" s="253">
        <v>12300</v>
      </c>
      <c r="F1023" s="253">
        <v>0</v>
      </c>
      <c r="G1023" s="274">
        <f>Tabla3[[#This Row],[INGRESOS]]-Tabla3[[#This Row],[EGRESOS]]</f>
        <v>-12300</v>
      </c>
      <c r="H1023" s="135">
        <v>-7053775.75</v>
      </c>
      <c r="I1023" s="135">
        <v>1410</v>
      </c>
      <c r="J1023" s="136">
        <f>Tabla3[[#This Row],[EGRESOS]]/Tabla3[[#This Row],[TC]]</f>
        <v>8.7234042553191493</v>
      </c>
      <c r="K1023" s="136">
        <v>0</v>
      </c>
      <c r="L1023" s="8" t="s">
        <v>376</v>
      </c>
      <c r="M1023" s="8" t="s">
        <v>377</v>
      </c>
      <c r="N1023" s="8" t="s">
        <v>28</v>
      </c>
      <c r="O1023" s="8" t="s">
        <v>184</v>
      </c>
      <c r="P1023" s="8" t="s">
        <v>195</v>
      </c>
      <c r="Q1023" s="8" t="s">
        <v>196</v>
      </c>
      <c r="R1023" s="8" t="s">
        <v>394</v>
      </c>
      <c r="S1023" s="8"/>
      <c r="T1023" s="8"/>
      <c r="U1023" s="8" t="s">
        <v>384</v>
      </c>
      <c r="V1023" s="8"/>
      <c r="W1023" s="8" t="s">
        <v>380</v>
      </c>
      <c r="X1023" s="8" t="s">
        <v>99</v>
      </c>
      <c r="Y1023" s="8" t="s">
        <v>23</v>
      </c>
    </row>
    <row r="1024" spans="1:25" hidden="1" x14ac:dyDescent="0.25">
      <c r="A1024" s="273" t="s">
        <v>322</v>
      </c>
      <c r="B1024" s="251">
        <v>46002</v>
      </c>
      <c r="C1024" s="252" t="s">
        <v>568</v>
      </c>
      <c r="D1024" s="252"/>
      <c r="E1024" s="253">
        <v>32089.200000000001</v>
      </c>
      <c r="F1024" s="253">
        <v>0</v>
      </c>
      <c r="G1024" s="274">
        <f>Tabla3[[#This Row],[INGRESOS]]-Tabla3[[#This Row],[EGRESOS]]</f>
        <v>-32089.200000000001</v>
      </c>
      <c r="H1024" s="135">
        <v>-7085864.9500000002</v>
      </c>
      <c r="I1024" s="135">
        <v>1410</v>
      </c>
      <c r="J1024" s="136">
        <f>Tabla3[[#This Row],[EGRESOS]]/Tabla3[[#This Row],[TC]]</f>
        <v>22.758297872340425</v>
      </c>
      <c r="K1024" s="136">
        <v>0</v>
      </c>
      <c r="L1024" s="8" t="s">
        <v>376</v>
      </c>
      <c r="M1024" s="8" t="s">
        <v>377</v>
      </c>
      <c r="N1024" s="8" t="s">
        <v>28</v>
      </c>
      <c r="O1024" s="8" t="s">
        <v>225</v>
      </c>
      <c r="P1024" s="8" t="s">
        <v>236</v>
      </c>
      <c r="Q1024" s="8" t="s">
        <v>33</v>
      </c>
      <c r="R1024" s="8"/>
      <c r="S1024" s="8" t="s">
        <v>750</v>
      </c>
      <c r="T1024" s="8"/>
      <c r="U1024" s="8" t="s">
        <v>412</v>
      </c>
      <c r="V1024" s="8"/>
      <c r="W1024" s="8" t="s">
        <v>475</v>
      </c>
      <c r="X1024" s="8" t="s">
        <v>29</v>
      </c>
      <c r="Y1024" s="8" t="s">
        <v>23</v>
      </c>
    </row>
    <row r="1025" spans="1:25" hidden="1" x14ac:dyDescent="0.25">
      <c r="A1025" s="273" t="s">
        <v>322</v>
      </c>
      <c r="B1025" s="251">
        <v>46002</v>
      </c>
      <c r="C1025" s="252" t="s">
        <v>568</v>
      </c>
      <c r="D1025" s="252"/>
      <c r="E1025" s="253">
        <v>90750</v>
      </c>
      <c r="F1025" s="253">
        <v>0</v>
      </c>
      <c r="G1025" s="274">
        <f>Tabla3[[#This Row],[INGRESOS]]-Tabla3[[#This Row],[EGRESOS]]</f>
        <v>-90750</v>
      </c>
      <c r="H1025" s="135">
        <v>-7176614.9500000002</v>
      </c>
      <c r="I1025" s="135">
        <v>1410</v>
      </c>
      <c r="J1025" s="136">
        <f>Tabla3[[#This Row],[EGRESOS]]/Tabla3[[#This Row],[TC]]</f>
        <v>64.361702127659569</v>
      </c>
      <c r="K1025" s="136">
        <v>0</v>
      </c>
      <c r="L1025" s="8" t="s">
        <v>376</v>
      </c>
      <c r="M1025" s="8" t="s">
        <v>377</v>
      </c>
      <c r="N1025" s="8" t="s">
        <v>28</v>
      </c>
      <c r="O1025" s="8" t="s">
        <v>184</v>
      </c>
      <c r="P1025" s="8" t="s">
        <v>185</v>
      </c>
      <c r="Q1025" s="8" t="s">
        <v>193</v>
      </c>
      <c r="R1025" s="8"/>
      <c r="S1025" s="8" t="s">
        <v>751</v>
      </c>
      <c r="T1025" s="8"/>
      <c r="U1025" s="8" t="s">
        <v>384</v>
      </c>
      <c r="V1025" s="8"/>
      <c r="W1025" s="8" t="s">
        <v>380</v>
      </c>
      <c r="X1025" s="8" t="s">
        <v>99</v>
      </c>
      <c r="Y1025" s="8" t="s">
        <v>23</v>
      </c>
    </row>
    <row r="1026" spans="1:25" hidden="1" x14ac:dyDescent="0.25">
      <c r="A1026" s="267" t="s">
        <v>322</v>
      </c>
      <c r="B1026" s="268">
        <v>46002</v>
      </c>
      <c r="C1026" s="269" t="s">
        <v>568</v>
      </c>
      <c r="D1026" s="269"/>
      <c r="E1026" s="270">
        <v>450000</v>
      </c>
      <c r="F1026" s="270">
        <v>0</v>
      </c>
      <c r="G1026" s="335">
        <f>Tabla3[[#This Row],[INGRESOS]]-Tabla3[[#This Row],[EGRESOS]]</f>
        <v>-450000</v>
      </c>
      <c r="H1026" s="265">
        <v>-7626614.9500000002</v>
      </c>
      <c r="I1026" s="265">
        <v>1410</v>
      </c>
      <c r="J1026" s="271">
        <f>Tabla3[[#This Row],[EGRESOS]]/Tabla3[[#This Row],[TC]]</f>
        <v>319.14893617021278</v>
      </c>
      <c r="K1026" s="271">
        <v>0</v>
      </c>
      <c r="L1026" s="272" t="s">
        <v>376</v>
      </c>
      <c r="M1026" s="272" t="s">
        <v>377</v>
      </c>
      <c r="N1026" s="272" t="s">
        <v>28</v>
      </c>
      <c r="O1026" s="272" t="s">
        <v>225</v>
      </c>
      <c r="P1026" s="272" t="s">
        <v>233</v>
      </c>
      <c r="Q1026" s="272" t="s">
        <v>235</v>
      </c>
      <c r="R1026" s="272" t="s">
        <v>752</v>
      </c>
      <c r="S1026" s="272" t="s">
        <v>753</v>
      </c>
      <c r="T1026" s="272"/>
      <c r="U1026" s="272" t="s">
        <v>412</v>
      </c>
      <c r="V1026" s="272"/>
      <c r="W1026" s="272" t="s">
        <v>475</v>
      </c>
      <c r="X1026" s="272" t="s">
        <v>29</v>
      </c>
      <c r="Y1026" s="272" t="s">
        <v>23</v>
      </c>
    </row>
    <row r="1027" spans="1:25" hidden="1" x14ac:dyDescent="0.25">
      <c r="A1027" s="267" t="s">
        <v>322</v>
      </c>
      <c r="B1027" s="268">
        <v>46002</v>
      </c>
      <c r="C1027" s="269" t="s">
        <v>566</v>
      </c>
      <c r="D1027" s="269"/>
      <c r="E1027" s="270">
        <v>3437.04</v>
      </c>
      <c r="F1027" s="270">
        <v>0</v>
      </c>
      <c r="G1027" s="335">
        <f>Tabla3[[#This Row],[INGRESOS]]-Tabla3[[#This Row],[EGRESOS]]</f>
        <v>-3437.04</v>
      </c>
      <c r="H1027" s="265">
        <v>-7630051.9900000002</v>
      </c>
      <c r="I1027" s="265">
        <v>1410</v>
      </c>
      <c r="J1027" s="271">
        <f>Tabla3[[#This Row],[EGRESOS]]/Tabla3[[#This Row],[TC]]</f>
        <v>2.4376170212765955</v>
      </c>
      <c r="K1027" s="271">
        <v>0</v>
      </c>
      <c r="L1027" s="272" t="s">
        <v>376</v>
      </c>
      <c r="M1027" s="272" t="s">
        <v>377</v>
      </c>
      <c r="N1027" s="272" t="s">
        <v>28</v>
      </c>
      <c r="O1027" s="272" t="s">
        <v>184</v>
      </c>
      <c r="P1027" s="272" t="s">
        <v>195</v>
      </c>
      <c r="Q1027" s="272" t="s">
        <v>196</v>
      </c>
      <c r="R1027" s="272" t="s">
        <v>394</v>
      </c>
      <c r="S1027" s="272"/>
      <c r="T1027" s="272"/>
      <c r="U1027" s="272" t="s">
        <v>384</v>
      </c>
      <c r="V1027" s="272"/>
      <c r="W1027" s="272" t="s">
        <v>380</v>
      </c>
      <c r="X1027" s="272" t="s">
        <v>99</v>
      </c>
      <c r="Y1027" s="272" t="s">
        <v>23</v>
      </c>
    </row>
    <row r="1028" spans="1:25" hidden="1" x14ac:dyDescent="0.25">
      <c r="A1028" s="267" t="s">
        <v>322</v>
      </c>
      <c r="B1028" s="268">
        <v>46010</v>
      </c>
      <c r="C1028" s="269" t="s">
        <v>716</v>
      </c>
      <c r="D1028" s="269"/>
      <c r="E1028" s="270">
        <v>1000000</v>
      </c>
      <c r="F1028" s="270">
        <v>0</v>
      </c>
      <c r="G1028" s="335">
        <f>Tabla3[[#This Row],[INGRESOS]]-Tabla3[[#This Row],[EGRESOS]]</f>
        <v>-1000000</v>
      </c>
      <c r="H1028" s="335">
        <v>-8630051.9900000002</v>
      </c>
      <c r="I1028" s="265">
        <v>1450</v>
      </c>
      <c r="J1028" s="271">
        <f>Tabla3[[#This Row],[EGRESOS]]/Tabla3[[#This Row],[TC]]</f>
        <v>689.65517241379314</v>
      </c>
      <c r="K1028" s="271">
        <v>0</v>
      </c>
      <c r="L1028" s="272" t="s">
        <v>376</v>
      </c>
      <c r="M1028" s="272" t="s">
        <v>377</v>
      </c>
      <c r="N1028" s="272" t="s">
        <v>28</v>
      </c>
      <c r="O1028" s="272" t="s">
        <v>184</v>
      </c>
      <c r="P1028" s="272" t="s">
        <v>203</v>
      </c>
      <c r="Q1028" s="272" t="s">
        <v>206</v>
      </c>
      <c r="R1028" s="272" t="s">
        <v>509</v>
      </c>
      <c r="S1028" s="272" t="s">
        <v>510</v>
      </c>
      <c r="T1028" s="272"/>
      <c r="U1028" s="272" t="s">
        <v>511</v>
      </c>
      <c r="V1028" s="272" t="s">
        <v>512</v>
      </c>
      <c r="W1028" s="272" t="s">
        <v>380</v>
      </c>
      <c r="X1028" s="272" t="s">
        <v>103</v>
      </c>
      <c r="Y1028" s="272" t="s">
        <v>23</v>
      </c>
    </row>
    <row r="1029" spans="1:25" hidden="1" x14ac:dyDescent="0.25">
      <c r="A1029" s="267" t="s">
        <v>322</v>
      </c>
      <c r="B1029" s="268">
        <v>46010</v>
      </c>
      <c r="C1029" s="269" t="s">
        <v>566</v>
      </c>
      <c r="D1029" s="269"/>
      <c r="E1029" s="270">
        <v>6000</v>
      </c>
      <c r="F1029" s="270">
        <v>0</v>
      </c>
      <c r="G1029" s="335">
        <f>Tabla3[[#This Row],[INGRESOS]]-Tabla3[[#This Row],[EGRESOS]]</f>
        <v>-6000</v>
      </c>
      <c r="H1029" s="335">
        <v>-8636051.9900000002</v>
      </c>
      <c r="I1029" s="265">
        <v>1450</v>
      </c>
      <c r="J1029" s="271">
        <f>Tabla3[[#This Row],[EGRESOS]]/Tabla3[[#This Row],[TC]]</f>
        <v>4.1379310344827589</v>
      </c>
      <c r="K1029" s="271">
        <v>0</v>
      </c>
      <c r="L1029" s="272" t="s">
        <v>376</v>
      </c>
      <c r="M1029" s="272" t="s">
        <v>377</v>
      </c>
      <c r="N1029" s="272" t="s">
        <v>28</v>
      </c>
      <c r="O1029" s="272" t="s">
        <v>184</v>
      </c>
      <c r="P1029" s="272" t="s">
        <v>195</v>
      </c>
      <c r="Q1029" s="272" t="s">
        <v>196</v>
      </c>
      <c r="R1029" s="272" t="s">
        <v>394</v>
      </c>
      <c r="S1029" s="272"/>
      <c r="T1029" s="272"/>
      <c r="U1029" s="272" t="s">
        <v>384</v>
      </c>
      <c r="V1029" s="272"/>
      <c r="W1029" s="272" t="s">
        <v>380</v>
      </c>
      <c r="X1029" s="272" t="s">
        <v>99</v>
      </c>
      <c r="Y1029" s="272" t="s">
        <v>23</v>
      </c>
    </row>
    <row r="1030" spans="1:25" hidden="1" x14ac:dyDescent="0.25">
      <c r="A1030" s="267" t="s">
        <v>322</v>
      </c>
      <c r="B1030" s="268">
        <v>46010</v>
      </c>
      <c r="C1030" s="269" t="s">
        <v>566</v>
      </c>
      <c r="D1030" s="269"/>
      <c r="E1030" s="270">
        <v>6000</v>
      </c>
      <c r="F1030" s="270">
        <v>0</v>
      </c>
      <c r="G1030" s="335">
        <f>Tabla3[[#This Row],[INGRESOS]]-Tabla3[[#This Row],[EGRESOS]]</f>
        <v>-6000</v>
      </c>
      <c r="H1030" s="335">
        <v>-8636051.9900000002</v>
      </c>
      <c r="I1030" s="265">
        <v>1476.6666666666699</v>
      </c>
      <c r="J1030" s="271">
        <f>Tabla3[[#This Row],[EGRESOS]]/Tabla3[[#This Row],[TC]]</f>
        <v>4.0632054176072145</v>
      </c>
      <c r="K1030" s="271">
        <v>0</v>
      </c>
      <c r="L1030" s="272" t="s">
        <v>376</v>
      </c>
      <c r="M1030" s="272" t="s">
        <v>377</v>
      </c>
      <c r="N1030" s="272" t="s">
        <v>28</v>
      </c>
      <c r="O1030" s="272" t="s">
        <v>184</v>
      </c>
      <c r="P1030" s="272" t="s">
        <v>195</v>
      </c>
      <c r="Q1030" s="272" t="s">
        <v>196</v>
      </c>
      <c r="R1030" s="272" t="s">
        <v>394</v>
      </c>
      <c r="S1030" s="272"/>
      <c r="T1030" s="272"/>
      <c r="U1030" s="272" t="s">
        <v>384</v>
      </c>
      <c r="V1030" s="272"/>
      <c r="W1030" s="272" t="s">
        <v>380</v>
      </c>
      <c r="X1030" s="272" t="s">
        <v>99</v>
      </c>
      <c r="Y1030" s="272" t="s">
        <v>23</v>
      </c>
    </row>
    <row r="1031" spans="1:25" hidden="1" x14ac:dyDescent="0.25">
      <c r="A1031" s="267" t="s">
        <v>322</v>
      </c>
      <c r="B1031" s="268">
        <v>46017</v>
      </c>
      <c r="C1031" s="269" t="s">
        <v>568</v>
      </c>
      <c r="D1031" s="269"/>
      <c r="E1031" s="270">
        <v>52270.2</v>
      </c>
      <c r="F1031" s="270">
        <v>0</v>
      </c>
      <c r="G1031" s="335">
        <f>Tabla3[[#This Row],[INGRESOS]]-Tabla3[[#This Row],[EGRESOS]]</f>
        <v>-52270.2</v>
      </c>
      <c r="H1031" s="335">
        <v>-8688322.1899999995</v>
      </c>
      <c r="I1031" s="265">
        <v>1496.6666666666699</v>
      </c>
      <c r="J1031" s="271">
        <f>Tabla3[[#This Row],[EGRESOS]]/Tabla3[[#This Row],[TC]]</f>
        <v>34.924409799554489</v>
      </c>
      <c r="K1031" s="271">
        <v>0</v>
      </c>
      <c r="L1031" s="272" t="s">
        <v>376</v>
      </c>
      <c r="M1031" s="272" t="s">
        <v>377</v>
      </c>
      <c r="N1031" s="272" t="s">
        <v>28</v>
      </c>
      <c r="O1031" s="272" t="s">
        <v>215</v>
      </c>
      <c r="P1031" s="272" t="s">
        <v>216</v>
      </c>
      <c r="Q1031" s="272" t="s">
        <v>219</v>
      </c>
      <c r="R1031" s="272" t="s">
        <v>41</v>
      </c>
      <c r="S1031" s="272" t="s">
        <v>754</v>
      </c>
      <c r="T1031" s="272" t="s">
        <v>755</v>
      </c>
      <c r="U1031" s="272" t="s">
        <v>412</v>
      </c>
      <c r="V1031" s="272"/>
      <c r="W1031" s="272" t="s">
        <v>475</v>
      </c>
      <c r="X1031" s="272" t="s">
        <v>756</v>
      </c>
      <c r="Y1031" s="272" t="s">
        <v>23</v>
      </c>
    </row>
    <row r="1032" spans="1:25" hidden="1" x14ac:dyDescent="0.25">
      <c r="A1032" s="267" t="s">
        <v>322</v>
      </c>
      <c r="B1032" s="268">
        <v>46017</v>
      </c>
      <c r="C1032" s="269" t="s">
        <v>566</v>
      </c>
      <c r="D1032" s="269"/>
      <c r="E1032" s="270">
        <v>313.62</v>
      </c>
      <c r="F1032" s="270">
        <v>0</v>
      </c>
      <c r="G1032" s="335">
        <f>Tabla3[[#This Row],[INGRESOS]]-Tabla3[[#This Row],[EGRESOS]]</f>
        <v>-313.62</v>
      </c>
      <c r="H1032" s="335">
        <v>-8688635.8100000005</v>
      </c>
      <c r="I1032" s="265">
        <v>1516.6666666666699</v>
      </c>
      <c r="J1032" s="271">
        <f>Tabla3[[#This Row],[EGRESOS]]/Tabla3[[#This Row],[TC]]</f>
        <v>0.20678241758241714</v>
      </c>
      <c r="K1032" s="271">
        <v>0</v>
      </c>
      <c r="L1032" s="272" t="s">
        <v>376</v>
      </c>
      <c r="M1032" s="272" t="s">
        <v>377</v>
      </c>
      <c r="N1032" s="272" t="s">
        <v>28</v>
      </c>
      <c r="O1032" s="272" t="s">
        <v>184</v>
      </c>
      <c r="P1032" s="272" t="s">
        <v>195</v>
      </c>
      <c r="Q1032" s="272" t="s">
        <v>196</v>
      </c>
      <c r="R1032" s="272" t="s">
        <v>394</v>
      </c>
      <c r="S1032" s="272"/>
      <c r="T1032" s="272"/>
      <c r="U1032" s="272" t="s">
        <v>384</v>
      </c>
      <c r="V1032" s="272"/>
      <c r="W1032" s="272" t="s">
        <v>380</v>
      </c>
      <c r="X1032" s="272" t="s">
        <v>99</v>
      </c>
      <c r="Y1032" s="272" t="s">
        <v>23</v>
      </c>
    </row>
    <row r="1033" spans="1:25" x14ac:dyDescent="0.25">
      <c r="A1033" s="247" t="s">
        <v>311</v>
      </c>
      <c r="B1033" s="251">
        <v>45660</v>
      </c>
      <c r="C1033" s="252" t="s">
        <v>757</v>
      </c>
      <c r="D1033" s="252"/>
      <c r="E1033" s="253">
        <v>655747.89</v>
      </c>
      <c r="F1033" s="253">
        <v>0</v>
      </c>
      <c r="G1033" s="266">
        <f>Tabla3[[#This Row],[INGRESOS]]-Tabla3[[#This Row],[EGRESOS]]</f>
        <v>-655747.89</v>
      </c>
      <c r="H1033" s="137">
        <v>-655747.89</v>
      </c>
      <c r="I1033" s="135">
        <v>1140</v>
      </c>
      <c r="J1033" s="136">
        <f>Tabla3[[#This Row],[EGRESOS]]/Tabla3[[#This Row],[TC]]</f>
        <v>575.21744736842106</v>
      </c>
      <c r="K1033" s="136">
        <f>Tabla3[[#This Row],[INGRESOS]]/Tabla3[[#This Row],[TC]]</f>
        <v>0</v>
      </c>
      <c r="L1033" s="8" t="s">
        <v>376</v>
      </c>
      <c r="M1033" s="8" t="s">
        <v>758</v>
      </c>
      <c r="N1033" s="8" t="s">
        <v>20</v>
      </c>
      <c r="O1033" s="8" t="s">
        <v>184</v>
      </c>
      <c r="P1033" s="8" t="s">
        <v>199</v>
      </c>
      <c r="Q1033" s="8" t="s">
        <v>201</v>
      </c>
      <c r="R1033" s="8" t="s">
        <v>759</v>
      </c>
      <c r="S1033" s="8" t="s">
        <v>389</v>
      </c>
      <c r="T1033" s="8"/>
      <c r="U1033" s="8" t="s">
        <v>390</v>
      </c>
      <c r="V1033" s="8"/>
      <c r="W1033" s="8" t="s">
        <v>380</v>
      </c>
      <c r="X1033" s="7" t="s">
        <v>99</v>
      </c>
      <c r="Y1033" s="8" t="s">
        <v>23</v>
      </c>
    </row>
    <row r="1034" spans="1:25" x14ac:dyDescent="0.25">
      <c r="A1034" s="247" t="s">
        <v>311</v>
      </c>
      <c r="B1034" s="251">
        <v>45660</v>
      </c>
      <c r="C1034" s="252" t="s">
        <v>760</v>
      </c>
      <c r="D1034" s="252"/>
      <c r="E1034" s="253">
        <v>3934.49</v>
      </c>
      <c r="F1034" s="253">
        <v>0</v>
      </c>
      <c r="G1034" s="266">
        <f>Tabla3[[#This Row],[INGRESOS]]-Tabla3[[#This Row],[EGRESOS]]</f>
        <v>-3934.49</v>
      </c>
      <c r="H1034" s="137">
        <v>-659682.38</v>
      </c>
      <c r="I1034" s="135">
        <v>1140</v>
      </c>
      <c r="J1034" s="136">
        <f>Tabla3[[#This Row],[EGRESOS]]/Tabla3[[#This Row],[TC]]</f>
        <v>3.4513070175438596</v>
      </c>
      <c r="K1034" s="136">
        <f>Tabla3[[#This Row],[INGRESOS]]/Tabla3[[#This Row],[TC]]</f>
        <v>0</v>
      </c>
      <c r="L1034" s="8" t="s">
        <v>376</v>
      </c>
      <c r="M1034" s="8" t="s">
        <v>758</v>
      </c>
      <c r="N1034" s="8" t="s">
        <v>20</v>
      </c>
      <c r="O1034" s="8" t="s">
        <v>184</v>
      </c>
      <c r="P1034" s="8" t="s">
        <v>195</v>
      </c>
      <c r="Q1034" s="8" t="s">
        <v>196</v>
      </c>
      <c r="R1034" s="8" t="s">
        <v>394</v>
      </c>
      <c r="S1034" s="8" t="s">
        <v>383</v>
      </c>
      <c r="T1034" s="8"/>
      <c r="U1034" s="8" t="s">
        <v>384</v>
      </c>
      <c r="V1034" s="8"/>
      <c r="W1034" s="8" t="s">
        <v>380</v>
      </c>
      <c r="X1034" s="8" t="s">
        <v>99</v>
      </c>
      <c r="Y1034" s="8" t="s">
        <v>23</v>
      </c>
    </row>
    <row r="1035" spans="1:25" hidden="1" x14ac:dyDescent="0.25">
      <c r="A1035" s="247" t="s">
        <v>311</v>
      </c>
      <c r="B1035" s="251">
        <v>45660</v>
      </c>
      <c r="C1035" s="252" t="s">
        <v>761</v>
      </c>
      <c r="D1035" s="252"/>
      <c r="E1035" s="253">
        <v>0</v>
      </c>
      <c r="F1035" s="253">
        <v>659682.38</v>
      </c>
      <c r="G1035" s="266">
        <f>Tabla3[[#This Row],[INGRESOS]]-Tabla3[[#This Row],[EGRESOS]]</f>
        <v>659682.38</v>
      </c>
      <c r="H1035" s="133">
        <v>0</v>
      </c>
      <c r="I1035" s="135">
        <v>1140</v>
      </c>
      <c r="J1035" s="136">
        <f>Tabla3[[#This Row],[EGRESOS]]/Tabla3[[#This Row],[TC]]</f>
        <v>0</v>
      </c>
      <c r="K1035" s="136">
        <f>Tabla3[[#This Row],[INGRESOS]]/Tabla3[[#This Row],[TC]]</f>
        <v>578.66875438596492</v>
      </c>
      <c r="L1035" s="8" t="s">
        <v>376</v>
      </c>
      <c r="M1035" s="8" t="s">
        <v>758</v>
      </c>
      <c r="N1035" s="8" t="s">
        <v>20</v>
      </c>
      <c r="O1035" s="8" t="s">
        <v>244</v>
      </c>
      <c r="P1035" s="8" t="s">
        <v>259</v>
      </c>
      <c r="Q1035" s="8" t="s">
        <v>260</v>
      </c>
      <c r="R1035" s="8" t="s">
        <v>405</v>
      </c>
      <c r="S1035" s="8"/>
      <c r="T1035" s="8"/>
      <c r="U1035" s="8" t="s">
        <v>379</v>
      </c>
      <c r="V1035" s="8"/>
      <c r="W1035" s="8" t="s">
        <v>380</v>
      </c>
      <c r="X1035" s="8"/>
      <c r="Y1035" s="8"/>
    </row>
    <row r="1036" spans="1:25" s="7" customFormat="1" x14ac:dyDescent="0.25">
      <c r="A1036" s="247" t="s">
        <v>311</v>
      </c>
      <c r="B1036" s="251">
        <v>45665</v>
      </c>
      <c r="C1036" s="252" t="s">
        <v>762</v>
      </c>
      <c r="D1036" s="252"/>
      <c r="E1036" s="253">
        <v>840</v>
      </c>
      <c r="F1036" s="253">
        <v>0</v>
      </c>
      <c r="G1036" s="266">
        <f>Tabla3[[#This Row],[INGRESOS]]-Tabla3[[#This Row],[EGRESOS]]</f>
        <v>-840</v>
      </c>
      <c r="H1036" s="137">
        <v>-840</v>
      </c>
      <c r="I1036" s="135">
        <v>1140</v>
      </c>
      <c r="J1036" s="136">
        <f>Tabla3[[#This Row],[EGRESOS]]/Tabla3[[#This Row],[TC]]</f>
        <v>0.73684210526315785</v>
      </c>
      <c r="K1036" s="136">
        <f>Tabla3[[#This Row],[INGRESOS]]/Tabla3[[#This Row],[TC]]</f>
        <v>0</v>
      </c>
      <c r="L1036" s="8" t="s">
        <v>376</v>
      </c>
      <c r="M1036" s="8" t="s">
        <v>758</v>
      </c>
      <c r="N1036" s="8" t="s">
        <v>20</v>
      </c>
      <c r="O1036" s="8" t="s">
        <v>184</v>
      </c>
      <c r="P1036" s="8" t="s">
        <v>195</v>
      </c>
      <c r="Q1036" s="8" t="s">
        <v>196</v>
      </c>
      <c r="R1036" s="8" t="s">
        <v>382</v>
      </c>
      <c r="S1036" s="8" t="s">
        <v>383</v>
      </c>
      <c r="T1036" s="8"/>
      <c r="U1036" s="8" t="s">
        <v>384</v>
      </c>
      <c r="V1036" s="8"/>
      <c r="W1036" s="8" t="s">
        <v>380</v>
      </c>
      <c r="X1036" s="8" t="s">
        <v>99</v>
      </c>
      <c r="Y1036" s="8" t="s">
        <v>23</v>
      </c>
    </row>
    <row r="1037" spans="1:25" s="7" customFormat="1" x14ac:dyDescent="0.25">
      <c r="A1037" s="247" t="s">
        <v>311</v>
      </c>
      <c r="B1037" s="251">
        <v>45665</v>
      </c>
      <c r="C1037" s="252" t="s">
        <v>763</v>
      </c>
      <c r="D1037" s="252"/>
      <c r="E1037" s="253">
        <v>120</v>
      </c>
      <c r="F1037" s="253">
        <v>0</v>
      </c>
      <c r="G1037" s="266">
        <f>Tabla3[[#This Row],[INGRESOS]]-Tabla3[[#This Row],[EGRESOS]]</f>
        <v>-120</v>
      </c>
      <c r="H1037" s="137">
        <v>-960</v>
      </c>
      <c r="I1037" s="135">
        <v>1140</v>
      </c>
      <c r="J1037" s="136">
        <f>Tabla3[[#This Row],[EGRESOS]]/Tabla3[[#This Row],[TC]]</f>
        <v>0.10526315789473684</v>
      </c>
      <c r="K1037" s="136">
        <f>Tabla3[[#This Row],[INGRESOS]]/Tabla3[[#This Row],[TC]]</f>
        <v>0</v>
      </c>
      <c r="L1037" s="8" t="s">
        <v>376</v>
      </c>
      <c r="M1037" s="8" t="s">
        <v>758</v>
      </c>
      <c r="N1037" s="8" t="s">
        <v>20</v>
      </c>
      <c r="O1037" s="8" t="s">
        <v>184</v>
      </c>
      <c r="P1037" s="8" t="s">
        <v>195</v>
      </c>
      <c r="Q1037" s="8" t="s">
        <v>196</v>
      </c>
      <c r="R1037" s="8" t="s">
        <v>417</v>
      </c>
      <c r="S1037" s="8" t="s">
        <v>383</v>
      </c>
      <c r="T1037" s="8"/>
      <c r="U1037" s="8" t="s">
        <v>384</v>
      </c>
      <c r="V1037" s="8"/>
      <c r="W1037" s="8" t="s">
        <v>380</v>
      </c>
      <c r="X1037" s="8" t="s">
        <v>99</v>
      </c>
      <c r="Y1037" s="8" t="s">
        <v>23</v>
      </c>
    </row>
    <row r="1038" spans="1:25" s="7" customFormat="1" x14ac:dyDescent="0.25">
      <c r="A1038" s="247" t="s">
        <v>311</v>
      </c>
      <c r="B1038" s="251">
        <v>45665</v>
      </c>
      <c r="C1038" s="252" t="s">
        <v>764</v>
      </c>
      <c r="D1038" s="252"/>
      <c r="E1038" s="253">
        <v>4000</v>
      </c>
      <c r="F1038" s="253">
        <v>0</v>
      </c>
      <c r="G1038" s="266">
        <f>Tabla3[[#This Row],[INGRESOS]]-Tabla3[[#This Row],[EGRESOS]]</f>
        <v>-4000</v>
      </c>
      <c r="H1038" s="137">
        <v>-4960</v>
      </c>
      <c r="I1038" s="135">
        <v>1140</v>
      </c>
      <c r="J1038" s="136">
        <f>Tabla3[[#This Row],[EGRESOS]]/Tabla3[[#This Row],[TC]]</f>
        <v>3.5087719298245612</v>
      </c>
      <c r="K1038" s="136">
        <f>Tabla3[[#This Row],[INGRESOS]]/Tabla3[[#This Row],[TC]]</f>
        <v>0</v>
      </c>
      <c r="L1038" s="8" t="s">
        <v>376</v>
      </c>
      <c r="M1038" s="8" t="s">
        <v>758</v>
      </c>
      <c r="N1038" s="8" t="s">
        <v>20</v>
      </c>
      <c r="O1038" s="8" t="s">
        <v>184</v>
      </c>
      <c r="P1038" s="7" t="s">
        <v>185</v>
      </c>
      <c r="Q1038" s="8" t="s">
        <v>186</v>
      </c>
      <c r="R1038" s="8" t="s">
        <v>227</v>
      </c>
      <c r="S1038" s="8"/>
      <c r="T1038" s="8"/>
      <c r="U1038" s="8" t="s">
        <v>384</v>
      </c>
      <c r="V1038" s="8"/>
      <c r="W1038" s="8" t="s">
        <v>380</v>
      </c>
      <c r="X1038" s="8" t="s">
        <v>99</v>
      </c>
      <c r="Y1038" s="8" t="s">
        <v>23</v>
      </c>
    </row>
    <row r="1039" spans="1:25" s="7" customFormat="1" x14ac:dyDescent="0.25">
      <c r="A1039" s="247" t="s">
        <v>311</v>
      </c>
      <c r="B1039" s="251">
        <v>45665</v>
      </c>
      <c r="C1039" s="252" t="s">
        <v>760</v>
      </c>
      <c r="D1039" s="252"/>
      <c r="E1039" s="253">
        <v>29.76</v>
      </c>
      <c r="F1039" s="253">
        <v>0</v>
      </c>
      <c r="G1039" s="266">
        <f>Tabla3[[#This Row],[INGRESOS]]-Tabla3[[#This Row],[EGRESOS]]</f>
        <v>-29.76</v>
      </c>
      <c r="H1039" s="137">
        <v>-4989.76</v>
      </c>
      <c r="I1039" s="135">
        <v>1140</v>
      </c>
      <c r="J1039" s="136">
        <f>Tabla3[[#This Row],[EGRESOS]]/Tabla3[[#This Row],[TC]]</f>
        <v>2.6105263157894739E-2</v>
      </c>
      <c r="K1039" s="136">
        <f>Tabla3[[#This Row],[INGRESOS]]/Tabla3[[#This Row],[TC]]</f>
        <v>0</v>
      </c>
      <c r="L1039" s="8" t="s">
        <v>376</v>
      </c>
      <c r="M1039" s="8" t="s">
        <v>758</v>
      </c>
      <c r="N1039" s="8" t="s">
        <v>20</v>
      </c>
      <c r="O1039" s="8" t="s">
        <v>184</v>
      </c>
      <c r="P1039" s="8" t="s">
        <v>195</v>
      </c>
      <c r="Q1039" s="8" t="s">
        <v>196</v>
      </c>
      <c r="R1039" s="8" t="s">
        <v>394</v>
      </c>
      <c r="S1039" s="8" t="s">
        <v>383</v>
      </c>
      <c r="T1039" s="8"/>
      <c r="U1039" s="8" t="s">
        <v>384</v>
      </c>
      <c r="V1039" s="8"/>
      <c r="W1039" s="8" t="s">
        <v>380</v>
      </c>
      <c r="X1039" s="8" t="s">
        <v>99</v>
      </c>
      <c r="Y1039" s="8" t="s">
        <v>23</v>
      </c>
    </row>
    <row r="1040" spans="1:25" s="7" customFormat="1" hidden="1" x14ac:dyDescent="0.25">
      <c r="A1040" s="247" t="s">
        <v>311</v>
      </c>
      <c r="B1040" s="251">
        <v>45665</v>
      </c>
      <c r="C1040" s="252" t="s">
        <v>761</v>
      </c>
      <c r="D1040" s="252"/>
      <c r="E1040" s="253">
        <v>0</v>
      </c>
      <c r="F1040" s="253">
        <v>4989.76</v>
      </c>
      <c r="G1040" s="266">
        <f>Tabla3[[#This Row],[INGRESOS]]-Tabla3[[#This Row],[EGRESOS]]</f>
        <v>4989.76</v>
      </c>
      <c r="H1040" s="137">
        <v>0</v>
      </c>
      <c r="I1040" s="135">
        <v>1140</v>
      </c>
      <c r="J1040" s="136">
        <f>Tabla3[[#This Row],[EGRESOS]]/Tabla3[[#This Row],[TC]]</f>
        <v>0</v>
      </c>
      <c r="K1040" s="136">
        <f>Tabla3[[#This Row],[INGRESOS]]/Tabla3[[#This Row],[TC]]</f>
        <v>4.3769824561403512</v>
      </c>
      <c r="L1040" s="8" t="s">
        <v>376</v>
      </c>
      <c r="M1040" s="8" t="s">
        <v>758</v>
      </c>
      <c r="N1040" s="8" t="s">
        <v>20</v>
      </c>
      <c r="O1040" s="8" t="s">
        <v>244</v>
      </c>
      <c r="P1040" s="8" t="s">
        <v>259</v>
      </c>
      <c r="Q1040" s="8" t="s">
        <v>260</v>
      </c>
      <c r="R1040" s="8" t="s">
        <v>405</v>
      </c>
      <c r="S1040" s="8"/>
      <c r="T1040" s="8"/>
      <c r="U1040" s="8" t="s">
        <v>379</v>
      </c>
      <c r="V1040" s="8"/>
      <c r="W1040" s="8" t="s">
        <v>380</v>
      </c>
      <c r="X1040" s="8"/>
      <c r="Y1040" s="8"/>
    </row>
    <row r="1041" spans="1:25" s="7" customFormat="1" x14ac:dyDescent="0.25">
      <c r="A1041" s="247" t="s">
        <v>311</v>
      </c>
      <c r="B1041" s="251">
        <v>45687</v>
      </c>
      <c r="C1041" s="252" t="s">
        <v>762</v>
      </c>
      <c r="D1041" s="252"/>
      <c r="E1041" s="253">
        <v>7602</v>
      </c>
      <c r="F1041" s="253">
        <v>0</v>
      </c>
      <c r="G1041" s="266">
        <f>Tabla3[[#This Row],[INGRESOS]]-Tabla3[[#This Row],[EGRESOS]]</f>
        <v>-7602</v>
      </c>
      <c r="H1041" s="137">
        <v>-7602</v>
      </c>
      <c r="I1041" s="135">
        <v>1140</v>
      </c>
      <c r="J1041" s="136">
        <f>Tabla3[[#This Row],[EGRESOS]]/Tabla3[[#This Row],[TC]]</f>
        <v>6.6684210526315786</v>
      </c>
      <c r="K1041" s="136">
        <f>Tabla3[[#This Row],[INGRESOS]]/Tabla3[[#This Row],[TC]]</f>
        <v>0</v>
      </c>
      <c r="L1041" s="8" t="s">
        <v>376</v>
      </c>
      <c r="M1041" s="8" t="s">
        <v>758</v>
      </c>
      <c r="N1041" s="8" t="s">
        <v>20</v>
      </c>
      <c r="O1041" s="8" t="s">
        <v>184</v>
      </c>
      <c r="P1041" s="8" t="s">
        <v>195</v>
      </c>
      <c r="Q1041" s="8" t="s">
        <v>196</v>
      </c>
      <c r="R1041" s="8" t="s">
        <v>382</v>
      </c>
      <c r="S1041" s="8" t="s">
        <v>383</v>
      </c>
      <c r="T1041" s="8"/>
      <c r="U1041" s="8" t="s">
        <v>384</v>
      </c>
      <c r="V1041" s="8"/>
      <c r="W1041" s="8" t="s">
        <v>380</v>
      </c>
      <c r="X1041" s="8" t="s">
        <v>99</v>
      </c>
      <c r="Y1041" s="8" t="s">
        <v>23</v>
      </c>
    </row>
    <row r="1042" spans="1:25" s="7" customFormat="1" x14ac:dyDescent="0.25">
      <c r="A1042" s="247" t="s">
        <v>311</v>
      </c>
      <c r="B1042" s="251">
        <v>45687</v>
      </c>
      <c r="C1042" s="252" t="s">
        <v>763</v>
      </c>
      <c r="D1042" s="252"/>
      <c r="E1042" s="253">
        <v>1086</v>
      </c>
      <c r="F1042" s="253">
        <v>0</v>
      </c>
      <c r="G1042" s="266">
        <f>Tabla3[[#This Row],[INGRESOS]]-Tabla3[[#This Row],[EGRESOS]]</f>
        <v>-1086</v>
      </c>
      <c r="H1042" s="137">
        <v>-8688</v>
      </c>
      <c r="I1042" s="135">
        <v>1140</v>
      </c>
      <c r="J1042" s="136">
        <f>Tabla3[[#This Row],[EGRESOS]]/Tabla3[[#This Row],[TC]]</f>
        <v>0.95263157894736838</v>
      </c>
      <c r="K1042" s="136">
        <f>Tabla3[[#This Row],[INGRESOS]]/Tabla3[[#This Row],[TC]]</f>
        <v>0</v>
      </c>
      <c r="L1042" s="8" t="s">
        <v>376</v>
      </c>
      <c r="M1042" s="8" t="s">
        <v>758</v>
      </c>
      <c r="N1042" s="8" t="s">
        <v>20</v>
      </c>
      <c r="O1042" s="8" t="s">
        <v>184</v>
      </c>
      <c r="P1042" s="8" t="s">
        <v>195</v>
      </c>
      <c r="Q1042" s="8" t="s">
        <v>196</v>
      </c>
      <c r="R1042" s="8" t="s">
        <v>417</v>
      </c>
      <c r="S1042" s="8" t="s">
        <v>383</v>
      </c>
      <c r="T1042" s="8"/>
      <c r="U1042" s="8" t="s">
        <v>384</v>
      </c>
      <c r="V1042" s="8"/>
      <c r="W1042" s="8" t="s">
        <v>380</v>
      </c>
      <c r="X1042" s="8" t="s">
        <v>99</v>
      </c>
      <c r="Y1042" s="8" t="s">
        <v>23</v>
      </c>
    </row>
    <row r="1043" spans="1:25" s="7" customFormat="1" x14ac:dyDescent="0.25">
      <c r="A1043" s="247" t="s">
        <v>311</v>
      </c>
      <c r="B1043" s="251">
        <v>45687</v>
      </c>
      <c r="C1043" s="252" t="s">
        <v>765</v>
      </c>
      <c r="D1043" s="252"/>
      <c r="E1043" s="253">
        <v>36200</v>
      </c>
      <c r="F1043" s="253">
        <v>0</v>
      </c>
      <c r="G1043" s="266">
        <f>Tabla3[[#This Row],[INGRESOS]]-Tabla3[[#This Row],[EGRESOS]]</f>
        <v>-36200</v>
      </c>
      <c r="H1043" s="137">
        <v>-44888</v>
      </c>
      <c r="I1043" s="135">
        <v>1140</v>
      </c>
      <c r="J1043" s="136">
        <f>Tabla3[[#This Row],[EGRESOS]]/Tabla3[[#This Row],[TC]]</f>
        <v>31.754385964912281</v>
      </c>
      <c r="K1043" s="136">
        <f>Tabla3[[#This Row],[INGRESOS]]/Tabla3[[#This Row],[TC]]</f>
        <v>0</v>
      </c>
      <c r="L1043" s="8" t="s">
        <v>376</v>
      </c>
      <c r="M1043" s="8" t="s">
        <v>758</v>
      </c>
      <c r="N1043" s="8" t="s">
        <v>20</v>
      </c>
      <c r="O1043" s="8" t="s">
        <v>184</v>
      </c>
      <c r="P1043" s="8" t="s">
        <v>185</v>
      </c>
      <c r="Q1043" s="8" t="s">
        <v>186</v>
      </c>
      <c r="R1043" s="8" t="s">
        <v>227</v>
      </c>
      <c r="S1043" s="8"/>
      <c r="T1043" s="8"/>
      <c r="U1043" s="8" t="s">
        <v>384</v>
      </c>
      <c r="V1043" s="8"/>
      <c r="W1043" s="8" t="s">
        <v>380</v>
      </c>
      <c r="X1043" s="8" t="s">
        <v>99</v>
      </c>
      <c r="Y1043" s="8" t="s">
        <v>23</v>
      </c>
    </row>
    <row r="1044" spans="1:25" s="7" customFormat="1" x14ac:dyDescent="0.25">
      <c r="A1044" s="247" t="s">
        <v>311</v>
      </c>
      <c r="B1044" s="251">
        <v>45687</v>
      </c>
      <c r="C1044" s="252" t="s">
        <v>760</v>
      </c>
      <c r="D1044" s="252"/>
      <c r="E1044" s="253">
        <v>269.33</v>
      </c>
      <c r="F1044" s="253">
        <v>0</v>
      </c>
      <c r="G1044" s="266">
        <f>Tabla3[[#This Row],[INGRESOS]]-Tabla3[[#This Row],[EGRESOS]]</f>
        <v>-269.33</v>
      </c>
      <c r="H1044" s="137">
        <v>-45157.33</v>
      </c>
      <c r="I1044" s="135">
        <v>1140</v>
      </c>
      <c r="J1044" s="136">
        <f>Tabla3[[#This Row],[EGRESOS]]/Tabla3[[#This Row],[TC]]</f>
        <v>0.23625438596491227</v>
      </c>
      <c r="K1044" s="136">
        <f>Tabla3[[#This Row],[INGRESOS]]/Tabla3[[#This Row],[TC]]</f>
        <v>0</v>
      </c>
      <c r="L1044" s="8" t="s">
        <v>376</v>
      </c>
      <c r="M1044" s="8" t="s">
        <v>758</v>
      </c>
      <c r="N1044" s="8" t="s">
        <v>20</v>
      </c>
      <c r="O1044" s="8" t="s">
        <v>184</v>
      </c>
      <c r="P1044" s="8" t="s">
        <v>195</v>
      </c>
      <c r="Q1044" s="8" t="s">
        <v>196</v>
      </c>
      <c r="R1044" s="8" t="s">
        <v>394</v>
      </c>
      <c r="S1044" s="8" t="s">
        <v>383</v>
      </c>
      <c r="T1044" s="8"/>
      <c r="U1044" s="8" t="s">
        <v>384</v>
      </c>
      <c r="V1044" s="8"/>
      <c r="W1044" s="8" t="s">
        <v>380</v>
      </c>
      <c r="X1044" s="8" t="s">
        <v>99</v>
      </c>
      <c r="Y1044" s="8" t="s">
        <v>23</v>
      </c>
    </row>
    <row r="1045" spans="1:25" s="7" customFormat="1" hidden="1" x14ac:dyDescent="0.25">
      <c r="A1045" s="247" t="s">
        <v>311</v>
      </c>
      <c r="B1045" s="251">
        <v>45687</v>
      </c>
      <c r="C1045" s="252" t="s">
        <v>761</v>
      </c>
      <c r="D1045" s="252"/>
      <c r="E1045" s="253">
        <v>0</v>
      </c>
      <c r="F1045" s="253">
        <v>45157.33</v>
      </c>
      <c r="G1045" s="266">
        <f>Tabla3[[#This Row],[INGRESOS]]-Tabla3[[#This Row],[EGRESOS]]</f>
        <v>45157.33</v>
      </c>
      <c r="H1045" s="137">
        <v>0</v>
      </c>
      <c r="I1045" s="135">
        <v>1140</v>
      </c>
      <c r="J1045" s="136">
        <f>Tabla3[[#This Row],[EGRESOS]]/Tabla3[[#This Row],[TC]]</f>
        <v>0</v>
      </c>
      <c r="K1045" s="136">
        <f>Tabla3[[#This Row],[INGRESOS]]/Tabla3[[#This Row],[TC]]</f>
        <v>39.611692982456141</v>
      </c>
      <c r="L1045" s="8" t="s">
        <v>376</v>
      </c>
      <c r="M1045" s="8" t="s">
        <v>758</v>
      </c>
      <c r="N1045" s="8" t="s">
        <v>20</v>
      </c>
      <c r="O1045" s="8" t="s">
        <v>244</v>
      </c>
      <c r="P1045" s="8" t="s">
        <v>259</v>
      </c>
      <c r="Q1045" s="8" t="s">
        <v>260</v>
      </c>
      <c r="R1045" s="8" t="s">
        <v>405</v>
      </c>
      <c r="S1045" s="8"/>
      <c r="T1045" s="8"/>
      <c r="U1045" s="8" t="s">
        <v>379</v>
      </c>
      <c r="V1045" s="8"/>
      <c r="W1045" s="8" t="s">
        <v>380</v>
      </c>
      <c r="X1045" s="8"/>
      <c r="Y1045" s="8"/>
    </row>
    <row r="1046" spans="1:25" s="7" customFormat="1" hidden="1" x14ac:dyDescent="0.25">
      <c r="A1046" s="247" t="s">
        <v>312</v>
      </c>
      <c r="B1046" s="251">
        <v>45695</v>
      </c>
      <c r="C1046" s="252" t="s">
        <v>757</v>
      </c>
      <c r="D1046" s="252"/>
      <c r="E1046" s="253">
        <v>968062.66</v>
      </c>
      <c r="F1046" s="253">
        <v>0</v>
      </c>
      <c r="G1046" s="266">
        <f>Tabla3[[#This Row],[INGRESOS]]-Tabla3[[#This Row],[EGRESOS]]</f>
        <v>-968062.66</v>
      </c>
      <c r="H1046" s="137">
        <v>-968062.66</v>
      </c>
      <c r="I1046" s="135">
        <v>1140</v>
      </c>
      <c r="J1046" s="136">
        <f>Tabla3[[#This Row],[EGRESOS]]/Tabla3[[#This Row],[TC]]</f>
        <v>849.17777192982464</v>
      </c>
      <c r="K1046" s="136">
        <f>Tabla3[[#This Row],[INGRESOS]]/Tabla3[[#This Row],[TC]]</f>
        <v>0</v>
      </c>
      <c r="L1046" s="8" t="s">
        <v>376</v>
      </c>
      <c r="M1046" s="8" t="s">
        <v>758</v>
      </c>
      <c r="N1046" s="8" t="s">
        <v>20</v>
      </c>
      <c r="O1046" s="8" t="s">
        <v>184</v>
      </c>
      <c r="P1046" s="8" t="s">
        <v>199</v>
      </c>
      <c r="Q1046" s="8" t="s">
        <v>201</v>
      </c>
      <c r="R1046" s="8" t="s">
        <v>766</v>
      </c>
      <c r="S1046" s="8" t="s">
        <v>389</v>
      </c>
      <c r="T1046" s="8"/>
      <c r="U1046" s="8" t="s">
        <v>390</v>
      </c>
      <c r="V1046" s="8"/>
      <c r="W1046" s="8" t="s">
        <v>380</v>
      </c>
      <c r="X1046" s="7" t="s">
        <v>99</v>
      </c>
      <c r="Y1046" s="8" t="s">
        <v>23</v>
      </c>
    </row>
    <row r="1047" spans="1:25" s="7" customFormat="1" hidden="1" x14ac:dyDescent="0.25">
      <c r="A1047" s="247" t="s">
        <v>312</v>
      </c>
      <c r="B1047" s="251">
        <v>45695</v>
      </c>
      <c r="C1047" s="252" t="s">
        <v>760</v>
      </c>
      <c r="D1047" s="252"/>
      <c r="E1047" s="253">
        <v>5808.38</v>
      </c>
      <c r="F1047" s="253">
        <v>0</v>
      </c>
      <c r="G1047" s="266">
        <f>Tabla3[[#This Row],[INGRESOS]]-Tabla3[[#This Row],[EGRESOS]]</f>
        <v>-5808.38</v>
      </c>
      <c r="H1047" s="137">
        <v>-973871.04</v>
      </c>
      <c r="I1047" s="135">
        <v>1140</v>
      </c>
      <c r="J1047" s="136">
        <f>Tabla3[[#This Row],[EGRESOS]]/Tabla3[[#This Row],[TC]]</f>
        <v>5.0950701754385967</v>
      </c>
      <c r="K1047" s="136">
        <f>Tabla3[[#This Row],[INGRESOS]]/Tabla3[[#This Row],[TC]]</f>
        <v>0</v>
      </c>
      <c r="L1047" s="8" t="s">
        <v>376</v>
      </c>
      <c r="M1047" s="8" t="s">
        <v>758</v>
      </c>
      <c r="N1047" s="8" t="s">
        <v>20</v>
      </c>
      <c r="O1047" s="8" t="s">
        <v>184</v>
      </c>
      <c r="P1047" s="8" t="s">
        <v>195</v>
      </c>
      <c r="Q1047" s="8" t="s">
        <v>196</v>
      </c>
      <c r="R1047" s="8" t="s">
        <v>394</v>
      </c>
      <c r="S1047" s="8" t="s">
        <v>383</v>
      </c>
      <c r="T1047" s="8"/>
      <c r="U1047" s="8" t="s">
        <v>384</v>
      </c>
      <c r="V1047" s="8"/>
      <c r="W1047" s="8" t="s">
        <v>380</v>
      </c>
      <c r="X1047" s="8" t="s">
        <v>99</v>
      </c>
      <c r="Y1047" s="8" t="s">
        <v>23</v>
      </c>
    </row>
    <row r="1048" spans="1:25" s="7" customFormat="1" hidden="1" x14ac:dyDescent="0.25">
      <c r="A1048" s="273" t="s">
        <v>312</v>
      </c>
      <c r="B1048" s="251">
        <v>45695</v>
      </c>
      <c r="C1048" s="252" t="s">
        <v>761</v>
      </c>
      <c r="D1048" s="252"/>
      <c r="E1048" s="253">
        <v>0</v>
      </c>
      <c r="F1048" s="253">
        <v>973871.04</v>
      </c>
      <c r="G1048" s="274">
        <f>Tabla3[[#This Row],[INGRESOS]]-Tabla3[[#This Row],[EGRESOS]]</f>
        <v>973871.04</v>
      </c>
      <c r="H1048" s="137">
        <v>0</v>
      </c>
      <c r="I1048" s="135">
        <v>1140</v>
      </c>
      <c r="J1048" s="136">
        <f>Tabla3[[#This Row],[EGRESOS]]/Tabla3[[#This Row],[TC]]</f>
        <v>0</v>
      </c>
      <c r="K1048" s="136">
        <f>Tabla3[[#This Row],[INGRESOS]]/Tabla3[[#This Row],[TC]]</f>
        <v>854.27284210526318</v>
      </c>
      <c r="L1048" s="8" t="s">
        <v>376</v>
      </c>
      <c r="M1048" s="8" t="s">
        <v>758</v>
      </c>
      <c r="N1048" s="8" t="s">
        <v>20</v>
      </c>
      <c r="O1048" s="8" t="s">
        <v>244</v>
      </c>
      <c r="P1048" s="8" t="s">
        <v>259</v>
      </c>
      <c r="Q1048" s="8" t="s">
        <v>260</v>
      </c>
      <c r="R1048" s="8" t="s">
        <v>767</v>
      </c>
      <c r="S1048" s="8"/>
      <c r="T1048" s="8"/>
      <c r="U1048" s="8" t="s">
        <v>379</v>
      </c>
      <c r="V1048" s="8"/>
      <c r="W1048" s="8" t="s">
        <v>380</v>
      </c>
      <c r="X1048" s="8"/>
      <c r="Y1048" s="8"/>
    </row>
    <row r="1049" spans="1:25" s="7" customFormat="1" hidden="1" x14ac:dyDescent="0.25">
      <c r="A1049" s="273" t="s">
        <v>312</v>
      </c>
      <c r="B1049" s="251">
        <v>45715</v>
      </c>
      <c r="C1049" s="252" t="s">
        <v>762</v>
      </c>
      <c r="D1049" s="252"/>
      <c r="E1049" s="253">
        <v>8757</v>
      </c>
      <c r="F1049" s="253">
        <v>0</v>
      </c>
      <c r="G1049" s="274">
        <f>Tabla3[[#This Row],[INGRESOS]]-Tabla3[[#This Row],[EGRESOS]]</f>
        <v>-8757</v>
      </c>
      <c r="H1049" s="137">
        <v>-8757</v>
      </c>
      <c r="I1049" s="135">
        <v>1140</v>
      </c>
      <c r="J1049" s="136">
        <f>Tabla3[[#This Row],[EGRESOS]]/Tabla3[[#This Row],[TC]]</f>
        <v>7.6815789473684211</v>
      </c>
      <c r="K1049" s="136">
        <f>Tabla3[[#This Row],[INGRESOS]]/Tabla3[[#This Row],[TC]]</f>
        <v>0</v>
      </c>
      <c r="L1049" s="8" t="s">
        <v>376</v>
      </c>
      <c r="M1049" s="8" t="s">
        <v>758</v>
      </c>
      <c r="N1049" s="8" t="s">
        <v>20</v>
      </c>
      <c r="O1049" s="8" t="s">
        <v>184</v>
      </c>
      <c r="P1049" s="8" t="s">
        <v>195</v>
      </c>
      <c r="Q1049" s="8" t="s">
        <v>196</v>
      </c>
      <c r="R1049" s="8" t="s">
        <v>382</v>
      </c>
      <c r="S1049" s="8" t="s">
        <v>383</v>
      </c>
      <c r="T1049" s="8"/>
      <c r="U1049" s="8" t="s">
        <v>384</v>
      </c>
      <c r="V1049" s="8"/>
      <c r="W1049" s="8" t="s">
        <v>380</v>
      </c>
      <c r="X1049" s="8" t="s">
        <v>99</v>
      </c>
      <c r="Y1049" s="8" t="s">
        <v>23</v>
      </c>
    </row>
    <row r="1050" spans="1:25" s="7" customFormat="1" hidden="1" x14ac:dyDescent="0.25">
      <c r="A1050" s="273" t="s">
        <v>312</v>
      </c>
      <c r="B1050" s="251">
        <v>45715</v>
      </c>
      <c r="C1050" s="252" t="s">
        <v>763</v>
      </c>
      <c r="D1050" s="252"/>
      <c r="E1050" s="253">
        <v>1251</v>
      </c>
      <c r="F1050" s="253">
        <v>0</v>
      </c>
      <c r="G1050" s="274">
        <f>Tabla3[[#This Row],[INGRESOS]]-Tabla3[[#This Row],[EGRESOS]]</f>
        <v>-1251</v>
      </c>
      <c r="H1050" s="137">
        <v>-10008</v>
      </c>
      <c r="I1050" s="135">
        <v>1140</v>
      </c>
      <c r="J1050" s="136">
        <f>Tabla3[[#This Row],[EGRESOS]]/Tabla3[[#This Row],[TC]]</f>
        <v>1.0973684210526315</v>
      </c>
      <c r="K1050" s="136">
        <f>Tabla3[[#This Row],[INGRESOS]]/Tabla3[[#This Row],[TC]]</f>
        <v>0</v>
      </c>
      <c r="L1050" s="8" t="s">
        <v>376</v>
      </c>
      <c r="M1050" s="8" t="s">
        <v>758</v>
      </c>
      <c r="N1050" s="8" t="s">
        <v>20</v>
      </c>
      <c r="O1050" s="8" t="s">
        <v>184</v>
      </c>
      <c r="P1050" s="8" t="s">
        <v>195</v>
      </c>
      <c r="Q1050" s="8" t="s">
        <v>196</v>
      </c>
      <c r="R1050" s="8" t="s">
        <v>417</v>
      </c>
      <c r="S1050" s="8" t="s">
        <v>383</v>
      </c>
      <c r="T1050" s="8"/>
      <c r="U1050" s="8" t="s">
        <v>384</v>
      </c>
      <c r="V1050" s="8"/>
      <c r="W1050" s="8" t="s">
        <v>380</v>
      </c>
      <c r="X1050" s="8" t="s">
        <v>99</v>
      </c>
      <c r="Y1050" s="8" t="s">
        <v>23</v>
      </c>
    </row>
    <row r="1051" spans="1:25" s="7" customFormat="1" hidden="1" x14ac:dyDescent="0.25">
      <c r="A1051" s="273" t="s">
        <v>312</v>
      </c>
      <c r="B1051" s="251">
        <v>45715</v>
      </c>
      <c r="C1051" s="252" t="s">
        <v>765</v>
      </c>
      <c r="D1051" s="252"/>
      <c r="E1051" s="253">
        <v>41700</v>
      </c>
      <c r="F1051" s="253">
        <v>0</v>
      </c>
      <c r="G1051" s="274">
        <f>Tabla3[[#This Row],[INGRESOS]]-Tabla3[[#This Row],[EGRESOS]]</f>
        <v>-41700</v>
      </c>
      <c r="H1051" s="137">
        <v>-51708</v>
      </c>
      <c r="I1051" s="135">
        <v>1140</v>
      </c>
      <c r="J1051" s="136">
        <f>Tabla3[[#This Row],[EGRESOS]]/Tabla3[[#This Row],[TC]]</f>
        <v>36.578947368421055</v>
      </c>
      <c r="K1051" s="136">
        <f>Tabla3[[#This Row],[INGRESOS]]/Tabla3[[#This Row],[TC]]</f>
        <v>0</v>
      </c>
      <c r="L1051" s="8" t="s">
        <v>376</v>
      </c>
      <c r="M1051" s="8" t="s">
        <v>758</v>
      </c>
      <c r="N1051" s="8" t="s">
        <v>20</v>
      </c>
      <c r="O1051" s="8" t="s">
        <v>184</v>
      </c>
      <c r="P1051" s="8" t="s">
        <v>185</v>
      </c>
      <c r="Q1051" s="8" t="s">
        <v>186</v>
      </c>
      <c r="R1051" s="8" t="s">
        <v>227</v>
      </c>
      <c r="S1051" s="8"/>
      <c r="T1051" s="8"/>
      <c r="U1051" s="8" t="s">
        <v>384</v>
      </c>
      <c r="V1051" s="8"/>
      <c r="W1051" s="8" t="s">
        <v>380</v>
      </c>
      <c r="X1051" s="8" t="s">
        <v>99</v>
      </c>
      <c r="Y1051" s="8" t="s">
        <v>23</v>
      </c>
    </row>
    <row r="1052" spans="1:25" s="7" customFormat="1" hidden="1" x14ac:dyDescent="0.25">
      <c r="A1052" s="273" t="s">
        <v>312</v>
      </c>
      <c r="B1052" s="251">
        <v>45715</v>
      </c>
      <c r="C1052" s="252" t="s">
        <v>760</v>
      </c>
      <c r="D1052" s="252"/>
      <c r="E1052" s="253">
        <v>310.25</v>
      </c>
      <c r="F1052" s="253">
        <v>0</v>
      </c>
      <c r="G1052" s="274">
        <f>Tabla3[[#This Row],[INGRESOS]]-Tabla3[[#This Row],[EGRESOS]]</f>
        <v>-310.25</v>
      </c>
      <c r="H1052" s="137">
        <v>-52018.25</v>
      </c>
      <c r="I1052" s="135">
        <v>1140</v>
      </c>
      <c r="J1052" s="136">
        <f>Tabla3[[#This Row],[EGRESOS]]/Tabla3[[#This Row],[TC]]</f>
        <v>0.27214912280701753</v>
      </c>
      <c r="K1052" s="136">
        <f>Tabla3[[#This Row],[INGRESOS]]/Tabla3[[#This Row],[TC]]</f>
        <v>0</v>
      </c>
      <c r="L1052" s="8" t="s">
        <v>376</v>
      </c>
      <c r="M1052" s="8" t="s">
        <v>758</v>
      </c>
      <c r="N1052" s="8" t="s">
        <v>20</v>
      </c>
      <c r="O1052" s="8" t="s">
        <v>184</v>
      </c>
      <c r="P1052" s="8" t="s">
        <v>195</v>
      </c>
      <c r="Q1052" s="8" t="s">
        <v>196</v>
      </c>
      <c r="R1052" s="8" t="s">
        <v>394</v>
      </c>
      <c r="S1052" s="8" t="s">
        <v>383</v>
      </c>
      <c r="T1052" s="8"/>
      <c r="U1052" s="8" t="s">
        <v>384</v>
      </c>
      <c r="V1052" s="8"/>
      <c r="W1052" s="8" t="s">
        <v>380</v>
      </c>
      <c r="X1052" s="8" t="s">
        <v>99</v>
      </c>
      <c r="Y1052" s="8" t="s">
        <v>23</v>
      </c>
    </row>
    <row r="1053" spans="1:25" s="7" customFormat="1" hidden="1" x14ac:dyDescent="0.25">
      <c r="A1053" s="273" t="s">
        <v>312</v>
      </c>
      <c r="B1053" s="251">
        <v>45715</v>
      </c>
      <c r="C1053" s="252" t="s">
        <v>761</v>
      </c>
      <c r="D1053" s="252"/>
      <c r="E1053" s="253">
        <v>0</v>
      </c>
      <c r="F1053" s="253">
        <v>52018.25</v>
      </c>
      <c r="G1053" s="274">
        <f>Tabla3[[#This Row],[INGRESOS]]-Tabla3[[#This Row],[EGRESOS]]</f>
        <v>52018.25</v>
      </c>
      <c r="H1053" s="137">
        <v>0</v>
      </c>
      <c r="I1053" s="135">
        <v>1140</v>
      </c>
      <c r="J1053" s="136">
        <f>Tabla3[[#This Row],[EGRESOS]]/Tabla3[[#This Row],[TC]]</f>
        <v>0</v>
      </c>
      <c r="K1053" s="136">
        <f>Tabla3[[#This Row],[INGRESOS]]/Tabla3[[#This Row],[TC]]</f>
        <v>45.63004385964912</v>
      </c>
      <c r="L1053" s="8" t="s">
        <v>376</v>
      </c>
      <c r="M1053" s="8" t="s">
        <v>758</v>
      </c>
      <c r="N1053" s="8" t="s">
        <v>20</v>
      </c>
      <c r="O1053" s="8" t="s">
        <v>244</v>
      </c>
      <c r="P1053" s="8" t="s">
        <v>259</v>
      </c>
      <c r="Q1053" s="8" t="s">
        <v>260</v>
      </c>
      <c r="R1053" s="8" t="s">
        <v>405</v>
      </c>
      <c r="S1053" s="8"/>
      <c r="T1053" s="8"/>
      <c r="U1053" s="8" t="s">
        <v>379</v>
      </c>
      <c r="V1053" s="8"/>
      <c r="W1053" s="8" t="s">
        <v>380</v>
      </c>
      <c r="X1053" s="8"/>
      <c r="Y1053" s="8"/>
    </row>
    <row r="1054" spans="1:25" s="7" customFormat="1" hidden="1" x14ac:dyDescent="0.25">
      <c r="A1054" s="273" t="s">
        <v>313</v>
      </c>
      <c r="B1054" s="251">
        <v>45737</v>
      </c>
      <c r="C1054" s="252" t="s">
        <v>757</v>
      </c>
      <c r="D1054" s="252"/>
      <c r="E1054" s="253">
        <v>803254.45</v>
      </c>
      <c r="F1054" s="253">
        <v>0</v>
      </c>
      <c r="G1054" s="274">
        <f>Tabla3[[#This Row],[INGRESOS]]-Tabla3[[#This Row],[EGRESOS]]</f>
        <v>-803254.45</v>
      </c>
      <c r="H1054" s="137">
        <v>-803254.45</v>
      </c>
      <c r="I1054" s="135">
        <v>1140</v>
      </c>
      <c r="J1054" s="136">
        <f>Tabla3[[#This Row],[EGRESOS]]/Tabla3[[#This Row],[TC]]</f>
        <v>704.60916666666662</v>
      </c>
      <c r="K1054" s="136">
        <f>Tabla3[[#This Row],[INGRESOS]]/Tabla3[[#This Row],[TC]]</f>
        <v>0</v>
      </c>
      <c r="L1054" s="8" t="s">
        <v>376</v>
      </c>
      <c r="M1054" s="8" t="s">
        <v>758</v>
      </c>
      <c r="N1054" s="8" t="s">
        <v>20</v>
      </c>
      <c r="O1054" s="8" t="s">
        <v>184</v>
      </c>
      <c r="P1054" s="8" t="s">
        <v>199</v>
      </c>
      <c r="Q1054" s="8" t="s">
        <v>201</v>
      </c>
      <c r="R1054" s="8" t="s">
        <v>768</v>
      </c>
      <c r="S1054" s="8" t="s">
        <v>389</v>
      </c>
      <c r="T1054" s="8"/>
      <c r="U1054" s="8" t="s">
        <v>390</v>
      </c>
      <c r="V1054" s="8"/>
      <c r="W1054" s="8" t="s">
        <v>380</v>
      </c>
      <c r="X1054" s="7" t="s">
        <v>99</v>
      </c>
      <c r="Y1054" s="8" t="s">
        <v>23</v>
      </c>
    </row>
    <row r="1055" spans="1:25" s="7" customFormat="1" hidden="1" x14ac:dyDescent="0.25">
      <c r="A1055" s="273" t="s">
        <v>313</v>
      </c>
      <c r="B1055" s="251">
        <v>45737</v>
      </c>
      <c r="C1055" s="252" t="s">
        <v>757</v>
      </c>
      <c r="D1055" s="252"/>
      <c r="E1055" s="253">
        <v>828399.51</v>
      </c>
      <c r="F1055" s="253">
        <v>0</v>
      </c>
      <c r="G1055" s="274">
        <f>Tabla3[[#This Row],[INGRESOS]]-Tabla3[[#This Row],[EGRESOS]]</f>
        <v>-828399.51</v>
      </c>
      <c r="H1055" s="137">
        <v>-1631653.96</v>
      </c>
      <c r="I1055" s="135">
        <v>1140</v>
      </c>
      <c r="J1055" s="136">
        <f>Tabla3[[#This Row],[EGRESOS]]/Tabla3[[#This Row],[TC]]</f>
        <v>726.66623684210526</v>
      </c>
      <c r="K1055" s="136">
        <f>Tabla3[[#This Row],[INGRESOS]]/Tabla3[[#This Row],[TC]]</f>
        <v>0</v>
      </c>
      <c r="L1055" s="8" t="s">
        <v>376</v>
      </c>
      <c r="M1055" s="8" t="s">
        <v>758</v>
      </c>
      <c r="N1055" s="8" t="s">
        <v>20</v>
      </c>
      <c r="O1055" s="8" t="s">
        <v>184</v>
      </c>
      <c r="P1055" s="8" t="s">
        <v>199</v>
      </c>
      <c r="Q1055" s="8" t="s">
        <v>201</v>
      </c>
      <c r="R1055" s="8" t="s">
        <v>769</v>
      </c>
      <c r="S1055" s="8" t="s">
        <v>389</v>
      </c>
      <c r="T1055" s="8"/>
      <c r="U1055" s="8" t="s">
        <v>390</v>
      </c>
      <c r="V1055" s="8"/>
      <c r="W1055" s="8" t="s">
        <v>380</v>
      </c>
      <c r="X1055" s="7" t="s">
        <v>99</v>
      </c>
      <c r="Y1055" s="8" t="s">
        <v>23</v>
      </c>
    </row>
    <row r="1056" spans="1:25" s="7" customFormat="1" hidden="1" x14ac:dyDescent="0.25">
      <c r="A1056" s="273" t="s">
        <v>313</v>
      </c>
      <c r="B1056" s="251">
        <v>45737</v>
      </c>
      <c r="C1056" s="252" t="s">
        <v>760</v>
      </c>
      <c r="D1056" s="252"/>
      <c r="E1056" s="253">
        <v>4819.53</v>
      </c>
      <c r="F1056" s="253">
        <v>0</v>
      </c>
      <c r="G1056" s="274">
        <f>Tabla3[[#This Row],[INGRESOS]]-Tabla3[[#This Row],[EGRESOS]]</f>
        <v>-4819.53</v>
      </c>
      <c r="H1056" s="137">
        <v>-1636473.49</v>
      </c>
      <c r="I1056" s="135">
        <v>1140</v>
      </c>
      <c r="J1056" s="136">
        <f>Tabla3[[#This Row],[EGRESOS]]/Tabla3[[#This Row],[TC]]</f>
        <v>4.2276578947368417</v>
      </c>
      <c r="K1056" s="136">
        <f>Tabla3[[#This Row],[INGRESOS]]/Tabla3[[#This Row],[TC]]</f>
        <v>0</v>
      </c>
      <c r="L1056" s="8" t="s">
        <v>376</v>
      </c>
      <c r="M1056" s="8" t="s">
        <v>758</v>
      </c>
      <c r="N1056" s="8" t="s">
        <v>20</v>
      </c>
      <c r="O1056" s="8" t="s">
        <v>184</v>
      </c>
      <c r="P1056" s="8" t="s">
        <v>195</v>
      </c>
      <c r="Q1056" s="8" t="s">
        <v>196</v>
      </c>
      <c r="R1056" s="8" t="s">
        <v>394</v>
      </c>
      <c r="S1056" s="8" t="s">
        <v>383</v>
      </c>
      <c r="T1056" s="8"/>
      <c r="U1056" s="8" t="s">
        <v>384</v>
      </c>
      <c r="V1056" s="8"/>
      <c r="W1056" s="8" t="s">
        <v>380</v>
      </c>
      <c r="X1056" s="8" t="s">
        <v>99</v>
      </c>
      <c r="Y1056" s="8" t="s">
        <v>23</v>
      </c>
    </row>
    <row r="1057" spans="1:25" s="7" customFormat="1" hidden="1" x14ac:dyDescent="0.25">
      <c r="A1057" s="273" t="s">
        <v>313</v>
      </c>
      <c r="B1057" s="251">
        <v>45737</v>
      </c>
      <c r="C1057" s="252" t="s">
        <v>760</v>
      </c>
      <c r="D1057" s="252"/>
      <c r="E1057" s="253">
        <v>4970.3999999999996</v>
      </c>
      <c r="F1057" s="253">
        <v>0</v>
      </c>
      <c r="G1057" s="274">
        <f>Tabla3[[#This Row],[INGRESOS]]-Tabla3[[#This Row],[EGRESOS]]</f>
        <v>-4970.3999999999996</v>
      </c>
      <c r="H1057" s="137">
        <v>-1641443.89</v>
      </c>
      <c r="I1057" s="135">
        <v>1140</v>
      </c>
      <c r="J1057" s="136">
        <f>Tabla3[[#This Row],[EGRESOS]]/Tabla3[[#This Row],[TC]]</f>
        <v>4.3599999999999994</v>
      </c>
      <c r="K1057" s="136">
        <f>Tabla3[[#This Row],[INGRESOS]]/Tabla3[[#This Row],[TC]]</f>
        <v>0</v>
      </c>
      <c r="L1057" s="8" t="s">
        <v>376</v>
      </c>
      <c r="M1057" s="8" t="s">
        <v>758</v>
      </c>
      <c r="N1057" s="8" t="s">
        <v>20</v>
      </c>
      <c r="O1057" s="8" t="s">
        <v>184</v>
      </c>
      <c r="P1057" s="8" t="s">
        <v>195</v>
      </c>
      <c r="Q1057" s="8" t="s">
        <v>196</v>
      </c>
      <c r="R1057" s="8" t="s">
        <v>394</v>
      </c>
      <c r="S1057" s="8" t="s">
        <v>383</v>
      </c>
      <c r="T1057" s="8"/>
      <c r="U1057" s="8" t="s">
        <v>384</v>
      </c>
      <c r="V1057" s="8"/>
      <c r="W1057" s="8" t="s">
        <v>380</v>
      </c>
      <c r="X1057" s="8" t="s">
        <v>99</v>
      </c>
      <c r="Y1057" s="8" t="s">
        <v>23</v>
      </c>
    </row>
    <row r="1058" spans="1:25" s="7" customFormat="1" hidden="1" x14ac:dyDescent="0.25">
      <c r="A1058" s="247" t="s">
        <v>313</v>
      </c>
      <c r="B1058" s="248">
        <v>45737</v>
      </c>
      <c r="C1058" s="244" t="s">
        <v>761</v>
      </c>
      <c r="D1058" s="244"/>
      <c r="E1058" s="253">
        <v>0</v>
      </c>
      <c r="F1058" s="249">
        <v>1641443.89</v>
      </c>
      <c r="G1058" s="266">
        <f>Tabla3[[#This Row],[INGRESOS]]-Tabla3[[#This Row],[EGRESOS]]</f>
        <v>1641443.89</v>
      </c>
      <c r="H1058" s="132">
        <v>0</v>
      </c>
      <c r="I1058" s="119">
        <v>1140</v>
      </c>
      <c r="J1058" s="99">
        <f>Tabla3[[#This Row],[EGRESOS]]/Tabla3[[#This Row],[TC]]</f>
        <v>0</v>
      </c>
      <c r="K1058" s="99">
        <f>Tabla3[[#This Row],[INGRESOS]]/Tabla3[[#This Row],[TC]]</f>
        <v>1439.8630614035087</v>
      </c>
      <c r="L1058" s="7" t="s">
        <v>376</v>
      </c>
      <c r="M1058" s="7" t="s">
        <v>758</v>
      </c>
      <c r="N1058" s="7" t="s">
        <v>20</v>
      </c>
      <c r="O1058" s="7" t="s">
        <v>244</v>
      </c>
      <c r="P1058" s="7" t="s">
        <v>259</v>
      </c>
      <c r="Q1058" s="7" t="s">
        <v>260</v>
      </c>
      <c r="R1058" s="7" t="s">
        <v>405</v>
      </c>
      <c r="U1058" s="7" t="s">
        <v>379</v>
      </c>
      <c r="W1058" s="7" t="s">
        <v>380</v>
      </c>
    </row>
    <row r="1059" spans="1:25" s="7" customFormat="1" hidden="1" x14ac:dyDescent="0.25">
      <c r="A1059" s="247" t="s">
        <v>313</v>
      </c>
      <c r="B1059" s="248">
        <v>45744</v>
      </c>
      <c r="C1059" s="244" t="s">
        <v>762</v>
      </c>
      <c r="D1059" s="244"/>
      <c r="E1059" s="253">
        <v>8757</v>
      </c>
      <c r="F1059" s="249">
        <v>0</v>
      </c>
      <c r="G1059" s="266">
        <f>Tabla3[[#This Row],[INGRESOS]]-Tabla3[[#This Row],[EGRESOS]]</f>
        <v>-8757</v>
      </c>
      <c r="H1059" s="132">
        <v>-8757</v>
      </c>
      <c r="I1059" s="119">
        <v>1140</v>
      </c>
      <c r="J1059" s="99">
        <f>Tabla3[[#This Row],[EGRESOS]]/Tabla3[[#This Row],[TC]]</f>
        <v>7.6815789473684211</v>
      </c>
      <c r="K1059" s="99">
        <f>Tabla3[[#This Row],[INGRESOS]]/Tabla3[[#This Row],[TC]]</f>
        <v>0</v>
      </c>
      <c r="L1059" s="7" t="s">
        <v>376</v>
      </c>
      <c r="M1059" s="7" t="s">
        <v>758</v>
      </c>
      <c r="N1059" s="7" t="s">
        <v>20</v>
      </c>
      <c r="O1059" s="7" t="s">
        <v>184</v>
      </c>
      <c r="P1059" s="7" t="s">
        <v>195</v>
      </c>
      <c r="Q1059" s="7" t="s">
        <v>196</v>
      </c>
      <c r="R1059" s="7" t="s">
        <v>394</v>
      </c>
      <c r="S1059" s="7" t="s">
        <v>383</v>
      </c>
      <c r="U1059" s="7" t="s">
        <v>384</v>
      </c>
      <c r="W1059" s="7" t="s">
        <v>380</v>
      </c>
      <c r="X1059" s="7" t="s">
        <v>99</v>
      </c>
      <c r="Y1059" s="7" t="s">
        <v>23</v>
      </c>
    </row>
    <row r="1060" spans="1:25" s="7" customFormat="1" hidden="1" x14ac:dyDescent="0.25">
      <c r="A1060" s="247" t="s">
        <v>313</v>
      </c>
      <c r="B1060" s="248">
        <v>45744</v>
      </c>
      <c r="C1060" s="244" t="s">
        <v>763</v>
      </c>
      <c r="D1060" s="244"/>
      <c r="E1060" s="253">
        <v>1251</v>
      </c>
      <c r="F1060" s="249">
        <v>0</v>
      </c>
      <c r="G1060" s="266">
        <f>Tabla3[[#This Row],[INGRESOS]]-Tabla3[[#This Row],[EGRESOS]]</f>
        <v>-1251</v>
      </c>
      <c r="H1060" s="132">
        <v>-10008</v>
      </c>
      <c r="I1060" s="119">
        <v>1140</v>
      </c>
      <c r="J1060" s="99">
        <f>Tabla3[[#This Row],[EGRESOS]]/Tabla3[[#This Row],[TC]]</f>
        <v>1.0973684210526315</v>
      </c>
      <c r="K1060" s="99">
        <f>Tabla3[[#This Row],[INGRESOS]]/Tabla3[[#This Row],[TC]]</f>
        <v>0</v>
      </c>
      <c r="L1060" s="7" t="s">
        <v>376</v>
      </c>
      <c r="M1060" s="7" t="s">
        <v>758</v>
      </c>
      <c r="N1060" s="7" t="s">
        <v>20</v>
      </c>
      <c r="O1060" s="7" t="s">
        <v>184</v>
      </c>
      <c r="P1060" s="7" t="s">
        <v>195</v>
      </c>
      <c r="Q1060" s="7" t="s">
        <v>196</v>
      </c>
      <c r="R1060" s="7" t="s">
        <v>417</v>
      </c>
      <c r="S1060" s="7" t="s">
        <v>383</v>
      </c>
      <c r="U1060" s="7" t="s">
        <v>384</v>
      </c>
      <c r="W1060" s="7" t="s">
        <v>380</v>
      </c>
      <c r="X1060" s="7" t="s">
        <v>99</v>
      </c>
      <c r="Y1060" s="7" t="s">
        <v>23</v>
      </c>
    </row>
    <row r="1061" spans="1:25" s="7" customFormat="1" hidden="1" x14ac:dyDescent="0.25">
      <c r="A1061" s="247" t="s">
        <v>313</v>
      </c>
      <c r="B1061" s="248">
        <v>45744</v>
      </c>
      <c r="C1061" s="244" t="s">
        <v>765</v>
      </c>
      <c r="D1061" s="244"/>
      <c r="E1061" s="253">
        <v>41700</v>
      </c>
      <c r="F1061" s="249">
        <v>0</v>
      </c>
      <c r="G1061" s="266">
        <f>Tabla3[[#This Row],[INGRESOS]]-Tabla3[[#This Row],[EGRESOS]]</f>
        <v>-41700</v>
      </c>
      <c r="H1061" s="132">
        <v>-51708</v>
      </c>
      <c r="I1061" s="119">
        <v>1140</v>
      </c>
      <c r="J1061" s="99">
        <f>Tabla3[[#This Row],[EGRESOS]]/Tabla3[[#This Row],[TC]]</f>
        <v>36.578947368421055</v>
      </c>
      <c r="K1061" s="99">
        <f>Tabla3[[#This Row],[INGRESOS]]/Tabla3[[#This Row],[TC]]</f>
        <v>0</v>
      </c>
      <c r="L1061" s="7" t="s">
        <v>376</v>
      </c>
      <c r="M1061" s="7" t="s">
        <v>758</v>
      </c>
      <c r="N1061" s="7" t="s">
        <v>20</v>
      </c>
      <c r="O1061" s="7" t="s">
        <v>184</v>
      </c>
      <c r="P1061" s="7" t="s">
        <v>185</v>
      </c>
      <c r="Q1061" s="7" t="s">
        <v>186</v>
      </c>
      <c r="R1061" s="7" t="s">
        <v>227</v>
      </c>
      <c r="U1061" s="7" t="s">
        <v>384</v>
      </c>
      <c r="W1061" s="7" t="s">
        <v>380</v>
      </c>
      <c r="X1061" s="7" t="s">
        <v>99</v>
      </c>
      <c r="Y1061" s="7" t="s">
        <v>23</v>
      </c>
    </row>
    <row r="1062" spans="1:25" s="7" customFormat="1" hidden="1" x14ac:dyDescent="0.25">
      <c r="A1062" s="247" t="s">
        <v>313</v>
      </c>
      <c r="B1062" s="248">
        <v>45744</v>
      </c>
      <c r="C1062" s="244" t="s">
        <v>761</v>
      </c>
      <c r="D1062" s="244"/>
      <c r="E1062" s="253">
        <v>0</v>
      </c>
      <c r="F1062" s="249">
        <v>52018.25</v>
      </c>
      <c r="G1062" s="266">
        <f>Tabla3[[#This Row],[INGRESOS]]-Tabla3[[#This Row],[EGRESOS]]</f>
        <v>52018.25</v>
      </c>
      <c r="H1062" s="132">
        <v>0</v>
      </c>
      <c r="I1062" s="119">
        <v>1140</v>
      </c>
      <c r="J1062" s="99">
        <f>Tabla3[[#This Row],[EGRESOS]]/Tabla3[[#This Row],[TC]]</f>
        <v>0</v>
      </c>
      <c r="K1062" s="99">
        <f>Tabla3[[#This Row],[INGRESOS]]/Tabla3[[#This Row],[TC]]</f>
        <v>45.63004385964912</v>
      </c>
      <c r="L1062" s="7" t="s">
        <v>376</v>
      </c>
      <c r="M1062" s="7" t="s">
        <v>758</v>
      </c>
      <c r="N1062" s="7" t="s">
        <v>20</v>
      </c>
      <c r="O1062" s="7" t="s">
        <v>244</v>
      </c>
      <c r="P1062" s="7" t="s">
        <v>259</v>
      </c>
      <c r="Q1062" s="7" t="s">
        <v>260</v>
      </c>
      <c r="R1062" s="7" t="s">
        <v>378</v>
      </c>
      <c r="U1062" s="7" t="s">
        <v>379</v>
      </c>
      <c r="W1062" s="7" t="s">
        <v>380</v>
      </c>
    </row>
    <row r="1063" spans="1:25" s="7" customFormat="1" hidden="1" x14ac:dyDescent="0.25">
      <c r="A1063" s="247" t="s">
        <v>313</v>
      </c>
      <c r="B1063" s="248">
        <v>45744</v>
      </c>
      <c r="C1063" s="244" t="s">
        <v>760</v>
      </c>
      <c r="D1063" s="244"/>
      <c r="E1063" s="253">
        <v>310.25</v>
      </c>
      <c r="F1063" s="249">
        <v>0</v>
      </c>
      <c r="G1063" s="266">
        <f>Tabla3[[#This Row],[INGRESOS]]-Tabla3[[#This Row],[EGRESOS]]</f>
        <v>-310.25</v>
      </c>
      <c r="H1063" s="132">
        <v>0</v>
      </c>
      <c r="I1063" s="119">
        <v>1140</v>
      </c>
      <c r="J1063" s="99">
        <f>Tabla3[[#This Row],[EGRESOS]]/Tabla3[[#This Row],[TC]]</f>
        <v>0.27214912280701753</v>
      </c>
      <c r="K1063" s="99">
        <f>Tabla3[[#This Row],[INGRESOS]]/Tabla3[[#This Row],[TC]]</f>
        <v>0</v>
      </c>
      <c r="L1063" s="7" t="s">
        <v>376</v>
      </c>
      <c r="M1063" s="7" t="s">
        <v>758</v>
      </c>
      <c r="N1063" s="7" t="s">
        <v>20</v>
      </c>
      <c r="O1063" s="7" t="s">
        <v>184</v>
      </c>
      <c r="P1063" s="7" t="s">
        <v>195</v>
      </c>
      <c r="Q1063" s="7" t="s">
        <v>196</v>
      </c>
      <c r="R1063" s="7" t="s">
        <v>394</v>
      </c>
      <c r="S1063" s="7" t="s">
        <v>383</v>
      </c>
      <c r="U1063" s="7" t="s">
        <v>384</v>
      </c>
      <c r="W1063" s="7" t="s">
        <v>380</v>
      </c>
      <c r="X1063" s="7" t="s">
        <v>99</v>
      </c>
      <c r="Y1063" s="7" t="s">
        <v>23</v>
      </c>
    </row>
    <row r="1064" spans="1:25" s="7" customFormat="1" hidden="1" x14ac:dyDescent="0.25">
      <c r="A1064" s="273" t="s">
        <v>314</v>
      </c>
      <c r="B1064" s="251">
        <v>45776</v>
      </c>
      <c r="C1064" s="252" t="s">
        <v>761</v>
      </c>
      <c r="D1064" s="252"/>
      <c r="E1064" s="253">
        <v>0</v>
      </c>
      <c r="F1064" s="253">
        <v>57040</v>
      </c>
      <c r="G1064" s="274">
        <f>Tabla3[[#This Row],[INGRESOS]]-Tabla3[[#This Row],[EGRESOS]]</f>
        <v>57040</v>
      </c>
      <c r="H1064" s="137">
        <v>57040</v>
      </c>
      <c r="I1064" s="135">
        <v>1140</v>
      </c>
      <c r="J1064" s="136">
        <f>Tabla3[[#This Row],[EGRESOS]]/Tabla3[[#This Row],[TC]]</f>
        <v>0</v>
      </c>
      <c r="K1064" s="136">
        <f>Tabla3[[#This Row],[INGRESOS]]/Tabla3[[#This Row],[TC]]</f>
        <v>50.035087719298247</v>
      </c>
      <c r="L1064" s="8" t="s">
        <v>376</v>
      </c>
      <c r="M1064" s="8" t="s">
        <v>758</v>
      </c>
      <c r="N1064" s="8" t="s">
        <v>20</v>
      </c>
      <c r="O1064" s="8" t="s">
        <v>244</v>
      </c>
      <c r="P1064" s="8" t="s">
        <v>259</v>
      </c>
      <c r="Q1064" s="8" t="s">
        <v>260</v>
      </c>
      <c r="R1064" s="8" t="s">
        <v>405</v>
      </c>
      <c r="S1064" s="8"/>
      <c r="T1064" s="8"/>
      <c r="U1064" s="8" t="s">
        <v>379</v>
      </c>
      <c r="V1064" s="8"/>
      <c r="W1064" s="8" t="s">
        <v>380</v>
      </c>
      <c r="X1064" s="8"/>
      <c r="Y1064" s="8"/>
    </row>
    <row r="1065" spans="1:25" s="7" customFormat="1" hidden="1" x14ac:dyDescent="0.25">
      <c r="A1065" s="273" t="s">
        <v>314</v>
      </c>
      <c r="B1065" s="251">
        <v>45777</v>
      </c>
      <c r="C1065" s="252" t="s">
        <v>762</v>
      </c>
      <c r="D1065" s="252"/>
      <c r="E1065" s="253">
        <v>9660</v>
      </c>
      <c r="F1065" s="253">
        <v>0</v>
      </c>
      <c r="G1065" s="274">
        <f>Tabla3[[#This Row],[INGRESOS]]-Tabla3[[#This Row],[EGRESOS]]</f>
        <v>-9660</v>
      </c>
      <c r="H1065" s="137">
        <v>47380</v>
      </c>
      <c r="I1065" s="135">
        <v>1140</v>
      </c>
      <c r="J1065" s="136">
        <f>Tabla3[[#This Row],[EGRESOS]]/Tabla3[[#This Row],[TC]]</f>
        <v>8.473684210526315</v>
      </c>
      <c r="K1065" s="136">
        <f>Tabla3[[#This Row],[INGRESOS]]/Tabla3[[#This Row],[TC]]</f>
        <v>0</v>
      </c>
      <c r="L1065" s="8" t="s">
        <v>376</v>
      </c>
      <c r="M1065" s="8" t="s">
        <v>758</v>
      </c>
      <c r="N1065" s="8" t="s">
        <v>20</v>
      </c>
      <c r="O1065" s="8" t="s">
        <v>184</v>
      </c>
      <c r="P1065" s="8" t="s">
        <v>195</v>
      </c>
      <c r="Q1065" s="8" t="s">
        <v>196</v>
      </c>
      <c r="R1065" s="8" t="s">
        <v>394</v>
      </c>
      <c r="S1065" s="8" t="s">
        <v>383</v>
      </c>
      <c r="T1065" s="8"/>
      <c r="U1065" s="8" t="s">
        <v>384</v>
      </c>
      <c r="V1065" s="8"/>
      <c r="W1065" s="8" t="s">
        <v>380</v>
      </c>
      <c r="X1065" s="8" t="s">
        <v>99</v>
      </c>
      <c r="Y1065" s="8" t="s">
        <v>23</v>
      </c>
    </row>
    <row r="1066" spans="1:25" s="7" customFormat="1" hidden="1" x14ac:dyDescent="0.25">
      <c r="A1066" s="273" t="s">
        <v>314</v>
      </c>
      <c r="B1066" s="251">
        <v>45777</v>
      </c>
      <c r="C1066" s="252" t="s">
        <v>763</v>
      </c>
      <c r="D1066" s="252"/>
      <c r="E1066" s="253">
        <v>1380</v>
      </c>
      <c r="F1066" s="253">
        <v>0</v>
      </c>
      <c r="G1066" s="274">
        <f>Tabla3[[#This Row],[INGRESOS]]-Tabla3[[#This Row],[EGRESOS]]</f>
        <v>-1380</v>
      </c>
      <c r="H1066" s="137">
        <v>46000</v>
      </c>
      <c r="I1066" s="135">
        <v>1140</v>
      </c>
      <c r="J1066" s="136">
        <f>Tabla3[[#This Row],[EGRESOS]]/Tabla3[[#This Row],[TC]]</f>
        <v>1.2105263157894737</v>
      </c>
      <c r="K1066" s="136">
        <f>Tabla3[[#This Row],[INGRESOS]]/Tabla3[[#This Row],[TC]]</f>
        <v>0</v>
      </c>
      <c r="L1066" s="8" t="s">
        <v>376</v>
      </c>
      <c r="M1066" s="8" t="s">
        <v>758</v>
      </c>
      <c r="N1066" s="8" t="s">
        <v>20</v>
      </c>
      <c r="O1066" s="8" t="s">
        <v>184</v>
      </c>
      <c r="P1066" s="8" t="s">
        <v>195</v>
      </c>
      <c r="Q1066" s="8" t="s">
        <v>196</v>
      </c>
      <c r="R1066" s="8" t="s">
        <v>417</v>
      </c>
      <c r="S1066" s="8" t="s">
        <v>383</v>
      </c>
      <c r="T1066" s="8"/>
      <c r="U1066" s="8" t="s">
        <v>384</v>
      </c>
      <c r="V1066" s="8"/>
      <c r="W1066" s="8" t="s">
        <v>380</v>
      </c>
      <c r="X1066" s="8" t="s">
        <v>99</v>
      </c>
      <c r="Y1066" s="8" t="s">
        <v>23</v>
      </c>
    </row>
    <row r="1067" spans="1:25" s="7" customFormat="1" hidden="1" x14ac:dyDescent="0.25">
      <c r="A1067" s="273" t="s">
        <v>314</v>
      </c>
      <c r="B1067" s="251">
        <v>45777</v>
      </c>
      <c r="C1067" s="252" t="s">
        <v>765</v>
      </c>
      <c r="D1067" s="252"/>
      <c r="E1067" s="253">
        <v>46000</v>
      </c>
      <c r="F1067" s="253">
        <v>0</v>
      </c>
      <c r="G1067" s="274">
        <f>Tabla3[[#This Row],[INGRESOS]]-Tabla3[[#This Row],[EGRESOS]]</f>
        <v>-46000</v>
      </c>
      <c r="H1067" s="137">
        <v>0</v>
      </c>
      <c r="I1067" s="135">
        <v>1140</v>
      </c>
      <c r="J1067" s="136">
        <f>Tabla3[[#This Row],[EGRESOS]]/Tabla3[[#This Row],[TC]]</f>
        <v>40.350877192982459</v>
      </c>
      <c r="K1067" s="136">
        <f>Tabla3[[#This Row],[INGRESOS]]/Tabla3[[#This Row],[TC]]</f>
        <v>0</v>
      </c>
      <c r="L1067" s="8" t="s">
        <v>376</v>
      </c>
      <c r="M1067" s="8" t="s">
        <v>758</v>
      </c>
      <c r="N1067" s="8" t="s">
        <v>20</v>
      </c>
      <c r="O1067" s="8" t="s">
        <v>184</v>
      </c>
      <c r="P1067" s="8" t="s">
        <v>185</v>
      </c>
      <c r="Q1067" s="8" t="s">
        <v>186</v>
      </c>
      <c r="R1067" s="8" t="s">
        <v>227</v>
      </c>
      <c r="S1067" s="8"/>
      <c r="T1067" s="8"/>
      <c r="U1067" s="8" t="s">
        <v>384</v>
      </c>
      <c r="V1067" s="8"/>
      <c r="W1067" s="8" t="s">
        <v>380</v>
      </c>
      <c r="X1067" s="8" t="s">
        <v>99</v>
      </c>
      <c r="Y1067" s="8" t="s">
        <v>23</v>
      </c>
    </row>
    <row r="1068" spans="1:25" s="7" customFormat="1" hidden="1" x14ac:dyDescent="0.25">
      <c r="A1068" s="273" t="s">
        <v>314</v>
      </c>
      <c r="B1068" s="251">
        <v>45777</v>
      </c>
      <c r="C1068" s="252" t="s">
        <v>761</v>
      </c>
      <c r="D1068" s="252"/>
      <c r="E1068" s="253">
        <v>0</v>
      </c>
      <c r="F1068" s="253">
        <v>342.24</v>
      </c>
      <c r="G1068" s="274">
        <f>Tabla3[[#This Row],[INGRESOS]]-Tabla3[[#This Row],[EGRESOS]]</f>
        <v>342.24</v>
      </c>
      <c r="H1068" s="137">
        <v>342.24</v>
      </c>
      <c r="I1068" s="135">
        <v>1140</v>
      </c>
      <c r="J1068" s="136">
        <f>Tabla3[[#This Row],[EGRESOS]]/Tabla3[[#This Row],[TC]]</f>
        <v>0</v>
      </c>
      <c r="K1068" s="136">
        <f>Tabla3[[#This Row],[INGRESOS]]/Tabla3[[#This Row],[TC]]</f>
        <v>0.30021052631578948</v>
      </c>
      <c r="L1068" s="8" t="s">
        <v>376</v>
      </c>
      <c r="M1068" s="8" t="s">
        <v>758</v>
      </c>
      <c r="N1068" s="8" t="s">
        <v>20</v>
      </c>
      <c r="O1068" s="8" t="s">
        <v>244</v>
      </c>
      <c r="P1068" s="8" t="s">
        <v>259</v>
      </c>
      <c r="Q1068" s="8" t="s">
        <v>260</v>
      </c>
      <c r="R1068" s="8" t="s">
        <v>378</v>
      </c>
      <c r="S1068" s="8"/>
      <c r="T1068" s="8"/>
      <c r="U1068" s="8" t="s">
        <v>379</v>
      </c>
      <c r="V1068" s="8"/>
      <c r="W1068" s="8" t="s">
        <v>380</v>
      </c>
      <c r="X1068" s="8"/>
      <c r="Y1068" s="8"/>
    </row>
    <row r="1069" spans="1:25" s="7" customFormat="1" hidden="1" x14ac:dyDescent="0.25">
      <c r="A1069" s="273" t="s">
        <v>315</v>
      </c>
      <c r="B1069" s="251">
        <v>45782</v>
      </c>
      <c r="C1069" s="252" t="s">
        <v>760</v>
      </c>
      <c r="D1069" s="252"/>
      <c r="E1069" s="253">
        <v>342.24</v>
      </c>
      <c r="F1069" s="253">
        <v>0</v>
      </c>
      <c r="G1069" s="274">
        <f>Tabla3[[#This Row],[INGRESOS]]-Tabla3[[#This Row],[EGRESOS]]</f>
        <v>-342.24</v>
      </c>
      <c r="H1069" s="137">
        <v>0</v>
      </c>
      <c r="I1069" s="135">
        <v>1140</v>
      </c>
      <c r="J1069" s="136">
        <f>Tabla3[[#This Row],[EGRESOS]]/Tabla3[[#This Row],[TC]]</f>
        <v>0.30021052631578948</v>
      </c>
      <c r="K1069" s="136">
        <f>Tabla3[[#This Row],[INGRESOS]]/Tabla3[[#This Row],[TC]]</f>
        <v>0</v>
      </c>
      <c r="L1069" s="8" t="s">
        <v>376</v>
      </c>
      <c r="M1069" s="8" t="s">
        <v>758</v>
      </c>
      <c r="N1069" s="8" t="s">
        <v>20</v>
      </c>
      <c r="O1069" s="8" t="s">
        <v>184</v>
      </c>
      <c r="P1069" s="8" t="s">
        <v>195</v>
      </c>
      <c r="Q1069" s="8" t="s">
        <v>196</v>
      </c>
      <c r="R1069" s="8" t="s">
        <v>394</v>
      </c>
      <c r="S1069" s="8" t="s">
        <v>383</v>
      </c>
      <c r="T1069" s="8"/>
      <c r="U1069" s="8" t="s">
        <v>384</v>
      </c>
      <c r="V1069" s="8"/>
      <c r="W1069" s="8" t="s">
        <v>380</v>
      </c>
      <c r="X1069" s="8" t="s">
        <v>99</v>
      </c>
      <c r="Y1069" s="8" t="s">
        <v>23</v>
      </c>
    </row>
    <row r="1070" spans="1:25" s="7" customFormat="1" hidden="1" x14ac:dyDescent="0.25">
      <c r="A1070" s="273" t="s">
        <v>315</v>
      </c>
      <c r="B1070" s="251">
        <v>45793</v>
      </c>
      <c r="C1070" s="252" t="s">
        <v>757</v>
      </c>
      <c r="D1070" s="252"/>
      <c r="E1070" s="253">
        <v>949046.55</v>
      </c>
      <c r="F1070" s="253">
        <v>0</v>
      </c>
      <c r="G1070" s="274">
        <f>Tabla3[[#This Row],[INGRESOS]]-Tabla3[[#This Row],[EGRESOS]]</f>
        <v>-949046.55</v>
      </c>
      <c r="H1070" s="137">
        <v>-949046.55</v>
      </c>
      <c r="I1070" s="135">
        <v>1140</v>
      </c>
      <c r="J1070" s="136">
        <f>Tabla3[[#This Row],[EGRESOS]]/Tabla3[[#This Row],[TC]]</f>
        <v>832.49697368421062</v>
      </c>
      <c r="K1070" s="136">
        <f>Tabla3[[#This Row],[INGRESOS]]/Tabla3[[#This Row],[TC]]</f>
        <v>0</v>
      </c>
      <c r="L1070" s="8" t="s">
        <v>376</v>
      </c>
      <c r="M1070" s="8" t="s">
        <v>758</v>
      </c>
      <c r="N1070" s="8" t="s">
        <v>20</v>
      </c>
      <c r="O1070" s="8" t="s">
        <v>184</v>
      </c>
      <c r="P1070" s="8" t="s">
        <v>199</v>
      </c>
      <c r="Q1070" s="8" t="s">
        <v>201</v>
      </c>
      <c r="R1070" s="8" t="s">
        <v>770</v>
      </c>
      <c r="S1070" s="8" t="s">
        <v>389</v>
      </c>
      <c r="T1070" s="8"/>
      <c r="U1070" s="8" t="s">
        <v>390</v>
      </c>
      <c r="V1070" s="8"/>
      <c r="W1070" s="8" t="s">
        <v>380</v>
      </c>
      <c r="X1070" s="8" t="s">
        <v>99</v>
      </c>
      <c r="Y1070" s="8" t="s">
        <v>23</v>
      </c>
    </row>
    <row r="1071" spans="1:25" s="7" customFormat="1" hidden="1" x14ac:dyDescent="0.25">
      <c r="A1071" s="273" t="s">
        <v>315</v>
      </c>
      <c r="B1071" s="251">
        <v>45793</v>
      </c>
      <c r="C1071" s="252" t="s">
        <v>757</v>
      </c>
      <c r="D1071" s="252"/>
      <c r="E1071" s="253">
        <v>687395.42</v>
      </c>
      <c r="F1071" s="253">
        <v>0</v>
      </c>
      <c r="G1071" s="274">
        <f>Tabla3[[#This Row],[INGRESOS]]-Tabla3[[#This Row],[EGRESOS]]</f>
        <v>-687395.42</v>
      </c>
      <c r="H1071" s="137">
        <v>-1636441.97</v>
      </c>
      <c r="I1071" s="135">
        <v>1140</v>
      </c>
      <c r="J1071" s="136">
        <f>Tabla3[[#This Row],[EGRESOS]]/Tabla3[[#This Row],[TC]]</f>
        <v>602.97843859649129</v>
      </c>
      <c r="K1071" s="136">
        <f>Tabla3[[#This Row],[INGRESOS]]/Tabla3[[#This Row],[TC]]</f>
        <v>0</v>
      </c>
      <c r="L1071" s="8" t="s">
        <v>376</v>
      </c>
      <c r="M1071" s="8" t="s">
        <v>758</v>
      </c>
      <c r="N1071" s="8" t="s">
        <v>20</v>
      </c>
      <c r="O1071" s="8" t="s">
        <v>184</v>
      </c>
      <c r="P1071" s="8" t="s">
        <v>199</v>
      </c>
      <c r="Q1071" s="8" t="s">
        <v>201</v>
      </c>
      <c r="R1071" s="8" t="s">
        <v>771</v>
      </c>
      <c r="S1071" s="8" t="s">
        <v>389</v>
      </c>
      <c r="T1071" s="8"/>
      <c r="U1071" s="8" t="s">
        <v>390</v>
      </c>
      <c r="V1071" s="8"/>
      <c r="W1071" s="8" t="s">
        <v>380</v>
      </c>
      <c r="X1071" s="8" t="s">
        <v>99</v>
      </c>
      <c r="Y1071" s="8" t="s">
        <v>23</v>
      </c>
    </row>
    <row r="1072" spans="1:25" s="7" customFormat="1" hidden="1" x14ac:dyDescent="0.25">
      <c r="A1072" s="273" t="s">
        <v>315</v>
      </c>
      <c r="B1072" s="251">
        <v>45793</v>
      </c>
      <c r="C1072" s="252" t="s">
        <v>760</v>
      </c>
      <c r="D1072" s="252"/>
      <c r="E1072" s="253">
        <v>5694.28</v>
      </c>
      <c r="F1072" s="253">
        <v>0</v>
      </c>
      <c r="G1072" s="274">
        <f>Tabla3[[#This Row],[INGRESOS]]-Tabla3[[#This Row],[EGRESOS]]</f>
        <v>-5694.28</v>
      </c>
      <c r="H1072" s="137">
        <v>-1642136.25</v>
      </c>
      <c r="I1072" s="135">
        <v>1140</v>
      </c>
      <c r="J1072" s="136">
        <f>Tabla3[[#This Row],[EGRESOS]]/Tabla3[[#This Row],[TC]]</f>
        <v>4.9949824561403506</v>
      </c>
      <c r="K1072" s="136">
        <f>Tabla3[[#This Row],[INGRESOS]]/Tabla3[[#This Row],[TC]]</f>
        <v>0</v>
      </c>
      <c r="L1072" s="8" t="s">
        <v>376</v>
      </c>
      <c r="M1072" s="8" t="s">
        <v>758</v>
      </c>
      <c r="N1072" s="8" t="s">
        <v>20</v>
      </c>
      <c r="O1072" s="8" t="s">
        <v>184</v>
      </c>
      <c r="P1072" s="8" t="s">
        <v>195</v>
      </c>
      <c r="Q1072" s="8" t="s">
        <v>196</v>
      </c>
      <c r="R1072" s="8" t="s">
        <v>394</v>
      </c>
      <c r="S1072" s="8" t="s">
        <v>383</v>
      </c>
      <c r="T1072" s="8"/>
      <c r="U1072" s="8" t="s">
        <v>384</v>
      </c>
      <c r="V1072" s="8"/>
      <c r="W1072" s="8" t="s">
        <v>380</v>
      </c>
      <c r="X1072" s="8" t="s">
        <v>99</v>
      </c>
      <c r="Y1072" s="8" t="s">
        <v>23</v>
      </c>
    </row>
    <row r="1073" spans="1:25" s="7" customFormat="1" hidden="1" x14ac:dyDescent="0.25">
      <c r="A1073" s="273" t="s">
        <v>315</v>
      </c>
      <c r="B1073" s="251">
        <v>45793</v>
      </c>
      <c r="C1073" s="252" t="s">
        <v>760</v>
      </c>
      <c r="D1073" s="252"/>
      <c r="E1073" s="253">
        <v>4124.37</v>
      </c>
      <c r="F1073" s="253">
        <v>0</v>
      </c>
      <c r="G1073" s="274">
        <f>Tabla3[[#This Row],[INGRESOS]]-Tabla3[[#This Row],[EGRESOS]]</f>
        <v>-4124.37</v>
      </c>
      <c r="H1073" s="137">
        <v>-1646260.62</v>
      </c>
      <c r="I1073" s="135">
        <v>1140</v>
      </c>
      <c r="J1073" s="136">
        <f>Tabla3[[#This Row],[EGRESOS]]/Tabla3[[#This Row],[TC]]</f>
        <v>3.6178684210526315</v>
      </c>
      <c r="K1073" s="136">
        <f>Tabla3[[#This Row],[INGRESOS]]/Tabla3[[#This Row],[TC]]</f>
        <v>0</v>
      </c>
      <c r="L1073" s="8" t="s">
        <v>376</v>
      </c>
      <c r="M1073" s="8" t="s">
        <v>758</v>
      </c>
      <c r="N1073" s="8" t="s">
        <v>20</v>
      </c>
      <c r="O1073" s="8" t="s">
        <v>184</v>
      </c>
      <c r="P1073" s="8" t="s">
        <v>195</v>
      </c>
      <c r="Q1073" s="8" t="s">
        <v>196</v>
      </c>
      <c r="R1073" s="8" t="s">
        <v>394</v>
      </c>
      <c r="S1073" s="8" t="s">
        <v>383</v>
      </c>
      <c r="T1073" s="8"/>
      <c r="U1073" s="8" t="s">
        <v>384</v>
      </c>
      <c r="V1073" s="8"/>
      <c r="W1073" s="8" t="s">
        <v>380</v>
      </c>
      <c r="X1073" s="8" t="s">
        <v>99</v>
      </c>
      <c r="Y1073" s="8" t="s">
        <v>23</v>
      </c>
    </row>
    <row r="1074" spans="1:25" s="7" customFormat="1" hidden="1" x14ac:dyDescent="0.25">
      <c r="A1074" s="273" t="s">
        <v>315</v>
      </c>
      <c r="B1074" s="251">
        <v>45793</v>
      </c>
      <c r="C1074" s="252" t="s">
        <v>761</v>
      </c>
      <c r="D1074" s="252"/>
      <c r="E1074" s="253">
        <v>0</v>
      </c>
      <c r="F1074" s="253">
        <v>1646260.62</v>
      </c>
      <c r="G1074" s="274">
        <f>Tabla3[[#This Row],[INGRESOS]]-Tabla3[[#This Row],[EGRESOS]]</f>
        <v>1646260.62</v>
      </c>
      <c r="H1074" s="137">
        <v>0</v>
      </c>
      <c r="I1074" s="135">
        <v>1140</v>
      </c>
      <c r="J1074" s="136">
        <f>Tabla3[[#This Row],[EGRESOS]]/Tabla3[[#This Row],[TC]]</f>
        <v>0</v>
      </c>
      <c r="K1074" s="136">
        <f>Tabla3[[#This Row],[INGRESOS]]/Tabla3[[#This Row],[TC]]</f>
        <v>1444.0882631578947</v>
      </c>
      <c r="L1074" s="8" t="s">
        <v>376</v>
      </c>
      <c r="M1074" s="8" t="s">
        <v>758</v>
      </c>
      <c r="N1074" s="8" t="s">
        <v>20</v>
      </c>
      <c r="O1074" s="8" t="s">
        <v>244</v>
      </c>
      <c r="P1074" s="8" t="s">
        <v>259</v>
      </c>
      <c r="Q1074" s="8" t="s">
        <v>260</v>
      </c>
      <c r="R1074" s="8" t="s">
        <v>405</v>
      </c>
      <c r="S1074" s="8"/>
      <c r="T1074" s="8"/>
      <c r="U1074" s="8" t="s">
        <v>379</v>
      </c>
      <c r="V1074" s="8"/>
      <c r="W1074" s="8" t="s">
        <v>380</v>
      </c>
      <c r="X1074" s="8"/>
      <c r="Y1074" s="8"/>
    </row>
    <row r="1075" spans="1:25" s="7" customFormat="1" hidden="1" x14ac:dyDescent="0.25">
      <c r="A1075" s="273" t="s">
        <v>315</v>
      </c>
      <c r="B1075" s="251">
        <v>45806</v>
      </c>
      <c r="C1075" s="252" t="s">
        <v>762</v>
      </c>
      <c r="D1075" s="252"/>
      <c r="E1075" s="253">
        <v>9660</v>
      </c>
      <c r="F1075" s="253">
        <v>0</v>
      </c>
      <c r="G1075" s="274">
        <f>Tabla3[[#This Row],[INGRESOS]]-Tabla3[[#This Row],[EGRESOS]]</f>
        <v>-9660</v>
      </c>
      <c r="H1075" s="137">
        <v>-9660</v>
      </c>
      <c r="I1075" s="135">
        <v>1141</v>
      </c>
      <c r="J1075" s="136">
        <f>Tabla3[[#This Row],[EGRESOS]]/Tabla3[[#This Row],[TC]]</f>
        <v>8.4662576687116573</v>
      </c>
      <c r="K1075" s="136">
        <f>Tabla3[[#This Row],[INGRESOS]]/Tabla3[[#This Row],[TC]]</f>
        <v>0</v>
      </c>
      <c r="L1075" s="8" t="s">
        <v>376</v>
      </c>
      <c r="M1075" s="8" t="s">
        <v>758</v>
      </c>
      <c r="N1075" s="8" t="s">
        <v>20</v>
      </c>
      <c r="O1075" s="8" t="s">
        <v>184</v>
      </c>
      <c r="P1075" s="8" t="s">
        <v>195</v>
      </c>
      <c r="Q1075" s="8" t="s">
        <v>196</v>
      </c>
      <c r="R1075" s="8" t="s">
        <v>382</v>
      </c>
      <c r="S1075" s="8" t="s">
        <v>383</v>
      </c>
      <c r="T1075" s="8"/>
      <c r="U1075" s="8" t="s">
        <v>384</v>
      </c>
      <c r="V1075" s="8"/>
      <c r="W1075" s="8" t="s">
        <v>380</v>
      </c>
      <c r="X1075" s="8" t="s">
        <v>99</v>
      </c>
      <c r="Y1075" s="8" t="s">
        <v>23</v>
      </c>
    </row>
    <row r="1076" spans="1:25" s="7" customFormat="1" hidden="1" x14ac:dyDescent="0.25">
      <c r="A1076" s="273" t="s">
        <v>315</v>
      </c>
      <c r="B1076" s="251">
        <v>45806</v>
      </c>
      <c r="C1076" s="252" t="s">
        <v>763</v>
      </c>
      <c r="D1076" s="252"/>
      <c r="E1076" s="253">
        <v>1380</v>
      </c>
      <c r="F1076" s="253">
        <v>0</v>
      </c>
      <c r="G1076" s="274">
        <f>Tabla3[[#This Row],[INGRESOS]]-Tabla3[[#This Row],[EGRESOS]]</f>
        <v>-1380</v>
      </c>
      <c r="H1076" s="137">
        <v>-11040</v>
      </c>
      <c r="I1076" s="135">
        <v>1142</v>
      </c>
      <c r="J1076" s="136">
        <f>Tabla3[[#This Row],[EGRESOS]]/Tabla3[[#This Row],[TC]]</f>
        <v>1.2084063047285465</v>
      </c>
      <c r="K1076" s="136">
        <f>Tabla3[[#This Row],[INGRESOS]]/Tabla3[[#This Row],[TC]]</f>
        <v>0</v>
      </c>
      <c r="L1076" s="8" t="s">
        <v>376</v>
      </c>
      <c r="M1076" s="8" t="s">
        <v>758</v>
      </c>
      <c r="N1076" s="8" t="s">
        <v>20</v>
      </c>
      <c r="O1076" s="8" t="s">
        <v>184</v>
      </c>
      <c r="P1076" s="8" t="s">
        <v>195</v>
      </c>
      <c r="Q1076" s="8" t="s">
        <v>196</v>
      </c>
      <c r="R1076" s="8" t="s">
        <v>417</v>
      </c>
      <c r="S1076" s="8" t="s">
        <v>383</v>
      </c>
      <c r="T1076" s="8"/>
      <c r="U1076" s="8" t="s">
        <v>384</v>
      </c>
      <c r="V1076" s="8"/>
      <c r="W1076" s="8" t="s">
        <v>380</v>
      </c>
      <c r="X1076" s="8" t="s">
        <v>99</v>
      </c>
      <c r="Y1076" s="8" t="s">
        <v>23</v>
      </c>
    </row>
    <row r="1077" spans="1:25" s="7" customFormat="1" hidden="1" x14ac:dyDescent="0.25">
      <c r="A1077" s="273" t="s">
        <v>315</v>
      </c>
      <c r="B1077" s="251">
        <v>45806</v>
      </c>
      <c r="C1077" s="252" t="s">
        <v>765</v>
      </c>
      <c r="D1077" s="252"/>
      <c r="E1077" s="253">
        <v>46000</v>
      </c>
      <c r="F1077" s="253">
        <v>0</v>
      </c>
      <c r="G1077" s="274">
        <f>Tabla3[[#This Row],[INGRESOS]]-Tabla3[[#This Row],[EGRESOS]]</f>
        <v>-46000</v>
      </c>
      <c r="H1077" s="137">
        <v>-57040</v>
      </c>
      <c r="I1077" s="135">
        <v>1143</v>
      </c>
      <c r="J1077" s="136">
        <f>Tabla3[[#This Row],[EGRESOS]]/Tabla3[[#This Row],[TC]]</f>
        <v>40.244969378827648</v>
      </c>
      <c r="K1077" s="136">
        <f>Tabla3[[#This Row],[INGRESOS]]/Tabla3[[#This Row],[TC]]</f>
        <v>0</v>
      </c>
      <c r="L1077" s="8" t="s">
        <v>376</v>
      </c>
      <c r="M1077" s="8" t="s">
        <v>758</v>
      </c>
      <c r="N1077" s="8" t="s">
        <v>20</v>
      </c>
      <c r="O1077" s="8" t="s">
        <v>184</v>
      </c>
      <c r="P1077" s="8" t="s">
        <v>185</v>
      </c>
      <c r="Q1077" s="8" t="s">
        <v>186</v>
      </c>
      <c r="R1077" s="8" t="s">
        <v>227</v>
      </c>
      <c r="S1077" s="8"/>
      <c r="T1077" s="8"/>
      <c r="U1077" s="8" t="s">
        <v>384</v>
      </c>
      <c r="V1077" s="8"/>
      <c r="W1077" s="8" t="s">
        <v>380</v>
      </c>
      <c r="X1077" s="8" t="s">
        <v>99</v>
      </c>
      <c r="Y1077" s="8" t="s">
        <v>23</v>
      </c>
    </row>
    <row r="1078" spans="1:25" s="7" customFormat="1" hidden="1" x14ac:dyDescent="0.25">
      <c r="A1078" s="273" t="s">
        <v>315</v>
      </c>
      <c r="B1078" s="251">
        <v>45806</v>
      </c>
      <c r="C1078" s="252" t="s">
        <v>760</v>
      </c>
      <c r="D1078" s="252"/>
      <c r="E1078" s="253">
        <v>342.24</v>
      </c>
      <c r="F1078" s="253">
        <v>0</v>
      </c>
      <c r="G1078" s="274">
        <f>Tabla3[[#This Row],[INGRESOS]]-Tabla3[[#This Row],[EGRESOS]]</f>
        <v>-342.24</v>
      </c>
      <c r="H1078" s="137">
        <v>-57382.239999999998</v>
      </c>
      <c r="I1078" s="135">
        <v>1144</v>
      </c>
      <c r="J1078" s="136">
        <f>Tabla3[[#This Row],[EGRESOS]]/Tabla3[[#This Row],[TC]]</f>
        <v>0.29916083916083919</v>
      </c>
      <c r="K1078" s="136">
        <f>Tabla3[[#This Row],[INGRESOS]]/Tabla3[[#This Row],[TC]]</f>
        <v>0</v>
      </c>
      <c r="L1078" s="8" t="s">
        <v>376</v>
      </c>
      <c r="M1078" s="8" t="s">
        <v>758</v>
      </c>
      <c r="N1078" s="8" t="s">
        <v>20</v>
      </c>
      <c r="O1078" s="8" t="s">
        <v>184</v>
      </c>
      <c r="P1078" s="8" t="s">
        <v>195</v>
      </c>
      <c r="Q1078" s="8" t="s">
        <v>196</v>
      </c>
      <c r="R1078" s="8" t="s">
        <v>394</v>
      </c>
      <c r="S1078" s="8" t="s">
        <v>383</v>
      </c>
      <c r="T1078" s="8"/>
      <c r="U1078" s="8" t="s">
        <v>384</v>
      </c>
      <c r="V1078" s="8"/>
      <c r="W1078" s="8" t="s">
        <v>380</v>
      </c>
      <c r="X1078" s="8" t="s">
        <v>99</v>
      </c>
      <c r="Y1078" s="8" t="s">
        <v>23</v>
      </c>
    </row>
    <row r="1079" spans="1:25" s="7" customFormat="1" hidden="1" x14ac:dyDescent="0.25">
      <c r="A1079" s="273" t="s">
        <v>315</v>
      </c>
      <c r="B1079" s="251">
        <v>45806</v>
      </c>
      <c r="C1079" s="252" t="s">
        <v>761</v>
      </c>
      <c r="D1079" s="252"/>
      <c r="E1079" s="253">
        <v>0</v>
      </c>
      <c r="F1079" s="253">
        <v>57382.239999999998</v>
      </c>
      <c r="G1079" s="274">
        <f>Tabla3[[#This Row],[INGRESOS]]-Tabla3[[#This Row],[EGRESOS]]</f>
        <v>57382.239999999998</v>
      </c>
      <c r="H1079" s="137">
        <v>0</v>
      </c>
      <c r="I1079" s="135">
        <v>1145</v>
      </c>
      <c r="J1079" s="136">
        <f>Tabla3[[#This Row],[EGRESOS]]/Tabla3[[#This Row],[TC]]</f>
        <v>0</v>
      </c>
      <c r="K1079" s="136">
        <f>Tabla3[[#This Row],[INGRESOS]]/Tabla3[[#This Row],[TC]]</f>
        <v>50.11549344978166</v>
      </c>
      <c r="L1079" s="8" t="s">
        <v>376</v>
      </c>
      <c r="M1079" s="8" t="s">
        <v>758</v>
      </c>
      <c r="N1079" s="8" t="s">
        <v>20</v>
      </c>
      <c r="O1079" s="8" t="s">
        <v>244</v>
      </c>
      <c r="P1079" s="8" t="s">
        <v>259</v>
      </c>
      <c r="Q1079" s="8" t="s">
        <v>260</v>
      </c>
      <c r="R1079" s="8" t="s">
        <v>405</v>
      </c>
      <c r="S1079" s="8"/>
      <c r="T1079" s="8"/>
      <c r="U1079" s="8" t="s">
        <v>379</v>
      </c>
      <c r="V1079" s="8"/>
      <c r="W1079" s="8" t="s">
        <v>380</v>
      </c>
      <c r="X1079" s="8"/>
      <c r="Y1079" s="8"/>
    </row>
    <row r="1080" spans="1:25" hidden="1" x14ac:dyDescent="0.25">
      <c r="A1080" s="273" t="s">
        <v>316</v>
      </c>
      <c r="B1080" s="251">
        <v>45835</v>
      </c>
      <c r="C1080" s="252" t="s">
        <v>762</v>
      </c>
      <c r="D1080" s="252"/>
      <c r="E1080" s="253">
        <v>9660</v>
      </c>
      <c r="F1080" s="253">
        <v>0</v>
      </c>
      <c r="G1080" s="274">
        <f>Tabla3[[#This Row],[INGRESOS]]-Tabla3[[#This Row],[EGRESOS]]</f>
        <v>-9660</v>
      </c>
      <c r="H1080" s="137">
        <v>-9660</v>
      </c>
      <c r="I1080" s="135">
        <v>1145</v>
      </c>
      <c r="J1080" s="136">
        <f>Tabla3[[#This Row],[EGRESOS]]/Tabla3[[#This Row],[TC]]</f>
        <v>8.4366812227074242</v>
      </c>
      <c r="K1080" s="136">
        <f>Tabla3[[#This Row],[INGRESOS]]/Tabla3[[#This Row],[TC]]</f>
        <v>0</v>
      </c>
      <c r="L1080" s="8" t="s">
        <v>376</v>
      </c>
      <c r="M1080" s="8" t="s">
        <v>758</v>
      </c>
      <c r="N1080" s="8" t="s">
        <v>20</v>
      </c>
      <c r="O1080" s="8" t="s">
        <v>184</v>
      </c>
      <c r="P1080" s="8" t="s">
        <v>195</v>
      </c>
      <c r="Q1080" s="8" t="s">
        <v>196</v>
      </c>
      <c r="R1080" s="8"/>
      <c r="S1080" s="8"/>
      <c r="T1080" s="8"/>
      <c r="U1080" s="8" t="s">
        <v>384</v>
      </c>
      <c r="V1080" s="8"/>
      <c r="W1080" s="8" t="s">
        <v>380</v>
      </c>
      <c r="X1080" s="8" t="s">
        <v>99</v>
      </c>
      <c r="Y1080" s="8" t="s">
        <v>23</v>
      </c>
    </row>
    <row r="1081" spans="1:25" hidden="1" x14ac:dyDescent="0.25">
      <c r="A1081" s="273" t="s">
        <v>316</v>
      </c>
      <c r="B1081" s="251">
        <v>45835</v>
      </c>
      <c r="C1081" s="252" t="s">
        <v>763</v>
      </c>
      <c r="D1081" s="252"/>
      <c r="E1081" s="253">
        <v>1380</v>
      </c>
      <c r="F1081" s="253">
        <v>0</v>
      </c>
      <c r="G1081" s="274">
        <f>Tabla3[[#This Row],[INGRESOS]]-Tabla3[[#This Row],[EGRESOS]]</f>
        <v>-1380</v>
      </c>
      <c r="H1081" s="137">
        <v>-11040</v>
      </c>
      <c r="I1081" s="135">
        <v>1145</v>
      </c>
      <c r="J1081" s="136">
        <f>Tabla3[[#This Row],[EGRESOS]]/Tabla3[[#This Row],[TC]]</f>
        <v>1.205240174672489</v>
      </c>
      <c r="K1081" s="136">
        <f>Tabla3[[#This Row],[INGRESOS]]/Tabla3[[#This Row],[TC]]</f>
        <v>0</v>
      </c>
      <c r="L1081" s="8" t="s">
        <v>376</v>
      </c>
      <c r="M1081" s="8" t="s">
        <v>758</v>
      </c>
      <c r="N1081" s="8" t="s">
        <v>20</v>
      </c>
      <c r="O1081" s="8" t="s">
        <v>184</v>
      </c>
      <c r="P1081" s="8" t="s">
        <v>195</v>
      </c>
      <c r="Q1081" s="8" t="s">
        <v>196</v>
      </c>
      <c r="R1081" s="8" t="s">
        <v>417</v>
      </c>
      <c r="S1081" s="8" t="s">
        <v>383</v>
      </c>
      <c r="T1081" s="8"/>
      <c r="U1081" s="8" t="s">
        <v>384</v>
      </c>
      <c r="V1081" s="8"/>
      <c r="W1081" s="8" t="s">
        <v>380</v>
      </c>
      <c r="X1081" s="8" t="s">
        <v>99</v>
      </c>
      <c r="Y1081" s="8" t="s">
        <v>23</v>
      </c>
    </row>
    <row r="1082" spans="1:25" hidden="1" x14ac:dyDescent="0.25">
      <c r="A1082" s="273" t="s">
        <v>316</v>
      </c>
      <c r="B1082" s="251">
        <v>45835</v>
      </c>
      <c r="C1082" s="252" t="s">
        <v>765</v>
      </c>
      <c r="D1082" s="252"/>
      <c r="E1082" s="253">
        <v>46000</v>
      </c>
      <c r="F1082" s="253">
        <v>0</v>
      </c>
      <c r="G1082" s="274">
        <f>Tabla3[[#This Row],[INGRESOS]]-Tabla3[[#This Row],[EGRESOS]]</f>
        <v>-46000</v>
      </c>
      <c r="H1082" s="137">
        <v>-57040</v>
      </c>
      <c r="I1082" s="135">
        <v>1145</v>
      </c>
      <c r="J1082" s="136">
        <f>Tabla3[[#This Row],[EGRESOS]]/Tabla3[[#This Row],[TC]]</f>
        <v>40.174672489082973</v>
      </c>
      <c r="K1082" s="136">
        <f>Tabla3[[#This Row],[INGRESOS]]/Tabla3[[#This Row],[TC]]</f>
        <v>0</v>
      </c>
      <c r="L1082" s="8" t="s">
        <v>376</v>
      </c>
      <c r="M1082" s="8" t="s">
        <v>758</v>
      </c>
      <c r="N1082" s="8" t="s">
        <v>20</v>
      </c>
      <c r="O1082" s="8" t="s">
        <v>184</v>
      </c>
      <c r="P1082" s="8" t="s">
        <v>185</v>
      </c>
      <c r="Q1082" s="8" t="s">
        <v>186</v>
      </c>
      <c r="R1082" s="8" t="s">
        <v>227</v>
      </c>
      <c r="S1082" s="8"/>
      <c r="T1082" s="8"/>
      <c r="U1082" s="8" t="s">
        <v>384</v>
      </c>
      <c r="V1082" s="8"/>
      <c r="W1082" s="8" t="s">
        <v>380</v>
      </c>
      <c r="X1082" s="8" t="s">
        <v>99</v>
      </c>
      <c r="Y1082" s="8" t="s">
        <v>23</v>
      </c>
    </row>
    <row r="1083" spans="1:25" hidden="1" x14ac:dyDescent="0.25">
      <c r="A1083" s="273" t="s">
        <v>316</v>
      </c>
      <c r="B1083" s="251">
        <v>45835</v>
      </c>
      <c r="C1083" s="252" t="s">
        <v>760</v>
      </c>
      <c r="D1083" s="252"/>
      <c r="E1083" s="253">
        <v>342.24</v>
      </c>
      <c r="F1083" s="253">
        <v>0</v>
      </c>
      <c r="G1083" s="274">
        <f>Tabla3[[#This Row],[INGRESOS]]-Tabla3[[#This Row],[EGRESOS]]</f>
        <v>-342.24</v>
      </c>
      <c r="H1083" s="137">
        <v>-57382.239999999998</v>
      </c>
      <c r="I1083" s="135">
        <v>1145</v>
      </c>
      <c r="J1083" s="136">
        <f>Tabla3[[#This Row],[EGRESOS]]/Tabla3[[#This Row],[TC]]</f>
        <v>0.29889956331877732</v>
      </c>
      <c r="K1083" s="136">
        <f>Tabla3[[#This Row],[INGRESOS]]/Tabla3[[#This Row],[TC]]</f>
        <v>0</v>
      </c>
      <c r="L1083" s="8" t="s">
        <v>376</v>
      </c>
      <c r="M1083" s="8" t="s">
        <v>758</v>
      </c>
      <c r="N1083" s="8" t="s">
        <v>20</v>
      </c>
      <c r="O1083" s="8" t="s">
        <v>184</v>
      </c>
      <c r="P1083" s="8" t="s">
        <v>195</v>
      </c>
      <c r="Q1083" s="8" t="s">
        <v>196</v>
      </c>
      <c r="R1083" s="8" t="s">
        <v>394</v>
      </c>
      <c r="S1083" s="8" t="s">
        <v>383</v>
      </c>
      <c r="T1083" s="8"/>
      <c r="U1083" s="8" t="s">
        <v>384</v>
      </c>
      <c r="V1083" s="8"/>
      <c r="W1083" s="8" t="s">
        <v>380</v>
      </c>
      <c r="X1083" s="8" t="s">
        <v>99</v>
      </c>
      <c r="Y1083" s="8" t="s">
        <v>23</v>
      </c>
    </row>
    <row r="1084" spans="1:25" hidden="1" x14ac:dyDescent="0.25">
      <c r="A1084" s="273" t="s">
        <v>316</v>
      </c>
      <c r="B1084" s="251">
        <v>45835</v>
      </c>
      <c r="C1084" s="252" t="s">
        <v>761</v>
      </c>
      <c r="D1084" s="252"/>
      <c r="E1084" s="253">
        <v>0</v>
      </c>
      <c r="F1084" s="253">
        <v>57382.239999999998</v>
      </c>
      <c r="G1084" s="274">
        <f>Tabla3[[#This Row],[INGRESOS]]-Tabla3[[#This Row],[EGRESOS]]</f>
        <v>57382.239999999998</v>
      </c>
      <c r="H1084" s="137">
        <v>0</v>
      </c>
      <c r="I1084" s="135">
        <v>1145</v>
      </c>
      <c r="J1084" s="136">
        <f>Tabla3[[#This Row],[EGRESOS]]/Tabla3[[#This Row],[TC]]</f>
        <v>0</v>
      </c>
      <c r="K1084" s="136">
        <f>Tabla3[[#This Row],[INGRESOS]]/Tabla3[[#This Row],[TC]]</f>
        <v>50.11549344978166</v>
      </c>
      <c r="L1084" s="8" t="s">
        <v>376</v>
      </c>
      <c r="M1084" s="8" t="s">
        <v>758</v>
      </c>
      <c r="N1084" s="8" t="s">
        <v>20</v>
      </c>
      <c r="O1084" s="8" t="s">
        <v>244</v>
      </c>
      <c r="P1084" s="8" t="s">
        <v>259</v>
      </c>
      <c r="Q1084" s="8" t="s">
        <v>260</v>
      </c>
      <c r="R1084" s="8" t="s">
        <v>405</v>
      </c>
      <c r="S1084" s="8"/>
      <c r="T1084" s="8"/>
      <c r="U1084" s="8" t="s">
        <v>379</v>
      </c>
      <c r="V1084" s="8"/>
      <c r="W1084" s="8" t="s">
        <v>380</v>
      </c>
      <c r="X1084" s="8"/>
      <c r="Y1084" s="8"/>
    </row>
    <row r="1085" spans="1:25" hidden="1" x14ac:dyDescent="0.25">
      <c r="A1085" s="273" t="s">
        <v>317</v>
      </c>
      <c r="B1085" s="251">
        <v>45839</v>
      </c>
      <c r="C1085" s="252" t="s">
        <v>757</v>
      </c>
      <c r="D1085" s="252"/>
      <c r="E1085" s="253">
        <v>800143.79</v>
      </c>
      <c r="F1085" s="253">
        <v>0</v>
      </c>
      <c r="G1085" s="274">
        <f>Tabla3[[#This Row],[INGRESOS]]-Tabla3[[#This Row],[EGRESOS]]</f>
        <v>-800143.79</v>
      </c>
      <c r="H1085" s="137">
        <v>-800143.79</v>
      </c>
      <c r="I1085" s="135">
        <v>1145</v>
      </c>
      <c r="J1085" s="136">
        <f>Tabla3[[#This Row],[EGRESOS]]/Tabla3[[#This Row],[TC]]</f>
        <v>698.815537117904</v>
      </c>
      <c r="K1085" s="136">
        <f>Tabla3[[#This Row],[INGRESOS]]/Tabla3[[#This Row],[TC]]</f>
        <v>0</v>
      </c>
      <c r="L1085" s="8" t="s">
        <v>376</v>
      </c>
      <c r="M1085" s="8" t="s">
        <v>758</v>
      </c>
      <c r="N1085" s="8" t="s">
        <v>20</v>
      </c>
      <c r="O1085" s="8" t="s">
        <v>184</v>
      </c>
      <c r="P1085" s="8" t="s">
        <v>199</v>
      </c>
      <c r="Q1085" s="8" t="s">
        <v>201</v>
      </c>
      <c r="R1085" s="8" t="s">
        <v>772</v>
      </c>
      <c r="S1085" s="8" t="s">
        <v>389</v>
      </c>
      <c r="T1085" s="8"/>
      <c r="U1085" s="8" t="s">
        <v>390</v>
      </c>
      <c r="V1085" s="8"/>
      <c r="W1085" s="8" t="s">
        <v>380</v>
      </c>
      <c r="X1085" s="8" t="s">
        <v>99</v>
      </c>
      <c r="Y1085" s="8" t="s">
        <v>23</v>
      </c>
    </row>
    <row r="1086" spans="1:25" hidden="1" x14ac:dyDescent="0.25">
      <c r="A1086" s="273" t="s">
        <v>317</v>
      </c>
      <c r="B1086" s="251">
        <v>45839</v>
      </c>
      <c r="C1086" s="252" t="s">
        <v>773</v>
      </c>
      <c r="D1086" s="252"/>
      <c r="E1086" s="253">
        <v>4800.8599999999997</v>
      </c>
      <c r="F1086" s="253">
        <v>0</v>
      </c>
      <c r="G1086" s="274">
        <f>Tabla3[[#This Row],[INGRESOS]]-Tabla3[[#This Row],[EGRESOS]]</f>
        <v>-4800.8599999999997</v>
      </c>
      <c r="H1086" s="137">
        <v>-804944.65</v>
      </c>
      <c r="I1086" s="135">
        <v>1145</v>
      </c>
      <c r="J1086" s="136">
        <f>Tabla3[[#This Row],[EGRESOS]]/Tabla3[[#This Row],[TC]]</f>
        <v>4.1928908296943233</v>
      </c>
      <c r="K1086" s="136">
        <f>Tabla3[[#This Row],[INGRESOS]]/Tabla3[[#This Row],[TC]]</f>
        <v>0</v>
      </c>
      <c r="L1086" s="8" t="s">
        <v>376</v>
      </c>
      <c r="M1086" s="8" t="s">
        <v>758</v>
      </c>
      <c r="N1086" s="8" t="s">
        <v>20</v>
      </c>
      <c r="O1086" s="8" t="s">
        <v>184</v>
      </c>
      <c r="P1086" s="8" t="s">
        <v>195</v>
      </c>
      <c r="Q1086" s="8" t="s">
        <v>196</v>
      </c>
      <c r="R1086" s="8" t="s">
        <v>394</v>
      </c>
      <c r="S1086" s="8" t="s">
        <v>383</v>
      </c>
      <c r="T1086" s="8"/>
      <c r="U1086" s="8" t="s">
        <v>384</v>
      </c>
      <c r="V1086" s="8"/>
      <c r="W1086" s="8" t="s">
        <v>380</v>
      </c>
      <c r="X1086" s="8" t="s">
        <v>99</v>
      </c>
      <c r="Y1086" s="8" t="s">
        <v>23</v>
      </c>
    </row>
    <row r="1087" spans="1:25" hidden="1" x14ac:dyDescent="0.25">
      <c r="A1087" s="273" t="s">
        <v>317</v>
      </c>
      <c r="B1087" s="251">
        <v>45839</v>
      </c>
      <c r="C1087" s="252" t="s">
        <v>761</v>
      </c>
      <c r="D1087" s="252"/>
      <c r="E1087" s="253">
        <v>0</v>
      </c>
      <c r="F1087" s="253">
        <v>804944.65</v>
      </c>
      <c r="G1087" s="274">
        <f>Tabla3[[#This Row],[INGRESOS]]-Tabla3[[#This Row],[EGRESOS]]</f>
        <v>804944.65</v>
      </c>
      <c r="H1087" s="137">
        <v>0</v>
      </c>
      <c r="I1087" s="135">
        <v>1145</v>
      </c>
      <c r="J1087" s="136">
        <f>Tabla3[[#This Row],[EGRESOS]]/Tabla3[[#This Row],[TC]]</f>
        <v>0</v>
      </c>
      <c r="K1087" s="136">
        <f>Tabla3[[#This Row],[INGRESOS]]/Tabla3[[#This Row],[TC]]</f>
        <v>703.00842794759831</v>
      </c>
      <c r="L1087" s="8" t="s">
        <v>376</v>
      </c>
      <c r="M1087" s="8" t="s">
        <v>758</v>
      </c>
      <c r="N1087" s="8" t="s">
        <v>20</v>
      </c>
      <c r="O1087" s="8" t="s">
        <v>244</v>
      </c>
      <c r="P1087" s="8" t="s">
        <v>259</v>
      </c>
      <c r="Q1087" s="8" t="s">
        <v>260</v>
      </c>
      <c r="R1087" s="8" t="s">
        <v>405</v>
      </c>
      <c r="S1087" s="8"/>
      <c r="T1087" s="8"/>
      <c r="U1087" s="8" t="s">
        <v>379</v>
      </c>
      <c r="V1087" s="8"/>
      <c r="W1087" s="8" t="s">
        <v>380</v>
      </c>
      <c r="X1087" s="8"/>
      <c r="Y1087" s="8"/>
    </row>
    <row r="1088" spans="1:25" hidden="1" x14ac:dyDescent="0.25">
      <c r="A1088" s="273" t="s">
        <v>317</v>
      </c>
      <c r="B1088" s="251">
        <v>45856</v>
      </c>
      <c r="C1088" s="252" t="s">
        <v>757</v>
      </c>
      <c r="D1088" s="252"/>
      <c r="E1088" s="253">
        <v>1288840.02</v>
      </c>
      <c r="F1088" s="253">
        <v>0</v>
      </c>
      <c r="G1088" s="274">
        <f>Tabla3[[#This Row],[INGRESOS]]-Tabla3[[#This Row],[EGRESOS]]</f>
        <v>-1288840.02</v>
      </c>
      <c r="H1088" s="137">
        <v>-1288840.02</v>
      </c>
      <c r="I1088" s="135">
        <v>1145</v>
      </c>
      <c r="J1088" s="136">
        <f>Tabla3[[#This Row],[EGRESOS]]/Tabla3[[#This Row],[TC]]</f>
        <v>1125.6244716157205</v>
      </c>
      <c r="K1088" s="136">
        <f>Tabla3[[#This Row],[INGRESOS]]/Tabla3[[#This Row],[TC]]</f>
        <v>0</v>
      </c>
      <c r="L1088" s="8" t="s">
        <v>376</v>
      </c>
      <c r="M1088" s="8" t="s">
        <v>758</v>
      </c>
      <c r="N1088" s="8" t="s">
        <v>20</v>
      </c>
      <c r="O1088" s="8" t="s">
        <v>184</v>
      </c>
      <c r="P1088" s="8" t="s">
        <v>199</v>
      </c>
      <c r="Q1088" s="8" t="s">
        <v>201</v>
      </c>
      <c r="R1088" s="8" t="s">
        <v>772</v>
      </c>
      <c r="S1088" s="8" t="s">
        <v>389</v>
      </c>
      <c r="T1088" s="8"/>
      <c r="U1088" s="8" t="s">
        <v>390</v>
      </c>
      <c r="V1088" s="8"/>
      <c r="W1088" s="8" t="s">
        <v>380</v>
      </c>
      <c r="X1088" s="8" t="s">
        <v>99</v>
      </c>
      <c r="Y1088" s="8" t="s">
        <v>23</v>
      </c>
    </row>
    <row r="1089" spans="1:25" hidden="1" x14ac:dyDescent="0.25">
      <c r="A1089" s="273" t="s">
        <v>317</v>
      </c>
      <c r="B1089" s="251">
        <v>45856</v>
      </c>
      <c r="C1089" s="252" t="s">
        <v>773</v>
      </c>
      <c r="D1089" s="252"/>
      <c r="E1089" s="253">
        <v>7733.04</v>
      </c>
      <c r="F1089" s="253">
        <v>0</v>
      </c>
      <c r="G1089" s="274">
        <f>Tabla3[[#This Row],[INGRESOS]]-Tabla3[[#This Row],[EGRESOS]]</f>
        <v>-7733.04</v>
      </c>
      <c r="H1089" s="137">
        <v>-1296573.06</v>
      </c>
      <c r="I1089" s="135">
        <v>1145</v>
      </c>
      <c r="J1089" s="136">
        <f>Tabla3[[#This Row],[EGRESOS]]/Tabla3[[#This Row],[TC]]</f>
        <v>6.7537467248908296</v>
      </c>
      <c r="K1089" s="136">
        <f>Tabla3[[#This Row],[INGRESOS]]/Tabla3[[#This Row],[TC]]</f>
        <v>0</v>
      </c>
      <c r="L1089" s="8" t="s">
        <v>376</v>
      </c>
      <c r="M1089" s="8" t="s">
        <v>758</v>
      </c>
      <c r="N1089" s="8" t="s">
        <v>20</v>
      </c>
      <c r="O1089" s="8" t="s">
        <v>184</v>
      </c>
      <c r="P1089" s="8" t="s">
        <v>195</v>
      </c>
      <c r="Q1089" s="8" t="s">
        <v>196</v>
      </c>
      <c r="R1089" s="8" t="s">
        <v>394</v>
      </c>
      <c r="S1089" s="8" t="s">
        <v>383</v>
      </c>
      <c r="T1089" s="8"/>
      <c r="U1089" s="8" t="s">
        <v>384</v>
      </c>
      <c r="V1089" s="8"/>
      <c r="W1089" s="8" t="s">
        <v>380</v>
      </c>
      <c r="X1089" s="8" t="s">
        <v>99</v>
      </c>
      <c r="Y1089" s="8" t="s">
        <v>23</v>
      </c>
    </row>
    <row r="1090" spans="1:25" hidden="1" x14ac:dyDescent="0.25">
      <c r="A1090" s="273" t="s">
        <v>317</v>
      </c>
      <c r="B1090" s="251">
        <v>45856</v>
      </c>
      <c r="C1090" s="252" t="s">
        <v>761</v>
      </c>
      <c r="D1090" s="252"/>
      <c r="E1090" s="253">
        <v>0</v>
      </c>
      <c r="F1090" s="253">
        <v>1296573.06</v>
      </c>
      <c r="G1090" s="274">
        <f>Tabla3[[#This Row],[INGRESOS]]-Tabla3[[#This Row],[EGRESOS]]</f>
        <v>1296573.06</v>
      </c>
      <c r="H1090" s="137">
        <v>0</v>
      </c>
      <c r="I1090" s="135">
        <v>1145</v>
      </c>
      <c r="J1090" s="136">
        <f>Tabla3[[#This Row],[EGRESOS]]/Tabla3[[#This Row],[TC]]</f>
        <v>0</v>
      </c>
      <c r="K1090" s="136">
        <f>Tabla3[[#This Row],[INGRESOS]]/Tabla3[[#This Row],[TC]]</f>
        <v>1132.3782183406115</v>
      </c>
      <c r="L1090" s="8" t="s">
        <v>376</v>
      </c>
      <c r="M1090" s="8" t="s">
        <v>758</v>
      </c>
      <c r="N1090" s="8" t="s">
        <v>20</v>
      </c>
      <c r="O1090" s="8" t="s">
        <v>244</v>
      </c>
      <c r="P1090" s="8" t="s">
        <v>259</v>
      </c>
      <c r="Q1090" s="8" t="s">
        <v>260</v>
      </c>
      <c r="R1090" s="8" t="s">
        <v>405</v>
      </c>
      <c r="S1090" s="8"/>
      <c r="T1090" s="8"/>
      <c r="U1090" s="8" t="s">
        <v>379</v>
      </c>
      <c r="V1090" s="8"/>
      <c r="W1090" s="8" t="s">
        <v>380</v>
      </c>
      <c r="X1090" s="8"/>
      <c r="Y1090" s="8"/>
    </row>
    <row r="1091" spans="1:25" hidden="1" x14ac:dyDescent="0.25">
      <c r="A1091" s="273" t="s">
        <v>317</v>
      </c>
      <c r="B1091" s="251">
        <v>45868</v>
      </c>
      <c r="C1091" s="252" t="s">
        <v>761</v>
      </c>
      <c r="D1091" s="252"/>
      <c r="E1091" s="253">
        <v>0</v>
      </c>
      <c r="F1091" s="253">
        <v>61628</v>
      </c>
      <c r="G1091" s="274">
        <f>Tabla3[[#This Row],[INGRESOS]]-Tabla3[[#This Row],[EGRESOS]]</f>
        <v>61628</v>
      </c>
      <c r="H1091" s="137">
        <v>61628</v>
      </c>
      <c r="I1091" s="135">
        <v>1290</v>
      </c>
      <c r="J1091" s="136">
        <f>Tabla3[[#This Row],[EGRESOS]]/Tabla3[[#This Row],[TC]]</f>
        <v>0</v>
      </c>
      <c r="K1091" s="136">
        <f>Tabla3[[#This Row],[INGRESOS]]/Tabla3[[#This Row],[TC]]</f>
        <v>47.773643410852713</v>
      </c>
      <c r="L1091" s="8" t="s">
        <v>376</v>
      </c>
      <c r="M1091" s="8" t="s">
        <v>758</v>
      </c>
      <c r="N1091" s="8" t="s">
        <v>20</v>
      </c>
      <c r="O1091" s="8" t="s">
        <v>244</v>
      </c>
      <c r="P1091" s="8" t="s">
        <v>259</v>
      </c>
      <c r="Q1091" s="8" t="s">
        <v>260</v>
      </c>
      <c r="R1091" s="8" t="s">
        <v>405</v>
      </c>
      <c r="S1091" s="8"/>
      <c r="T1091" s="8"/>
      <c r="U1091" s="8" t="s">
        <v>379</v>
      </c>
      <c r="V1091" s="8"/>
      <c r="W1091" s="8" t="s">
        <v>380</v>
      </c>
      <c r="X1091" s="8"/>
      <c r="Y1091" s="8"/>
    </row>
    <row r="1092" spans="1:25" hidden="1" x14ac:dyDescent="0.25">
      <c r="A1092" s="273" t="s">
        <v>317</v>
      </c>
      <c r="B1092" s="251">
        <v>45869</v>
      </c>
      <c r="C1092" s="252" t="s">
        <v>762</v>
      </c>
      <c r="D1092" s="252"/>
      <c r="E1092" s="253">
        <v>10437</v>
      </c>
      <c r="F1092" s="253">
        <v>0</v>
      </c>
      <c r="G1092" s="274">
        <f>Tabla3[[#This Row],[INGRESOS]]-Tabla3[[#This Row],[EGRESOS]]</f>
        <v>-10437</v>
      </c>
      <c r="H1092" s="137">
        <v>51191</v>
      </c>
      <c r="I1092" s="135">
        <v>1290</v>
      </c>
      <c r="J1092" s="136">
        <f>Tabla3[[#This Row],[EGRESOS]]/Tabla3[[#This Row],[TC]]</f>
        <v>8.090697674418605</v>
      </c>
      <c r="K1092" s="136">
        <f>Tabla3[[#This Row],[INGRESOS]]/Tabla3[[#This Row],[TC]]</f>
        <v>0</v>
      </c>
      <c r="L1092" s="8" t="s">
        <v>376</v>
      </c>
      <c r="M1092" s="8" t="s">
        <v>758</v>
      </c>
      <c r="N1092" s="8" t="s">
        <v>20</v>
      </c>
      <c r="O1092" s="8" t="s">
        <v>184</v>
      </c>
      <c r="P1092" s="8" t="s">
        <v>195</v>
      </c>
      <c r="Q1092" s="8" t="s">
        <v>196</v>
      </c>
      <c r="R1092" s="8" t="s">
        <v>382</v>
      </c>
      <c r="S1092" s="8" t="s">
        <v>383</v>
      </c>
      <c r="T1092" s="8"/>
      <c r="U1092" s="8" t="s">
        <v>384</v>
      </c>
      <c r="V1092" s="8"/>
      <c r="W1092" s="8" t="s">
        <v>380</v>
      </c>
      <c r="X1092" s="8" t="s">
        <v>99</v>
      </c>
      <c r="Y1092" s="8" t="s">
        <v>23</v>
      </c>
    </row>
    <row r="1093" spans="1:25" hidden="1" x14ac:dyDescent="0.25">
      <c r="A1093" s="273" t="s">
        <v>317</v>
      </c>
      <c r="B1093" s="251">
        <v>45869</v>
      </c>
      <c r="C1093" s="252" t="s">
        <v>763</v>
      </c>
      <c r="D1093" s="252"/>
      <c r="E1093" s="253">
        <v>1491</v>
      </c>
      <c r="F1093" s="253">
        <v>0</v>
      </c>
      <c r="G1093" s="274">
        <f>Tabla3[[#This Row],[INGRESOS]]-Tabla3[[#This Row],[EGRESOS]]</f>
        <v>-1491</v>
      </c>
      <c r="H1093" s="137">
        <v>49700</v>
      </c>
      <c r="I1093" s="135">
        <v>1290</v>
      </c>
      <c r="J1093" s="136">
        <f>Tabla3[[#This Row],[EGRESOS]]/Tabla3[[#This Row],[TC]]</f>
        <v>1.155813953488372</v>
      </c>
      <c r="K1093" s="136">
        <f>Tabla3[[#This Row],[INGRESOS]]/Tabla3[[#This Row],[TC]]</f>
        <v>0</v>
      </c>
      <c r="L1093" s="8" t="s">
        <v>376</v>
      </c>
      <c r="M1093" s="8" t="s">
        <v>758</v>
      </c>
      <c r="N1093" s="8" t="s">
        <v>20</v>
      </c>
      <c r="O1093" s="8" t="s">
        <v>184</v>
      </c>
      <c r="P1093" s="8" t="s">
        <v>195</v>
      </c>
      <c r="Q1093" s="8" t="s">
        <v>196</v>
      </c>
      <c r="R1093" s="8" t="s">
        <v>417</v>
      </c>
      <c r="S1093" s="8" t="s">
        <v>383</v>
      </c>
      <c r="T1093" s="8"/>
      <c r="U1093" s="8" t="s">
        <v>384</v>
      </c>
      <c r="V1093" s="8"/>
      <c r="W1093" s="8" t="s">
        <v>380</v>
      </c>
      <c r="X1093" s="8" t="s">
        <v>99</v>
      </c>
      <c r="Y1093" s="8" t="s">
        <v>23</v>
      </c>
    </row>
    <row r="1094" spans="1:25" hidden="1" x14ac:dyDescent="0.25">
      <c r="A1094" s="273" t="s">
        <v>317</v>
      </c>
      <c r="B1094" s="251">
        <v>45869</v>
      </c>
      <c r="C1094" s="252" t="s">
        <v>765</v>
      </c>
      <c r="D1094" s="252"/>
      <c r="E1094" s="253">
        <v>49700</v>
      </c>
      <c r="F1094" s="253">
        <v>0</v>
      </c>
      <c r="G1094" s="274">
        <f>Tabla3[[#This Row],[INGRESOS]]-Tabla3[[#This Row],[EGRESOS]]</f>
        <v>-49700</v>
      </c>
      <c r="H1094" s="137">
        <v>0</v>
      </c>
      <c r="I1094" s="135">
        <v>1290</v>
      </c>
      <c r="J1094" s="136">
        <f>Tabla3[[#This Row],[EGRESOS]]/Tabla3[[#This Row],[TC]]</f>
        <v>38.527131782945737</v>
      </c>
      <c r="K1094" s="136">
        <f>Tabla3[[#This Row],[INGRESOS]]/Tabla3[[#This Row],[TC]]</f>
        <v>0</v>
      </c>
      <c r="L1094" s="8" t="s">
        <v>376</v>
      </c>
      <c r="M1094" s="8" t="s">
        <v>758</v>
      </c>
      <c r="N1094" s="8" t="s">
        <v>20</v>
      </c>
      <c r="O1094" s="8" t="s">
        <v>184</v>
      </c>
      <c r="P1094" s="8" t="s">
        <v>185</v>
      </c>
      <c r="Q1094" s="8" t="s">
        <v>186</v>
      </c>
      <c r="R1094" s="8" t="s">
        <v>227</v>
      </c>
      <c r="S1094" s="8"/>
      <c r="T1094" s="8"/>
      <c r="U1094" s="8" t="s">
        <v>384</v>
      </c>
      <c r="V1094" s="8"/>
      <c r="W1094" s="8" t="s">
        <v>380</v>
      </c>
      <c r="X1094" s="8" t="s">
        <v>99</v>
      </c>
      <c r="Y1094" s="8" t="s">
        <v>23</v>
      </c>
    </row>
    <row r="1095" spans="1:25" hidden="1" x14ac:dyDescent="0.25">
      <c r="A1095" s="273" t="s">
        <v>317</v>
      </c>
      <c r="B1095" s="251">
        <v>45869</v>
      </c>
      <c r="C1095" s="252" t="s">
        <v>773</v>
      </c>
      <c r="D1095" s="252"/>
      <c r="E1095" s="253">
        <v>369.77</v>
      </c>
      <c r="F1095" s="253">
        <v>0</v>
      </c>
      <c r="G1095" s="274">
        <f>Tabla3[[#This Row],[INGRESOS]]-Tabla3[[#This Row],[EGRESOS]]</f>
        <v>-369.77</v>
      </c>
      <c r="H1095" s="137">
        <v>-369.77</v>
      </c>
      <c r="I1095" s="135">
        <v>1290</v>
      </c>
      <c r="J1095" s="136">
        <f>Tabla3[[#This Row],[EGRESOS]]/Tabla3[[#This Row],[TC]]</f>
        <v>0.28664341085271317</v>
      </c>
      <c r="K1095" s="136">
        <f>Tabla3[[#This Row],[INGRESOS]]/Tabla3[[#This Row],[TC]]</f>
        <v>0</v>
      </c>
      <c r="L1095" s="8" t="s">
        <v>376</v>
      </c>
      <c r="M1095" s="8" t="s">
        <v>758</v>
      </c>
      <c r="N1095" s="8" t="s">
        <v>20</v>
      </c>
      <c r="O1095" s="8" t="s">
        <v>184</v>
      </c>
      <c r="P1095" s="8" t="s">
        <v>195</v>
      </c>
      <c r="Q1095" s="8" t="s">
        <v>196</v>
      </c>
      <c r="R1095" s="8" t="s">
        <v>394</v>
      </c>
      <c r="S1095" s="8" t="s">
        <v>383</v>
      </c>
      <c r="T1095" s="8"/>
      <c r="U1095" s="8" t="s">
        <v>384</v>
      </c>
      <c r="V1095" s="8"/>
      <c r="W1095" s="8" t="s">
        <v>380</v>
      </c>
      <c r="X1095" s="8" t="s">
        <v>99</v>
      </c>
      <c r="Y1095" s="8" t="s">
        <v>23</v>
      </c>
    </row>
    <row r="1096" spans="1:25" hidden="1" x14ac:dyDescent="0.25">
      <c r="A1096" s="273" t="s">
        <v>317</v>
      </c>
      <c r="B1096" s="251">
        <v>45869</v>
      </c>
      <c r="C1096" s="252" t="s">
        <v>761</v>
      </c>
      <c r="D1096" s="252"/>
      <c r="E1096" s="253">
        <v>0</v>
      </c>
      <c r="F1096" s="253">
        <v>369.77</v>
      </c>
      <c r="G1096" s="274">
        <f>Tabla3[[#This Row],[INGRESOS]]-Tabla3[[#This Row],[EGRESOS]]</f>
        <v>369.77</v>
      </c>
      <c r="H1096" s="137">
        <v>0</v>
      </c>
      <c r="I1096" s="135">
        <v>1290</v>
      </c>
      <c r="J1096" s="136">
        <f>Tabla3[[#This Row],[EGRESOS]]/Tabla3[[#This Row],[TC]]</f>
        <v>0</v>
      </c>
      <c r="K1096" s="136">
        <f>Tabla3[[#This Row],[INGRESOS]]/Tabla3[[#This Row],[TC]]</f>
        <v>0.28664341085271317</v>
      </c>
      <c r="L1096" s="8" t="s">
        <v>376</v>
      </c>
      <c r="M1096" s="8" t="s">
        <v>758</v>
      </c>
      <c r="N1096" s="8" t="s">
        <v>20</v>
      </c>
      <c r="O1096" s="8" t="s">
        <v>244</v>
      </c>
      <c r="P1096" s="8" t="s">
        <v>259</v>
      </c>
      <c r="Q1096" s="8" t="s">
        <v>260</v>
      </c>
      <c r="R1096" s="8" t="s">
        <v>405</v>
      </c>
      <c r="S1096" s="8"/>
      <c r="T1096" s="8"/>
      <c r="U1096" s="8" t="s">
        <v>379</v>
      </c>
      <c r="V1096" s="8"/>
      <c r="W1096" s="8" t="s">
        <v>380</v>
      </c>
      <c r="X1096" s="8"/>
      <c r="Y1096" s="8"/>
    </row>
    <row r="1097" spans="1:25" hidden="1" x14ac:dyDescent="0.25">
      <c r="A1097" s="273" t="str">
        <f t="shared" ref="A1097:A1104" si="8">"AGOSTO"</f>
        <v>AGOSTO</v>
      </c>
      <c r="B1097" s="251">
        <v>45887</v>
      </c>
      <c r="C1097" s="252" t="s">
        <v>757</v>
      </c>
      <c r="D1097" s="252"/>
      <c r="E1097" s="253">
        <v>836733.12</v>
      </c>
      <c r="F1097" s="253">
        <v>0</v>
      </c>
      <c r="G1097" s="274">
        <f>Tabla3[[#This Row],[INGRESOS]]-Tabla3[[#This Row],[EGRESOS]]</f>
        <v>-836733.12</v>
      </c>
      <c r="H1097" s="137">
        <v>-836733.12</v>
      </c>
      <c r="I1097" s="135">
        <v>1350</v>
      </c>
      <c r="J1097" s="136">
        <f>Tabla3[[#This Row],[EGRESOS]]/Tabla3[[#This Row],[TC]]</f>
        <v>619.80231111111107</v>
      </c>
      <c r="K1097" s="136">
        <f>Tabla3[[#This Row],[INGRESOS]]/Tabla3[[#This Row],[TC]]</f>
        <v>0</v>
      </c>
      <c r="L1097" s="8" t="s">
        <v>376</v>
      </c>
      <c r="M1097" s="8" t="s">
        <v>758</v>
      </c>
      <c r="N1097" s="8" t="s">
        <v>20</v>
      </c>
      <c r="O1097" s="8" t="s">
        <v>184</v>
      </c>
      <c r="P1097" s="8" t="s">
        <v>199</v>
      </c>
      <c r="Q1097" s="8" t="s">
        <v>201</v>
      </c>
      <c r="R1097" s="8" t="s">
        <v>772</v>
      </c>
      <c r="S1097" s="8" t="s">
        <v>389</v>
      </c>
      <c r="T1097" s="8"/>
      <c r="U1097" s="8" t="s">
        <v>390</v>
      </c>
      <c r="V1097" s="8"/>
      <c r="W1097" s="8" t="s">
        <v>380</v>
      </c>
      <c r="X1097" s="8" t="s">
        <v>99</v>
      </c>
      <c r="Y1097" s="8" t="s">
        <v>23</v>
      </c>
    </row>
    <row r="1098" spans="1:25" hidden="1" x14ac:dyDescent="0.25">
      <c r="A1098" s="273" t="str">
        <f t="shared" si="8"/>
        <v>AGOSTO</v>
      </c>
      <c r="B1098" s="251">
        <v>45887</v>
      </c>
      <c r="C1098" s="252" t="s">
        <v>773</v>
      </c>
      <c r="D1098" s="252"/>
      <c r="E1098" s="253">
        <v>5020.3999999999996</v>
      </c>
      <c r="F1098" s="253">
        <v>0</v>
      </c>
      <c r="G1098" s="274">
        <f>Tabla3[[#This Row],[INGRESOS]]-Tabla3[[#This Row],[EGRESOS]]</f>
        <v>-5020.3999999999996</v>
      </c>
      <c r="H1098" s="137">
        <v>-841753.52</v>
      </c>
      <c r="I1098" s="135">
        <v>1350</v>
      </c>
      <c r="J1098" s="136">
        <f>Tabla3[[#This Row],[EGRESOS]]/Tabla3[[#This Row],[TC]]</f>
        <v>3.7188148148148144</v>
      </c>
      <c r="K1098" s="136">
        <f>Tabla3[[#This Row],[INGRESOS]]/Tabla3[[#This Row],[TC]]</f>
        <v>0</v>
      </c>
      <c r="L1098" s="8" t="s">
        <v>376</v>
      </c>
      <c r="M1098" s="8" t="s">
        <v>758</v>
      </c>
      <c r="N1098" s="8" t="s">
        <v>20</v>
      </c>
      <c r="O1098" s="8" t="s">
        <v>184</v>
      </c>
      <c r="P1098" s="8" t="s">
        <v>195</v>
      </c>
      <c r="Q1098" s="8" t="s">
        <v>196</v>
      </c>
      <c r="R1098" s="8" t="s">
        <v>394</v>
      </c>
      <c r="S1098" s="8" t="s">
        <v>383</v>
      </c>
      <c r="T1098" s="8"/>
      <c r="U1098" s="8" t="s">
        <v>384</v>
      </c>
      <c r="V1098" s="8"/>
      <c r="W1098" s="8" t="s">
        <v>380</v>
      </c>
      <c r="X1098" s="8" t="s">
        <v>99</v>
      </c>
      <c r="Y1098" s="8" t="s">
        <v>23</v>
      </c>
    </row>
    <row r="1099" spans="1:25" hidden="1" x14ac:dyDescent="0.25">
      <c r="A1099" s="273" t="str">
        <f t="shared" si="8"/>
        <v>AGOSTO</v>
      </c>
      <c r="B1099" s="251">
        <v>45887</v>
      </c>
      <c r="C1099" s="252" t="s">
        <v>761</v>
      </c>
      <c r="D1099" s="252"/>
      <c r="E1099" s="253">
        <v>0</v>
      </c>
      <c r="F1099" s="253">
        <v>841753.52</v>
      </c>
      <c r="G1099" s="274">
        <f>Tabla3[[#This Row],[INGRESOS]]-Tabla3[[#This Row],[EGRESOS]]</f>
        <v>841753.52</v>
      </c>
      <c r="H1099" s="137">
        <v>0</v>
      </c>
      <c r="I1099" s="135">
        <v>1350</v>
      </c>
      <c r="J1099" s="136">
        <f>Tabla3[[#This Row],[EGRESOS]]/Tabla3[[#This Row],[TC]]</f>
        <v>0</v>
      </c>
      <c r="K1099" s="136">
        <f>Tabla3[[#This Row],[INGRESOS]]/Tabla3[[#This Row],[TC]]</f>
        <v>623.52112592592596</v>
      </c>
      <c r="L1099" s="8" t="s">
        <v>376</v>
      </c>
      <c r="M1099" s="8" t="s">
        <v>758</v>
      </c>
      <c r="N1099" s="8" t="s">
        <v>20</v>
      </c>
      <c r="O1099" s="8" t="s">
        <v>244</v>
      </c>
      <c r="P1099" s="8" t="s">
        <v>259</v>
      </c>
      <c r="Q1099" s="8" t="s">
        <v>260</v>
      </c>
      <c r="R1099" s="8" t="s">
        <v>405</v>
      </c>
      <c r="S1099" s="8"/>
      <c r="T1099" s="8"/>
      <c r="U1099" s="8" t="s">
        <v>379</v>
      </c>
      <c r="V1099" s="8"/>
      <c r="W1099" s="8"/>
      <c r="X1099" s="8"/>
      <c r="Y1099" s="8"/>
    </row>
    <row r="1100" spans="1:25" hidden="1" x14ac:dyDescent="0.25">
      <c r="A1100" s="273" t="str">
        <f t="shared" si="8"/>
        <v>AGOSTO</v>
      </c>
      <c r="B1100" s="251">
        <v>45897</v>
      </c>
      <c r="C1100" s="252" t="s">
        <v>762</v>
      </c>
      <c r="D1100" s="252"/>
      <c r="E1100" s="253">
        <v>10437</v>
      </c>
      <c r="F1100" s="253">
        <v>0</v>
      </c>
      <c r="G1100" s="274">
        <f>Tabla3[[#This Row],[INGRESOS]]-Tabla3[[#This Row],[EGRESOS]]</f>
        <v>-10437</v>
      </c>
      <c r="H1100" s="137">
        <v>-10437</v>
      </c>
      <c r="I1100" s="135">
        <v>1350</v>
      </c>
      <c r="J1100" s="136">
        <f>Tabla3[[#This Row],[EGRESOS]]/Tabla3[[#This Row],[TC]]</f>
        <v>7.7311111111111108</v>
      </c>
      <c r="K1100" s="136">
        <f>Tabla3[[#This Row],[INGRESOS]]/Tabla3[[#This Row],[TC]]</f>
        <v>0</v>
      </c>
      <c r="L1100" s="8" t="s">
        <v>376</v>
      </c>
      <c r="M1100" s="8" t="s">
        <v>758</v>
      </c>
      <c r="N1100" s="8" t="s">
        <v>20</v>
      </c>
      <c r="O1100" s="8" t="s">
        <v>184</v>
      </c>
      <c r="P1100" s="8" t="s">
        <v>195</v>
      </c>
      <c r="Q1100" s="8" t="s">
        <v>196</v>
      </c>
      <c r="R1100" s="8" t="s">
        <v>382</v>
      </c>
      <c r="S1100" s="8" t="s">
        <v>383</v>
      </c>
      <c r="T1100" s="8"/>
      <c r="U1100" s="8" t="s">
        <v>384</v>
      </c>
      <c r="V1100" s="8"/>
      <c r="W1100" s="8" t="s">
        <v>380</v>
      </c>
      <c r="X1100" s="8" t="s">
        <v>99</v>
      </c>
      <c r="Y1100" s="8" t="s">
        <v>23</v>
      </c>
    </row>
    <row r="1101" spans="1:25" hidden="1" x14ac:dyDescent="0.25">
      <c r="A1101" s="273" t="str">
        <f t="shared" si="8"/>
        <v>AGOSTO</v>
      </c>
      <c r="B1101" s="251">
        <v>45897</v>
      </c>
      <c r="C1101" s="252" t="s">
        <v>763</v>
      </c>
      <c r="D1101" s="252"/>
      <c r="E1101" s="253">
        <v>1491</v>
      </c>
      <c r="F1101" s="253">
        <v>0</v>
      </c>
      <c r="G1101" s="274">
        <f>Tabla3[[#This Row],[INGRESOS]]-Tabla3[[#This Row],[EGRESOS]]</f>
        <v>-1491</v>
      </c>
      <c r="H1101" s="137">
        <v>-11928</v>
      </c>
      <c r="I1101" s="135">
        <v>1350</v>
      </c>
      <c r="J1101" s="136">
        <f>Tabla3[[#This Row],[EGRESOS]]/Tabla3[[#This Row],[TC]]</f>
        <v>1.1044444444444443</v>
      </c>
      <c r="K1101" s="136">
        <f>Tabla3[[#This Row],[INGRESOS]]/Tabla3[[#This Row],[TC]]</f>
        <v>0</v>
      </c>
      <c r="L1101" s="8" t="s">
        <v>376</v>
      </c>
      <c r="M1101" s="8" t="s">
        <v>758</v>
      </c>
      <c r="N1101" s="8" t="s">
        <v>20</v>
      </c>
      <c r="O1101" s="8" t="s">
        <v>184</v>
      </c>
      <c r="P1101" s="8" t="s">
        <v>195</v>
      </c>
      <c r="Q1101" s="8" t="s">
        <v>196</v>
      </c>
      <c r="R1101" s="8" t="s">
        <v>417</v>
      </c>
      <c r="S1101" s="8" t="s">
        <v>383</v>
      </c>
      <c r="T1101" s="8"/>
      <c r="U1101" s="8" t="s">
        <v>384</v>
      </c>
      <c r="V1101" s="8"/>
      <c r="W1101" s="8" t="s">
        <v>380</v>
      </c>
      <c r="X1101" s="8" t="s">
        <v>99</v>
      </c>
      <c r="Y1101" s="8" t="s">
        <v>23</v>
      </c>
    </row>
    <row r="1102" spans="1:25" hidden="1" x14ac:dyDescent="0.25">
      <c r="A1102" s="273" t="str">
        <f t="shared" si="8"/>
        <v>AGOSTO</v>
      </c>
      <c r="B1102" s="251">
        <v>45897</v>
      </c>
      <c r="C1102" s="252" t="s">
        <v>765</v>
      </c>
      <c r="D1102" s="252"/>
      <c r="E1102" s="253">
        <v>49700</v>
      </c>
      <c r="F1102" s="253">
        <v>0</v>
      </c>
      <c r="G1102" s="274">
        <f>Tabla3[[#This Row],[INGRESOS]]-Tabla3[[#This Row],[EGRESOS]]</f>
        <v>-49700</v>
      </c>
      <c r="H1102" s="137">
        <v>-61628</v>
      </c>
      <c r="I1102" s="135">
        <v>1350</v>
      </c>
      <c r="J1102" s="136">
        <f>Tabla3[[#This Row],[EGRESOS]]/Tabla3[[#This Row],[TC]]</f>
        <v>36.814814814814817</v>
      </c>
      <c r="K1102" s="136">
        <f>Tabla3[[#This Row],[INGRESOS]]/Tabla3[[#This Row],[TC]]</f>
        <v>0</v>
      </c>
      <c r="L1102" s="8" t="s">
        <v>376</v>
      </c>
      <c r="M1102" s="8" t="s">
        <v>758</v>
      </c>
      <c r="N1102" s="8" t="s">
        <v>20</v>
      </c>
      <c r="O1102" s="8" t="s">
        <v>184</v>
      </c>
      <c r="P1102" s="8" t="s">
        <v>185</v>
      </c>
      <c r="Q1102" s="8" t="s">
        <v>186</v>
      </c>
      <c r="R1102" s="8" t="s">
        <v>227</v>
      </c>
      <c r="S1102" s="8"/>
      <c r="T1102" s="8"/>
      <c r="U1102" s="8" t="s">
        <v>384</v>
      </c>
      <c r="V1102" s="8"/>
      <c r="W1102" s="8" t="s">
        <v>380</v>
      </c>
      <c r="X1102" s="8" t="s">
        <v>99</v>
      </c>
      <c r="Y1102" s="8" t="s">
        <v>23</v>
      </c>
    </row>
    <row r="1103" spans="1:25" hidden="1" x14ac:dyDescent="0.25">
      <c r="A1103" s="247" t="str">
        <f t="shared" si="8"/>
        <v>AGOSTO</v>
      </c>
      <c r="B1103" s="248">
        <v>45897</v>
      </c>
      <c r="C1103" s="244" t="s">
        <v>773</v>
      </c>
      <c r="D1103" s="244"/>
      <c r="E1103" s="249">
        <v>369.77</v>
      </c>
      <c r="F1103" s="249">
        <v>0</v>
      </c>
      <c r="G1103" s="266">
        <f>Tabla3[[#This Row],[INGRESOS]]-Tabla3[[#This Row],[EGRESOS]]</f>
        <v>-369.77</v>
      </c>
      <c r="H1103" s="132">
        <v>-61997.77</v>
      </c>
      <c r="I1103" s="119">
        <v>1350</v>
      </c>
      <c r="J1103" s="99">
        <f>Tabla3[[#This Row],[EGRESOS]]/Tabla3[[#This Row],[TC]]</f>
        <v>0.2739037037037037</v>
      </c>
      <c r="K1103" s="99">
        <f>Tabla3[[#This Row],[INGRESOS]]/Tabla3[[#This Row],[TC]]</f>
        <v>0</v>
      </c>
      <c r="L1103" s="7" t="s">
        <v>376</v>
      </c>
      <c r="M1103" s="7" t="s">
        <v>758</v>
      </c>
      <c r="N1103" s="7" t="s">
        <v>20</v>
      </c>
      <c r="O1103" s="7" t="s">
        <v>184</v>
      </c>
      <c r="P1103" s="7" t="s">
        <v>195</v>
      </c>
      <c r="Q1103" s="7" t="s">
        <v>196</v>
      </c>
      <c r="R1103" s="7" t="s">
        <v>394</v>
      </c>
      <c r="S1103" s="7" t="s">
        <v>383</v>
      </c>
      <c r="T1103" s="7"/>
      <c r="U1103" s="7" t="s">
        <v>384</v>
      </c>
      <c r="V1103" s="7"/>
      <c r="W1103" s="7" t="s">
        <v>380</v>
      </c>
      <c r="X1103" s="7" t="s">
        <v>99</v>
      </c>
      <c r="Y1103" s="7" t="s">
        <v>23</v>
      </c>
    </row>
    <row r="1104" spans="1:25" hidden="1" x14ac:dyDescent="0.25">
      <c r="A1104" s="247" t="str">
        <f t="shared" si="8"/>
        <v>AGOSTO</v>
      </c>
      <c r="B1104" s="248">
        <v>45897</v>
      </c>
      <c r="C1104" s="244" t="s">
        <v>761</v>
      </c>
      <c r="D1104" s="244"/>
      <c r="E1104" s="249">
        <v>0</v>
      </c>
      <c r="F1104" s="249">
        <v>61997.77</v>
      </c>
      <c r="G1104" s="266">
        <f>Tabla3[[#This Row],[INGRESOS]]-Tabla3[[#This Row],[EGRESOS]]</f>
        <v>61997.77</v>
      </c>
      <c r="H1104" s="132">
        <v>0</v>
      </c>
      <c r="I1104" s="119">
        <v>1350</v>
      </c>
      <c r="J1104" s="99">
        <f>Tabla3[[#This Row],[EGRESOS]]/Tabla3[[#This Row],[TC]]</f>
        <v>0</v>
      </c>
      <c r="K1104" s="99">
        <f>Tabla3[[#This Row],[INGRESOS]]/Tabla3[[#This Row],[TC]]</f>
        <v>45.92427407407407</v>
      </c>
      <c r="L1104" s="7" t="s">
        <v>376</v>
      </c>
      <c r="M1104" s="7" t="s">
        <v>758</v>
      </c>
      <c r="N1104" s="7" t="s">
        <v>20</v>
      </c>
      <c r="O1104" s="7" t="s">
        <v>244</v>
      </c>
      <c r="P1104" s="7" t="s">
        <v>259</v>
      </c>
      <c r="Q1104" s="7" t="s">
        <v>260</v>
      </c>
      <c r="R1104" s="7" t="s">
        <v>405</v>
      </c>
      <c r="S1104" s="7"/>
      <c r="T1104" s="7"/>
      <c r="U1104" s="7" t="s">
        <v>379</v>
      </c>
      <c r="V1104" s="7"/>
      <c r="W1104" s="7" t="s">
        <v>380</v>
      </c>
      <c r="X1104" s="7"/>
      <c r="Y1104" s="7"/>
    </row>
    <row r="1105" spans="1:25" hidden="1" x14ac:dyDescent="0.25">
      <c r="A1105" s="247" t="str">
        <f>"SEPTIEMBRE"</f>
        <v>SEPTIEMBRE</v>
      </c>
      <c r="B1105" s="248">
        <v>45929</v>
      </c>
      <c r="C1105" s="244" t="s">
        <v>761</v>
      </c>
      <c r="D1105" s="244"/>
      <c r="E1105" s="249">
        <v>0</v>
      </c>
      <c r="F1105" s="249">
        <v>61628</v>
      </c>
      <c r="G1105" s="266">
        <f>Tabla3[[#This Row],[INGRESOS]]-Tabla3[[#This Row],[EGRESOS]]</f>
        <v>61628</v>
      </c>
      <c r="H1105" s="132">
        <v>61628</v>
      </c>
      <c r="I1105" s="119">
        <v>1400</v>
      </c>
      <c r="J1105" s="99">
        <f>Tabla3[[#This Row],[EGRESOS]]/Tabla3[[#This Row],[TC]]</f>
        <v>0</v>
      </c>
      <c r="K1105" s="99">
        <f>Tabla3[[#This Row],[INGRESOS]]/Tabla3[[#This Row],[TC]]</f>
        <v>44.02</v>
      </c>
      <c r="L1105" s="7" t="s">
        <v>376</v>
      </c>
      <c r="M1105" s="7" t="s">
        <v>758</v>
      </c>
      <c r="N1105" s="7" t="s">
        <v>20</v>
      </c>
      <c r="O1105" s="7" t="s">
        <v>244</v>
      </c>
      <c r="P1105" s="7" t="s">
        <v>259</v>
      </c>
      <c r="Q1105" s="7" t="s">
        <v>260</v>
      </c>
      <c r="R1105" s="7" t="s">
        <v>405</v>
      </c>
      <c r="S1105" s="7"/>
      <c r="T1105" s="7"/>
      <c r="U1105" s="7" t="s">
        <v>379</v>
      </c>
      <c r="V1105" s="7"/>
      <c r="W1105" s="7" t="s">
        <v>380</v>
      </c>
      <c r="X1105" s="7"/>
      <c r="Y1105" s="7"/>
    </row>
    <row r="1106" spans="1:25" hidden="1" x14ac:dyDescent="0.25">
      <c r="A1106" s="247" t="s">
        <v>319</v>
      </c>
      <c r="B1106" s="248">
        <v>45930</v>
      </c>
      <c r="C1106" s="244" t="s">
        <v>762</v>
      </c>
      <c r="D1106" s="244"/>
      <c r="E1106" s="249">
        <v>10437</v>
      </c>
      <c r="F1106" s="249">
        <v>0</v>
      </c>
      <c r="G1106" s="266">
        <f>Tabla3[[#This Row],[INGRESOS]]-Tabla3[[#This Row],[EGRESOS]]</f>
        <v>-10437</v>
      </c>
      <c r="H1106" s="132">
        <v>51191</v>
      </c>
      <c r="I1106" s="119">
        <v>1400</v>
      </c>
      <c r="J1106" s="99">
        <f>Tabla3[[#This Row],[EGRESOS]]/Tabla3[[#This Row],[TC]]</f>
        <v>7.4550000000000001</v>
      </c>
      <c r="K1106" s="99">
        <f>Tabla3[[#This Row],[INGRESOS]]/Tabla3[[#This Row],[TC]]</f>
        <v>0</v>
      </c>
      <c r="L1106" s="7" t="s">
        <v>376</v>
      </c>
      <c r="M1106" s="7" t="s">
        <v>758</v>
      </c>
      <c r="N1106" s="7" t="s">
        <v>20</v>
      </c>
      <c r="O1106" s="7" t="s">
        <v>184</v>
      </c>
      <c r="P1106" s="7" t="s">
        <v>195</v>
      </c>
      <c r="Q1106" s="7" t="s">
        <v>196</v>
      </c>
      <c r="R1106" s="7" t="s">
        <v>417</v>
      </c>
      <c r="S1106" s="7" t="s">
        <v>383</v>
      </c>
      <c r="T1106" s="7"/>
      <c r="U1106" s="7" t="s">
        <v>384</v>
      </c>
      <c r="V1106" s="7"/>
      <c r="W1106" s="7" t="s">
        <v>380</v>
      </c>
      <c r="X1106" s="7" t="s">
        <v>99</v>
      </c>
      <c r="Y1106" s="7" t="s">
        <v>23</v>
      </c>
    </row>
    <row r="1107" spans="1:25" hidden="1" x14ac:dyDescent="0.25">
      <c r="A1107" s="247" t="s">
        <v>319</v>
      </c>
      <c r="B1107" s="248">
        <v>45930</v>
      </c>
      <c r="C1107" s="244" t="s">
        <v>763</v>
      </c>
      <c r="D1107" s="244"/>
      <c r="E1107" s="249">
        <v>1491</v>
      </c>
      <c r="F1107" s="249">
        <v>0</v>
      </c>
      <c r="G1107" s="266">
        <f>Tabla3[[#This Row],[INGRESOS]]-Tabla3[[#This Row],[EGRESOS]]</f>
        <v>-1491</v>
      </c>
      <c r="H1107" s="132">
        <v>49700</v>
      </c>
      <c r="I1107" s="119">
        <v>1400</v>
      </c>
      <c r="J1107" s="99">
        <f>Tabla3[[#This Row],[EGRESOS]]/Tabla3[[#This Row],[TC]]</f>
        <v>1.0649999999999999</v>
      </c>
      <c r="K1107" s="99">
        <f>Tabla3[[#This Row],[INGRESOS]]/Tabla3[[#This Row],[TC]]</f>
        <v>0</v>
      </c>
      <c r="L1107" s="7" t="s">
        <v>376</v>
      </c>
      <c r="M1107" s="7" t="s">
        <v>758</v>
      </c>
      <c r="N1107" s="7" t="s">
        <v>20</v>
      </c>
      <c r="O1107" s="7" t="s">
        <v>184</v>
      </c>
      <c r="P1107" s="7" t="s">
        <v>195</v>
      </c>
      <c r="Q1107" s="7" t="s">
        <v>196</v>
      </c>
      <c r="R1107" s="7" t="s">
        <v>417</v>
      </c>
      <c r="S1107" s="7" t="s">
        <v>383</v>
      </c>
      <c r="T1107" s="7"/>
      <c r="U1107" s="7" t="s">
        <v>384</v>
      </c>
      <c r="V1107" s="7"/>
      <c r="W1107" s="7" t="s">
        <v>380</v>
      </c>
      <c r="X1107" s="7" t="s">
        <v>99</v>
      </c>
      <c r="Y1107" s="7" t="s">
        <v>23</v>
      </c>
    </row>
    <row r="1108" spans="1:25" hidden="1" x14ac:dyDescent="0.25">
      <c r="A1108" s="247" t="s">
        <v>319</v>
      </c>
      <c r="B1108" s="248">
        <v>45930</v>
      </c>
      <c r="C1108" s="244" t="s">
        <v>765</v>
      </c>
      <c r="D1108" s="244"/>
      <c r="E1108" s="249">
        <v>49700</v>
      </c>
      <c r="F1108" s="249">
        <v>0</v>
      </c>
      <c r="G1108" s="266">
        <f>Tabla3[[#This Row],[INGRESOS]]-Tabla3[[#This Row],[EGRESOS]]</f>
        <v>-49700</v>
      </c>
      <c r="H1108" s="132">
        <v>0</v>
      </c>
      <c r="I1108" s="119">
        <v>1400</v>
      </c>
      <c r="J1108" s="99">
        <f>Tabla3[[#This Row],[EGRESOS]]/Tabla3[[#This Row],[TC]]</f>
        <v>35.5</v>
      </c>
      <c r="K1108" s="99">
        <f>Tabla3[[#This Row],[INGRESOS]]/Tabla3[[#This Row],[TC]]</f>
        <v>0</v>
      </c>
      <c r="L1108" s="7" t="s">
        <v>376</v>
      </c>
      <c r="M1108" s="7" t="s">
        <v>758</v>
      </c>
      <c r="N1108" s="7" t="s">
        <v>20</v>
      </c>
      <c r="O1108" s="7" t="s">
        <v>184</v>
      </c>
      <c r="P1108" s="7" t="s">
        <v>185</v>
      </c>
      <c r="Q1108" s="7" t="s">
        <v>186</v>
      </c>
      <c r="R1108" s="7" t="s">
        <v>227</v>
      </c>
      <c r="S1108" s="7"/>
      <c r="T1108" s="7"/>
      <c r="U1108" s="7" t="s">
        <v>384</v>
      </c>
      <c r="V1108" s="7"/>
      <c r="W1108" s="7" t="s">
        <v>380</v>
      </c>
      <c r="X1108" s="7" t="s">
        <v>99</v>
      </c>
      <c r="Y1108" s="7" t="s">
        <v>23</v>
      </c>
    </row>
    <row r="1109" spans="1:25" hidden="1" x14ac:dyDescent="0.25">
      <c r="A1109" s="247" t="s">
        <v>320</v>
      </c>
      <c r="B1109" s="248">
        <v>45960</v>
      </c>
      <c r="C1109" s="244" t="s">
        <v>761</v>
      </c>
      <c r="D1109" s="244"/>
      <c r="E1109" s="249">
        <v>0</v>
      </c>
      <c r="F1109" s="249">
        <v>66588</v>
      </c>
      <c r="G1109" s="266">
        <f>Tabla3[[#This Row],[INGRESOS]]-Tabla3[[#This Row],[EGRESOS]]</f>
        <v>66588</v>
      </c>
      <c r="H1109" s="132">
        <v>66588</v>
      </c>
      <c r="I1109" s="119">
        <v>1400</v>
      </c>
      <c r="J1109" s="99">
        <f>Tabla3[[#This Row],[EGRESOS]]/Tabla3[[#This Row],[TC]]</f>
        <v>0</v>
      </c>
      <c r="K1109" s="99">
        <f>Tabla3[[#This Row],[INGRESOS]]/Tabla3[[#This Row],[TC]]</f>
        <v>47.562857142857141</v>
      </c>
      <c r="L1109" s="7" t="s">
        <v>376</v>
      </c>
      <c r="M1109" s="7" t="s">
        <v>758</v>
      </c>
      <c r="N1109" s="7" t="s">
        <v>20</v>
      </c>
      <c r="O1109" s="7" t="s">
        <v>244</v>
      </c>
      <c r="P1109" s="7" t="s">
        <v>259</v>
      </c>
      <c r="Q1109" s="7" t="s">
        <v>260</v>
      </c>
      <c r="R1109" s="7" t="s">
        <v>405</v>
      </c>
      <c r="S1109" s="7"/>
      <c r="T1109" s="7"/>
      <c r="U1109" s="7" t="s">
        <v>379</v>
      </c>
      <c r="V1109" s="7"/>
      <c r="W1109" s="7" t="s">
        <v>380</v>
      </c>
      <c r="X1109" s="7"/>
      <c r="Y1109" s="7"/>
    </row>
    <row r="1110" spans="1:25" hidden="1" x14ac:dyDescent="0.25">
      <c r="A1110" s="247" t="s">
        <v>320</v>
      </c>
      <c r="B1110" s="248">
        <v>45961</v>
      </c>
      <c r="C1110" s="244" t="s">
        <v>762</v>
      </c>
      <c r="D1110" s="244"/>
      <c r="E1110" s="249">
        <v>11277</v>
      </c>
      <c r="F1110" s="249">
        <v>0</v>
      </c>
      <c r="G1110" s="266">
        <f>Tabla3[[#This Row],[INGRESOS]]-Tabla3[[#This Row],[EGRESOS]]</f>
        <v>-11277</v>
      </c>
      <c r="H1110" s="132">
        <v>55311</v>
      </c>
      <c r="I1110" s="119">
        <v>1400</v>
      </c>
      <c r="J1110" s="99">
        <f>Tabla3[[#This Row],[EGRESOS]]/Tabla3[[#This Row],[TC]]</f>
        <v>8.0549999999999997</v>
      </c>
      <c r="K1110" s="99">
        <f>Tabla3[[#This Row],[INGRESOS]]/Tabla3[[#This Row],[TC]]</f>
        <v>0</v>
      </c>
      <c r="L1110" s="7" t="s">
        <v>376</v>
      </c>
      <c r="M1110" s="7" t="s">
        <v>758</v>
      </c>
      <c r="N1110" s="7" t="s">
        <v>20</v>
      </c>
      <c r="O1110" s="7" t="s">
        <v>184</v>
      </c>
      <c r="P1110" s="7" t="s">
        <v>195</v>
      </c>
      <c r="Q1110" s="7" t="s">
        <v>196</v>
      </c>
      <c r="R1110" s="7" t="s">
        <v>382</v>
      </c>
      <c r="S1110" s="7" t="s">
        <v>383</v>
      </c>
      <c r="T1110" s="7"/>
      <c r="U1110" s="7" t="s">
        <v>384</v>
      </c>
      <c r="V1110" s="7"/>
      <c r="W1110" s="7" t="s">
        <v>380</v>
      </c>
      <c r="X1110" s="7" t="s">
        <v>99</v>
      </c>
      <c r="Y1110" s="7" t="s">
        <v>23</v>
      </c>
    </row>
    <row r="1111" spans="1:25" hidden="1" x14ac:dyDescent="0.25">
      <c r="A1111" s="247" t="s">
        <v>320</v>
      </c>
      <c r="B1111" s="248">
        <v>45961</v>
      </c>
      <c r="C1111" s="244" t="s">
        <v>763</v>
      </c>
      <c r="D1111" s="244"/>
      <c r="E1111" s="249">
        <v>1611</v>
      </c>
      <c r="F1111" s="249">
        <v>0</v>
      </c>
      <c r="G1111" s="266">
        <f>Tabla3[[#This Row],[INGRESOS]]-Tabla3[[#This Row],[EGRESOS]]</f>
        <v>-1611</v>
      </c>
      <c r="H1111" s="132">
        <v>53700</v>
      </c>
      <c r="I1111" s="119">
        <v>1400</v>
      </c>
      <c r="J1111" s="99">
        <f>Tabla3[[#This Row],[EGRESOS]]/Tabla3[[#This Row],[TC]]</f>
        <v>1.1507142857142858</v>
      </c>
      <c r="K1111" s="99">
        <f>Tabla3[[#This Row],[INGRESOS]]/Tabla3[[#This Row],[TC]]</f>
        <v>0</v>
      </c>
      <c r="L1111" s="7" t="s">
        <v>376</v>
      </c>
      <c r="M1111" s="7" t="s">
        <v>758</v>
      </c>
      <c r="N1111" s="7" t="s">
        <v>20</v>
      </c>
      <c r="O1111" s="7" t="s">
        <v>184</v>
      </c>
      <c r="P1111" s="7" t="s">
        <v>195</v>
      </c>
      <c r="Q1111" s="7" t="s">
        <v>196</v>
      </c>
      <c r="R1111" s="7" t="s">
        <v>417</v>
      </c>
      <c r="S1111" s="7" t="s">
        <v>383</v>
      </c>
      <c r="T1111" s="7"/>
      <c r="U1111" s="7" t="s">
        <v>384</v>
      </c>
      <c r="V1111" s="7"/>
      <c r="W1111" s="7" t="s">
        <v>380</v>
      </c>
      <c r="X1111" s="7" t="s">
        <v>99</v>
      </c>
      <c r="Y1111" s="7" t="s">
        <v>23</v>
      </c>
    </row>
    <row r="1112" spans="1:25" hidden="1" x14ac:dyDescent="0.25">
      <c r="A1112" s="247" t="s">
        <v>320</v>
      </c>
      <c r="B1112" s="248">
        <v>45961</v>
      </c>
      <c r="C1112" s="244" t="s">
        <v>765</v>
      </c>
      <c r="D1112" s="244"/>
      <c r="E1112" s="249">
        <v>53700</v>
      </c>
      <c r="F1112" s="249">
        <v>0</v>
      </c>
      <c r="G1112" s="266">
        <f>Tabla3[[#This Row],[INGRESOS]]-Tabla3[[#This Row],[EGRESOS]]</f>
        <v>-53700</v>
      </c>
      <c r="H1112" s="132">
        <v>0</v>
      </c>
      <c r="I1112" s="119">
        <v>1400</v>
      </c>
      <c r="J1112" s="99">
        <f>Tabla3[[#This Row],[EGRESOS]]/Tabla3[[#This Row],[TC]]</f>
        <v>38.357142857142854</v>
      </c>
      <c r="K1112" s="99">
        <f>Tabla3[[#This Row],[INGRESOS]]/Tabla3[[#This Row],[TC]]</f>
        <v>0</v>
      </c>
      <c r="L1112" s="7" t="s">
        <v>376</v>
      </c>
      <c r="M1112" s="7" t="s">
        <v>758</v>
      </c>
      <c r="N1112" s="7" t="s">
        <v>20</v>
      </c>
      <c r="O1112" s="7" t="s">
        <v>184</v>
      </c>
      <c r="P1112" s="7" t="s">
        <v>185</v>
      </c>
      <c r="Q1112" s="7" t="s">
        <v>186</v>
      </c>
      <c r="R1112" s="7" t="s">
        <v>227</v>
      </c>
      <c r="S1112" s="7"/>
      <c r="T1112" s="7"/>
      <c r="U1112" s="7" t="s">
        <v>384</v>
      </c>
      <c r="V1112" s="7"/>
      <c r="W1112" s="7" t="s">
        <v>380</v>
      </c>
      <c r="X1112" s="7" t="s">
        <v>99</v>
      </c>
      <c r="Y1112" s="7" t="s">
        <v>23</v>
      </c>
    </row>
    <row r="1113" spans="1:25" hidden="1" x14ac:dyDescent="0.25">
      <c r="A1113" s="247" t="s">
        <v>320</v>
      </c>
      <c r="B1113" s="248">
        <v>45961</v>
      </c>
      <c r="C1113" s="244" t="s">
        <v>761</v>
      </c>
      <c r="D1113" s="244"/>
      <c r="E1113" s="249">
        <v>0</v>
      </c>
      <c r="F1113" s="249">
        <v>399.53</v>
      </c>
      <c r="G1113" s="266">
        <f>Tabla3[[#This Row],[INGRESOS]]-Tabla3[[#This Row],[EGRESOS]]</f>
        <v>399.53</v>
      </c>
      <c r="H1113" s="132">
        <v>-18974</v>
      </c>
      <c r="I1113" s="119">
        <v>1400</v>
      </c>
      <c r="J1113" s="99">
        <f>Tabla3[[#This Row],[EGRESOS]]/Tabla3[[#This Row],[TC]]</f>
        <v>0</v>
      </c>
      <c r="K1113" s="99">
        <f>Tabla3[[#This Row],[INGRESOS]]/Tabla3[[#This Row],[TC]]</f>
        <v>0.28537857142857143</v>
      </c>
      <c r="L1113" s="7" t="s">
        <v>376</v>
      </c>
      <c r="M1113" s="7" t="s">
        <v>758</v>
      </c>
      <c r="N1113" s="7" t="s">
        <v>20</v>
      </c>
      <c r="O1113" s="7" t="s">
        <v>244</v>
      </c>
      <c r="P1113" s="7" t="s">
        <v>259</v>
      </c>
      <c r="Q1113" s="7" t="s">
        <v>260</v>
      </c>
      <c r="R1113" s="7" t="s">
        <v>405</v>
      </c>
      <c r="S1113" s="7"/>
      <c r="T1113" s="7"/>
      <c r="U1113" s="7" t="s">
        <v>379</v>
      </c>
      <c r="V1113" s="7"/>
      <c r="W1113" s="7" t="s">
        <v>380</v>
      </c>
      <c r="X1113" s="7"/>
      <c r="Y1113" s="7"/>
    </row>
    <row r="1114" spans="1:25" hidden="1" x14ac:dyDescent="0.25">
      <c r="A1114" s="247" t="str">
        <f t="shared" ref="A1114:A1126" si="9">"NOVIEMBRE"</f>
        <v>NOVIEMBRE</v>
      </c>
      <c r="B1114" s="248">
        <v>45988</v>
      </c>
      <c r="C1114" s="244" t="s">
        <v>762</v>
      </c>
      <c r="D1114" s="244"/>
      <c r="E1114" s="249">
        <v>11277</v>
      </c>
      <c r="F1114" s="249">
        <v>0</v>
      </c>
      <c r="G1114" s="266">
        <f>Tabla3[[#This Row],[INGRESOS]]-Tabla3[[#This Row],[EGRESOS]]</f>
        <v>-11277</v>
      </c>
      <c r="H1114" s="132">
        <v>-11277</v>
      </c>
      <c r="I1114" s="119">
        <v>1400</v>
      </c>
      <c r="J1114" s="99">
        <f>Tabla3[[#This Row],[EGRESOS]]/Tabla3[[#This Row],[TC]]</f>
        <v>8.0549999999999997</v>
      </c>
      <c r="K1114" s="99">
        <f>Tabla3[[#This Row],[INGRESOS]]/Tabla3[[#This Row],[TC]]</f>
        <v>0</v>
      </c>
      <c r="L1114" s="7" t="s">
        <v>376</v>
      </c>
      <c r="M1114" s="7" t="s">
        <v>758</v>
      </c>
      <c r="N1114" s="7" t="s">
        <v>20</v>
      </c>
      <c r="O1114" s="7" t="s">
        <v>184</v>
      </c>
      <c r="P1114" s="7" t="s">
        <v>195</v>
      </c>
      <c r="Q1114" s="7" t="s">
        <v>196</v>
      </c>
      <c r="R1114" s="7" t="s">
        <v>382</v>
      </c>
      <c r="S1114" s="7" t="s">
        <v>383</v>
      </c>
      <c r="T1114" s="7"/>
      <c r="U1114" s="7" t="s">
        <v>384</v>
      </c>
      <c r="V1114" s="7"/>
      <c r="W1114" s="7" t="s">
        <v>380</v>
      </c>
      <c r="X1114" s="7" t="s">
        <v>99</v>
      </c>
      <c r="Y1114" s="7" t="s">
        <v>23</v>
      </c>
    </row>
    <row r="1115" spans="1:25" hidden="1" x14ac:dyDescent="0.25">
      <c r="A1115" s="273" t="str">
        <f t="shared" si="9"/>
        <v>NOVIEMBRE</v>
      </c>
      <c r="B1115" s="251">
        <v>45988</v>
      </c>
      <c r="C1115" s="252" t="s">
        <v>763</v>
      </c>
      <c r="D1115" s="252"/>
      <c r="E1115" s="253">
        <v>1611</v>
      </c>
      <c r="F1115" s="253">
        <v>0</v>
      </c>
      <c r="G1115" s="274">
        <f>Tabla3[[#This Row],[INGRESOS]]-Tabla3[[#This Row],[EGRESOS]]</f>
        <v>-1611</v>
      </c>
      <c r="H1115" s="137">
        <v>-12888</v>
      </c>
      <c r="I1115" s="135">
        <v>1400</v>
      </c>
      <c r="J1115" s="136">
        <f>Tabla3[[#This Row],[EGRESOS]]/Tabla3[[#This Row],[TC]]</f>
        <v>1.1507142857142858</v>
      </c>
      <c r="K1115" s="136">
        <f>Tabla3[[#This Row],[INGRESOS]]/Tabla3[[#This Row],[TC]]</f>
        <v>0</v>
      </c>
      <c r="L1115" s="8" t="s">
        <v>376</v>
      </c>
      <c r="M1115" s="8" t="s">
        <v>758</v>
      </c>
      <c r="N1115" s="8" t="s">
        <v>20</v>
      </c>
      <c r="O1115" s="7" t="s">
        <v>184</v>
      </c>
      <c r="P1115" s="7" t="s">
        <v>195</v>
      </c>
      <c r="Q1115" s="7" t="s">
        <v>196</v>
      </c>
      <c r="R1115" s="7" t="s">
        <v>417</v>
      </c>
      <c r="S1115" s="7" t="s">
        <v>383</v>
      </c>
      <c r="T1115" s="7"/>
      <c r="U1115" s="7" t="s">
        <v>384</v>
      </c>
      <c r="V1115" s="7"/>
      <c r="W1115" s="7" t="s">
        <v>380</v>
      </c>
      <c r="X1115" s="7" t="s">
        <v>99</v>
      </c>
      <c r="Y1115" s="7" t="s">
        <v>23</v>
      </c>
    </row>
    <row r="1116" spans="1:25" hidden="1" x14ac:dyDescent="0.25">
      <c r="A1116" s="273" t="str">
        <f t="shared" si="9"/>
        <v>NOVIEMBRE</v>
      </c>
      <c r="B1116" s="251">
        <v>45988</v>
      </c>
      <c r="C1116" s="252" t="s">
        <v>765</v>
      </c>
      <c r="D1116" s="252"/>
      <c r="E1116" s="253">
        <v>53700</v>
      </c>
      <c r="F1116" s="253">
        <v>0</v>
      </c>
      <c r="G1116" s="274">
        <f>Tabla3[[#This Row],[INGRESOS]]-Tabla3[[#This Row],[EGRESOS]]</f>
        <v>-53700</v>
      </c>
      <c r="H1116" s="137">
        <v>-66588</v>
      </c>
      <c r="I1116" s="135">
        <v>1400</v>
      </c>
      <c r="J1116" s="136">
        <f>Tabla3[[#This Row],[EGRESOS]]/Tabla3[[#This Row],[TC]]</f>
        <v>38.357142857142854</v>
      </c>
      <c r="K1116" s="136">
        <f>Tabla3[[#This Row],[INGRESOS]]/Tabla3[[#This Row],[TC]]</f>
        <v>0</v>
      </c>
      <c r="L1116" s="8" t="s">
        <v>376</v>
      </c>
      <c r="M1116" s="8" t="s">
        <v>758</v>
      </c>
      <c r="N1116" s="8" t="s">
        <v>20</v>
      </c>
      <c r="O1116" s="7" t="s">
        <v>184</v>
      </c>
      <c r="P1116" s="7" t="s">
        <v>185</v>
      </c>
      <c r="Q1116" s="7" t="s">
        <v>186</v>
      </c>
      <c r="R1116" s="7" t="s">
        <v>227</v>
      </c>
      <c r="S1116" s="7"/>
      <c r="T1116" s="7"/>
      <c r="U1116" s="7" t="s">
        <v>384</v>
      </c>
      <c r="V1116" s="7"/>
      <c r="W1116" s="7" t="s">
        <v>380</v>
      </c>
      <c r="X1116" s="7" t="s">
        <v>99</v>
      </c>
      <c r="Y1116" s="7" t="s">
        <v>23</v>
      </c>
    </row>
    <row r="1117" spans="1:25" hidden="1" x14ac:dyDescent="0.25">
      <c r="A1117" s="273" t="str">
        <f t="shared" si="9"/>
        <v>NOVIEMBRE</v>
      </c>
      <c r="B1117" s="251">
        <v>45988</v>
      </c>
      <c r="C1117" s="252" t="s">
        <v>757</v>
      </c>
      <c r="D1117" s="252"/>
      <c r="E1117" s="253">
        <v>324238.13</v>
      </c>
      <c r="F1117" s="253">
        <v>0</v>
      </c>
      <c r="G1117" s="274">
        <f>Tabla3[[#This Row],[INGRESOS]]-Tabla3[[#This Row],[EGRESOS]]</f>
        <v>-324238.13</v>
      </c>
      <c r="H1117" s="137">
        <v>-390826.13</v>
      </c>
      <c r="I1117" s="135">
        <v>1400</v>
      </c>
      <c r="J1117" s="136">
        <f>Tabla3[[#This Row],[EGRESOS]]/Tabla3[[#This Row],[TC]]</f>
        <v>231.59866428571428</v>
      </c>
      <c r="K1117" s="136">
        <f>Tabla3[[#This Row],[INGRESOS]]/Tabla3[[#This Row],[TC]]</f>
        <v>0</v>
      </c>
      <c r="L1117" s="8" t="s">
        <v>376</v>
      </c>
      <c r="M1117" s="8" t="s">
        <v>758</v>
      </c>
      <c r="N1117" s="8" t="s">
        <v>20</v>
      </c>
      <c r="O1117" s="7" t="s">
        <v>184</v>
      </c>
      <c r="P1117" s="7" t="s">
        <v>199</v>
      </c>
      <c r="Q1117" s="7" t="s">
        <v>201</v>
      </c>
      <c r="R1117" s="7" t="s">
        <v>774</v>
      </c>
      <c r="S1117" s="7" t="s">
        <v>389</v>
      </c>
      <c r="T1117" s="7"/>
      <c r="U1117" s="7" t="s">
        <v>390</v>
      </c>
      <c r="V1117" s="7"/>
      <c r="W1117" s="7" t="s">
        <v>380</v>
      </c>
      <c r="X1117" s="7" t="s">
        <v>99</v>
      </c>
      <c r="Y1117" s="7" t="s">
        <v>23</v>
      </c>
    </row>
    <row r="1118" spans="1:25" hidden="1" x14ac:dyDescent="0.25">
      <c r="A1118" s="273" t="str">
        <f t="shared" si="9"/>
        <v>NOVIEMBRE</v>
      </c>
      <c r="B1118" s="251">
        <v>45988</v>
      </c>
      <c r="C1118" s="252" t="s">
        <v>757</v>
      </c>
      <c r="D1118" s="252"/>
      <c r="E1118" s="253">
        <v>308109.61</v>
      </c>
      <c r="F1118" s="253">
        <v>0</v>
      </c>
      <c r="G1118" s="274">
        <f>Tabla3[[#This Row],[INGRESOS]]-Tabla3[[#This Row],[EGRESOS]]</f>
        <v>-308109.61</v>
      </c>
      <c r="H1118" s="137">
        <v>-698935.74</v>
      </c>
      <c r="I1118" s="135">
        <v>1400</v>
      </c>
      <c r="J1118" s="136">
        <f>Tabla3[[#This Row],[EGRESOS]]/Tabla3[[#This Row],[TC]]</f>
        <v>220.07829285714286</v>
      </c>
      <c r="K1118" s="136">
        <f>Tabla3[[#This Row],[INGRESOS]]/Tabla3[[#This Row],[TC]]</f>
        <v>0</v>
      </c>
      <c r="L1118" s="8" t="s">
        <v>376</v>
      </c>
      <c r="M1118" s="8" t="s">
        <v>758</v>
      </c>
      <c r="N1118" s="8" t="s">
        <v>20</v>
      </c>
      <c r="O1118" s="7" t="s">
        <v>184</v>
      </c>
      <c r="P1118" s="7" t="s">
        <v>199</v>
      </c>
      <c r="Q1118" s="7" t="s">
        <v>201</v>
      </c>
      <c r="R1118" s="7" t="s">
        <v>775</v>
      </c>
      <c r="S1118" s="7" t="s">
        <v>389</v>
      </c>
      <c r="T1118" s="7"/>
      <c r="U1118" s="7" t="s">
        <v>390</v>
      </c>
      <c r="V1118" s="7"/>
      <c r="W1118" s="7" t="s">
        <v>380</v>
      </c>
      <c r="X1118" s="7" t="s">
        <v>99</v>
      </c>
      <c r="Y1118" s="7" t="s">
        <v>23</v>
      </c>
    </row>
    <row r="1119" spans="1:25" hidden="1" x14ac:dyDescent="0.25">
      <c r="A1119" s="273" t="str">
        <f t="shared" si="9"/>
        <v>NOVIEMBRE</v>
      </c>
      <c r="B1119" s="251">
        <v>45988</v>
      </c>
      <c r="C1119" s="252" t="s">
        <v>757</v>
      </c>
      <c r="D1119" s="252"/>
      <c r="E1119" s="253">
        <v>886152.88</v>
      </c>
      <c r="F1119" s="253">
        <v>0</v>
      </c>
      <c r="G1119" s="274">
        <f>Tabla3[[#This Row],[INGRESOS]]-Tabla3[[#This Row],[EGRESOS]]</f>
        <v>-886152.88</v>
      </c>
      <c r="H1119" s="137">
        <v>-1585088.62</v>
      </c>
      <c r="I1119" s="135">
        <v>1400</v>
      </c>
      <c r="J1119" s="136">
        <f>Tabla3[[#This Row],[EGRESOS]]/Tabla3[[#This Row],[TC]]</f>
        <v>632.96634285714288</v>
      </c>
      <c r="K1119" s="136">
        <f>Tabla3[[#This Row],[INGRESOS]]/Tabla3[[#This Row],[TC]]</f>
        <v>0</v>
      </c>
      <c r="L1119" s="8" t="s">
        <v>376</v>
      </c>
      <c r="M1119" s="8" t="s">
        <v>758</v>
      </c>
      <c r="N1119" s="8" t="s">
        <v>20</v>
      </c>
      <c r="O1119" s="7" t="s">
        <v>184</v>
      </c>
      <c r="P1119" s="7" t="s">
        <v>199</v>
      </c>
      <c r="Q1119" s="7" t="s">
        <v>201</v>
      </c>
      <c r="R1119" s="7" t="s">
        <v>776</v>
      </c>
      <c r="S1119" s="7" t="s">
        <v>389</v>
      </c>
      <c r="T1119" s="7"/>
      <c r="U1119" s="7" t="s">
        <v>390</v>
      </c>
      <c r="V1119" s="7"/>
      <c r="W1119" s="7" t="s">
        <v>380</v>
      </c>
      <c r="X1119" s="7" t="s">
        <v>99</v>
      </c>
      <c r="Y1119" s="7" t="s">
        <v>23</v>
      </c>
    </row>
    <row r="1120" spans="1:25" hidden="1" x14ac:dyDescent="0.25">
      <c r="A1120" s="273" t="str">
        <f t="shared" si="9"/>
        <v>NOVIEMBRE</v>
      </c>
      <c r="B1120" s="251">
        <v>45988</v>
      </c>
      <c r="C1120" s="252" t="s">
        <v>757</v>
      </c>
      <c r="D1120" s="252"/>
      <c r="E1120" s="253">
        <v>843428.05</v>
      </c>
      <c r="F1120" s="253">
        <v>0</v>
      </c>
      <c r="G1120" s="274">
        <f>Tabla3[[#This Row],[INGRESOS]]-Tabla3[[#This Row],[EGRESOS]]</f>
        <v>-843428.05</v>
      </c>
      <c r="H1120" s="137">
        <v>-2428516.67</v>
      </c>
      <c r="I1120" s="135">
        <v>1400</v>
      </c>
      <c r="J1120" s="136">
        <f>Tabla3[[#This Row],[EGRESOS]]/Tabla3[[#This Row],[TC]]</f>
        <v>602.44860714285721</v>
      </c>
      <c r="K1120" s="136">
        <f>Tabla3[[#This Row],[INGRESOS]]/Tabla3[[#This Row],[TC]]</f>
        <v>0</v>
      </c>
      <c r="L1120" s="8" t="s">
        <v>376</v>
      </c>
      <c r="M1120" s="8" t="s">
        <v>758</v>
      </c>
      <c r="N1120" s="8" t="s">
        <v>20</v>
      </c>
      <c r="O1120" s="8" t="s">
        <v>184</v>
      </c>
      <c r="P1120" s="8" t="s">
        <v>199</v>
      </c>
      <c r="Q1120" s="8" t="s">
        <v>201</v>
      </c>
      <c r="R1120" s="8" t="s">
        <v>777</v>
      </c>
      <c r="S1120" s="8" t="s">
        <v>389</v>
      </c>
      <c r="T1120" s="8"/>
      <c r="U1120" s="8" t="s">
        <v>390</v>
      </c>
      <c r="V1120" s="8"/>
      <c r="W1120" s="8" t="s">
        <v>380</v>
      </c>
      <c r="X1120" s="8" t="s">
        <v>99</v>
      </c>
      <c r="Y1120" s="8" t="s">
        <v>23</v>
      </c>
    </row>
    <row r="1121" spans="1:25" hidden="1" x14ac:dyDescent="0.25">
      <c r="A1121" s="273" t="str">
        <f t="shared" si="9"/>
        <v>NOVIEMBRE</v>
      </c>
      <c r="B1121" s="251">
        <v>45964</v>
      </c>
      <c r="C1121" s="252" t="s">
        <v>773</v>
      </c>
      <c r="D1121" s="252"/>
      <c r="E1121" s="253">
        <v>399.53</v>
      </c>
      <c r="F1121" s="253">
        <v>0</v>
      </c>
      <c r="G1121" s="274">
        <f>Tabla3[[#This Row],[INGRESOS]]-Tabla3[[#This Row],[EGRESOS]]</f>
        <v>-399.53</v>
      </c>
      <c r="H1121" s="137">
        <v>-46629.5</v>
      </c>
      <c r="I1121" s="135">
        <v>1400</v>
      </c>
      <c r="J1121" s="136">
        <f>Tabla3[[#This Row],[EGRESOS]]/Tabla3[[#This Row],[TC]]</f>
        <v>0.28537857142857143</v>
      </c>
      <c r="K1121" s="136">
        <f>Tabla3[[#This Row],[INGRESOS]]/Tabla3[[#This Row],[TC]]</f>
        <v>0</v>
      </c>
      <c r="L1121" s="8" t="s">
        <v>376</v>
      </c>
      <c r="M1121" s="8" t="s">
        <v>758</v>
      </c>
      <c r="N1121" s="8" t="s">
        <v>20</v>
      </c>
      <c r="O1121" s="8" t="s">
        <v>184</v>
      </c>
      <c r="P1121" s="8" t="s">
        <v>195</v>
      </c>
      <c r="Q1121" s="8" t="s">
        <v>196</v>
      </c>
      <c r="R1121" s="8" t="s">
        <v>394</v>
      </c>
      <c r="S1121" s="8" t="s">
        <v>383</v>
      </c>
      <c r="T1121" s="8"/>
      <c r="U1121" s="8" t="s">
        <v>384</v>
      </c>
      <c r="V1121" s="8"/>
      <c r="W1121" s="8" t="s">
        <v>380</v>
      </c>
      <c r="X1121" s="8" t="s">
        <v>99</v>
      </c>
      <c r="Y1121" s="8" t="s">
        <v>23</v>
      </c>
    </row>
    <row r="1122" spans="1:25" hidden="1" x14ac:dyDescent="0.25">
      <c r="A1122" s="273" t="str">
        <f t="shared" si="9"/>
        <v>NOVIEMBRE</v>
      </c>
      <c r="B1122" s="251">
        <v>45988</v>
      </c>
      <c r="C1122" s="252" t="s">
        <v>773</v>
      </c>
      <c r="D1122" s="252"/>
      <c r="E1122" s="253">
        <v>1945.43</v>
      </c>
      <c r="F1122" s="253">
        <v>0</v>
      </c>
      <c r="G1122" s="274">
        <f>Tabla3[[#This Row],[INGRESOS]]-Tabla3[[#This Row],[EGRESOS]]</f>
        <v>-1945.43</v>
      </c>
      <c r="H1122" s="137">
        <v>-2430861.63</v>
      </c>
      <c r="I1122" s="135">
        <v>1400</v>
      </c>
      <c r="J1122" s="136">
        <f>Tabla3[[#This Row],[EGRESOS]]/Tabla3[[#This Row],[TC]]</f>
        <v>1.3895928571428573</v>
      </c>
      <c r="K1122" s="136">
        <f>Tabla3[[#This Row],[INGRESOS]]/Tabla3[[#This Row],[TC]]</f>
        <v>0</v>
      </c>
      <c r="L1122" s="8" t="s">
        <v>376</v>
      </c>
      <c r="M1122" s="8" t="s">
        <v>758</v>
      </c>
      <c r="N1122" s="8" t="s">
        <v>20</v>
      </c>
      <c r="O1122" s="8" t="s">
        <v>184</v>
      </c>
      <c r="P1122" s="8" t="s">
        <v>195</v>
      </c>
      <c r="Q1122" s="8" t="s">
        <v>196</v>
      </c>
      <c r="R1122" s="8" t="s">
        <v>394</v>
      </c>
      <c r="S1122" s="8" t="s">
        <v>383</v>
      </c>
      <c r="T1122" s="8"/>
      <c r="U1122" s="8" t="s">
        <v>384</v>
      </c>
      <c r="V1122" s="8"/>
      <c r="W1122" s="8" t="s">
        <v>380</v>
      </c>
      <c r="X1122" s="8" t="s">
        <v>99</v>
      </c>
      <c r="Y1122" s="8" t="s">
        <v>23</v>
      </c>
    </row>
    <row r="1123" spans="1:25" hidden="1" x14ac:dyDescent="0.25">
      <c r="A1123" s="273" t="str">
        <f t="shared" si="9"/>
        <v>NOVIEMBRE</v>
      </c>
      <c r="B1123" s="251">
        <v>45988</v>
      </c>
      <c r="C1123" s="252" t="s">
        <v>773</v>
      </c>
      <c r="D1123" s="252"/>
      <c r="E1123" s="253">
        <v>1848.66</v>
      </c>
      <c r="F1123" s="253">
        <v>0</v>
      </c>
      <c r="G1123" s="274">
        <f>Tabla3[[#This Row],[INGRESOS]]-Tabla3[[#This Row],[EGRESOS]]</f>
        <v>-1848.66</v>
      </c>
      <c r="H1123" s="137">
        <v>-2432710.29</v>
      </c>
      <c r="I1123" s="135">
        <v>1400</v>
      </c>
      <c r="J1123" s="136">
        <f>Tabla3[[#This Row],[EGRESOS]]/Tabla3[[#This Row],[TC]]</f>
        <v>1.3204714285714287</v>
      </c>
      <c r="K1123" s="136">
        <f>Tabla3[[#This Row],[INGRESOS]]/Tabla3[[#This Row],[TC]]</f>
        <v>0</v>
      </c>
      <c r="L1123" s="8" t="s">
        <v>376</v>
      </c>
      <c r="M1123" s="8" t="s">
        <v>758</v>
      </c>
      <c r="N1123" s="8" t="s">
        <v>20</v>
      </c>
      <c r="O1123" s="8" t="s">
        <v>184</v>
      </c>
      <c r="P1123" s="8" t="s">
        <v>195</v>
      </c>
      <c r="Q1123" s="8" t="s">
        <v>196</v>
      </c>
      <c r="R1123" s="8" t="s">
        <v>394</v>
      </c>
      <c r="S1123" s="8" t="s">
        <v>383</v>
      </c>
      <c r="T1123" s="8"/>
      <c r="U1123" s="8" t="s">
        <v>384</v>
      </c>
      <c r="V1123" s="8"/>
      <c r="W1123" s="8" t="s">
        <v>380</v>
      </c>
      <c r="X1123" s="8" t="s">
        <v>99</v>
      </c>
      <c r="Y1123" s="8" t="s">
        <v>23</v>
      </c>
    </row>
    <row r="1124" spans="1:25" hidden="1" x14ac:dyDescent="0.25">
      <c r="A1124" s="273" t="str">
        <f t="shared" si="9"/>
        <v>NOVIEMBRE</v>
      </c>
      <c r="B1124" s="251">
        <v>45988</v>
      </c>
      <c r="C1124" s="252" t="s">
        <v>773</v>
      </c>
      <c r="D1124" s="252"/>
      <c r="E1124" s="253">
        <v>5316.92</v>
      </c>
      <c r="F1124" s="253">
        <v>0</v>
      </c>
      <c r="G1124" s="274">
        <f>Tabla3[[#This Row],[INGRESOS]]-Tabla3[[#This Row],[EGRESOS]]</f>
        <v>-5316.92</v>
      </c>
      <c r="H1124" s="137">
        <v>-2438027.21</v>
      </c>
      <c r="I1124" s="135">
        <v>1400</v>
      </c>
      <c r="J1124" s="136">
        <f>Tabla3[[#This Row],[EGRESOS]]/Tabla3[[#This Row],[TC]]</f>
        <v>3.7978000000000001</v>
      </c>
      <c r="K1124" s="136">
        <f>Tabla3[[#This Row],[INGRESOS]]/Tabla3[[#This Row],[TC]]</f>
        <v>0</v>
      </c>
      <c r="L1124" s="8" t="s">
        <v>376</v>
      </c>
      <c r="M1124" s="8" t="s">
        <v>758</v>
      </c>
      <c r="N1124" s="8" t="s">
        <v>20</v>
      </c>
      <c r="O1124" s="8" t="s">
        <v>184</v>
      </c>
      <c r="P1124" s="8" t="s">
        <v>195</v>
      </c>
      <c r="Q1124" s="8" t="s">
        <v>196</v>
      </c>
      <c r="R1124" s="8" t="s">
        <v>394</v>
      </c>
      <c r="S1124" s="8" t="s">
        <v>383</v>
      </c>
      <c r="T1124" s="8"/>
      <c r="U1124" s="8" t="s">
        <v>384</v>
      </c>
      <c r="V1124" s="8"/>
      <c r="W1124" s="8" t="s">
        <v>380</v>
      </c>
      <c r="X1124" s="8" t="s">
        <v>99</v>
      </c>
      <c r="Y1124" s="8" t="s">
        <v>23</v>
      </c>
    </row>
    <row r="1125" spans="1:25" hidden="1" x14ac:dyDescent="0.25">
      <c r="A1125" s="273" t="str">
        <f t="shared" si="9"/>
        <v>NOVIEMBRE</v>
      </c>
      <c r="B1125" s="251">
        <v>45988</v>
      </c>
      <c r="C1125" s="252" t="s">
        <v>773</v>
      </c>
      <c r="D1125" s="252"/>
      <c r="E1125" s="253">
        <v>5060.57</v>
      </c>
      <c r="F1125" s="253">
        <v>0</v>
      </c>
      <c r="G1125" s="274">
        <f>Tabla3[[#This Row],[INGRESOS]]-Tabla3[[#This Row],[EGRESOS]]</f>
        <v>-5060.57</v>
      </c>
      <c r="H1125" s="137">
        <v>-2443087.7799999998</v>
      </c>
      <c r="I1125" s="135">
        <v>1400</v>
      </c>
      <c r="J1125" s="136">
        <f>Tabla3[[#This Row],[EGRESOS]]/Tabla3[[#This Row],[TC]]</f>
        <v>3.6146928571428569</v>
      </c>
      <c r="K1125" s="136">
        <f>Tabla3[[#This Row],[INGRESOS]]/Tabla3[[#This Row],[TC]]</f>
        <v>0</v>
      </c>
      <c r="L1125" s="8" t="s">
        <v>376</v>
      </c>
      <c r="M1125" s="8" t="s">
        <v>758</v>
      </c>
      <c r="N1125" s="8" t="s">
        <v>20</v>
      </c>
      <c r="O1125" s="8" t="s">
        <v>184</v>
      </c>
      <c r="P1125" s="8" t="s">
        <v>195</v>
      </c>
      <c r="Q1125" s="8" t="s">
        <v>196</v>
      </c>
      <c r="R1125" s="8" t="s">
        <v>394</v>
      </c>
      <c r="S1125" s="8" t="s">
        <v>383</v>
      </c>
      <c r="T1125" s="8"/>
      <c r="U1125" s="8" t="s">
        <v>384</v>
      </c>
      <c r="V1125" s="8"/>
      <c r="W1125" s="8" t="s">
        <v>380</v>
      </c>
      <c r="X1125" s="8" t="s">
        <v>99</v>
      </c>
      <c r="Y1125" s="8" t="s">
        <v>23</v>
      </c>
    </row>
    <row r="1126" spans="1:25" hidden="1" x14ac:dyDescent="0.25">
      <c r="A1126" s="273" t="str">
        <f t="shared" si="9"/>
        <v>NOVIEMBRE</v>
      </c>
      <c r="B1126" s="251">
        <v>45988</v>
      </c>
      <c r="C1126" s="252" t="s">
        <v>761</v>
      </c>
      <c r="D1126" s="252"/>
      <c r="E1126" s="253">
        <v>0</v>
      </c>
      <c r="F1126" s="253">
        <v>2443087.7799999998</v>
      </c>
      <c r="G1126" s="274">
        <f>Tabla3[[#This Row],[INGRESOS]]-Tabla3[[#This Row],[EGRESOS]]</f>
        <v>2443087.7799999998</v>
      </c>
      <c r="H1126" s="137">
        <v>0</v>
      </c>
      <c r="I1126" s="135">
        <v>1400</v>
      </c>
      <c r="J1126" s="136">
        <f>Tabla3[[#This Row],[EGRESOS]]/Tabla3[[#This Row],[TC]]</f>
        <v>0</v>
      </c>
      <c r="K1126" s="136">
        <f>Tabla3[[#This Row],[INGRESOS]]/Tabla3[[#This Row],[TC]]</f>
        <v>1745.0626999999999</v>
      </c>
      <c r="L1126" s="8" t="s">
        <v>376</v>
      </c>
      <c r="M1126" s="8" t="s">
        <v>758</v>
      </c>
      <c r="N1126" s="8" t="s">
        <v>20</v>
      </c>
      <c r="O1126" s="8" t="s">
        <v>244</v>
      </c>
      <c r="P1126" s="8" t="s">
        <v>259</v>
      </c>
      <c r="Q1126" s="8" t="s">
        <v>260</v>
      </c>
      <c r="R1126" s="8" t="s">
        <v>378</v>
      </c>
      <c r="S1126" s="8"/>
      <c r="T1126" s="8"/>
      <c r="U1126" s="8" t="s">
        <v>379</v>
      </c>
      <c r="V1126" s="8"/>
      <c r="W1126" s="8" t="s">
        <v>380</v>
      </c>
      <c r="X1126" s="8"/>
      <c r="Y1126" s="8"/>
    </row>
    <row r="1127" spans="1:25" hidden="1" x14ac:dyDescent="0.25">
      <c r="A1127" s="267" t="str">
        <f t="shared" ref="A1127:A1138" si="10">"DICIEMBRE"</f>
        <v>DICIEMBRE</v>
      </c>
      <c r="B1127" s="268">
        <v>46008</v>
      </c>
      <c r="C1127" s="269" t="s">
        <v>761</v>
      </c>
      <c r="D1127" s="269"/>
      <c r="E1127" s="270">
        <v>0</v>
      </c>
      <c r="F1127" s="270">
        <v>932912.3</v>
      </c>
      <c r="G1127" s="335">
        <f>Tabla3[[#This Row],[INGRESOS]]-Tabla3[[#This Row],[EGRESOS]]</f>
        <v>932912.3</v>
      </c>
      <c r="H1127" s="344">
        <v>0</v>
      </c>
      <c r="I1127" s="265">
        <v>1400</v>
      </c>
      <c r="J1127" s="271">
        <f>Tabla3[[#This Row],[EGRESOS]]/Tabla3[[#This Row],[TC]]</f>
        <v>0</v>
      </c>
      <c r="K1127" s="271">
        <f>Tabla3[[#This Row],[INGRESOS]]/Tabla3[[#This Row],[TC]]</f>
        <v>666.36592857142864</v>
      </c>
      <c r="L1127" s="272" t="s">
        <v>376</v>
      </c>
      <c r="M1127" s="272" t="s">
        <v>758</v>
      </c>
      <c r="N1127" s="272" t="s">
        <v>20</v>
      </c>
      <c r="O1127" s="272" t="s">
        <v>244</v>
      </c>
      <c r="P1127" s="272" t="s">
        <v>259</v>
      </c>
      <c r="Q1127" s="272" t="s">
        <v>260</v>
      </c>
      <c r="R1127" s="272" t="s">
        <v>378</v>
      </c>
      <c r="S1127" s="272"/>
      <c r="T1127" s="272"/>
      <c r="U1127" s="272" t="s">
        <v>379</v>
      </c>
      <c r="V1127" s="272"/>
      <c r="W1127" s="272" t="s">
        <v>380</v>
      </c>
      <c r="X1127" s="272"/>
      <c r="Y1127" s="272"/>
    </row>
    <row r="1128" spans="1:25" hidden="1" x14ac:dyDescent="0.25">
      <c r="A1128" s="267" t="str">
        <f t="shared" si="10"/>
        <v>DICIEMBRE</v>
      </c>
      <c r="B1128" s="268">
        <v>46008</v>
      </c>
      <c r="C1128" s="269" t="s">
        <v>773</v>
      </c>
      <c r="D1128" s="269"/>
      <c r="E1128" s="270">
        <v>5564.09</v>
      </c>
      <c r="F1128" s="270">
        <v>0</v>
      </c>
      <c r="G1128" s="335">
        <f>Tabla3[[#This Row],[INGRESOS]]-Tabla3[[#This Row],[EGRESOS]]</f>
        <v>-5564.09</v>
      </c>
      <c r="H1128" s="344">
        <v>-932912.3</v>
      </c>
      <c r="I1128" s="265">
        <v>1400</v>
      </c>
      <c r="J1128" s="271">
        <f>Tabla3[[#This Row],[EGRESOS]]/Tabla3[[#This Row],[TC]]</f>
        <v>3.9743500000000003</v>
      </c>
      <c r="K1128" s="271">
        <f>Tabla3[[#This Row],[INGRESOS]]/Tabla3[[#This Row],[TC]]</f>
        <v>0</v>
      </c>
      <c r="L1128" s="272" t="s">
        <v>376</v>
      </c>
      <c r="M1128" s="272" t="s">
        <v>758</v>
      </c>
      <c r="N1128" s="272" t="s">
        <v>20</v>
      </c>
      <c r="O1128" s="272" t="s">
        <v>184</v>
      </c>
      <c r="P1128" s="272" t="s">
        <v>195</v>
      </c>
      <c r="Q1128" s="272" t="s">
        <v>196</v>
      </c>
      <c r="R1128" s="272" t="s">
        <v>394</v>
      </c>
      <c r="S1128" s="272" t="s">
        <v>383</v>
      </c>
      <c r="T1128" s="272"/>
      <c r="U1128" s="272" t="s">
        <v>384</v>
      </c>
      <c r="V1128" s="272"/>
      <c r="W1128" s="272" t="s">
        <v>380</v>
      </c>
      <c r="X1128" s="272" t="s">
        <v>99</v>
      </c>
      <c r="Y1128" s="272" t="s">
        <v>23</v>
      </c>
    </row>
    <row r="1129" spans="1:25" hidden="1" x14ac:dyDescent="0.25">
      <c r="A1129" s="267" t="str">
        <f t="shared" si="10"/>
        <v>DICIEMBRE</v>
      </c>
      <c r="B1129" s="268">
        <v>46008</v>
      </c>
      <c r="C1129" s="269" t="s">
        <v>757</v>
      </c>
      <c r="D1129" s="269"/>
      <c r="E1129" s="270">
        <v>927348.21</v>
      </c>
      <c r="F1129" s="270">
        <v>0</v>
      </c>
      <c r="G1129" s="335">
        <f>Tabla3[[#This Row],[INGRESOS]]-Tabla3[[#This Row],[EGRESOS]]</f>
        <v>-927348.21</v>
      </c>
      <c r="H1129" s="344">
        <v>-927348.21</v>
      </c>
      <c r="I1129" s="265">
        <v>1400</v>
      </c>
      <c r="J1129" s="271">
        <f>Tabla3[[#This Row],[EGRESOS]]/Tabla3[[#This Row],[TC]]</f>
        <v>662.39157857142857</v>
      </c>
      <c r="K1129" s="271">
        <f>Tabla3[[#This Row],[INGRESOS]]/Tabla3[[#This Row],[TC]]</f>
        <v>0</v>
      </c>
      <c r="L1129" s="272" t="s">
        <v>376</v>
      </c>
      <c r="M1129" s="272" t="s">
        <v>758</v>
      </c>
      <c r="N1129" s="272" t="s">
        <v>20</v>
      </c>
      <c r="O1129" s="272" t="s">
        <v>184</v>
      </c>
      <c r="P1129" s="272" t="s">
        <v>199</v>
      </c>
      <c r="Q1129" s="272" t="s">
        <v>201</v>
      </c>
      <c r="R1129" s="272" t="s">
        <v>778</v>
      </c>
      <c r="S1129" s="272" t="s">
        <v>389</v>
      </c>
      <c r="T1129" s="272"/>
      <c r="U1129" s="272" t="s">
        <v>390</v>
      </c>
      <c r="V1129" s="272"/>
      <c r="W1129" s="272" t="s">
        <v>380</v>
      </c>
      <c r="X1129" s="272" t="s">
        <v>99</v>
      </c>
      <c r="Y1129" s="272" t="s">
        <v>23</v>
      </c>
    </row>
    <row r="1130" spans="1:25" hidden="1" x14ac:dyDescent="0.25">
      <c r="A1130" s="267" t="str">
        <f t="shared" si="10"/>
        <v>DICIEMBRE</v>
      </c>
      <c r="B1130" s="268">
        <v>46008</v>
      </c>
      <c r="C1130" s="269" t="s">
        <v>773</v>
      </c>
      <c r="D1130" s="269"/>
      <c r="E1130" s="270">
        <v>5564.09</v>
      </c>
      <c r="F1130" s="270">
        <v>0</v>
      </c>
      <c r="G1130" s="335">
        <f>Tabla3[[#This Row],[INGRESOS]]-Tabla3[[#This Row],[EGRESOS]]</f>
        <v>-5564.09</v>
      </c>
      <c r="H1130" s="344">
        <v>-932912.3</v>
      </c>
      <c r="I1130" s="265">
        <v>1400</v>
      </c>
      <c r="J1130" s="271">
        <f>Tabla3[[#This Row],[EGRESOS]]/Tabla3[[#This Row],[TC]]</f>
        <v>3.9743500000000003</v>
      </c>
      <c r="K1130" s="271">
        <f>Tabla3[[#This Row],[INGRESOS]]/Tabla3[[#This Row],[TC]]</f>
        <v>0</v>
      </c>
      <c r="L1130" s="272" t="s">
        <v>376</v>
      </c>
      <c r="M1130" s="272" t="s">
        <v>758</v>
      </c>
      <c r="N1130" s="272" t="s">
        <v>20</v>
      </c>
      <c r="O1130" s="272" t="s">
        <v>184</v>
      </c>
      <c r="P1130" s="272" t="s">
        <v>195</v>
      </c>
      <c r="Q1130" s="272" t="s">
        <v>196</v>
      </c>
      <c r="R1130" s="272" t="s">
        <v>394</v>
      </c>
      <c r="S1130" s="272" t="s">
        <v>383</v>
      </c>
      <c r="T1130" s="272"/>
      <c r="U1130" s="272" t="s">
        <v>384</v>
      </c>
      <c r="V1130" s="272"/>
      <c r="W1130" s="272" t="s">
        <v>380</v>
      </c>
      <c r="X1130" s="272" t="s">
        <v>99</v>
      </c>
      <c r="Y1130" s="272" t="s">
        <v>23</v>
      </c>
    </row>
    <row r="1131" spans="1:25" hidden="1" x14ac:dyDescent="0.25">
      <c r="A1131" s="267" t="str">
        <f t="shared" si="10"/>
        <v>DICIEMBRE</v>
      </c>
      <c r="B1131" s="268">
        <v>46014</v>
      </c>
      <c r="C1131" s="269" t="s">
        <v>757</v>
      </c>
      <c r="D1131" s="269"/>
      <c r="E1131" s="270">
        <v>906180.4</v>
      </c>
      <c r="F1131" s="270">
        <v>0</v>
      </c>
      <c r="G1131" s="335">
        <f>Tabla3[[#This Row],[INGRESOS]]-Tabla3[[#This Row],[EGRESOS]]</f>
        <v>-906180.4</v>
      </c>
      <c r="H1131" s="344">
        <v>-906180.4</v>
      </c>
      <c r="I1131" s="265">
        <v>1400</v>
      </c>
      <c r="J1131" s="271">
        <f>Tabla3[[#This Row],[EGRESOS]]/Tabla3[[#This Row],[TC]]</f>
        <v>647.27171428571432</v>
      </c>
      <c r="K1131" s="271">
        <f>Tabla3[[#This Row],[INGRESOS]]/Tabla3[[#This Row],[TC]]</f>
        <v>0</v>
      </c>
      <c r="L1131" s="272" t="s">
        <v>376</v>
      </c>
      <c r="M1131" s="272" t="s">
        <v>758</v>
      </c>
      <c r="N1131" s="272" t="s">
        <v>20</v>
      </c>
      <c r="O1131" s="272" t="s">
        <v>184</v>
      </c>
      <c r="P1131" s="272" t="s">
        <v>199</v>
      </c>
      <c r="Q1131" s="272" t="s">
        <v>201</v>
      </c>
      <c r="R1131" s="272" t="s">
        <v>779</v>
      </c>
      <c r="S1131" s="272" t="s">
        <v>389</v>
      </c>
      <c r="T1131" s="272"/>
      <c r="U1131" s="272" t="s">
        <v>390</v>
      </c>
      <c r="V1131" s="272"/>
      <c r="W1131" s="272" t="s">
        <v>380</v>
      </c>
      <c r="X1131" s="272" t="s">
        <v>99</v>
      </c>
      <c r="Y1131" s="272" t="s">
        <v>23</v>
      </c>
    </row>
    <row r="1132" spans="1:25" hidden="1" x14ac:dyDescent="0.25">
      <c r="A1132" s="267" t="str">
        <f t="shared" si="10"/>
        <v>DICIEMBRE</v>
      </c>
      <c r="B1132" s="268">
        <v>46014</v>
      </c>
      <c r="C1132" s="269" t="s">
        <v>773</v>
      </c>
      <c r="D1132" s="269"/>
      <c r="E1132" s="270">
        <v>5437.08</v>
      </c>
      <c r="F1132" s="270">
        <v>0</v>
      </c>
      <c r="G1132" s="335">
        <f>Tabla3[[#This Row],[INGRESOS]]-Tabla3[[#This Row],[EGRESOS]]</f>
        <v>-5437.08</v>
      </c>
      <c r="H1132" s="344">
        <v>-911617.48</v>
      </c>
      <c r="I1132" s="265">
        <v>1400</v>
      </c>
      <c r="J1132" s="271">
        <f>Tabla3[[#This Row],[EGRESOS]]/Tabla3[[#This Row],[TC]]</f>
        <v>3.8836285714285714</v>
      </c>
      <c r="K1132" s="271">
        <f>Tabla3[[#This Row],[INGRESOS]]/Tabla3[[#This Row],[TC]]</f>
        <v>0</v>
      </c>
      <c r="L1132" s="272" t="s">
        <v>376</v>
      </c>
      <c r="M1132" s="272" t="s">
        <v>758</v>
      </c>
      <c r="N1132" s="272" t="s">
        <v>20</v>
      </c>
      <c r="O1132" s="272" t="s">
        <v>184</v>
      </c>
      <c r="P1132" s="272" t="s">
        <v>195</v>
      </c>
      <c r="Q1132" s="272" t="s">
        <v>196</v>
      </c>
      <c r="R1132" s="272" t="s">
        <v>394</v>
      </c>
      <c r="S1132" s="272" t="s">
        <v>383</v>
      </c>
      <c r="T1132" s="272"/>
      <c r="U1132" s="272" t="s">
        <v>384</v>
      </c>
      <c r="V1132" s="272"/>
      <c r="W1132" s="272" t="s">
        <v>380</v>
      </c>
      <c r="X1132" s="272" t="s">
        <v>99</v>
      </c>
      <c r="Y1132" s="272" t="s">
        <v>23</v>
      </c>
    </row>
    <row r="1133" spans="1:25" hidden="1" x14ac:dyDescent="0.25">
      <c r="A1133" s="267" t="str">
        <f t="shared" si="10"/>
        <v>DICIEMBRE</v>
      </c>
      <c r="B1133" s="268">
        <v>46014</v>
      </c>
      <c r="C1133" s="269" t="s">
        <v>761</v>
      </c>
      <c r="D1133" s="269"/>
      <c r="E1133" s="270">
        <v>0</v>
      </c>
      <c r="F1133" s="270">
        <v>911617.48</v>
      </c>
      <c r="G1133" s="335">
        <f>Tabla3[[#This Row],[INGRESOS]]-Tabla3[[#This Row],[EGRESOS]]</f>
        <v>911617.48</v>
      </c>
      <c r="H1133" s="344">
        <v>0</v>
      </c>
      <c r="I1133" s="265">
        <v>1400</v>
      </c>
      <c r="J1133" s="271">
        <f>Tabla3[[#This Row],[EGRESOS]]/Tabla3[[#This Row],[TC]]</f>
        <v>0</v>
      </c>
      <c r="K1133" s="271">
        <f>Tabla3[[#This Row],[INGRESOS]]/Tabla3[[#This Row],[TC]]</f>
        <v>651.15534285714284</v>
      </c>
      <c r="L1133" s="272" t="s">
        <v>376</v>
      </c>
      <c r="M1133" s="272" t="s">
        <v>758</v>
      </c>
      <c r="N1133" s="272" t="s">
        <v>20</v>
      </c>
      <c r="O1133" s="272" t="s">
        <v>244</v>
      </c>
      <c r="P1133" s="272" t="s">
        <v>259</v>
      </c>
      <c r="Q1133" s="272" t="s">
        <v>260</v>
      </c>
      <c r="R1133" s="272" t="s">
        <v>405</v>
      </c>
      <c r="S1133" s="272"/>
      <c r="T1133" s="272"/>
      <c r="U1133" s="272" t="s">
        <v>379</v>
      </c>
      <c r="V1133" s="272"/>
      <c r="W1133" s="272" t="s">
        <v>380</v>
      </c>
      <c r="X1133" s="272"/>
      <c r="Y1133" s="272"/>
    </row>
    <row r="1134" spans="1:25" hidden="1" x14ac:dyDescent="0.25">
      <c r="A1134" s="267" t="str">
        <f t="shared" si="10"/>
        <v>DICIEMBRE</v>
      </c>
      <c r="B1134" s="268">
        <v>46020</v>
      </c>
      <c r="C1134" s="269" t="s">
        <v>762</v>
      </c>
      <c r="D1134" s="269"/>
      <c r="E1134" s="270">
        <v>11277</v>
      </c>
      <c r="F1134" s="270">
        <v>0</v>
      </c>
      <c r="G1134" s="335">
        <f>Tabla3[[#This Row],[INGRESOS]]-Tabla3[[#This Row],[EGRESOS]]</f>
        <v>-11277</v>
      </c>
      <c r="H1134" s="265">
        <v>-11277</v>
      </c>
      <c r="I1134" s="265">
        <v>1400</v>
      </c>
      <c r="J1134" s="271">
        <f>Tabla3[[#This Row],[EGRESOS]]/Tabla3[[#This Row],[TC]]</f>
        <v>8.0549999999999997</v>
      </c>
      <c r="K1134" s="271">
        <f>Tabla3[[#This Row],[INGRESOS]]/Tabla3[[#This Row],[TC]]</f>
        <v>0</v>
      </c>
      <c r="L1134" s="272" t="s">
        <v>376</v>
      </c>
      <c r="M1134" s="272" t="s">
        <v>758</v>
      </c>
      <c r="N1134" s="272" t="s">
        <v>20</v>
      </c>
      <c r="O1134" s="272" t="s">
        <v>184</v>
      </c>
      <c r="P1134" s="272" t="s">
        <v>195</v>
      </c>
      <c r="Q1134" s="272" t="s">
        <v>196</v>
      </c>
      <c r="R1134" s="272" t="s">
        <v>382</v>
      </c>
      <c r="S1134" s="272" t="s">
        <v>383</v>
      </c>
      <c r="T1134" s="272"/>
      <c r="U1134" s="272" t="s">
        <v>384</v>
      </c>
      <c r="V1134" s="272"/>
      <c r="W1134" s="272" t="s">
        <v>380</v>
      </c>
      <c r="X1134" s="272" t="s">
        <v>99</v>
      </c>
      <c r="Y1134" s="272" t="s">
        <v>23</v>
      </c>
    </row>
    <row r="1135" spans="1:25" hidden="1" x14ac:dyDescent="0.25">
      <c r="A1135" s="267" t="str">
        <f t="shared" si="10"/>
        <v>DICIEMBRE</v>
      </c>
      <c r="B1135" s="268">
        <v>46020</v>
      </c>
      <c r="C1135" s="269" t="s">
        <v>763</v>
      </c>
      <c r="D1135" s="269"/>
      <c r="E1135" s="270">
        <v>1611</v>
      </c>
      <c r="F1135" s="270">
        <v>0</v>
      </c>
      <c r="G1135" s="335">
        <f>Tabla3[[#This Row],[INGRESOS]]-Tabla3[[#This Row],[EGRESOS]]</f>
        <v>-1611</v>
      </c>
      <c r="H1135" s="265">
        <v>-12888</v>
      </c>
      <c r="I1135" s="265">
        <v>1400</v>
      </c>
      <c r="J1135" s="271">
        <f>Tabla3[[#This Row],[EGRESOS]]/Tabla3[[#This Row],[TC]]</f>
        <v>1.1507142857142858</v>
      </c>
      <c r="K1135" s="271">
        <f>Tabla3[[#This Row],[INGRESOS]]/Tabla3[[#This Row],[TC]]</f>
        <v>0</v>
      </c>
      <c r="L1135" s="272" t="s">
        <v>376</v>
      </c>
      <c r="M1135" s="272" t="s">
        <v>758</v>
      </c>
      <c r="N1135" s="272" t="s">
        <v>20</v>
      </c>
      <c r="O1135" s="272" t="s">
        <v>184</v>
      </c>
      <c r="P1135" s="272" t="s">
        <v>195</v>
      </c>
      <c r="Q1135" s="272" t="s">
        <v>196</v>
      </c>
      <c r="R1135" s="272" t="s">
        <v>417</v>
      </c>
      <c r="S1135" s="272" t="s">
        <v>383</v>
      </c>
      <c r="T1135" s="272"/>
      <c r="U1135" s="272" t="s">
        <v>384</v>
      </c>
      <c r="V1135" s="272"/>
      <c r="W1135" s="272" t="s">
        <v>380</v>
      </c>
      <c r="X1135" s="272" t="s">
        <v>99</v>
      </c>
      <c r="Y1135" s="272" t="s">
        <v>23</v>
      </c>
    </row>
    <row r="1136" spans="1:25" hidden="1" x14ac:dyDescent="0.25">
      <c r="A1136" s="267" t="str">
        <f t="shared" si="10"/>
        <v>DICIEMBRE</v>
      </c>
      <c r="B1136" s="268">
        <v>46020</v>
      </c>
      <c r="C1136" s="269" t="s">
        <v>765</v>
      </c>
      <c r="D1136" s="269"/>
      <c r="E1136" s="270">
        <v>53700</v>
      </c>
      <c r="F1136" s="270">
        <v>0</v>
      </c>
      <c r="G1136" s="335">
        <f>Tabla3[[#This Row],[INGRESOS]]-Tabla3[[#This Row],[EGRESOS]]</f>
        <v>-53700</v>
      </c>
      <c r="H1136" s="265">
        <v>-66588</v>
      </c>
      <c r="I1136" s="265">
        <v>1400</v>
      </c>
      <c r="J1136" s="271">
        <f>Tabla3[[#This Row],[EGRESOS]]/Tabla3[[#This Row],[TC]]</f>
        <v>38.357142857142854</v>
      </c>
      <c r="K1136" s="271">
        <f>Tabla3[[#This Row],[INGRESOS]]/Tabla3[[#This Row],[TC]]</f>
        <v>0</v>
      </c>
      <c r="L1136" s="272" t="s">
        <v>376</v>
      </c>
      <c r="M1136" s="272" t="s">
        <v>758</v>
      </c>
      <c r="N1136" s="272" t="s">
        <v>20</v>
      </c>
      <c r="O1136" s="272" t="s">
        <v>184</v>
      </c>
      <c r="P1136" s="272" t="s">
        <v>185</v>
      </c>
      <c r="Q1136" s="272" t="s">
        <v>186</v>
      </c>
      <c r="R1136" s="272" t="s">
        <v>227</v>
      </c>
      <c r="S1136" s="272"/>
      <c r="T1136" s="272"/>
      <c r="U1136" s="272" t="s">
        <v>384</v>
      </c>
      <c r="V1136" s="272"/>
      <c r="W1136" s="272" t="s">
        <v>380</v>
      </c>
      <c r="X1136" s="272" t="s">
        <v>99</v>
      </c>
      <c r="Y1136" s="272" t="s">
        <v>23</v>
      </c>
    </row>
    <row r="1137" spans="1:25" hidden="1" x14ac:dyDescent="0.25">
      <c r="A1137" s="267" t="str">
        <f t="shared" si="10"/>
        <v>DICIEMBRE</v>
      </c>
      <c r="B1137" s="268">
        <v>46020</v>
      </c>
      <c r="C1137" s="269" t="s">
        <v>773</v>
      </c>
      <c r="D1137" s="269"/>
      <c r="E1137" s="270">
        <v>399.53</v>
      </c>
      <c r="F1137" s="270">
        <v>0</v>
      </c>
      <c r="G1137" s="335">
        <f>Tabla3[[#This Row],[INGRESOS]]-Tabla3[[#This Row],[EGRESOS]]</f>
        <v>-399.53</v>
      </c>
      <c r="H1137" s="265">
        <v>-66987.53</v>
      </c>
      <c r="I1137" s="265">
        <v>1400</v>
      </c>
      <c r="J1137" s="271">
        <f>Tabla3[[#This Row],[EGRESOS]]/Tabla3[[#This Row],[TC]]</f>
        <v>0.28537857142857143</v>
      </c>
      <c r="K1137" s="271">
        <f>Tabla3[[#This Row],[INGRESOS]]/Tabla3[[#This Row],[TC]]</f>
        <v>0</v>
      </c>
      <c r="L1137" s="272" t="s">
        <v>376</v>
      </c>
      <c r="M1137" s="272" t="s">
        <v>758</v>
      </c>
      <c r="N1137" s="272" t="s">
        <v>20</v>
      </c>
      <c r="O1137" s="272" t="s">
        <v>184</v>
      </c>
      <c r="P1137" s="272" t="s">
        <v>195</v>
      </c>
      <c r="Q1137" s="272" t="s">
        <v>196</v>
      </c>
      <c r="R1137" s="272" t="s">
        <v>394</v>
      </c>
      <c r="S1137" s="272" t="s">
        <v>383</v>
      </c>
      <c r="T1137" s="272"/>
      <c r="U1137" s="272" t="s">
        <v>384</v>
      </c>
      <c r="V1137" s="272"/>
      <c r="W1137" s="272" t="s">
        <v>380</v>
      </c>
      <c r="X1137" s="272" t="s">
        <v>99</v>
      </c>
      <c r="Y1137" s="272" t="s">
        <v>23</v>
      </c>
    </row>
    <row r="1138" spans="1:25" hidden="1" x14ac:dyDescent="0.25">
      <c r="A1138" s="267" t="str">
        <f t="shared" si="10"/>
        <v>DICIEMBRE</v>
      </c>
      <c r="B1138" s="268">
        <v>46020</v>
      </c>
      <c r="C1138" s="269" t="s">
        <v>761</v>
      </c>
      <c r="D1138" s="269"/>
      <c r="E1138" s="270">
        <v>0</v>
      </c>
      <c r="F1138" s="270">
        <v>66987.53</v>
      </c>
      <c r="G1138" s="335">
        <f>Tabla3[[#This Row],[INGRESOS]]-Tabla3[[#This Row],[EGRESOS]]</f>
        <v>66987.53</v>
      </c>
      <c r="H1138" s="265">
        <v>0</v>
      </c>
      <c r="I1138" s="265">
        <v>1400</v>
      </c>
      <c r="J1138" s="271">
        <f>Tabla3[[#This Row],[EGRESOS]]/Tabla3[[#This Row],[TC]]</f>
        <v>0</v>
      </c>
      <c r="K1138" s="271">
        <f>Tabla3[[#This Row],[INGRESOS]]/Tabla3[[#This Row],[TC]]</f>
        <v>47.848235714285714</v>
      </c>
      <c r="L1138" s="272" t="s">
        <v>376</v>
      </c>
      <c r="M1138" s="272" t="s">
        <v>758</v>
      </c>
      <c r="N1138" s="272" t="s">
        <v>20</v>
      </c>
      <c r="O1138" s="272" t="s">
        <v>244</v>
      </c>
      <c r="P1138" s="272" t="s">
        <v>259</v>
      </c>
      <c r="Q1138" s="272" t="s">
        <v>260</v>
      </c>
      <c r="R1138" s="272" t="s">
        <v>405</v>
      </c>
      <c r="S1138" s="272"/>
      <c r="T1138" s="272"/>
      <c r="U1138" s="272" t="s">
        <v>379</v>
      </c>
      <c r="V1138" s="272"/>
      <c r="W1138" s="272" t="s">
        <v>380</v>
      </c>
      <c r="X1138" s="272"/>
      <c r="Y1138" s="272"/>
    </row>
    <row r="1139" spans="1:25" x14ac:dyDescent="0.25">
      <c r="A1139" s="247" t="s">
        <v>311</v>
      </c>
      <c r="B1139" s="248">
        <v>45659</v>
      </c>
      <c r="C1139" s="244" t="s">
        <v>762</v>
      </c>
      <c r="D1139" s="244"/>
      <c r="E1139" s="253">
        <v>14008.54</v>
      </c>
      <c r="F1139" s="249">
        <v>0</v>
      </c>
      <c r="G1139" s="266">
        <f>Tabla3[[#This Row],[INGRESOS]]-Tabla3[[#This Row],[EGRESOS]]</f>
        <v>-14008.54</v>
      </c>
      <c r="H1139" s="132">
        <v>-4858677.7</v>
      </c>
      <c r="I1139" s="119">
        <v>1140</v>
      </c>
      <c r="J1139" s="99">
        <f>Tabla3[[#This Row],[EGRESOS]]/Tabla3[[#This Row],[TC]]</f>
        <v>12.288192982456142</v>
      </c>
      <c r="K1139" s="99">
        <f>Tabla3[[#This Row],[INGRESOS]]/Tabla3[[#This Row],[TC]]</f>
        <v>0</v>
      </c>
      <c r="L1139" s="7" t="s">
        <v>376</v>
      </c>
      <c r="M1139" s="7" t="s">
        <v>377</v>
      </c>
      <c r="N1139" s="7" t="s">
        <v>20</v>
      </c>
      <c r="O1139" s="7" t="s">
        <v>184</v>
      </c>
      <c r="P1139" s="7" t="s">
        <v>195</v>
      </c>
      <c r="Q1139" s="7" t="s">
        <v>196</v>
      </c>
      <c r="R1139" s="7" t="s">
        <v>382</v>
      </c>
      <c r="S1139" s="7" t="s">
        <v>383</v>
      </c>
      <c r="T1139" s="7"/>
      <c r="U1139" s="7" t="s">
        <v>384</v>
      </c>
      <c r="V1139" s="7"/>
      <c r="W1139" s="8" t="s">
        <v>380</v>
      </c>
      <c r="X1139" s="7" t="s">
        <v>99</v>
      </c>
      <c r="Y1139" s="7" t="s">
        <v>23</v>
      </c>
    </row>
    <row r="1140" spans="1:25" x14ac:dyDescent="0.25">
      <c r="A1140" s="247" t="s">
        <v>311</v>
      </c>
      <c r="B1140" s="248">
        <v>45659</v>
      </c>
      <c r="C1140" s="244" t="s">
        <v>763</v>
      </c>
      <c r="D1140" s="244"/>
      <c r="E1140" s="253">
        <v>2001.22</v>
      </c>
      <c r="F1140" s="249">
        <v>0</v>
      </c>
      <c r="G1140" s="266">
        <f>Tabla3[[#This Row],[INGRESOS]]-Tabla3[[#This Row],[EGRESOS]]</f>
        <v>-2001.22</v>
      </c>
      <c r="H1140" s="132">
        <v>-4860678.92</v>
      </c>
      <c r="I1140" s="119">
        <v>1140</v>
      </c>
      <c r="J1140" s="99">
        <f>Tabla3[[#This Row],[EGRESOS]]/Tabla3[[#This Row],[TC]]</f>
        <v>1.7554561403508773</v>
      </c>
      <c r="K1140" s="99">
        <f>Tabla3[[#This Row],[INGRESOS]]/Tabla3[[#This Row],[TC]]</f>
        <v>0</v>
      </c>
      <c r="L1140" s="7" t="s">
        <v>376</v>
      </c>
      <c r="M1140" s="7" t="s">
        <v>377</v>
      </c>
      <c r="N1140" s="7" t="s">
        <v>20</v>
      </c>
      <c r="O1140" s="7" t="s">
        <v>184</v>
      </c>
      <c r="P1140" s="7" t="s">
        <v>195</v>
      </c>
      <c r="Q1140" s="7" t="s">
        <v>196</v>
      </c>
      <c r="R1140" s="7" t="s">
        <v>417</v>
      </c>
      <c r="S1140" s="7" t="s">
        <v>383</v>
      </c>
      <c r="T1140" s="7"/>
      <c r="U1140" s="7" t="s">
        <v>384</v>
      </c>
      <c r="V1140" s="7"/>
      <c r="W1140" s="8" t="s">
        <v>380</v>
      </c>
      <c r="X1140" s="7" t="s">
        <v>99</v>
      </c>
      <c r="Y1140" s="7" t="s">
        <v>23</v>
      </c>
    </row>
    <row r="1141" spans="1:25" x14ac:dyDescent="0.25">
      <c r="A1141" s="247" t="s">
        <v>311</v>
      </c>
      <c r="B1141" s="248">
        <v>45659</v>
      </c>
      <c r="C1141" s="244" t="s">
        <v>780</v>
      </c>
      <c r="D1141" s="244"/>
      <c r="E1141" s="253">
        <v>133414.62</v>
      </c>
      <c r="F1141" s="249">
        <v>0</v>
      </c>
      <c r="G1141" s="266">
        <f>Tabla3[[#This Row],[INGRESOS]]-Tabla3[[#This Row],[EGRESOS]]</f>
        <v>-133414.62</v>
      </c>
      <c r="H1141" s="132">
        <v>-4994093.54</v>
      </c>
      <c r="I1141" s="119">
        <v>1140</v>
      </c>
      <c r="J1141" s="99">
        <f>Tabla3[[#This Row],[EGRESOS]]/Tabla3[[#This Row],[TC]]</f>
        <v>117.03036842105263</v>
      </c>
      <c r="K1141" s="99">
        <f>Tabla3[[#This Row],[INGRESOS]]/Tabla3[[#This Row],[TC]]</f>
        <v>0</v>
      </c>
      <c r="L1141" s="7" t="s">
        <v>376</v>
      </c>
      <c r="M1141" s="7" t="s">
        <v>377</v>
      </c>
      <c r="N1141" s="7" t="s">
        <v>20</v>
      </c>
      <c r="O1141" s="7" t="s">
        <v>184</v>
      </c>
      <c r="P1141" s="7" t="s">
        <v>197</v>
      </c>
      <c r="Q1141" s="7" t="s">
        <v>198</v>
      </c>
      <c r="R1141" s="7" t="s">
        <v>419</v>
      </c>
      <c r="S1141" s="7"/>
      <c r="T1141" s="7"/>
      <c r="U1141" s="7" t="s">
        <v>384</v>
      </c>
      <c r="V1141" s="7"/>
      <c r="W1141" s="8" t="s">
        <v>380</v>
      </c>
      <c r="X1141" s="7" t="s">
        <v>99</v>
      </c>
      <c r="Y1141" s="7" t="s">
        <v>23</v>
      </c>
    </row>
    <row r="1142" spans="1:25" x14ac:dyDescent="0.25">
      <c r="A1142" s="247" t="s">
        <v>311</v>
      </c>
      <c r="B1142" s="248">
        <v>45659</v>
      </c>
      <c r="C1142" s="244" t="s">
        <v>762</v>
      </c>
      <c r="D1142" s="244"/>
      <c r="E1142" s="253">
        <v>3218.36</v>
      </c>
      <c r="F1142" s="249">
        <v>0</v>
      </c>
      <c r="G1142" s="266">
        <f>Tabla3[[#This Row],[INGRESOS]]-Tabla3[[#This Row],[EGRESOS]]</f>
        <v>-3218.36</v>
      </c>
      <c r="H1142" s="132">
        <v>-4997311.9000000004</v>
      </c>
      <c r="I1142" s="119">
        <v>1140</v>
      </c>
      <c r="J1142" s="99">
        <f>Tabla3[[#This Row],[EGRESOS]]/Tabla3[[#This Row],[TC]]</f>
        <v>2.823122807017544</v>
      </c>
      <c r="K1142" s="99">
        <f>Tabla3[[#This Row],[INGRESOS]]/Tabla3[[#This Row],[TC]]</f>
        <v>0</v>
      </c>
      <c r="L1142" s="7" t="s">
        <v>376</v>
      </c>
      <c r="M1142" s="7" t="s">
        <v>377</v>
      </c>
      <c r="N1142" s="7" t="s">
        <v>20</v>
      </c>
      <c r="O1142" s="7" t="s">
        <v>184</v>
      </c>
      <c r="P1142" s="7" t="s">
        <v>195</v>
      </c>
      <c r="Q1142" s="7" t="s">
        <v>196</v>
      </c>
      <c r="R1142" s="7" t="s">
        <v>382</v>
      </c>
      <c r="S1142" s="7" t="s">
        <v>383</v>
      </c>
      <c r="T1142" s="7"/>
      <c r="U1142" s="7" t="s">
        <v>384</v>
      </c>
      <c r="V1142" s="7"/>
      <c r="W1142" s="8" t="s">
        <v>380</v>
      </c>
      <c r="X1142" s="7" t="s">
        <v>99</v>
      </c>
      <c r="Y1142" s="7" t="s">
        <v>23</v>
      </c>
    </row>
    <row r="1143" spans="1:25" x14ac:dyDescent="0.25">
      <c r="A1143" s="247" t="s">
        <v>311</v>
      </c>
      <c r="B1143" s="248">
        <v>45659</v>
      </c>
      <c r="C1143" s="244" t="s">
        <v>763</v>
      </c>
      <c r="D1143" s="244"/>
      <c r="E1143" s="253">
        <v>459.77</v>
      </c>
      <c r="F1143" s="249">
        <v>0</v>
      </c>
      <c r="G1143" s="266">
        <f>Tabla3[[#This Row],[INGRESOS]]-Tabla3[[#This Row],[EGRESOS]]</f>
        <v>-459.77</v>
      </c>
      <c r="H1143" s="132">
        <v>-4997771.67</v>
      </c>
      <c r="I1143" s="119">
        <v>1140</v>
      </c>
      <c r="J1143" s="99">
        <f>Tabla3[[#This Row],[EGRESOS]]/Tabla3[[#This Row],[TC]]</f>
        <v>0.40330701754385961</v>
      </c>
      <c r="K1143" s="99">
        <f>Tabla3[[#This Row],[INGRESOS]]/Tabla3[[#This Row],[TC]]</f>
        <v>0</v>
      </c>
      <c r="L1143" s="7" t="s">
        <v>376</v>
      </c>
      <c r="M1143" s="7" t="s">
        <v>377</v>
      </c>
      <c r="N1143" s="7" t="s">
        <v>20</v>
      </c>
      <c r="O1143" s="7" t="s">
        <v>184</v>
      </c>
      <c r="P1143" s="7" t="s">
        <v>195</v>
      </c>
      <c r="Q1143" s="7" t="s">
        <v>196</v>
      </c>
      <c r="R1143" s="7" t="s">
        <v>417</v>
      </c>
      <c r="S1143" s="7" t="s">
        <v>383</v>
      </c>
      <c r="T1143" s="7"/>
      <c r="U1143" s="7" t="s">
        <v>384</v>
      </c>
      <c r="V1143" s="7"/>
      <c r="W1143" s="8" t="s">
        <v>380</v>
      </c>
      <c r="X1143" s="7" t="s">
        <v>99</v>
      </c>
      <c r="Y1143" s="7" t="s">
        <v>23</v>
      </c>
    </row>
    <row r="1144" spans="1:25" x14ac:dyDescent="0.25">
      <c r="A1144" s="247" t="s">
        <v>311</v>
      </c>
      <c r="B1144" s="248">
        <v>45659</v>
      </c>
      <c r="C1144" s="244" t="s">
        <v>781</v>
      </c>
      <c r="D1144" s="244"/>
      <c r="E1144" s="253">
        <v>30651.05</v>
      </c>
      <c r="F1144" s="249">
        <v>0</v>
      </c>
      <c r="G1144" s="266">
        <f>Tabla3[[#This Row],[INGRESOS]]-Tabla3[[#This Row],[EGRESOS]]</f>
        <v>-30651.05</v>
      </c>
      <c r="H1144" s="132">
        <v>-5028422.72</v>
      </c>
      <c r="I1144" s="119">
        <v>1140</v>
      </c>
      <c r="J1144" s="99">
        <f>Tabla3[[#This Row],[EGRESOS]]/Tabla3[[#This Row],[TC]]</f>
        <v>26.886885964912281</v>
      </c>
      <c r="K1144" s="99">
        <f>Tabla3[[#This Row],[INGRESOS]]/Tabla3[[#This Row],[TC]]</f>
        <v>0</v>
      </c>
      <c r="L1144" s="7" t="s">
        <v>376</v>
      </c>
      <c r="M1144" s="7" t="s">
        <v>377</v>
      </c>
      <c r="N1144" s="7" t="s">
        <v>20</v>
      </c>
      <c r="O1144" s="7" t="s">
        <v>184</v>
      </c>
      <c r="P1144" s="7" t="s">
        <v>197</v>
      </c>
      <c r="Q1144" s="7" t="s">
        <v>198</v>
      </c>
      <c r="R1144" s="7" t="s">
        <v>419</v>
      </c>
      <c r="S1144" s="7"/>
      <c r="T1144" s="7"/>
      <c r="U1144" s="7" t="s">
        <v>384</v>
      </c>
      <c r="V1144" s="7"/>
      <c r="W1144" s="8" t="s">
        <v>380</v>
      </c>
      <c r="X1144" s="7" t="s">
        <v>99</v>
      </c>
      <c r="Y1144" s="7" t="s">
        <v>23</v>
      </c>
    </row>
    <row r="1145" spans="1:25" hidden="1" x14ac:dyDescent="0.25">
      <c r="A1145" s="247" t="s">
        <v>311</v>
      </c>
      <c r="B1145" s="248">
        <v>45659</v>
      </c>
      <c r="C1145" s="244" t="s">
        <v>782</v>
      </c>
      <c r="D1145" s="244" t="s">
        <v>783</v>
      </c>
      <c r="E1145" s="253">
        <v>290976.96999999997</v>
      </c>
      <c r="F1145" s="249">
        <v>0</v>
      </c>
      <c r="G1145" s="266">
        <f>Tabla3[[#This Row],[INGRESOS]]-Tabla3[[#This Row],[EGRESOS]]</f>
        <v>-290976.96999999997</v>
      </c>
      <c r="H1145" s="132">
        <v>-5319399.6900000004</v>
      </c>
      <c r="I1145" s="119">
        <v>1140</v>
      </c>
      <c r="J1145" s="99">
        <f>Tabla3[[#This Row],[EGRESOS]]/Tabla3[[#This Row],[TC]]</f>
        <v>255.24295614035086</v>
      </c>
      <c r="K1145" s="99">
        <f>Tabla3[[#This Row],[INGRESOS]]/Tabla3[[#This Row],[TC]]</f>
        <v>0</v>
      </c>
      <c r="L1145" s="7" t="s">
        <v>376</v>
      </c>
      <c r="M1145" s="7" t="s">
        <v>377</v>
      </c>
      <c r="N1145" s="7" t="s">
        <v>20</v>
      </c>
      <c r="O1145" s="7" t="s">
        <v>225</v>
      </c>
      <c r="P1145" s="7" t="s">
        <v>226</v>
      </c>
      <c r="Q1145" s="7" t="s">
        <v>228</v>
      </c>
      <c r="R1145" s="7"/>
      <c r="S1145" s="7" t="s">
        <v>640</v>
      </c>
      <c r="T1145" s="7" t="s">
        <v>784</v>
      </c>
      <c r="U1145" s="7" t="s">
        <v>398</v>
      </c>
      <c r="V1145" s="7"/>
      <c r="W1145" s="7" t="s">
        <v>399</v>
      </c>
      <c r="X1145" s="7" t="s">
        <v>29</v>
      </c>
      <c r="Y1145" s="7" t="s">
        <v>23</v>
      </c>
    </row>
    <row r="1146" spans="1:25" hidden="1" x14ac:dyDescent="0.25">
      <c r="A1146" s="247" t="s">
        <v>311</v>
      </c>
      <c r="B1146" s="248">
        <v>45660</v>
      </c>
      <c r="C1146" s="244" t="s">
        <v>782</v>
      </c>
      <c r="D1146" s="244" t="s">
        <v>785</v>
      </c>
      <c r="E1146" s="253">
        <v>1317608</v>
      </c>
      <c r="F1146" s="249">
        <v>0</v>
      </c>
      <c r="G1146" s="266">
        <f>Tabla3[[#This Row],[INGRESOS]]-Tabla3[[#This Row],[EGRESOS]]</f>
        <v>-1317608</v>
      </c>
      <c r="H1146" s="132">
        <v>-6721792.3700000001</v>
      </c>
      <c r="I1146" s="119">
        <v>1140</v>
      </c>
      <c r="J1146" s="99">
        <f>Tabla3[[#This Row],[EGRESOS]]/Tabla3[[#This Row],[TC]]</f>
        <v>1155.7964912280702</v>
      </c>
      <c r="K1146" s="99">
        <f>Tabla3[[#This Row],[INGRESOS]]/Tabla3[[#This Row],[TC]]</f>
        <v>0</v>
      </c>
      <c r="L1146" s="7" t="s">
        <v>376</v>
      </c>
      <c r="M1146" s="7" t="s">
        <v>377</v>
      </c>
      <c r="N1146" s="7" t="s">
        <v>20</v>
      </c>
      <c r="O1146" s="7" t="s">
        <v>215</v>
      </c>
      <c r="P1146" s="7" t="s">
        <v>216</v>
      </c>
      <c r="Q1146" s="7" t="s">
        <v>220</v>
      </c>
      <c r="R1146" s="7" t="s">
        <v>329</v>
      </c>
      <c r="S1146" s="7" t="s">
        <v>634</v>
      </c>
      <c r="T1146" s="7" t="s">
        <v>786</v>
      </c>
      <c r="U1146" s="7" t="s">
        <v>398</v>
      </c>
      <c r="V1146" s="7"/>
      <c r="W1146" s="7" t="s">
        <v>399</v>
      </c>
      <c r="X1146" s="7" t="s">
        <v>400</v>
      </c>
      <c r="Y1146" s="7" t="s">
        <v>23</v>
      </c>
    </row>
    <row r="1147" spans="1:25" hidden="1" x14ac:dyDescent="0.25">
      <c r="A1147" s="247" t="s">
        <v>311</v>
      </c>
      <c r="B1147" s="248">
        <v>45660</v>
      </c>
      <c r="C1147" s="244" t="s">
        <v>782</v>
      </c>
      <c r="D1147" s="244" t="s">
        <v>787</v>
      </c>
      <c r="E1147" s="253">
        <v>328116</v>
      </c>
      <c r="F1147" s="249">
        <v>0</v>
      </c>
      <c r="G1147" s="266">
        <f>Tabla3[[#This Row],[INGRESOS]]-Tabla3[[#This Row],[EGRESOS]]</f>
        <v>-328116</v>
      </c>
      <c r="H1147" s="132">
        <v>-7049908.3700000001</v>
      </c>
      <c r="I1147" s="119">
        <v>1140</v>
      </c>
      <c r="J1147" s="99">
        <f>Tabla3[[#This Row],[EGRESOS]]/Tabla3[[#This Row],[TC]]</f>
        <v>287.82105263157894</v>
      </c>
      <c r="K1147" s="99">
        <f>Tabla3[[#This Row],[INGRESOS]]/Tabla3[[#This Row],[TC]]</f>
        <v>0</v>
      </c>
      <c r="L1147" s="7" t="s">
        <v>376</v>
      </c>
      <c r="M1147" s="7" t="s">
        <v>377</v>
      </c>
      <c r="N1147" s="7" t="s">
        <v>20</v>
      </c>
      <c r="O1147" s="7" t="s">
        <v>286</v>
      </c>
      <c r="P1147" s="7" t="s">
        <v>287</v>
      </c>
      <c r="Q1147" s="7" t="s">
        <v>289</v>
      </c>
      <c r="R1147" s="7" t="s">
        <v>143</v>
      </c>
      <c r="S1147" s="7" t="s">
        <v>653</v>
      </c>
      <c r="T1147" s="7" t="s">
        <v>788</v>
      </c>
      <c r="U1147" s="7" t="s">
        <v>398</v>
      </c>
      <c r="V1147" s="7"/>
      <c r="W1147" s="7" t="s">
        <v>399</v>
      </c>
      <c r="X1147" s="7" t="s">
        <v>29</v>
      </c>
      <c r="Y1147" s="7" t="s">
        <v>23</v>
      </c>
    </row>
    <row r="1148" spans="1:25" hidden="1" x14ac:dyDescent="0.25">
      <c r="A1148" s="247" t="s">
        <v>311</v>
      </c>
      <c r="B1148" s="248">
        <v>45660</v>
      </c>
      <c r="C1148" s="244" t="s">
        <v>782</v>
      </c>
      <c r="D1148" s="244" t="s">
        <v>789</v>
      </c>
      <c r="E1148" s="253">
        <v>1151184.3999999999</v>
      </c>
      <c r="F1148" s="249">
        <v>0</v>
      </c>
      <c r="G1148" s="266">
        <f>Tabla3[[#This Row],[INGRESOS]]-Tabla3[[#This Row],[EGRESOS]]</f>
        <v>-1151184.3999999999</v>
      </c>
      <c r="H1148" s="132">
        <v>-8201092.7699999996</v>
      </c>
      <c r="I1148" s="119">
        <v>1140</v>
      </c>
      <c r="J1148" s="99">
        <f>Tabla3[[#This Row],[EGRESOS]]/Tabla3[[#This Row],[TC]]</f>
        <v>1009.8108771929824</v>
      </c>
      <c r="K1148" s="99">
        <f>Tabla3[[#This Row],[INGRESOS]]/Tabla3[[#This Row],[TC]]</f>
        <v>0</v>
      </c>
      <c r="L1148" s="7" t="s">
        <v>376</v>
      </c>
      <c r="M1148" s="7" t="s">
        <v>377</v>
      </c>
      <c r="N1148" s="7" t="s">
        <v>20</v>
      </c>
      <c r="O1148" s="7" t="s">
        <v>225</v>
      </c>
      <c r="P1148" s="7" t="s">
        <v>226</v>
      </c>
      <c r="Q1148" s="7" t="s">
        <v>228</v>
      </c>
      <c r="R1148" s="7"/>
      <c r="S1148" s="7" t="s">
        <v>407</v>
      </c>
      <c r="T1148" s="7" t="s">
        <v>790</v>
      </c>
      <c r="U1148" s="7" t="s">
        <v>398</v>
      </c>
      <c r="V1148" s="7"/>
      <c r="W1148" s="7" t="s">
        <v>399</v>
      </c>
      <c r="X1148" s="7" t="s">
        <v>29</v>
      </c>
      <c r="Y1148" s="7" t="s">
        <v>23</v>
      </c>
    </row>
    <row r="1149" spans="1:25" hidden="1" x14ac:dyDescent="0.25">
      <c r="A1149" s="247" t="s">
        <v>311</v>
      </c>
      <c r="B1149" s="248">
        <v>45660</v>
      </c>
      <c r="C1149" s="244" t="s">
        <v>782</v>
      </c>
      <c r="D1149" s="244" t="s">
        <v>791</v>
      </c>
      <c r="E1149" s="253">
        <v>839778</v>
      </c>
      <c r="F1149" s="249">
        <v>0</v>
      </c>
      <c r="G1149" s="266">
        <f>Tabla3[[#This Row],[INGRESOS]]-Tabla3[[#This Row],[EGRESOS]]</f>
        <v>-839778</v>
      </c>
      <c r="H1149" s="132">
        <v>-9040870.7699999996</v>
      </c>
      <c r="I1149" s="119">
        <v>1140</v>
      </c>
      <c r="J1149" s="99">
        <f>Tabla3[[#This Row],[EGRESOS]]/Tabla3[[#This Row],[TC]]</f>
        <v>736.64736842105265</v>
      </c>
      <c r="K1149" s="99">
        <f>Tabla3[[#This Row],[INGRESOS]]/Tabla3[[#This Row],[TC]]</f>
        <v>0</v>
      </c>
      <c r="L1149" s="7" t="s">
        <v>376</v>
      </c>
      <c r="M1149" s="7" t="s">
        <v>377</v>
      </c>
      <c r="N1149" s="7" t="s">
        <v>20</v>
      </c>
      <c r="O1149" s="7" t="s">
        <v>215</v>
      </c>
      <c r="P1149" s="7" t="s">
        <v>216</v>
      </c>
      <c r="Q1149" s="7" t="s">
        <v>220</v>
      </c>
      <c r="R1149" s="7" t="s">
        <v>329</v>
      </c>
      <c r="S1149" s="7" t="s">
        <v>634</v>
      </c>
      <c r="T1149" s="7" t="s">
        <v>792</v>
      </c>
      <c r="U1149" s="7" t="s">
        <v>398</v>
      </c>
      <c r="V1149" s="7"/>
      <c r="W1149" s="7" t="s">
        <v>399</v>
      </c>
      <c r="X1149" s="7" t="s">
        <v>400</v>
      </c>
      <c r="Y1149" s="7" t="s">
        <v>23</v>
      </c>
    </row>
    <row r="1150" spans="1:25" hidden="1" x14ac:dyDescent="0.25">
      <c r="A1150" s="247" t="s">
        <v>311</v>
      </c>
      <c r="B1150" s="248">
        <v>45660</v>
      </c>
      <c r="C1150" s="244" t="s">
        <v>793</v>
      </c>
      <c r="D1150" s="244"/>
      <c r="E1150" s="253">
        <v>0</v>
      </c>
      <c r="F1150" s="249">
        <v>3100000</v>
      </c>
      <c r="G1150" s="266">
        <f>Tabla3[[#This Row],[INGRESOS]]-Tabla3[[#This Row],[EGRESOS]]</f>
        <v>3100000</v>
      </c>
      <c r="H1150" s="132">
        <v>-5940870.7699999996</v>
      </c>
      <c r="I1150" s="119">
        <v>1140</v>
      </c>
      <c r="J1150" s="99">
        <f>Tabla3[[#This Row],[EGRESOS]]/Tabla3[[#This Row],[TC]]</f>
        <v>0</v>
      </c>
      <c r="K1150" s="99">
        <f>Tabla3[[#This Row],[INGRESOS]]/Tabla3[[#This Row],[TC]]</f>
        <v>2719.2982456140353</v>
      </c>
      <c r="L1150" s="7" t="s">
        <v>376</v>
      </c>
      <c r="M1150" s="7" t="s">
        <v>377</v>
      </c>
      <c r="N1150" s="7" t="s">
        <v>20</v>
      </c>
      <c r="O1150" s="7" t="s">
        <v>244</v>
      </c>
      <c r="P1150" s="7" t="s">
        <v>259</v>
      </c>
      <c r="Q1150" s="7" t="s">
        <v>260</v>
      </c>
      <c r="R1150" s="7" t="s">
        <v>554</v>
      </c>
      <c r="S1150" s="7"/>
      <c r="T1150" s="7"/>
      <c r="U1150" s="7" t="s">
        <v>379</v>
      </c>
      <c r="V1150" s="7"/>
      <c r="W1150" s="7" t="s">
        <v>380</v>
      </c>
      <c r="X1150" s="7"/>
      <c r="Y1150" s="7"/>
    </row>
    <row r="1151" spans="1:25" hidden="1" x14ac:dyDescent="0.25">
      <c r="A1151" s="247" t="s">
        <v>311</v>
      </c>
      <c r="B1151" s="248">
        <v>45660</v>
      </c>
      <c r="C1151" s="244" t="s">
        <v>793</v>
      </c>
      <c r="D1151" s="244"/>
      <c r="E1151" s="253">
        <v>0</v>
      </c>
      <c r="F1151" s="249">
        <v>1000000</v>
      </c>
      <c r="G1151" s="266">
        <f>Tabla3[[#This Row],[INGRESOS]]-Tabla3[[#This Row],[EGRESOS]]</f>
        <v>1000000</v>
      </c>
      <c r="H1151" s="132">
        <v>-4940870.7699999996</v>
      </c>
      <c r="I1151" s="119">
        <v>1140</v>
      </c>
      <c r="J1151" s="99">
        <f>Tabla3[[#This Row],[EGRESOS]]/Tabla3[[#This Row],[TC]]</f>
        <v>0</v>
      </c>
      <c r="K1151" s="99">
        <f>Tabla3[[#This Row],[INGRESOS]]/Tabla3[[#This Row],[TC]]</f>
        <v>877.19298245614038</v>
      </c>
      <c r="L1151" s="7" t="s">
        <v>376</v>
      </c>
      <c r="M1151" s="7" t="s">
        <v>377</v>
      </c>
      <c r="N1151" s="7" t="s">
        <v>20</v>
      </c>
      <c r="O1151" s="7" t="s">
        <v>244</v>
      </c>
      <c r="P1151" s="7" t="s">
        <v>259</v>
      </c>
      <c r="Q1151" s="7" t="s">
        <v>260</v>
      </c>
      <c r="R1151" s="7" t="s">
        <v>554</v>
      </c>
      <c r="S1151" s="7"/>
      <c r="T1151" s="7"/>
      <c r="U1151" s="7" t="s">
        <v>379</v>
      </c>
      <c r="V1151" s="7"/>
      <c r="W1151" s="7" t="s">
        <v>380</v>
      </c>
      <c r="X1151" s="7"/>
      <c r="Y1151" s="7"/>
    </row>
    <row r="1152" spans="1:25" x14ac:dyDescent="0.25">
      <c r="A1152" s="247" t="s">
        <v>311</v>
      </c>
      <c r="B1152" s="248">
        <v>45660</v>
      </c>
      <c r="C1152" s="244" t="s">
        <v>762</v>
      </c>
      <c r="D1152" s="244"/>
      <c r="E1152" s="253">
        <v>2383.5</v>
      </c>
      <c r="F1152" s="249">
        <v>0</v>
      </c>
      <c r="G1152" s="266">
        <f>Tabla3[[#This Row],[INGRESOS]]-Tabla3[[#This Row],[EGRESOS]]</f>
        <v>-2383.5</v>
      </c>
      <c r="H1152" s="132">
        <v>-4943254.2699999996</v>
      </c>
      <c r="I1152" s="119">
        <v>1140</v>
      </c>
      <c r="J1152" s="99">
        <f>Tabla3[[#This Row],[EGRESOS]]/Tabla3[[#This Row],[TC]]</f>
        <v>2.0907894736842105</v>
      </c>
      <c r="K1152" s="99">
        <f>Tabla3[[#This Row],[INGRESOS]]/Tabla3[[#This Row],[TC]]</f>
        <v>0</v>
      </c>
      <c r="L1152" s="7" t="s">
        <v>376</v>
      </c>
      <c r="M1152" s="7" t="s">
        <v>377</v>
      </c>
      <c r="N1152" s="7" t="s">
        <v>20</v>
      </c>
      <c r="O1152" s="7" t="s">
        <v>184</v>
      </c>
      <c r="P1152" s="7" t="s">
        <v>195</v>
      </c>
      <c r="Q1152" s="7" t="s">
        <v>196</v>
      </c>
      <c r="R1152" s="7" t="s">
        <v>382</v>
      </c>
      <c r="S1152" s="7" t="s">
        <v>383</v>
      </c>
      <c r="T1152" s="7"/>
      <c r="U1152" s="7" t="s">
        <v>384</v>
      </c>
      <c r="V1152" s="7"/>
      <c r="W1152" s="7" t="s">
        <v>380</v>
      </c>
      <c r="X1152" s="7" t="s">
        <v>99</v>
      </c>
      <c r="Y1152" s="7" t="s">
        <v>23</v>
      </c>
    </row>
    <row r="1153" spans="1:25" x14ac:dyDescent="0.25">
      <c r="A1153" s="247" t="s">
        <v>311</v>
      </c>
      <c r="B1153" s="248">
        <v>45660</v>
      </c>
      <c r="C1153" s="244" t="s">
        <v>763</v>
      </c>
      <c r="D1153" s="244"/>
      <c r="E1153" s="253">
        <v>340.5</v>
      </c>
      <c r="F1153" s="249">
        <v>0</v>
      </c>
      <c r="G1153" s="266">
        <f>Tabla3[[#This Row],[INGRESOS]]-Tabla3[[#This Row],[EGRESOS]]</f>
        <v>-340.5</v>
      </c>
      <c r="H1153" s="132">
        <v>-4943594.7699999996</v>
      </c>
      <c r="I1153" s="119">
        <v>1140</v>
      </c>
      <c r="J1153" s="99">
        <f>Tabla3[[#This Row],[EGRESOS]]/Tabla3[[#This Row],[TC]]</f>
        <v>0.29868421052631577</v>
      </c>
      <c r="K1153" s="99">
        <f>Tabla3[[#This Row],[INGRESOS]]/Tabla3[[#This Row],[TC]]</f>
        <v>0</v>
      </c>
      <c r="L1153" s="7" t="s">
        <v>376</v>
      </c>
      <c r="M1153" s="7" t="s">
        <v>377</v>
      </c>
      <c r="N1153" s="7" t="s">
        <v>20</v>
      </c>
      <c r="O1153" s="7" t="s">
        <v>184</v>
      </c>
      <c r="P1153" s="7" t="s">
        <v>195</v>
      </c>
      <c r="Q1153" s="7" t="s">
        <v>196</v>
      </c>
      <c r="R1153" s="7" t="s">
        <v>417</v>
      </c>
      <c r="S1153" s="7" t="s">
        <v>383</v>
      </c>
      <c r="T1153" s="7"/>
      <c r="U1153" s="7" t="s">
        <v>384</v>
      </c>
      <c r="V1153" s="7"/>
      <c r="W1153" s="7" t="s">
        <v>380</v>
      </c>
      <c r="X1153" s="7" t="s">
        <v>99</v>
      </c>
      <c r="Y1153" s="7" t="s">
        <v>23</v>
      </c>
    </row>
    <row r="1154" spans="1:25" x14ac:dyDescent="0.25">
      <c r="A1154" s="247" t="s">
        <v>311</v>
      </c>
      <c r="B1154" s="248">
        <v>45660</v>
      </c>
      <c r="C1154" s="244" t="s">
        <v>794</v>
      </c>
      <c r="D1154" s="244"/>
      <c r="E1154" s="253">
        <v>11350</v>
      </c>
      <c r="F1154" s="249">
        <v>0</v>
      </c>
      <c r="G1154" s="266">
        <f>Tabla3[[#This Row],[INGRESOS]]-Tabla3[[#This Row],[EGRESOS]]</f>
        <v>-11350</v>
      </c>
      <c r="H1154" s="132">
        <v>-4954944.7699999996</v>
      </c>
      <c r="I1154" s="119">
        <v>1140</v>
      </c>
      <c r="J1154" s="99">
        <f>Tabla3[[#This Row],[EGRESOS]]/Tabla3[[#This Row],[TC]]</f>
        <v>9.9561403508771935</v>
      </c>
      <c r="K1154" s="99">
        <f>Tabla3[[#This Row],[INGRESOS]]/Tabla3[[#This Row],[TC]]</f>
        <v>0</v>
      </c>
      <c r="L1154" s="7" t="s">
        <v>376</v>
      </c>
      <c r="M1154" s="7" t="s">
        <v>377</v>
      </c>
      <c r="N1154" s="7" t="s">
        <v>20</v>
      </c>
      <c r="O1154" s="7" t="s">
        <v>184</v>
      </c>
      <c r="P1154" s="7" t="s">
        <v>185</v>
      </c>
      <c r="Q1154" s="7" t="s">
        <v>186</v>
      </c>
      <c r="R1154" s="7" t="s">
        <v>227</v>
      </c>
      <c r="S1154" s="7"/>
      <c r="T1154" s="7"/>
      <c r="U1154" s="7" t="s">
        <v>384</v>
      </c>
      <c r="V1154" s="7"/>
      <c r="W1154" s="7" t="s">
        <v>380</v>
      </c>
      <c r="X1154" s="7" t="s">
        <v>99</v>
      </c>
      <c r="Y1154" s="7" t="s">
        <v>23</v>
      </c>
    </row>
    <row r="1155" spans="1:25" x14ac:dyDescent="0.25">
      <c r="A1155" s="247" t="s">
        <v>311</v>
      </c>
      <c r="B1155" s="248">
        <v>45660</v>
      </c>
      <c r="C1155" s="244" t="s">
        <v>760</v>
      </c>
      <c r="D1155" s="244"/>
      <c r="E1155" s="253">
        <v>21904.57</v>
      </c>
      <c r="F1155" s="249">
        <v>0</v>
      </c>
      <c r="G1155" s="266">
        <f>Tabla3[[#This Row],[INGRESOS]]-Tabla3[[#This Row],[EGRESOS]]</f>
        <v>-21904.57</v>
      </c>
      <c r="H1155" s="132">
        <v>-4976849.34</v>
      </c>
      <c r="I1155" s="119">
        <v>1140</v>
      </c>
      <c r="J1155" s="99">
        <f>Tabla3[[#This Row],[EGRESOS]]/Tabla3[[#This Row],[TC]]</f>
        <v>19.214535087719298</v>
      </c>
      <c r="K1155" s="99">
        <f>Tabla3[[#This Row],[INGRESOS]]/Tabla3[[#This Row],[TC]]</f>
        <v>0</v>
      </c>
      <c r="L1155" s="7" t="s">
        <v>376</v>
      </c>
      <c r="M1155" s="7" t="s">
        <v>377</v>
      </c>
      <c r="N1155" s="7" t="s">
        <v>20</v>
      </c>
      <c r="O1155" s="7" t="s">
        <v>184</v>
      </c>
      <c r="P1155" s="7" t="s">
        <v>195</v>
      </c>
      <c r="Q1155" s="7" t="s">
        <v>196</v>
      </c>
      <c r="R1155" s="7" t="s">
        <v>394</v>
      </c>
      <c r="S1155" s="7" t="s">
        <v>383</v>
      </c>
      <c r="T1155" s="7"/>
      <c r="U1155" s="7" t="s">
        <v>384</v>
      </c>
      <c r="V1155" s="7"/>
      <c r="W1155" s="7" t="s">
        <v>380</v>
      </c>
      <c r="X1155" s="7" t="s">
        <v>99</v>
      </c>
      <c r="Y1155" s="7" t="s">
        <v>23</v>
      </c>
    </row>
    <row r="1156" spans="1:25" hidden="1" x14ac:dyDescent="0.25">
      <c r="A1156" s="247" t="s">
        <v>311</v>
      </c>
      <c r="B1156" s="248">
        <v>45660</v>
      </c>
      <c r="C1156" s="244" t="s">
        <v>795</v>
      </c>
      <c r="D1156" s="244"/>
      <c r="E1156" s="253">
        <v>659682.38</v>
      </c>
      <c r="F1156" s="249">
        <v>0</v>
      </c>
      <c r="G1156" s="266">
        <f>Tabla3[[#This Row],[INGRESOS]]-Tabla3[[#This Row],[EGRESOS]]</f>
        <v>-659682.38</v>
      </c>
      <c r="H1156" s="132">
        <v>-5636531.7199999997</v>
      </c>
      <c r="I1156" s="119">
        <v>1140</v>
      </c>
      <c r="J1156" s="99">
        <f>Tabla3[[#This Row],[EGRESOS]]/Tabla3[[#This Row],[TC]]</f>
        <v>578.66875438596492</v>
      </c>
      <c r="K1156" s="99">
        <f>Tabla3[[#This Row],[INGRESOS]]/Tabla3[[#This Row],[TC]]</f>
        <v>0</v>
      </c>
      <c r="L1156" s="7" t="s">
        <v>376</v>
      </c>
      <c r="M1156" s="7" t="s">
        <v>377</v>
      </c>
      <c r="N1156" s="7" t="s">
        <v>20</v>
      </c>
      <c r="O1156" s="7" t="s">
        <v>244</v>
      </c>
      <c r="P1156" s="7" t="s">
        <v>259</v>
      </c>
      <c r="Q1156" s="7" t="s">
        <v>260</v>
      </c>
      <c r="R1156" s="7" t="s">
        <v>796</v>
      </c>
      <c r="S1156" s="7"/>
      <c r="T1156" s="7"/>
      <c r="U1156" s="7" t="s">
        <v>379</v>
      </c>
      <c r="V1156" s="7"/>
      <c r="W1156" s="7" t="s">
        <v>380</v>
      </c>
      <c r="X1156" s="7"/>
      <c r="Y1156" s="7"/>
    </row>
    <row r="1157" spans="1:25" hidden="1" x14ac:dyDescent="0.25">
      <c r="A1157" s="247" t="s">
        <v>311</v>
      </c>
      <c r="B1157" s="248">
        <v>45663</v>
      </c>
      <c r="C1157" s="244" t="s">
        <v>782</v>
      </c>
      <c r="D1157" s="244" t="s">
        <v>797</v>
      </c>
      <c r="E1157" s="253">
        <v>102000</v>
      </c>
      <c r="F1157" s="249">
        <v>0</v>
      </c>
      <c r="G1157" s="266">
        <f>Tabla3[[#This Row],[INGRESOS]]-Tabla3[[#This Row],[EGRESOS]]</f>
        <v>-102000</v>
      </c>
      <c r="H1157" s="132">
        <v>-5738531.7199999997</v>
      </c>
      <c r="I1157" s="119">
        <v>1140</v>
      </c>
      <c r="J1157" s="99">
        <f>Tabla3[[#This Row],[EGRESOS]]/Tabla3[[#This Row],[TC]]</f>
        <v>89.473684210526315</v>
      </c>
      <c r="K1157" s="99">
        <f>Tabla3[[#This Row],[INGRESOS]]/Tabla3[[#This Row],[TC]]</f>
        <v>0</v>
      </c>
      <c r="L1157" s="7" t="s">
        <v>376</v>
      </c>
      <c r="M1157" s="7" t="s">
        <v>377</v>
      </c>
      <c r="N1157" s="7" t="s">
        <v>20</v>
      </c>
      <c r="O1157" s="7" t="s">
        <v>225</v>
      </c>
      <c r="P1157" s="7" t="s">
        <v>233</v>
      </c>
      <c r="Q1157" s="7" t="s">
        <v>234</v>
      </c>
      <c r="R1157" s="7" t="s">
        <v>798</v>
      </c>
      <c r="S1157" s="7" t="s">
        <v>799</v>
      </c>
      <c r="T1157" s="7"/>
      <c r="U1157" s="7" t="s">
        <v>412</v>
      </c>
      <c r="V1157" s="7"/>
      <c r="W1157" s="7" t="s">
        <v>380</v>
      </c>
      <c r="X1157" s="7" t="s">
        <v>50</v>
      </c>
      <c r="Y1157" s="7" t="s">
        <v>23</v>
      </c>
    </row>
    <row r="1158" spans="1:25" hidden="1" x14ac:dyDescent="0.25">
      <c r="A1158" s="247" t="s">
        <v>311</v>
      </c>
      <c r="B1158" s="248">
        <v>45663</v>
      </c>
      <c r="C1158" s="244" t="s">
        <v>800</v>
      </c>
      <c r="D1158" s="244"/>
      <c r="E1158" s="253">
        <v>40000</v>
      </c>
      <c r="F1158" s="249">
        <v>0</v>
      </c>
      <c r="G1158" s="266">
        <f>Tabla3[[#This Row],[INGRESOS]]-Tabla3[[#This Row],[EGRESOS]]</f>
        <v>-40000</v>
      </c>
      <c r="H1158" s="132">
        <v>-5778531.7199999997</v>
      </c>
      <c r="I1158" s="119">
        <v>1140</v>
      </c>
      <c r="J1158" s="99">
        <f>Tabla3[[#This Row],[EGRESOS]]/Tabla3[[#This Row],[TC]]</f>
        <v>35.087719298245617</v>
      </c>
      <c r="K1158" s="99">
        <f>Tabla3[[#This Row],[INGRESOS]]/Tabla3[[#This Row],[TC]]</f>
        <v>0</v>
      </c>
      <c r="L1158" s="7" t="s">
        <v>376</v>
      </c>
      <c r="M1158" s="7" t="s">
        <v>377</v>
      </c>
      <c r="N1158" s="7" t="s">
        <v>20</v>
      </c>
      <c r="O1158" s="7" t="s">
        <v>286</v>
      </c>
      <c r="P1158" s="7" t="s">
        <v>287</v>
      </c>
      <c r="Q1158" s="7" t="s">
        <v>218</v>
      </c>
      <c r="R1158" s="7" t="s">
        <v>801</v>
      </c>
      <c r="S1158" s="7" t="s">
        <v>615</v>
      </c>
      <c r="T1158" s="7" t="s">
        <v>802</v>
      </c>
      <c r="U1158" s="7" t="s">
        <v>398</v>
      </c>
      <c r="V1158" s="7"/>
      <c r="W1158" s="7" t="s">
        <v>399</v>
      </c>
      <c r="X1158" s="7" t="s">
        <v>29</v>
      </c>
      <c r="Y1158" s="7" t="s">
        <v>23</v>
      </c>
    </row>
    <row r="1159" spans="1:25" x14ac:dyDescent="0.25">
      <c r="A1159" s="247" t="s">
        <v>311</v>
      </c>
      <c r="B1159" s="248">
        <v>45663</v>
      </c>
      <c r="C1159" s="244" t="s">
        <v>760</v>
      </c>
      <c r="D1159" s="244"/>
      <c r="E1159" s="253">
        <v>852</v>
      </c>
      <c r="F1159" s="249">
        <v>0</v>
      </c>
      <c r="G1159" s="266">
        <f>Tabla3[[#This Row],[INGRESOS]]-Tabla3[[#This Row],[EGRESOS]]</f>
        <v>-852</v>
      </c>
      <c r="H1159" s="132">
        <v>-5779383.7199999997</v>
      </c>
      <c r="I1159" s="119">
        <v>1140</v>
      </c>
      <c r="J1159" s="99">
        <f>Tabla3[[#This Row],[EGRESOS]]/Tabla3[[#This Row],[TC]]</f>
        <v>0.74736842105263157</v>
      </c>
      <c r="K1159" s="99">
        <f>Tabla3[[#This Row],[INGRESOS]]/Tabla3[[#This Row],[TC]]</f>
        <v>0</v>
      </c>
      <c r="L1159" s="7" t="s">
        <v>376</v>
      </c>
      <c r="M1159" s="7" t="s">
        <v>377</v>
      </c>
      <c r="N1159" s="7" t="s">
        <v>20</v>
      </c>
      <c r="O1159" s="7" t="s">
        <v>184</v>
      </c>
      <c r="P1159" s="7" t="s">
        <v>195</v>
      </c>
      <c r="Q1159" s="7" t="s">
        <v>196</v>
      </c>
      <c r="R1159" s="7" t="s">
        <v>394</v>
      </c>
      <c r="S1159" s="7" t="s">
        <v>383</v>
      </c>
      <c r="T1159" s="7"/>
      <c r="U1159" s="7" t="s">
        <v>384</v>
      </c>
      <c r="V1159" s="7"/>
      <c r="W1159" s="7" t="s">
        <v>380</v>
      </c>
      <c r="X1159" s="7" t="s">
        <v>99</v>
      </c>
      <c r="Y1159" s="7" t="s">
        <v>23</v>
      </c>
    </row>
    <row r="1160" spans="1:25" x14ac:dyDescent="0.25">
      <c r="A1160" s="247" t="s">
        <v>311</v>
      </c>
      <c r="B1160" s="248">
        <v>45665</v>
      </c>
      <c r="C1160" s="244" t="s">
        <v>762</v>
      </c>
      <c r="D1160" s="244"/>
      <c r="E1160" s="253">
        <v>14616</v>
      </c>
      <c r="F1160" s="249">
        <v>0</v>
      </c>
      <c r="G1160" s="266">
        <f>Tabla3[[#This Row],[INGRESOS]]-Tabla3[[#This Row],[EGRESOS]]</f>
        <v>-14616</v>
      </c>
      <c r="H1160" s="132">
        <v>-5793999.7199999997</v>
      </c>
      <c r="I1160" s="119">
        <v>1140</v>
      </c>
      <c r="J1160" s="99">
        <f>Tabla3[[#This Row],[EGRESOS]]/Tabla3[[#This Row],[TC]]</f>
        <v>12.821052631578947</v>
      </c>
      <c r="K1160" s="99">
        <f>Tabla3[[#This Row],[INGRESOS]]/Tabla3[[#This Row],[TC]]</f>
        <v>0</v>
      </c>
      <c r="L1160" s="7" t="s">
        <v>376</v>
      </c>
      <c r="M1160" s="7" t="s">
        <v>377</v>
      </c>
      <c r="N1160" s="7" t="s">
        <v>20</v>
      </c>
      <c r="O1160" s="7" t="s">
        <v>184</v>
      </c>
      <c r="P1160" s="7" t="s">
        <v>195</v>
      </c>
      <c r="Q1160" s="7" t="s">
        <v>196</v>
      </c>
      <c r="R1160" s="7" t="s">
        <v>382</v>
      </c>
      <c r="S1160" s="7" t="s">
        <v>383</v>
      </c>
      <c r="T1160" s="7"/>
      <c r="U1160" s="7" t="s">
        <v>384</v>
      </c>
      <c r="V1160" s="7"/>
      <c r="W1160" s="7" t="s">
        <v>380</v>
      </c>
      <c r="X1160" s="7" t="s">
        <v>99</v>
      </c>
      <c r="Y1160" s="7" t="s">
        <v>23</v>
      </c>
    </row>
    <row r="1161" spans="1:25" x14ac:dyDescent="0.25">
      <c r="A1161" s="247" t="s">
        <v>311</v>
      </c>
      <c r="B1161" s="248">
        <v>45665</v>
      </c>
      <c r="C1161" s="244" t="s">
        <v>763</v>
      </c>
      <c r="D1161" s="244"/>
      <c r="E1161" s="253">
        <v>2088</v>
      </c>
      <c r="F1161" s="249">
        <v>0</v>
      </c>
      <c r="G1161" s="266">
        <f>Tabla3[[#This Row],[INGRESOS]]-Tabla3[[#This Row],[EGRESOS]]</f>
        <v>-2088</v>
      </c>
      <c r="H1161" s="132">
        <v>-5796087.7199999997</v>
      </c>
      <c r="I1161" s="119">
        <v>1140</v>
      </c>
      <c r="J1161" s="99">
        <f>Tabla3[[#This Row],[EGRESOS]]/Tabla3[[#This Row],[TC]]</f>
        <v>1.831578947368421</v>
      </c>
      <c r="K1161" s="99">
        <f>Tabla3[[#This Row],[INGRESOS]]/Tabla3[[#This Row],[TC]]</f>
        <v>0</v>
      </c>
      <c r="L1161" s="7" t="s">
        <v>376</v>
      </c>
      <c r="M1161" s="7" t="s">
        <v>377</v>
      </c>
      <c r="N1161" s="7" t="s">
        <v>20</v>
      </c>
      <c r="O1161" s="7" t="s">
        <v>184</v>
      </c>
      <c r="P1161" s="7" t="s">
        <v>195</v>
      </c>
      <c r="Q1161" s="7" t="s">
        <v>196</v>
      </c>
      <c r="R1161" s="7" t="s">
        <v>417</v>
      </c>
      <c r="S1161" s="7" t="s">
        <v>383</v>
      </c>
      <c r="T1161" s="7"/>
      <c r="U1161" s="7" t="s">
        <v>384</v>
      </c>
      <c r="V1161" s="7"/>
      <c r="W1161" s="7" t="s">
        <v>380</v>
      </c>
      <c r="X1161" s="7" t="s">
        <v>99</v>
      </c>
      <c r="Y1161" s="7" t="s">
        <v>23</v>
      </c>
    </row>
    <row r="1162" spans="1:25" x14ac:dyDescent="0.25">
      <c r="A1162" s="247" t="s">
        <v>311</v>
      </c>
      <c r="B1162" s="248">
        <v>45665</v>
      </c>
      <c r="C1162" s="244" t="s">
        <v>803</v>
      </c>
      <c r="D1162" s="244"/>
      <c r="E1162" s="253">
        <v>69600</v>
      </c>
      <c r="F1162" s="249">
        <v>0</v>
      </c>
      <c r="G1162" s="266">
        <f>Tabla3[[#This Row],[INGRESOS]]-Tabla3[[#This Row],[EGRESOS]]</f>
        <v>-69600</v>
      </c>
      <c r="H1162" s="132">
        <v>-5865687.7199999997</v>
      </c>
      <c r="I1162" s="119">
        <v>1140</v>
      </c>
      <c r="J1162" s="99">
        <f>Tabla3[[#This Row],[EGRESOS]]/Tabla3[[#This Row],[TC]]</f>
        <v>61.05263157894737</v>
      </c>
      <c r="K1162" s="99">
        <f>Tabla3[[#This Row],[INGRESOS]]/Tabla3[[#This Row],[TC]]</f>
        <v>0</v>
      </c>
      <c r="L1162" s="7" t="s">
        <v>376</v>
      </c>
      <c r="M1162" s="7" t="s">
        <v>377</v>
      </c>
      <c r="N1162" s="7" t="s">
        <v>20</v>
      </c>
      <c r="O1162" s="7" t="s">
        <v>184</v>
      </c>
      <c r="P1162" s="7" t="s">
        <v>185</v>
      </c>
      <c r="Q1162" s="7" t="s">
        <v>186</v>
      </c>
      <c r="R1162" s="7" t="s">
        <v>227</v>
      </c>
      <c r="S1162" s="7"/>
      <c r="T1162" s="7"/>
      <c r="U1162" s="7" t="s">
        <v>384</v>
      </c>
      <c r="V1162" s="7"/>
      <c r="W1162" s="7" t="s">
        <v>380</v>
      </c>
      <c r="X1162" s="7" t="s">
        <v>99</v>
      </c>
      <c r="Y1162" s="7" t="s">
        <v>23</v>
      </c>
    </row>
    <row r="1163" spans="1:25" x14ac:dyDescent="0.25">
      <c r="A1163" s="247" t="s">
        <v>311</v>
      </c>
      <c r="B1163" s="248">
        <v>45665</v>
      </c>
      <c r="C1163" s="244" t="s">
        <v>760</v>
      </c>
      <c r="D1163" s="244"/>
      <c r="E1163" s="253">
        <v>517.82000000000005</v>
      </c>
      <c r="F1163" s="249">
        <v>0</v>
      </c>
      <c r="G1163" s="266">
        <f>Tabla3[[#This Row],[INGRESOS]]-Tabla3[[#This Row],[EGRESOS]]</f>
        <v>-517.82000000000005</v>
      </c>
      <c r="H1163" s="132">
        <v>-5866205.54</v>
      </c>
      <c r="I1163" s="119">
        <v>1140</v>
      </c>
      <c r="J1163" s="99">
        <f>Tabla3[[#This Row],[EGRESOS]]/Tabla3[[#This Row],[TC]]</f>
        <v>0.45422807017543865</v>
      </c>
      <c r="K1163" s="99">
        <f>Tabla3[[#This Row],[INGRESOS]]/Tabla3[[#This Row],[TC]]</f>
        <v>0</v>
      </c>
      <c r="L1163" s="7" t="s">
        <v>376</v>
      </c>
      <c r="M1163" s="7" t="s">
        <v>377</v>
      </c>
      <c r="N1163" s="7" t="s">
        <v>20</v>
      </c>
      <c r="O1163" s="7" t="s">
        <v>184</v>
      </c>
      <c r="P1163" s="7" t="s">
        <v>195</v>
      </c>
      <c r="Q1163" s="7" t="s">
        <v>196</v>
      </c>
      <c r="R1163" s="7" t="s">
        <v>394</v>
      </c>
      <c r="S1163" s="7" t="s">
        <v>383</v>
      </c>
      <c r="T1163" s="7"/>
      <c r="U1163" s="7" t="s">
        <v>384</v>
      </c>
      <c r="V1163" s="7"/>
      <c r="W1163" s="7" t="s">
        <v>380</v>
      </c>
      <c r="X1163" s="7" t="s">
        <v>99</v>
      </c>
      <c r="Y1163" s="7" t="s">
        <v>23</v>
      </c>
    </row>
    <row r="1164" spans="1:25" hidden="1" x14ac:dyDescent="0.25">
      <c r="A1164" s="247" t="s">
        <v>311</v>
      </c>
      <c r="B1164" s="248">
        <v>45665</v>
      </c>
      <c r="C1164" s="244" t="s">
        <v>795</v>
      </c>
      <c r="D1164" s="244"/>
      <c r="E1164" s="253">
        <v>4989.76</v>
      </c>
      <c r="F1164" s="249">
        <v>0</v>
      </c>
      <c r="G1164" s="266">
        <f>Tabla3[[#This Row],[INGRESOS]]-Tabla3[[#This Row],[EGRESOS]]</f>
        <v>-4989.76</v>
      </c>
      <c r="H1164" s="132">
        <v>-5871195.2999999998</v>
      </c>
      <c r="I1164" s="119">
        <v>1140</v>
      </c>
      <c r="J1164" s="99">
        <f>Tabla3[[#This Row],[EGRESOS]]/Tabla3[[#This Row],[TC]]</f>
        <v>4.3769824561403512</v>
      </c>
      <c r="K1164" s="99">
        <f>Tabla3[[#This Row],[INGRESOS]]/Tabla3[[#This Row],[TC]]</f>
        <v>0</v>
      </c>
      <c r="L1164" s="7" t="s">
        <v>376</v>
      </c>
      <c r="M1164" s="7" t="s">
        <v>377</v>
      </c>
      <c r="N1164" s="7" t="s">
        <v>20</v>
      </c>
      <c r="O1164" s="7" t="s">
        <v>244</v>
      </c>
      <c r="P1164" s="7" t="s">
        <v>259</v>
      </c>
      <c r="Q1164" s="7" t="s">
        <v>260</v>
      </c>
      <c r="R1164" s="7" t="s">
        <v>804</v>
      </c>
      <c r="S1164" s="7"/>
      <c r="T1164" s="7"/>
      <c r="U1164" s="7" t="s">
        <v>379</v>
      </c>
      <c r="V1164" s="7"/>
      <c r="W1164" s="7" t="s">
        <v>380</v>
      </c>
      <c r="X1164" s="7"/>
      <c r="Y1164" s="7"/>
    </row>
    <row r="1165" spans="1:25" hidden="1" x14ac:dyDescent="0.25">
      <c r="A1165" s="247" t="s">
        <v>311</v>
      </c>
      <c r="B1165" s="248">
        <v>45666</v>
      </c>
      <c r="C1165" s="244" t="s">
        <v>782</v>
      </c>
      <c r="D1165" s="244" t="s">
        <v>805</v>
      </c>
      <c r="E1165" s="253">
        <v>392000</v>
      </c>
      <c r="F1165" s="249">
        <v>0</v>
      </c>
      <c r="G1165" s="266">
        <f>Tabla3[[#This Row],[INGRESOS]]-Tabla3[[#This Row],[EGRESOS]]</f>
        <v>-392000</v>
      </c>
      <c r="H1165" s="132">
        <v>-6263195.2999999998</v>
      </c>
      <c r="I1165" s="119">
        <v>1140</v>
      </c>
      <c r="J1165" s="99">
        <f>Tabla3[[#This Row],[EGRESOS]]/Tabla3[[#This Row],[TC]]</f>
        <v>343.85964912280701</v>
      </c>
      <c r="K1165" s="99">
        <f>Tabla3[[#This Row],[INGRESOS]]/Tabla3[[#This Row],[TC]]</f>
        <v>0</v>
      </c>
      <c r="L1165" s="7" t="s">
        <v>376</v>
      </c>
      <c r="M1165" s="7" t="s">
        <v>377</v>
      </c>
      <c r="N1165" s="7" t="s">
        <v>20</v>
      </c>
      <c r="O1165" s="7" t="s">
        <v>286</v>
      </c>
      <c r="P1165" s="7" t="s">
        <v>287</v>
      </c>
      <c r="Q1165" s="7" t="s">
        <v>217</v>
      </c>
      <c r="R1165" s="7" t="s">
        <v>188</v>
      </c>
      <c r="S1165" s="7" t="s">
        <v>656</v>
      </c>
      <c r="T1165" s="7" t="s">
        <v>806</v>
      </c>
      <c r="U1165" s="7" t="s">
        <v>398</v>
      </c>
      <c r="V1165" s="7"/>
      <c r="W1165" s="7" t="s">
        <v>399</v>
      </c>
      <c r="X1165" s="7" t="s">
        <v>29</v>
      </c>
      <c r="Y1165" s="7" t="s">
        <v>23</v>
      </c>
    </row>
    <row r="1166" spans="1:25" hidden="1" x14ac:dyDescent="0.25">
      <c r="A1166" s="247" t="s">
        <v>311</v>
      </c>
      <c r="B1166" s="248">
        <v>45666</v>
      </c>
      <c r="C1166" s="244" t="s">
        <v>793</v>
      </c>
      <c r="D1166" s="244"/>
      <c r="E1166" s="253">
        <v>0</v>
      </c>
      <c r="F1166" s="249">
        <v>500000</v>
      </c>
      <c r="G1166" s="266">
        <f>Tabla3[[#This Row],[INGRESOS]]-Tabla3[[#This Row],[EGRESOS]]</f>
        <v>500000</v>
      </c>
      <c r="H1166" s="132">
        <v>-5763195.2999999998</v>
      </c>
      <c r="I1166" s="119">
        <v>1140</v>
      </c>
      <c r="J1166" s="99">
        <f>Tabla3[[#This Row],[EGRESOS]]/Tabla3[[#This Row],[TC]]</f>
        <v>0</v>
      </c>
      <c r="K1166" s="99">
        <f>Tabla3[[#This Row],[INGRESOS]]/Tabla3[[#This Row],[TC]]</f>
        <v>438.59649122807019</v>
      </c>
      <c r="L1166" s="7" t="s">
        <v>376</v>
      </c>
      <c r="M1166" s="7" t="s">
        <v>377</v>
      </c>
      <c r="N1166" s="7" t="s">
        <v>20</v>
      </c>
      <c r="O1166" s="7" t="s">
        <v>244</v>
      </c>
      <c r="P1166" s="7" t="s">
        <v>259</v>
      </c>
      <c r="Q1166" s="7" t="s">
        <v>260</v>
      </c>
      <c r="R1166" s="7" t="s">
        <v>554</v>
      </c>
      <c r="S1166" s="7"/>
      <c r="T1166" s="7"/>
      <c r="U1166" s="7" t="s">
        <v>379</v>
      </c>
      <c r="V1166" s="7"/>
      <c r="W1166" s="7" t="s">
        <v>380</v>
      </c>
      <c r="X1166" s="7"/>
      <c r="Y1166" s="7"/>
    </row>
    <row r="1167" spans="1:25" x14ac:dyDescent="0.25">
      <c r="A1167" s="247" t="s">
        <v>311</v>
      </c>
      <c r="B1167" s="248">
        <v>45666</v>
      </c>
      <c r="C1167" s="244" t="s">
        <v>762</v>
      </c>
      <c r="D1167" s="244"/>
      <c r="E1167" s="253">
        <v>2383.5</v>
      </c>
      <c r="F1167" s="249">
        <v>0</v>
      </c>
      <c r="G1167" s="266">
        <f>Tabla3[[#This Row],[INGRESOS]]-Tabla3[[#This Row],[EGRESOS]]</f>
        <v>-2383.5</v>
      </c>
      <c r="H1167" s="132">
        <v>-5765578.7999999998</v>
      </c>
      <c r="I1167" s="119">
        <v>1140</v>
      </c>
      <c r="J1167" s="99">
        <f>Tabla3[[#This Row],[EGRESOS]]/Tabla3[[#This Row],[TC]]</f>
        <v>2.0907894736842105</v>
      </c>
      <c r="K1167" s="99">
        <f>Tabla3[[#This Row],[INGRESOS]]/Tabla3[[#This Row],[TC]]</f>
        <v>0</v>
      </c>
      <c r="L1167" s="7" t="s">
        <v>376</v>
      </c>
      <c r="M1167" s="7" t="s">
        <v>377</v>
      </c>
      <c r="N1167" s="7" t="s">
        <v>20</v>
      </c>
      <c r="O1167" s="7" t="s">
        <v>184</v>
      </c>
      <c r="P1167" s="7" t="s">
        <v>195</v>
      </c>
      <c r="Q1167" s="7" t="s">
        <v>196</v>
      </c>
      <c r="R1167" s="7" t="s">
        <v>382</v>
      </c>
      <c r="S1167" s="7" t="s">
        <v>383</v>
      </c>
      <c r="T1167" s="7"/>
      <c r="U1167" s="7" t="s">
        <v>384</v>
      </c>
      <c r="V1167" s="7"/>
      <c r="W1167" s="7" t="s">
        <v>380</v>
      </c>
      <c r="X1167" s="7" t="s">
        <v>99</v>
      </c>
      <c r="Y1167" s="7" t="s">
        <v>23</v>
      </c>
    </row>
    <row r="1168" spans="1:25" x14ac:dyDescent="0.25">
      <c r="A1168" s="247" t="s">
        <v>311</v>
      </c>
      <c r="B1168" s="248">
        <v>45666</v>
      </c>
      <c r="C1168" s="244" t="s">
        <v>763</v>
      </c>
      <c r="D1168" s="244"/>
      <c r="E1168" s="253">
        <v>340.5</v>
      </c>
      <c r="F1168" s="249">
        <v>0</v>
      </c>
      <c r="G1168" s="266">
        <f>Tabla3[[#This Row],[INGRESOS]]-Tabla3[[#This Row],[EGRESOS]]</f>
        <v>-340.5</v>
      </c>
      <c r="H1168" s="137">
        <v>-5765919.2999999998</v>
      </c>
      <c r="I1168" s="119">
        <v>1140</v>
      </c>
      <c r="J1168" s="99">
        <f>Tabla3[[#This Row],[EGRESOS]]/Tabla3[[#This Row],[TC]]</f>
        <v>0.29868421052631577</v>
      </c>
      <c r="K1168" s="99">
        <f>Tabla3[[#This Row],[INGRESOS]]/Tabla3[[#This Row],[TC]]</f>
        <v>0</v>
      </c>
      <c r="L1168" s="7" t="s">
        <v>376</v>
      </c>
      <c r="M1168" s="7" t="s">
        <v>377</v>
      </c>
      <c r="N1168" s="7" t="s">
        <v>20</v>
      </c>
      <c r="O1168" s="7" t="s">
        <v>184</v>
      </c>
      <c r="P1168" s="7" t="s">
        <v>195</v>
      </c>
      <c r="Q1168" s="7" t="s">
        <v>196</v>
      </c>
      <c r="R1168" s="7" t="s">
        <v>417</v>
      </c>
      <c r="S1168" s="7" t="s">
        <v>383</v>
      </c>
      <c r="T1168" s="7"/>
      <c r="U1168" s="7" t="s">
        <v>384</v>
      </c>
      <c r="V1168" s="7"/>
      <c r="W1168" s="7" t="s">
        <v>380</v>
      </c>
      <c r="X1168" s="7" t="s">
        <v>99</v>
      </c>
      <c r="Y1168" s="7" t="s">
        <v>23</v>
      </c>
    </row>
    <row r="1169" spans="1:25" x14ac:dyDescent="0.25">
      <c r="A1169" s="247" t="s">
        <v>311</v>
      </c>
      <c r="B1169" s="248">
        <v>45666</v>
      </c>
      <c r="C1169" s="244" t="s">
        <v>794</v>
      </c>
      <c r="D1169" s="244"/>
      <c r="E1169" s="253">
        <v>11350</v>
      </c>
      <c r="F1169" s="249">
        <v>0</v>
      </c>
      <c r="G1169" s="266">
        <f>Tabla3[[#This Row],[INGRESOS]]-Tabla3[[#This Row],[EGRESOS]]</f>
        <v>-11350</v>
      </c>
      <c r="H1169" s="137">
        <v>-5777269.2999999998</v>
      </c>
      <c r="I1169" s="119">
        <v>1140</v>
      </c>
      <c r="J1169" s="99">
        <f>Tabla3[[#This Row],[EGRESOS]]/Tabla3[[#This Row],[TC]]</f>
        <v>9.9561403508771935</v>
      </c>
      <c r="K1169" s="99">
        <f>Tabla3[[#This Row],[INGRESOS]]/Tabla3[[#This Row],[TC]]</f>
        <v>0</v>
      </c>
      <c r="L1169" s="7" t="s">
        <v>376</v>
      </c>
      <c r="M1169" s="7" t="s">
        <v>377</v>
      </c>
      <c r="N1169" s="7" t="s">
        <v>20</v>
      </c>
      <c r="O1169" s="7" t="s">
        <v>184</v>
      </c>
      <c r="P1169" s="7" t="s">
        <v>185</v>
      </c>
      <c r="Q1169" s="7" t="s">
        <v>186</v>
      </c>
      <c r="R1169" s="7" t="s">
        <v>227</v>
      </c>
      <c r="S1169" s="7"/>
      <c r="T1169" s="7"/>
      <c r="U1169" s="7" t="s">
        <v>384</v>
      </c>
      <c r="V1169" s="7"/>
      <c r="W1169" s="7" t="s">
        <v>380</v>
      </c>
      <c r="X1169" s="7" t="s">
        <v>99</v>
      </c>
      <c r="Y1169" s="7" t="s">
        <v>23</v>
      </c>
    </row>
    <row r="1170" spans="1:25" x14ac:dyDescent="0.25">
      <c r="A1170" s="247" t="s">
        <v>311</v>
      </c>
      <c r="B1170" s="248">
        <v>45666</v>
      </c>
      <c r="C1170" s="244" t="s">
        <v>760</v>
      </c>
      <c r="D1170" s="244"/>
      <c r="E1170" s="253">
        <v>2436.44</v>
      </c>
      <c r="F1170" s="249">
        <v>0</v>
      </c>
      <c r="G1170" s="266">
        <f>Tabla3[[#This Row],[INGRESOS]]-Tabla3[[#This Row],[EGRESOS]]</f>
        <v>-2436.44</v>
      </c>
      <c r="H1170" s="137">
        <v>-5779705.7400000002</v>
      </c>
      <c r="I1170" s="119">
        <v>1140</v>
      </c>
      <c r="J1170" s="99">
        <f>Tabla3[[#This Row],[EGRESOS]]/Tabla3[[#This Row],[TC]]</f>
        <v>2.1372280701754387</v>
      </c>
      <c r="K1170" s="99">
        <f>Tabla3[[#This Row],[INGRESOS]]/Tabla3[[#This Row],[TC]]</f>
        <v>0</v>
      </c>
      <c r="L1170" s="7" t="s">
        <v>376</v>
      </c>
      <c r="M1170" s="7" t="s">
        <v>377</v>
      </c>
      <c r="N1170" s="7" t="s">
        <v>20</v>
      </c>
      <c r="O1170" s="7" t="s">
        <v>184</v>
      </c>
      <c r="P1170" s="7" t="s">
        <v>195</v>
      </c>
      <c r="Q1170" s="7" t="s">
        <v>196</v>
      </c>
      <c r="R1170" s="7" t="s">
        <v>394</v>
      </c>
      <c r="S1170" s="7" t="s">
        <v>383</v>
      </c>
      <c r="T1170" s="7"/>
      <c r="U1170" s="7" t="s">
        <v>384</v>
      </c>
      <c r="V1170" s="7"/>
      <c r="W1170" s="7" t="s">
        <v>380</v>
      </c>
      <c r="X1170" s="7" t="s">
        <v>99</v>
      </c>
      <c r="Y1170" s="7" t="s">
        <v>23</v>
      </c>
    </row>
    <row r="1171" spans="1:25" hidden="1" x14ac:dyDescent="0.25">
      <c r="A1171" s="273" t="str">
        <f>"ABRIL"</f>
        <v>ABRIL</v>
      </c>
      <c r="B1171" s="251">
        <v>45776</v>
      </c>
      <c r="C1171" s="252" t="s">
        <v>527</v>
      </c>
      <c r="D1171" s="252"/>
      <c r="E1171" s="253">
        <v>0</v>
      </c>
      <c r="F1171" s="253">
        <v>120000</v>
      </c>
      <c r="G1171" s="274">
        <f>Tabla3[[#This Row],[INGRESOS]]-Tabla3[[#This Row],[EGRESOS]]</f>
        <v>120000</v>
      </c>
      <c r="H1171" s="308"/>
      <c r="I1171" s="135">
        <v>1140</v>
      </c>
      <c r="J1171" s="136">
        <f>Tabla3[[#This Row],[EGRESOS]]/Tabla3[[#This Row],[TC]]</f>
        <v>0</v>
      </c>
      <c r="K1171" s="136">
        <f>Tabla3[[#This Row],[INGRESOS]]/Tabla3[[#This Row],[TC]]</f>
        <v>105.26315789473684</v>
      </c>
      <c r="L1171" s="8" t="s">
        <v>376</v>
      </c>
      <c r="M1171" s="8" t="s">
        <v>377</v>
      </c>
      <c r="N1171" s="8" t="s">
        <v>30</v>
      </c>
      <c r="O1171" s="8" t="s">
        <v>184</v>
      </c>
      <c r="P1171" s="8" t="s">
        <v>203</v>
      </c>
      <c r="Q1171" s="8" t="s">
        <v>204</v>
      </c>
      <c r="R1171" s="8" t="s">
        <v>540</v>
      </c>
      <c r="S1171" s="8" t="s">
        <v>386</v>
      </c>
      <c r="T1171" s="8"/>
      <c r="U1171" s="8" t="s">
        <v>439</v>
      </c>
      <c r="V1171" s="8" t="s">
        <v>386</v>
      </c>
      <c r="W1171" s="8" t="s">
        <v>380</v>
      </c>
      <c r="X1171" s="8" t="s">
        <v>23</v>
      </c>
      <c r="Y1171" s="8" t="s">
        <v>98</v>
      </c>
    </row>
    <row r="1172" spans="1:25" x14ac:dyDescent="0.25">
      <c r="A1172" s="247" t="s">
        <v>311</v>
      </c>
      <c r="B1172" s="248">
        <v>45667</v>
      </c>
      <c r="C1172" s="244" t="s">
        <v>760</v>
      </c>
      <c r="D1172" s="244"/>
      <c r="E1172" s="253">
        <v>1200</v>
      </c>
      <c r="F1172" s="249">
        <v>0</v>
      </c>
      <c r="G1172" s="266">
        <f>Tabla3[[#This Row],[INGRESOS]]-Tabla3[[#This Row],[EGRESOS]]</f>
        <v>-1200</v>
      </c>
      <c r="H1172" s="137">
        <v>-5980905.7400000002</v>
      </c>
      <c r="I1172" s="119">
        <v>1140</v>
      </c>
      <c r="J1172" s="99">
        <f>Tabla3[[#This Row],[EGRESOS]]/Tabla3[[#This Row],[TC]]</f>
        <v>1.0526315789473684</v>
      </c>
      <c r="K1172" s="99">
        <f>Tabla3[[#This Row],[INGRESOS]]/Tabla3[[#This Row],[TC]]</f>
        <v>0</v>
      </c>
      <c r="L1172" s="7" t="s">
        <v>376</v>
      </c>
      <c r="M1172" s="7" t="s">
        <v>377</v>
      </c>
      <c r="N1172" s="7" t="s">
        <v>20</v>
      </c>
      <c r="O1172" s="7" t="s">
        <v>184</v>
      </c>
      <c r="P1172" s="7" t="s">
        <v>195</v>
      </c>
      <c r="Q1172" s="7" t="s">
        <v>196</v>
      </c>
      <c r="R1172" s="7" t="s">
        <v>394</v>
      </c>
      <c r="S1172" s="7" t="s">
        <v>383</v>
      </c>
      <c r="T1172" s="7"/>
      <c r="U1172" s="7" t="s">
        <v>384</v>
      </c>
      <c r="V1172" s="7"/>
      <c r="W1172" s="7" t="s">
        <v>380</v>
      </c>
      <c r="X1172" s="7" t="s">
        <v>99</v>
      </c>
      <c r="Y1172" s="7" t="s">
        <v>23</v>
      </c>
    </row>
    <row r="1173" spans="1:25" hidden="1" x14ac:dyDescent="0.25">
      <c r="A1173" s="247" t="s">
        <v>311</v>
      </c>
      <c r="B1173" s="248">
        <v>45671</v>
      </c>
      <c r="C1173" s="244" t="s">
        <v>782</v>
      </c>
      <c r="D1173" s="244" t="s">
        <v>807</v>
      </c>
      <c r="E1173" s="253">
        <v>1692640.86</v>
      </c>
      <c r="F1173" s="249">
        <v>0</v>
      </c>
      <c r="G1173" s="266">
        <f>Tabla3[[#This Row],[INGRESOS]]-Tabla3[[#This Row],[EGRESOS]]</f>
        <v>-1692640.86</v>
      </c>
      <c r="H1173" s="137">
        <v>-7673546.5999999996</v>
      </c>
      <c r="I1173" s="119">
        <v>1140</v>
      </c>
      <c r="J1173" s="99">
        <f>Tabla3[[#This Row],[EGRESOS]]/Tabla3[[#This Row],[TC]]</f>
        <v>1484.7726842105264</v>
      </c>
      <c r="K1173" s="99">
        <f>Tabla3[[#This Row],[INGRESOS]]/Tabla3[[#This Row],[TC]]</f>
        <v>0</v>
      </c>
      <c r="L1173" s="7" t="s">
        <v>376</v>
      </c>
      <c r="M1173" s="7" t="s">
        <v>377</v>
      </c>
      <c r="N1173" s="7" t="s">
        <v>20</v>
      </c>
      <c r="O1173" s="7" t="s">
        <v>225</v>
      </c>
      <c r="P1173" s="7" t="s">
        <v>226</v>
      </c>
      <c r="Q1173" s="7" t="s">
        <v>231</v>
      </c>
      <c r="R1173" s="7"/>
      <c r="S1173" s="7" t="s">
        <v>808</v>
      </c>
      <c r="T1173" s="7" t="s">
        <v>809</v>
      </c>
      <c r="U1173" s="7" t="s">
        <v>398</v>
      </c>
      <c r="V1173" s="7"/>
      <c r="W1173" s="7" t="s">
        <v>399</v>
      </c>
      <c r="X1173" s="7" t="s">
        <v>50</v>
      </c>
      <c r="Y1173" s="7" t="s">
        <v>23</v>
      </c>
    </row>
    <row r="1174" spans="1:25" hidden="1" x14ac:dyDescent="0.25">
      <c r="A1174" s="247" t="s">
        <v>311</v>
      </c>
      <c r="B1174" s="248">
        <v>45671</v>
      </c>
      <c r="C1174" s="244" t="s">
        <v>810</v>
      </c>
      <c r="D1174" s="244"/>
      <c r="E1174" s="253">
        <v>0</v>
      </c>
      <c r="F1174" s="249">
        <v>1800000</v>
      </c>
      <c r="G1174" s="266">
        <f>Tabla3[[#This Row],[INGRESOS]]-Tabla3[[#This Row],[EGRESOS]]</f>
        <v>1800000</v>
      </c>
      <c r="H1174" s="132">
        <v>-5873546.5999999996</v>
      </c>
      <c r="I1174" s="119">
        <v>1140</v>
      </c>
      <c r="J1174" s="99">
        <f>Tabla3[[#This Row],[EGRESOS]]/Tabla3[[#This Row],[TC]]</f>
        <v>0</v>
      </c>
      <c r="K1174" s="99">
        <f>Tabla3[[#This Row],[INGRESOS]]/Tabla3[[#This Row],[TC]]</f>
        <v>1578.9473684210527</v>
      </c>
      <c r="L1174" s="7" t="s">
        <v>376</v>
      </c>
      <c r="M1174" s="7" t="s">
        <v>377</v>
      </c>
      <c r="N1174" s="7" t="s">
        <v>20</v>
      </c>
      <c r="O1174" s="7" t="s">
        <v>244</v>
      </c>
      <c r="P1174" s="7" t="s">
        <v>259</v>
      </c>
      <c r="Q1174" s="7" t="s">
        <v>260</v>
      </c>
      <c r="R1174" s="7" t="s">
        <v>447</v>
      </c>
      <c r="S1174" s="7"/>
      <c r="T1174" s="7"/>
      <c r="U1174" s="7" t="s">
        <v>379</v>
      </c>
      <c r="V1174" s="7"/>
      <c r="W1174" s="7" t="s">
        <v>380</v>
      </c>
      <c r="X1174" s="7"/>
      <c r="Y1174" s="7"/>
    </row>
    <row r="1175" spans="1:25" x14ac:dyDescent="0.25">
      <c r="A1175" s="247" t="s">
        <v>311</v>
      </c>
      <c r="B1175" s="248">
        <v>45671</v>
      </c>
      <c r="C1175" s="244" t="s">
        <v>762</v>
      </c>
      <c r="D1175" s="244"/>
      <c r="E1175" s="253">
        <v>2383.5</v>
      </c>
      <c r="F1175" s="249">
        <v>0</v>
      </c>
      <c r="G1175" s="266">
        <f>Tabla3[[#This Row],[INGRESOS]]-Tabla3[[#This Row],[EGRESOS]]</f>
        <v>-2383.5</v>
      </c>
      <c r="H1175" s="132">
        <v>-5875930.0999999996</v>
      </c>
      <c r="I1175" s="119">
        <v>1140</v>
      </c>
      <c r="J1175" s="99">
        <f>Tabla3[[#This Row],[EGRESOS]]/Tabla3[[#This Row],[TC]]</f>
        <v>2.0907894736842105</v>
      </c>
      <c r="K1175" s="99">
        <f>Tabla3[[#This Row],[INGRESOS]]/Tabla3[[#This Row],[TC]]</f>
        <v>0</v>
      </c>
      <c r="L1175" s="7" t="s">
        <v>376</v>
      </c>
      <c r="M1175" s="7" t="s">
        <v>377</v>
      </c>
      <c r="N1175" s="7" t="s">
        <v>20</v>
      </c>
      <c r="O1175" s="7" t="s">
        <v>184</v>
      </c>
      <c r="P1175" s="7" t="s">
        <v>195</v>
      </c>
      <c r="Q1175" s="7" t="s">
        <v>196</v>
      </c>
      <c r="R1175" s="7" t="s">
        <v>382</v>
      </c>
      <c r="S1175" s="7" t="s">
        <v>383</v>
      </c>
      <c r="T1175" s="7"/>
      <c r="U1175" s="7" t="s">
        <v>384</v>
      </c>
      <c r="V1175" s="7"/>
      <c r="W1175" s="7" t="s">
        <v>380</v>
      </c>
      <c r="X1175" s="7" t="s">
        <v>99</v>
      </c>
      <c r="Y1175" s="7" t="s">
        <v>23</v>
      </c>
    </row>
    <row r="1176" spans="1:25" x14ac:dyDescent="0.25">
      <c r="A1176" s="247" t="s">
        <v>311</v>
      </c>
      <c r="B1176" s="248">
        <v>45671</v>
      </c>
      <c r="C1176" s="244" t="s">
        <v>763</v>
      </c>
      <c r="D1176" s="244"/>
      <c r="E1176" s="253">
        <v>340.5</v>
      </c>
      <c r="F1176" s="249">
        <v>0</v>
      </c>
      <c r="G1176" s="266">
        <f>Tabla3[[#This Row],[INGRESOS]]-Tabla3[[#This Row],[EGRESOS]]</f>
        <v>-340.5</v>
      </c>
      <c r="H1176" s="132">
        <v>-5876270.5999999996</v>
      </c>
      <c r="I1176" s="119">
        <v>1140</v>
      </c>
      <c r="J1176" s="99">
        <f>Tabla3[[#This Row],[EGRESOS]]/Tabla3[[#This Row],[TC]]</f>
        <v>0.29868421052631577</v>
      </c>
      <c r="K1176" s="99">
        <f>Tabla3[[#This Row],[INGRESOS]]/Tabla3[[#This Row],[TC]]</f>
        <v>0</v>
      </c>
      <c r="L1176" s="7" t="s">
        <v>376</v>
      </c>
      <c r="M1176" s="7" t="s">
        <v>377</v>
      </c>
      <c r="N1176" s="7" t="s">
        <v>20</v>
      </c>
      <c r="O1176" s="7" t="s">
        <v>184</v>
      </c>
      <c r="P1176" s="7" t="s">
        <v>195</v>
      </c>
      <c r="Q1176" s="7" t="s">
        <v>196</v>
      </c>
      <c r="R1176" s="7" t="s">
        <v>417</v>
      </c>
      <c r="S1176" s="7" t="s">
        <v>383</v>
      </c>
      <c r="T1176" s="7"/>
      <c r="U1176" s="7" t="s">
        <v>384</v>
      </c>
      <c r="V1176" s="7"/>
      <c r="W1176" s="7" t="s">
        <v>380</v>
      </c>
      <c r="X1176" s="7" t="s">
        <v>99</v>
      </c>
      <c r="Y1176" s="7" t="s">
        <v>23</v>
      </c>
    </row>
    <row r="1177" spans="1:25" x14ac:dyDescent="0.25">
      <c r="A1177" s="247" t="s">
        <v>311</v>
      </c>
      <c r="B1177" s="248">
        <v>45671</v>
      </c>
      <c r="C1177" s="244" t="s">
        <v>794</v>
      </c>
      <c r="D1177" s="244"/>
      <c r="E1177" s="253">
        <v>11350</v>
      </c>
      <c r="F1177" s="249">
        <v>0</v>
      </c>
      <c r="G1177" s="266">
        <f>Tabla3[[#This Row],[INGRESOS]]-Tabla3[[#This Row],[EGRESOS]]</f>
        <v>-11350</v>
      </c>
      <c r="H1177" s="137">
        <v>-5887620.5999999996</v>
      </c>
      <c r="I1177" s="119">
        <v>1140</v>
      </c>
      <c r="J1177" s="99">
        <f>Tabla3[[#This Row],[EGRESOS]]/Tabla3[[#This Row],[TC]]</f>
        <v>9.9561403508771935</v>
      </c>
      <c r="K1177" s="99">
        <f>Tabla3[[#This Row],[INGRESOS]]/Tabla3[[#This Row],[TC]]</f>
        <v>0</v>
      </c>
      <c r="L1177" s="7" t="s">
        <v>376</v>
      </c>
      <c r="M1177" s="7" t="s">
        <v>377</v>
      </c>
      <c r="N1177" s="7" t="s">
        <v>20</v>
      </c>
      <c r="O1177" s="7" t="s">
        <v>184</v>
      </c>
      <c r="P1177" s="7" t="s">
        <v>185</v>
      </c>
      <c r="Q1177" s="7" t="s">
        <v>186</v>
      </c>
      <c r="R1177" s="7" t="s">
        <v>227</v>
      </c>
      <c r="S1177" s="7"/>
      <c r="T1177" s="7"/>
      <c r="U1177" s="7" t="s">
        <v>384</v>
      </c>
      <c r="V1177" s="7"/>
      <c r="W1177" s="7" t="s">
        <v>380</v>
      </c>
      <c r="X1177" s="7" t="s">
        <v>99</v>
      </c>
      <c r="Y1177" s="7" t="s">
        <v>23</v>
      </c>
    </row>
    <row r="1178" spans="1:25" x14ac:dyDescent="0.25">
      <c r="A1178" s="247" t="s">
        <v>311</v>
      </c>
      <c r="B1178" s="248">
        <v>45671</v>
      </c>
      <c r="C1178" s="244" t="s">
        <v>760</v>
      </c>
      <c r="D1178" s="244"/>
      <c r="E1178" s="253">
        <v>10240.290000000001</v>
      </c>
      <c r="F1178" s="249">
        <v>0</v>
      </c>
      <c r="G1178" s="266">
        <f>Tabla3[[#This Row],[INGRESOS]]-Tabla3[[#This Row],[EGRESOS]]</f>
        <v>-10240.290000000001</v>
      </c>
      <c r="H1178" s="137">
        <v>-5897860.8899999997</v>
      </c>
      <c r="I1178" s="119">
        <v>1140</v>
      </c>
      <c r="J1178" s="99">
        <f>Tabla3[[#This Row],[EGRESOS]]/Tabla3[[#This Row],[TC]]</f>
        <v>8.98271052631579</v>
      </c>
      <c r="K1178" s="99">
        <f>Tabla3[[#This Row],[INGRESOS]]/Tabla3[[#This Row],[TC]]</f>
        <v>0</v>
      </c>
      <c r="L1178" s="7" t="s">
        <v>376</v>
      </c>
      <c r="M1178" s="7" t="s">
        <v>377</v>
      </c>
      <c r="N1178" s="7" t="s">
        <v>20</v>
      </c>
      <c r="O1178" s="7" t="s">
        <v>184</v>
      </c>
      <c r="P1178" s="7" t="s">
        <v>195</v>
      </c>
      <c r="Q1178" s="7" t="s">
        <v>196</v>
      </c>
      <c r="R1178" s="7" t="s">
        <v>394</v>
      </c>
      <c r="S1178" s="7" t="s">
        <v>383</v>
      </c>
      <c r="T1178" s="7"/>
      <c r="U1178" s="7" t="s">
        <v>384</v>
      </c>
      <c r="V1178" s="7"/>
      <c r="W1178" s="7" t="s">
        <v>380</v>
      </c>
      <c r="X1178" s="7" t="s">
        <v>99</v>
      </c>
      <c r="Y1178" s="7" t="s">
        <v>23</v>
      </c>
    </row>
    <row r="1179" spans="1:25" ht="15.75" hidden="1" customHeight="1" x14ac:dyDescent="0.25">
      <c r="A1179" s="247" t="s">
        <v>311</v>
      </c>
      <c r="B1179" s="248">
        <v>45673</v>
      </c>
      <c r="C1179" s="244" t="s">
        <v>782</v>
      </c>
      <c r="D1179" s="244" t="s">
        <v>811</v>
      </c>
      <c r="E1179" s="253">
        <v>281666.44</v>
      </c>
      <c r="F1179" s="249">
        <v>0</v>
      </c>
      <c r="G1179" s="266">
        <f>Tabla3[[#This Row],[INGRESOS]]-Tabla3[[#This Row],[EGRESOS]]</f>
        <v>-281666.44</v>
      </c>
      <c r="H1179" s="137">
        <v>-6179527.3300000001</v>
      </c>
      <c r="I1179" s="119">
        <v>1140</v>
      </c>
      <c r="J1179" s="99">
        <f>Tabla3[[#This Row],[EGRESOS]]/Tabla3[[#This Row],[TC]]</f>
        <v>247.07582456140352</v>
      </c>
      <c r="K1179" s="99">
        <f>Tabla3[[#This Row],[INGRESOS]]/Tabla3[[#This Row],[TC]]</f>
        <v>0</v>
      </c>
      <c r="L1179" s="7" t="s">
        <v>376</v>
      </c>
      <c r="M1179" s="7" t="s">
        <v>377</v>
      </c>
      <c r="N1179" s="7" t="s">
        <v>20</v>
      </c>
      <c r="O1179" s="7" t="s">
        <v>225</v>
      </c>
      <c r="P1179" s="7" t="s">
        <v>236</v>
      </c>
      <c r="Q1179" s="7" t="s">
        <v>227</v>
      </c>
      <c r="R1179" s="7"/>
      <c r="S1179" s="7" t="s">
        <v>812</v>
      </c>
      <c r="T1179" s="7" t="s">
        <v>813</v>
      </c>
      <c r="U1179" s="7" t="s">
        <v>398</v>
      </c>
      <c r="V1179" s="7"/>
      <c r="W1179" s="7" t="s">
        <v>399</v>
      </c>
      <c r="X1179" s="7" t="s">
        <v>55</v>
      </c>
      <c r="Y1179" s="7" t="s">
        <v>23</v>
      </c>
    </row>
    <row r="1180" spans="1:25" hidden="1" x14ac:dyDescent="0.25">
      <c r="A1180" s="247" t="s">
        <v>311</v>
      </c>
      <c r="B1180" s="248">
        <v>45673</v>
      </c>
      <c r="C1180" s="244" t="s">
        <v>793</v>
      </c>
      <c r="D1180" s="244"/>
      <c r="E1180" s="253">
        <v>0</v>
      </c>
      <c r="F1180" s="249">
        <v>500000</v>
      </c>
      <c r="G1180" s="266">
        <f>Tabla3[[#This Row],[INGRESOS]]-Tabla3[[#This Row],[EGRESOS]]</f>
        <v>500000</v>
      </c>
      <c r="H1180" s="137">
        <v>-5679527.3300000001</v>
      </c>
      <c r="I1180" s="119">
        <v>1140</v>
      </c>
      <c r="J1180" s="99">
        <f>Tabla3[[#This Row],[EGRESOS]]/Tabla3[[#This Row],[TC]]</f>
        <v>0</v>
      </c>
      <c r="K1180" s="99">
        <f>Tabla3[[#This Row],[INGRESOS]]/Tabla3[[#This Row],[TC]]</f>
        <v>438.59649122807019</v>
      </c>
      <c r="L1180" s="7" t="s">
        <v>376</v>
      </c>
      <c r="M1180" s="7" t="s">
        <v>377</v>
      </c>
      <c r="N1180" s="7" t="s">
        <v>20</v>
      </c>
      <c r="O1180" s="7" t="s">
        <v>244</v>
      </c>
      <c r="P1180" s="7" t="s">
        <v>259</v>
      </c>
      <c r="Q1180" s="7" t="s">
        <v>260</v>
      </c>
      <c r="R1180" s="7" t="s">
        <v>554</v>
      </c>
      <c r="S1180" s="7"/>
      <c r="T1180" s="7"/>
      <c r="U1180" s="7" t="s">
        <v>379</v>
      </c>
      <c r="V1180" s="7"/>
      <c r="W1180" s="7" t="s">
        <v>380</v>
      </c>
      <c r="X1180" s="7"/>
      <c r="Y1180" s="7"/>
    </row>
    <row r="1181" spans="1:25" hidden="1" x14ac:dyDescent="0.25">
      <c r="A1181" s="273" t="s">
        <v>314</v>
      </c>
      <c r="B1181" s="251">
        <v>45776</v>
      </c>
      <c r="C1181" s="252" t="s">
        <v>592</v>
      </c>
      <c r="D1181" s="252"/>
      <c r="E1181" s="253">
        <v>0</v>
      </c>
      <c r="F1181" s="253">
        <v>20000</v>
      </c>
      <c r="G1181" s="274">
        <f>Tabla3[[#This Row],[INGRESOS]]-Tabla3[[#This Row],[EGRESOS]]</f>
        <v>20000</v>
      </c>
      <c r="H1181" s="274">
        <v>-7193535.8099999996</v>
      </c>
      <c r="I1181" s="135">
        <v>1140</v>
      </c>
      <c r="J1181" s="136">
        <f>Tabla3[[#This Row],[EGRESOS]]/Tabla3[[#This Row],[TC]]</f>
        <v>0</v>
      </c>
      <c r="K1181" s="136">
        <f>Tabla3[[#This Row],[INGRESOS]]/Tabla3[[#This Row],[TC]]</f>
        <v>17.543859649122808</v>
      </c>
      <c r="L1181" s="8" t="s">
        <v>376</v>
      </c>
      <c r="M1181" s="8" t="s">
        <v>377</v>
      </c>
      <c r="N1181" s="8" t="s">
        <v>28</v>
      </c>
      <c r="O1181" s="8" t="s">
        <v>184</v>
      </c>
      <c r="P1181" s="8" t="s">
        <v>203</v>
      </c>
      <c r="Q1181" s="8" t="s">
        <v>204</v>
      </c>
      <c r="R1181" s="8"/>
      <c r="S1181" s="8" t="s">
        <v>386</v>
      </c>
      <c r="T1181" s="8"/>
      <c r="U1181" s="8" t="s">
        <v>439</v>
      </c>
      <c r="V1181" s="8" t="s">
        <v>386</v>
      </c>
      <c r="W1181" s="7" t="s">
        <v>380</v>
      </c>
      <c r="X1181" s="8" t="s">
        <v>23</v>
      </c>
      <c r="Y1181" s="8" t="s">
        <v>98</v>
      </c>
    </row>
    <row r="1182" spans="1:25" x14ac:dyDescent="0.25">
      <c r="A1182" s="247" t="s">
        <v>311</v>
      </c>
      <c r="B1182" s="248">
        <v>45673</v>
      </c>
      <c r="C1182" s="244" t="s">
        <v>762</v>
      </c>
      <c r="D1182" s="244"/>
      <c r="E1182" s="253">
        <v>2383.5</v>
      </c>
      <c r="F1182" s="249">
        <v>0</v>
      </c>
      <c r="G1182" s="266">
        <f>Tabla3[[#This Row],[INGRESOS]]-Tabla3[[#This Row],[EGRESOS]]</f>
        <v>-2383.5</v>
      </c>
      <c r="H1182" s="137">
        <v>-5881910.8300000001</v>
      </c>
      <c r="I1182" s="119">
        <v>1140</v>
      </c>
      <c r="J1182" s="99">
        <f>Tabla3[[#This Row],[EGRESOS]]/Tabla3[[#This Row],[TC]]</f>
        <v>2.0907894736842105</v>
      </c>
      <c r="K1182" s="99">
        <f>Tabla3[[#This Row],[INGRESOS]]/Tabla3[[#This Row],[TC]]</f>
        <v>0</v>
      </c>
      <c r="L1182" s="7" t="s">
        <v>376</v>
      </c>
      <c r="M1182" s="7" t="s">
        <v>377</v>
      </c>
      <c r="N1182" s="7" t="s">
        <v>20</v>
      </c>
      <c r="O1182" s="7" t="s">
        <v>184</v>
      </c>
      <c r="P1182" s="7" t="s">
        <v>195</v>
      </c>
      <c r="Q1182" s="7" t="s">
        <v>196</v>
      </c>
      <c r="R1182" s="7" t="s">
        <v>382</v>
      </c>
      <c r="S1182" s="7" t="s">
        <v>383</v>
      </c>
      <c r="T1182" s="7"/>
      <c r="U1182" s="7" t="s">
        <v>384</v>
      </c>
      <c r="V1182" s="7"/>
      <c r="W1182" s="7" t="s">
        <v>380</v>
      </c>
      <c r="X1182" s="7" t="s">
        <v>99</v>
      </c>
      <c r="Y1182" s="7" t="s">
        <v>23</v>
      </c>
    </row>
    <row r="1183" spans="1:25" x14ac:dyDescent="0.25">
      <c r="A1183" s="247" t="s">
        <v>311</v>
      </c>
      <c r="B1183" s="248">
        <v>45673</v>
      </c>
      <c r="C1183" s="244" t="s">
        <v>763</v>
      </c>
      <c r="D1183" s="244"/>
      <c r="E1183" s="253">
        <v>340.5</v>
      </c>
      <c r="F1183" s="249">
        <v>0</v>
      </c>
      <c r="G1183" s="266">
        <f>Tabla3[[#This Row],[INGRESOS]]-Tabla3[[#This Row],[EGRESOS]]</f>
        <v>-340.5</v>
      </c>
      <c r="H1183" s="132">
        <v>-5882251.3300000001</v>
      </c>
      <c r="I1183" s="119">
        <v>1140</v>
      </c>
      <c r="J1183" s="99">
        <f>Tabla3[[#This Row],[EGRESOS]]/Tabla3[[#This Row],[TC]]</f>
        <v>0.29868421052631577</v>
      </c>
      <c r="K1183" s="99">
        <f>Tabla3[[#This Row],[INGRESOS]]/Tabla3[[#This Row],[TC]]</f>
        <v>0</v>
      </c>
      <c r="L1183" s="7" t="s">
        <v>376</v>
      </c>
      <c r="M1183" s="7" t="s">
        <v>377</v>
      </c>
      <c r="N1183" s="7" t="s">
        <v>20</v>
      </c>
      <c r="O1183" s="7" t="s">
        <v>184</v>
      </c>
      <c r="P1183" s="7" t="s">
        <v>195</v>
      </c>
      <c r="Q1183" s="7" t="s">
        <v>196</v>
      </c>
      <c r="R1183" s="7" t="s">
        <v>417</v>
      </c>
      <c r="S1183" s="7" t="s">
        <v>383</v>
      </c>
      <c r="T1183" s="7"/>
      <c r="U1183" s="7" t="s">
        <v>384</v>
      </c>
      <c r="V1183" s="7"/>
      <c r="W1183" s="7" t="s">
        <v>380</v>
      </c>
      <c r="X1183" s="7" t="s">
        <v>99</v>
      </c>
      <c r="Y1183" s="7" t="s">
        <v>23</v>
      </c>
    </row>
    <row r="1184" spans="1:25" x14ac:dyDescent="0.25">
      <c r="A1184" s="247" t="s">
        <v>311</v>
      </c>
      <c r="B1184" s="248">
        <v>45673</v>
      </c>
      <c r="C1184" s="244" t="s">
        <v>794</v>
      </c>
      <c r="D1184" s="244"/>
      <c r="E1184" s="253">
        <v>11350</v>
      </c>
      <c r="F1184" s="249">
        <v>0</v>
      </c>
      <c r="G1184" s="266">
        <f>Tabla3[[#This Row],[INGRESOS]]-Tabla3[[#This Row],[EGRESOS]]</f>
        <v>-11350</v>
      </c>
      <c r="H1184" s="132">
        <v>-5893601.3300000001</v>
      </c>
      <c r="I1184" s="119">
        <v>1140</v>
      </c>
      <c r="J1184" s="99">
        <f>Tabla3[[#This Row],[EGRESOS]]/Tabla3[[#This Row],[TC]]</f>
        <v>9.9561403508771935</v>
      </c>
      <c r="K1184" s="99">
        <f>Tabla3[[#This Row],[INGRESOS]]/Tabla3[[#This Row],[TC]]</f>
        <v>0</v>
      </c>
      <c r="L1184" s="7" t="s">
        <v>376</v>
      </c>
      <c r="M1184" s="7" t="s">
        <v>377</v>
      </c>
      <c r="N1184" s="7" t="s">
        <v>20</v>
      </c>
      <c r="O1184" s="7" t="s">
        <v>184</v>
      </c>
      <c r="P1184" s="7" t="s">
        <v>185</v>
      </c>
      <c r="Q1184" s="7" t="s">
        <v>186</v>
      </c>
      <c r="R1184" s="7" t="s">
        <v>227</v>
      </c>
      <c r="S1184" s="7"/>
      <c r="T1184" s="7"/>
      <c r="U1184" s="7" t="s">
        <v>384</v>
      </c>
      <c r="V1184" s="7"/>
      <c r="W1184" s="7" t="s">
        <v>380</v>
      </c>
      <c r="X1184" s="7" t="s">
        <v>99</v>
      </c>
      <c r="Y1184" s="7" t="s">
        <v>23</v>
      </c>
    </row>
    <row r="1185" spans="1:25" x14ac:dyDescent="0.25">
      <c r="A1185" s="247" t="s">
        <v>311</v>
      </c>
      <c r="B1185" s="248">
        <v>45673</v>
      </c>
      <c r="C1185" s="244" t="s">
        <v>760</v>
      </c>
      <c r="D1185" s="244"/>
      <c r="E1185" s="253">
        <v>2974.44</v>
      </c>
      <c r="F1185" s="249">
        <v>0</v>
      </c>
      <c r="G1185" s="266">
        <f>Tabla3[[#This Row],[INGRESOS]]-Tabla3[[#This Row],[EGRESOS]]</f>
        <v>-2974.44</v>
      </c>
      <c r="H1185" s="132">
        <v>-5896575.7699999996</v>
      </c>
      <c r="I1185" s="119">
        <v>1140</v>
      </c>
      <c r="J1185" s="99">
        <f>Tabla3[[#This Row],[EGRESOS]]/Tabla3[[#This Row],[TC]]</f>
        <v>2.6091578947368421</v>
      </c>
      <c r="K1185" s="99">
        <f>Tabla3[[#This Row],[INGRESOS]]/Tabla3[[#This Row],[TC]]</f>
        <v>0</v>
      </c>
      <c r="L1185" s="7" t="s">
        <v>376</v>
      </c>
      <c r="M1185" s="7" t="s">
        <v>377</v>
      </c>
      <c r="N1185" s="7" t="s">
        <v>20</v>
      </c>
      <c r="O1185" s="7" t="s">
        <v>184</v>
      </c>
      <c r="P1185" s="7" t="s">
        <v>195</v>
      </c>
      <c r="Q1185" s="7" t="s">
        <v>196</v>
      </c>
      <c r="R1185" s="7" t="s">
        <v>394</v>
      </c>
      <c r="S1185" s="7" t="s">
        <v>383</v>
      </c>
      <c r="T1185" s="7"/>
      <c r="U1185" s="7" t="s">
        <v>384</v>
      </c>
      <c r="V1185" s="7"/>
      <c r="W1185" s="7" t="s">
        <v>380</v>
      </c>
      <c r="X1185" s="7" t="s">
        <v>99</v>
      </c>
      <c r="Y1185" s="7" t="s">
        <v>23</v>
      </c>
    </row>
    <row r="1186" spans="1:25" hidden="1" x14ac:dyDescent="0.25">
      <c r="A1186" s="247" t="s">
        <v>311</v>
      </c>
      <c r="B1186" s="248">
        <v>45674</v>
      </c>
      <c r="C1186" s="244" t="s">
        <v>782</v>
      </c>
      <c r="D1186" s="244" t="s">
        <v>814</v>
      </c>
      <c r="E1186" s="253">
        <v>142573.5</v>
      </c>
      <c r="F1186" s="249">
        <v>0</v>
      </c>
      <c r="G1186" s="266">
        <f>Tabla3[[#This Row],[INGRESOS]]-Tabla3[[#This Row],[EGRESOS]]</f>
        <v>-142573.5</v>
      </c>
      <c r="H1186" s="132">
        <v>-6039149.2699999996</v>
      </c>
      <c r="I1186" s="119">
        <v>1140</v>
      </c>
      <c r="J1186" s="99">
        <f>Tabla3[[#This Row],[EGRESOS]]/Tabla3[[#This Row],[TC]]</f>
        <v>125.06447368421053</v>
      </c>
      <c r="K1186" s="99">
        <f>Tabla3[[#This Row],[INGRESOS]]/Tabla3[[#This Row],[TC]]</f>
        <v>0</v>
      </c>
      <c r="L1186" s="7" t="s">
        <v>376</v>
      </c>
      <c r="M1186" s="7" t="s">
        <v>377</v>
      </c>
      <c r="N1186" s="7" t="s">
        <v>20</v>
      </c>
      <c r="O1186" s="7" t="s">
        <v>225</v>
      </c>
      <c r="P1186" s="7" t="s">
        <v>236</v>
      </c>
      <c r="Q1186" s="7" t="s">
        <v>33</v>
      </c>
      <c r="R1186" s="7"/>
      <c r="S1186" s="7" t="s">
        <v>815</v>
      </c>
      <c r="T1186" s="7" t="s">
        <v>816</v>
      </c>
      <c r="U1186" s="7" t="s">
        <v>398</v>
      </c>
      <c r="V1186" s="7"/>
      <c r="W1186" s="7" t="s">
        <v>399</v>
      </c>
      <c r="X1186" s="7" t="s">
        <v>29</v>
      </c>
      <c r="Y1186" s="7" t="s">
        <v>23</v>
      </c>
    </row>
    <row r="1187" spans="1:25" hidden="1" x14ac:dyDescent="0.25">
      <c r="A1187" s="247" t="s">
        <v>311</v>
      </c>
      <c r="B1187" s="248">
        <v>45674</v>
      </c>
      <c r="C1187" s="244" t="s">
        <v>817</v>
      </c>
      <c r="D1187" s="244" t="s">
        <v>818</v>
      </c>
      <c r="E1187" s="253">
        <v>500000</v>
      </c>
      <c r="F1187" s="249">
        <v>0</v>
      </c>
      <c r="G1187" s="266">
        <f>Tabla3[[#This Row],[INGRESOS]]-Tabla3[[#This Row],[EGRESOS]]</f>
        <v>-500000</v>
      </c>
      <c r="H1187" s="132">
        <v>-6539149.2699999996</v>
      </c>
      <c r="I1187" s="119">
        <v>1140</v>
      </c>
      <c r="J1187" s="99">
        <f>Tabla3[[#This Row],[EGRESOS]]/Tabla3[[#This Row],[TC]]</f>
        <v>438.59649122807019</v>
      </c>
      <c r="K1187" s="99">
        <f>Tabla3[[#This Row],[INGRESOS]]/Tabla3[[#This Row],[TC]]</f>
        <v>0</v>
      </c>
      <c r="L1187" s="7" t="s">
        <v>376</v>
      </c>
      <c r="M1187" s="7" t="s">
        <v>377</v>
      </c>
      <c r="N1187" s="7" t="s">
        <v>20</v>
      </c>
      <c r="O1187" s="7" t="s">
        <v>225</v>
      </c>
      <c r="P1187" s="7" t="s">
        <v>226</v>
      </c>
      <c r="Q1187" s="7"/>
      <c r="R1187" s="7"/>
      <c r="S1187" s="7" t="s">
        <v>819</v>
      </c>
      <c r="T1187" s="7"/>
      <c r="U1187" s="7" t="s">
        <v>429</v>
      </c>
      <c r="V1187" s="7"/>
      <c r="W1187" s="7" t="s">
        <v>399</v>
      </c>
      <c r="X1187" s="7" t="s">
        <v>29</v>
      </c>
      <c r="Y1187" s="7" t="s">
        <v>23</v>
      </c>
    </row>
    <row r="1188" spans="1:25" hidden="1" x14ac:dyDescent="0.25">
      <c r="A1188" s="247" t="s">
        <v>311</v>
      </c>
      <c r="B1188" s="248">
        <v>45674</v>
      </c>
      <c r="C1188" s="244" t="s">
        <v>793</v>
      </c>
      <c r="D1188" s="244"/>
      <c r="E1188" s="253">
        <v>0</v>
      </c>
      <c r="F1188" s="249">
        <v>600000</v>
      </c>
      <c r="G1188" s="266">
        <f>Tabla3[[#This Row],[INGRESOS]]-Tabla3[[#This Row],[EGRESOS]]</f>
        <v>600000</v>
      </c>
      <c r="H1188" s="132">
        <v>-5939149.2699999996</v>
      </c>
      <c r="I1188" s="119">
        <v>1140</v>
      </c>
      <c r="J1188" s="99">
        <f>Tabla3[[#This Row],[EGRESOS]]/Tabla3[[#This Row],[TC]]</f>
        <v>0</v>
      </c>
      <c r="K1188" s="99">
        <f>Tabla3[[#This Row],[INGRESOS]]/Tabla3[[#This Row],[TC]]</f>
        <v>526.31578947368416</v>
      </c>
      <c r="L1188" s="7" t="s">
        <v>376</v>
      </c>
      <c r="M1188" s="7" t="s">
        <v>377</v>
      </c>
      <c r="N1188" s="7" t="s">
        <v>20</v>
      </c>
      <c r="O1188" s="7" t="s">
        <v>244</v>
      </c>
      <c r="P1188" s="7" t="s">
        <v>259</v>
      </c>
      <c r="Q1188" s="7" t="s">
        <v>260</v>
      </c>
      <c r="R1188" s="7" t="s">
        <v>554</v>
      </c>
      <c r="S1188" s="7"/>
      <c r="T1188" s="7"/>
      <c r="U1188" s="7" t="s">
        <v>379</v>
      </c>
      <c r="V1188" s="7"/>
      <c r="W1188" s="7" t="s">
        <v>380</v>
      </c>
      <c r="X1188" s="7"/>
      <c r="Y1188" s="7"/>
    </row>
    <row r="1189" spans="1:25" x14ac:dyDescent="0.25">
      <c r="A1189" s="247" t="s">
        <v>311</v>
      </c>
      <c r="B1189" s="248">
        <v>45674</v>
      </c>
      <c r="C1189" s="244" t="s">
        <v>762</v>
      </c>
      <c r="D1189" s="244"/>
      <c r="E1189" s="253">
        <v>2383.5</v>
      </c>
      <c r="F1189" s="249">
        <v>0</v>
      </c>
      <c r="G1189" s="266">
        <f>Tabla3[[#This Row],[INGRESOS]]-Tabla3[[#This Row],[EGRESOS]]</f>
        <v>-2383.5</v>
      </c>
      <c r="H1189" s="132">
        <v>-5941532.7699999996</v>
      </c>
      <c r="I1189" s="119">
        <v>1140</v>
      </c>
      <c r="J1189" s="99">
        <f>Tabla3[[#This Row],[EGRESOS]]/Tabla3[[#This Row],[TC]]</f>
        <v>2.0907894736842105</v>
      </c>
      <c r="K1189" s="99">
        <f>Tabla3[[#This Row],[INGRESOS]]/Tabla3[[#This Row],[TC]]</f>
        <v>0</v>
      </c>
      <c r="L1189" s="7" t="s">
        <v>376</v>
      </c>
      <c r="M1189" s="7" t="s">
        <v>377</v>
      </c>
      <c r="N1189" s="7" t="s">
        <v>20</v>
      </c>
      <c r="O1189" s="7" t="s">
        <v>184</v>
      </c>
      <c r="P1189" s="7" t="s">
        <v>195</v>
      </c>
      <c r="Q1189" s="7" t="s">
        <v>196</v>
      </c>
      <c r="R1189" s="7" t="s">
        <v>382</v>
      </c>
      <c r="S1189" s="7" t="s">
        <v>383</v>
      </c>
      <c r="T1189" s="7"/>
      <c r="U1189" s="7" t="s">
        <v>384</v>
      </c>
      <c r="V1189" s="7"/>
      <c r="W1189" s="7" t="s">
        <v>380</v>
      </c>
      <c r="X1189" s="7" t="s">
        <v>99</v>
      </c>
      <c r="Y1189" s="7" t="s">
        <v>23</v>
      </c>
    </row>
    <row r="1190" spans="1:25" x14ac:dyDescent="0.25">
      <c r="A1190" s="247" t="s">
        <v>311</v>
      </c>
      <c r="B1190" s="248">
        <v>45674</v>
      </c>
      <c r="C1190" s="244" t="s">
        <v>763</v>
      </c>
      <c r="D1190" s="244"/>
      <c r="E1190" s="253">
        <v>340.5</v>
      </c>
      <c r="F1190" s="249">
        <v>0</v>
      </c>
      <c r="G1190" s="266">
        <f>Tabla3[[#This Row],[INGRESOS]]-Tabla3[[#This Row],[EGRESOS]]</f>
        <v>-340.5</v>
      </c>
      <c r="H1190" s="132">
        <v>-5941873.2699999996</v>
      </c>
      <c r="I1190" s="119">
        <v>1140</v>
      </c>
      <c r="J1190" s="99">
        <f>Tabla3[[#This Row],[EGRESOS]]/Tabla3[[#This Row],[TC]]</f>
        <v>0.29868421052631577</v>
      </c>
      <c r="K1190" s="99">
        <f>Tabla3[[#This Row],[INGRESOS]]/Tabla3[[#This Row],[TC]]</f>
        <v>0</v>
      </c>
      <c r="L1190" s="7" t="s">
        <v>376</v>
      </c>
      <c r="M1190" s="7" t="s">
        <v>377</v>
      </c>
      <c r="N1190" s="7" t="s">
        <v>20</v>
      </c>
      <c r="O1190" s="7" t="s">
        <v>184</v>
      </c>
      <c r="P1190" s="7" t="s">
        <v>195</v>
      </c>
      <c r="Q1190" s="7" t="s">
        <v>196</v>
      </c>
      <c r="R1190" s="7" t="s">
        <v>417</v>
      </c>
      <c r="S1190" s="7" t="s">
        <v>383</v>
      </c>
      <c r="T1190" s="7"/>
      <c r="U1190" s="7" t="s">
        <v>384</v>
      </c>
      <c r="V1190" s="7"/>
      <c r="W1190" s="7" t="s">
        <v>380</v>
      </c>
      <c r="X1190" s="7" t="s">
        <v>99</v>
      </c>
      <c r="Y1190" s="7" t="s">
        <v>23</v>
      </c>
    </row>
    <row r="1191" spans="1:25" x14ac:dyDescent="0.25">
      <c r="A1191" s="247" t="s">
        <v>311</v>
      </c>
      <c r="B1191" s="248">
        <v>45674</v>
      </c>
      <c r="C1191" s="244" t="s">
        <v>794</v>
      </c>
      <c r="D1191" s="244"/>
      <c r="E1191" s="253">
        <v>11350</v>
      </c>
      <c r="F1191" s="249">
        <v>0</v>
      </c>
      <c r="G1191" s="266">
        <f>Tabla3[[#This Row],[INGRESOS]]-Tabla3[[#This Row],[EGRESOS]]</f>
        <v>-11350</v>
      </c>
      <c r="H1191" s="132">
        <v>-5953223.2699999996</v>
      </c>
      <c r="I1191" s="119">
        <v>1140</v>
      </c>
      <c r="J1191" s="99">
        <f>Tabla3[[#This Row],[EGRESOS]]/Tabla3[[#This Row],[TC]]</f>
        <v>9.9561403508771935</v>
      </c>
      <c r="K1191" s="99">
        <f>Tabla3[[#This Row],[INGRESOS]]/Tabla3[[#This Row],[TC]]</f>
        <v>0</v>
      </c>
      <c r="L1191" s="7" t="s">
        <v>376</v>
      </c>
      <c r="M1191" s="7" t="s">
        <v>377</v>
      </c>
      <c r="N1191" s="7" t="s">
        <v>20</v>
      </c>
      <c r="O1191" s="7" t="s">
        <v>184</v>
      </c>
      <c r="P1191" s="7" t="s">
        <v>185</v>
      </c>
      <c r="Q1191" s="7" t="s">
        <v>186</v>
      </c>
      <c r="R1191" s="7" t="s">
        <v>227</v>
      </c>
      <c r="S1191" s="7"/>
      <c r="T1191" s="7"/>
      <c r="U1191" s="7" t="s">
        <v>384</v>
      </c>
      <c r="V1191" s="7"/>
      <c r="W1191" s="7" t="s">
        <v>380</v>
      </c>
      <c r="X1191" s="7" t="s">
        <v>99</v>
      </c>
      <c r="Y1191" s="7" t="s">
        <v>23</v>
      </c>
    </row>
    <row r="1192" spans="1:25" x14ac:dyDescent="0.25">
      <c r="A1192" s="247" t="s">
        <v>311</v>
      </c>
      <c r="B1192" s="248">
        <v>45674</v>
      </c>
      <c r="C1192" s="244" t="s">
        <v>760</v>
      </c>
      <c r="D1192" s="244"/>
      <c r="E1192" s="253">
        <v>3939.88</v>
      </c>
      <c r="F1192" s="249">
        <v>0</v>
      </c>
      <c r="G1192" s="266">
        <f>Tabla3[[#This Row],[INGRESOS]]-Tabla3[[#This Row],[EGRESOS]]</f>
        <v>-3939.88</v>
      </c>
      <c r="H1192" s="132">
        <v>-5957163.1500000004</v>
      </c>
      <c r="I1192" s="119">
        <v>1140</v>
      </c>
      <c r="J1192" s="99">
        <f>Tabla3[[#This Row],[EGRESOS]]/Tabla3[[#This Row],[TC]]</f>
        <v>3.4560350877192985</v>
      </c>
      <c r="K1192" s="99">
        <f>Tabla3[[#This Row],[INGRESOS]]/Tabla3[[#This Row],[TC]]</f>
        <v>0</v>
      </c>
      <c r="L1192" s="7" t="s">
        <v>376</v>
      </c>
      <c r="M1192" s="7" t="s">
        <v>377</v>
      </c>
      <c r="N1192" s="7" t="s">
        <v>20</v>
      </c>
      <c r="O1192" s="7" t="s">
        <v>184</v>
      </c>
      <c r="P1192" s="7" t="s">
        <v>195</v>
      </c>
      <c r="Q1192" s="7" t="s">
        <v>196</v>
      </c>
      <c r="R1192" s="7" t="s">
        <v>394</v>
      </c>
      <c r="S1192" s="7" t="s">
        <v>383</v>
      </c>
      <c r="T1192" s="7"/>
      <c r="U1192" s="7" t="s">
        <v>384</v>
      </c>
      <c r="V1192" s="7"/>
      <c r="W1192" s="7" t="s">
        <v>380</v>
      </c>
      <c r="X1192" s="7" t="s">
        <v>99</v>
      </c>
      <c r="Y1192" s="7" t="s">
        <v>23</v>
      </c>
    </row>
    <row r="1193" spans="1:25" hidden="1" x14ac:dyDescent="0.25">
      <c r="A1193" s="247" t="s">
        <v>311</v>
      </c>
      <c r="B1193" s="248">
        <v>45677</v>
      </c>
      <c r="C1193" s="244" t="s">
        <v>782</v>
      </c>
      <c r="D1193" s="244" t="s">
        <v>820</v>
      </c>
      <c r="E1193" s="253">
        <v>142300</v>
      </c>
      <c r="F1193" s="249">
        <v>0</v>
      </c>
      <c r="G1193" s="266">
        <f>Tabla3[[#This Row],[INGRESOS]]-Tabla3[[#This Row],[EGRESOS]]</f>
        <v>-142300</v>
      </c>
      <c r="H1193" s="132">
        <v>-6099463.1500000004</v>
      </c>
      <c r="I1193" s="119">
        <v>1140</v>
      </c>
      <c r="J1193" s="99">
        <f>Tabla3[[#This Row],[EGRESOS]]/Tabla3[[#This Row],[TC]]</f>
        <v>124.82456140350877</v>
      </c>
      <c r="K1193" s="99">
        <f>Tabla3[[#This Row],[INGRESOS]]/Tabla3[[#This Row],[TC]]</f>
        <v>0</v>
      </c>
      <c r="L1193" s="7" t="s">
        <v>376</v>
      </c>
      <c r="M1193" s="7" t="s">
        <v>377</v>
      </c>
      <c r="N1193" s="7" t="s">
        <v>20</v>
      </c>
      <c r="O1193" s="7" t="s">
        <v>286</v>
      </c>
      <c r="P1193" s="7" t="s">
        <v>287</v>
      </c>
      <c r="Q1193" s="7" t="s">
        <v>289</v>
      </c>
      <c r="R1193" s="7" t="s">
        <v>143</v>
      </c>
      <c r="S1193" s="7" t="s">
        <v>653</v>
      </c>
      <c r="T1193" s="7" t="s">
        <v>821</v>
      </c>
      <c r="U1193" s="7" t="s">
        <v>398</v>
      </c>
      <c r="V1193" s="7"/>
      <c r="W1193" s="7" t="s">
        <v>399</v>
      </c>
      <c r="X1193" s="7" t="s">
        <v>29</v>
      </c>
      <c r="Y1193" s="7" t="s">
        <v>23</v>
      </c>
    </row>
    <row r="1194" spans="1:25" hidden="1" x14ac:dyDescent="0.25">
      <c r="A1194" s="247" t="s">
        <v>311</v>
      </c>
      <c r="B1194" s="248">
        <v>45677</v>
      </c>
      <c r="C1194" s="244" t="s">
        <v>793</v>
      </c>
      <c r="D1194" s="244"/>
      <c r="E1194" s="253">
        <v>0</v>
      </c>
      <c r="F1194" s="249">
        <v>200000</v>
      </c>
      <c r="G1194" s="266">
        <f>Tabla3[[#This Row],[INGRESOS]]-Tabla3[[#This Row],[EGRESOS]]</f>
        <v>200000</v>
      </c>
      <c r="H1194" s="132">
        <v>-5899463.1500000004</v>
      </c>
      <c r="I1194" s="119">
        <v>1140</v>
      </c>
      <c r="J1194" s="99">
        <f>Tabla3[[#This Row],[EGRESOS]]/Tabla3[[#This Row],[TC]]</f>
        <v>0</v>
      </c>
      <c r="K1194" s="99">
        <f>Tabla3[[#This Row],[INGRESOS]]/Tabla3[[#This Row],[TC]]</f>
        <v>175.43859649122808</v>
      </c>
      <c r="L1194" s="7" t="s">
        <v>376</v>
      </c>
      <c r="M1194" s="7" t="s">
        <v>377</v>
      </c>
      <c r="N1194" s="7" t="s">
        <v>20</v>
      </c>
      <c r="O1194" s="7" t="s">
        <v>244</v>
      </c>
      <c r="P1194" s="7" t="s">
        <v>259</v>
      </c>
      <c r="Q1194" s="7" t="s">
        <v>260</v>
      </c>
      <c r="R1194" s="7" t="s">
        <v>554</v>
      </c>
      <c r="S1194" s="7"/>
      <c r="T1194" s="7"/>
      <c r="U1194" s="7" t="s">
        <v>379</v>
      </c>
      <c r="V1194" s="7"/>
      <c r="W1194" s="7" t="s">
        <v>380</v>
      </c>
      <c r="X1194" s="7"/>
      <c r="Y1194" s="7"/>
    </row>
    <row r="1195" spans="1:25" hidden="1" x14ac:dyDescent="0.25">
      <c r="A1195" s="247" t="s">
        <v>311</v>
      </c>
      <c r="B1195" s="248">
        <v>45677</v>
      </c>
      <c r="C1195" s="244" t="s">
        <v>793</v>
      </c>
      <c r="D1195" s="244"/>
      <c r="E1195" s="253">
        <v>0</v>
      </c>
      <c r="F1195" s="249">
        <v>1100000</v>
      </c>
      <c r="G1195" s="266">
        <f>Tabla3[[#This Row],[INGRESOS]]-Tabla3[[#This Row],[EGRESOS]]</f>
        <v>1100000</v>
      </c>
      <c r="H1195" s="132">
        <v>-4799463.1500000004</v>
      </c>
      <c r="I1195" s="119">
        <v>1140</v>
      </c>
      <c r="J1195" s="99">
        <f>Tabla3[[#This Row],[EGRESOS]]/Tabla3[[#This Row],[TC]]</f>
        <v>0</v>
      </c>
      <c r="K1195" s="99">
        <f>Tabla3[[#This Row],[INGRESOS]]/Tabla3[[#This Row],[TC]]</f>
        <v>964.91228070175441</v>
      </c>
      <c r="L1195" s="7" t="s">
        <v>376</v>
      </c>
      <c r="M1195" s="7" t="s">
        <v>377</v>
      </c>
      <c r="N1195" s="7" t="s">
        <v>20</v>
      </c>
      <c r="O1195" s="7" t="s">
        <v>244</v>
      </c>
      <c r="P1195" s="7" t="s">
        <v>259</v>
      </c>
      <c r="Q1195" s="7" t="s">
        <v>260</v>
      </c>
      <c r="R1195" s="7" t="s">
        <v>554</v>
      </c>
      <c r="S1195" s="7"/>
      <c r="T1195" s="7"/>
      <c r="U1195" s="7" t="s">
        <v>379</v>
      </c>
      <c r="V1195" s="7"/>
      <c r="W1195" s="7" t="s">
        <v>380</v>
      </c>
      <c r="X1195" s="7"/>
      <c r="Y1195" s="7"/>
    </row>
    <row r="1196" spans="1:25" x14ac:dyDescent="0.25">
      <c r="A1196" s="247" t="s">
        <v>311</v>
      </c>
      <c r="B1196" s="248">
        <v>45677</v>
      </c>
      <c r="C1196" s="244" t="s">
        <v>822</v>
      </c>
      <c r="D1196" s="244"/>
      <c r="E1196" s="253">
        <v>4345</v>
      </c>
      <c r="F1196" s="249">
        <v>0</v>
      </c>
      <c r="G1196" s="266">
        <f>Tabla3[[#This Row],[INGRESOS]]-Tabla3[[#This Row],[EGRESOS]]</f>
        <v>-4345</v>
      </c>
      <c r="H1196" s="132">
        <v>-4803808.1500000004</v>
      </c>
      <c r="I1196" s="119">
        <v>1140</v>
      </c>
      <c r="J1196" s="99">
        <f>Tabla3[[#This Row],[EGRESOS]]/Tabla3[[#This Row],[TC]]</f>
        <v>3.8114035087719298</v>
      </c>
      <c r="K1196" s="99">
        <f>Tabla3[[#This Row],[INGRESOS]]/Tabla3[[#This Row],[TC]]</f>
        <v>0</v>
      </c>
      <c r="L1196" s="7" t="s">
        <v>376</v>
      </c>
      <c r="M1196" s="7" t="s">
        <v>377</v>
      </c>
      <c r="N1196" s="7" t="s">
        <v>20</v>
      </c>
      <c r="O1196" s="7" t="s">
        <v>184</v>
      </c>
      <c r="P1196" s="7" t="s">
        <v>185</v>
      </c>
      <c r="Q1196" s="7" t="s">
        <v>189</v>
      </c>
      <c r="R1196" s="7" t="s">
        <v>227</v>
      </c>
      <c r="S1196" s="7"/>
      <c r="T1196" s="7"/>
      <c r="U1196" s="7" t="s">
        <v>384</v>
      </c>
      <c r="V1196" s="7"/>
      <c r="W1196" s="7" t="s">
        <v>380</v>
      </c>
      <c r="X1196" s="7" t="s">
        <v>99</v>
      </c>
      <c r="Y1196" s="7" t="s">
        <v>23</v>
      </c>
    </row>
    <row r="1197" spans="1:25" x14ac:dyDescent="0.25">
      <c r="A1197" s="247" t="s">
        <v>311</v>
      </c>
      <c r="B1197" s="248">
        <v>45677</v>
      </c>
      <c r="C1197" s="244" t="s">
        <v>762</v>
      </c>
      <c r="D1197" s="244"/>
      <c r="E1197" s="253">
        <v>2383.5</v>
      </c>
      <c r="F1197" s="249">
        <v>0</v>
      </c>
      <c r="G1197" s="266">
        <f>Tabla3[[#This Row],[INGRESOS]]-Tabla3[[#This Row],[EGRESOS]]</f>
        <v>-2383.5</v>
      </c>
      <c r="H1197" s="132">
        <v>-4806191.6500000004</v>
      </c>
      <c r="I1197" s="119">
        <v>1140</v>
      </c>
      <c r="J1197" s="99">
        <f>Tabla3[[#This Row],[EGRESOS]]/Tabla3[[#This Row],[TC]]</f>
        <v>2.0907894736842105</v>
      </c>
      <c r="K1197" s="99">
        <f>Tabla3[[#This Row],[INGRESOS]]/Tabla3[[#This Row],[TC]]</f>
        <v>0</v>
      </c>
      <c r="L1197" s="7" t="s">
        <v>376</v>
      </c>
      <c r="M1197" s="7" t="s">
        <v>377</v>
      </c>
      <c r="N1197" s="7" t="s">
        <v>20</v>
      </c>
      <c r="O1197" s="7" t="s">
        <v>184</v>
      </c>
      <c r="P1197" s="7" t="s">
        <v>195</v>
      </c>
      <c r="Q1197" s="7" t="s">
        <v>196</v>
      </c>
      <c r="R1197" s="7" t="s">
        <v>382</v>
      </c>
      <c r="S1197" s="7" t="s">
        <v>383</v>
      </c>
      <c r="T1197" s="7"/>
      <c r="U1197" s="7" t="s">
        <v>384</v>
      </c>
      <c r="V1197" s="7"/>
      <c r="W1197" s="7" t="s">
        <v>380</v>
      </c>
      <c r="X1197" s="7" t="s">
        <v>99</v>
      </c>
      <c r="Y1197" s="7" t="s">
        <v>23</v>
      </c>
    </row>
    <row r="1198" spans="1:25" x14ac:dyDescent="0.25">
      <c r="A1198" s="247" t="s">
        <v>311</v>
      </c>
      <c r="B1198" s="248">
        <v>45677</v>
      </c>
      <c r="C1198" s="244" t="s">
        <v>763</v>
      </c>
      <c r="D1198" s="244"/>
      <c r="E1198" s="253">
        <v>340.5</v>
      </c>
      <c r="F1198" s="249">
        <v>0</v>
      </c>
      <c r="G1198" s="266">
        <f>Tabla3[[#This Row],[INGRESOS]]-Tabla3[[#This Row],[EGRESOS]]</f>
        <v>-340.5</v>
      </c>
      <c r="H1198" s="132">
        <v>-4806532.1500000004</v>
      </c>
      <c r="I1198" s="119">
        <v>1140</v>
      </c>
      <c r="J1198" s="99">
        <f>Tabla3[[#This Row],[EGRESOS]]/Tabla3[[#This Row],[TC]]</f>
        <v>0.29868421052631577</v>
      </c>
      <c r="K1198" s="99">
        <f>Tabla3[[#This Row],[INGRESOS]]/Tabla3[[#This Row],[TC]]</f>
        <v>0</v>
      </c>
      <c r="L1198" s="7" t="s">
        <v>376</v>
      </c>
      <c r="M1198" s="7" t="s">
        <v>377</v>
      </c>
      <c r="N1198" s="7" t="s">
        <v>20</v>
      </c>
      <c r="O1198" s="7" t="s">
        <v>184</v>
      </c>
      <c r="P1198" s="7" t="s">
        <v>195</v>
      </c>
      <c r="Q1198" s="7" t="s">
        <v>196</v>
      </c>
      <c r="R1198" s="7" t="s">
        <v>417</v>
      </c>
      <c r="S1198" s="7" t="s">
        <v>383</v>
      </c>
      <c r="T1198" s="7"/>
      <c r="U1198" s="7" t="s">
        <v>384</v>
      </c>
      <c r="V1198" s="7"/>
      <c r="W1198" s="7" t="s">
        <v>380</v>
      </c>
      <c r="X1198" s="7" t="s">
        <v>99</v>
      </c>
      <c r="Y1198" s="7" t="s">
        <v>23</v>
      </c>
    </row>
    <row r="1199" spans="1:25" x14ac:dyDescent="0.25">
      <c r="A1199" s="247" t="s">
        <v>311</v>
      </c>
      <c r="B1199" s="248">
        <v>45677</v>
      </c>
      <c r="C1199" s="244" t="s">
        <v>794</v>
      </c>
      <c r="D1199" s="244"/>
      <c r="E1199" s="253">
        <v>11350</v>
      </c>
      <c r="F1199" s="249">
        <v>0</v>
      </c>
      <c r="G1199" s="266">
        <f>Tabla3[[#This Row],[INGRESOS]]-Tabla3[[#This Row],[EGRESOS]]</f>
        <v>-11350</v>
      </c>
      <c r="H1199" s="132">
        <v>-4817882.1500000004</v>
      </c>
      <c r="I1199" s="119">
        <v>1140</v>
      </c>
      <c r="J1199" s="99">
        <f>Tabla3[[#This Row],[EGRESOS]]/Tabla3[[#This Row],[TC]]</f>
        <v>9.9561403508771935</v>
      </c>
      <c r="K1199" s="99">
        <f>Tabla3[[#This Row],[INGRESOS]]/Tabla3[[#This Row],[TC]]</f>
        <v>0</v>
      </c>
      <c r="L1199" s="7" t="s">
        <v>376</v>
      </c>
      <c r="M1199" s="7" t="s">
        <v>377</v>
      </c>
      <c r="N1199" s="7" t="s">
        <v>20</v>
      </c>
      <c r="O1199" s="7" t="s">
        <v>184</v>
      </c>
      <c r="P1199" s="7" t="s">
        <v>185</v>
      </c>
      <c r="Q1199" s="7" t="s">
        <v>186</v>
      </c>
      <c r="R1199" s="7" t="s">
        <v>227</v>
      </c>
      <c r="S1199" s="7"/>
      <c r="T1199" s="7"/>
      <c r="U1199" s="7" t="s">
        <v>384</v>
      </c>
      <c r="V1199" s="7"/>
      <c r="W1199" s="7" t="s">
        <v>380</v>
      </c>
      <c r="X1199" s="7" t="s">
        <v>99</v>
      </c>
      <c r="Y1199" s="7" t="s">
        <v>23</v>
      </c>
    </row>
    <row r="1200" spans="1:25" x14ac:dyDescent="0.25">
      <c r="A1200" s="247" t="s">
        <v>311</v>
      </c>
      <c r="B1200" s="248">
        <v>45677</v>
      </c>
      <c r="C1200" s="244" t="s">
        <v>760</v>
      </c>
      <c r="D1200" s="244"/>
      <c r="E1200" s="253">
        <v>964.31</v>
      </c>
      <c r="F1200" s="249">
        <v>0</v>
      </c>
      <c r="G1200" s="266">
        <f>Tabla3[[#This Row],[INGRESOS]]-Tabla3[[#This Row],[EGRESOS]]</f>
        <v>-964.31</v>
      </c>
      <c r="H1200" s="132">
        <v>-4818846.46</v>
      </c>
      <c r="I1200" s="119">
        <v>1140</v>
      </c>
      <c r="J1200" s="99">
        <f>Tabla3[[#This Row],[EGRESOS]]/Tabla3[[#This Row],[TC]]</f>
        <v>0.84588596491228063</v>
      </c>
      <c r="K1200" s="99">
        <f>Tabla3[[#This Row],[INGRESOS]]/Tabla3[[#This Row],[TC]]</f>
        <v>0</v>
      </c>
      <c r="L1200" s="7" t="s">
        <v>376</v>
      </c>
      <c r="M1200" s="7" t="s">
        <v>377</v>
      </c>
      <c r="N1200" s="7" t="s">
        <v>20</v>
      </c>
      <c r="O1200" s="7" t="s">
        <v>184</v>
      </c>
      <c r="P1200" s="7" t="s">
        <v>195</v>
      </c>
      <c r="Q1200" s="7" t="s">
        <v>196</v>
      </c>
      <c r="R1200" s="7" t="s">
        <v>394</v>
      </c>
      <c r="S1200" s="7" t="s">
        <v>383</v>
      </c>
      <c r="T1200" s="7"/>
      <c r="U1200" s="7" t="s">
        <v>384</v>
      </c>
      <c r="V1200" s="7"/>
      <c r="W1200" s="7" t="s">
        <v>380</v>
      </c>
      <c r="X1200" s="7" t="s">
        <v>99</v>
      </c>
      <c r="Y1200" s="7" t="s">
        <v>23</v>
      </c>
    </row>
    <row r="1201" spans="1:25" x14ac:dyDescent="0.25">
      <c r="A1201" s="247" t="s">
        <v>311</v>
      </c>
      <c r="B1201" s="248">
        <v>45678</v>
      </c>
      <c r="C1201" s="244" t="s">
        <v>823</v>
      </c>
      <c r="D1201" s="244"/>
      <c r="E1201" s="253">
        <v>1173709</v>
      </c>
      <c r="F1201" s="249">
        <v>0</v>
      </c>
      <c r="G1201" s="266">
        <f>Tabla3[[#This Row],[INGRESOS]]-Tabla3[[#This Row],[EGRESOS]]</f>
        <v>-1173709</v>
      </c>
      <c r="H1201" s="132">
        <v>-5992555.46</v>
      </c>
      <c r="I1201" s="119">
        <v>1140</v>
      </c>
      <c r="J1201" s="99">
        <f>Tabla3[[#This Row],[EGRESOS]]/Tabla3[[#This Row],[TC]]</f>
        <v>1029.5692982456139</v>
      </c>
      <c r="K1201" s="99">
        <f>Tabla3[[#This Row],[INGRESOS]]/Tabla3[[#This Row],[TC]]</f>
        <v>0</v>
      </c>
      <c r="L1201" s="7" t="s">
        <v>376</v>
      </c>
      <c r="M1201" s="7" t="s">
        <v>377</v>
      </c>
      <c r="N1201" s="7" t="s">
        <v>20</v>
      </c>
      <c r="O1201" s="7" t="s">
        <v>184</v>
      </c>
      <c r="P1201" s="7" t="s">
        <v>195</v>
      </c>
      <c r="Q1201" s="7" t="s">
        <v>196</v>
      </c>
      <c r="R1201" s="7" t="s">
        <v>824</v>
      </c>
      <c r="S1201" s="7" t="s">
        <v>69</v>
      </c>
      <c r="T1201" s="7"/>
      <c r="U1201" s="7" t="s">
        <v>825</v>
      </c>
      <c r="V1201" s="7"/>
      <c r="W1201" s="7" t="s">
        <v>380</v>
      </c>
      <c r="X1201" s="7" t="s">
        <v>99</v>
      </c>
      <c r="Y1201" s="7" t="s">
        <v>23</v>
      </c>
    </row>
    <row r="1202" spans="1:25" x14ac:dyDescent="0.25">
      <c r="A1202" s="247" t="s">
        <v>311</v>
      </c>
      <c r="B1202" s="248">
        <v>45678</v>
      </c>
      <c r="C1202" s="244" t="s">
        <v>760</v>
      </c>
      <c r="D1202" s="244"/>
      <c r="E1202" s="253">
        <v>7042.25</v>
      </c>
      <c r="F1202" s="249">
        <v>0</v>
      </c>
      <c r="G1202" s="266">
        <f>Tabla3[[#This Row],[INGRESOS]]-Tabla3[[#This Row],[EGRESOS]]</f>
        <v>-7042.25</v>
      </c>
      <c r="H1202" s="132">
        <v>-5999597.71</v>
      </c>
      <c r="I1202" s="119">
        <v>1140</v>
      </c>
      <c r="J1202" s="99">
        <f>Tabla3[[#This Row],[EGRESOS]]/Tabla3[[#This Row],[TC]]</f>
        <v>6.1774122807017546</v>
      </c>
      <c r="K1202" s="99">
        <f>Tabla3[[#This Row],[INGRESOS]]/Tabla3[[#This Row],[TC]]</f>
        <v>0</v>
      </c>
      <c r="L1202" s="7" t="s">
        <v>376</v>
      </c>
      <c r="M1202" s="7" t="s">
        <v>377</v>
      </c>
      <c r="N1202" s="7" t="s">
        <v>20</v>
      </c>
      <c r="O1202" s="7" t="s">
        <v>184</v>
      </c>
      <c r="P1202" s="7" t="s">
        <v>195</v>
      </c>
      <c r="Q1202" s="7" t="s">
        <v>196</v>
      </c>
      <c r="R1202" s="7" t="s">
        <v>394</v>
      </c>
      <c r="S1202" s="7" t="s">
        <v>383</v>
      </c>
      <c r="T1202" s="7"/>
      <c r="U1202" s="7" t="s">
        <v>384</v>
      </c>
      <c r="V1202" s="7"/>
      <c r="W1202" s="7" t="s">
        <v>380</v>
      </c>
      <c r="X1202" s="7" t="s">
        <v>99</v>
      </c>
      <c r="Y1202" s="7" t="s">
        <v>23</v>
      </c>
    </row>
    <row r="1203" spans="1:25" hidden="1" x14ac:dyDescent="0.25">
      <c r="A1203" s="247" t="s">
        <v>311</v>
      </c>
      <c r="B1203" s="248">
        <v>45679</v>
      </c>
      <c r="C1203" s="244" t="s">
        <v>826</v>
      </c>
      <c r="D1203" s="244"/>
      <c r="E1203" s="253">
        <v>0</v>
      </c>
      <c r="F1203" s="249">
        <v>25762930</v>
      </c>
      <c r="G1203" s="266">
        <f>Tabla3[[#This Row],[INGRESOS]]-Tabla3[[#This Row],[EGRESOS]]</f>
        <v>25762930</v>
      </c>
      <c r="H1203" s="132">
        <v>19763332.289999999</v>
      </c>
      <c r="I1203" s="119">
        <v>1140</v>
      </c>
      <c r="J1203" s="99">
        <f>Tabla3[[#This Row],[EGRESOS]]/Tabla3[[#This Row],[TC]]</f>
        <v>0</v>
      </c>
      <c r="K1203" s="136">
        <f>Tabla3[[#This Row],[INGRESOS]]/Tabla3[[#This Row],[TC]]</f>
        <v>22599.061403508771</v>
      </c>
      <c r="L1203" s="7" t="s">
        <v>376</v>
      </c>
      <c r="M1203" s="7" t="s">
        <v>377</v>
      </c>
      <c r="N1203" s="7" t="s">
        <v>20</v>
      </c>
      <c r="O1203" s="7" t="s">
        <v>244</v>
      </c>
      <c r="P1203" s="7" t="s">
        <v>261</v>
      </c>
      <c r="Q1203" s="7" t="s">
        <v>263</v>
      </c>
      <c r="R1203" s="7" t="s">
        <v>827</v>
      </c>
      <c r="S1203" s="7" t="s">
        <v>20</v>
      </c>
      <c r="T1203" s="7"/>
      <c r="U1203" s="7" t="s">
        <v>442</v>
      </c>
      <c r="V1203" s="7"/>
      <c r="W1203" s="7" t="s">
        <v>380</v>
      </c>
      <c r="X1203" s="7" t="s">
        <v>23</v>
      </c>
      <c r="Y1203" s="7" t="s">
        <v>91</v>
      </c>
    </row>
    <row r="1204" spans="1:25" hidden="1" x14ac:dyDescent="0.25">
      <c r="A1204" s="247" t="s">
        <v>311</v>
      </c>
      <c r="B1204" s="248">
        <v>45680</v>
      </c>
      <c r="C1204" s="244" t="s">
        <v>404</v>
      </c>
      <c r="D1204" s="244"/>
      <c r="E1204" s="253">
        <v>10000000</v>
      </c>
      <c r="F1204" s="249">
        <v>0</v>
      </c>
      <c r="G1204" s="266">
        <f>Tabla3[[#This Row],[INGRESOS]]-Tabla3[[#This Row],[EGRESOS]]</f>
        <v>-10000000</v>
      </c>
      <c r="H1204" s="132">
        <v>9763332.2899999991</v>
      </c>
      <c r="I1204" s="119">
        <v>1140</v>
      </c>
      <c r="J1204" s="99">
        <f>Tabla3[[#This Row],[EGRESOS]]/Tabla3[[#This Row],[TC]]</f>
        <v>8771.9298245614027</v>
      </c>
      <c r="K1204" s="99">
        <f>Tabla3[[#This Row],[INGRESOS]]/Tabla3[[#This Row],[TC]]</f>
        <v>0</v>
      </c>
      <c r="L1204" s="7" t="s">
        <v>376</v>
      </c>
      <c r="M1204" s="7" t="s">
        <v>377</v>
      </c>
      <c r="N1204" s="7" t="s">
        <v>20</v>
      </c>
      <c r="O1204" s="7" t="s">
        <v>244</v>
      </c>
      <c r="P1204" s="7" t="s">
        <v>259</v>
      </c>
      <c r="Q1204" s="7" t="s">
        <v>260</v>
      </c>
      <c r="R1204" s="7" t="s">
        <v>579</v>
      </c>
      <c r="S1204" s="7"/>
      <c r="T1204" s="7"/>
      <c r="U1204" s="7" t="s">
        <v>379</v>
      </c>
      <c r="V1204" s="7"/>
      <c r="W1204" s="7" t="s">
        <v>380</v>
      </c>
      <c r="X1204" s="7"/>
      <c r="Y1204" s="7"/>
    </row>
    <row r="1205" spans="1:25" x14ac:dyDescent="0.25">
      <c r="A1205" s="247" t="s">
        <v>311</v>
      </c>
      <c r="B1205" s="248">
        <v>45680</v>
      </c>
      <c r="C1205" s="244" t="s">
        <v>828</v>
      </c>
      <c r="D1205" s="244"/>
      <c r="E1205" s="253">
        <v>121</v>
      </c>
      <c r="F1205" s="249">
        <v>0</v>
      </c>
      <c r="G1205" s="266">
        <f>Tabla3[[#This Row],[INGRESOS]]-Tabla3[[#This Row],[EGRESOS]]</f>
        <v>-121</v>
      </c>
      <c r="H1205" s="132">
        <v>9763211.2899999991</v>
      </c>
      <c r="I1205" s="119">
        <v>1140</v>
      </c>
      <c r="J1205" s="99">
        <f>Tabla3[[#This Row],[EGRESOS]]/Tabla3[[#This Row],[TC]]</f>
        <v>0.10614035087719298</v>
      </c>
      <c r="K1205" s="99">
        <f>Tabla3[[#This Row],[INGRESOS]]/Tabla3[[#This Row],[TC]]</f>
        <v>0</v>
      </c>
      <c r="L1205" s="7" t="s">
        <v>376</v>
      </c>
      <c r="M1205" s="7" t="s">
        <v>377</v>
      </c>
      <c r="N1205" s="7" t="s">
        <v>20</v>
      </c>
      <c r="O1205" s="7" t="s">
        <v>184</v>
      </c>
      <c r="P1205" s="7" t="s">
        <v>185</v>
      </c>
      <c r="Q1205" s="7" t="s">
        <v>186</v>
      </c>
      <c r="R1205" s="7" t="s">
        <v>227</v>
      </c>
      <c r="S1205" s="7"/>
      <c r="T1205" s="7"/>
      <c r="U1205" s="7" t="s">
        <v>384</v>
      </c>
      <c r="V1205" s="7"/>
      <c r="W1205" s="7" t="s">
        <v>380</v>
      </c>
      <c r="X1205" s="7" t="s">
        <v>99</v>
      </c>
      <c r="Y1205" s="7" t="s">
        <v>23</v>
      </c>
    </row>
    <row r="1206" spans="1:25" x14ac:dyDescent="0.25">
      <c r="A1206" s="247" t="s">
        <v>311</v>
      </c>
      <c r="B1206" s="248">
        <v>45680</v>
      </c>
      <c r="C1206" s="244" t="s">
        <v>800</v>
      </c>
      <c r="D1206" s="244"/>
      <c r="E1206" s="253">
        <v>527450</v>
      </c>
      <c r="F1206" s="249">
        <v>0</v>
      </c>
      <c r="G1206" s="266">
        <f>Tabla3[[#This Row],[INGRESOS]]-Tabla3[[#This Row],[EGRESOS]]</f>
        <v>-527450</v>
      </c>
      <c r="H1206" s="132">
        <v>9235761.2899999991</v>
      </c>
      <c r="I1206" s="119">
        <v>1140</v>
      </c>
      <c r="J1206" s="99">
        <f>Tabla3[[#This Row],[EGRESOS]]/Tabla3[[#This Row],[TC]]</f>
        <v>462.67543859649123</v>
      </c>
      <c r="K1206" s="99">
        <f>Tabla3[[#This Row],[INGRESOS]]/Tabla3[[#This Row],[TC]]</f>
        <v>0</v>
      </c>
      <c r="L1206" s="7" t="s">
        <v>376</v>
      </c>
      <c r="M1206" s="7" t="s">
        <v>377</v>
      </c>
      <c r="N1206" s="7" t="s">
        <v>20</v>
      </c>
      <c r="O1206" s="7" t="s">
        <v>184</v>
      </c>
      <c r="P1206" s="7" t="s">
        <v>199</v>
      </c>
      <c r="Q1206" s="7" t="s">
        <v>201</v>
      </c>
      <c r="R1206" s="7" t="s">
        <v>829</v>
      </c>
      <c r="S1206" s="7" t="s">
        <v>389</v>
      </c>
      <c r="T1206" s="7"/>
      <c r="U1206" s="7" t="s">
        <v>390</v>
      </c>
      <c r="V1206" s="7"/>
      <c r="W1206" s="7" t="s">
        <v>380</v>
      </c>
      <c r="X1206" s="7" t="s">
        <v>99</v>
      </c>
      <c r="Y1206" s="7" t="s">
        <v>23</v>
      </c>
    </row>
    <row r="1207" spans="1:25" x14ac:dyDescent="0.25">
      <c r="A1207" s="247" t="s">
        <v>311</v>
      </c>
      <c r="B1207" s="248">
        <v>45680</v>
      </c>
      <c r="C1207" s="244" t="s">
        <v>828</v>
      </c>
      <c r="D1207" s="244"/>
      <c r="E1207" s="253">
        <v>121</v>
      </c>
      <c r="F1207" s="249">
        <v>0</v>
      </c>
      <c r="G1207" s="266">
        <f>Tabla3[[#This Row],[INGRESOS]]-Tabla3[[#This Row],[EGRESOS]]</f>
        <v>-121</v>
      </c>
      <c r="H1207" s="132">
        <v>9235640.2899999991</v>
      </c>
      <c r="I1207" s="119">
        <v>1140</v>
      </c>
      <c r="J1207" s="99">
        <f>Tabla3[[#This Row],[EGRESOS]]/Tabla3[[#This Row],[TC]]</f>
        <v>0.10614035087719298</v>
      </c>
      <c r="K1207" s="99">
        <f>Tabla3[[#This Row],[INGRESOS]]/Tabla3[[#This Row],[TC]]</f>
        <v>0</v>
      </c>
      <c r="L1207" s="7" t="s">
        <v>376</v>
      </c>
      <c r="M1207" s="7" t="s">
        <v>377</v>
      </c>
      <c r="N1207" s="7" t="s">
        <v>20</v>
      </c>
      <c r="O1207" s="7" t="s">
        <v>184</v>
      </c>
      <c r="P1207" s="7" t="s">
        <v>185</v>
      </c>
      <c r="Q1207" s="7" t="s">
        <v>186</v>
      </c>
      <c r="R1207" s="7" t="s">
        <v>227</v>
      </c>
      <c r="S1207" s="7"/>
      <c r="T1207" s="7"/>
      <c r="U1207" s="7" t="s">
        <v>384</v>
      </c>
      <c r="V1207" s="7"/>
      <c r="W1207" s="7" t="s">
        <v>380</v>
      </c>
      <c r="X1207" s="7" t="s">
        <v>99</v>
      </c>
      <c r="Y1207" s="7" t="s">
        <v>23</v>
      </c>
    </row>
    <row r="1208" spans="1:25" hidden="1" x14ac:dyDescent="0.25">
      <c r="A1208" s="247" t="s">
        <v>311</v>
      </c>
      <c r="B1208" s="248">
        <v>45680</v>
      </c>
      <c r="C1208" s="244" t="s">
        <v>404</v>
      </c>
      <c r="D1208" s="244"/>
      <c r="E1208" s="253">
        <v>3000000</v>
      </c>
      <c r="F1208" s="249">
        <v>0</v>
      </c>
      <c r="G1208" s="266">
        <f>Tabla3[[#This Row],[INGRESOS]]-Tabla3[[#This Row],[EGRESOS]]</f>
        <v>-3000000</v>
      </c>
      <c r="H1208" s="132">
        <v>6235640.29</v>
      </c>
      <c r="I1208" s="119">
        <v>1140</v>
      </c>
      <c r="J1208" s="99">
        <f>Tabla3[[#This Row],[EGRESOS]]/Tabla3[[#This Row],[TC]]</f>
        <v>2631.5789473684213</v>
      </c>
      <c r="K1208" s="99">
        <f>Tabla3[[#This Row],[INGRESOS]]/Tabla3[[#This Row],[TC]]</f>
        <v>0</v>
      </c>
      <c r="L1208" s="7" t="s">
        <v>376</v>
      </c>
      <c r="M1208" s="7" t="s">
        <v>377</v>
      </c>
      <c r="N1208" s="7" t="s">
        <v>20</v>
      </c>
      <c r="O1208" s="7" t="s">
        <v>244</v>
      </c>
      <c r="P1208" s="7" t="s">
        <v>259</v>
      </c>
      <c r="Q1208" s="7" t="s">
        <v>260</v>
      </c>
      <c r="R1208" s="7" t="s">
        <v>594</v>
      </c>
      <c r="S1208" s="7"/>
      <c r="T1208" s="7"/>
      <c r="U1208" s="7" t="s">
        <v>379</v>
      </c>
      <c r="V1208" s="7"/>
      <c r="W1208" s="7" t="s">
        <v>380</v>
      </c>
      <c r="X1208" s="7"/>
      <c r="Y1208" s="7"/>
    </row>
    <row r="1209" spans="1:25" x14ac:dyDescent="0.25">
      <c r="A1209" s="247" t="s">
        <v>311</v>
      </c>
      <c r="B1209" s="248">
        <v>45680</v>
      </c>
      <c r="C1209" s="244" t="s">
        <v>828</v>
      </c>
      <c r="D1209" s="244"/>
      <c r="E1209" s="253">
        <v>121</v>
      </c>
      <c r="F1209" s="249">
        <v>0</v>
      </c>
      <c r="G1209" s="266">
        <f>Tabla3[[#This Row],[INGRESOS]]-Tabla3[[#This Row],[EGRESOS]]</f>
        <v>-121</v>
      </c>
      <c r="H1209" s="132">
        <v>6235519.29</v>
      </c>
      <c r="I1209" s="119">
        <v>1140</v>
      </c>
      <c r="J1209" s="99">
        <f>Tabla3[[#This Row],[EGRESOS]]/Tabla3[[#This Row],[TC]]</f>
        <v>0.10614035087719298</v>
      </c>
      <c r="K1209" s="99">
        <f>Tabla3[[#This Row],[INGRESOS]]/Tabla3[[#This Row],[TC]]</f>
        <v>0</v>
      </c>
      <c r="L1209" s="7" t="s">
        <v>376</v>
      </c>
      <c r="M1209" s="7" t="s">
        <v>377</v>
      </c>
      <c r="N1209" s="7" t="s">
        <v>20</v>
      </c>
      <c r="O1209" s="7" t="s">
        <v>184</v>
      </c>
      <c r="P1209" s="7" t="s">
        <v>185</v>
      </c>
      <c r="Q1209" s="7" t="s">
        <v>186</v>
      </c>
      <c r="R1209" s="7" t="s">
        <v>227</v>
      </c>
      <c r="S1209" s="7"/>
      <c r="T1209" s="7"/>
      <c r="U1209" s="7" t="s">
        <v>384</v>
      </c>
      <c r="V1209" s="7"/>
      <c r="W1209" s="7" t="s">
        <v>380</v>
      </c>
      <c r="X1209" s="7" t="s">
        <v>99</v>
      </c>
      <c r="Y1209" s="7" t="s">
        <v>23</v>
      </c>
    </row>
    <row r="1210" spans="1:25" hidden="1" x14ac:dyDescent="0.25">
      <c r="A1210" s="247" t="s">
        <v>311</v>
      </c>
      <c r="B1210" s="248">
        <v>45680</v>
      </c>
      <c r="C1210" s="244" t="s">
        <v>800</v>
      </c>
      <c r="D1210" s="244"/>
      <c r="E1210" s="253">
        <v>6000000</v>
      </c>
      <c r="F1210" s="249">
        <v>0</v>
      </c>
      <c r="G1210" s="266">
        <f>Tabla3[[#This Row],[INGRESOS]]-Tabla3[[#This Row],[EGRESOS]]</f>
        <v>-6000000</v>
      </c>
      <c r="H1210" s="132">
        <v>235519.29</v>
      </c>
      <c r="I1210" s="119">
        <v>1140</v>
      </c>
      <c r="J1210" s="99">
        <f>Tabla3[[#This Row],[EGRESOS]]/Tabla3[[#This Row],[TC]]</f>
        <v>5263.1578947368425</v>
      </c>
      <c r="K1210" s="99">
        <f>Tabla3[[#This Row],[INGRESOS]]/Tabla3[[#This Row],[TC]]</f>
        <v>0</v>
      </c>
      <c r="L1210" s="7" t="s">
        <v>376</v>
      </c>
      <c r="M1210" s="7" t="s">
        <v>377</v>
      </c>
      <c r="N1210" s="7" t="s">
        <v>20</v>
      </c>
      <c r="O1210" s="7" t="s">
        <v>215</v>
      </c>
      <c r="P1210" s="7" t="s">
        <v>216</v>
      </c>
      <c r="Q1210" s="7" t="s">
        <v>220</v>
      </c>
      <c r="R1210" s="7" t="s">
        <v>327</v>
      </c>
      <c r="S1210" s="7" t="s">
        <v>551</v>
      </c>
      <c r="T1210" s="7"/>
      <c r="U1210" s="7" t="s">
        <v>403</v>
      </c>
      <c r="V1210" s="7"/>
      <c r="W1210" s="7" t="s">
        <v>380</v>
      </c>
      <c r="X1210" s="7" t="s">
        <v>29</v>
      </c>
      <c r="Y1210" s="7" t="s">
        <v>23</v>
      </c>
    </row>
    <row r="1211" spans="1:25" x14ac:dyDescent="0.25">
      <c r="A1211" s="247" t="s">
        <v>311</v>
      </c>
      <c r="B1211" s="248">
        <v>45680</v>
      </c>
      <c r="C1211" s="244" t="s">
        <v>828</v>
      </c>
      <c r="D1211" s="244"/>
      <c r="E1211" s="253">
        <v>121</v>
      </c>
      <c r="F1211" s="249">
        <v>0</v>
      </c>
      <c r="G1211" s="266">
        <f>Tabla3[[#This Row],[INGRESOS]]-Tabla3[[#This Row],[EGRESOS]]</f>
        <v>-121</v>
      </c>
      <c r="H1211" s="132">
        <v>235398.29</v>
      </c>
      <c r="I1211" s="119">
        <v>1140</v>
      </c>
      <c r="J1211" s="99">
        <f>Tabla3[[#This Row],[EGRESOS]]/Tabla3[[#This Row],[TC]]</f>
        <v>0.10614035087719298</v>
      </c>
      <c r="K1211" s="99">
        <f>Tabla3[[#This Row],[INGRESOS]]/Tabla3[[#This Row],[TC]]</f>
        <v>0</v>
      </c>
      <c r="L1211" s="7" t="s">
        <v>376</v>
      </c>
      <c r="M1211" s="7" t="s">
        <v>377</v>
      </c>
      <c r="N1211" s="7" t="s">
        <v>20</v>
      </c>
      <c r="O1211" s="7" t="s">
        <v>184</v>
      </c>
      <c r="P1211" s="7" t="s">
        <v>185</v>
      </c>
      <c r="Q1211" s="7" t="s">
        <v>186</v>
      </c>
      <c r="R1211" s="7" t="s">
        <v>227</v>
      </c>
      <c r="S1211" s="7"/>
      <c r="T1211" s="7"/>
      <c r="U1211" s="7" t="s">
        <v>384</v>
      </c>
      <c r="V1211" s="7"/>
      <c r="W1211" s="7" t="s">
        <v>380</v>
      </c>
      <c r="X1211" s="7" t="s">
        <v>99</v>
      </c>
      <c r="Y1211" s="7" t="s">
        <v>23</v>
      </c>
    </row>
    <row r="1212" spans="1:25" x14ac:dyDescent="0.25">
      <c r="A1212" s="247" t="s">
        <v>311</v>
      </c>
      <c r="B1212" s="248">
        <v>45680</v>
      </c>
      <c r="C1212" s="244" t="s">
        <v>760</v>
      </c>
      <c r="D1212" s="244"/>
      <c r="E1212" s="253">
        <v>39167.620000000003</v>
      </c>
      <c r="F1212" s="249">
        <v>0</v>
      </c>
      <c r="G1212" s="266">
        <f>Tabla3[[#This Row],[INGRESOS]]-Tabla3[[#This Row],[EGRESOS]]</f>
        <v>-39167.620000000003</v>
      </c>
      <c r="H1212" s="132">
        <v>196230.67</v>
      </c>
      <c r="I1212" s="119">
        <v>1140</v>
      </c>
      <c r="J1212" s="99">
        <f>Tabla3[[#This Row],[EGRESOS]]/Tabla3[[#This Row],[TC]]</f>
        <v>34.357561403508775</v>
      </c>
      <c r="K1212" s="99">
        <f>Tabla3[[#This Row],[INGRESOS]]/Tabla3[[#This Row],[TC]]</f>
        <v>0</v>
      </c>
      <c r="L1212" s="7" t="s">
        <v>376</v>
      </c>
      <c r="M1212" s="7" t="s">
        <v>377</v>
      </c>
      <c r="N1212" s="7" t="s">
        <v>20</v>
      </c>
      <c r="O1212" s="7" t="s">
        <v>184</v>
      </c>
      <c r="P1212" s="7" t="s">
        <v>195</v>
      </c>
      <c r="Q1212" s="7" t="s">
        <v>196</v>
      </c>
      <c r="R1212" s="7" t="s">
        <v>394</v>
      </c>
      <c r="S1212" s="7" t="s">
        <v>383</v>
      </c>
      <c r="T1212" s="7"/>
      <c r="U1212" s="7" t="s">
        <v>384</v>
      </c>
      <c r="V1212" s="7"/>
      <c r="W1212" s="7" t="s">
        <v>380</v>
      </c>
      <c r="X1212" s="7" t="s">
        <v>99</v>
      </c>
      <c r="Y1212" s="7" t="s">
        <v>23</v>
      </c>
    </row>
    <row r="1213" spans="1:25" hidden="1" x14ac:dyDescent="0.25">
      <c r="A1213" s="247" t="s">
        <v>311</v>
      </c>
      <c r="B1213" s="248">
        <v>45681</v>
      </c>
      <c r="C1213" s="244" t="s">
        <v>800</v>
      </c>
      <c r="D1213" s="244"/>
      <c r="E1213" s="253">
        <v>43551.81</v>
      </c>
      <c r="F1213" s="249">
        <v>0</v>
      </c>
      <c r="G1213" s="266">
        <f>Tabla3[[#This Row],[INGRESOS]]-Tabla3[[#This Row],[EGRESOS]]</f>
        <v>-43551.81</v>
      </c>
      <c r="H1213" s="132">
        <v>152678.85999999999</v>
      </c>
      <c r="I1213" s="119">
        <v>1140</v>
      </c>
      <c r="J1213" s="99">
        <f>Tabla3[[#This Row],[EGRESOS]]/Tabla3[[#This Row],[TC]]</f>
        <v>38.203342105263154</v>
      </c>
      <c r="K1213" s="99">
        <f>Tabla3[[#This Row],[INGRESOS]]/Tabla3[[#This Row],[TC]]</f>
        <v>0</v>
      </c>
      <c r="L1213" s="7" t="s">
        <v>376</v>
      </c>
      <c r="M1213" s="7" t="s">
        <v>377</v>
      </c>
      <c r="N1213" s="7" t="s">
        <v>20</v>
      </c>
      <c r="O1213" s="7" t="s">
        <v>225</v>
      </c>
      <c r="P1213" s="7" t="s">
        <v>236</v>
      </c>
      <c r="Q1213" s="7" t="s">
        <v>227</v>
      </c>
      <c r="R1213" s="7" t="s">
        <v>574</v>
      </c>
      <c r="S1213" s="7" t="s">
        <v>575</v>
      </c>
      <c r="T1213" s="7" t="s">
        <v>830</v>
      </c>
      <c r="U1213" s="7" t="s">
        <v>412</v>
      </c>
      <c r="V1213" s="7"/>
      <c r="W1213" s="7" t="s">
        <v>380</v>
      </c>
      <c r="X1213" s="7" t="s">
        <v>29</v>
      </c>
      <c r="Y1213" s="7" t="s">
        <v>23</v>
      </c>
    </row>
    <row r="1214" spans="1:25" hidden="1" x14ac:dyDescent="0.25">
      <c r="A1214" s="247" t="s">
        <v>311</v>
      </c>
      <c r="B1214" s="248">
        <v>45681</v>
      </c>
      <c r="C1214" s="244" t="s">
        <v>800</v>
      </c>
      <c r="D1214" s="244"/>
      <c r="E1214" s="253">
        <v>123000</v>
      </c>
      <c r="F1214" s="249">
        <v>0</v>
      </c>
      <c r="G1214" s="266">
        <f>Tabla3[[#This Row],[INGRESOS]]-Tabla3[[#This Row],[EGRESOS]]</f>
        <v>-123000</v>
      </c>
      <c r="H1214" s="132">
        <v>29678.86</v>
      </c>
      <c r="I1214" s="119">
        <v>1140</v>
      </c>
      <c r="J1214" s="99">
        <f>Tabla3[[#This Row],[EGRESOS]]/Tabla3[[#This Row],[TC]]</f>
        <v>107.89473684210526</v>
      </c>
      <c r="K1214" s="99">
        <f>Tabla3[[#This Row],[INGRESOS]]/Tabla3[[#This Row],[TC]]</f>
        <v>0</v>
      </c>
      <c r="L1214" s="7" t="s">
        <v>376</v>
      </c>
      <c r="M1214" s="7" t="s">
        <v>377</v>
      </c>
      <c r="N1214" s="7" t="s">
        <v>20</v>
      </c>
      <c r="O1214" s="7" t="s">
        <v>225</v>
      </c>
      <c r="P1214" s="7" t="s">
        <v>233</v>
      </c>
      <c r="Q1214" s="7"/>
      <c r="R1214" s="7" t="s">
        <v>831</v>
      </c>
      <c r="S1214" s="7" t="s">
        <v>832</v>
      </c>
      <c r="T1214" s="7" t="s">
        <v>833</v>
      </c>
      <c r="U1214" s="7" t="s">
        <v>412</v>
      </c>
      <c r="V1214" s="7"/>
      <c r="W1214" s="7" t="s">
        <v>380</v>
      </c>
      <c r="X1214" s="7" t="s">
        <v>29</v>
      </c>
      <c r="Y1214" s="7" t="s">
        <v>23</v>
      </c>
    </row>
    <row r="1215" spans="1:25" x14ac:dyDescent="0.25">
      <c r="A1215" s="247" t="s">
        <v>311</v>
      </c>
      <c r="B1215" s="248">
        <v>45681</v>
      </c>
      <c r="C1215" s="244" t="s">
        <v>760</v>
      </c>
      <c r="D1215" s="244"/>
      <c r="E1215" s="253">
        <v>999.31</v>
      </c>
      <c r="F1215" s="249">
        <v>0</v>
      </c>
      <c r="G1215" s="266">
        <f>Tabla3[[#This Row],[INGRESOS]]-Tabla3[[#This Row],[EGRESOS]]</f>
        <v>-999.31</v>
      </c>
      <c r="H1215" s="132">
        <v>28679.55</v>
      </c>
      <c r="I1215" s="119">
        <v>1140</v>
      </c>
      <c r="J1215" s="99">
        <f>Tabla3[[#This Row],[EGRESOS]]/Tabla3[[#This Row],[TC]]</f>
        <v>0.87658771929824553</v>
      </c>
      <c r="K1215" s="99">
        <f>Tabla3[[#This Row],[INGRESOS]]/Tabla3[[#This Row],[TC]]</f>
        <v>0</v>
      </c>
      <c r="L1215" s="7" t="s">
        <v>376</v>
      </c>
      <c r="M1215" s="7" t="s">
        <v>377</v>
      </c>
      <c r="N1215" s="7" t="s">
        <v>20</v>
      </c>
      <c r="O1215" s="7" t="s">
        <v>184</v>
      </c>
      <c r="P1215" s="7" t="s">
        <v>195</v>
      </c>
      <c r="Q1215" s="7" t="s">
        <v>196</v>
      </c>
      <c r="R1215" s="7" t="s">
        <v>394</v>
      </c>
      <c r="S1215" s="7" t="s">
        <v>383</v>
      </c>
      <c r="T1215" s="7"/>
      <c r="U1215" s="7" t="s">
        <v>384</v>
      </c>
      <c r="V1215" s="7"/>
      <c r="W1215" s="7" t="s">
        <v>380</v>
      </c>
      <c r="X1215" s="7" t="s">
        <v>99</v>
      </c>
      <c r="Y1215" s="7" t="s">
        <v>23</v>
      </c>
    </row>
    <row r="1216" spans="1:25" x14ac:dyDescent="0.25">
      <c r="A1216" s="247" t="s">
        <v>311</v>
      </c>
      <c r="B1216" s="248">
        <v>45684</v>
      </c>
      <c r="C1216" s="244" t="s">
        <v>800</v>
      </c>
      <c r="D1216" s="244"/>
      <c r="E1216" s="253">
        <v>10113</v>
      </c>
      <c r="F1216" s="249">
        <v>0</v>
      </c>
      <c r="G1216" s="266">
        <f>Tabla3[[#This Row],[INGRESOS]]-Tabla3[[#This Row],[EGRESOS]]</f>
        <v>-10113</v>
      </c>
      <c r="H1216" s="132">
        <v>-581433.44999999995</v>
      </c>
      <c r="I1216" s="119">
        <v>1140</v>
      </c>
      <c r="J1216" s="99">
        <f>Tabla3[[#This Row],[EGRESOS]]/Tabla3[[#This Row],[TC]]</f>
        <v>8.871052631578948</v>
      </c>
      <c r="K1216" s="99">
        <f>Tabla3[[#This Row],[INGRESOS]]/Tabla3[[#This Row],[TC]]</f>
        <v>0</v>
      </c>
      <c r="L1216" s="7" t="s">
        <v>376</v>
      </c>
      <c r="M1216" s="7" t="s">
        <v>377</v>
      </c>
      <c r="N1216" s="7" t="s">
        <v>20</v>
      </c>
      <c r="O1216" s="7" t="s">
        <v>184</v>
      </c>
      <c r="P1216" s="7" t="s">
        <v>199</v>
      </c>
      <c r="Q1216" s="7" t="s">
        <v>200</v>
      </c>
      <c r="R1216" s="7" t="s">
        <v>834</v>
      </c>
      <c r="S1216" s="7"/>
      <c r="T1216" s="7"/>
      <c r="U1216" s="7" t="s">
        <v>390</v>
      </c>
      <c r="V1216" s="7"/>
      <c r="W1216" s="7" t="s">
        <v>380</v>
      </c>
      <c r="X1216" s="7" t="s">
        <v>29</v>
      </c>
      <c r="Y1216" s="7" t="s">
        <v>23</v>
      </c>
    </row>
    <row r="1217" spans="1:25" x14ac:dyDescent="0.25">
      <c r="A1217" s="247" t="s">
        <v>311</v>
      </c>
      <c r="B1217" s="248">
        <v>45684</v>
      </c>
      <c r="C1217" s="244" t="s">
        <v>800</v>
      </c>
      <c r="D1217" s="244"/>
      <c r="E1217" s="253">
        <v>100000</v>
      </c>
      <c r="F1217" s="249">
        <v>0</v>
      </c>
      <c r="G1217" s="266">
        <f>Tabla3[[#This Row],[INGRESOS]]-Tabla3[[#This Row],[EGRESOS]]</f>
        <v>-100000</v>
      </c>
      <c r="H1217" s="132">
        <v>-1191546.45</v>
      </c>
      <c r="I1217" s="119">
        <v>1140</v>
      </c>
      <c r="J1217" s="99">
        <f>Tabla3[[#This Row],[EGRESOS]]/Tabla3[[#This Row],[TC]]</f>
        <v>87.719298245614041</v>
      </c>
      <c r="K1217" s="99">
        <f>Tabla3[[#This Row],[INGRESOS]]/Tabla3[[#This Row],[TC]]</f>
        <v>0</v>
      </c>
      <c r="L1217" s="7" t="s">
        <v>376</v>
      </c>
      <c r="M1217" s="7" t="s">
        <v>377</v>
      </c>
      <c r="N1217" s="7" t="s">
        <v>20</v>
      </c>
      <c r="O1217" s="7" t="s">
        <v>184</v>
      </c>
      <c r="P1217" s="7" t="s">
        <v>199</v>
      </c>
      <c r="Q1217" s="7" t="s">
        <v>200</v>
      </c>
      <c r="R1217" s="7" t="s">
        <v>835</v>
      </c>
      <c r="S1217" s="7" t="s">
        <v>427</v>
      </c>
      <c r="T1217" s="7"/>
      <c r="U1217" s="7" t="s">
        <v>390</v>
      </c>
      <c r="V1217" s="7"/>
      <c r="W1217" s="7" t="s">
        <v>380</v>
      </c>
      <c r="X1217" s="7" t="s">
        <v>99</v>
      </c>
      <c r="Y1217" s="7" t="s">
        <v>23</v>
      </c>
    </row>
    <row r="1218" spans="1:25" hidden="1" x14ac:dyDescent="0.25">
      <c r="A1218" s="247" t="s">
        <v>311</v>
      </c>
      <c r="B1218" s="248">
        <v>45684</v>
      </c>
      <c r="C1218" s="244" t="s">
        <v>800</v>
      </c>
      <c r="D1218" s="244"/>
      <c r="E1218" s="253">
        <v>500000</v>
      </c>
      <c r="F1218" s="249">
        <v>0</v>
      </c>
      <c r="G1218" s="266">
        <f>Tabla3[[#This Row],[INGRESOS]]-Tabla3[[#This Row],[EGRESOS]]</f>
        <v>-500000</v>
      </c>
      <c r="H1218" s="132">
        <v>-581433.44999999995</v>
      </c>
      <c r="I1218" s="119">
        <v>1140</v>
      </c>
      <c r="J1218" s="99">
        <f>Tabla3[[#This Row],[EGRESOS]]/Tabla3[[#This Row],[TC]]</f>
        <v>438.59649122807019</v>
      </c>
      <c r="K1218" s="99">
        <f>Tabla3[[#This Row],[INGRESOS]]/Tabla3[[#This Row],[TC]]</f>
        <v>0</v>
      </c>
      <c r="L1218" s="7" t="s">
        <v>376</v>
      </c>
      <c r="M1218" s="7" t="s">
        <v>377</v>
      </c>
      <c r="N1218" s="7" t="s">
        <v>20</v>
      </c>
      <c r="O1218" s="7" t="s">
        <v>215</v>
      </c>
      <c r="P1218" s="7" t="s">
        <v>216</v>
      </c>
      <c r="Q1218" s="7" t="s">
        <v>220</v>
      </c>
      <c r="R1218" s="7" t="s">
        <v>836</v>
      </c>
      <c r="S1218" s="7" t="s">
        <v>534</v>
      </c>
      <c r="T1218" s="7"/>
      <c r="U1218" s="7" t="s">
        <v>429</v>
      </c>
      <c r="V1218" s="7"/>
      <c r="W1218" s="7" t="s">
        <v>399</v>
      </c>
      <c r="X1218" s="7" t="s">
        <v>99</v>
      </c>
      <c r="Y1218" s="7" t="s">
        <v>23</v>
      </c>
    </row>
    <row r="1219" spans="1:25" x14ac:dyDescent="0.25">
      <c r="A1219" s="247" t="s">
        <v>311</v>
      </c>
      <c r="B1219" s="248">
        <v>45684</v>
      </c>
      <c r="C1219" s="244" t="s">
        <v>828</v>
      </c>
      <c r="D1219" s="244"/>
      <c r="E1219" s="253">
        <v>121</v>
      </c>
      <c r="F1219" s="249">
        <v>0</v>
      </c>
      <c r="G1219" s="266">
        <f>Tabla3[[#This Row],[INGRESOS]]-Tabla3[[#This Row],[EGRESOS]]</f>
        <v>-121</v>
      </c>
      <c r="H1219" s="132">
        <v>-581554.44999999995</v>
      </c>
      <c r="I1219" s="119">
        <v>1140</v>
      </c>
      <c r="J1219" s="99">
        <f>Tabla3[[#This Row],[EGRESOS]]/Tabla3[[#This Row],[TC]]</f>
        <v>0.10614035087719298</v>
      </c>
      <c r="K1219" s="99">
        <f>Tabla3[[#This Row],[INGRESOS]]/Tabla3[[#This Row],[TC]]</f>
        <v>0</v>
      </c>
      <c r="L1219" s="7" t="s">
        <v>376</v>
      </c>
      <c r="M1219" s="7" t="s">
        <v>377</v>
      </c>
      <c r="N1219" s="7" t="s">
        <v>20</v>
      </c>
      <c r="O1219" s="7" t="s">
        <v>184</v>
      </c>
      <c r="P1219" s="7" t="s">
        <v>185</v>
      </c>
      <c r="Q1219" s="7" t="s">
        <v>186</v>
      </c>
      <c r="R1219" s="7" t="s">
        <v>227</v>
      </c>
      <c r="S1219" s="7"/>
      <c r="T1219" s="7"/>
      <c r="U1219" s="7" t="s">
        <v>384</v>
      </c>
      <c r="V1219" s="7"/>
      <c r="W1219" s="7" t="s">
        <v>380</v>
      </c>
      <c r="X1219" s="7" t="s">
        <v>99</v>
      </c>
      <c r="Y1219" s="7" t="s">
        <v>23</v>
      </c>
    </row>
    <row r="1220" spans="1:25" x14ac:dyDescent="0.25">
      <c r="A1220" s="247" t="s">
        <v>311</v>
      </c>
      <c r="B1220" s="248">
        <v>45684</v>
      </c>
      <c r="C1220" s="244" t="s">
        <v>762</v>
      </c>
      <c r="D1220" s="244"/>
      <c r="E1220" s="253">
        <v>1650.6</v>
      </c>
      <c r="F1220" s="249">
        <v>0</v>
      </c>
      <c r="G1220" s="266">
        <f>Tabla3[[#This Row],[INGRESOS]]-Tabla3[[#This Row],[EGRESOS]]</f>
        <v>-1650.6</v>
      </c>
      <c r="H1220" s="132">
        <v>-583205.05000000005</v>
      </c>
      <c r="I1220" s="119">
        <v>1140</v>
      </c>
      <c r="J1220" s="99">
        <f>Tabla3[[#This Row],[EGRESOS]]/Tabla3[[#This Row],[TC]]</f>
        <v>1.4478947368421051</v>
      </c>
      <c r="K1220" s="99">
        <f>Tabla3[[#This Row],[INGRESOS]]/Tabla3[[#This Row],[TC]]</f>
        <v>0</v>
      </c>
      <c r="L1220" s="7" t="s">
        <v>376</v>
      </c>
      <c r="M1220" s="7" t="s">
        <v>377</v>
      </c>
      <c r="N1220" s="7" t="s">
        <v>20</v>
      </c>
      <c r="O1220" s="7" t="s">
        <v>184</v>
      </c>
      <c r="P1220" s="7" t="s">
        <v>195</v>
      </c>
      <c r="Q1220" s="7" t="s">
        <v>196</v>
      </c>
      <c r="R1220" s="7" t="s">
        <v>382</v>
      </c>
      <c r="S1220" s="7" t="s">
        <v>383</v>
      </c>
      <c r="T1220" s="7"/>
      <c r="U1220" s="7" t="s">
        <v>384</v>
      </c>
      <c r="V1220" s="7"/>
      <c r="W1220" s="7" t="s">
        <v>380</v>
      </c>
      <c r="X1220" s="7" t="s">
        <v>99</v>
      </c>
      <c r="Y1220" s="7" t="s">
        <v>23</v>
      </c>
    </row>
    <row r="1221" spans="1:25" x14ac:dyDescent="0.25">
      <c r="A1221" s="247" t="s">
        <v>311</v>
      </c>
      <c r="B1221" s="248">
        <v>45684</v>
      </c>
      <c r="C1221" s="244" t="s">
        <v>763</v>
      </c>
      <c r="D1221" s="244"/>
      <c r="E1221" s="253">
        <v>235.8</v>
      </c>
      <c r="F1221" s="249">
        <v>0</v>
      </c>
      <c r="G1221" s="266">
        <f>Tabla3[[#This Row],[INGRESOS]]-Tabla3[[#This Row],[EGRESOS]]</f>
        <v>-235.8</v>
      </c>
      <c r="H1221" s="132">
        <v>-583440.85</v>
      </c>
      <c r="I1221" s="119">
        <v>1140</v>
      </c>
      <c r="J1221" s="99">
        <f>Tabla3[[#This Row],[EGRESOS]]/Tabla3[[#This Row],[TC]]</f>
        <v>0.20684210526315791</v>
      </c>
      <c r="K1221" s="99">
        <f>Tabla3[[#This Row],[INGRESOS]]/Tabla3[[#This Row],[TC]]</f>
        <v>0</v>
      </c>
      <c r="L1221" s="7" t="s">
        <v>376</v>
      </c>
      <c r="M1221" s="7" t="s">
        <v>377</v>
      </c>
      <c r="N1221" s="7" t="s">
        <v>20</v>
      </c>
      <c r="O1221" s="7" t="s">
        <v>184</v>
      </c>
      <c r="P1221" s="7" t="s">
        <v>195</v>
      </c>
      <c r="Q1221" s="7" t="s">
        <v>196</v>
      </c>
      <c r="R1221" s="7" t="s">
        <v>417</v>
      </c>
      <c r="S1221" s="7" t="s">
        <v>383</v>
      </c>
      <c r="T1221" s="7"/>
      <c r="U1221" s="7" t="s">
        <v>384</v>
      </c>
      <c r="V1221" s="7"/>
      <c r="W1221" s="7" t="s">
        <v>380</v>
      </c>
      <c r="X1221" s="7" t="s">
        <v>99</v>
      </c>
      <c r="Y1221" s="7" t="s">
        <v>23</v>
      </c>
    </row>
    <row r="1222" spans="1:25" x14ac:dyDescent="0.25">
      <c r="A1222" s="247" t="s">
        <v>311</v>
      </c>
      <c r="B1222" s="248">
        <v>45684</v>
      </c>
      <c r="C1222" s="244" t="s">
        <v>837</v>
      </c>
      <c r="D1222" s="244"/>
      <c r="E1222" s="253">
        <v>7860</v>
      </c>
      <c r="F1222" s="249">
        <v>0</v>
      </c>
      <c r="G1222" s="266">
        <f>Tabla3[[#This Row],[INGRESOS]]-Tabla3[[#This Row],[EGRESOS]]</f>
        <v>-7860</v>
      </c>
      <c r="H1222" s="132">
        <v>-591300.85</v>
      </c>
      <c r="I1222" s="119">
        <v>1140</v>
      </c>
      <c r="J1222" s="99">
        <f>Tabla3[[#This Row],[EGRESOS]]/Tabla3[[#This Row],[TC]]</f>
        <v>6.8947368421052628</v>
      </c>
      <c r="K1222" s="99">
        <f>Tabla3[[#This Row],[INGRESOS]]/Tabla3[[#This Row],[TC]]</f>
        <v>0</v>
      </c>
      <c r="L1222" s="7" t="s">
        <v>376</v>
      </c>
      <c r="M1222" s="7" t="s">
        <v>377</v>
      </c>
      <c r="N1222" s="7" t="s">
        <v>20</v>
      </c>
      <c r="O1222" s="7" t="s">
        <v>184</v>
      </c>
      <c r="P1222" s="7" t="s">
        <v>185</v>
      </c>
      <c r="Q1222" s="7" t="s">
        <v>186</v>
      </c>
      <c r="R1222" s="7" t="s">
        <v>227</v>
      </c>
      <c r="S1222" s="7"/>
      <c r="T1222" s="7"/>
      <c r="U1222" s="7" t="s">
        <v>384</v>
      </c>
      <c r="V1222" s="7"/>
      <c r="W1222" s="7" t="s">
        <v>380</v>
      </c>
      <c r="X1222" s="7" t="s">
        <v>99</v>
      </c>
      <c r="Y1222" s="7" t="s">
        <v>23</v>
      </c>
    </row>
    <row r="1223" spans="1:25" x14ac:dyDescent="0.25">
      <c r="A1223" s="247" t="s">
        <v>311</v>
      </c>
      <c r="B1223" s="248">
        <v>45684</v>
      </c>
      <c r="C1223" s="244" t="s">
        <v>760</v>
      </c>
      <c r="D1223" s="244"/>
      <c r="E1223" s="253">
        <v>3719.89</v>
      </c>
      <c r="F1223" s="249">
        <v>0</v>
      </c>
      <c r="G1223" s="266">
        <f>Tabla3[[#This Row],[INGRESOS]]-Tabla3[[#This Row],[EGRESOS]]</f>
        <v>-3719.89</v>
      </c>
      <c r="H1223" s="132">
        <v>-595020.74</v>
      </c>
      <c r="I1223" s="119">
        <v>1140</v>
      </c>
      <c r="J1223" s="99">
        <f>Tabla3[[#This Row],[EGRESOS]]/Tabla3[[#This Row],[TC]]</f>
        <v>3.2630614035087717</v>
      </c>
      <c r="K1223" s="99">
        <f>Tabla3[[#This Row],[INGRESOS]]/Tabla3[[#This Row],[TC]]</f>
        <v>0</v>
      </c>
      <c r="L1223" s="7" t="s">
        <v>376</v>
      </c>
      <c r="M1223" s="7" t="s">
        <v>377</v>
      </c>
      <c r="N1223" s="7" t="s">
        <v>20</v>
      </c>
      <c r="O1223" s="7" t="s">
        <v>184</v>
      </c>
      <c r="P1223" s="7" t="s">
        <v>195</v>
      </c>
      <c r="Q1223" s="7" t="s">
        <v>196</v>
      </c>
      <c r="R1223" s="7" t="s">
        <v>394</v>
      </c>
      <c r="S1223" s="7" t="s">
        <v>383</v>
      </c>
      <c r="T1223" s="7"/>
      <c r="U1223" s="7" t="s">
        <v>384</v>
      </c>
      <c r="V1223" s="7"/>
      <c r="W1223" s="7" t="s">
        <v>380</v>
      </c>
      <c r="X1223" s="7" t="s">
        <v>99</v>
      </c>
      <c r="Y1223" s="7" t="s">
        <v>23</v>
      </c>
    </row>
    <row r="1224" spans="1:25" hidden="1" x14ac:dyDescent="0.25">
      <c r="A1224" s="247" t="s">
        <v>311</v>
      </c>
      <c r="B1224" s="248">
        <v>45685</v>
      </c>
      <c r="C1224" s="244" t="s">
        <v>800</v>
      </c>
      <c r="D1224" s="244"/>
      <c r="E1224" s="253">
        <v>15604.38</v>
      </c>
      <c r="F1224" s="249">
        <v>0</v>
      </c>
      <c r="G1224" s="266">
        <f>Tabla3[[#This Row],[INGRESOS]]-Tabla3[[#This Row],[EGRESOS]]</f>
        <v>-15604.38</v>
      </c>
      <c r="H1224" s="132">
        <v>-610625.12</v>
      </c>
      <c r="I1224" s="119">
        <v>1140</v>
      </c>
      <c r="J1224" s="99">
        <f>Tabla3[[#This Row],[EGRESOS]]/Tabla3[[#This Row],[TC]]</f>
        <v>13.688052631578946</v>
      </c>
      <c r="K1224" s="99">
        <f>Tabla3[[#This Row],[INGRESOS]]/Tabla3[[#This Row],[TC]]</f>
        <v>0</v>
      </c>
      <c r="L1224" s="7" t="s">
        <v>376</v>
      </c>
      <c r="M1224" s="7" t="s">
        <v>377</v>
      </c>
      <c r="N1224" s="7" t="s">
        <v>20</v>
      </c>
      <c r="O1224" s="7" t="s">
        <v>225</v>
      </c>
      <c r="P1224" s="7" t="s">
        <v>236</v>
      </c>
      <c r="Q1224" s="7" t="s">
        <v>227</v>
      </c>
      <c r="R1224" s="7" t="s">
        <v>574</v>
      </c>
      <c r="S1224" s="7" t="s">
        <v>575</v>
      </c>
      <c r="T1224" s="7" t="s">
        <v>838</v>
      </c>
      <c r="U1224" s="7" t="s">
        <v>412</v>
      </c>
      <c r="V1224" s="7"/>
      <c r="W1224" s="7" t="s">
        <v>380</v>
      </c>
      <c r="X1224" s="7" t="s">
        <v>29</v>
      </c>
      <c r="Y1224" s="7" t="s">
        <v>23</v>
      </c>
    </row>
    <row r="1225" spans="1:25" hidden="1" x14ac:dyDescent="0.25">
      <c r="A1225" s="247" t="s">
        <v>311</v>
      </c>
      <c r="B1225" s="248">
        <v>45685</v>
      </c>
      <c r="C1225" s="244" t="s">
        <v>839</v>
      </c>
      <c r="D1225" s="244"/>
      <c r="E1225" s="253">
        <v>143000</v>
      </c>
      <c r="F1225" s="249">
        <v>0</v>
      </c>
      <c r="G1225" s="266">
        <f>Tabla3[[#This Row],[INGRESOS]]-Tabla3[[#This Row],[EGRESOS]]</f>
        <v>-143000</v>
      </c>
      <c r="H1225" s="132">
        <v>-753625.12</v>
      </c>
      <c r="I1225" s="119">
        <v>1140</v>
      </c>
      <c r="J1225" s="99">
        <f>Tabla3[[#This Row],[EGRESOS]]/Tabla3[[#This Row],[TC]]</f>
        <v>125.43859649122807</v>
      </c>
      <c r="K1225" s="99">
        <f>Tabla3[[#This Row],[INGRESOS]]/Tabla3[[#This Row],[TC]]</f>
        <v>0</v>
      </c>
      <c r="L1225" s="7" t="s">
        <v>376</v>
      </c>
      <c r="M1225" s="7" t="s">
        <v>377</v>
      </c>
      <c r="N1225" s="7" t="s">
        <v>20</v>
      </c>
      <c r="O1225" s="7" t="s">
        <v>276</v>
      </c>
      <c r="P1225" s="7" t="s">
        <v>277</v>
      </c>
      <c r="Q1225" s="7" t="s">
        <v>278</v>
      </c>
      <c r="R1225" s="7" t="s">
        <v>278</v>
      </c>
      <c r="S1225" s="7" t="s">
        <v>435</v>
      </c>
      <c r="T1225" s="7"/>
      <c r="U1225" s="7" t="s">
        <v>384</v>
      </c>
      <c r="V1225" s="7"/>
      <c r="W1225" s="7" t="s">
        <v>380</v>
      </c>
      <c r="X1225" s="7" t="s">
        <v>99</v>
      </c>
      <c r="Y1225" s="7" t="s">
        <v>23</v>
      </c>
    </row>
    <row r="1226" spans="1:25" x14ac:dyDescent="0.25">
      <c r="A1226" s="247" t="s">
        <v>311</v>
      </c>
      <c r="B1226" s="248">
        <v>45685</v>
      </c>
      <c r="C1226" s="244" t="s">
        <v>760</v>
      </c>
      <c r="D1226" s="244"/>
      <c r="E1226" s="253">
        <v>951.63</v>
      </c>
      <c r="F1226" s="249">
        <v>0</v>
      </c>
      <c r="G1226" s="266">
        <f>Tabla3[[#This Row],[INGRESOS]]-Tabla3[[#This Row],[EGRESOS]]</f>
        <v>-951.63</v>
      </c>
      <c r="H1226" s="132">
        <v>-754576.75</v>
      </c>
      <c r="I1226" s="119">
        <v>1140</v>
      </c>
      <c r="J1226" s="99">
        <f>Tabla3[[#This Row],[EGRESOS]]/Tabla3[[#This Row],[TC]]</f>
        <v>0.83476315789473687</v>
      </c>
      <c r="K1226" s="99">
        <f>Tabla3[[#This Row],[INGRESOS]]/Tabla3[[#This Row],[TC]]</f>
        <v>0</v>
      </c>
      <c r="L1226" s="7" t="s">
        <v>376</v>
      </c>
      <c r="M1226" s="7" t="s">
        <v>377</v>
      </c>
      <c r="N1226" s="7" t="s">
        <v>20</v>
      </c>
      <c r="O1226" s="7" t="s">
        <v>184</v>
      </c>
      <c r="P1226" s="7" t="s">
        <v>195</v>
      </c>
      <c r="Q1226" s="7" t="s">
        <v>196</v>
      </c>
      <c r="R1226" s="7" t="s">
        <v>394</v>
      </c>
      <c r="S1226" s="7" t="s">
        <v>383</v>
      </c>
      <c r="T1226" s="7"/>
      <c r="U1226" s="7" t="s">
        <v>384</v>
      </c>
      <c r="V1226" s="7"/>
      <c r="W1226" s="7" t="s">
        <v>380</v>
      </c>
      <c r="X1226" s="7" t="s">
        <v>99</v>
      </c>
      <c r="Y1226" s="7" t="s">
        <v>23</v>
      </c>
    </row>
    <row r="1227" spans="1:25" hidden="1" x14ac:dyDescent="0.25">
      <c r="A1227" s="247" t="s">
        <v>311</v>
      </c>
      <c r="B1227" s="248">
        <v>45686</v>
      </c>
      <c r="C1227" s="244" t="s">
        <v>782</v>
      </c>
      <c r="D1227" s="244" t="s">
        <v>840</v>
      </c>
      <c r="E1227" s="253">
        <v>839778</v>
      </c>
      <c r="F1227" s="249">
        <v>0</v>
      </c>
      <c r="G1227" s="266">
        <f>Tabla3[[#This Row],[INGRESOS]]-Tabla3[[#This Row],[EGRESOS]]</f>
        <v>-839778</v>
      </c>
      <c r="H1227" s="132">
        <v>-1594354.75</v>
      </c>
      <c r="I1227" s="119">
        <v>1140</v>
      </c>
      <c r="J1227" s="99">
        <f>Tabla3[[#This Row],[EGRESOS]]/Tabla3[[#This Row],[TC]]</f>
        <v>736.64736842105265</v>
      </c>
      <c r="K1227" s="99">
        <f>Tabla3[[#This Row],[INGRESOS]]/Tabla3[[#This Row],[TC]]</f>
        <v>0</v>
      </c>
      <c r="L1227" s="7" t="s">
        <v>376</v>
      </c>
      <c r="M1227" s="7" t="s">
        <v>377</v>
      </c>
      <c r="N1227" s="7" t="s">
        <v>20</v>
      </c>
      <c r="O1227" s="7" t="s">
        <v>215</v>
      </c>
      <c r="P1227" s="7" t="s">
        <v>216</v>
      </c>
      <c r="Q1227" s="7" t="s">
        <v>220</v>
      </c>
      <c r="R1227" s="7" t="s">
        <v>329</v>
      </c>
      <c r="S1227" s="7" t="s">
        <v>634</v>
      </c>
      <c r="T1227" s="7" t="s">
        <v>792</v>
      </c>
      <c r="U1227" s="7" t="s">
        <v>398</v>
      </c>
      <c r="V1227" s="7"/>
      <c r="W1227" s="7" t="s">
        <v>399</v>
      </c>
      <c r="X1227" s="7" t="s">
        <v>400</v>
      </c>
      <c r="Y1227" s="7" t="s">
        <v>23</v>
      </c>
    </row>
    <row r="1228" spans="1:25" x14ac:dyDescent="0.25">
      <c r="A1228" s="247" t="s">
        <v>311</v>
      </c>
      <c r="B1228" s="248">
        <v>45686</v>
      </c>
      <c r="C1228" s="244" t="s">
        <v>760</v>
      </c>
      <c r="D1228" s="244"/>
      <c r="E1228" s="253">
        <v>5038.67</v>
      </c>
      <c r="F1228" s="249">
        <v>0</v>
      </c>
      <c r="G1228" s="266">
        <f>Tabla3[[#This Row],[INGRESOS]]-Tabla3[[#This Row],[EGRESOS]]</f>
        <v>-5038.67</v>
      </c>
      <c r="H1228" s="132">
        <v>-1599393.42</v>
      </c>
      <c r="I1228" s="119">
        <v>1140</v>
      </c>
      <c r="J1228" s="99">
        <f>Tabla3[[#This Row],[EGRESOS]]/Tabla3[[#This Row],[TC]]</f>
        <v>4.4198859649122806</v>
      </c>
      <c r="K1228" s="99">
        <f>Tabla3[[#This Row],[INGRESOS]]/Tabla3[[#This Row],[TC]]</f>
        <v>0</v>
      </c>
      <c r="L1228" s="7" t="s">
        <v>376</v>
      </c>
      <c r="M1228" s="7" t="s">
        <v>377</v>
      </c>
      <c r="N1228" s="7" t="s">
        <v>20</v>
      </c>
      <c r="O1228" s="7" t="s">
        <v>184</v>
      </c>
      <c r="P1228" s="7" t="s">
        <v>195</v>
      </c>
      <c r="Q1228" s="7" t="s">
        <v>196</v>
      </c>
      <c r="R1228" s="7" t="s">
        <v>394</v>
      </c>
      <c r="S1228" s="7" t="s">
        <v>383</v>
      </c>
      <c r="T1228" s="7"/>
      <c r="U1228" s="7" t="s">
        <v>384</v>
      </c>
      <c r="V1228" s="7"/>
      <c r="W1228" s="7" t="s">
        <v>380</v>
      </c>
      <c r="X1228" s="7" t="s">
        <v>99</v>
      </c>
      <c r="Y1228" s="7" t="s">
        <v>23</v>
      </c>
    </row>
    <row r="1229" spans="1:25" hidden="1" x14ac:dyDescent="0.25">
      <c r="A1229" s="247" t="s">
        <v>311</v>
      </c>
      <c r="B1229" s="248">
        <v>45687</v>
      </c>
      <c r="C1229" s="244" t="s">
        <v>795</v>
      </c>
      <c r="D1229" s="244"/>
      <c r="E1229" s="253">
        <v>45157.33</v>
      </c>
      <c r="F1229" s="249">
        <v>0</v>
      </c>
      <c r="G1229" s="266">
        <f>Tabla3[[#This Row],[INGRESOS]]-Tabla3[[#This Row],[EGRESOS]]</f>
        <v>-45157.33</v>
      </c>
      <c r="H1229" s="132">
        <v>-1644550.75</v>
      </c>
      <c r="I1229" s="119">
        <v>1140</v>
      </c>
      <c r="J1229" s="99">
        <f>Tabla3[[#This Row],[EGRESOS]]/Tabla3[[#This Row],[TC]]</f>
        <v>39.611692982456141</v>
      </c>
      <c r="K1229" s="99">
        <f>Tabla3[[#This Row],[INGRESOS]]/Tabla3[[#This Row],[TC]]</f>
        <v>0</v>
      </c>
      <c r="L1229" s="7" t="s">
        <v>376</v>
      </c>
      <c r="M1229" s="7" t="s">
        <v>377</v>
      </c>
      <c r="N1229" s="7" t="s">
        <v>20</v>
      </c>
      <c r="O1229" s="7" t="s">
        <v>244</v>
      </c>
      <c r="P1229" s="7" t="s">
        <v>259</v>
      </c>
      <c r="Q1229" s="7" t="s">
        <v>260</v>
      </c>
      <c r="R1229" s="7" t="s">
        <v>796</v>
      </c>
      <c r="S1229" s="7"/>
      <c r="T1229" s="7"/>
      <c r="U1229" s="7" t="s">
        <v>379</v>
      </c>
      <c r="V1229" s="7"/>
      <c r="W1229" s="7" t="s">
        <v>380</v>
      </c>
      <c r="X1229" s="7"/>
      <c r="Y1229" s="7"/>
    </row>
    <row r="1230" spans="1:25" hidden="1" x14ac:dyDescent="0.25">
      <c r="A1230" s="247" t="s">
        <v>312</v>
      </c>
      <c r="B1230" s="248">
        <v>45691</v>
      </c>
      <c r="C1230" s="244" t="s">
        <v>762</v>
      </c>
      <c r="D1230" s="244"/>
      <c r="E1230" s="253">
        <v>16628.12</v>
      </c>
      <c r="F1230" s="249">
        <v>0</v>
      </c>
      <c r="G1230" s="266">
        <f>Tabla3[[#This Row],[INGRESOS]]-Tabla3[[#This Row],[EGRESOS]]</f>
        <v>-16628.12</v>
      </c>
      <c r="H1230" s="132">
        <v>-1661178.87</v>
      </c>
      <c r="I1230" s="119">
        <v>1140</v>
      </c>
      <c r="J1230" s="99">
        <f>Tabla3[[#This Row],[EGRESOS]]/Tabla3[[#This Row],[TC]]</f>
        <v>14.586070175438596</v>
      </c>
      <c r="K1230" s="99">
        <f>Tabla3[[#This Row],[INGRESOS]]/Tabla3[[#This Row],[TC]]</f>
        <v>0</v>
      </c>
      <c r="L1230" s="7" t="s">
        <v>376</v>
      </c>
      <c r="M1230" s="7" t="s">
        <v>377</v>
      </c>
      <c r="N1230" s="7" t="s">
        <v>20</v>
      </c>
      <c r="O1230" s="7" t="s">
        <v>184</v>
      </c>
      <c r="P1230" s="7" t="s">
        <v>195</v>
      </c>
      <c r="Q1230" s="7" t="s">
        <v>196</v>
      </c>
      <c r="R1230" s="7" t="s">
        <v>382</v>
      </c>
      <c r="S1230" s="7" t="s">
        <v>383</v>
      </c>
      <c r="T1230" s="7"/>
      <c r="U1230" s="7" t="s">
        <v>384</v>
      </c>
      <c r="V1230" s="7"/>
      <c r="W1230" s="7" t="s">
        <v>380</v>
      </c>
      <c r="X1230" s="7" t="s">
        <v>99</v>
      </c>
      <c r="Y1230" s="7" t="s">
        <v>23</v>
      </c>
    </row>
    <row r="1231" spans="1:25" hidden="1" x14ac:dyDescent="0.25">
      <c r="A1231" s="247" t="s">
        <v>312</v>
      </c>
      <c r="B1231" s="248">
        <v>45691</v>
      </c>
      <c r="C1231" s="244" t="s">
        <v>763</v>
      </c>
      <c r="D1231" s="244"/>
      <c r="E1231" s="253">
        <v>2375.4499999999998</v>
      </c>
      <c r="F1231" s="249">
        <v>0</v>
      </c>
      <c r="G1231" s="266">
        <f>Tabla3[[#This Row],[INGRESOS]]-Tabla3[[#This Row],[EGRESOS]]</f>
        <v>-2375.4499999999998</v>
      </c>
      <c r="H1231" s="132">
        <v>-1663554.32</v>
      </c>
      <c r="I1231" s="119">
        <v>1140</v>
      </c>
      <c r="J1231" s="99">
        <f>Tabla3[[#This Row],[EGRESOS]]/Tabla3[[#This Row],[TC]]</f>
        <v>2.0837280701754386</v>
      </c>
      <c r="K1231" s="99">
        <f>Tabla3[[#This Row],[INGRESOS]]/Tabla3[[#This Row],[TC]]</f>
        <v>0</v>
      </c>
      <c r="L1231" s="7" t="s">
        <v>376</v>
      </c>
      <c r="M1231" s="7" t="s">
        <v>377</v>
      </c>
      <c r="N1231" s="7" t="s">
        <v>20</v>
      </c>
      <c r="O1231" s="7" t="s">
        <v>184</v>
      </c>
      <c r="P1231" s="7" t="s">
        <v>195</v>
      </c>
      <c r="Q1231" s="7" t="s">
        <v>196</v>
      </c>
      <c r="R1231" s="7" t="s">
        <v>417</v>
      </c>
      <c r="S1231" s="7" t="s">
        <v>383</v>
      </c>
      <c r="T1231" s="7"/>
      <c r="U1231" s="7" t="s">
        <v>384</v>
      </c>
      <c r="V1231" s="7"/>
      <c r="W1231" s="7" t="s">
        <v>380</v>
      </c>
      <c r="X1231" s="7" t="s">
        <v>99</v>
      </c>
      <c r="Y1231" s="7" t="s">
        <v>23</v>
      </c>
    </row>
    <row r="1232" spans="1:25" hidden="1" x14ac:dyDescent="0.25">
      <c r="A1232" s="247" t="s">
        <v>312</v>
      </c>
      <c r="B1232" s="248">
        <v>45691</v>
      </c>
      <c r="C1232" s="244" t="s">
        <v>780</v>
      </c>
      <c r="D1232" s="244"/>
      <c r="E1232" s="253">
        <v>158363.03</v>
      </c>
      <c r="F1232" s="249">
        <v>0</v>
      </c>
      <c r="G1232" s="266">
        <f>Tabla3[[#This Row],[INGRESOS]]-Tabla3[[#This Row],[EGRESOS]]</f>
        <v>-158363.03</v>
      </c>
      <c r="H1232" s="132">
        <v>-1821917.35</v>
      </c>
      <c r="I1232" s="119">
        <v>1140</v>
      </c>
      <c r="J1232" s="99">
        <f>Tabla3[[#This Row],[EGRESOS]]/Tabla3[[#This Row],[TC]]</f>
        <v>138.91493859649123</v>
      </c>
      <c r="K1232" s="99">
        <f>Tabla3[[#This Row],[INGRESOS]]/Tabla3[[#This Row],[TC]]</f>
        <v>0</v>
      </c>
      <c r="L1232" s="7" t="s">
        <v>376</v>
      </c>
      <c r="M1232" s="7" t="s">
        <v>377</v>
      </c>
      <c r="N1232" s="7" t="s">
        <v>20</v>
      </c>
      <c r="O1232" s="7" t="s">
        <v>184</v>
      </c>
      <c r="P1232" s="7" t="s">
        <v>197</v>
      </c>
      <c r="Q1232" s="7" t="s">
        <v>198</v>
      </c>
      <c r="R1232" s="7" t="s">
        <v>419</v>
      </c>
      <c r="S1232" s="7"/>
      <c r="T1232" s="7"/>
      <c r="U1232" s="7" t="s">
        <v>384</v>
      </c>
      <c r="V1232" s="7"/>
      <c r="W1232" s="7" t="s">
        <v>380</v>
      </c>
      <c r="X1232" s="7" t="s">
        <v>99</v>
      </c>
      <c r="Y1232" s="7" t="s">
        <v>23</v>
      </c>
    </row>
    <row r="1233" spans="1:25" hidden="1" x14ac:dyDescent="0.25">
      <c r="A1233" s="247" t="s">
        <v>312</v>
      </c>
      <c r="B1233" s="248">
        <v>45691</v>
      </c>
      <c r="C1233" s="244" t="s">
        <v>782</v>
      </c>
      <c r="D1233" s="244" t="s">
        <v>841</v>
      </c>
      <c r="E1233" s="253">
        <v>572221</v>
      </c>
      <c r="F1233" s="249">
        <v>0</v>
      </c>
      <c r="G1233" s="266">
        <f>Tabla3[[#This Row],[INGRESOS]]-Tabla3[[#This Row],[EGRESOS]]</f>
        <v>-572221</v>
      </c>
      <c r="H1233" s="132">
        <v>-2394138.35</v>
      </c>
      <c r="I1233" s="119">
        <v>1140</v>
      </c>
      <c r="J1233" s="99">
        <f>Tabla3[[#This Row],[EGRESOS]]/Tabla3[[#This Row],[TC]]</f>
        <v>501.9482456140351</v>
      </c>
      <c r="K1233" s="99">
        <f>Tabla3[[#This Row],[INGRESOS]]/Tabla3[[#This Row],[TC]]</f>
        <v>0</v>
      </c>
      <c r="L1233" s="7" t="s">
        <v>376</v>
      </c>
      <c r="M1233" s="7" t="s">
        <v>377</v>
      </c>
      <c r="N1233" s="7" t="s">
        <v>20</v>
      </c>
      <c r="O1233" s="7" t="s">
        <v>225</v>
      </c>
      <c r="P1233" s="7" t="s">
        <v>226</v>
      </c>
      <c r="Q1233" s="7" t="s">
        <v>230</v>
      </c>
      <c r="R1233" s="7"/>
      <c r="S1233" s="7" t="s">
        <v>640</v>
      </c>
      <c r="T1233" s="7" t="s">
        <v>842</v>
      </c>
      <c r="U1233" s="7" t="s">
        <v>412</v>
      </c>
      <c r="V1233" s="7"/>
      <c r="W1233" s="7" t="s">
        <v>380</v>
      </c>
      <c r="X1233" s="7" t="s">
        <v>29</v>
      </c>
      <c r="Y1233" s="7" t="s">
        <v>23</v>
      </c>
    </row>
    <row r="1234" spans="1:25" hidden="1" x14ac:dyDescent="0.25">
      <c r="A1234" s="247" t="s">
        <v>312</v>
      </c>
      <c r="B1234" s="248">
        <v>45691</v>
      </c>
      <c r="C1234" s="244" t="s">
        <v>817</v>
      </c>
      <c r="D1234" s="244" t="s">
        <v>843</v>
      </c>
      <c r="E1234" s="253">
        <v>1352462</v>
      </c>
      <c r="F1234" s="249">
        <v>0</v>
      </c>
      <c r="G1234" s="266">
        <f>Tabla3[[#This Row],[INGRESOS]]-Tabla3[[#This Row],[EGRESOS]]</f>
        <v>-1352462</v>
      </c>
      <c r="H1234" s="132">
        <v>-3746600.35</v>
      </c>
      <c r="I1234" s="119">
        <v>1140</v>
      </c>
      <c r="J1234" s="99">
        <f>Tabla3[[#This Row],[EGRESOS]]/Tabla3[[#This Row],[TC]]</f>
        <v>1186.3701754385966</v>
      </c>
      <c r="K1234" s="99">
        <f>Tabla3[[#This Row],[INGRESOS]]/Tabla3[[#This Row],[TC]]</f>
        <v>0</v>
      </c>
      <c r="L1234" s="7" t="s">
        <v>376</v>
      </c>
      <c r="M1234" s="7" t="s">
        <v>377</v>
      </c>
      <c r="N1234" s="7" t="s">
        <v>20</v>
      </c>
      <c r="O1234" s="7" t="s">
        <v>286</v>
      </c>
      <c r="P1234" s="7" t="s">
        <v>287</v>
      </c>
      <c r="Q1234" s="7" t="s">
        <v>288</v>
      </c>
      <c r="R1234" s="7" t="s">
        <v>143</v>
      </c>
      <c r="S1234" s="7" t="s">
        <v>637</v>
      </c>
      <c r="T1234" s="7" t="s">
        <v>844</v>
      </c>
      <c r="U1234" s="7" t="s">
        <v>412</v>
      </c>
      <c r="V1234" s="7"/>
      <c r="W1234" s="7" t="s">
        <v>380</v>
      </c>
      <c r="X1234" s="7" t="s">
        <v>29</v>
      </c>
      <c r="Y1234" s="7" t="s">
        <v>23</v>
      </c>
    </row>
    <row r="1235" spans="1:25" hidden="1" x14ac:dyDescent="0.25">
      <c r="A1235" s="247" t="s">
        <v>312</v>
      </c>
      <c r="B1235" s="248">
        <v>45691</v>
      </c>
      <c r="C1235" s="244" t="s">
        <v>845</v>
      </c>
      <c r="D1235" s="244"/>
      <c r="E1235" s="253">
        <v>4230.3999999999996</v>
      </c>
      <c r="F1235" s="249">
        <v>0</v>
      </c>
      <c r="G1235" s="266">
        <f>Tabla3[[#This Row],[INGRESOS]]-Tabla3[[#This Row],[EGRESOS]]</f>
        <v>-4230.3999999999996</v>
      </c>
      <c r="H1235" s="132">
        <v>-3750830.75</v>
      </c>
      <c r="I1235" s="119">
        <v>1140</v>
      </c>
      <c r="J1235" s="99">
        <f>Tabla3[[#This Row],[EGRESOS]]/Tabla3[[#This Row],[TC]]</f>
        <v>3.7108771929824558</v>
      </c>
      <c r="K1235" s="99">
        <f>Tabla3[[#This Row],[INGRESOS]]/Tabla3[[#This Row],[TC]]</f>
        <v>0</v>
      </c>
      <c r="L1235" s="7" t="s">
        <v>376</v>
      </c>
      <c r="M1235" s="7" t="s">
        <v>377</v>
      </c>
      <c r="N1235" s="7" t="s">
        <v>20</v>
      </c>
      <c r="O1235" s="7" t="s">
        <v>184</v>
      </c>
      <c r="P1235" s="7" t="s">
        <v>195</v>
      </c>
      <c r="Q1235" s="7" t="s">
        <v>196</v>
      </c>
      <c r="R1235" s="7" t="s">
        <v>423</v>
      </c>
      <c r="S1235" s="7" t="s">
        <v>69</v>
      </c>
      <c r="T1235" s="7"/>
      <c r="U1235" s="7" t="s">
        <v>384</v>
      </c>
      <c r="V1235" s="7"/>
      <c r="W1235" s="7" t="s">
        <v>380</v>
      </c>
      <c r="X1235" s="7" t="s">
        <v>99</v>
      </c>
      <c r="Y1235" s="7" t="s">
        <v>23</v>
      </c>
    </row>
    <row r="1236" spans="1:25" hidden="1" x14ac:dyDescent="0.25">
      <c r="A1236" s="247" t="s">
        <v>312</v>
      </c>
      <c r="B1236" s="248">
        <v>45691</v>
      </c>
      <c r="C1236" s="244" t="s">
        <v>760</v>
      </c>
      <c r="D1236" s="244"/>
      <c r="E1236" s="253">
        <v>12637.68</v>
      </c>
      <c r="F1236" s="249">
        <v>0</v>
      </c>
      <c r="G1236" s="266">
        <f>Tabla3[[#This Row],[INGRESOS]]-Tabla3[[#This Row],[EGRESOS]]</f>
        <v>-12637.68</v>
      </c>
      <c r="H1236" s="132">
        <v>-3763468.43</v>
      </c>
      <c r="I1236" s="119">
        <v>1140</v>
      </c>
      <c r="J1236" s="99">
        <f>Tabla3[[#This Row],[EGRESOS]]/Tabla3[[#This Row],[TC]]</f>
        <v>11.085684210526317</v>
      </c>
      <c r="K1236" s="99">
        <f>Tabla3[[#This Row],[INGRESOS]]/Tabla3[[#This Row],[TC]]</f>
        <v>0</v>
      </c>
      <c r="L1236" s="7" t="s">
        <v>376</v>
      </c>
      <c r="M1236" s="7" t="s">
        <v>377</v>
      </c>
      <c r="N1236" s="7" t="s">
        <v>20</v>
      </c>
      <c r="O1236" s="7" t="s">
        <v>184</v>
      </c>
      <c r="P1236" s="7" t="s">
        <v>195</v>
      </c>
      <c r="Q1236" s="7" t="s">
        <v>196</v>
      </c>
      <c r="R1236" s="7" t="s">
        <v>394</v>
      </c>
      <c r="S1236" s="7" t="s">
        <v>383</v>
      </c>
      <c r="T1236" s="7"/>
      <c r="U1236" s="7" t="s">
        <v>384</v>
      </c>
      <c r="V1236" s="7"/>
      <c r="W1236" s="7" t="s">
        <v>380</v>
      </c>
      <c r="X1236" s="7" t="s">
        <v>99</v>
      </c>
      <c r="Y1236" s="7" t="s">
        <v>23</v>
      </c>
    </row>
    <row r="1237" spans="1:25" hidden="1" x14ac:dyDescent="0.25">
      <c r="A1237" s="247" t="s">
        <v>312</v>
      </c>
      <c r="B1237" s="248">
        <v>45692</v>
      </c>
      <c r="C1237" s="244" t="s">
        <v>782</v>
      </c>
      <c r="D1237" s="244" t="s">
        <v>846</v>
      </c>
      <c r="E1237" s="253">
        <v>102000</v>
      </c>
      <c r="F1237" s="249">
        <v>0</v>
      </c>
      <c r="G1237" s="266">
        <f>Tabla3[[#This Row],[INGRESOS]]-Tabla3[[#This Row],[EGRESOS]]</f>
        <v>-102000</v>
      </c>
      <c r="H1237" s="132">
        <v>-3865468.43</v>
      </c>
      <c r="I1237" s="119">
        <v>1140</v>
      </c>
      <c r="J1237" s="99">
        <f>Tabla3[[#This Row],[EGRESOS]]/Tabla3[[#This Row],[TC]]</f>
        <v>89.473684210526315</v>
      </c>
      <c r="K1237" s="99">
        <f>Tabla3[[#This Row],[INGRESOS]]/Tabla3[[#This Row],[TC]]</f>
        <v>0</v>
      </c>
      <c r="L1237" s="7" t="s">
        <v>376</v>
      </c>
      <c r="M1237" s="7" t="s">
        <v>377</v>
      </c>
      <c r="N1237" s="7" t="s">
        <v>20</v>
      </c>
      <c r="O1237" s="7" t="s">
        <v>225</v>
      </c>
      <c r="P1237" s="7" t="s">
        <v>233</v>
      </c>
      <c r="Q1237" s="7" t="s">
        <v>234</v>
      </c>
      <c r="R1237" s="7" t="s">
        <v>798</v>
      </c>
      <c r="S1237" s="7" t="s">
        <v>799</v>
      </c>
      <c r="T1237" s="7"/>
      <c r="U1237" s="7" t="s">
        <v>429</v>
      </c>
      <c r="V1237" s="7"/>
      <c r="W1237" s="7" t="s">
        <v>399</v>
      </c>
      <c r="X1237" s="7" t="s">
        <v>50</v>
      </c>
      <c r="Y1237" s="7" t="s">
        <v>23</v>
      </c>
    </row>
    <row r="1238" spans="1:25" hidden="1" x14ac:dyDescent="0.25">
      <c r="A1238" s="247" t="s">
        <v>312</v>
      </c>
      <c r="B1238" s="248">
        <v>45692</v>
      </c>
      <c r="C1238" s="244" t="s">
        <v>760</v>
      </c>
      <c r="D1238" s="244"/>
      <c r="E1238" s="253">
        <v>612</v>
      </c>
      <c r="F1238" s="249">
        <v>0</v>
      </c>
      <c r="G1238" s="266">
        <f>Tabla3[[#This Row],[INGRESOS]]-Tabla3[[#This Row],[EGRESOS]]</f>
        <v>-612</v>
      </c>
      <c r="H1238" s="132">
        <v>-3866080.43</v>
      </c>
      <c r="I1238" s="119">
        <v>1140</v>
      </c>
      <c r="J1238" s="99">
        <f>Tabla3[[#This Row],[EGRESOS]]/Tabla3[[#This Row],[TC]]</f>
        <v>0.5368421052631579</v>
      </c>
      <c r="K1238" s="99">
        <f>Tabla3[[#This Row],[INGRESOS]]/Tabla3[[#This Row],[TC]]</f>
        <v>0</v>
      </c>
      <c r="L1238" s="7" t="s">
        <v>376</v>
      </c>
      <c r="M1238" s="7" t="s">
        <v>377</v>
      </c>
      <c r="N1238" s="7" t="s">
        <v>20</v>
      </c>
      <c r="O1238" s="7" t="s">
        <v>184</v>
      </c>
      <c r="P1238" s="7" t="s">
        <v>195</v>
      </c>
      <c r="Q1238" s="7" t="s">
        <v>196</v>
      </c>
      <c r="R1238" s="7" t="s">
        <v>394</v>
      </c>
      <c r="S1238" s="7" t="s">
        <v>383</v>
      </c>
      <c r="T1238" s="7"/>
      <c r="U1238" s="7" t="s">
        <v>384</v>
      </c>
      <c r="V1238" s="7"/>
      <c r="W1238" s="7" t="s">
        <v>380</v>
      </c>
      <c r="X1238" s="7" t="s">
        <v>99</v>
      </c>
      <c r="Y1238" s="7" t="s">
        <v>23</v>
      </c>
    </row>
    <row r="1239" spans="1:25" hidden="1" x14ac:dyDescent="0.25">
      <c r="A1239" s="247" t="s">
        <v>312</v>
      </c>
      <c r="B1239" s="248">
        <v>45693</v>
      </c>
      <c r="C1239" s="244" t="s">
        <v>817</v>
      </c>
      <c r="D1239" s="244" t="s">
        <v>847</v>
      </c>
      <c r="E1239" s="253">
        <v>124953.45</v>
      </c>
      <c r="F1239" s="249">
        <v>0</v>
      </c>
      <c r="G1239" s="266">
        <f>Tabla3[[#This Row],[INGRESOS]]-Tabla3[[#This Row],[EGRESOS]]</f>
        <v>-124953.45</v>
      </c>
      <c r="H1239" s="132">
        <v>-3991033.88</v>
      </c>
      <c r="I1239" s="119">
        <v>1140</v>
      </c>
      <c r="J1239" s="99">
        <f>Tabla3[[#This Row],[EGRESOS]]/Tabla3[[#This Row],[TC]]</f>
        <v>109.60828947368421</v>
      </c>
      <c r="K1239" s="99">
        <f>Tabla3[[#This Row],[INGRESOS]]/Tabla3[[#This Row],[TC]]</f>
        <v>0</v>
      </c>
      <c r="L1239" s="7" t="s">
        <v>376</v>
      </c>
      <c r="M1239" s="7" t="s">
        <v>377</v>
      </c>
      <c r="N1239" s="7" t="s">
        <v>20</v>
      </c>
      <c r="O1239" s="7" t="s">
        <v>225</v>
      </c>
      <c r="P1239" s="7" t="s">
        <v>236</v>
      </c>
      <c r="Q1239" s="7" t="s">
        <v>227</v>
      </c>
      <c r="R1239" s="7"/>
      <c r="S1239" s="7" t="s">
        <v>848</v>
      </c>
      <c r="T1239" s="7" t="s">
        <v>849</v>
      </c>
      <c r="U1239" s="7" t="s">
        <v>412</v>
      </c>
      <c r="V1239" s="7"/>
      <c r="W1239" s="7" t="s">
        <v>380</v>
      </c>
      <c r="X1239" s="7" t="s">
        <v>29</v>
      </c>
      <c r="Y1239" s="7" t="s">
        <v>23</v>
      </c>
    </row>
    <row r="1240" spans="1:25" hidden="1" x14ac:dyDescent="0.25">
      <c r="A1240" s="247" t="s">
        <v>312</v>
      </c>
      <c r="B1240" s="248">
        <v>45693</v>
      </c>
      <c r="C1240" s="244" t="s">
        <v>800</v>
      </c>
      <c r="D1240" s="244"/>
      <c r="E1240" s="253">
        <v>26729</v>
      </c>
      <c r="F1240" s="249">
        <v>0</v>
      </c>
      <c r="G1240" s="266">
        <f>Tabla3[[#This Row],[INGRESOS]]-Tabla3[[#This Row],[EGRESOS]]</f>
        <v>-26729</v>
      </c>
      <c r="H1240" s="132">
        <v>-4017762.88</v>
      </c>
      <c r="I1240" s="119">
        <v>1140</v>
      </c>
      <c r="J1240" s="99">
        <f>Tabla3[[#This Row],[EGRESOS]]/Tabla3[[#This Row],[TC]]</f>
        <v>23.446491228070176</v>
      </c>
      <c r="K1240" s="99">
        <f>Tabla3[[#This Row],[INGRESOS]]/Tabla3[[#This Row],[TC]]</f>
        <v>0</v>
      </c>
      <c r="L1240" s="7" t="s">
        <v>376</v>
      </c>
      <c r="M1240" s="7" t="s">
        <v>377</v>
      </c>
      <c r="N1240" s="7" t="s">
        <v>20</v>
      </c>
      <c r="O1240" s="7" t="s">
        <v>225</v>
      </c>
      <c r="P1240" s="7" t="s">
        <v>236</v>
      </c>
      <c r="Q1240" s="7" t="s">
        <v>214</v>
      </c>
      <c r="R1240" s="7" t="s">
        <v>582</v>
      </c>
      <c r="S1240" s="7" t="s">
        <v>583</v>
      </c>
      <c r="T1240" s="7"/>
      <c r="U1240" s="7" t="s">
        <v>412</v>
      </c>
      <c r="V1240" s="7"/>
      <c r="W1240" s="7" t="s">
        <v>380</v>
      </c>
      <c r="X1240" s="7" t="s">
        <v>99</v>
      </c>
      <c r="Y1240" s="7" t="s">
        <v>23</v>
      </c>
    </row>
    <row r="1241" spans="1:25" hidden="1" x14ac:dyDescent="0.25">
      <c r="A1241" s="247" t="s">
        <v>312</v>
      </c>
      <c r="B1241" s="248">
        <v>45693</v>
      </c>
      <c r="C1241" s="244" t="s">
        <v>760</v>
      </c>
      <c r="D1241" s="244"/>
      <c r="E1241" s="253">
        <v>910.09</v>
      </c>
      <c r="F1241" s="249">
        <v>0</v>
      </c>
      <c r="G1241" s="266">
        <f>Tabla3[[#This Row],[INGRESOS]]-Tabla3[[#This Row],[EGRESOS]]</f>
        <v>-910.09</v>
      </c>
      <c r="H1241" s="132">
        <v>-4018672.97</v>
      </c>
      <c r="I1241" s="119">
        <v>1140</v>
      </c>
      <c r="J1241" s="99">
        <f>Tabla3[[#This Row],[EGRESOS]]/Tabla3[[#This Row],[TC]]</f>
        <v>0.79832456140350883</v>
      </c>
      <c r="K1241" s="99">
        <f>Tabla3[[#This Row],[INGRESOS]]/Tabla3[[#This Row],[TC]]</f>
        <v>0</v>
      </c>
      <c r="L1241" s="7" t="s">
        <v>376</v>
      </c>
      <c r="M1241" s="7" t="s">
        <v>377</v>
      </c>
      <c r="N1241" s="7" t="s">
        <v>20</v>
      </c>
      <c r="O1241" s="7" t="s">
        <v>184</v>
      </c>
      <c r="P1241" s="7" t="s">
        <v>195</v>
      </c>
      <c r="Q1241" s="7" t="s">
        <v>196</v>
      </c>
      <c r="R1241" s="7" t="s">
        <v>394</v>
      </c>
      <c r="S1241" s="7" t="s">
        <v>383</v>
      </c>
      <c r="T1241" s="7"/>
      <c r="U1241" s="7" t="s">
        <v>384</v>
      </c>
      <c r="V1241" s="7"/>
      <c r="W1241" s="7" t="s">
        <v>380</v>
      </c>
      <c r="X1241" s="7" t="s">
        <v>99</v>
      </c>
      <c r="Y1241" s="7" t="s">
        <v>23</v>
      </c>
    </row>
    <row r="1242" spans="1:25" hidden="1" x14ac:dyDescent="0.25">
      <c r="A1242" s="247" t="s">
        <v>312</v>
      </c>
      <c r="B1242" s="248">
        <v>45695</v>
      </c>
      <c r="C1242" s="244" t="s">
        <v>795</v>
      </c>
      <c r="D1242" s="244"/>
      <c r="E1242" s="253">
        <v>973871.04</v>
      </c>
      <c r="F1242" s="249">
        <v>0</v>
      </c>
      <c r="G1242" s="266">
        <f>Tabla3[[#This Row],[INGRESOS]]-Tabla3[[#This Row],[EGRESOS]]</f>
        <v>-973871.04</v>
      </c>
      <c r="H1242" s="132">
        <v>-4992544.01</v>
      </c>
      <c r="I1242" s="119">
        <v>1140</v>
      </c>
      <c r="J1242" s="99">
        <f>Tabla3[[#This Row],[EGRESOS]]/Tabla3[[#This Row],[TC]]</f>
        <v>854.27284210526318</v>
      </c>
      <c r="K1242" s="99">
        <f>Tabla3[[#This Row],[INGRESOS]]/Tabla3[[#This Row],[TC]]</f>
        <v>0</v>
      </c>
      <c r="L1242" s="7" t="s">
        <v>376</v>
      </c>
      <c r="M1242" s="7" t="s">
        <v>377</v>
      </c>
      <c r="N1242" s="7" t="s">
        <v>20</v>
      </c>
      <c r="O1242" s="7" t="s">
        <v>244</v>
      </c>
      <c r="P1242" s="7" t="s">
        <v>259</v>
      </c>
      <c r="Q1242" s="7" t="s">
        <v>260</v>
      </c>
      <c r="R1242" s="7" t="s">
        <v>796</v>
      </c>
      <c r="S1242" s="7"/>
      <c r="T1242" s="7"/>
      <c r="U1242" s="7" t="s">
        <v>379</v>
      </c>
      <c r="V1242" s="7"/>
      <c r="W1242" s="7" t="s">
        <v>380</v>
      </c>
      <c r="X1242" s="7"/>
      <c r="Y1242" s="7"/>
    </row>
    <row r="1243" spans="1:25" hidden="1" x14ac:dyDescent="0.25">
      <c r="A1243" s="247" t="s">
        <v>312</v>
      </c>
      <c r="B1243" s="248">
        <v>45698</v>
      </c>
      <c r="C1243" s="244" t="s">
        <v>793</v>
      </c>
      <c r="D1243" s="244"/>
      <c r="E1243" s="253">
        <v>0</v>
      </c>
      <c r="F1243" s="249">
        <v>3000000</v>
      </c>
      <c r="G1243" s="266">
        <f>Tabla3[[#This Row],[INGRESOS]]-Tabla3[[#This Row],[EGRESOS]]</f>
        <v>3000000</v>
      </c>
      <c r="H1243" s="132">
        <v>-1992544.01</v>
      </c>
      <c r="I1243" s="119">
        <v>1140</v>
      </c>
      <c r="J1243" s="99">
        <f>Tabla3[[#This Row],[EGRESOS]]/Tabla3[[#This Row],[TC]]</f>
        <v>0</v>
      </c>
      <c r="K1243" s="99">
        <f>Tabla3[[#This Row],[INGRESOS]]/Tabla3[[#This Row],[TC]]</f>
        <v>2631.5789473684213</v>
      </c>
      <c r="L1243" s="7" t="s">
        <v>376</v>
      </c>
      <c r="M1243" s="7" t="s">
        <v>377</v>
      </c>
      <c r="N1243" s="7" t="s">
        <v>20</v>
      </c>
      <c r="O1243" s="7" t="s">
        <v>244</v>
      </c>
      <c r="P1243" s="7" t="s">
        <v>259</v>
      </c>
      <c r="Q1243" s="7" t="s">
        <v>260</v>
      </c>
      <c r="R1243" s="7" t="s">
        <v>554</v>
      </c>
      <c r="S1243" s="7"/>
      <c r="T1243" s="7"/>
      <c r="U1243" s="7" t="s">
        <v>379</v>
      </c>
      <c r="V1243" s="7"/>
      <c r="W1243" s="7" t="s">
        <v>380</v>
      </c>
      <c r="X1243" s="7"/>
      <c r="Y1243" s="7"/>
    </row>
    <row r="1244" spans="1:25" hidden="1" x14ac:dyDescent="0.25">
      <c r="A1244" s="273" t="s">
        <v>314</v>
      </c>
      <c r="B1244" s="251">
        <v>45776</v>
      </c>
      <c r="C1244" s="252" t="s">
        <v>888</v>
      </c>
      <c r="D1244" s="252"/>
      <c r="E1244" s="253">
        <v>0</v>
      </c>
      <c r="F1244" s="253">
        <v>850000</v>
      </c>
      <c r="G1244" s="274">
        <f>Tabla3[[#This Row],[INGRESOS]]-Tabla3[[#This Row],[EGRESOS]]</f>
        <v>850000</v>
      </c>
      <c r="H1244" s="137">
        <v>-20981041.98</v>
      </c>
      <c r="I1244" s="135">
        <v>1170</v>
      </c>
      <c r="J1244" s="136">
        <f>Tabla3[[#This Row],[EGRESOS]]/Tabla3[[#This Row],[TC]]</f>
        <v>0</v>
      </c>
      <c r="K1244" s="136">
        <f>Tabla3[[#This Row],[INGRESOS]]/Tabla3[[#This Row],[TC]]</f>
        <v>726.49572649572644</v>
      </c>
      <c r="L1244" s="8" t="s">
        <v>376</v>
      </c>
      <c r="M1244" s="8" t="s">
        <v>377</v>
      </c>
      <c r="N1244" s="8" t="s">
        <v>20</v>
      </c>
      <c r="O1244" s="8" t="s">
        <v>184</v>
      </c>
      <c r="P1244" s="8" t="s">
        <v>203</v>
      </c>
      <c r="Q1244" s="8" t="s">
        <v>204</v>
      </c>
      <c r="R1244" s="8"/>
      <c r="S1244" s="8" t="s">
        <v>386</v>
      </c>
      <c r="T1244" s="8"/>
      <c r="U1244" s="8" t="s">
        <v>439</v>
      </c>
      <c r="V1244" s="8" t="s">
        <v>386</v>
      </c>
      <c r="W1244" s="8" t="s">
        <v>380</v>
      </c>
      <c r="X1244" s="8" t="s">
        <v>23</v>
      </c>
      <c r="Y1244" s="8" t="s">
        <v>98</v>
      </c>
    </row>
    <row r="1245" spans="1:25" hidden="1" x14ac:dyDescent="0.25">
      <c r="A1245" s="247" t="s">
        <v>312</v>
      </c>
      <c r="B1245" s="248">
        <v>45698</v>
      </c>
      <c r="C1245" s="244" t="s">
        <v>828</v>
      </c>
      <c r="D1245" s="244"/>
      <c r="E1245" s="253">
        <v>121</v>
      </c>
      <c r="F1245" s="249">
        <v>0</v>
      </c>
      <c r="G1245" s="266">
        <f>Tabla3[[#This Row],[INGRESOS]]-Tabla3[[#This Row],[EGRESOS]]</f>
        <v>-121</v>
      </c>
      <c r="H1245" s="132">
        <v>-2992665.01</v>
      </c>
      <c r="I1245" s="119">
        <v>1140</v>
      </c>
      <c r="J1245" s="99">
        <f>Tabla3[[#This Row],[EGRESOS]]/Tabla3[[#This Row],[TC]]</f>
        <v>0.10614035087719298</v>
      </c>
      <c r="K1245" s="99">
        <f>Tabla3[[#This Row],[INGRESOS]]/Tabla3[[#This Row],[TC]]</f>
        <v>0</v>
      </c>
      <c r="L1245" s="7" t="s">
        <v>376</v>
      </c>
      <c r="M1245" s="7" t="s">
        <v>377</v>
      </c>
      <c r="N1245" s="7" t="s">
        <v>20</v>
      </c>
      <c r="O1245" s="7" t="s">
        <v>184</v>
      </c>
      <c r="P1245" s="7" t="s">
        <v>185</v>
      </c>
      <c r="Q1245" s="7" t="s">
        <v>186</v>
      </c>
      <c r="R1245" s="7" t="s">
        <v>227</v>
      </c>
      <c r="S1245" s="7"/>
      <c r="T1245" s="7"/>
      <c r="U1245" s="7" t="s">
        <v>384</v>
      </c>
      <c r="V1245" s="7"/>
      <c r="W1245" s="7" t="s">
        <v>380</v>
      </c>
      <c r="X1245" s="7" t="s">
        <v>99</v>
      </c>
      <c r="Y1245" s="7" t="s">
        <v>23</v>
      </c>
    </row>
    <row r="1246" spans="1:25" hidden="1" x14ac:dyDescent="0.25">
      <c r="A1246" s="247" t="s">
        <v>312</v>
      </c>
      <c r="B1246" s="248">
        <v>45698</v>
      </c>
      <c r="C1246" s="244" t="s">
        <v>823</v>
      </c>
      <c r="D1246" s="244"/>
      <c r="E1246" s="253">
        <v>1173708.99</v>
      </c>
      <c r="F1246" s="249">
        <v>0</v>
      </c>
      <c r="G1246" s="266">
        <f>Tabla3[[#This Row],[INGRESOS]]-Tabla3[[#This Row],[EGRESOS]]</f>
        <v>-1173708.99</v>
      </c>
      <c r="H1246" s="132">
        <v>-4166374</v>
      </c>
      <c r="I1246" s="119">
        <v>1140</v>
      </c>
      <c r="J1246" s="99">
        <f>Tabla3[[#This Row],[EGRESOS]]/Tabla3[[#This Row],[TC]]</f>
        <v>1029.5692894736842</v>
      </c>
      <c r="K1246" s="99">
        <f>Tabla3[[#This Row],[INGRESOS]]/Tabla3[[#This Row],[TC]]</f>
        <v>0</v>
      </c>
      <c r="L1246" s="7" t="s">
        <v>376</v>
      </c>
      <c r="M1246" s="7" t="s">
        <v>377</v>
      </c>
      <c r="N1246" s="7" t="s">
        <v>20</v>
      </c>
      <c r="O1246" s="7" t="s">
        <v>184</v>
      </c>
      <c r="P1246" s="7" t="s">
        <v>195</v>
      </c>
      <c r="Q1246" s="7" t="s">
        <v>196</v>
      </c>
      <c r="R1246" s="7" t="s">
        <v>850</v>
      </c>
      <c r="S1246" s="7" t="s">
        <v>69</v>
      </c>
      <c r="T1246" s="7"/>
      <c r="U1246" s="7" t="s">
        <v>825</v>
      </c>
      <c r="V1246" s="7"/>
      <c r="W1246" s="7" t="s">
        <v>380</v>
      </c>
      <c r="X1246" s="7" t="s">
        <v>99</v>
      </c>
      <c r="Y1246" s="7" t="s">
        <v>23</v>
      </c>
    </row>
    <row r="1247" spans="1:25" hidden="1" x14ac:dyDescent="0.25">
      <c r="A1247" s="247" t="s">
        <v>312</v>
      </c>
      <c r="B1247" s="248">
        <v>45698</v>
      </c>
      <c r="C1247" s="244" t="s">
        <v>760</v>
      </c>
      <c r="D1247" s="244"/>
      <c r="E1247" s="253">
        <v>13042.98</v>
      </c>
      <c r="F1247" s="249">
        <v>0</v>
      </c>
      <c r="G1247" s="266">
        <f>Tabla3[[#This Row],[INGRESOS]]-Tabla3[[#This Row],[EGRESOS]]</f>
        <v>-13042.98</v>
      </c>
      <c r="H1247" s="132">
        <v>-4179416.98</v>
      </c>
      <c r="I1247" s="119">
        <v>1140</v>
      </c>
      <c r="J1247" s="99">
        <f>Tabla3[[#This Row],[EGRESOS]]/Tabla3[[#This Row],[TC]]</f>
        <v>11.441210526315789</v>
      </c>
      <c r="K1247" s="99">
        <f>Tabla3[[#This Row],[INGRESOS]]/Tabla3[[#This Row],[TC]]</f>
        <v>0</v>
      </c>
      <c r="L1247" s="7" t="s">
        <v>376</v>
      </c>
      <c r="M1247" s="7" t="s">
        <v>377</v>
      </c>
      <c r="N1247" s="7" t="s">
        <v>20</v>
      </c>
      <c r="O1247" s="7" t="s">
        <v>184</v>
      </c>
      <c r="P1247" s="7" t="s">
        <v>195</v>
      </c>
      <c r="Q1247" s="7" t="s">
        <v>196</v>
      </c>
      <c r="R1247" s="7" t="s">
        <v>394</v>
      </c>
      <c r="S1247" s="7" t="s">
        <v>383</v>
      </c>
      <c r="T1247" s="7"/>
      <c r="U1247" s="7" t="s">
        <v>384</v>
      </c>
      <c r="V1247" s="7"/>
      <c r="W1247" s="7" t="s">
        <v>380</v>
      </c>
      <c r="X1247" s="7" t="s">
        <v>99</v>
      </c>
      <c r="Y1247" s="7" t="s">
        <v>23</v>
      </c>
    </row>
    <row r="1248" spans="1:25" hidden="1" x14ac:dyDescent="0.25">
      <c r="A1248" s="247" t="s">
        <v>312</v>
      </c>
      <c r="B1248" s="248">
        <v>45699</v>
      </c>
      <c r="C1248" s="244" t="s">
        <v>817</v>
      </c>
      <c r="D1248" s="244" t="s">
        <v>851</v>
      </c>
      <c r="E1248" s="253">
        <v>642010</v>
      </c>
      <c r="F1248" s="249">
        <v>0</v>
      </c>
      <c r="G1248" s="266">
        <f>Tabla3[[#This Row],[INGRESOS]]-Tabla3[[#This Row],[EGRESOS]]</f>
        <v>-642010</v>
      </c>
      <c r="H1248" s="132">
        <v>-4821426.9800000004</v>
      </c>
      <c r="I1248" s="119">
        <v>1140</v>
      </c>
      <c r="J1248" s="99">
        <f>Tabla3[[#This Row],[EGRESOS]]/Tabla3[[#This Row],[TC]]</f>
        <v>563.16666666666663</v>
      </c>
      <c r="K1248" s="99">
        <f>Tabla3[[#This Row],[INGRESOS]]/Tabla3[[#This Row],[TC]]</f>
        <v>0</v>
      </c>
      <c r="L1248" s="7" t="s">
        <v>376</v>
      </c>
      <c r="M1248" s="7" t="s">
        <v>377</v>
      </c>
      <c r="N1248" s="7" t="s">
        <v>20</v>
      </c>
      <c r="O1248" s="7" t="s">
        <v>225</v>
      </c>
      <c r="P1248" s="7" t="s">
        <v>236</v>
      </c>
      <c r="Q1248" s="7" t="s">
        <v>239</v>
      </c>
      <c r="R1248" s="7"/>
      <c r="S1248" s="7" t="s">
        <v>597</v>
      </c>
      <c r="T1248" s="7"/>
      <c r="U1248" s="7" t="s">
        <v>412</v>
      </c>
      <c r="V1248" s="7"/>
      <c r="W1248" s="7" t="s">
        <v>380</v>
      </c>
      <c r="X1248" s="7" t="s">
        <v>29</v>
      </c>
      <c r="Y1248" s="7" t="s">
        <v>23</v>
      </c>
    </row>
    <row r="1249" spans="1:25" hidden="1" x14ac:dyDescent="0.25">
      <c r="A1249" s="247" t="s">
        <v>312</v>
      </c>
      <c r="B1249" s="248">
        <v>45699</v>
      </c>
      <c r="C1249" s="244" t="s">
        <v>760</v>
      </c>
      <c r="D1249" s="244"/>
      <c r="E1249" s="253">
        <v>3852.06</v>
      </c>
      <c r="F1249" s="249">
        <v>0</v>
      </c>
      <c r="G1249" s="266">
        <f>Tabla3[[#This Row],[INGRESOS]]-Tabla3[[#This Row],[EGRESOS]]</f>
        <v>-3852.06</v>
      </c>
      <c r="H1249" s="132">
        <v>-4825279.04</v>
      </c>
      <c r="I1249" s="119">
        <v>1140</v>
      </c>
      <c r="J1249" s="99">
        <f>Tabla3[[#This Row],[EGRESOS]]/Tabla3[[#This Row],[TC]]</f>
        <v>3.379</v>
      </c>
      <c r="K1249" s="99">
        <f>Tabla3[[#This Row],[INGRESOS]]/Tabla3[[#This Row],[TC]]</f>
        <v>0</v>
      </c>
      <c r="L1249" s="7" t="s">
        <v>376</v>
      </c>
      <c r="M1249" s="7" t="s">
        <v>377</v>
      </c>
      <c r="N1249" s="7" t="s">
        <v>20</v>
      </c>
      <c r="O1249" s="7" t="s">
        <v>184</v>
      </c>
      <c r="P1249" s="7" t="s">
        <v>195</v>
      </c>
      <c r="Q1249" s="7" t="s">
        <v>196</v>
      </c>
      <c r="R1249" s="7" t="s">
        <v>394</v>
      </c>
      <c r="S1249" s="7" t="s">
        <v>383</v>
      </c>
      <c r="T1249" s="7"/>
      <c r="U1249" s="7" t="s">
        <v>384</v>
      </c>
      <c r="V1249" s="7"/>
      <c r="W1249" s="7" t="s">
        <v>380</v>
      </c>
      <c r="X1249" s="7" t="s">
        <v>99</v>
      </c>
      <c r="Y1249" s="7" t="s">
        <v>23</v>
      </c>
    </row>
    <row r="1250" spans="1:25" hidden="1" x14ac:dyDescent="0.25">
      <c r="A1250" s="247" t="s">
        <v>312</v>
      </c>
      <c r="B1250" s="248">
        <v>45701</v>
      </c>
      <c r="C1250" s="244" t="s">
        <v>782</v>
      </c>
      <c r="D1250" s="244">
        <v>51936050</v>
      </c>
      <c r="E1250" s="253">
        <v>713000</v>
      </c>
      <c r="F1250" s="249">
        <v>0</v>
      </c>
      <c r="G1250" s="266">
        <f>Tabla3[[#This Row],[INGRESOS]]-Tabla3[[#This Row],[EGRESOS]]</f>
        <v>-713000</v>
      </c>
      <c r="H1250" s="132">
        <v>-5538279.04</v>
      </c>
      <c r="I1250" s="119">
        <v>1140</v>
      </c>
      <c r="J1250" s="99">
        <f>Tabla3[[#This Row],[EGRESOS]]/Tabla3[[#This Row],[TC]]</f>
        <v>625.43859649122805</v>
      </c>
      <c r="K1250" s="99">
        <f>Tabla3[[#This Row],[INGRESOS]]/Tabla3[[#This Row],[TC]]</f>
        <v>0</v>
      </c>
      <c r="L1250" s="7" t="s">
        <v>376</v>
      </c>
      <c r="M1250" s="7" t="s">
        <v>377</v>
      </c>
      <c r="N1250" s="7" t="s">
        <v>20</v>
      </c>
      <c r="O1250" s="7" t="s">
        <v>215</v>
      </c>
      <c r="P1250" s="7" t="s">
        <v>216</v>
      </c>
      <c r="Q1250" s="7" t="s">
        <v>220</v>
      </c>
      <c r="R1250" s="7" t="s">
        <v>332</v>
      </c>
      <c r="S1250" s="7" t="s">
        <v>852</v>
      </c>
      <c r="T1250" s="7"/>
      <c r="U1250" s="7" t="s">
        <v>403</v>
      </c>
      <c r="V1250" s="7"/>
      <c r="W1250" s="7" t="s">
        <v>380</v>
      </c>
      <c r="X1250" s="7" t="s">
        <v>29</v>
      </c>
      <c r="Y1250" s="7" t="s">
        <v>23</v>
      </c>
    </row>
    <row r="1251" spans="1:25" hidden="1" x14ac:dyDescent="0.25">
      <c r="A1251" s="247" t="s">
        <v>312</v>
      </c>
      <c r="B1251" s="248">
        <v>45701</v>
      </c>
      <c r="C1251" s="244" t="s">
        <v>800</v>
      </c>
      <c r="D1251" s="244"/>
      <c r="E1251" s="253">
        <v>381312</v>
      </c>
      <c r="F1251" s="249">
        <v>0</v>
      </c>
      <c r="G1251" s="266">
        <f>Tabla3[[#This Row],[INGRESOS]]-Tabla3[[#This Row],[EGRESOS]]</f>
        <v>-381312</v>
      </c>
      <c r="H1251" s="132">
        <v>-5919591.04</v>
      </c>
      <c r="I1251" s="119">
        <v>1140</v>
      </c>
      <c r="J1251" s="99">
        <f>Tabla3[[#This Row],[EGRESOS]]/Tabla3[[#This Row],[TC]]</f>
        <v>334.48421052631579</v>
      </c>
      <c r="K1251" s="99">
        <f>Tabla3[[#This Row],[INGRESOS]]/Tabla3[[#This Row],[TC]]</f>
        <v>0</v>
      </c>
      <c r="L1251" s="7" t="s">
        <v>376</v>
      </c>
      <c r="M1251" s="7" t="s">
        <v>377</v>
      </c>
      <c r="N1251" s="7" t="s">
        <v>20</v>
      </c>
      <c r="O1251" s="7" t="s">
        <v>184</v>
      </c>
      <c r="P1251" s="7" t="s">
        <v>185</v>
      </c>
      <c r="Q1251" s="7" t="s">
        <v>188</v>
      </c>
      <c r="R1251" s="7" t="s">
        <v>853</v>
      </c>
      <c r="S1251" s="7" t="s">
        <v>854</v>
      </c>
      <c r="T1251" s="7"/>
      <c r="U1251" s="7" t="s">
        <v>412</v>
      </c>
      <c r="V1251" s="7"/>
      <c r="W1251" s="7" t="s">
        <v>380</v>
      </c>
      <c r="X1251" s="7" t="s">
        <v>29</v>
      </c>
      <c r="Y1251" s="7" t="s">
        <v>23</v>
      </c>
    </row>
    <row r="1252" spans="1:25" hidden="1" x14ac:dyDescent="0.25">
      <c r="A1252" s="247" t="s">
        <v>312</v>
      </c>
      <c r="B1252" s="248">
        <v>45701</v>
      </c>
      <c r="C1252" s="244" t="s">
        <v>828</v>
      </c>
      <c r="D1252" s="244"/>
      <c r="E1252" s="253">
        <v>121</v>
      </c>
      <c r="F1252" s="249">
        <v>0</v>
      </c>
      <c r="G1252" s="266">
        <f>Tabla3[[#This Row],[INGRESOS]]-Tabla3[[#This Row],[EGRESOS]]</f>
        <v>-121</v>
      </c>
      <c r="H1252" s="132">
        <v>-5919712.04</v>
      </c>
      <c r="I1252" s="119">
        <v>1140</v>
      </c>
      <c r="J1252" s="99">
        <f>Tabla3[[#This Row],[EGRESOS]]/Tabla3[[#This Row],[TC]]</f>
        <v>0.10614035087719298</v>
      </c>
      <c r="K1252" s="99">
        <f>Tabla3[[#This Row],[INGRESOS]]/Tabla3[[#This Row],[TC]]</f>
        <v>0</v>
      </c>
      <c r="L1252" s="7" t="s">
        <v>376</v>
      </c>
      <c r="M1252" s="7" t="s">
        <v>377</v>
      </c>
      <c r="N1252" s="7" t="s">
        <v>20</v>
      </c>
      <c r="O1252" s="7" t="s">
        <v>184</v>
      </c>
      <c r="P1252" s="7" t="s">
        <v>185</v>
      </c>
      <c r="Q1252" s="7" t="s">
        <v>186</v>
      </c>
      <c r="R1252" s="7" t="s">
        <v>227</v>
      </c>
      <c r="S1252" s="7"/>
      <c r="T1252" s="7"/>
      <c r="U1252" s="7" t="s">
        <v>384</v>
      </c>
      <c r="V1252" s="7"/>
      <c r="W1252" s="7" t="s">
        <v>380</v>
      </c>
      <c r="X1252" s="7" t="s">
        <v>99</v>
      </c>
      <c r="Y1252" s="7" t="s">
        <v>23</v>
      </c>
    </row>
    <row r="1253" spans="1:25" hidden="1" x14ac:dyDescent="0.25">
      <c r="A1253" s="247" t="s">
        <v>312</v>
      </c>
      <c r="B1253" s="248">
        <v>45701</v>
      </c>
      <c r="C1253" s="244" t="s">
        <v>760</v>
      </c>
      <c r="D1253" s="244"/>
      <c r="E1253" s="253">
        <v>6566.6</v>
      </c>
      <c r="F1253" s="249">
        <v>0</v>
      </c>
      <c r="G1253" s="266">
        <f>Tabla3[[#This Row],[INGRESOS]]-Tabla3[[#This Row],[EGRESOS]]</f>
        <v>-6566.6</v>
      </c>
      <c r="H1253" s="132">
        <v>-5926278.6399999997</v>
      </c>
      <c r="I1253" s="119">
        <v>1140</v>
      </c>
      <c r="J1253" s="99">
        <f>Tabla3[[#This Row],[EGRESOS]]/Tabla3[[#This Row],[TC]]</f>
        <v>5.7601754385964918</v>
      </c>
      <c r="K1253" s="99">
        <f>Tabla3[[#This Row],[INGRESOS]]/Tabla3[[#This Row],[TC]]</f>
        <v>0</v>
      </c>
      <c r="L1253" s="7" t="s">
        <v>376</v>
      </c>
      <c r="M1253" s="7" t="s">
        <v>377</v>
      </c>
      <c r="N1253" s="7" t="s">
        <v>20</v>
      </c>
      <c r="O1253" s="7" t="s">
        <v>184</v>
      </c>
      <c r="P1253" s="7" t="s">
        <v>195</v>
      </c>
      <c r="Q1253" s="7" t="s">
        <v>196</v>
      </c>
      <c r="R1253" s="7" t="s">
        <v>394</v>
      </c>
      <c r="S1253" s="7" t="s">
        <v>383</v>
      </c>
      <c r="T1253" s="7"/>
      <c r="U1253" s="7" t="s">
        <v>384</v>
      </c>
      <c r="V1253" s="7"/>
      <c r="W1253" s="7" t="s">
        <v>380</v>
      </c>
      <c r="X1253" s="7" t="s">
        <v>99</v>
      </c>
      <c r="Y1253" s="7" t="s">
        <v>23</v>
      </c>
    </row>
    <row r="1254" spans="1:25" hidden="1" x14ac:dyDescent="0.25">
      <c r="A1254" s="247" t="s">
        <v>312</v>
      </c>
      <c r="B1254" s="248">
        <v>45702</v>
      </c>
      <c r="C1254" s="244" t="s">
        <v>855</v>
      </c>
      <c r="D1254" s="244"/>
      <c r="E1254" s="253">
        <v>0</v>
      </c>
      <c r="F1254" s="249">
        <v>2000000</v>
      </c>
      <c r="G1254" s="266">
        <f>Tabla3[[#This Row],[INGRESOS]]-Tabla3[[#This Row],[EGRESOS]]</f>
        <v>2000000</v>
      </c>
      <c r="H1254" s="132">
        <v>-3926278.64</v>
      </c>
      <c r="I1254" s="119">
        <v>1140</v>
      </c>
      <c r="J1254" s="99">
        <f>Tabla3[[#This Row],[EGRESOS]]/Tabla3[[#This Row],[TC]]</f>
        <v>0</v>
      </c>
      <c r="K1254" s="99">
        <f>Tabla3[[#This Row],[INGRESOS]]/Tabla3[[#This Row],[TC]]</f>
        <v>1754.3859649122808</v>
      </c>
      <c r="L1254" s="7" t="s">
        <v>376</v>
      </c>
      <c r="M1254" s="7" t="s">
        <v>377</v>
      </c>
      <c r="N1254" s="7" t="s">
        <v>20</v>
      </c>
      <c r="O1254" s="7" t="s">
        <v>244</v>
      </c>
      <c r="P1254" s="7" t="s">
        <v>259</v>
      </c>
      <c r="Q1254" s="7" t="s">
        <v>260</v>
      </c>
      <c r="R1254" s="7" t="s">
        <v>554</v>
      </c>
      <c r="S1254" s="7"/>
      <c r="T1254" s="7"/>
      <c r="U1254" s="7" t="s">
        <v>379</v>
      </c>
      <c r="V1254" s="7"/>
      <c r="W1254" s="7" t="s">
        <v>380</v>
      </c>
      <c r="X1254" s="7"/>
      <c r="Y1254" s="7"/>
    </row>
    <row r="1255" spans="1:25" hidden="1" x14ac:dyDescent="0.25">
      <c r="A1255" s="247" t="s">
        <v>312</v>
      </c>
      <c r="B1255" s="248">
        <v>45702</v>
      </c>
      <c r="C1255" s="244" t="s">
        <v>800</v>
      </c>
      <c r="D1255" s="244"/>
      <c r="E1255" s="253">
        <v>238670</v>
      </c>
      <c r="F1255" s="249">
        <v>0</v>
      </c>
      <c r="G1255" s="266">
        <f>Tabla3[[#This Row],[INGRESOS]]-Tabla3[[#This Row],[EGRESOS]]</f>
        <v>-238670</v>
      </c>
      <c r="H1255" s="132">
        <v>-4164948.64</v>
      </c>
      <c r="I1255" s="119">
        <v>1140</v>
      </c>
      <c r="J1255" s="99">
        <f>Tabla3[[#This Row],[EGRESOS]]/Tabla3[[#This Row],[TC]]</f>
        <v>209.35964912280701</v>
      </c>
      <c r="K1255" s="99">
        <f>Tabla3[[#This Row],[INGRESOS]]/Tabla3[[#This Row],[TC]]</f>
        <v>0</v>
      </c>
      <c r="L1255" s="7" t="s">
        <v>376</v>
      </c>
      <c r="M1255" s="7" t="s">
        <v>377</v>
      </c>
      <c r="N1255" s="7" t="s">
        <v>20</v>
      </c>
      <c r="O1255" s="7" t="s">
        <v>225</v>
      </c>
      <c r="P1255" s="7" t="s">
        <v>233</v>
      </c>
      <c r="Q1255" s="7" t="s">
        <v>235</v>
      </c>
      <c r="R1255" s="7" t="s">
        <v>856</v>
      </c>
      <c r="S1255" s="7" t="s">
        <v>857</v>
      </c>
      <c r="T1255" s="7"/>
      <c r="U1255" s="7" t="s">
        <v>412</v>
      </c>
      <c r="V1255" s="7"/>
      <c r="W1255" s="7" t="s">
        <v>380</v>
      </c>
      <c r="X1255" s="7" t="s">
        <v>50</v>
      </c>
      <c r="Y1255" s="7" t="s">
        <v>23</v>
      </c>
    </row>
    <row r="1256" spans="1:25" hidden="1" x14ac:dyDescent="0.25">
      <c r="A1256" s="247" t="s">
        <v>312</v>
      </c>
      <c r="B1256" s="248">
        <v>45702</v>
      </c>
      <c r="C1256" s="244" t="s">
        <v>760</v>
      </c>
      <c r="D1256" s="244"/>
      <c r="E1256" s="253">
        <v>1432.02</v>
      </c>
      <c r="F1256" s="249">
        <v>0</v>
      </c>
      <c r="G1256" s="266">
        <f>Tabla3[[#This Row],[INGRESOS]]-Tabla3[[#This Row],[EGRESOS]]</f>
        <v>-1432.02</v>
      </c>
      <c r="H1256" s="132">
        <v>-4166380.66</v>
      </c>
      <c r="I1256" s="119">
        <v>1140</v>
      </c>
      <c r="J1256" s="99">
        <f>Tabla3[[#This Row],[EGRESOS]]/Tabla3[[#This Row],[TC]]</f>
        <v>1.2561578947368421</v>
      </c>
      <c r="K1256" s="99">
        <f>Tabla3[[#This Row],[INGRESOS]]/Tabla3[[#This Row],[TC]]</f>
        <v>0</v>
      </c>
      <c r="L1256" s="7" t="s">
        <v>376</v>
      </c>
      <c r="M1256" s="7" t="s">
        <v>377</v>
      </c>
      <c r="N1256" s="7" t="s">
        <v>20</v>
      </c>
      <c r="O1256" s="7" t="s">
        <v>184</v>
      </c>
      <c r="P1256" s="7" t="s">
        <v>195</v>
      </c>
      <c r="Q1256" s="7" t="s">
        <v>196</v>
      </c>
      <c r="R1256" s="7" t="s">
        <v>394</v>
      </c>
      <c r="S1256" s="7" t="s">
        <v>383</v>
      </c>
      <c r="T1256" s="7"/>
      <c r="U1256" s="7" t="s">
        <v>384</v>
      </c>
      <c r="V1256" s="7"/>
      <c r="W1256" s="7" t="s">
        <v>380</v>
      </c>
      <c r="X1256" s="7" t="s">
        <v>99</v>
      </c>
      <c r="Y1256" s="7" t="s">
        <v>23</v>
      </c>
    </row>
    <row r="1257" spans="1:25" hidden="1" x14ac:dyDescent="0.25">
      <c r="A1257" s="247" t="s">
        <v>312</v>
      </c>
      <c r="B1257" s="248">
        <v>45706</v>
      </c>
      <c r="C1257" s="244" t="s">
        <v>782</v>
      </c>
      <c r="D1257" s="244" t="s">
        <v>858</v>
      </c>
      <c r="E1257" s="253">
        <v>189690.23999999999</v>
      </c>
      <c r="F1257" s="249">
        <v>0</v>
      </c>
      <c r="G1257" s="266">
        <f>Tabla3[[#This Row],[INGRESOS]]-Tabla3[[#This Row],[EGRESOS]]</f>
        <v>-189690.23999999999</v>
      </c>
      <c r="H1257" s="132">
        <v>-4356070.9000000004</v>
      </c>
      <c r="I1257" s="119">
        <v>1140</v>
      </c>
      <c r="J1257" s="99">
        <f>Tabla3[[#This Row],[EGRESOS]]/Tabla3[[#This Row],[TC]]</f>
        <v>166.39494736842104</v>
      </c>
      <c r="K1257" s="99">
        <f>Tabla3[[#This Row],[INGRESOS]]/Tabla3[[#This Row],[TC]]</f>
        <v>0</v>
      </c>
      <c r="L1257" s="7" t="s">
        <v>376</v>
      </c>
      <c r="M1257" s="7" t="s">
        <v>377</v>
      </c>
      <c r="N1257" s="7" t="s">
        <v>20</v>
      </c>
      <c r="O1257" s="7" t="s">
        <v>286</v>
      </c>
      <c r="P1257" s="7" t="s">
        <v>287</v>
      </c>
      <c r="Q1257" s="7" t="s">
        <v>289</v>
      </c>
      <c r="R1257" s="7"/>
      <c r="S1257" s="7" t="s">
        <v>653</v>
      </c>
      <c r="T1257" s="7" t="s">
        <v>859</v>
      </c>
      <c r="U1257" s="7" t="s">
        <v>412</v>
      </c>
      <c r="V1257" s="7"/>
      <c r="W1257" s="7" t="s">
        <v>380</v>
      </c>
      <c r="X1257" s="7" t="s">
        <v>50</v>
      </c>
      <c r="Y1257" s="7" t="s">
        <v>23</v>
      </c>
    </row>
    <row r="1258" spans="1:25" hidden="1" x14ac:dyDescent="0.25">
      <c r="A1258" s="247" t="s">
        <v>312</v>
      </c>
      <c r="B1258" s="248">
        <v>45706</v>
      </c>
      <c r="C1258" s="244" t="s">
        <v>760</v>
      </c>
      <c r="D1258" s="244"/>
      <c r="E1258" s="253">
        <v>1138.1400000000001</v>
      </c>
      <c r="F1258" s="249">
        <v>0</v>
      </c>
      <c r="G1258" s="266">
        <f>Tabla3[[#This Row],[INGRESOS]]-Tabla3[[#This Row],[EGRESOS]]</f>
        <v>-1138.1400000000001</v>
      </c>
      <c r="H1258" s="132">
        <v>-4357209.04</v>
      </c>
      <c r="I1258" s="119">
        <v>1140</v>
      </c>
      <c r="J1258" s="99">
        <f>Tabla3[[#This Row],[EGRESOS]]/Tabla3[[#This Row],[TC]]</f>
        <v>0.99836842105263168</v>
      </c>
      <c r="K1258" s="99">
        <f>Tabla3[[#This Row],[INGRESOS]]/Tabla3[[#This Row],[TC]]</f>
        <v>0</v>
      </c>
      <c r="L1258" s="7" t="s">
        <v>376</v>
      </c>
      <c r="M1258" s="7" t="s">
        <v>377</v>
      </c>
      <c r="N1258" s="7" t="s">
        <v>20</v>
      </c>
      <c r="O1258" s="7" t="s">
        <v>184</v>
      </c>
      <c r="P1258" s="7" t="s">
        <v>195</v>
      </c>
      <c r="Q1258" s="7" t="s">
        <v>196</v>
      </c>
      <c r="R1258" s="7" t="s">
        <v>394</v>
      </c>
      <c r="S1258" s="7" t="s">
        <v>383</v>
      </c>
      <c r="T1258" s="7"/>
      <c r="U1258" s="7" t="s">
        <v>384</v>
      </c>
      <c r="V1258" s="7"/>
      <c r="W1258" s="7" t="s">
        <v>380</v>
      </c>
      <c r="X1258" s="7" t="s">
        <v>99</v>
      </c>
      <c r="Y1258" s="7" t="s">
        <v>23</v>
      </c>
    </row>
    <row r="1259" spans="1:25" hidden="1" x14ac:dyDescent="0.25">
      <c r="A1259" s="247" t="s">
        <v>312</v>
      </c>
      <c r="B1259" s="248">
        <v>45707</v>
      </c>
      <c r="C1259" s="244" t="s">
        <v>817</v>
      </c>
      <c r="D1259" s="244" t="s">
        <v>860</v>
      </c>
      <c r="E1259" s="253">
        <v>421560</v>
      </c>
      <c r="F1259" s="249">
        <v>0</v>
      </c>
      <c r="G1259" s="266">
        <f>Tabla3[[#This Row],[INGRESOS]]-Tabla3[[#This Row],[EGRESOS]]</f>
        <v>-421560</v>
      </c>
      <c r="H1259" s="132">
        <v>-4778769.04</v>
      </c>
      <c r="I1259" s="119">
        <v>1140</v>
      </c>
      <c r="J1259" s="99">
        <f>Tabla3[[#This Row],[EGRESOS]]/Tabla3[[#This Row],[TC]]</f>
        <v>369.78947368421052</v>
      </c>
      <c r="K1259" s="99">
        <f>Tabla3[[#This Row],[INGRESOS]]/Tabla3[[#This Row],[TC]]</f>
        <v>0</v>
      </c>
      <c r="L1259" s="7" t="s">
        <v>376</v>
      </c>
      <c r="M1259" s="7" t="s">
        <v>377</v>
      </c>
      <c r="N1259" s="7" t="s">
        <v>20</v>
      </c>
      <c r="O1259" s="7" t="s">
        <v>286</v>
      </c>
      <c r="P1259" s="7" t="s">
        <v>287</v>
      </c>
      <c r="Q1259" s="7" t="s">
        <v>289</v>
      </c>
      <c r="R1259" s="7"/>
      <c r="S1259" s="7" t="s">
        <v>653</v>
      </c>
      <c r="T1259" s="7" t="s">
        <v>861</v>
      </c>
      <c r="U1259" s="7" t="s">
        <v>412</v>
      </c>
      <c r="V1259" s="7"/>
      <c r="W1259" s="7" t="s">
        <v>380</v>
      </c>
      <c r="X1259" s="7" t="s">
        <v>50</v>
      </c>
      <c r="Y1259" s="7" t="s">
        <v>23</v>
      </c>
    </row>
    <row r="1260" spans="1:25" hidden="1" x14ac:dyDescent="0.25">
      <c r="A1260" s="247" t="s">
        <v>312</v>
      </c>
      <c r="B1260" s="248">
        <v>45707</v>
      </c>
      <c r="C1260" s="244" t="s">
        <v>822</v>
      </c>
      <c r="D1260" s="244"/>
      <c r="E1260" s="253">
        <v>4345</v>
      </c>
      <c r="F1260" s="249">
        <v>0</v>
      </c>
      <c r="G1260" s="266">
        <f>Tabla3[[#This Row],[INGRESOS]]-Tabla3[[#This Row],[EGRESOS]]</f>
        <v>-4345</v>
      </c>
      <c r="H1260" s="132">
        <v>-4783114.04</v>
      </c>
      <c r="I1260" s="119">
        <v>1140</v>
      </c>
      <c r="J1260" s="99">
        <f>Tabla3[[#This Row],[EGRESOS]]/Tabla3[[#This Row],[TC]]</f>
        <v>3.8114035087719298</v>
      </c>
      <c r="K1260" s="99">
        <f>Tabla3[[#This Row],[INGRESOS]]/Tabla3[[#This Row],[TC]]</f>
        <v>0</v>
      </c>
      <c r="L1260" s="7" t="s">
        <v>376</v>
      </c>
      <c r="M1260" s="7" t="s">
        <v>377</v>
      </c>
      <c r="N1260" s="7" t="s">
        <v>20</v>
      </c>
      <c r="O1260" s="7" t="s">
        <v>184</v>
      </c>
      <c r="P1260" s="7" t="s">
        <v>185</v>
      </c>
      <c r="Q1260" s="7" t="s">
        <v>189</v>
      </c>
      <c r="R1260" s="7"/>
      <c r="S1260" s="7"/>
      <c r="T1260" s="7"/>
      <c r="U1260" s="7" t="s">
        <v>384</v>
      </c>
      <c r="V1260" s="7"/>
      <c r="W1260" s="7" t="s">
        <v>380</v>
      </c>
      <c r="X1260" s="7" t="s">
        <v>99</v>
      </c>
      <c r="Y1260" s="7" t="s">
        <v>23</v>
      </c>
    </row>
    <row r="1261" spans="1:25" hidden="1" x14ac:dyDescent="0.25">
      <c r="A1261" s="247" t="s">
        <v>312</v>
      </c>
      <c r="B1261" s="248">
        <v>45707</v>
      </c>
      <c r="C1261" s="244" t="s">
        <v>760</v>
      </c>
      <c r="D1261" s="244"/>
      <c r="E1261" s="253">
        <v>2555.4299999999998</v>
      </c>
      <c r="F1261" s="249">
        <v>0</v>
      </c>
      <c r="G1261" s="266">
        <f>Tabla3[[#This Row],[INGRESOS]]-Tabla3[[#This Row],[EGRESOS]]</f>
        <v>-2555.4299999999998</v>
      </c>
      <c r="H1261" s="132">
        <v>-4785669.47</v>
      </c>
      <c r="I1261" s="119">
        <v>1140</v>
      </c>
      <c r="J1261" s="99">
        <f>Tabla3[[#This Row],[EGRESOS]]/Tabla3[[#This Row],[TC]]</f>
        <v>2.2416052631578944</v>
      </c>
      <c r="K1261" s="99">
        <f>Tabla3[[#This Row],[INGRESOS]]/Tabla3[[#This Row],[TC]]</f>
        <v>0</v>
      </c>
      <c r="L1261" s="7" t="s">
        <v>376</v>
      </c>
      <c r="M1261" s="7" t="s">
        <v>377</v>
      </c>
      <c r="N1261" s="7" t="s">
        <v>20</v>
      </c>
      <c r="O1261" s="7" t="s">
        <v>184</v>
      </c>
      <c r="P1261" s="7" t="s">
        <v>195</v>
      </c>
      <c r="Q1261" s="7" t="s">
        <v>196</v>
      </c>
      <c r="R1261" s="7" t="s">
        <v>394</v>
      </c>
      <c r="S1261" s="7" t="s">
        <v>383</v>
      </c>
      <c r="T1261" s="7"/>
      <c r="U1261" s="7" t="s">
        <v>384</v>
      </c>
      <c r="V1261" s="7"/>
      <c r="W1261" s="7" t="s">
        <v>380</v>
      </c>
      <c r="X1261" s="7" t="s">
        <v>99</v>
      </c>
      <c r="Y1261" s="7" t="s">
        <v>23</v>
      </c>
    </row>
    <row r="1262" spans="1:25" hidden="1" x14ac:dyDescent="0.25">
      <c r="A1262" s="247" t="s">
        <v>312</v>
      </c>
      <c r="B1262" s="248">
        <v>45709</v>
      </c>
      <c r="C1262" s="244" t="s">
        <v>782</v>
      </c>
      <c r="D1262" s="244" t="s">
        <v>862</v>
      </c>
      <c r="E1262" s="253">
        <v>392000</v>
      </c>
      <c r="F1262" s="249">
        <v>0</v>
      </c>
      <c r="G1262" s="266">
        <f>Tabla3[[#This Row],[INGRESOS]]-Tabla3[[#This Row],[EGRESOS]]</f>
        <v>-392000</v>
      </c>
      <c r="H1262" s="132">
        <v>-5177669.47</v>
      </c>
      <c r="I1262" s="119">
        <v>1140</v>
      </c>
      <c r="J1262" s="99">
        <f>Tabla3[[#This Row],[EGRESOS]]/Tabla3[[#This Row],[TC]]</f>
        <v>343.85964912280701</v>
      </c>
      <c r="K1262" s="99">
        <f>Tabla3[[#This Row],[INGRESOS]]/Tabla3[[#This Row],[TC]]</f>
        <v>0</v>
      </c>
      <c r="L1262" s="7" t="s">
        <v>376</v>
      </c>
      <c r="M1262" s="7" t="s">
        <v>377</v>
      </c>
      <c r="N1262" s="7" t="s">
        <v>20</v>
      </c>
      <c r="O1262" s="7" t="s">
        <v>286</v>
      </c>
      <c r="P1262" s="7" t="s">
        <v>287</v>
      </c>
      <c r="Q1262" s="7" t="s">
        <v>217</v>
      </c>
      <c r="R1262" s="7" t="s">
        <v>188</v>
      </c>
      <c r="S1262" s="7" t="s">
        <v>656</v>
      </c>
      <c r="T1262" s="7" t="s">
        <v>863</v>
      </c>
      <c r="U1262" s="7" t="s">
        <v>412</v>
      </c>
      <c r="V1262" s="7"/>
      <c r="W1262" s="7" t="s">
        <v>380</v>
      </c>
      <c r="X1262" s="7" t="s">
        <v>50</v>
      </c>
      <c r="Y1262" s="7" t="s">
        <v>23</v>
      </c>
    </row>
    <row r="1263" spans="1:25" hidden="1" x14ac:dyDescent="0.25">
      <c r="A1263" s="247" t="s">
        <v>312</v>
      </c>
      <c r="B1263" s="248">
        <v>45709</v>
      </c>
      <c r="C1263" s="244" t="s">
        <v>760</v>
      </c>
      <c r="D1263" s="244"/>
      <c r="E1263" s="253">
        <v>2352</v>
      </c>
      <c r="F1263" s="249">
        <v>0</v>
      </c>
      <c r="G1263" s="266">
        <f>Tabla3[[#This Row],[INGRESOS]]-Tabla3[[#This Row],[EGRESOS]]</f>
        <v>-2352</v>
      </c>
      <c r="H1263" s="132">
        <v>-5180021.47</v>
      </c>
      <c r="I1263" s="119">
        <v>1140</v>
      </c>
      <c r="J1263" s="99">
        <f>Tabla3[[#This Row],[EGRESOS]]/Tabla3[[#This Row],[TC]]</f>
        <v>2.0631578947368423</v>
      </c>
      <c r="K1263" s="99">
        <f>Tabla3[[#This Row],[INGRESOS]]/Tabla3[[#This Row],[TC]]</f>
        <v>0</v>
      </c>
      <c r="L1263" s="7" t="s">
        <v>376</v>
      </c>
      <c r="M1263" s="7" t="s">
        <v>377</v>
      </c>
      <c r="N1263" s="7" t="s">
        <v>20</v>
      </c>
      <c r="O1263" s="7" t="s">
        <v>184</v>
      </c>
      <c r="P1263" s="7" t="s">
        <v>195</v>
      </c>
      <c r="Q1263" s="7" t="s">
        <v>196</v>
      </c>
      <c r="R1263" s="7" t="s">
        <v>394</v>
      </c>
      <c r="S1263" s="7" t="s">
        <v>383</v>
      </c>
      <c r="T1263" s="7"/>
      <c r="U1263" s="7" t="s">
        <v>384</v>
      </c>
      <c r="V1263" s="7"/>
      <c r="W1263" s="7" t="s">
        <v>380</v>
      </c>
      <c r="X1263" s="7" t="s">
        <v>99</v>
      </c>
      <c r="Y1263" s="7" t="s">
        <v>23</v>
      </c>
    </row>
    <row r="1264" spans="1:25" hidden="1" x14ac:dyDescent="0.25">
      <c r="A1264" s="247" t="s">
        <v>312</v>
      </c>
      <c r="B1264" s="248">
        <v>45712</v>
      </c>
      <c r="C1264" s="244" t="s">
        <v>782</v>
      </c>
      <c r="D1264" s="244" t="s">
        <v>864</v>
      </c>
      <c r="E1264" s="253">
        <v>340000</v>
      </c>
      <c r="F1264" s="249">
        <v>0</v>
      </c>
      <c r="G1264" s="266">
        <f>Tabla3[[#This Row],[INGRESOS]]-Tabla3[[#This Row],[EGRESOS]]</f>
        <v>-340000</v>
      </c>
      <c r="H1264" s="132">
        <v>-5520021.4699999997</v>
      </c>
      <c r="I1264" s="119">
        <v>1140</v>
      </c>
      <c r="J1264" s="99">
        <f>Tabla3[[#This Row],[EGRESOS]]/Tabla3[[#This Row],[TC]]</f>
        <v>298.24561403508773</v>
      </c>
      <c r="K1264" s="99">
        <f>Tabla3[[#This Row],[INGRESOS]]/Tabla3[[#This Row],[TC]]</f>
        <v>0</v>
      </c>
      <c r="L1264" s="7" t="s">
        <v>376</v>
      </c>
      <c r="M1264" s="7" t="s">
        <v>377</v>
      </c>
      <c r="N1264" s="7" t="s">
        <v>20</v>
      </c>
      <c r="O1264" s="7" t="s">
        <v>225</v>
      </c>
      <c r="P1264" s="7" t="s">
        <v>233</v>
      </c>
      <c r="Q1264" s="7" t="s">
        <v>235</v>
      </c>
      <c r="R1264" s="7"/>
      <c r="S1264" s="7" t="s">
        <v>865</v>
      </c>
      <c r="T1264" s="7" t="s">
        <v>866</v>
      </c>
      <c r="U1264" s="7" t="s">
        <v>412</v>
      </c>
      <c r="V1264" s="7"/>
      <c r="W1264" s="7" t="s">
        <v>380</v>
      </c>
      <c r="X1264" s="7" t="s">
        <v>50</v>
      </c>
      <c r="Y1264" s="7" t="s">
        <v>23</v>
      </c>
    </row>
    <row r="1265" spans="1:25" hidden="1" x14ac:dyDescent="0.25">
      <c r="A1265" s="247" t="s">
        <v>312</v>
      </c>
      <c r="B1265" s="248">
        <v>45712</v>
      </c>
      <c r="C1265" s="244" t="s">
        <v>782</v>
      </c>
      <c r="D1265" s="244" t="s">
        <v>867</v>
      </c>
      <c r="E1265" s="253">
        <v>367727.47</v>
      </c>
      <c r="F1265" s="249">
        <v>0</v>
      </c>
      <c r="G1265" s="266">
        <f>Tabla3[[#This Row],[INGRESOS]]-Tabla3[[#This Row],[EGRESOS]]</f>
        <v>-367727.47</v>
      </c>
      <c r="H1265" s="132">
        <v>-5887748.9400000004</v>
      </c>
      <c r="I1265" s="119">
        <v>1140</v>
      </c>
      <c r="J1265" s="99">
        <f>Tabla3[[#This Row],[EGRESOS]]/Tabla3[[#This Row],[TC]]</f>
        <v>322.56795614035087</v>
      </c>
      <c r="K1265" s="99">
        <f>Tabla3[[#This Row],[INGRESOS]]/Tabla3[[#This Row],[TC]]</f>
        <v>0</v>
      </c>
      <c r="L1265" s="7" t="s">
        <v>376</v>
      </c>
      <c r="M1265" s="7" t="s">
        <v>377</v>
      </c>
      <c r="N1265" s="7" t="s">
        <v>20</v>
      </c>
      <c r="O1265" s="7" t="s">
        <v>225</v>
      </c>
      <c r="P1265" s="7" t="s">
        <v>226</v>
      </c>
      <c r="Q1265" s="7" t="s">
        <v>228</v>
      </c>
      <c r="R1265" s="7" t="s">
        <v>589</v>
      </c>
      <c r="S1265" s="7" t="s">
        <v>590</v>
      </c>
      <c r="T1265" s="7" t="s">
        <v>868</v>
      </c>
      <c r="U1265" s="7" t="s">
        <v>412</v>
      </c>
      <c r="V1265" s="7"/>
      <c r="W1265" s="7" t="s">
        <v>380</v>
      </c>
      <c r="X1265" s="7" t="s">
        <v>50</v>
      </c>
      <c r="Y1265" s="7" t="s">
        <v>23</v>
      </c>
    </row>
    <row r="1266" spans="1:25" hidden="1" x14ac:dyDescent="0.25">
      <c r="A1266" s="247" t="s">
        <v>312</v>
      </c>
      <c r="B1266" s="248">
        <v>45712</v>
      </c>
      <c r="C1266" s="244" t="s">
        <v>782</v>
      </c>
      <c r="D1266" s="244" t="s">
        <v>869</v>
      </c>
      <c r="E1266" s="253">
        <v>341890.4</v>
      </c>
      <c r="F1266" s="249">
        <v>0</v>
      </c>
      <c r="G1266" s="266">
        <f>Tabla3[[#This Row],[INGRESOS]]-Tabla3[[#This Row],[EGRESOS]]</f>
        <v>-341890.4</v>
      </c>
      <c r="H1266" s="132">
        <v>-6229639.3399999999</v>
      </c>
      <c r="I1266" s="119">
        <v>1140</v>
      </c>
      <c r="J1266" s="99">
        <f>Tabla3[[#This Row],[EGRESOS]]/Tabla3[[#This Row],[TC]]</f>
        <v>299.90385964912281</v>
      </c>
      <c r="K1266" s="99">
        <f>Tabla3[[#This Row],[INGRESOS]]/Tabla3[[#This Row],[TC]]</f>
        <v>0</v>
      </c>
      <c r="L1266" s="7" t="s">
        <v>376</v>
      </c>
      <c r="M1266" s="7" t="s">
        <v>377</v>
      </c>
      <c r="N1266" s="7" t="s">
        <v>20</v>
      </c>
      <c r="O1266" s="7" t="s">
        <v>286</v>
      </c>
      <c r="P1266" s="7" t="s">
        <v>287</v>
      </c>
      <c r="Q1266" s="7" t="s">
        <v>288</v>
      </c>
      <c r="R1266" s="7" t="s">
        <v>143</v>
      </c>
      <c r="S1266" s="7" t="s">
        <v>637</v>
      </c>
      <c r="T1266" s="7" t="s">
        <v>870</v>
      </c>
      <c r="U1266" s="7" t="s">
        <v>412</v>
      </c>
      <c r="V1266" s="7"/>
      <c r="W1266" s="7" t="s">
        <v>380</v>
      </c>
      <c r="X1266" s="7" t="s">
        <v>50</v>
      </c>
      <c r="Y1266" s="7" t="s">
        <v>23</v>
      </c>
    </row>
    <row r="1267" spans="1:25" hidden="1" x14ac:dyDescent="0.25">
      <c r="A1267" s="247" t="s">
        <v>312</v>
      </c>
      <c r="B1267" s="248">
        <v>45712</v>
      </c>
      <c r="C1267" s="244" t="s">
        <v>793</v>
      </c>
      <c r="D1267" s="244"/>
      <c r="E1267" s="253">
        <v>0</v>
      </c>
      <c r="F1267" s="249">
        <v>500000</v>
      </c>
      <c r="G1267" s="266">
        <f>Tabla3[[#This Row],[INGRESOS]]-Tabla3[[#This Row],[EGRESOS]]</f>
        <v>500000</v>
      </c>
      <c r="H1267" s="132">
        <v>-5729639.3399999999</v>
      </c>
      <c r="I1267" s="119">
        <v>1140</v>
      </c>
      <c r="J1267" s="99">
        <f>Tabla3[[#This Row],[EGRESOS]]/Tabla3[[#This Row],[TC]]</f>
        <v>0</v>
      </c>
      <c r="K1267" s="99">
        <f>Tabla3[[#This Row],[INGRESOS]]/Tabla3[[#This Row],[TC]]</f>
        <v>438.59649122807019</v>
      </c>
      <c r="L1267" s="7" t="s">
        <v>376</v>
      </c>
      <c r="M1267" s="7" t="s">
        <v>377</v>
      </c>
      <c r="N1267" s="7" t="s">
        <v>20</v>
      </c>
      <c r="O1267" s="7" t="s">
        <v>244</v>
      </c>
      <c r="P1267" s="7" t="s">
        <v>259</v>
      </c>
      <c r="Q1267" s="7" t="s">
        <v>260</v>
      </c>
      <c r="R1267" s="7" t="s">
        <v>554</v>
      </c>
      <c r="S1267" s="7"/>
      <c r="T1267" s="7"/>
      <c r="U1267" s="7" t="s">
        <v>379</v>
      </c>
      <c r="V1267" s="7"/>
      <c r="W1267" s="7" t="s">
        <v>380</v>
      </c>
      <c r="X1267" s="7"/>
      <c r="Y1267" s="7"/>
    </row>
    <row r="1268" spans="1:25" hidden="1" x14ac:dyDescent="0.25">
      <c r="A1268" s="247" t="s">
        <v>312</v>
      </c>
      <c r="B1268" s="248">
        <v>45712</v>
      </c>
      <c r="C1268" s="244" t="s">
        <v>762</v>
      </c>
      <c r="D1268" s="244"/>
      <c r="E1268" s="253">
        <v>2741.13</v>
      </c>
      <c r="F1268" s="249">
        <v>0</v>
      </c>
      <c r="G1268" s="266">
        <f>Tabla3[[#This Row],[INGRESOS]]-Tabla3[[#This Row],[EGRESOS]]</f>
        <v>-2741.13</v>
      </c>
      <c r="H1268" s="132">
        <v>-5732380.4699999997</v>
      </c>
      <c r="I1268" s="119">
        <v>1140</v>
      </c>
      <c r="J1268" s="99">
        <f>Tabla3[[#This Row],[EGRESOS]]/Tabla3[[#This Row],[TC]]</f>
        <v>2.4045000000000001</v>
      </c>
      <c r="K1268" s="99">
        <f>Tabla3[[#This Row],[INGRESOS]]/Tabla3[[#This Row],[TC]]</f>
        <v>0</v>
      </c>
      <c r="L1268" s="7" t="s">
        <v>376</v>
      </c>
      <c r="M1268" s="7" t="s">
        <v>377</v>
      </c>
      <c r="N1268" s="7" t="s">
        <v>20</v>
      </c>
      <c r="O1268" s="7" t="s">
        <v>184</v>
      </c>
      <c r="P1268" s="7" t="s">
        <v>195</v>
      </c>
      <c r="Q1268" s="7" t="s">
        <v>196</v>
      </c>
      <c r="R1268" s="7" t="s">
        <v>382</v>
      </c>
      <c r="S1268" s="7" t="s">
        <v>383</v>
      </c>
      <c r="T1268" s="7"/>
      <c r="U1268" s="7" t="s">
        <v>384</v>
      </c>
      <c r="V1268" s="7"/>
      <c r="W1268" s="7" t="s">
        <v>380</v>
      </c>
      <c r="X1268" s="7" t="s">
        <v>99</v>
      </c>
      <c r="Y1268" s="7" t="s">
        <v>23</v>
      </c>
    </row>
    <row r="1269" spans="1:25" hidden="1" x14ac:dyDescent="0.25">
      <c r="A1269" s="247" t="s">
        <v>312</v>
      </c>
      <c r="B1269" s="248">
        <v>45712</v>
      </c>
      <c r="C1269" s="244" t="s">
        <v>763</v>
      </c>
      <c r="D1269" s="244"/>
      <c r="E1269" s="253">
        <v>391.59</v>
      </c>
      <c r="F1269" s="249">
        <v>0</v>
      </c>
      <c r="G1269" s="266">
        <f>Tabla3[[#This Row],[INGRESOS]]-Tabla3[[#This Row],[EGRESOS]]</f>
        <v>-391.59</v>
      </c>
      <c r="H1269" s="132">
        <v>-5732772.0599999996</v>
      </c>
      <c r="I1269" s="119">
        <v>1140</v>
      </c>
      <c r="J1269" s="99">
        <f>Tabla3[[#This Row],[EGRESOS]]/Tabla3[[#This Row],[TC]]</f>
        <v>0.34349999999999997</v>
      </c>
      <c r="K1269" s="99">
        <f>Tabla3[[#This Row],[INGRESOS]]/Tabla3[[#This Row],[TC]]</f>
        <v>0</v>
      </c>
      <c r="L1269" s="7" t="s">
        <v>376</v>
      </c>
      <c r="M1269" s="7" t="s">
        <v>377</v>
      </c>
      <c r="N1269" s="7" t="s">
        <v>20</v>
      </c>
      <c r="O1269" s="7" t="s">
        <v>184</v>
      </c>
      <c r="P1269" s="7" t="s">
        <v>195</v>
      </c>
      <c r="Q1269" s="7" t="s">
        <v>196</v>
      </c>
      <c r="R1269" s="7" t="s">
        <v>417</v>
      </c>
      <c r="S1269" s="7" t="s">
        <v>383</v>
      </c>
      <c r="T1269" s="7"/>
      <c r="U1269" s="7" t="s">
        <v>384</v>
      </c>
      <c r="V1269" s="7"/>
      <c r="W1269" s="7" t="s">
        <v>380</v>
      </c>
      <c r="X1269" s="7" t="s">
        <v>99</v>
      </c>
      <c r="Y1269" s="7" t="s">
        <v>23</v>
      </c>
    </row>
    <row r="1270" spans="1:25" hidden="1" x14ac:dyDescent="0.25">
      <c r="A1270" s="247" t="s">
        <v>312</v>
      </c>
      <c r="B1270" s="248">
        <v>45712</v>
      </c>
      <c r="C1270" s="244" t="s">
        <v>794</v>
      </c>
      <c r="D1270" s="244"/>
      <c r="E1270" s="253">
        <v>13053</v>
      </c>
      <c r="F1270" s="249">
        <v>0</v>
      </c>
      <c r="G1270" s="266">
        <f>Tabla3[[#This Row],[INGRESOS]]-Tabla3[[#This Row],[EGRESOS]]</f>
        <v>-13053</v>
      </c>
      <c r="H1270" s="132">
        <v>-5745825.0599999996</v>
      </c>
      <c r="I1270" s="119">
        <v>1140</v>
      </c>
      <c r="J1270" s="99">
        <f>Tabla3[[#This Row],[EGRESOS]]/Tabla3[[#This Row],[TC]]</f>
        <v>11.45</v>
      </c>
      <c r="K1270" s="99">
        <f>Tabla3[[#This Row],[INGRESOS]]/Tabla3[[#This Row],[TC]]</f>
        <v>0</v>
      </c>
      <c r="L1270" s="7" t="s">
        <v>376</v>
      </c>
      <c r="M1270" s="7" t="s">
        <v>377</v>
      </c>
      <c r="N1270" s="7" t="s">
        <v>20</v>
      </c>
      <c r="O1270" s="7" t="s">
        <v>184</v>
      </c>
      <c r="P1270" s="7" t="s">
        <v>185</v>
      </c>
      <c r="Q1270" s="7" t="s">
        <v>186</v>
      </c>
      <c r="R1270" s="7" t="s">
        <v>227</v>
      </c>
      <c r="S1270" s="7"/>
      <c r="T1270" s="7"/>
      <c r="U1270" s="7" t="s">
        <v>384</v>
      </c>
      <c r="V1270" s="7"/>
      <c r="W1270" s="7" t="s">
        <v>380</v>
      </c>
      <c r="X1270" s="7" t="s">
        <v>99</v>
      </c>
      <c r="Y1270" s="7" t="s">
        <v>23</v>
      </c>
    </row>
    <row r="1271" spans="1:25" hidden="1" x14ac:dyDescent="0.25">
      <c r="A1271" s="247" t="s">
        <v>312</v>
      </c>
      <c r="B1271" s="248">
        <v>45712</v>
      </c>
      <c r="C1271" s="244" t="s">
        <v>760</v>
      </c>
      <c r="D1271" s="244"/>
      <c r="E1271" s="253">
        <v>6394.81</v>
      </c>
      <c r="F1271" s="249">
        <v>0</v>
      </c>
      <c r="G1271" s="266">
        <f>Tabla3[[#This Row],[INGRESOS]]-Tabla3[[#This Row],[EGRESOS]]</f>
        <v>-6394.81</v>
      </c>
      <c r="H1271" s="132">
        <v>-5752219.8700000001</v>
      </c>
      <c r="I1271" s="119">
        <v>1140</v>
      </c>
      <c r="J1271" s="99">
        <f>Tabla3[[#This Row],[EGRESOS]]/Tabla3[[#This Row],[TC]]</f>
        <v>5.6094824561403511</v>
      </c>
      <c r="K1271" s="99">
        <f>Tabla3[[#This Row],[INGRESOS]]/Tabla3[[#This Row],[TC]]</f>
        <v>0</v>
      </c>
      <c r="L1271" s="7" t="s">
        <v>376</v>
      </c>
      <c r="M1271" s="7" t="s">
        <v>377</v>
      </c>
      <c r="N1271" s="7" t="s">
        <v>20</v>
      </c>
      <c r="O1271" s="7" t="s">
        <v>184</v>
      </c>
      <c r="P1271" s="7" t="s">
        <v>195</v>
      </c>
      <c r="Q1271" s="7" t="s">
        <v>196</v>
      </c>
      <c r="R1271" s="7" t="s">
        <v>394</v>
      </c>
      <c r="S1271" s="7" t="s">
        <v>383</v>
      </c>
      <c r="T1271" s="7"/>
      <c r="U1271" s="7" t="s">
        <v>384</v>
      </c>
      <c r="V1271" s="7"/>
      <c r="W1271" s="7" t="s">
        <v>380</v>
      </c>
      <c r="X1271" s="7" t="s">
        <v>99</v>
      </c>
      <c r="Y1271" s="7" t="s">
        <v>23</v>
      </c>
    </row>
    <row r="1272" spans="1:25" hidden="1" x14ac:dyDescent="0.25">
      <c r="A1272" s="247" t="s">
        <v>312</v>
      </c>
      <c r="B1272" s="248">
        <v>45714</v>
      </c>
      <c r="C1272" s="244" t="s">
        <v>782</v>
      </c>
      <c r="D1272" s="244" t="s">
        <v>871</v>
      </c>
      <c r="E1272" s="253">
        <v>292300</v>
      </c>
      <c r="F1272" s="249">
        <v>0</v>
      </c>
      <c r="G1272" s="266">
        <f>Tabla3[[#This Row],[INGRESOS]]-Tabla3[[#This Row],[EGRESOS]]</f>
        <v>-292300</v>
      </c>
      <c r="H1272" s="132">
        <v>-6044519.8700000001</v>
      </c>
      <c r="I1272" s="119">
        <v>1140</v>
      </c>
      <c r="J1272" s="99">
        <f>Tabla3[[#This Row],[EGRESOS]]/Tabla3[[#This Row],[TC]]</f>
        <v>256.40350877192981</v>
      </c>
      <c r="K1272" s="99">
        <f>Tabla3[[#This Row],[INGRESOS]]/Tabla3[[#This Row],[TC]]</f>
        <v>0</v>
      </c>
      <c r="L1272" s="7" t="s">
        <v>376</v>
      </c>
      <c r="M1272" s="7" t="s">
        <v>377</v>
      </c>
      <c r="N1272" s="7" t="s">
        <v>20</v>
      </c>
      <c r="O1272" s="7" t="s">
        <v>244</v>
      </c>
      <c r="P1272" s="7" t="s">
        <v>271</v>
      </c>
      <c r="Q1272" s="7" t="s">
        <v>273</v>
      </c>
      <c r="R1272" s="7"/>
      <c r="S1272" s="7" t="s">
        <v>872</v>
      </c>
      <c r="T1272" s="7" t="s">
        <v>873</v>
      </c>
      <c r="U1272" s="7" t="s">
        <v>403</v>
      </c>
      <c r="V1272" s="7"/>
      <c r="W1272" s="7" t="s">
        <v>380</v>
      </c>
      <c r="X1272" s="7" t="s">
        <v>29</v>
      </c>
      <c r="Y1272" s="7" t="s">
        <v>23</v>
      </c>
    </row>
    <row r="1273" spans="1:25" hidden="1" x14ac:dyDescent="0.25">
      <c r="A1273" s="247" t="s">
        <v>312</v>
      </c>
      <c r="B1273" s="248">
        <v>45714</v>
      </c>
      <c r="C1273" s="244" t="s">
        <v>782</v>
      </c>
      <c r="D1273" s="244" t="s">
        <v>874</v>
      </c>
      <c r="E1273" s="253">
        <v>1356153.27</v>
      </c>
      <c r="F1273" s="249">
        <v>0</v>
      </c>
      <c r="G1273" s="266">
        <f>Tabla3[[#This Row],[INGRESOS]]-Tabla3[[#This Row],[EGRESOS]]</f>
        <v>-1356153.27</v>
      </c>
      <c r="H1273" s="132">
        <v>-7400673.1399999997</v>
      </c>
      <c r="I1273" s="119">
        <v>1140</v>
      </c>
      <c r="J1273" s="99">
        <f>Tabla3[[#This Row],[EGRESOS]]/Tabla3[[#This Row],[TC]]</f>
        <v>1189.6081315789475</v>
      </c>
      <c r="K1273" s="99">
        <f>Tabla3[[#This Row],[INGRESOS]]/Tabla3[[#This Row],[TC]]</f>
        <v>0</v>
      </c>
      <c r="L1273" s="7" t="s">
        <v>376</v>
      </c>
      <c r="M1273" s="7" t="s">
        <v>377</v>
      </c>
      <c r="N1273" s="7" t="s">
        <v>20</v>
      </c>
      <c r="O1273" s="7" t="s">
        <v>215</v>
      </c>
      <c r="P1273" s="7" t="s">
        <v>216</v>
      </c>
      <c r="Q1273" s="7" t="s">
        <v>220</v>
      </c>
      <c r="R1273" s="7" t="s">
        <v>329</v>
      </c>
      <c r="S1273" s="7" t="s">
        <v>634</v>
      </c>
      <c r="T1273" s="7" t="s">
        <v>875</v>
      </c>
      <c r="U1273" s="7" t="s">
        <v>412</v>
      </c>
      <c r="V1273" s="7"/>
      <c r="W1273" s="7" t="s">
        <v>380</v>
      </c>
      <c r="X1273" s="7" t="s">
        <v>29</v>
      </c>
      <c r="Y1273" s="7" t="s">
        <v>23</v>
      </c>
    </row>
    <row r="1274" spans="1:25" hidden="1" x14ac:dyDescent="0.25">
      <c r="A1274" s="247" t="s">
        <v>312</v>
      </c>
      <c r="B1274" s="248">
        <v>45714</v>
      </c>
      <c r="C1274" s="244" t="s">
        <v>810</v>
      </c>
      <c r="D1274" s="244"/>
      <c r="E1274" s="253">
        <v>0</v>
      </c>
      <c r="F1274" s="249">
        <v>1500000</v>
      </c>
      <c r="G1274" s="266">
        <f>Tabla3[[#This Row],[INGRESOS]]-Tabla3[[#This Row],[EGRESOS]]</f>
        <v>1500000</v>
      </c>
      <c r="H1274" s="132">
        <v>-5900673.1399999997</v>
      </c>
      <c r="I1274" s="119">
        <v>1140</v>
      </c>
      <c r="J1274" s="99">
        <f>Tabla3[[#This Row],[EGRESOS]]/Tabla3[[#This Row],[TC]]</f>
        <v>0</v>
      </c>
      <c r="K1274" s="99">
        <f>Tabla3[[#This Row],[INGRESOS]]/Tabla3[[#This Row],[TC]]</f>
        <v>1315.7894736842106</v>
      </c>
      <c r="L1274" s="7" t="s">
        <v>376</v>
      </c>
      <c r="M1274" s="7" t="s">
        <v>377</v>
      </c>
      <c r="N1274" s="7" t="s">
        <v>20</v>
      </c>
      <c r="O1274" s="7" t="s">
        <v>244</v>
      </c>
      <c r="P1274" s="7" t="s">
        <v>259</v>
      </c>
      <c r="Q1274" s="7" t="s">
        <v>260</v>
      </c>
      <c r="R1274" s="7" t="s">
        <v>447</v>
      </c>
      <c r="S1274" s="7"/>
      <c r="T1274" s="7"/>
      <c r="U1274" s="7" t="s">
        <v>379</v>
      </c>
      <c r="V1274" s="7"/>
      <c r="W1274" s="7" t="s">
        <v>380</v>
      </c>
      <c r="X1274" s="7"/>
      <c r="Y1274" s="7"/>
    </row>
    <row r="1275" spans="1:25" hidden="1" x14ac:dyDescent="0.25">
      <c r="A1275" s="247" t="s">
        <v>312</v>
      </c>
      <c r="B1275" s="248">
        <v>45714</v>
      </c>
      <c r="C1275" s="244" t="s">
        <v>762</v>
      </c>
      <c r="D1275" s="244"/>
      <c r="E1275" s="253">
        <v>2741.13</v>
      </c>
      <c r="F1275" s="249">
        <v>0</v>
      </c>
      <c r="G1275" s="266">
        <f>Tabla3[[#This Row],[INGRESOS]]-Tabla3[[#This Row],[EGRESOS]]</f>
        <v>-2741.13</v>
      </c>
      <c r="H1275" s="132">
        <v>-5903414.2699999996</v>
      </c>
      <c r="I1275" s="119">
        <v>1140</v>
      </c>
      <c r="J1275" s="99">
        <f>Tabla3[[#This Row],[EGRESOS]]/Tabla3[[#This Row],[TC]]</f>
        <v>2.4045000000000001</v>
      </c>
      <c r="K1275" s="99">
        <f>Tabla3[[#This Row],[INGRESOS]]/Tabla3[[#This Row],[TC]]</f>
        <v>0</v>
      </c>
      <c r="L1275" s="7" t="s">
        <v>376</v>
      </c>
      <c r="M1275" s="7" t="s">
        <v>377</v>
      </c>
      <c r="N1275" s="7" t="s">
        <v>20</v>
      </c>
      <c r="O1275" s="7" t="s">
        <v>184</v>
      </c>
      <c r="P1275" s="7" t="s">
        <v>195</v>
      </c>
      <c r="Q1275" s="7" t="s">
        <v>196</v>
      </c>
      <c r="R1275" s="7" t="s">
        <v>382</v>
      </c>
      <c r="S1275" s="7" t="s">
        <v>383</v>
      </c>
      <c r="T1275" s="7"/>
      <c r="U1275" s="7" t="s">
        <v>384</v>
      </c>
      <c r="V1275" s="7"/>
      <c r="W1275" s="7" t="s">
        <v>380</v>
      </c>
      <c r="X1275" s="7" t="s">
        <v>99</v>
      </c>
      <c r="Y1275" s="7" t="s">
        <v>23</v>
      </c>
    </row>
    <row r="1276" spans="1:25" hidden="1" x14ac:dyDescent="0.25">
      <c r="A1276" s="247" t="s">
        <v>312</v>
      </c>
      <c r="B1276" s="248">
        <v>45714</v>
      </c>
      <c r="C1276" s="244" t="s">
        <v>763</v>
      </c>
      <c r="D1276" s="244"/>
      <c r="E1276" s="253">
        <v>391.59</v>
      </c>
      <c r="F1276" s="249">
        <v>0</v>
      </c>
      <c r="G1276" s="266">
        <f>Tabla3[[#This Row],[INGRESOS]]-Tabla3[[#This Row],[EGRESOS]]</f>
        <v>-391.59</v>
      </c>
      <c r="H1276" s="132">
        <v>-5903805.8600000003</v>
      </c>
      <c r="I1276" s="119">
        <v>1140</v>
      </c>
      <c r="J1276" s="99">
        <f>Tabla3[[#This Row],[EGRESOS]]/Tabla3[[#This Row],[TC]]</f>
        <v>0.34349999999999997</v>
      </c>
      <c r="K1276" s="99">
        <f>Tabla3[[#This Row],[INGRESOS]]/Tabla3[[#This Row],[TC]]</f>
        <v>0</v>
      </c>
      <c r="L1276" s="7" t="s">
        <v>376</v>
      </c>
      <c r="M1276" s="7" t="s">
        <v>377</v>
      </c>
      <c r="N1276" s="7" t="s">
        <v>20</v>
      </c>
      <c r="O1276" s="7" t="s">
        <v>184</v>
      </c>
      <c r="P1276" s="7" t="s">
        <v>195</v>
      </c>
      <c r="Q1276" s="7" t="s">
        <v>196</v>
      </c>
      <c r="R1276" s="7" t="s">
        <v>417</v>
      </c>
      <c r="S1276" s="7" t="s">
        <v>383</v>
      </c>
      <c r="T1276" s="7"/>
      <c r="U1276" s="7" t="s">
        <v>384</v>
      </c>
      <c r="V1276" s="7"/>
      <c r="W1276" s="7" t="s">
        <v>380</v>
      </c>
      <c r="X1276" s="7" t="s">
        <v>99</v>
      </c>
      <c r="Y1276" s="7" t="s">
        <v>23</v>
      </c>
    </row>
    <row r="1277" spans="1:25" hidden="1" x14ac:dyDescent="0.25">
      <c r="A1277" s="247" t="s">
        <v>312</v>
      </c>
      <c r="B1277" s="248">
        <v>45714</v>
      </c>
      <c r="C1277" s="244" t="s">
        <v>794</v>
      </c>
      <c r="D1277" s="244"/>
      <c r="E1277" s="253">
        <v>13053</v>
      </c>
      <c r="F1277" s="249">
        <v>0</v>
      </c>
      <c r="G1277" s="266">
        <f>Tabla3[[#This Row],[INGRESOS]]-Tabla3[[#This Row],[EGRESOS]]</f>
        <v>-13053</v>
      </c>
      <c r="H1277" s="132">
        <v>-5916858.8600000003</v>
      </c>
      <c r="I1277" s="119">
        <v>1140</v>
      </c>
      <c r="J1277" s="99">
        <f>Tabla3[[#This Row],[EGRESOS]]/Tabla3[[#This Row],[TC]]</f>
        <v>11.45</v>
      </c>
      <c r="K1277" s="99">
        <f>Tabla3[[#This Row],[INGRESOS]]/Tabla3[[#This Row],[TC]]</f>
        <v>0</v>
      </c>
      <c r="L1277" s="7" t="s">
        <v>376</v>
      </c>
      <c r="M1277" s="7" t="s">
        <v>377</v>
      </c>
      <c r="N1277" s="7" t="s">
        <v>20</v>
      </c>
      <c r="O1277" s="7" t="s">
        <v>184</v>
      </c>
      <c r="P1277" s="7" t="s">
        <v>185</v>
      </c>
      <c r="Q1277" s="7" t="s">
        <v>186</v>
      </c>
      <c r="R1277" s="7" t="s">
        <v>227</v>
      </c>
      <c r="S1277" s="7"/>
      <c r="T1277" s="7"/>
      <c r="U1277" s="7" t="s">
        <v>384</v>
      </c>
      <c r="V1277" s="7"/>
      <c r="W1277" s="7" t="s">
        <v>380</v>
      </c>
      <c r="X1277" s="7" t="s">
        <v>99</v>
      </c>
      <c r="Y1277" s="7" t="s">
        <v>23</v>
      </c>
    </row>
    <row r="1278" spans="1:25" hidden="1" x14ac:dyDescent="0.25">
      <c r="A1278" s="247" t="s">
        <v>312</v>
      </c>
      <c r="B1278" s="248">
        <v>45714</v>
      </c>
      <c r="C1278" s="244" t="s">
        <v>760</v>
      </c>
      <c r="D1278" s="244"/>
      <c r="E1278" s="253">
        <v>9987.83</v>
      </c>
      <c r="F1278" s="249">
        <v>0</v>
      </c>
      <c r="G1278" s="266">
        <f>Tabla3[[#This Row],[INGRESOS]]-Tabla3[[#This Row],[EGRESOS]]</f>
        <v>-9987.83</v>
      </c>
      <c r="H1278" s="132">
        <v>-5926846.6900000004</v>
      </c>
      <c r="I1278" s="119">
        <v>1140</v>
      </c>
      <c r="J1278" s="99">
        <f>Tabla3[[#This Row],[EGRESOS]]/Tabla3[[#This Row],[TC]]</f>
        <v>8.7612543859649126</v>
      </c>
      <c r="K1278" s="99">
        <f>Tabla3[[#This Row],[INGRESOS]]/Tabla3[[#This Row],[TC]]</f>
        <v>0</v>
      </c>
      <c r="L1278" s="7" t="s">
        <v>376</v>
      </c>
      <c r="M1278" s="7" t="s">
        <v>377</v>
      </c>
      <c r="N1278" s="7" t="s">
        <v>20</v>
      </c>
      <c r="O1278" s="7" t="s">
        <v>184</v>
      </c>
      <c r="P1278" s="7" t="s">
        <v>195</v>
      </c>
      <c r="Q1278" s="7" t="s">
        <v>196</v>
      </c>
      <c r="R1278" s="7" t="s">
        <v>394</v>
      </c>
      <c r="S1278" s="7" t="s">
        <v>383</v>
      </c>
      <c r="T1278" s="7"/>
      <c r="U1278" s="7" t="s">
        <v>384</v>
      </c>
      <c r="V1278" s="7"/>
      <c r="W1278" s="7" t="s">
        <v>380</v>
      </c>
      <c r="X1278" s="7" t="s">
        <v>99</v>
      </c>
      <c r="Y1278" s="7" t="s">
        <v>23</v>
      </c>
    </row>
    <row r="1279" spans="1:25" hidden="1" x14ac:dyDescent="0.25">
      <c r="A1279" s="247" t="s">
        <v>312</v>
      </c>
      <c r="B1279" s="248">
        <v>45715</v>
      </c>
      <c r="C1279" s="244" t="s">
        <v>762</v>
      </c>
      <c r="D1279" s="244"/>
      <c r="E1279" s="253">
        <v>1739.43</v>
      </c>
      <c r="F1279" s="249">
        <v>0</v>
      </c>
      <c r="G1279" s="266">
        <f>Tabla3[[#This Row],[INGRESOS]]-Tabla3[[#This Row],[EGRESOS]]</f>
        <v>-1739.43</v>
      </c>
      <c r="H1279" s="132">
        <v>-5928586.1200000001</v>
      </c>
      <c r="I1279" s="119">
        <v>1140</v>
      </c>
      <c r="J1279" s="99">
        <f>Tabla3[[#This Row],[EGRESOS]]/Tabla3[[#This Row],[TC]]</f>
        <v>1.5258157894736843</v>
      </c>
      <c r="K1279" s="99">
        <f>Tabla3[[#This Row],[INGRESOS]]/Tabla3[[#This Row],[TC]]</f>
        <v>0</v>
      </c>
      <c r="L1279" s="7" t="s">
        <v>376</v>
      </c>
      <c r="M1279" s="7" t="s">
        <v>377</v>
      </c>
      <c r="N1279" s="7" t="s">
        <v>20</v>
      </c>
      <c r="O1279" s="7" t="s">
        <v>184</v>
      </c>
      <c r="P1279" s="7" t="s">
        <v>195</v>
      </c>
      <c r="Q1279" s="7" t="s">
        <v>196</v>
      </c>
      <c r="R1279" s="7" t="s">
        <v>382</v>
      </c>
      <c r="S1279" s="7" t="s">
        <v>383</v>
      </c>
      <c r="T1279" s="7"/>
      <c r="U1279" s="7" t="s">
        <v>384</v>
      </c>
      <c r="V1279" s="7"/>
      <c r="W1279" s="7" t="s">
        <v>380</v>
      </c>
      <c r="X1279" s="7" t="s">
        <v>99</v>
      </c>
      <c r="Y1279" s="7" t="s">
        <v>23</v>
      </c>
    </row>
    <row r="1280" spans="1:25" hidden="1" x14ac:dyDescent="0.25">
      <c r="A1280" s="247" t="s">
        <v>312</v>
      </c>
      <c r="B1280" s="248">
        <v>45715</v>
      </c>
      <c r="C1280" s="244" t="s">
        <v>763</v>
      </c>
      <c r="D1280" s="244"/>
      <c r="E1280" s="253">
        <v>248.49</v>
      </c>
      <c r="F1280" s="249">
        <v>0</v>
      </c>
      <c r="G1280" s="266">
        <f>Tabla3[[#This Row],[INGRESOS]]-Tabla3[[#This Row],[EGRESOS]]</f>
        <v>-248.49</v>
      </c>
      <c r="H1280" s="132">
        <v>-5928834.6100000003</v>
      </c>
      <c r="I1280" s="119">
        <v>1140</v>
      </c>
      <c r="J1280" s="99">
        <f>Tabla3[[#This Row],[EGRESOS]]/Tabla3[[#This Row],[TC]]</f>
        <v>0.21797368421052632</v>
      </c>
      <c r="K1280" s="99">
        <f>Tabla3[[#This Row],[INGRESOS]]/Tabla3[[#This Row],[TC]]</f>
        <v>0</v>
      </c>
      <c r="L1280" s="7" t="s">
        <v>376</v>
      </c>
      <c r="M1280" s="7" t="s">
        <v>377</v>
      </c>
      <c r="N1280" s="7" t="s">
        <v>20</v>
      </c>
      <c r="O1280" s="7" t="s">
        <v>184</v>
      </c>
      <c r="P1280" s="7" t="s">
        <v>195</v>
      </c>
      <c r="Q1280" s="7" t="s">
        <v>196</v>
      </c>
      <c r="R1280" s="7" t="s">
        <v>417</v>
      </c>
      <c r="S1280" s="7" t="s">
        <v>383</v>
      </c>
      <c r="T1280" s="7"/>
      <c r="U1280" s="7" t="s">
        <v>384</v>
      </c>
      <c r="V1280" s="7"/>
      <c r="W1280" s="7" t="s">
        <v>380</v>
      </c>
      <c r="X1280" s="7" t="s">
        <v>99</v>
      </c>
      <c r="Y1280" s="7" t="s">
        <v>23</v>
      </c>
    </row>
    <row r="1281" spans="1:25" hidden="1" x14ac:dyDescent="0.25">
      <c r="A1281" s="247" t="s">
        <v>312</v>
      </c>
      <c r="B1281" s="248">
        <v>45715</v>
      </c>
      <c r="C1281" s="244" t="s">
        <v>837</v>
      </c>
      <c r="D1281" s="244"/>
      <c r="E1281" s="253">
        <v>8283</v>
      </c>
      <c r="F1281" s="249">
        <v>0</v>
      </c>
      <c r="G1281" s="266">
        <f>Tabla3[[#This Row],[INGRESOS]]-Tabla3[[#This Row],[EGRESOS]]</f>
        <v>-8283</v>
      </c>
      <c r="H1281" s="132">
        <v>-5937117.6100000003</v>
      </c>
      <c r="I1281" s="119">
        <v>1140</v>
      </c>
      <c r="J1281" s="99">
        <f>Tabla3[[#This Row],[EGRESOS]]/Tabla3[[#This Row],[TC]]</f>
        <v>7.2657894736842108</v>
      </c>
      <c r="K1281" s="99">
        <f>Tabla3[[#This Row],[INGRESOS]]/Tabla3[[#This Row],[TC]]</f>
        <v>0</v>
      </c>
      <c r="L1281" s="7" t="s">
        <v>376</v>
      </c>
      <c r="M1281" s="7" t="s">
        <v>377</v>
      </c>
      <c r="N1281" s="7" t="s">
        <v>20</v>
      </c>
      <c r="O1281" s="7" t="s">
        <v>184</v>
      </c>
      <c r="P1281" s="7" t="s">
        <v>185</v>
      </c>
      <c r="Q1281" s="7" t="s">
        <v>186</v>
      </c>
      <c r="R1281" s="7" t="s">
        <v>227</v>
      </c>
      <c r="S1281" s="7"/>
      <c r="T1281" s="7"/>
      <c r="U1281" s="7" t="s">
        <v>384</v>
      </c>
      <c r="V1281" s="7"/>
      <c r="W1281" s="7" t="s">
        <v>380</v>
      </c>
      <c r="X1281" s="7" t="s">
        <v>99</v>
      </c>
      <c r="Y1281" s="7" t="s">
        <v>23</v>
      </c>
    </row>
    <row r="1282" spans="1:25" hidden="1" x14ac:dyDescent="0.25">
      <c r="A1282" s="247" t="s">
        <v>312</v>
      </c>
      <c r="B1282" s="248">
        <v>45715</v>
      </c>
      <c r="C1282" s="244" t="s">
        <v>760</v>
      </c>
      <c r="D1282" s="244"/>
      <c r="E1282" s="253">
        <v>61.63</v>
      </c>
      <c r="F1282" s="249">
        <v>0</v>
      </c>
      <c r="G1282" s="266">
        <f>Tabla3[[#This Row],[INGRESOS]]-Tabla3[[#This Row],[EGRESOS]]</f>
        <v>-61.63</v>
      </c>
      <c r="H1282" s="132">
        <v>-5937179.2400000002</v>
      </c>
      <c r="I1282" s="119">
        <v>1140</v>
      </c>
      <c r="J1282" s="99">
        <f>Tabla3[[#This Row],[EGRESOS]]/Tabla3[[#This Row],[TC]]</f>
        <v>5.4061403508771935E-2</v>
      </c>
      <c r="K1282" s="99">
        <f>Tabla3[[#This Row],[INGRESOS]]/Tabla3[[#This Row],[TC]]</f>
        <v>0</v>
      </c>
      <c r="L1282" s="7" t="s">
        <v>376</v>
      </c>
      <c r="M1282" s="7" t="s">
        <v>377</v>
      </c>
      <c r="N1282" s="7" t="s">
        <v>20</v>
      </c>
      <c r="O1282" s="7" t="s">
        <v>184</v>
      </c>
      <c r="P1282" s="7" t="s">
        <v>195</v>
      </c>
      <c r="Q1282" s="7" t="s">
        <v>196</v>
      </c>
      <c r="R1282" s="7" t="s">
        <v>394</v>
      </c>
      <c r="S1282" s="7" t="s">
        <v>383</v>
      </c>
      <c r="T1282" s="7"/>
      <c r="U1282" s="7" t="s">
        <v>384</v>
      </c>
      <c r="V1282" s="7"/>
      <c r="W1282" s="7" t="s">
        <v>380</v>
      </c>
      <c r="X1282" s="7" t="s">
        <v>99</v>
      </c>
      <c r="Y1282" s="7" t="s">
        <v>23</v>
      </c>
    </row>
    <row r="1283" spans="1:25" hidden="1" x14ac:dyDescent="0.25">
      <c r="A1283" s="273" t="s">
        <v>312</v>
      </c>
      <c r="B1283" s="251">
        <v>45715</v>
      </c>
      <c r="C1283" s="252" t="s">
        <v>795</v>
      </c>
      <c r="D1283" s="252"/>
      <c r="E1283" s="253">
        <v>52018.25</v>
      </c>
      <c r="F1283" s="253">
        <v>0</v>
      </c>
      <c r="G1283" s="274">
        <f>Tabla3[[#This Row],[INGRESOS]]-Tabla3[[#This Row],[EGRESOS]]</f>
        <v>-52018.25</v>
      </c>
      <c r="H1283" s="132">
        <v>-5989197.4900000002</v>
      </c>
      <c r="I1283" s="135">
        <v>1140</v>
      </c>
      <c r="J1283" s="136">
        <f>Tabla3[[#This Row],[EGRESOS]]/Tabla3[[#This Row],[TC]]</f>
        <v>45.63004385964912</v>
      </c>
      <c r="K1283" s="136">
        <f>Tabla3[[#This Row],[INGRESOS]]/Tabla3[[#This Row],[TC]]</f>
        <v>0</v>
      </c>
      <c r="L1283" s="8" t="s">
        <v>376</v>
      </c>
      <c r="M1283" s="8" t="s">
        <v>377</v>
      </c>
      <c r="N1283" s="8" t="s">
        <v>20</v>
      </c>
      <c r="O1283" s="8" t="s">
        <v>244</v>
      </c>
      <c r="P1283" s="8" t="s">
        <v>259</v>
      </c>
      <c r="Q1283" s="8" t="s">
        <v>260</v>
      </c>
      <c r="R1283" s="8" t="s">
        <v>804</v>
      </c>
      <c r="S1283" s="8"/>
      <c r="T1283" s="8"/>
      <c r="U1283" s="8" t="s">
        <v>379</v>
      </c>
      <c r="V1283" s="8"/>
      <c r="W1283" s="8" t="s">
        <v>380</v>
      </c>
      <c r="X1283" s="8"/>
      <c r="Y1283" s="8"/>
    </row>
    <row r="1284" spans="1:25" hidden="1" x14ac:dyDescent="0.25">
      <c r="A1284" s="247" t="s">
        <v>313</v>
      </c>
      <c r="B1284" s="248">
        <v>45721</v>
      </c>
      <c r="C1284" s="244" t="s">
        <v>762</v>
      </c>
      <c r="D1284" s="244"/>
      <c r="E1284" s="253">
        <v>16445.400000000001</v>
      </c>
      <c r="F1284" s="249">
        <v>0</v>
      </c>
      <c r="G1284" s="266">
        <f>Tabla3[[#This Row],[INGRESOS]]-Tabla3[[#This Row],[EGRESOS]]</f>
        <v>-16445.400000000001</v>
      </c>
      <c r="H1284" s="132">
        <v>-6005642.8899999997</v>
      </c>
      <c r="I1284" s="119">
        <v>1140</v>
      </c>
      <c r="J1284" s="99">
        <f>Tabla3[[#This Row],[EGRESOS]]/Tabla3[[#This Row],[TC]]</f>
        <v>14.425789473684212</v>
      </c>
      <c r="K1284" s="99">
        <f>Tabla3[[#This Row],[INGRESOS]]/Tabla3[[#This Row],[TC]]</f>
        <v>0</v>
      </c>
      <c r="L1284" s="7" t="s">
        <v>376</v>
      </c>
      <c r="M1284" s="7" t="s">
        <v>377</v>
      </c>
      <c r="N1284" s="7" t="s">
        <v>20</v>
      </c>
      <c r="O1284" s="7" t="s">
        <v>184</v>
      </c>
      <c r="P1284" s="7" t="s">
        <v>195</v>
      </c>
      <c r="Q1284" s="7" t="s">
        <v>196</v>
      </c>
      <c r="R1284" s="7" t="s">
        <v>382</v>
      </c>
      <c r="S1284" s="7" t="s">
        <v>383</v>
      </c>
      <c r="T1284" s="7"/>
      <c r="U1284" s="7" t="s">
        <v>384</v>
      </c>
      <c r="V1284" s="7"/>
      <c r="W1284" s="7" t="s">
        <v>380</v>
      </c>
      <c r="X1284" s="7" t="s">
        <v>99</v>
      </c>
      <c r="Y1284" s="7" t="s">
        <v>23</v>
      </c>
    </row>
    <row r="1285" spans="1:25" hidden="1" x14ac:dyDescent="0.25">
      <c r="A1285" s="273" t="s">
        <v>313</v>
      </c>
      <c r="B1285" s="251">
        <v>45721</v>
      </c>
      <c r="C1285" s="252" t="s">
        <v>763</v>
      </c>
      <c r="D1285" s="252"/>
      <c r="E1285" s="253">
        <v>2349.34</v>
      </c>
      <c r="F1285" s="253">
        <v>0</v>
      </c>
      <c r="G1285" s="274">
        <f>Tabla3[[#This Row],[INGRESOS]]-Tabla3[[#This Row],[EGRESOS]]</f>
        <v>-2349.34</v>
      </c>
      <c r="H1285" s="132">
        <v>-6007992.2300000004</v>
      </c>
      <c r="I1285" s="135">
        <v>1140</v>
      </c>
      <c r="J1285" s="136">
        <f>Tabla3[[#This Row],[EGRESOS]]/Tabla3[[#This Row],[TC]]</f>
        <v>2.0608245614035088</v>
      </c>
      <c r="K1285" s="136">
        <f>Tabla3[[#This Row],[INGRESOS]]/Tabla3[[#This Row],[TC]]</f>
        <v>0</v>
      </c>
      <c r="L1285" s="8" t="s">
        <v>376</v>
      </c>
      <c r="M1285" s="8" t="s">
        <v>377</v>
      </c>
      <c r="N1285" s="8" t="s">
        <v>20</v>
      </c>
      <c r="O1285" s="8" t="s">
        <v>184</v>
      </c>
      <c r="P1285" s="8" t="s">
        <v>195</v>
      </c>
      <c r="Q1285" s="8" t="s">
        <v>196</v>
      </c>
      <c r="R1285" s="8" t="s">
        <v>417</v>
      </c>
      <c r="S1285" s="8" t="s">
        <v>383</v>
      </c>
      <c r="T1285" s="8"/>
      <c r="U1285" s="8" t="s">
        <v>384</v>
      </c>
      <c r="V1285" s="8"/>
      <c r="W1285" s="8" t="s">
        <v>380</v>
      </c>
      <c r="X1285" s="8" t="s">
        <v>99</v>
      </c>
      <c r="Y1285" s="8" t="s">
        <v>23</v>
      </c>
    </row>
    <row r="1286" spans="1:25" hidden="1" x14ac:dyDescent="0.25">
      <c r="A1286" s="273" t="s">
        <v>313</v>
      </c>
      <c r="B1286" s="251">
        <v>45721</v>
      </c>
      <c r="C1286" s="252" t="s">
        <v>780</v>
      </c>
      <c r="D1286" s="252"/>
      <c r="E1286" s="253">
        <v>156622.82999999999</v>
      </c>
      <c r="F1286" s="253">
        <v>0</v>
      </c>
      <c r="G1286" s="274">
        <f>Tabla3[[#This Row],[INGRESOS]]-Tabla3[[#This Row],[EGRESOS]]</f>
        <v>-156622.82999999999</v>
      </c>
      <c r="H1286" s="132">
        <v>-6164615.0599999996</v>
      </c>
      <c r="I1286" s="135">
        <v>1140</v>
      </c>
      <c r="J1286" s="136">
        <f>Tabla3[[#This Row],[EGRESOS]]/Tabla3[[#This Row],[TC]]</f>
        <v>137.38844736842105</v>
      </c>
      <c r="K1286" s="136">
        <f>Tabla3[[#This Row],[INGRESOS]]/Tabla3[[#This Row],[TC]]</f>
        <v>0</v>
      </c>
      <c r="L1286" s="8" t="s">
        <v>376</v>
      </c>
      <c r="M1286" s="8" t="s">
        <v>377</v>
      </c>
      <c r="N1286" s="8" t="s">
        <v>20</v>
      </c>
      <c r="O1286" s="8" t="s">
        <v>184</v>
      </c>
      <c r="P1286" s="8" t="s">
        <v>197</v>
      </c>
      <c r="Q1286" s="8" t="s">
        <v>198</v>
      </c>
      <c r="R1286" s="8" t="s">
        <v>419</v>
      </c>
      <c r="S1286" s="8"/>
      <c r="T1286" s="8"/>
      <c r="U1286" s="8" t="s">
        <v>384</v>
      </c>
      <c r="V1286" s="8"/>
      <c r="W1286" s="8" t="s">
        <v>380</v>
      </c>
      <c r="X1286" s="8" t="s">
        <v>99</v>
      </c>
      <c r="Y1286" s="8" t="s">
        <v>23</v>
      </c>
    </row>
    <row r="1287" spans="1:25" hidden="1" x14ac:dyDescent="0.25">
      <c r="A1287" s="273" t="s">
        <v>313</v>
      </c>
      <c r="B1287" s="251">
        <v>45721</v>
      </c>
      <c r="C1287" s="252" t="s">
        <v>782</v>
      </c>
      <c r="D1287" s="252" t="s">
        <v>876</v>
      </c>
      <c r="E1287" s="253">
        <v>392000</v>
      </c>
      <c r="F1287" s="253">
        <v>0</v>
      </c>
      <c r="G1287" s="274">
        <f>Tabla3[[#This Row],[INGRESOS]]-Tabla3[[#This Row],[EGRESOS]]</f>
        <v>-392000</v>
      </c>
      <c r="H1287" s="132">
        <v>-6556615.0599999996</v>
      </c>
      <c r="I1287" s="135">
        <v>1140</v>
      </c>
      <c r="J1287" s="136">
        <f>Tabla3[[#This Row],[EGRESOS]]/Tabla3[[#This Row],[TC]]</f>
        <v>343.85964912280701</v>
      </c>
      <c r="K1287" s="136">
        <f>Tabla3[[#This Row],[INGRESOS]]/Tabla3[[#This Row],[TC]]</f>
        <v>0</v>
      </c>
      <c r="L1287" s="8" t="s">
        <v>376</v>
      </c>
      <c r="M1287" s="8" t="s">
        <v>377</v>
      </c>
      <c r="N1287" s="8" t="s">
        <v>20</v>
      </c>
      <c r="O1287" s="8" t="s">
        <v>286</v>
      </c>
      <c r="P1287" s="8" t="s">
        <v>287</v>
      </c>
      <c r="Q1287" s="8" t="s">
        <v>217</v>
      </c>
      <c r="R1287" s="8" t="s">
        <v>188</v>
      </c>
      <c r="S1287" s="8" t="s">
        <v>656</v>
      </c>
      <c r="T1287" s="7" t="s">
        <v>877</v>
      </c>
      <c r="U1287" s="8" t="s">
        <v>412</v>
      </c>
      <c r="V1287" s="8"/>
      <c r="W1287" s="8" t="s">
        <v>380</v>
      </c>
      <c r="X1287" s="8" t="s">
        <v>29</v>
      </c>
      <c r="Y1287" s="8" t="s">
        <v>23</v>
      </c>
    </row>
    <row r="1288" spans="1:25" hidden="1" x14ac:dyDescent="0.25">
      <c r="A1288" s="273" t="s">
        <v>313</v>
      </c>
      <c r="B1288" s="251">
        <v>45721</v>
      </c>
      <c r="C1288" s="252" t="s">
        <v>782</v>
      </c>
      <c r="D1288" s="252" t="s">
        <v>878</v>
      </c>
      <c r="E1288" s="253">
        <v>1000000</v>
      </c>
      <c r="F1288" s="253">
        <v>0</v>
      </c>
      <c r="G1288" s="274">
        <f>Tabla3[[#This Row],[INGRESOS]]-Tabla3[[#This Row],[EGRESOS]]</f>
        <v>-1000000</v>
      </c>
      <c r="H1288" s="132">
        <v>-7556615.0599999996</v>
      </c>
      <c r="I1288" s="135">
        <v>1140</v>
      </c>
      <c r="J1288" s="136">
        <f>Tabla3[[#This Row],[EGRESOS]]/Tabla3[[#This Row],[TC]]</f>
        <v>877.19298245614038</v>
      </c>
      <c r="K1288" s="136">
        <f>Tabla3[[#This Row],[INGRESOS]]/Tabla3[[#This Row],[TC]]</f>
        <v>0</v>
      </c>
      <c r="L1288" s="8" t="s">
        <v>376</v>
      </c>
      <c r="M1288" s="8" t="s">
        <v>377</v>
      </c>
      <c r="N1288" s="8" t="s">
        <v>20</v>
      </c>
      <c r="O1288" s="8" t="s">
        <v>286</v>
      </c>
      <c r="P1288" s="8" t="s">
        <v>287</v>
      </c>
      <c r="Q1288" s="8" t="s">
        <v>288</v>
      </c>
      <c r="R1288" s="8" t="s">
        <v>143</v>
      </c>
      <c r="S1288" s="8" t="s">
        <v>665</v>
      </c>
      <c r="T1288" s="8"/>
      <c r="U1288" s="8" t="s">
        <v>412</v>
      </c>
      <c r="V1288" s="8"/>
      <c r="W1288" s="8" t="s">
        <v>380</v>
      </c>
      <c r="X1288" s="8" t="s">
        <v>29</v>
      </c>
      <c r="Y1288" s="8" t="s">
        <v>23</v>
      </c>
    </row>
    <row r="1289" spans="1:25" hidden="1" x14ac:dyDescent="0.25">
      <c r="A1289" s="273" t="s">
        <v>313</v>
      </c>
      <c r="B1289" s="251">
        <v>45721</v>
      </c>
      <c r="C1289" s="252" t="s">
        <v>782</v>
      </c>
      <c r="D1289" s="252" t="s">
        <v>879</v>
      </c>
      <c r="E1289" s="253">
        <v>839778.78</v>
      </c>
      <c r="F1289" s="253">
        <v>0</v>
      </c>
      <c r="G1289" s="274">
        <f>Tabla3[[#This Row],[INGRESOS]]-Tabla3[[#This Row],[EGRESOS]]</f>
        <v>-839778.78</v>
      </c>
      <c r="H1289" s="132">
        <v>-8396393.8399999999</v>
      </c>
      <c r="I1289" s="135">
        <v>1140</v>
      </c>
      <c r="J1289" s="136">
        <f>Tabla3[[#This Row],[EGRESOS]]/Tabla3[[#This Row],[TC]]</f>
        <v>736.64805263157893</v>
      </c>
      <c r="K1289" s="136">
        <f>Tabla3[[#This Row],[INGRESOS]]/Tabla3[[#This Row],[TC]]</f>
        <v>0</v>
      </c>
      <c r="L1289" s="8" t="s">
        <v>376</v>
      </c>
      <c r="M1289" s="8" t="s">
        <v>377</v>
      </c>
      <c r="N1289" s="8" t="s">
        <v>20</v>
      </c>
      <c r="O1289" s="8" t="s">
        <v>215</v>
      </c>
      <c r="P1289" s="8" t="s">
        <v>216</v>
      </c>
      <c r="Q1289" s="8" t="s">
        <v>220</v>
      </c>
      <c r="R1289" s="8" t="s">
        <v>329</v>
      </c>
      <c r="S1289" s="8" t="s">
        <v>634</v>
      </c>
      <c r="T1289" s="8" t="s">
        <v>880</v>
      </c>
      <c r="U1289" s="8" t="s">
        <v>412</v>
      </c>
      <c r="V1289" s="8"/>
      <c r="W1289" s="8" t="s">
        <v>380</v>
      </c>
      <c r="X1289" s="8" t="s">
        <v>29</v>
      </c>
      <c r="Y1289" s="8" t="s">
        <v>23</v>
      </c>
    </row>
    <row r="1290" spans="1:25" hidden="1" x14ac:dyDescent="0.25">
      <c r="A1290" s="273" t="s">
        <v>313</v>
      </c>
      <c r="B1290" s="251">
        <v>45721</v>
      </c>
      <c r="C1290" s="252" t="s">
        <v>810</v>
      </c>
      <c r="D1290" s="252"/>
      <c r="E1290" s="253">
        <v>0</v>
      </c>
      <c r="F1290" s="253">
        <v>300000</v>
      </c>
      <c r="G1290" s="274">
        <f>Tabla3[[#This Row],[INGRESOS]]-Tabla3[[#This Row],[EGRESOS]]</f>
        <v>300000</v>
      </c>
      <c r="H1290" s="132"/>
      <c r="I1290" s="135">
        <v>1140</v>
      </c>
      <c r="J1290" s="136">
        <f>Tabla3[[#This Row],[EGRESOS]]/Tabla3[[#This Row],[TC]]</f>
        <v>0</v>
      </c>
      <c r="K1290" s="136">
        <f>Tabla3[[#This Row],[INGRESOS]]/Tabla3[[#This Row],[TC]]</f>
        <v>263.15789473684208</v>
      </c>
      <c r="L1290" s="8" t="s">
        <v>376</v>
      </c>
      <c r="M1290" s="8" t="s">
        <v>377</v>
      </c>
      <c r="N1290" s="8" t="s">
        <v>20</v>
      </c>
      <c r="O1290" s="8" t="s">
        <v>244</v>
      </c>
      <c r="P1290" s="8" t="s">
        <v>259</v>
      </c>
      <c r="Q1290" s="8" t="s">
        <v>260</v>
      </c>
      <c r="R1290" s="8" t="s">
        <v>447</v>
      </c>
      <c r="S1290" s="8"/>
      <c r="T1290" s="8"/>
      <c r="U1290" s="8" t="s">
        <v>379</v>
      </c>
      <c r="V1290" s="8"/>
      <c r="W1290" s="8" t="s">
        <v>380</v>
      </c>
      <c r="X1290" s="8"/>
      <c r="Y1290" s="8"/>
    </row>
    <row r="1291" spans="1:25" hidden="1" x14ac:dyDescent="0.25">
      <c r="A1291" s="273" t="s">
        <v>313</v>
      </c>
      <c r="B1291" s="251">
        <v>45721</v>
      </c>
      <c r="C1291" s="252" t="s">
        <v>810</v>
      </c>
      <c r="D1291" s="252"/>
      <c r="E1291" s="253">
        <v>0</v>
      </c>
      <c r="F1291" s="253">
        <v>1400000</v>
      </c>
      <c r="G1291" s="274">
        <f>Tabla3[[#This Row],[INGRESOS]]-Tabla3[[#This Row],[EGRESOS]]</f>
        <v>1400000</v>
      </c>
      <c r="H1291" s="132">
        <v>-6696393.8399999999</v>
      </c>
      <c r="I1291" s="135">
        <v>1140</v>
      </c>
      <c r="J1291" s="136">
        <f>Tabla3[[#This Row],[EGRESOS]]/Tabla3[[#This Row],[TC]]</f>
        <v>0</v>
      </c>
      <c r="K1291" s="136">
        <f>Tabla3[[#This Row],[INGRESOS]]/Tabla3[[#This Row],[TC]]</f>
        <v>1228.0701754385964</v>
      </c>
      <c r="L1291" s="8" t="s">
        <v>376</v>
      </c>
      <c r="M1291" s="8" t="s">
        <v>377</v>
      </c>
      <c r="N1291" s="8" t="s">
        <v>20</v>
      </c>
      <c r="O1291" s="8" t="s">
        <v>244</v>
      </c>
      <c r="P1291" s="8" t="s">
        <v>259</v>
      </c>
      <c r="Q1291" s="8" t="s">
        <v>260</v>
      </c>
      <c r="R1291" s="8" t="s">
        <v>447</v>
      </c>
      <c r="S1291" s="8"/>
      <c r="T1291" s="8"/>
      <c r="U1291" s="8" t="s">
        <v>379</v>
      </c>
      <c r="V1291" s="8"/>
      <c r="W1291" s="8" t="s">
        <v>380</v>
      </c>
      <c r="X1291" s="8"/>
      <c r="Y1291" s="8"/>
    </row>
    <row r="1292" spans="1:25" hidden="1" x14ac:dyDescent="0.25">
      <c r="A1292" s="273" t="s">
        <v>313</v>
      </c>
      <c r="B1292" s="251">
        <v>45721</v>
      </c>
      <c r="C1292" s="252" t="s">
        <v>793</v>
      </c>
      <c r="D1292" s="252"/>
      <c r="E1292" s="253">
        <v>0</v>
      </c>
      <c r="F1292" s="253">
        <v>90000</v>
      </c>
      <c r="G1292" s="274">
        <f>Tabla3[[#This Row],[INGRESOS]]-Tabla3[[#This Row],[EGRESOS]]</f>
        <v>90000</v>
      </c>
      <c r="H1292" s="132">
        <v>-6606393.8399999999</v>
      </c>
      <c r="I1292" s="135">
        <v>1140</v>
      </c>
      <c r="J1292" s="136">
        <f>Tabla3[[#This Row],[EGRESOS]]/Tabla3[[#This Row],[TC]]</f>
        <v>0</v>
      </c>
      <c r="K1292" s="136">
        <f>Tabla3[[#This Row],[INGRESOS]]/Tabla3[[#This Row],[TC]]</f>
        <v>78.94736842105263</v>
      </c>
      <c r="L1292" s="8" t="s">
        <v>376</v>
      </c>
      <c r="M1292" s="8" t="s">
        <v>377</v>
      </c>
      <c r="N1292" s="8" t="s">
        <v>20</v>
      </c>
      <c r="O1292" s="8" t="s">
        <v>244</v>
      </c>
      <c r="P1292" s="8" t="s">
        <v>259</v>
      </c>
      <c r="Q1292" s="8" t="s">
        <v>260</v>
      </c>
      <c r="R1292" s="8" t="s">
        <v>474</v>
      </c>
      <c r="S1292" s="8"/>
      <c r="T1292" s="8"/>
      <c r="U1292" s="8" t="s">
        <v>379</v>
      </c>
      <c r="V1292" s="8"/>
      <c r="W1292" s="8" t="s">
        <v>380</v>
      </c>
      <c r="X1292" s="8"/>
      <c r="Y1292" s="8"/>
    </row>
    <row r="1293" spans="1:25" hidden="1" x14ac:dyDescent="0.25">
      <c r="A1293" s="273" t="s">
        <v>313</v>
      </c>
      <c r="B1293" s="251">
        <v>45721</v>
      </c>
      <c r="C1293" s="252" t="s">
        <v>793</v>
      </c>
      <c r="D1293" s="252"/>
      <c r="E1293" s="253">
        <v>0</v>
      </c>
      <c r="F1293" s="253">
        <v>290000</v>
      </c>
      <c r="G1293" s="274">
        <f>Tabla3[[#This Row],[INGRESOS]]-Tabla3[[#This Row],[EGRESOS]]</f>
        <v>290000</v>
      </c>
      <c r="H1293" s="132">
        <v>-6316393.8399999999</v>
      </c>
      <c r="I1293" s="135">
        <v>1140</v>
      </c>
      <c r="J1293" s="136">
        <f>Tabla3[[#This Row],[EGRESOS]]/Tabla3[[#This Row],[TC]]</f>
        <v>0</v>
      </c>
      <c r="K1293" s="136">
        <f>Tabla3[[#This Row],[INGRESOS]]/Tabla3[[#This Row],[TC]]</f>
        <v>254.38596491228071</v>
      </c>
      <c r="L1293" s="8" t="s">
        <v>376</v>
      </c>
      <c r="M1293" s="8" t="s">
        <v>377</v>
      </c>
      <c r="N1293" s="8" t="s">
        <v>20</v>
      </c>
      <c r="O1293" s="8" t="s">
        <v>244</v>
      </c>
      <c r="P1293" s="8" t="s">
        <v>259</v>
      </c>
      <c r="Q1293" s="8" t="s">
        <v>260</v>
      </c>
      <c r="R1293" s="8" t="s">
        <v>554</v>
      </c>
      <c r="S1293" s="8"/>
      <c r="T1293" s="8"/>
      <c r="U1293" s="8" t="s">
        <v>379</v>
      </c>
      <c r="V1293" s="8"/>
      <c r="W1293" s="8" t="s">
        <v>380</v>
      </c>
      <c r="X1293" s="8"/>
      <c r="Y1293" s="8"/>
    </row>
    <row r="1294" spans="1:25" hidden="1" x14ac:dyDescent="0.25">
      <c r="A1294" s="273" t="s">
        <v>313</v>
      </c>
      <c r="B1294" s="251">
        <v>45721</v>
      </c>
      <c r="C1294" s="252" t="s">
        <v>793</v>
      </c>
      <c r="D1294" s="252"/>
      <c r="E1294" s="253">
        <v>0</v>
      </c>
      <c r="F1294" s="253">
        <v>350000</v>
      </c>
      <c r="G1294" s="274">
        <f>Tabla3[[#This Row],[INGRESOS]]-Tabla3[[#This Row],[EGRESOS]]</f>
        <v>350000</v>
      </c>
      <c r="H1294" s="132">
        <v>-5966393.8399999999</v>
      </c>
      <c r="I1294" s="135">
        <v>1140</v>
      </c>
      <c r="J1294" s="136">
        <f>Tabla3[[#This Row],[EGRESOS]]/Tabla3[[#This Row],[TC]]</f>
        <v>0</v>
      </c>
      <c r="K1294" s="136">
        <f>Tabla3[[#This Row],[INGRESOS]]/Tabla3[[#This Row],[TC]]</f>
        <v>307.01754385964909</v>
      </c>
      <c r="L1294" s="8" t="s">
        <v>376</v>
      </c>
      <c r="M1294" s="8" t="s">
        <v>377</v>
      </c>
      <c r="N1294" s="8" t="s">
        <v>20</v>
      </c>
      <c r="O1294" s="8" t="s">
        <v>244</v>
      </c>
      <c r="P1294" s="8" t="s">
        <v>259</v>
      </c>
      <c r="Q1294" s="8" t="s">
        <v>260</v>
      </c>
      <c r="R1294" s="8" t="s">
        <v>474</v>
      </c>
      <c r="S1294" s="8"/>
      <c r="T1294" s="8"/>
      <c r="U1294" s="8" t="s">
        <v>379</v>
      </c>
      <c r="V1294" s="8"/>
      <c r="W1294" s="8" t="s">
        <v>380</v>
      </c>
      <c r="X1294" s="8"/>
      <c r="Y1294" s="8"/>
    </row>
    <row r="1295" spans="1:25" hidden="1" x14ac:dyDescent="0.25">
      <c r="A1295" s="273" t="s">
        <v>313</v>
      </c>
      <c r="B1295" s="251">
        <v>45721</v>
      </c>
      <c r="C1295" s="252" t="s">
        <v>762</v>
      </c>
      <c r="D1295" s="252"/>
      <c r="E1295" s="253">
        <v>2741.13</v>
      </c>
      <c r="F1295" s="253">
        <v>0</v>
      </c>
      <c r="G1295" s="274">
        <f>Tabla3[[#This Row],[INGRESOS]]-Tabla3[[#This Row],[EGRESOS]]</f>
        <v>-2741.13</v>
      </c>
      <c r="H1295" s="132">
        <v>-5969134.9699999997</v>
      </c>
      <c r="I1295" s="135">
        <v>1140</v>
      </c>
      <c r="J1295" s="136">
        <f>Tabla3[[#This Row],[EGRESOS]]/Tabla3[[#This Row],[TC]]</f>
        <v>2.4045000000000001</v>
      </c>
      <c r="K1295" s="136">
        <f>Tabla3[[#This Row],[INGRESOS]]/Tabla3[[#This Row],[TC]]</f>
        <v>0</v>
      </c>
      <c r="L1295" s="8" t="s">
        <v>376</v>
      </c>
      <c r="M1295" s="8" t="s">
        <v>377</v>
      </c>
      <c r="N1295" s="8" t="s">
        <v>20</v>
      </c>
      <c r="O1295" s="7" t="s">
        <v>184</v>
      </c>
      <c r="P1295" s="7" t="s">
        <v>195</v>
      </c>
      <c r="Q1295" s="7" t="s">
        <v>196</v>
      </c>
      <c r="R1295" s="7" t="s">
        <v>382</v>
      </c>
      <c r="S1295" s="7" t="s">
        <v>383</v>
      </c>
      <c r="T1295" s="7"/>
      <c r="U1295" s="8" t="s">
        <v>384</v>
      </c>
      <c r="V1295" s="7"/>
      <c r="W1295" s="8" t="s">
        <v>380</v>
      </c>
      <c r="X1295" s="8" t="s">
        <v>99</v>
      </c>
      <c r="Y1295" s="8" t="s">
        <v>23</v>
      </c>
    </row>
    <row r="1296" spans="1:25" hidden="1" x14ac:dyDescent="0.25">
      <c r="A1296" s="273" t="s">
        <v>313</v>
      </c>
      <c r="B1296" s="251">
        <v>45721</v>
      </c>
      <c r="C1296" s="252" t="s">
        <v>763</v>
      </c>
      <c r="D1296" s="252"/>
      <c r="E1296" s="253">
        <v>391.59</v>
      </c>
      <c r="F1296" s="253">
        <v>0</v>
      </c>
      <c r="G1296" s="274">
        <f>Tabla3[[#This Row],[INGRESOS]]-Tabla3[[#This Row],[EGRESOS]]</f>
        <v>-391.59</v>
      </c>
      <c r="H1296" s="132">
        <v>-5969526.5599999996</v>
      </c>
      <c r="I1296" s="135">
        <v>1140</v>
      </c>
      <c r="J1296" s="136">
        <f>Tabla3[[#This Row],[EGRESOS]]/Tabla3[[#This Row],[TC]]</f>
        <v>0.34349999999999997</v>
      </c>
      <c r="K1296" s="136">
        <f>Tabla3[[#This Row],[INGRESOS]]/Tabla3[[#This Row],[TC]]</f>
        <v>0</v>
      </c>
      <c r="L1296" s="8" t="s">
        <v>376</v>
      </c>
      <c r="M1296" s="8" t="s">
        <v>377</v>
      </c>
      <c r="N1296" s="8" t="s">
        <v>20</v>
      </c>
      <c r="O1296" s="7" t="s">
        <v>184</v>
      </c>
      <c r="P1296" s="7" t="s">
        <v>195</v>
      </c>
      <c r="Q1296" s="7" t="s">
        <v>196</v>
      </c>
      <c r="R1296" s="7" t="s">
        <v>417</v>
      </c>
      <c r="S1296" s="7" t="s">
        <v>383</v>
      </c>
      <c r="T1296" s="7"/>
      <c r="U1296" s="8" t="s">
        <v>384</v>
      </c>
      <c r="V1296" s="7"/>
      <c r="W1296" s="8" t="s">
        <v>380</v>
      </c>
      <c r="X1296" s="8" t="s">
        <v>99</v>
      </c>
      <c r="Y1296" s="8" t="s">
        <v>23</v>
      </c>
    </row>
    <row r="1297" spans="1:25" hidden="1" x14ac:dyDescent="0.25">
      <c r="A1297" s="273" t="s">
        <v>313</v>
      </c>
      <c r="B1297" s="251">
        <v>45721</v>
      </c>
      <c r="C1297" s="252" t="s">
        <v>794</v>
      </c>
      <c r="D1297" s="252"/>
      <c r="E1297" s="253">
        <v>13053</v>
      </c>
      <c r="F1297" s="253">
        <v>0</v>
      </c>
      <c r="G1297" s="274">
        <f>Tabla3[[#This Row],[INGRESOS]]-Tabla3[[#This Row],[EGRESOS]]</f>
        <v>-13053</v>
      </c>
      <c r="H1297" s="132">
        <v>-5982579.5599999996</v>
      </c>
      <c r="I1297" s="135">
        <v>1140</v>
      </c>
      <c r="J1297" s="136">
        <f>Tabla3[[#This Row],[EGRESOS]]/Tabla3[[#This Row],[TC]]</f>
        <v>11.45</v>
      </c>
      <c r="K1297" s="136">
        <f>Tabla3[[#This Row],[INGRESOS]]/Tabla3[[#This Row],[TC]]</f>
        <v>0</v>
      </c>
      <c r="L1297" s="8" t="s">
        <v>376</v>
      </c>
      <c r="M1297" s="8" t="s">
        <v>377</v>
      </c>
      <c r="N1297" s="8" t="s">
        <v>20</v>
      </c>
      <c r="O1297" s="7" t="s">
        <v>184</v>
      </c>
      <c r="P1297" s="7" t="s">
        <v>185</v>
      </c>
      <c r="Q1297" s="7" t="s">
        <v>186</v>
      </c>
      <c r="R1297" s="7" t="s">
        <v>227</v>
      </c>
      <c r="S1297" s="7"/>
      <c r="T1297" s="7"/>
      <c r="U1297" s="8" t="s">
        <v>384</v>
      </c>
      <c r="V1297" s="7"/>
      <c r="W1297" s="8" t="s">
        <v>380</v>
      </c>
      <c r="X1297" s="8" t="s">
        <v>99</v>
      </c>
      <c r="Y1297" s="8" t="s">
        <v>23</v>
      </c>
    </row>
    <row r="1298" spans="1:25" hidden="1" x14ac:dyDescent="0.25">
      <c r="A1298" s="273" t="s">
        <v>313</v>
      </c>
      <c r="B1298" s="251">
        <v>45721</v>
      </c>
      <c r="C1298" s="252" t="s">
        <v>845</v>
      </c>
      <c r="D1298" s="252"/>
      <c r="E1298" s="253">
        <v>4307.79</v>
      </c>
      <c r="F1298" s="253">
        <v>0</v>
      </c>
      <c r="G1298" s="274">
        <f>Tabla3[[#This Row],[INGRESOS]]-Tabla3[[#This Row],[EGRESOS]]</f>
        <v>-4307.79</v>
      </c>
      <c r="H1298" s="132">
        <v>-5986887.3499999996</v>
      </c>
      <c r="I1298" s="135">
        <v>1140</v>
      </c>
      <c r="J1298" s="136">
        <f>Tabla3[[#This Row],[EGRESOS]]/Tabla3[[#This Row],[TC]]</f>
        <v>3.7787631578947369</v>
      </c>
      <c r="K1298" s="136">
        <f>Tabla3[[#This Row],[INGRESOS]]/Tabla3[[#This Row],[TC]]</f>
        <v>0</v>
      </c>
      <c r="L1298" s="8" t="s">
        <v>376</v>
      </c>
      <c r="M1298" s="8" t="s">
        <v>377</v>
      </c>
      <c r="N1298" s="8" t="s">
        <v>20</v>
      </c>
      <c r="O1298" s="8" t="s">
        <v>184</v>
      </c>
      <c r="P1298" s="8" t="s">
        <v>195</v>
      </c>
      <c r="Q1298" s="8" t="s">
        <v>196</v>
      </c>
      <c r="R1298" s="8" t="s">
        <v>423</v>
      </c>
      <c r="S1298" s="8" t="s">
        <v>69</v>
      </c>
      <c r="T1298" s="8"/>
      <c r="U1298" s="8" t="s">
        <v>384</v>
      </c>
      <c r="V1298" s="8"/>
      <c r="W1298" s="8" t="s">
        <v>380</v>
      </c>
      <c r="X1298" s="8" t="s">
        <v>99</v>
      </c>
      <c r="Y1298" s="8" t="s">
        <v>23</v>
      </c>
    </row>
    <row r="1299" spans="1:25" hidden="1" x14ac:dyDescent="0.25">
      <c r="A1299" s="273" t="s">
        <v>313</v>
      </c>
      <c r="B1299" s="251">
        <v>45721</v>
      </c>
      <c r="C1299" s="252" t="s">
        <v>760</v>
      </c>
      <c r="D1299" s="252"/>
      <c r="E1299" s="253">
        <v>14566.14</v>
      </c>
      <c r="F1299" s="253">
        <v>0</v>
      </c>
      <c r="G1299" s="274">
        <f>Tabla3[[#This Row],[INGRESOS]]-Tabla3[[#This Row],[EGRESOS]]</f>
        <v>-14566.14</v>
      </c>
      <c r="H1299" s="132">
        <v>-6001453.4900000002</v>
      </c>
      <c r="I1299" s="135">
        <v>1140</v>
      </c>
      <c r="J1299" s="136">
        <f>Tabla3[[#This Row],[EGRESOS]]/Tabla3[[#This Row],[TC]]</f>
        <v>12.777315789473684</v>
      </c>
      <c r="K1299" s="136">
        <f>Tabla3[[#This Row],[INGRESOS]]/Tabla3[[#This Row],[TC]]</f>
        <v>0</v>
      </c>
      <c r="L1299" s="8" t="s">
        <v>376</v>
      </c>
      <c r="M1299" s="8" t="s">
        <v>377</v>
      </c>
      <c r="N1299" s="8" t="s">
        <v>20</v>
      </c>
      <c r="O1299" s="8" t="s">
        <v>184</v>
      </c>
      <c r="P1299" s="8" t="s">
        <v>195</v>
      </c>
      <c r="Q1299" s="8" t="s">
        <v>196</v>
      </c>
      <c r="R1299" s="8" t="s">
        <v>394</v>
      </c>
      <c r="S1299" s="8" t="s">
        <v>383</v>
      </c>
      <c r="T1299" s="8"/>
      <c r="U1299" s="8" t="s">
        <v>384</v>
      </c>
      <c r="V1299" s="8"/>
      <c r="W1299" s="8" t="s">
        <v>380</v>
      </c>
      <c r="X1299" s="8" t="s">
        <v>99</v>
      </c>
      <c r="Y1299" s="8" t="s">
        <v>23</v>
      </c>
    </row>
    <row r="1300" spans="1:25" hidden="1" x14ac:dyDescent="0.25">
      <c r="A1300" s="273" t="s">
        <v>313</v>
      </c>
      <c r="B1300" s="251">
        <v>45722</v>
      </c>
      <c r="C1300" s="252" t="s">
        <v>782</v>
      </c>
      <c r="D1300" s="252" t="s">
        <v>881</v>
      </c>
      <c r="E1300" s="253">
        <v>1331000</v>
      </c>
      <c r="F1300" s="253">
        <v>0</v>
      </c>
      <c r="G1300" s="274">
        <f>Tabla3[[#This Row],[INGRESOS]]-Tabla3[[#This Row],[EGRESOS]]</f>
        <v>-1331000</v>
      </c>
      <c r="H1300" s="132">
        <v>-7332453.4900000002</v>
      </c>
      <c r="I1300" s="135">
        <v>1140</v>
      </c>
      <c r="J1300" s="136">
        <f>Tabla3[[#This Row],[EGRESOS]]/Tabla3[[#This Row],[TC]]</f>
        <v>1167.5438596491229</v>
      </c>
      <c r="K1300" s="136">
        <f>Tabla3[[#This Row],[INGRESOS]]/Tabla3[[#This Row],[TC]]</f>
        <v>0</v>
      </c>
      <c r="L1300" s="8" t="s">
        <v>376</v>
      </c>
      <c r="M1300" s="8" t="s">
        <v>377</v>
      </c>
      <c r="N1300" s="8" t="s">
        <v>20</v>
      </c>
      <c r="O1300" s="8" t="s">
        <v>215</v>
      </c>
      <c r="P1300" s="8" t="s">
        <v>216</v>
      </c>
      <c r="Q1300" s="8" t="s">
        <v>220</v>
      </c>
      <c r="R1300" s="8" t="s">
        <v>327</v>
      </c>
      <c r="S1300" s="8" t="s">
        <v>551</v>
      </c>
      <c r="T1300" s="8"/>
      <c r="U1300" s="8" t="s">
        <v>403</v>
      </c>
      <c r="V1300" s="8"/>
      <c r="W1300" s="8" t="s">
        <v>380</v>
      </c>
      <c r="X1300" s="8" t="s">
        <v>29</v>
      </c>
      <c r="Y1300" s="8" t="s">
        <v>23</v>
      </c>
    </row>
    <row r="1301" spans="1:25" hidden="1" x14ac:dyDescent="0.25">
      <c r="A1301" s="273" t="s">
        <v>313</v>
      </c>
      <c r="B1301" s="251">
        <v>45722</v>
      </c>
      <c r="C1301" s="252" t="s">
        <v>782</v>
      </c>
      <c r="D1301" s="252" t="s">
        <v>882</v>
      </c>
      <c r="E1301" s="253">
        <v>1229406</v>
      </c>
      <c r="F1301" s="253">
        <v>0</v>
      </c>
      <c r="G1301" s="274">
        <f>Tabla3[[#This Row],[INGRESOS]]-Tabla3[[#This Row],[EGRESOS]]</f>
        <v>-1229406</v>
      </c>
      <c r="H1301" s="132">
        <v>-8561859.4900000002</v>
      </c>
      <c r="I1301" s="135">
        <v>1140</v>
      </c>
      <c r="J1301" s="136">
        <f>Tabla3[[#This Row],[EGRESOS]]/Tabla3[[#This Row],[TC]]</f>
        <v>1078.4263157894736</v>
      </c>
      <c r="K1301" s="136">
        <f>Tabla3[[#This Row],[INGRESOS]]/Tabla3[[#This Row],[TC]]</f>
        <v>0</v>
      </c>
      <c r="L1301" s="8" t="s">
        <v>376</v>
      </c>
      <c r="M1301" s="8" t="s">
        <v>377</v>
      </c>
      <c r="N1301" s="8" t="s">
        <v>20</v>
      </c>
      <c r="O1301" s="8" t="s">
        <v>215</v>
      </c>
      <c r="P1301" s="8" t="s">
        <v>216</v>
      </c>
      <c r="Q1301" s="8" t="s">
        <v>220</v>
      </c>
      <c r="R1301" s="8" t="s">
        <v>327</v>
      </c>
      <c r="S1301" s="8" t="s">
        <v>551</v>
      </c>
      <c r="T1301" s="8"/>
      <c r="U1301" s="8" t="s">
        <v>403</v>
      </c>
      <c r="V1301" s="8"/>
      <c r="W1301" s="8" t="s">
        <v>380</v>
      </c>
      <c r="X1301" s="8" t="s">
        <v>29</v>
      </c>
      <c r="Y1301" s="8" t="s">
        <v>23</v>
      </c>
    </row>
    <row r="1302" spans="1:25" hidden="1" x14ac:dyDescent="0.25">
      <c r="A1302" s="273" t="s">
        <v>313</v>
      </c>
      <c r="B1302" s="251">
        <v>45722</v>
      </c>
      <c r="C1302" s="252" t="s">
        <v>782</v>
      </c>
      <c r="D1302" s="252" t="s">
        <v>883</v>
      </c>
      <c r="E1302" s="253">
        <v>102000</v>
      </c>
      <c r="F1302" s="253">
        <v>0</v>
      </c>
      <c r="G1302" s="274">
        <f>Tabla3[[#This Row],[INGRESOS]]-Tabla3[[#This Row],[EGRESOS]]</f>
        <v>-102000</v>
      </c>
      <c r="H1302" s="132">
        <v>-8663859.4900000002</v>
      </c>
      <c r="I1302" s="135">
        <v>1140</v>
      </c>
      <c r="J1302" s="136">
        <f>Tabla3[[#This Row],[EGRESOS]]/Tabla3[[#This Row],[TC]]</f>
        <v>89.473684210526315</v>
      </c>
      <c r="K1302" s="136">
        <f>Tabla3[[#This Row],[INGRESOS]]/Tabla3[[#This Row],[TC]]</f>
        <v>0</v>
      </c>
      <c r="L1302" s="8" t="s">
        <v>376</v>
      </c>
      <c r="M1302" s="8" t="s">
        <v>377</v>
      </c>
      <c r="N1302" s="8" t="s">
        <v>20</v>
      </c>
      <c r="O1302" s="8" t="s">
        <v>225</v>
      </c>
      <c r="P1302" s="8" t="s">
        <v>233</v>
      </c>
      <c r="Q1302" s="8" t="s">
        <v>234</v>
      </c>
      <c r="R1302" s="7" t="s">
        <v>798</v>
      </c>
      <c r="S1302" s="8" t="s">
        <v>799</v>
      </c>
      <c r="T1302" s="8"/>
      <c r="U1302" s="8" t="s">
        <v>412</v>
      </c>
      <c r="V1302" s="8"/>
      <c r="W1302" s="8" t="s">
        <v>380</v>
      </c>
      <c r="X1302" s="8" t="s">
        <v>29</v>
      </c>
      <c r="Y1302" s="8" t="s">
        <v>23</v>
      </c>
    </row>
    <row r="1303" spans="1:25" hidden="1" x14ac:dyDescent="0.25">
      <c r="A1303" s="273" t="s">
        <v>313</v>
      </c>
      <c r="B1303" s="251">
        <v>45722</v>
      </c>
      <c r="C1303" s="252" t="s">
        <v>793</v>
      </c>
      <c r="D1303" s="253"/>
      <c r="E1303" s="253">
        <v>0</v>
      </c>
      <c r="F1303" s="253">
        <v>2670000</v>
      </c>
      <c r="G1303" s="274">
        <f>Tabla3[[#This Row],[INGRESOS]]-Tabla3[[#This Row],[EGRESOS]]</f>
        <v>2670000</v>
      </c>
      <c r="H1303" s="132">
        <v>-5993859.4900000002</v>
      </c>
      <c r="I1303" s="135">
        <v>1140</v>
      </c>
      <c r="J1303" s="136">
        <f>Tabla3[[#This Row],[EGRESOS]]/Tabla3[[#This Row],[TC]]</f>
        <v>0</v>
      </c>
      <c r="K1303" s="136">
        <f>Tabla3[[#This Row],[INGRESOS]]/Tabla3[[#This Row],[TC]]</f>
        <v>2342.1052631578946</v>
      </c>
      <c r="L1303" s="8" t="s">
        <v>376</v>
      </c>
      <c r="M1303" s="8" t="s">
        <v>377</v>
      </c>
      <c r="N1303" s="8" t="s">
        <v>20</v>
      </c>
      <c r="O1303" s="8" t="s">
        <v>244</v>
      </c>
      <c r="P1303" s="8" t="s">
        <v>259</v>
      </c>
      <c r="Q1303" s="8" t="s">
        <v>260</v>
      </c>
      <c r="R1303" s="8" t="s">
        <v>474</v>
      </c>
      <c r="S1303" s="8"/>
      <c r="T1303" s="8"/>
      <c r="U1303" s="8" t="s">
        <v>379</v>
      </c>
      <c r="V1303" s="8"/>
      <c r="W1303" s="8" t="s">
        <v>380</v>
      </c>
      <c r="X1303" s="8"/>
      <c r="Y1303" s="8"/>
    </row>
    <row r="1304" spans="1:25" hidden="1" x14ac:dyDescent="0.25">
      <c r="A1304" s="273" t="s">
        <v>313</v>
      </c>
      <c r="B1304" s="251">
        <v>45722</v>
      </c>
      <c r="C1304" s="252" t="s">
        <v>762</v>
      </c>
      <c r="D1304" s="253"/>
      <c r="E1304" s="253">
        <v>2741.13</v>
      </c>
      <c r="F1304" s="253">
        <v>0</v>
      </c>
      <c r="G1304" s="274">
        <f>Tabla3[[#This Row],[INGRESOS]]-Tabla3[[#This Row],[EGRESOS]]</f>
        <v>-2741.13</v>
      </c>
      <c r="H1304" s="132">
        <v>-5996600.6200000001</v>
      </c>
      <c r="I1304" s="135">
        <v>1140</v>
      </c>
      <c r="J1304" s="136">
        <f>Tabla3[[#This Row],[EGRESOS]]/Tabla3[[#This Row],[TC]]</f>
        <v>2.4045000000000001</v>
      </c>
      <c r="K1304" s="136">
        <f>Tabla3[[#This Row],[INGRESOS]]/Tabla3[[#This Row],[TC]]</f>
        <v>0</v>
      </c>
      <c r="L1304" s="8" t="s">
        <v>376</v>
      </c>
      <c r="M1304" s="8" t="s">
        <v>377</v>
      </c>
      <c r="N1304" s="8" t="s">
        <v>20</v>
      </c>
      <c r="O1304" s="8" t="s">
        <v>184</v>
      </c>
      <c r="P1304" s="8" t="s">
        <v>195</v>
      </c>
      <c r="Q1304" s="8" t="s">
        <v>196</v>
      </c>
      <c r="R1304" s="8" t="s">
        <v>382</v>
      </c>
      <c r="S1304" s="8" t="s">
        <v>383</v>
      </c>
      <c r="T1304" s="8"/>
      <c r="U1304" s="8" t="s">
        <v>384</v>
      </c>
      <c r="V1304" s="8"/>
      <c r="W1304" s="8" t="s">
        <v>380</v>
      </c>
      <c r="X1304" s="8" t="s">
        <v>99</v>
      </c>
      <c r="Y1304" s="8" t="s">
        <v>23</v>
      </c>
    </row>
    <row r="1305" spans="1:25" hidden="1" x14ac:dyDescent="0.25">
      <c r="A1305" s="273" t="s">
        <v>313</v>
      </c>
      <c r="B1305" s="251">
        <v>45722</v>
      </c>
      <c r="C1305" s="252" t="s">
        <v>763</v>
      </c>
      <c r="D1305" s="253"/>
      <c r="E1305" s="253">
        <v>391.59</v>
      </c>
      <c r="F1305" s="253">
        <v>0</v>
      </c>
      <c r="G1305" s="274">
        <f>Tabla3[[#This Row],[INGRESOS]]-Tabla3[[#This Row],[EGRESOS]]</f>
        <v>-391.59</v>
      </c>
      <c r="H1305" s="132">
        <v>-5996992.21</v>
      </c>
      <c r="I1305" s="135">
        <v>1140</v>
      </c>
      <c r="J1305" s="136">
        <f>Tabla3[[#This Row],[EGRESOS]]/Tabla3[[#This Row],[TC]]</f>
        <v>0.34349999999999997</v>
      </c>
      <c r="K1305" s="136">
        <f>Tabla3[[#This Row],[INGRESOS]]/Tabla3[[#This Row],[TC]]</f>
        <v>0</v>
      </c>
      <c r="L1305" s="8" t="s">
        <v>376</v>
      </c>
      <c r="M1305" s="8" t="s">
        <v>377</v>
      </c>
      <c r="N1305" s="8" t="s">
        <v>20</v>
      </c>
      <c r="O1305" s="8" t="s">
        <v>184</v>
      </c>
      <c r="P1305" s="8" t="s">
        <v>195</v>
      </c>
      <c r="Q1305" s="8" t="s">
        <v>196</v>
      </c>
      <c r="R1305" s="8" t="s">
        <v>417</v>
      </c>
      <c r="S1305" s="8" t="s">
        <v>383</v>
      </c>
      <c r="T1305" s="8"/>
      <c r="U1305" s="8" t="s">
        <v>384</v>
      </c>
      <c r="V1305" s="8"/>
      <c r="W1305" s="8" t="s">
        <v>380</v>
      </c>
      <c r="X1305" s="8" t="s">
        <v>99</v>
      </c>
      <c r="Y1305" s="8" t="s">
        <v>23</v>
      </c>
    </row>
    <row r="1306" spans="1:25" hidden="1" x14ac:dyDescent="0.25">
      <c r="A1306" s="273" t="s">
        <v>313</v>
      </c>
      <c r="B1306" s="251">
        <v>45722</v>
      </c>
      <c r="C1306" s="252" t="s">
        <v>794</v>
      </c>
      <c r="D1306" s="253"/>
      <c r="E1306" s="253">
        <v>13053</v>
      </c>
      <c r="F1306" s="253">
        <v>0</v>
      </c>
      <c r="G1306" s="274">
        <f>Tabla3[[#This Row],[INGRESOS]]-Tabla3[[#This Row],[EGRESOS]]</f>
        <v>-13053</v>
      </c>
      <c r="H1306" s="132">
        <v>-6010045.21</v>
      </c>
      <c r="I1306" s="135">
        <v>1140</v>
      </c>
      <c r="J1306" s="136">
        <f>Tabla3[[#This Row],[EGRESOS]]/Tabla3[[#This Row],[TC]]</f>
        <v>11.45</v>
      </c>
      <c r="K1306" s="136">
        <f>Tabla3[[#This Row],[INGRESOS]]/Tabla3[[#This Row],[TC]]</f>
        <v>0</v>
      </c>
      <c r="L1306" s="8" t="s">
        <v>376</v>
      </c>
      <c r="M1306" s="8" t="s">
        <v>377</v>
      </c>
      <c r="N1306" s="8" t="s">
        <v>20</v>
      </c>
      <c r="O1306" s="8" t="s">
        <v>184</v>
      </c>
      <c r="P1306" s="7" t="s">
        <v>185</v>
      </c>
      <c r="Q1306" s="8" t="s">
        <v>186</v>
      </c>
      <c r="R1306" s="8" t="s">
        <v>227</v>
      </c>
      <c r="S1306" s="8"/>
      <c r="T1306" s="8"/>
      <c r="U1306" s="8" t="s">
        <v>384</v>
      </c>
      <c r="V1306" s="8"/>
      <c r="W1306" s="8" t="s">
        <v>380</v>
      </c>
      <c r="X1306" s="8" t="s">
        <v>99</v>
      </c>
      <c r="Y1306" s="8" t="s">
        <v>23</v>
      </c>
    </row>
    <row r="1307" spans="1:25" hidden="1" x14ac:dyDescent="0.25">
      <c r="A1307" s="273" t="s">
        <v>313</v>
      </c>
      <c r="B1307" s="251">
        <v>45722</v>
      </c>
      <c r="C1307" s="252" t="s">
        <v>760</v>
      </c>
      <c r="D1307" s="253"/>
      <c r="E1307" s="253">
        <v>16071.55</v>
      </c>
      <c r="F1307" s="253">
        <v>0</v>
      </c>
      <c r="G1307" s="274">
        <f>Tabla3[[#This Row],[INGRESOS]]-Tabla3[[#This Row],[EGRESOS]]</f>
        <v>-16071.55</v>
      </c>
      <c r="H1307" s="132">
        <v>-6026116.7599999998</v>
      </c>
      <c r="I1307" s="135">
        <v>1140</v>
      </c>
      <c r="J1307" s="136">
        <f>Tabla3[[#This Row],[EGRESOS]]/Tabla3[[#This Row],[TC]]</f>
        <v>14.097850877192982</v>
      </c>
      <c r="K1307" s="136">
        <f>Tabla3[[#This Row],[INGRESOS]]/Tabla3[[#This Row],[TC]]</f>
        <v>0</v>
      </c>
      <c r="L1307" s="8" t="s">
        <v>376</v>
      </c>
      <c r="M1307" s="8" t="s">
        <v>377</v>
      </c>
      <c r="N1307" s="8" t="s">
        <v>20</v>
      </c>
      <c r="O1307" s="8" t="s">
        <v>184</v>
      </c>
      <c r="P1307" s="8" t="s">
        <v>195</v>
      </c>
      <c r="Q1307" s="8" t="s">
        <v>196</v>
      </c>
      <c r="R1307" s="8" t="s">
        <v>394</v>
      </c>
      <c r="S1307" s="8" t="s">
        <v>383</v>
      </c>
      <c r="T1307" s="8"/>
      <c r="U1307" s="8" t="s">
        <v>384</v>
      </c>
      <c r="V1307" s="8"/>
      <c r="W1307" s="8" t="s">
        <v>380</v>
      </c>
      <c r="X1307" s="8" t="s">
        <v>99</v>
      </c>
      <c r="Y1307" s="8" t="s">
        <v>23</v>
      </c>
    </row>
    <row r="1308" spans="1:25" hidden="1" x14ac:dyDescent="0.25">
      <c r="A1308" s="273" t="s">
        <v>315</v>
      </c>
      <c r="B1308" s="251">
        <v>45784</v>
      </c>
      <c r="C1308" s="252" t="s">
        <v>800</v>
      </c>
      <c r="D1308" s="252"/>
      <c r="E1308" s="253">
        <v>2000000</v>
      </c>
      <c r="F1308" s="253">
        <v>0</v>
      </c>
      <c r="G1308" s="274">
        <f>Tabla3[[#This Row],[INGRESOS]]-Tabla3[[#This Row],[EGRESOS]]</f>
        <v>-2000000</v>
      </c>
      <c r="H1308" s="137">
        <v>-20245293.370000001</v>
      </c>
      <c r="I1308" s="135">
        <v>1170</v>
      </c>
      <c r="J1308" s="136">
        <f>Tabla3[[#This Row],[EGRESOS]]/Tabla3[[#This Row],[TC]]</f>
        <v>1709.4017094017095</v>
      </c>
      <c r="K1308" s="136">
        <f>Tabla3[[#This Row],[INGRESOS]]/Tabla3[[#This Row],[TC]]</f>
        <v>0</v>
      </c>
      <c r="L1308" s="8" t="s">
        <v>376</v>
      </c>
      <c r="M1308" s="8" t="s">
        <v>377</v>
      </c>
      <c r="N1308" s="8" t="s">
        <v>20</v>
      </c>
      <c r="O1308" s="8" t="s">
        <v>184</v>
      </c>
      <c r="P1308" s="8" t="s">
        <v>203</v>
      </c>
      <c r="Q1308" s="8" t="s">
        <v>208</v>
      </c>
      <c r="R1308" s="8"/>
      <c r="S1308" s="8" t="s">
        <v>386</v>
      </c>
      <c r="T1308" s="8"/>
      <c r="U1308" s="8" t="s">
        <v>387</v>
      </c>
      <c r="V1308" s="8" t="s">
        <v>386</v>
      </c>
      <c r="W1308" s="8" t="s">
        <v>380</v>
      </c>
      <c r="X1308" s="8" t="s">
        <v>104</v>
      </c>
      <c r="Y1308" s="8" t="s">
        <v>23</v>
      </c>
    </row>
    <row r="1309" spans="1:25" hidden="1" x14ac:dyDescent="0.25">
      <c r="A1309" s="273" t="s">
        <v>313</v>
      </c>
      <c r="B1309" s="251">
        <v>45723</v>
      </c>
      <c r="C1309" s="252" t="s">
        <v>793</v>
      </c>
      <c r="D1309" s="252"/>
      <c r="E1309" s="253">
        <v>0</v>
      </c>
      <c r="F1309" s="253">
        <v>583000</v>
      </c>
      <c r="G1309" s="274">
        <f>Tabla3[[#This Row],[INGRESOS]]-Tabla3[[#This Row],[EGRESOS]]</f>
        <v>583000</v>
      </c>
      <c r="H1309" s="132">
        <v>-5998152.3300000001</v>
      </c>
      <c r="I1309" s="135">
        <v>1140</v>
      </c>
      <c r="J1309" s="136">
        <f>Tabla3[[#This Row],[EGRESOS]]/Tabla3[[#This Row],[TC]]</f>
        <v>0</v>
      </c>
      <c r="K1309" s="136">
        <f>Tabla3[[#This Row],[INGRESOS]]/Tabla3[[#This Row],[TC]]</f>
        <v>511.40350877192981</v>
      </c>
      <c r="L1309" s="8" t="s">
        <v>376</v>
      </c>
      <c r="M1309" s="8" t="s">
        <v>377</v>
      </c>
      <c r="N1309" s="8" t="s">
        <v>20</v>
      </c>
      <c r="O1309" s="8" t="s">
        <v>244</v>
      </c>
      <c r="P1309" s="8" t="s">
        <v>259</v>
      </c>
      <c r="Q1309" s="8" t="s">
        <v>260</v>
      </c>
      <c r="R1309" s="8" t="s">
        <v>474</v>
      </c>
      <c r="S1309" s="8"/>
      <c r="T1309" s="8"/>
      <c r="U1309" s="8" t="s">
        <v>379</v>
      </c>
      <c r="V1309" s="8"/>
      <c r="W1309" s="8" t="s">
        <v>380</v>
      </c>
      <c r="X1309" s="8"/>
      <c r="Y1309" s="8"/>
    </row>
    <row r="1310" spans="1:25" hidden="1" x14ac:dyDescent="0.25">
      <c r="A1310" s="273" t="s">
        <v>313</v>
      </c>
      <c r="B1310" s="251">
        <v>45723</v>
      </c>
      <c r="C1310" s="252" t="s">
        <v>762</v>
      </c>
      <c r="D1310" s="252"/>
      <c r="E1310" s="253">
        <v>583000</v>
      </c>
      <c r="F1310" s="249">
        <v>0</v>
      </c>
      <c r="G1310" s="274">
        <f>Tabla3[[#This Row],[INGRESOS]]-Tabla3[[#This Row],[EGRESOS]]</f>
        <v>-583000</v>
      </c>
      <c r="H1310" s="132">
        <v>-6000893.46</v>
      </c>
      <c r="I1310" s="135">
        <v>1140</v>
      </c>
      <c r="J1310" s="136">
        <f>Tabla3[[#This Row],[EGRESOS]]/Tabla3[[#This Row],[TC]]</f>
        <v>511.40350877192981</v>
      </c>
      <c r="K1310" s="136">
        <f>Tabla3[[#This Row],[INGRESOS]]/Tabla3[[#This Row],[TC]]</f>
        <v>0</v>
      </c>
      <c r="L1310" s="8" t="s">
        <v>376</v>
      </c>
      <c r="M1310" s="8" t="s">
        <v>377</v>
      </c>
      <c r="N1310" s="8" t="s">
        <v>20</v>
      </c>
      <c r="O1310" s="8" t="s">
        <v>184</v>
      </c>
      <c r="P1310" s="8" t="s">
        <v>195</v>
      </c>
      <c r="Q1310" s="8" t="s">
        <v>196</v>
      </c>
      <c r="R1310" s="8" t="s">
        <v>382</v>
      </c>
      <c r="S1310" s="8" t="s">
        <v>383</v>
      </c>
      <c r="T1310" s="8"/>
      <c r="U1310" s="8" t="s">
        <v>384</v>
      </c>
      <c r="V1310" s="8"/>
      <c r="W1310" s="8" t="s">
        <v>380</v>
      </c>
      <c r="X1310" s="8" t="s">
        <v>99</v>
      </c>
      <c r="Y1310" s="8" t="s">
        <v>23</v>
      </c>
    </row>
    <row r="1311" spans="1:25" hidden="1" x14ac:dyDescent="0.25">
      <c r="A1311" s="273" t="s">
        <v>313</v>
      </c>
      <c r="B1311" s="251">
        <v>45723</v>
      </c>
      <c r="C1311" s="252" t="s">
        <v>763</v>
      </c>
      <c r="D1311" s="252"/>
      <c r="E1311" s="253">
        <v>2741.13</v>
      </c>
      <c r="F1311" s="253">
        <v>0</v>
      </c>
      <c r="G1311" s="274">
        <f>Tabla3[[#This Row],[INGRESOS]]-Tabla3[[#This Row],[EGRESOS]]</f>
        <v>-2741.13</v>
      </c>
      <c r="H1311" s="132">
        <v>-6001285.0499999998</v>
      </c>
      <c r="I1311" s="135">
        <v>1140</v>
      </c>
      <c r="J1311" s="136">
        <f>Tabla3[[#This Row],[EGRESOS]]/Tabla3[[#This Row],[TC]]</f>
        <v>2.4045000000000001</v>
      </c>
      <c r="K1311" s="136">
        <f>Tabla3[[#This Row],[INGRESOS]]/Tabla3[[#This Row],[TC]]</f>
        <v>0</v>
      </c>
      <c r="L1311" s="8" t="s">
        <v>376</v>
      </c>
      <c r="M1311" s="8" t="s">
        <v>377</v>
      </c>
      <c r="N1311" s="8" t="s">
        <v>20</v>
      </c>
      <c r="O1311" s="8" t="s">
        <v>184</v>
      </c>
      <c r="P1311" s="8" t="s">
        <v>195</v>
      </c>
      <c r="Q1311" s="8" t="s">
        <v>196</v>
      </c>
      <c r="R1311" s="8" t="s">
        <v>417</v>
      </c>
      <c r="S1311" s="8" t="s">
        <v>383</v>
      </c>
      <c r="T1311" s="8"/>
      <c r="U1311" s="8" t="s">
        <v>384</v>
      </c>
      <c r="V1311" s="8"/>
      <c r="W1311" s="8" t="s">
        <v>380</v>
      </c>
      <c r="X1311" s="8" t="s">
        <v>99</v>
      </c>
      <c r="Y1311" s="8" t="s">
        <v>23</v>
      </c>
    </row>
    <row r="1312" spans="1:25" hidden="1" x14ac:dyDescent="0.25">
      <c r="A1312" s="273" t="s">
        <v>313</v>
      </c>
      <c r="B1312" s="251">
        <v>45723</v>
      </c>
      <c r="C1312" s="252" t="s">
        <v>794</v>
      </c>
      <c r="D1312" s="252"/>
      <c r="E1312" s="253">
        <v>391.59</v>
      </c>
      <c r="F1312" s="253">
        <v>0</v>
      </c>
      <c r="G1312" s="274">
        <f>Tabla3[[#This Row],[INGRESOS]]-Tabla3[[#This Row],[EGRESOS]]</f>
        <v>-391.59</v>
      </c>
      <c r="H1312" s="132">
        <v>-6014338.0499999998</v>
      </c>
      <c r="I1312" s="135">
        <v>1140</v>
      </c>
      <c r="J1312" s="136">
        <f>Tabla3[[#This Row],[EGRESOS]]/Tabla3[[#This Row],[TC]]</f>
        <v>0.34349999999999997</v>
      </c>
      <c r="K1312" s="136">
        <f>Tabla3[[#This Row],[INGRESOS]]/Tabla3[[#This Row],[TC]]</f>
        <v>0</v>
      </c>
      <c r="L1312" s="8" t="s">
        <v>376</v>
      </c>
      <c r="M1312" s="8" t="s">
        <v>377</v>
      </c>
      <c r="N1312" s="8" t="s">
        <v>20</v>
      </c>
      <c r="O1312" s="8" t="s">
        <v>184</v>
      </c>
      <c r="P1312" s="8" t="s">
        <v>185</v>
      </c>
      <c r="Q1312" s="8" t="s">
        <v>186</v>
      </c>
      <c r="R1312" s="8" t="s">
        <v>227</v>
      </c>
      <c r="S1312" s="8"/>
      <c r="T1312" s="8"/>
      <c r="U1312" s="8" t="s">
        <v>384</v>
      </c>
      <c r="V1312" s="8"/>
      <c r="W1312" s="8" t="s">
        <v>380</v>
      </c>
      <c r="X1312" s="8" t="s">
        <v>99</v>
      </c>
      <c r="Y1312" s="8" t="s">
        <v>23</v>
      </c>
    </row>
    <row r="1313" spans="1:25" hidden="1" x14ac:dyDescent="0.25">
      <c r="A1313" s="273" t="s">
        <v>313</v>
      </c>
      <c r="B1313" s="251">
        <v>45723</v>
      </c>
      <c r="C1313" s="252" t="s">
        <v>760</v>
      </c>
      <c r="D1313" s="252"/>
      <c r="E1313" s="253">
        <v>13053</v>
      </c>
      <c r="F1313" s="253">
        <v>0</v>
      </c>
      <c r="G1313" s="274">
        <f>Tabla3[[#This Row],[INGRESOS]]-Tabla3[[#This Row],[EGRESOS]]</f>
        <v>-13053</v>
      </c>
      <c r="H1313" s="132">
        <v>-6017765.3700000001</v>
      </c>
      <c r="I1313" s="135">
        <v>1140</v>
      </c>
      <c r="J1313" s="136">
        <f>Tabla3[[#This Row],[EGRESOS]]/Tabla3[[#This Row],[TC]]</f>
        <v>11.45</v>
      </c>
      <c r="K1313" s="136">
        <f>Tabla3[[#This Row],[INGRESOS]]/Tabla3[[#This Row],[TC]]</f>
        <v>0</v>
      </c>
      <c r="L1313" s="8" t="s">
        <v>376</v>
      </c>
      <c r="M1313" s="8" t="s">
        <v>377</v>
      </c>
      <c r="N1313" s="8" t="s">
        <v>20</v>
      </c>
      <c r="O1313" s="8" t="s">
        <v>184</v>
      </c>
      <c r="P1313" s="8" t="s">
        <v>195</v>
      </c>
      <c r="Q1313" s="8" t="s">
        <v>196</v>
      </c>
      <c r="R1313" s="8" t="s">
        <v>394</v>
      </c>
      <c r="S1313" s="8" t="s">
        <v>383</v>
      </c>
      <c r="T1313" s="8"/>
      <c r="U1313" s="8" t="s">
        <v>384</v>
      </c>
      <c r="V1313" s="8"/>
      <c r="W1313" s="8" t="s">
        <v>380</v>
      </c>
      <c r="X1313" s="8" t="s">
        <v>99</v>
      </c>
      <c r="Y1313" s="8" t="s">
        <v>23</v>
      </c>
    </row>
    <row r="1314" spans="1:25" hidden="1" x14ac:dyDescent="0.25">
      <c r="A1314" s="273" t="s">
        <v>313</v>
      </c>
      <c r="B1314" s="251">
        <v>45723</v>
      </c>
      <c r="C1314" s="252" t="s">
        <v>760</v>
      </c>
      <c r="D1314" s="252"/>
      <c r="E1314" s="253">
        <v>3427.32</v>
      </c>
      <c r="F1314" s="253">
        <v>0</v>
      </c>
      <c r="G1314" s="274">
        <f>Tabla3[[#This Row],[INGRESOS]]-Tabla3[[#This Row],[EGRESOS]]</f>
        <v>-3427.32</v>
      </c>
      <c r="H1314" s="132">
        <v>-6017765.3700000001</v>
      </c>
      <c r="I1314" s="135">
        <v>1140</v>
      </c>
      <c r="J1314" s="136">
        <f>Tabla3[[#This Row],[EGRESOS]]/Tabla3[[#This Row],[TC]]</f>
        <v>3.0064210526315791</v>
      </c>
      <c r="K1314" s="136">
        <f>Tabla3[[#This Row],[INGRESOS]]/Tabla3[[#This Row],[TC]]</f>
        <v>0</v>
      </c>
      <c r="L1314" s="8" t="s">
        <v>376</v>
      </c>
      <c r="M1314" s="8" t="s">
        <v>377</v>
      </c>
      <c r="N1314" s="8" t="s">
        <v>20</v>
      </c>
      <c r="O1314" s="8" t="s">
        <v>184</v>
      </c>
      <c r="P1314" s="8" t="s">
        <v>195</v>
      </c>
      <c r="Q1314" s="8" t="s">
        <v>196</v>
      </c>
      <c r="R1314" s="8" t="s">
        <v>394</v>
      </c>
      <c r="S1314" s="8" t="s">
        <v>383</v>
      </c>
      <c r="T1314" s="8"/>
      <c r="U1314" s="8" t="s">
        <v>384</v>
      </c>
      <c r="V1314" s="8"/>
      <c r="W1314" s="8" t="s">
        <v>380</v>
      </c>
      <c r="X1314" s="8" t="s">
        <v>99</v>
      </c>
      <c r="Y1314" s="8" t="s">
        <v>23</v>
      </c>
    </row>
    <row r="1315" spans="1:25" hidden="1" x14ac:dyDescent="0.25">
      <c r="A1315" s="273" t="s">
        <v>313</v>
      </c>
      <c r="B1315" s="251">
        <v>45726</v>
      </c>
      <c r="C1315" s="252" t="s">
        <v>810</v>
      </c>
      <c r="D1315" s="252"/>
      <c r="E1315" s="253">
        <v>0</v>
      </c>
      <c r="F1315" s="253">
        <v>20000</v>
      </c>
      <c r="G1315" s="274">
        <f>Tabla3[[#This Row],[INGRESOS]]-Tabla3[[#This Row],[EGRESOS]]</f>
        <v>20000</v>
      </c>
      <c r="H1315" s="132">
        <v>-5997765.3700000001</v>
      </c>
      <c r="I1315" s="135">
        <v>1140</v>
      </c>
      <c r="J1315" s="136">
        <f>Tabla3[[#This Row],[EGRESOS]]/Tabla3[[#This Row],[TC]]</f>
        <v>0</v>
      </c>
      <c r="K1315" s="136">
        <f>Tabla3[[#This Row],[INGRESOS]]/Tabla3[[#This Row],[TC]]</f>
        <v>17.543859649122808</v>
      </c>
      <c r="L1315" s="8" t="s">
        <v>376</v>
      </c>
      <c r="M1315" s="8" t="s">
        <v>377</v>
      </c>
      <c r="N1315" s="8" t="s">
        <v>20</v>
      </c>
      <c r="O1315" s="8" t="s">
        <v>244</v>
      </c>
      <c r="P1315" s="8" t="s">
        <v>259</v>
      </c>
      <c r="Q1315" s="8" t="s">
        <v>260</v>
      </c>
      <c r="R1315" s="8" t="s">
        <v>447</v>
      </c>
      <c r="S1315" s="8"/>
      <c r="T1315" s="8"/>
      <c r="U1315" s="8" t="s">
        <v>379</v>
      </c>
      <c r="V1315" s="8"/>
      <c r="W1315" s="8" t="s">
        <v>380</v>
      </c>
      <c r="X1315" s="8"/>
      <c r="Y1315" s="8"/>
    </row>
    <row r="1316" spans="1:25" hidden="1" x14ac:dyDescent="0.25">
      <c r="A1316" s="273" t="s">
        <v>313</v>
      </c>
      <c r="B1316" s="251">
        <v>45727</v>
      </c>
      <c r="C1316" s="252" t="s">
        <v>817</v>
      </c>
      <c r="D1316" s="252" t="s">
        <v>887</v>
      </c>
      <c r="E1316" s="253">
        <v>500000</v>
      </c>
      <c r="F1316" s="253">
        <v>0</v>
      </c>
      <c r="G1316" s="274">
        <f>Tabla3[[#This Row],[INGRESOS]]-Tabla3[[#This Row],[EGRESOS]]</f>
        <v>-500000</v>
      </c>
      <c r="H1316" s="132">
        <v>-6497765.3700000001</v>
      </c>
      <c r="I1316" s="135">
        <v>1140</v>
      </c>
      <c r="J1316" s="136">
        <f>Tabla3[[#This Row],[EGRESOS]]/Tabla3[[#This Row],[TC]]</f>
        <v>438.59649122807019</v>
      </c>
      <c r="K1316" s="136">
        <f>Tabla3[[#This Row],[INGRESOS]]/Tabla3[[#This Row],[TC]]</f>
        <v>0</v>
      </c>
      <c r="L1316" s="8" t="s">
        <v>376</v>
      </c>
      <c r="M1316" s="8" t="s">
        <v>377</v>
      </c>
      <c r="N1316" s="8" t="s">
        <v>20</v>
      </c>
      <c r="O1316" s="8" t="s">
        <v>225</v>
      </c>
      <c r="P1316" s="8" t="s">
        <v>236</v>
      </c>
      <c r="Q1316" s="8" t="s">
        <v>239</v>
      </c>
      <c r="R1316" s="8"/>
      <c r="S1316" s="8" t="s">
        <v>597</v>
      </c>
      <c r="T1316" s="8"/>
      <c r="U1316" s="8" t="s">
        <v>412</v>
      </c>
      <c r="V1316" s="8"/>
      <c r="W1316" s="8" t="s">
        <v>380</v>
      </c>
      <c r="X1316" s="8" t="s">
        <v>29</v>
      </c>
      <c r="Y1316" s="8" t="s">
        <v>23</v>
      </c>
    </row>
    <row r="1317" spans="1:25" hidden="1" x14ac:dyDescent="0.25">
      <c r="A1317" s="273" t="s">
        <v>315</v>
      </c>
      <c r="B1317" s="251">
        <v>45786</v>
      </c>
      <c r="C1317" s="252" t="s">
        <v>800</v>
      </c>
      <c r="D1317" s="252"/>
      <c r="E1317" s="253">
        <v>2000000</v>
      </c>
      <c r="F1317" s="253">
        <v>0</v>
      </c>
      <c r="G1317" s="274">
        <f>Tabla3[[#This Row],[INGRESOS]]-Tabla3[[#This Row],[EGRESOS]]</f>
        <v>-2000000</v>
      </c>
      <c r="H1317" s="137">
        <v>-14000336.16</v>
      </c>
      <c r="I1317" s="135">
        <v>1170</v>
      </c>
      <c r="J1317" s="136">
        <f>Tabla3[[#This Row],[EGRESOS]]/Tabla3[[#This Row],[TC]]</f>
        <v>1709.4017094017095</v>
      </c>
      <c r="K1317" s="136">
        <f>Tabla3[[#This Row],[INGRESOS]]/Tabla3[[#This Row],[TC]]</f>
        <v>0</v>
      </c>
      <c r="L1317" s="8" t="s">
        <v>376</v>
      </c>
      <c r="M1317" s="8" t="s">
        <v>377</v>
      </c>
      <c r="N1317" s="8" t="s">
        <v>20</v>
      </c>
      <c r="O1317" s="8" t="s">
        <v>184</v>
      </c>
      <c r="P1317" s="8" t="s">
        <v>203</v>
      </c>
      <c r="Q1317" s="8" t="s">
        <v>208</v>
      </c>
      <c r="R1317" s="8"/>
      <c r="S1317" s="8" t="s">
        <v>386</v>
      </c>
      <c r="T1317" s="8"/>
      <c r="U1317" s="8" t="s">
        <v>387</v>
      </c>
      <c r="V1317" s="8" t="s">
        <v>386</v>
      </c>
      <c r="W1317" s="8" t="s">
        <v>380</v>
      </c>
      <c r="X1317" s="8" t="s">
        <v>104</v>
      </c>
      <c r="Y1317" s="8" t="s">
        <v>23</v>
      </c>
    </row>
    <row r="1318" spans="1:25" hidden="1" x14ac:dyDescent="0.25">
      <c r="A1318" s="273" t="s">
        <v>313</v>
      </c>
      <c r="B1318" s="251">
        <v>45727</v>
      </c>
      <c r="C1318" s="252" t="s">
        <v>760</v>
      </c>
      <c r="D1318" s="252"/>
      <c r="E1318" s="253">
        <v>3000</v>
      </c>
      <c r="F1318" s="253">
        <v>0</v>
      </c>
      <c r="G1318" s="274">
        <f>Tabla3[[#This Row],[INGRESOS]]-Tabla3[[#This Row],[EGRESOS]]</f>
        <v>-3000</v>
      </c>
      <c r="H1318" s="132">
        <v>-6000765.3700000001</v>
      </c>
      <c r="I1318" s="135">
        <v>1140</v>
      </c>
      <c r="J1318" s="136">
        <f>Tabla3[[#This Row],[EGRESOS]]/Tabla3[[#This Row],[TC]]</f>
        <v>2.6315789473684212</v>
      </c>
      <c r="K1318" s="136">
        <f>Tabla3[[#This Row],[INGRESOS]]/Tabla3[[#This Row],[TC]]</f>
        <v>0</v>
      </c>
      <c r="L1318" s="8" t="s">
        <v>376</v>
      </c>
      <c r="M1318" s="8" t="s">
        <v>377</v>
      </c>
      <c r="N1318" s="8" t="s">
        <v>20</v>
      </c>
      <c r="O1318" s="8" t="s">
        <v>184</v>
      </c>
      <c r="P1318" s="8" t="s">
        <v>195</v>
      </c>
      <c r="Q1318" s="8" t="s">
        <v>196</v>
      </c>
      <c r="R1318" s="8" t="s">
        <v>394</v>
      </c>
      <c r="S1318" s="8" t="s">
        <v>383</v>
      </c>
      <c r="T1318" s="8"/>
      <c r="U1318" s="8" t="s">
        <v>384</v>
      </c>
      <c r="V1318" s="8"/>
      <c r="W1318" s="8" t="s">
        <v>380</v>
      </c>
      <c r="X1318" s="8" t="s">
        <v>99</v>
      </c>
      <c r="Y1318" s="8" t="s">
        <v>23</v>
      </c>
    </row>
    <row r="1319" spans="1:25" hidden="1" x14ac:dyDescent="0.25">
      <c r="A1319" s="273" t="s">
        <v>313</v>
      </c>
      <c r="B1319" s="251">
        <v>45727</v>
      </c>
      <c r="C1319" s="252" t="s">
        <v>760</v>
      </c>
      <c r="D1319" s="252"/>
      <c r="E1319" s="253">
        <v>3000</v>
      </c>
      <c r="F1319" s="253">
        <v>0</v>
      </c>
      <c r="G1319" s="274">
        <f>Tabla3[[#This Row],[INGRESOS]]-Tabla3[[#This Row],[EGRESOS]]</f>
        <v>-3000</v>
      </c>
      <c r="H1319" s="132">
        <v>-6003765.3700000001</v>
      </c>
      <c r="I1319" s="135">
        <v>1140</v>
      </c>
      <c r="J1319" s="136">
        <f>Tabla3[[#This Row],[EGRESOS]]/Tabla3[[#This Row],[TC]]</f>
        <v>2.6315789473684212</v>
      </c>
      <c r="K1319" s="136">
        <f>Tabla3[[#This Row],[INGRESOS]]/Tabla3[[#This Row],[TC]]</f>
        <v>0</v>
      </c>
      <c r="L1319" s="8" t="s">
        <v>376</v>
      </c>
      <c r="M1319" s="8" t="s">
        <v>377</v>
      </c>
      <c r="N1319" s="8" t="s">
        <v>20</v>
      </c>
      <c r="O1319" s="8" t="s">
        <v>184</v>
      </c>
      <c r="P1319" s="8" t="s">
        <v>195</v>
      </c>
      <c r="Q1319" s="8" t="s">
        <v>196</v>
      </c>
      <c r="R1319" s="8" t="s">
        <v>394</v>
      </c>
      <c r="S1319" s="8" t="s">
        <v>383</v>
      </c>
      <c r="T1319" s="8"/>
      <c r="U1319" s="8" t="s">
        <v>384</v>
      </c>
      <c r="V1319" s="8"/>
      <c r="W1319" s="8" t="s">
        <v>380</v>
      </c>
      <c r="X1319" s="8" t="s">
        <v>99</v>
      </c>
      <c r="Y1319" s="8" t="s">
        <v>23</v>
      </c>
    </row>
    <row r="1320" spans="1:25" hidden="1" x14ac:dyDescent="0.25">
      <c r="A1320" s="273" t="s">
        <v>313</v>
      </c>
      <c r="B1320" s="251">
        <v>45728</v>
      </c>
      <c r="C1320" s="252" t="s">
        <v>810</v>
      </c>
      <c r="D1320" s="252"/>
      <c r="E1320" s="253">
        <v>0</v>
      </c>
      <c r="F1320" s="253">
        <v>5000</v>
      </c>
      <c r="G1320" s="274">
        <f>Tabla3[[#This Row],[INGRESOS]]-Tabla3[[#This Row],[EGRESOS]]</f>
        <v>5000</v>
      </c>
      <c r="H1320" s="132">
        <v>-5998765.3700000001</v>
      </c>
      <c r="I1320" s="135">
        <v>1140</v>
      </c>
      <c r="J1320" s="136">
        <f>Tabla3[[#This Row],[EGRESOS]]/Tabla3[[#This Row],[TC]]</f>
        <v>0</v>
      </c>
      <c r="K1320" s="136">
        <f>Tabla3[[#This Row],[INGRESOS]]/Tabla3[[#This Row],[TC]]</f>
        <v>4.3859649122807021</v>
      </c>
      <c r="L1320" s="8" t="s">
        <v>376</v>
      </c>
      <c r="M1320" s="8" t="s">
        <v>377</v>
      </c>
      <c r="N1320" s="8" t="s">
        <v>20</v>
      </c>
      <c r="O1320" s="8" t="s">
        <v>244</v>
      </c>
      <c r="P1320" s="8" t="s">
        <v>259</v>
      </c>
      <c r="Q1320" s="8" t="s">
        <v>260</v>
      </c>
      <c r="R1320" s="8" t="s">
        <v>447</v>
      </c>
      <c r="S1320" s="8"/>
      <c r="T1320" s="8"/>
      <c r="U1320" s="8" t="s">
        <v>379</v>
      </c>
      <c r="V1320" s="8"/>
      <c r="W1320" s="8" t="s">
        <v>380</v>
      </c>
      <c r="X1320" s="8"/>
      <c r="Y1320" s="8"/>
    </row>
    <row r="1321" spans="1:25" hidden="1" x14ac:dyDescent="0.25">
      <c r="A1321" s="273" t="s">
        <v>313</v>
      </c>
      <c r="B1321" s="251">
        <v>45733</v>
      </c>
      <c r="C1321" s="252" t="s">
        <v>828</v>
      </c>
      <c r="D1321" s="252"/>
      <c r="E1321" s="253">
        <v>121</v>
      </c>
      <c r="F1321" s="253">
        <v>0</v>
      </c>
      <c r="G1321" s="274">
        <f>Tabla3[[#This Row],[INGRESOS]]-Tabla3[[#This Row],[EGRESOS]]</f>
        <v>-121</v>
      </c>
      <c r="H1321" s="132">
        <v>-6650017.6900000004</v>
      </c>
      <c r="I1321" s="135">
        <v>1140</v>
      </c>
      <c r="J1321" s="136">
        <f>Tabla3[[#This Row],[EGRESOS]]/Tabla3[[#This Row],[TC]]</f>
        <v>0.10614035087719298</v>
      </c>
      <c r="K1321" s="136">
        <f>Tabla3[[#This Row],[INGRESOS]]/Tabla3[[#This Row],[TC]]</f>
        <v>0</v>
      </c>
      <c r="L1321" s="8" t="s">
        <v>376</v>
      </c>
      <c r="M1321" s="8" t="s">
        <v>377</v>
      </c>
      <c r="N1321" s="8" t="s">
        <v>20</v>
      </c>
      <c r="O1321" s="8" t="s">
        <v>184</v>
      </c>
      <c r="P1321" s="8" t="s">
        <v>185</v>
      </c>
      <c r="Q1321" s="8" t="s">
        <v>186</v>
      </c>
      <c r="R1321" s="8" t="s">
        <v>227</v>
      </c>
      <c r="S1321" s="8"/>
      <c r="T1321" s="8"/>
      <c r="U1321" s="8" t="s">
        <v>384</v>
      </c>
      <c r="V1321" s="8"/>
      <c r="W1321" s="8" t="s">
        <v>380</v>
      </c>
      <c r="X1321" s="8" t="s">
        <v>99</v>
      </c>
      <c r="Y1321" s="8" t="s">
        <v>23</v>
      </c>
    </row>
    <row r="1322" spans="1:25" hidden="1" x14ac:dyDescent="0.25">
      <c r="A1322" s="273" t="s">
        <v>313</v>
      </c>
      <c r="B1322" s="251">
        <v>45733</v>
      </c>
      <c r="C1322" s="252" t="s">
        <v>760</v>
      </c>
      <c r="D1322" s="252"/>
      <c r="E1322" s="253">
        <v>3828.73</v>
      </c>
      <c r="F1322" s="253">
        <v>0</v>
      </c>
      <c r="G1322" s="274">
        <f>Tabla3[[#This Row],[INGRESOS]]-Tabla3[[#This Row],[EGRESOS]]</f>
        <v>-3828.73</v>
      </c>
      <c r="H1322" s="132">
        <v>-6653846.4199999999</v>
      </c>
      <c r="I1322" s="135">
        <v>1140</v>
      </c>
      <c r="J1322" s="136">
        <f>Tabla3[[#This Row],[EGRESOS]]/Tabla3[[#This Row],[TC]]</f>
        <v>3.3585350877192983</v>
      </c>
      <c r="K1322" s="136">
        <f>Tabla3[[#This Row],[INGRESOS]]/Tabla3[[#This Row],[TC]]</f>
        <v>0</v>
      </c>
      <c r="L1322" s="8" t="s">
        <v>376</v>
      </c>
      <c r="M1322" s="8" t="s">
        <v>377</v>
      </c>
      <c r="N1322" s="8" t="s">
        <v>20</v>
      </c>
      <c r="O1322" s="8" t="s">
        <v>184</v>
      </c>
      <c r="P1322" s="8" t="s">
        <v>195</v>
      </c>
      <c r="Q1322" s="8" t="s">
        <v>196</v>
      </c>
      <c r="R1322" s="8" t="s">
        <v>394</v>
      </c>
      <c r="S1322" s="8" t="s">
        <v>383</v>
      </c>
      <c r="T1322" s="8"/>
      <c r="U1322" s="8" t="s">
        <v>384</v>
      </c>
      <c r="V1322" s="8"/>
      <c r="W1322" s="8" t="s">
        <v>380</v>
      </c>
      <c r="X1322" s="8" t="s">
        <v>99</v>
      </c>
      <c r="Y1322" s="8" t="s">
        <v>23</v>
      </c>
    </row>
    <row r="1323" spans="1:25" hidden="1" x14ac:dyDescent="0.25">
      <c r="A1323" s="273" t="s">
        <v>313</v>
      </c>
      <c r="B1323" s="251">
        <v>45733</v>
      </c>
      <c r="C1323" s="252" t="s">
        <v>800</v>
      </c>
      <c r="D1323" s="252"/>
      <c r="E1323" s="253">
        <v>638000</v>
      </c>
      <c r="F1323" s="253">
        <v>0</v>
      </c>
      <c r="G1323" s="274">
        <f>Tabla3[[#This Row],[INGRESOS]]-Tabla3[[#This Row],[EGRESOS]]</f>
        <v>-638000</v>
      </c>
      <c r="H1323" s="132">
        <v>-6649896.6900000004</v>
      </c>
      <c r="I1323" s="135">
        <v>1140</v>
      </c>
      <c r="J1323" s="136">
        <f>Tabla3[[#This Row],[EGRESOS]]/Tabla3[[#This Row],[TC]]</f>
        <v>559.64912280701753</v>
      </c>
      <c r="K1323" s="136">
        <f>Tabla3[[#This Row],[INGRESOS]]/Tabla3[[#This Row],[TC]]</f>
        <v>0</v>
      </c>
      <c r="L1323" s="8" t="s">
        <v>376</v>
      </c>
      <c r="M1323" s="8" t="s">
        <v>377</v>
      </c>
      <c r="N1323" s="8" t="s">
        <v>20</v>
      </c>
      <c r="O1323" s="8" t="s">
        <v>184</v>
      </c>
      <c r="P1323" s="8" t="s">
        <v>203</v>
      </c>
      <c r="Q1323" s="8" t="s">
        <v>206</v>
      </c>
      <c r="R1323" s="8"/>
      <c r="S1323" s="8" t="s">
        <v>414</v>
      </c>
      <c r="T1323" s="8"/>
      <c r="U1323" s="8" t="s">
        <v>530</v>
      </c>
      <c r="V1323" s="8" t="s">
        <v>415</v>
      </c>
      <c r="W1323" s="8" t="s">
        <v>380</v>
      </c>
      <c r="X1323" s="8" t="s">
        <v>102</v>
      </c>
      <c r="Y1323" s="8" t="s">
        <v>23</v>
      </c>
    </row>
    <row r="1324" spans="1:25" hidden="1" x14ac:dyDescent="0.25">
      <c r="A1324" s="273" t="s">
        <v>313</v>
      </c>
      <c r="B1324" s="251">
        <v>45734</v>
      </c>
      <c r="C1324" s="252" t="s">
        <v>782</v>
      </c>
      <c r="D1324" s="252" t="s">
        <v>889</v>
      </c>
      <c r="E1324" s="253">
        <v>1356000</v>
      </c>
      <c r="F1324" s="253">
        <v>0</v>
      </c>
      <c r="G1324" s="274">
        <f>Tabla3[[#This Row],[INGRESOS]]-Tabla3[[#This Row],[EGRESOS]]</f>
        <v>-1356000</v>
      </c>
      <c r="H1324" s="132">
        <v>-8009846.4199999999</v>
      </c>
      <c r="I1324" s="135">
        <v>1140</v>
      </c>
      <c r="J1324" s="136">
        <f>Tabla3[[#This Row],[EGRESOS]]/Tabla3[[#This Row],[TC]]</f>
        <v>1189.4736842105262</v>
      </c>
      <c r="K1324" s="136">
        <f>Tabla3[[#This Row],[INGRESOS]]/Tabla3[[#This Row],[TC]]</f>
        <v>0</v>
      </c>
      <c r="L1324" s="8" t="s">
        <v>376</v>
      </c>
      <c r="M1324" s="8" t="s">
        <v>377</v>
      </c>
      <c r="N1324" s="8" t="s">
        <v>20</v>
      </c>
      <c r="O1324" s="8" t="s">
        <v>215</v>
      </c>
      <c r="P1324" s="8" t="s">
        <v>216</v>
      </c>
      <c r="Q1324" s="8" t="s">
        <v>220</v>
      </c>
      <c r="R1324" s="8" t="s">
        <v>329</v>
      </c>
      <c r="S1324" s="8" t="s">
        <v>634</v>
      </c>
      <c r="T1324" s="8" t="s">
        <v>890</v>
      </c>
      <c r="U1324" s="8" t="s">
        <v>412</v>
      </c>
      <c r="V1324" s="8"/>
      <c r="W1324" s="8" t="s">
        <v>380</v>
      </c>
      <c r="X1324" s="8" t="s">
        <v>29</v>
      </c>
      <c r="Y1324" s="8" t="s">
        <v>23</v>
      </c>
    </row>
    <row r="1325" spans="1:25" hidden="1" x14ac:dyDescent="0.25">
      <c r="A1325" s="273" t="s">
        <v>313</v>
      </c>
      <c r="B1325" s="251">
        <v>45734</v>
      </c>
      <c r="C1325" s="252" t="s">
        <v>782</v>
      </c>
      <c r="D1325" s="252" t="s">
        <v>891</v>
      </c>
      <c r="E1325" s="253">
        <v>814644.6</v>
      </c>
      <c r="F1325" s="253">
        <v>0</v>
      </c>
      <c r="G1325" s="274">
        <f>Tabla3[[#This Row],[INGRESOS]]-Tabla3[[#This Row],[EGRESOS]]</f>
        <v>-814644.6</v>
      </c>
      <c r="H1325" s="132">
        <v>-8824491.0199999996</v>
      </c>
      <c r="I1325" s="135">
        <v>1140</v>
      </c>
      <c r="J1325" s="136">
        <f>Tabla3[[#This Row],[EGRESOS]]/Tabla3[[#This Row],[TC]]</f>
        <v>714.60052631578947</v>
      </c>
      <c r="K1325" s="136">
        <f>Tabla3[[#This Row],[INGRESOS]]/Tabla3[[#This Row],[TC]]</f>
        <v>0</v>
      </c>
      <c r="L1325" s="8" t="s">
        <v>376</v>
      </c>
      <c r="M1325" s="8" t="s">
        <v>377</v>
      </c>
      <c r="N1325" s="8" t="s">
        <v>20</v>
      </c>
      <c r="O1325" s="8" t="s">
        <v>225</v>
      </c>
      <c r="P1325" s="8" t="s">
        <v>233</v>
      </c>
      <c r="Q1325" s="8" t="s">
        <v>235</v>
      </c>
      <c r="R1325" s="8"/>
      <c r="S1325" s="8" t="s">
        <v>892</v>
      </c>
      <c r="T1325" s="8" t="s">
        <v>893</v>
      </c>
      <c r="U1325" s="8" t="s">
        <v>412</v>
      </c>
      <c r="V1325" s="8"/>
      <c r="W1325" s="8" t="s">
        <v>380</v>
      </c>
      <c r="X1325" s="8" t="s">
        <v>29</v>
      </c>
      <c r="Y1325" s="8" t="s">
        <v>23</v>
      </c>
    </row>
    <row r="1326" spans="1:25" hidden="1" x14ac:dyDescent="0.25">
      <c r="A1326" s="273" t="s">
        <v>315</v>
      </c>
      <c r="B1326" s="251">
        <v>45786</v>
      </c>
      <c r="C1326" s="252" t="s">
        <v>1335</v>
      </c>
      <c r="D1326" s="252"/>
      <c r="E1326" s="253">
        <v>0</v>
      </c>
      <c r="F1326" s="253">
        <v>600000</v>
      </c>
      <c r="G1326" s="274">
        <f>Tabla3[[#This Row],[INGRESOS]]-Tabla3[[#This Row],[EGRESOS]]</f>
        <v>600000</v>
      </c>
      <c r="H1326" s="135">
        <v>0</v>
      </c>
      <c r="I1326" s="135">
        <v>1170</v>
      </c>
      <c r="J1326" s="136">
        <f>Tabla3[[#This Row],[EGRESOS]]/Tabla3[[#This Row],[TC]]</f>
        <v>0</v>
      </c>
      <c r="K1326" s="136">
        <f>Tabla3[[#This Row],[INGRESOS]]/Tabla3[[#This Row],[TC]]</f>
        <v>512.82051282051282</v>
      </c>
      <c r="L1326" s="8"/>
      <c r="M1326" s="8" t="s">
        <v>1336</v>
      </c>
      <c r="N1326" s="8" t="s">
        <v>1336</v>
      </c>
      <c r="O1326" s="8" t="s">
        <v>184</v>
      </c>
      <c r="P1326" s="8" t="s">
        <v>203</v>
      </c>
      <c r="Q1326" s="8" t="s">
        <v>204</v>
      </c>
      <c r="R1326" s="8" t="s">
        <v>1337</v>
      </c>
      <c r="S1326" s="8" t="s">
        <v>386</v>
      </c>
      <c r="T1326" s="8"/>
      <c r="U1326" s="8" t="s">
        <v>439</v>
      </c>
      <c r="V1326" s="8" t="s">
        <v>386</v>
      </c>
      <c r="W1326" s="8" t="s">
        <v>380</v>
      </c>
      <c r="X1326" s="8" t="s">
        <v>23</v>
      </c>
      <c r="Y1326" s="8" t="s">
        <v>98</v>
      </c>
    </row>
    <row r="1327" spans="1:25" hidden="1" x14ac:dyDescent="0.25">
      <c r="A1327" s="273" t="s">
        <v>313</v>
      </c>
      <c r="B1327" s="251">
        <v>45734</v>
      </c>
      <c r="C1327" s="252" t="s">
        <v>828</v>
      </c>
      <c r="D1327" s="252"/>
      <c r="E1327" s="253">
        <v>121</v>
      </c>
      <c r="F1327" s="253">
        <v>0</v>
      </c>
      <c r="G1327" s="274">
        <f>Tabla3[[#This Row],[INGRESOS]]-Tabla3[[#This Row],[EGRESOS]]</f>
        <v>-121</v>
      </c>
      <c r="H1327" s="132">
        <v>-9324612.0199999996</v>
      </c>
      <c r="I1327" s="135">
        <v>1140</v>
      </c>
      <c r="J1327" s="136">
        <f>Tabla3[[#This Row],[EGRESOS]]/Tabla3[[#This Row],[TC]]</f>
        <v>0.10614035087719298</v>
      </c>
      <c r="K1327" s="136">
        <f>Tabla3[[#This Row],[INGRESOS]]/Tabla3[[#This Row],[TC]]</f>
        <v>0</v>
      </c>
      <c r="L1327" s="8" t="s">
        <v>376</v>
      </c>
      <c r="M1327" s="8" t="s">
        <v>377</v>
      </c>
      <c r="N1327" s="8" t="s">
        <v>20</v>
      </c>
      <c r="O1327" s="8" t="s">
        <v>184</v>
      </c>
      <c r="P1327" s="8" t="s">
        <v>185</v>
      </c>
      <c r="Q1327" s="8" t="s">
        <v>186</v>
      </c>
      <c r="R1327" s="8" t="s">
        <v>227</v>
      </c>
      <c r="S1327" s="8"/>
      <c r="T1327" s="8"/>
      <c r="U1327" s="8" t="s">
        <v>384</v>
      </c>
      <c r="V1327" s="8"/>
      <c r="W1327" s="8" t="s">
        <v>380</v>
      </c>
      <c r="X1327" s="8" t="s">
        <v>99</v>
      </c>
      <c r="Y1327" s="8" t="s">
        <v>23</v>
      </c>
    </row>
    <row r="1328" spans="1:25" hidden="1" x14ac:dyDescent="0.25">
      <c r="A1328" s="273" t="s">
        <v>313</v>
      </c>
      <c r="B1328" s="251">
        <v>45734</v>
      </c>
      <c r="C1328" s="252" t="s">
        <v>404</v>
      </c>
      <c r="D1328" s="252"/>
      <c r="E1328" s="253">
        <v>760000</v>
      </c>
      <c r="F1328" s="253">
        <v>0</v>
      </c>
      <c r="G1328" s="274">
        <f>Tabla3[[#This Row],[INGRESOS]]-Tabla3[[#This Row],[EGRESOS]]</f>
        <v>-760000</v>
      </c>
      <c r="H1328" s="132">
        <v>-10084612.02</v>
      </c>
      <c r="I1328" s="135">
        <v>1140</v>
      </c>
      <c r="J1328" s="136">
        <f>Tabla3[[#This Row],[EGRESOS]]/Tabla3[[#This Row],[TC]]</f>
        <v>666.66666666666663</v>
      </c>
      <c r="K1328" s="136">
        <f>Tabla3[[#This Row],[INGRESOS]]/Tabla3[[#This Row],[TC]]</f>
        <v>0</v>
      </c>
      <c r="L1328" s="8" t="s">
        <v>376</v>
      </c>
      <c r="M1328" s="8" t="s">
        <v>377</v>
      </c>
      <c r="N1328" s="8" t="s">
        <v>20</v>
      </c>
      <c r="O1328" s="8" t="s">
        <v>244</v>
      </c>
      <c r="P1328" s="8" t="s">
        <v>259</v>
      </c>
      <c r="Q1328" s="8" t="s">
        <v>260</v>
      </c>
      <c r="R1328" s="8" t="s">
        <v>444</v>
      </c>
      <c r="S1328" s="8"/>
      <c r="T1328" s="8"/>
      <c r="U1328" s="8" t="s">
        <v>379</v>
      </c>
      <c r="V1328" s="8"/>
      <c r="W1328" s="8" t="s">
        <v>380</v>
      </c>
      <c r="X1328" s="8"/>
      <c r="Y1328" s="8"/>
    </row>
    <row r="1329" spans="1:25" hidden="1" x14ac:dyDescent="0.25">
      <c r="A1329" s="273" t="s">
        <v>313</v>
      </c>
      <c r="B1329" s="251">
        <v>45734</v>
      </c>
      <c r="C1329" s="252" t="s">
        <v>828</v>
      </c>
      <c r="D1329" s="252"/>
      <c r="E1329" s="253">
        <v>121</v>
      </c>
      <c r="F1329" s="253">
        <v>0</v>
      </c>
      <c r="G1329" s="274">
        <f>Tabla3[[#This Row],[INGRESOS]]-Tabla3[[#This Row],[EGRESOS]]</f>
        <v>-121</v>
      </c>
      <c r="H1329" s="132">
        <v>-10084733.02</v>
      </c>
      <c r="I1329" s="135">
        <v>1140</v>
      </c>
      <c r="J1329" s="136">
        <f>Tabla3[[#This Row],[EGRESOS]]/Tabla3[[#This Row],[TC]]</f>
        <v>0.10614035087719298</v>
      </c>
      <c r="K1329" s="136">
        <f>Tabla3[[#This Row],[INGRESOS]]/Tabla3[[#This Row],[TC]]</f>
        <v>0</v>
      </c>
      <c r="L1329" s="8" t="s">
        <v>376</v>
      </c>
      <c r="M1329" s="8" t="s">
        <v>377</v>
      </c>
      <c r="N1329" s="8" t="s">
        <v>20</v>
      </c>
      <c r="O1329" s="8" t="s">
        <v>184</v>
      </c>
      <c r="P1329" s="8" t="s">
        <v>185</v>
      </c>
      <c r="Q1329" s="8" t="s">
        <v>186</v>
      </c>
      <c r="R1329" s="8" t="s">
        <v>227</v>
      </c>
      <c r="S1329" s="8"/>
      <c r="T1329" s="8"/>
      <c r="U1329" s="8" t="s">
        <v>384</v>
      </c>
      <c r="V1329" s="8"/>
      <c r="W1329" s="8" t="s">
        <v>380</v>
      </c>
      <c r="X1329" s="8" t="s">
        <v>99</v>
      </c>
      <c r="Y1329" s="8" t="s">
        <v>23</v>
      </c>
    </row>
    <row r="1330" spans="1:25" hidden="1" x14ac:dyDescent="0.25">
      <c r="A1330" s="273" t="s">
        <v>315</v>
      </c>
      <c r="B1330" s="251">
        <v>45787</v>
      </c>
      <c r="C1330" s="252" t="s">
        <v>1335</v>
      </c>
      <c r="D1330" s="252"/>
      <c r="E1330" s="253">
        <v>0</v>
      </c>
      <c r="F1330" s="253">
        <v>100000</v>
      </c>
      <c r="G1330" s="274">
        <f>Tabla3[[#This Row],[INGRESOS]]-Tabla3[[#This Row],[EGRESOS]]</f>
        <v>100000</v>
      </c>
      <c r="H1330" s="135">
        <v>0</v>
      </c>
      <c r="I1330" s="135">
        <v>1170</v>
      </c>
      <c r="J1330" s="136">
        <f>Tabla3[[#This Row],[EGRESOS]]/Tabla3[[#This Row],[TC]]</f>
        <v>0</v>
      </c>
      <c r="K1330" s="136">
        <f>Tabla3[[#This Row],[INGRESOS]]/Tabla3[[#This Row],[TC]]</f>
        <v>85.470085470085465</v>
      </c>
      <c r="L1330" s="8"/>
      <c r="M1330" s="8" t="s">
        <v>1336</v>
      </c>
      <c r="N1330" s="8" t="s">
        <v>1336</v>
      </c>
      <c r="O1330" s="8" t="s">
        <v>184</v>
      </c>
      <c r="P1330" s="8" t="s">
        <v>203</v>
      </c>
      <c r="Q1330" s="8" t="s">
        <v>204</v>
      </c>
      <c r="R1330" s="8" t="s">
        <v>1337</v>
      </c>
      <c r="S1330" s="8" t="s">
        <v>386</v>
      </c>
      <c r="T1330" s="8"/>
      <c r="U1330" s="8" t="s">
        <v>439</v>
      </c>
      <c r="V1330" s="8" t="s">
        <v>386</v>
      </c>
      <c r="W1330" s="8" t="s">
        <v>380</v>
      </c>
      <c r="X1330" s="8" t="s">
        <v>23</v>
      </c>
      <c r="Y1330" s="8" t="s">
        <v>98</v>
      </c>
    </row>
    <row r="1331" spans="1:25" hidden="1" x14ac:dyDescent="0.25">
      <c r="A1331" s="273" t="s">
        <v>313</v>
      </c>
      <c r="B1331" s="251">
        <v>45734</v>
      </c>
      <c r="C1331" s="252" t="s">
        <v>828</v>
      </c>
      <c r="D1331" s="252"/>
      <c r="E1331" s="253">
        <v>121</v>
      </c>
      <c r="F1331" s="253">
        <v>0</v>
      </c>
      <c r="G1331" s="274">
        <f>Tabla3[[#This Row],[INGRESOS]]-Tabla3[[#This Row],[EGRESOS]]</f>
        <v>-121</v>
      </c>
      <c r="H1331" s="132">
        <v>-11084854.02</v>
      </c>
      <c r="I1331" s="135">
        <v>1140</v>
      </c>
      <c r="J1331" s="136">
        <f>Tabla3[[#This Row],[EGRESOS]]/Tabla3[[#This Row],[TC]]</f>
        <v>0.10614035087719298</v>
      </c>
      <c r="K1331" s="136">
        <f>Tabla3[[#This Row],[INGRESOS]]/Tabla3[[#This Row],[TC]]</f>
        <v>0</v>
      </c>
      <c r="L1331" s="8" t="s">
        <v>376</v>
      </c>
      <c r="M1331" s="8" t="s">
        <v>377</v>
      </c>
      <c r="N1331" s="8" t="s">
        <v>20</v>
      </c>
      <c r="O1331" s="8" t="s">
        <v>184</v>
      </c>
      <c r="P1331" s="8" t="s">
        <v>185</v>
      </c>
      <c r="Q1331" s="8" t="s">
        <v>186</v>
      </c>
      <c r="R1331" s="8" t="s">
        <v>227</v>
      </c>
      <c r="S1331" s="8"/>
      <c r="T1331" s="8"/>
      <c r="U1331" s="8" t="s">
        <v>384</v>
      </c>
      <c r="V1331" s="8"/>
      <c r="W1331" s="8" t="s">
        <v>380</v>
      </c>
      <c r="X1331" s="8" t="s">
        <v>99</v>
      </c>
      <c r="Y1331" s="8" t="s">
        <v>23</v>
      </c>
    </row>
    <row r="1332" spans="1:25" hidden="1" x14ac:dyDescent="0.25">
      <c r="A1332" s="273" t="s">
        <v>313</v>
      </c>
      <c r="B1332" s="251">
        <v>45734</v>
      </c>
      <c r="C1332" s="252" t="s">
        <v>800</v>
      </c>
      <c r="D1332" s="252"/>
      <c r="E1332" s="253">
        <v>500000</v>
      </c>
      <c r="F1332" s="253">
        <v>0</v>
      </c>
      <c r="G1332" s="274">
        <f>Tabla3[[#This Row],[INGRESOS]]-Tabla3[[#This Row],[EGRESOS]]</f>
        <v>-500000</v>
      </c>
      <c r="H1332" s="137">
        <v>-11084853.02</v>
      </c>
      <c r="I1332" s="135">
        <v>1141</v>
      </c>
      <c r="J1332" s="136">
        <f>Tabla3[[#This Row],[EGRESOS]]/Tabla3[[#This Row],[TC]]</f>
        <v>438.21209465381247</v>
      </c>
      <c r="K1332" s="136">
        <f>Tabla3[[#This Row],[INGRESOS]]/Tabla3[[#This Row],[TC]]</f>
        <v>0</v>
      </c>
      <c r="L1332" s="8" t="s">
        <v>376</v>
      </c>
      <c r="M1332" s="8" t="s">
        <v>377</v>
      </c>
      <c r="N1332" s="8" t="s">
        <v>20</v>
      </c>
      <c r="O1332" s="8" t="s">
        <v>244</v>
      </c>
      <c r="P1332" s="8" t="s">
        <v>259</v>
      </c>
      <c r="Q1332" s="8" t="s">
        <v>260</v>
      </c>
      <c r="R1332" s="8" t="s">
        <v>594</v>
      </c>
      <c r="S1332" s="8"/>
      <c r="T1332" s="8"/>
      <c r="U1332" s="8" t="s">
        <v>379</v>
      </c>
      <c r="V1332" s="8"/>
      <c r="W1332" s="8" t="s">
        <v>380</v>
      </c>
      <c r="X1332" s="8"/>
      <c r="Y1332" s="8"/>
    </row>
    <row r="1333" spans="1:25" hidden="1" x14ac:dyDescent="0.25">
      <c r="A1333" s="273" t="s">
        <v>313</v>
      </c>
      <c r="B1333" s="251">
        <v>45734</v>
      </c>
      <c r="C1333" s="252" t="s">
        <v>800</v>
      </c>
      <c r="D1333" s="252"/>
      <c r="E1333" s="253">
        <v>5400</v>
      </c>
      <c r="F1333" s="253">
        <v>0</v>
      </c>
      <c r="G1333" s="274">
        <f>Tabla3[[#This Row],[INGRESOS]]-Tabla3[[#This Row],[EGRESOS]]</f>
        <v>-5400</v>
      </c>
      <c r="H1333" s="137">
        <v>-11584975.02</v>
      </c>
      <c r="I1333" s="135">
        <v>1140</v>
      </c>
      <c r="J1333" s="136">
        <f>Tabla3[[#This Row],[EGRESOS]]/Tabla3[[#This Row],[TC]]</f>
        <v>4.7368421052631575</v>
      </c>
      <c r="K1333" s="136">
        <f>Tabla3[[#This Row],[INGRESOS]]/Tabla3[[#This Row],[TC]]</f>
        <v>0</v>
      </c>
      <c r="L1333" s="8" t="s">
        <v>376</v>
      </c>
      <c r="M1333" s="8" t="s">
        <v>377</v>
      </c>
      <c r="N1333" s="8" t="s">
        <v>20</v>
      </c>
      <c r="O1333" s="8" t="s">
        <v>225</v>
      </c>
      <c r="P1333" s="8" t="s">
        <v>233</v>
      </c>
      <c r="Q1333" s="8"/>
      <c r="R1333" s="8"/>
      <c r="S1333" s="8"/>
      <c r="T1333" s="8"/>
      <c r="U1333" s="8" t="s">
        <v>403</v>
      </c>
      <c r="V1333" s="8"/>
      <c r="W1333" s="8" t="s">
        <v>380</v>
      </c>
      <c r="X1333" s="8" t="s">
        <v>29</v>
      </c>
      <c r="Y1333" s="8" t="s">
        <v>23</v>
      </c>
    </row>
    <row r="1334" spans="1:25" hidden="1" x14ac:dyDescent="0.25">
      <c r="A1334" s="273" t="s">
        <v>313</v>
      </c>
      <c r="B1334" s="251">
        <v>45734</v>
      </c>
      <c r="C1334" s="252" t="s">
        <v>800</v>
      </c>
      <c r="D1334" s="252"/>
      <c r="E1334" s="253">
        <v>150000</v>
      </c>
      <c r="F1334" s="253">
        <v>0</v>
      </c>
      <c r="G1334" s="274">
        <f>Tabla3[[#This Row],[INGRESOS]]-Tabla3[[#This Row],[EGRESOS]]</f>
        <v>-150000</v>
      </c>
      <c r="H1334" s="137">
        <v>-11584975.02</v>
      </c>
      <c r="I1334" s="135">
        <v>1140</v>
      </c>
      <c r="J1334" s="136">
        <f>Tabla3[[#This Row],[EGRESOS]]/Tabla3[[#This Row],[TC]]</f>
        <v>131.57894736842104</v>
      </c>
      <c r="K1334" s="136">
        <f>Tabla3[[#This Row],[INGRESOS]]/Tabla3[[#This Row],[TC]]</f>
        <v>0</v>
      </c>
      <c r="L1334" s="8" t="s">
        <v>376</v>
      </c>
      <c r="M1334" s="8" t="s">
        <v>377</v>
      </c>
      <c r="N1334" s="8" t="s">
        <v>20</v>
      </c>
      <c r="O1334" s="8" t="s">
        <v>184</v>
      </c>
      <c r="P1334" s="8" t="s">
        <v>199</v>
      </c>
      <c r="Q1334" s="8" t="s">
        <v>200</v>
      </c>
      <c r="R1334" s="7"/>
      <c r="S1334" s="8" t="s">
        <v>435</v>
      </c>
      <c r="T1334" s="8"/>
      <c r="U1334" s="8" t="s">
        <v>390</v>
      </c>
      <c r="V1334" s="8"/>
      <c r="W1334" s="8" t="s">
        <v>380</v>
      </c>
      <c r="X1334" s="8" t="s">
        <v>29</v>
      </c>
      <c r="Y1334" s="8" t="s">
        <v>23</v>
      </c>
    </row>
    <row r="1335" spans="1:25" hidden="1" x14ac:dyDescent="0.25">
      <c r="A1335" s="273" t="s">
        <v>313</v>
      </c>
      <c r="B1335" s="251">
        <v>45734</v>
      </c>
      <c r="C1335" s="252" t="s">
        <v>800</v>
      </c>
      <c r="D1335" s="252"/>
      <c r="E1335" s="253">
        <v>150000</v>
      </c>
      <c r="F1335" s="253">
        <v>0</v>
      </c>
      <c r="G1335" s="274">
        <f>Tabla3[[#This Row],[INGRESOS]]-Tabla3[[#This Row],[EGRESOS]]</f>
        <v>-150000</v>
      </c>
      <c r="H1335" s="137">
        <v>-11584975.02</v>
      </c>
      <c r="I1335" s="135">
        <v>1140</v>
      </c>
      <c r="J1335" s="136">
        <f>Tabla3[[#This Row],[EGRESOS]]/Tabla3[[#This Row],[TC]]</f>
        <v>131.57894736842104</v>
      </c>
      <c r="K1335" s="136">
        <f>Tabla3[[#This Row],[INGRESOS]]/Tabla3[[#This Row],[TC]]</f>
        <v>0</v>
      </c>
      <c r="L1335" s="8" t="s">
        <v>376</v>
      </c>
      <c r="M1335" s="8" t="s">
        <v>377</v>
      </c>
      <c r="N1335" s="8" t="s">
        <v>20</v>
      </c>
      <c r="O1335" s="8" t="s">
        <v>184</v>
      </c>
      <c r="P1335" s="8" t="s">
        <v>199</v>
      </c>
      <c r="Q1335" s="8" t="s">
        <v>200</v>
      </c>
      <c r="R1335" s="7"/>
      <c r="S1335" s="8" t="s">
        <v>521</v>
      </c>
      <c r="T1335" s="8"/>
      <c r="U1335" s="8" t="s">
        <v>390</v>
      </c>
      <c r="V1335" s="8"/>
      <c r="W1335" s="8" t="s">
        <v>380</v>
      </c>
      <c r="X1335" s="8" t="s">
        <v>29</v>
      </c>
      <c r="Y1335" s="8" t="s">
        <v>23</v>
      </c>
    </row>
    <row r="1336" spans="1:25" hidden="1" x14ac:dyDescent="0.25">
      <c r="A1336" s="273" t="s">
        <v>313</v>
      </c>
      <c r="B1336" s="251">
        <v>45734</v>
      </c>
      <c r="C1336" s="252" t="s">
        <v>800</v>
      </c>
      <c r="D1336" s="252"/>
      <c r="E1336" s="253">
        <v>350000</v>
      </c>
      <c r="F1336" s="253">
        <v>0</v>
      </c>
      <c r="G1336" s="274">
        <f>Tabla3[[#This Row],[INGRESOS]]-Tabla3[[#This Row],[EGRESOS]]</f>
        <v>-350000</v>
      </c>
      <c r="H1336" s="137">
        <v>-11584975.02</v>
      </c>
      <c r="I1336" s="135">
        <v>1140</v>
      </c>
      <c r="J1336" s="136">
        <f>Tabla3[[#This Row],[EGRESOS]]/Tabla3[[#This Row],[TC]]</f>
        <v>307.01754385964909</v>
      </c>
      <c r="K1336" s="136">
        <f>Tabla3[[#This Row],[INGRESOS]]/Tabla3[[#This Row],[TC]]</f>
        <v>0</v>
      </c>
      <c r="L1336" s="8" t="s">
        <v>376</v>
      </c>
      <c r="M1336" s="8" t="s">
        <v>377</v>
      </c>
      <c r="N1336" s="8" t="s">
        <v>20</v>
      </c>
      <c r="O1336" s="8" t="s">
        <v>184</v>
      </c>
      <c r="P1336" s="8" t="s">
        <v>210</v>
      </c>
      <c r="Q1336" s="8" t="s">
        <v>205</v>
      </c>
      <c r="R1336" s="8" t="s">
        <v>718</v>
      </c>
      <c r="S1336" s="8" t="s">
        <v>524</v>
      </c>
      <c r="T1336" s="8"/>
      <c r="U1336" s="8" t="s">
        <v>453</v>
      </c>
      <c r="V1336" s="8"/>
      <c r="W1336" s="8" t="s">
        <v>380</v>
      </c>
      <c r="X1336" s="8" t="s">
        <v>39</v>
      </c>
      <c r="Y1336" s="8" t="s">
        <v>23</v>
      </c>
    </row>
    <row r="1337" spans="1:25" hidden="1" x14ac:dyDescent="0.25">
      <c r="A1337" s="273" t="s">
        <v>313</v>
      </c>
      <c r="B1337" s="251">
        <v>45734</v>
      </c>
      <c r="C1337" s="252" t="s">
        <v>800</v>
      </c>
      <c r="D1337" s="252"/>
      <c r="E1337" s="253">
        <v>447000</v>
      </c>
      <c r="F1337" s="253">
        <v>0</v>
      </c>
      <c r="G1337" s="274">
        <f>Tabla3[[#This Row],[INGRESOS]]-Tabla3[[#This Row],[EGRESOS]]</f>
        <v>-447000</v>
      </c>
      <c r="H1337" s="137">
        <v>-11584975.02</v>
      </c>
      <c r="I1337" s="135">
        <v>1140</v>
      </c>
      <c r="J1337" s="136">
        <f>Tabla3[[#This Row],[EGRESOS]]/Tabla3[[#This Row],[TC]]</f>
        <v>392.10526315789474</v>
      </c>
      <c r="K1337" s="136">
        <f>Tabla3[[#This Row],[INGRESOS]]/Tabla3[[#This Row],[TC]]</f>
        <v>0</v>
      </c>
      <c r="L1337" s="8" t="s">
        <v>376</v>
      </c>
      <c r="M1337" s="8" t="s">
        <v>377</v>
      </c>
      <c r="N1337" s="8" t="s">
        <v>20</v>
      </c>
      <c r="O1337" s="8" t="s">
        <v>184</v>
      </c>
      <c r="P1337" s="8" t="s">
        <v>199</v>
      </c>
      <c r="Q1337" s="8" t="s">
        <v>201</v>
      </c>
      <c r="R1337" s="8" t="s">
        <v>895</v>
      </c>
      <c r="S1337" s="8" t="s">
        <v>392</v>
      </c>
      <c r="T1337" s="8"/>
      <c r="U1337" s="8" t="s">
        <v>390</v>
      </c>
      <c r="V1337" s="8"/>
      <c r="W1337" s="8" t="s">
        <v>380</v>
      </c>
      <c r="X1337" s="8" t="s">
        <v>99</v>
      </c>
      <c r="Y1337" s="8" t="s">
        <v>23</v>
      </c>
    </row>
    <row r="1338" spans="1:25" hidden="1" x14ac:dyDescent="0.25">
      <c r="A1338" s="273" t="s">
        <v>313</v>
      </c>
      <c r="B1338" s="251">
        <v>45734</v>
      </c>
      <c r="C1338" s="252" t="s">
        <v>800</v>
      </c>
      <c r="D1338" s="252"/>
      <c r="E1338" s="253">
        <v>45000</v>
      </c>
      <c r="F1338" s="253">
        <v>0</v>
      </c>
      <c r="G1338" s="274">
        <f>Tabla3[[#This Row],[INGRESOS]]-Tabla3[[#This Row],[EGRESOS]]</f>
        <v>-45000</v>
      </c>
      <c r="H1338" s="137">
        <v>-11584975.02</v>
      </c>
      <c r="I1338" s="135">
        <v>1140</v>
      </c>
      <c r="J1338" s="136">
        <f>Tabla3[[#This Row],[EGRESOS]]/Tabla3[[#This Row],[TC]]</f>
        <v>39.473684210526315</v>
      </c>
      <c r="K1338" s="136">
        <f>Tabla3[[#This Row],[INGRESOS]]/Tabla3[[#This Row],[TC]]</f>
        <v>0</v>
      </c>
      <c r="L1338" s="8" t="s">
        <v>376</v>
      </c>
      <c r="M1338" s="8" t="s">
        <v>377</v>
      </c>
      <c r="N1338" s="8" t="s">
        <v>20</v>
      </c>
      <c r="O1338" s="8" t="s">
        <v>184</v>
      </c>
      <c r="P1338" s="8" t="s">
        <v>199</v>
      </c>
      <c r="Q1338" s="8" t="s">
        <v>200</v>
      </c>
      <c r="R1338" s="8"/>
      <c r="S1338" s="8" t="s">
        <v>470</v>
      </c>
      <c r="T1338" s="8"/>
      <c r="U1338" s="8" t="s">
        <v>390</v>
      </c>
      <c r="V1338" s="8"/>
      <c r="W1338" s="8" t="s">
        <v>380</v>
      </c>
      <c r="X1338" s="8" t="s">
        <v>99</v>
      </c>
      <c r="Y1338" s="8" t="s">
        <v>23</v>
      </c>
    </row>
    <row r="1339" spans="1:25" hidden="1" x14ac:dyDescent="0.25">
      <c r="A1339" s="273" t="s">
        <v>313</v>
      </c>
      <c r="B1339" s="251">
        <v>45734</v>
      </c>
      <c r="C1339" s="252" t="s">
        <v>800</v>
      </c>
      <c r="D1339" s="252"/>
      <c r="E1339" s="253">
        <v>552000</v>
      </c>
      <c r="F1339" s="253">
        <v>0</v>
      </c>
      <c r="G1339" s="274">
        <f>Tabla3[[#This Row],[INGRESOS]]-Tabla3[[#This Row],[EGRESOS]]</f>
        <v>-552000</v>
      </c>
      <c r="H1339" s="137">
        <v>-11584975.02</v>
      </c>
      <c r="I1339" s="135">
        <v>1140</v>
      </c>
      <c r="J1339" s="136">
        <f>Tabla3[[#This Row],[EGRESOS]]/Tabla3[[#This Row],[TC]]</f>
        <v>484.21052631578948</v>
      </c>
      <c r="K1339" s="136">
        <f>Tabla3[[#This Row],[INGRESOS]]/Tabla3[[#This Row],[TC]]</f>
        <v>0</v>
      </c>
      <c r="L1339" s="8" t="s">
        <v>376</v>
      </c>
      <c r="M1339" s="8" t="s">
        <v>377</v>
      </c>
      <c r="N1339" s="8" t="s">
        <v>20</v>
      </c>
      <c r="O1339" s="8" t="s">
        <v>184</v>
      </c>
      <c r="P1339" s="8" t="s">
        <v>199</v>
      </c>
      <c r="Q1339" s="8" t="s">
        <v>201</v>
      </c>
      <c r="R1339" s="8" t="s">
        <v>895</v>
      </c>
      <c r="S1339" s="8" t="s">
        <v>389</v>
      </c>
      <c r="T1339" s="8"/>
      <c r="U1339" s="8" t="s">
        <v>390</v>
      </c>
      <c r="V1339" s="8"/>
      <c r="W1339" s="8" t="s">
        <v>380</v>
      </c>
      <c r="X1339" s="8" t="s">
        <v>99</v>
      </c>
      <c r="Y1339" s="8" t="s">
        <v>23</v>
      </c>
    </row>
    <row r="1340" spans="1:25" hidden="1" x14ac:dyDescent="0.25">
      <c r="A1340" s="273" t="s">
        <v>313</v>
      </c>
      <c r="B1340" s="251">
        <v>45734</v>
      </c>
      <c r="C1340" s="252" t="s">
        <v>800</v>
      </c>
      <c r="D1340" s="252"/>
      <c r="E1340" s="253">
        <v>20000</v>
      </c>
      <c r="F1340" s="253">
        <v>0</v>
      </c>
      <c r="G1340" s="274">
        <f>Tabla3[[#This Row],[INGRESOS]]-Tabla3[[#This Row],[EGRESOS]]</f>
        <v>-20000</v>
      </c>
      <c r="H1340" s="137">
        <v>-11584975.02</v>
      </c>
      <c r="I1340" s="135">
        <v>1140</v>
      </c>
      <c r="J1340" s="136">
        <f>Tabla3[[#This Row],[EGRESOS]]/Tabla3[[#This Row],[TC]]</f>
        <v>17.543859649122808</v>
      </c>
      <c r="K1340" s="136">
        <f>Tabla3[[#This Row],[INGRESOS]]/Tabla3[[#This Row],[TC]]</f>
        <v>0</v>
      </c>
      <c r="L1340" s="8" t="s">
        <v>376</v>
      </c>
      <c r="M1340" s="8" t="s">
        <v>377</v>
      </c>
      <c r="N1340" s="8" t="s">
        <v>20</v>
      </c>
      <c r="O1340" s="8" t="s">
        <v>184</v>
      </c>
      <c r="P1340" s="8" t="s">
        <v>199</v>
      </c>
      <c r="Q1340" s="8" t="s">
        <v>200</v>
      </c>
      <c r="R1340" s="8" t="s">
        <v>896</v>
      </c>
      <c r="S1340" s="8"/>
      <c r="T1340" s="8"/>
      <c r="U1340" s="8" t="s">
        <v>384</v>
      </c>
      <c r="V1340" s="8"/>
      <c r="W1340" s="8" t="s">
        <v>380</v>
      </c>
      <c r="X1340" s="8" t="s">
        <v>99</v>
      </c>
      <c r="Y1340" s="8" t="s">
        <v>23</v>
      </c>
    </row>
    <row r="1341" spans="1:25" hidden="1" x14ac:dyDescent="0.25">
      <c r="A1341" s="273" t="s">
        <v>313</v>
      </c>
      <c r="B1341" s="251">
        <v>45734</v>
      </c>
      <c r="C1341" s="252" t="s">
        <v>800</v>
      </c>
      <c r="D1341" s="252"/>
      <c r="E1341" s="253">
        <v>10000</v>
      </c>
      <c r="F1341" s="253">
        <v>0</v>
      </c>
      <c r="G1341" s="274">
        <f>Tabla3[[#This Row],[INGRESOS]]-Tabla3[[#This Row],[EGRESOS]]</f>
        <v>-10000</v>
      </c>
      <c r="H1341" s="137">
        <v>-11584975.02</v>
      </c>
      <c r="I1341" s="135">
        <v>1140</v>
      </c>
      <c r="J1341" s="136">
        <f>Tabla3[[#This Row],[EGRESOS]]/Tabla3[[#This Row],[TC]]</f>
        <v>8.7719298245614041</v>
      </c>
      <c r="K1341" s="136">
        <f>Tabla3[[#This Row],[INGRESOS]]/Tabla3[[#This Row],[TC]]</f>
        <v>0</v>
      </c>
      <c r="L1341" s="8" t="s">
        <v>376</v>
      </c>
      <c r="M1341" s="8" t="s">
        <v>377</v>
      </c>
      <c r="N1341" s="8" t="s">
        <v>20</v>
      </c>
      <c r="O1341" s="8" t="s">
        <v>184</v>
      </c>
      <c r="P1341" s="8" t="s">
        <v>185</v>
      </c>
      <c r="Q1341" s="8" t="s">
        <v>186</v>
      </c>
      <c r="R1341" s="8" t="s">
        <v>227</v>
      </c>
      <c r="S1341" s="8"/>
      <c r="T1341" s="8"/>
      <c r="U1341" s="8" t="s">
        <v>384</v>
      </c>
      <c r="V1341" s="8"/>
      <c r="W1341" s="8" t="s">
        <v>380</v>
      </c>
      <c r="X1341" s="8" t="s">
        <v>99</v>
      </c>
      <c r="Y1341" s="8" t="s">
        <v>23</v>
      </c>
    </row>
    <row r="1342" spans="1:25" hidden="1" x14ac:dyDescent="0.25">
      <c r="A1342" s="273" t="s">
        <v>313</v>
      </c>
      <c r="B1342" s="251">
        <v>45734</v>
      </c>
      <c r="C1342" s="252" t="s">
        <v>800</v>
      </c>
      <c r="D1342" s="252"/>
      <c r="E1342" s="253">
        <v>150000</v>
      </c>
      <c r="F1342" s="253">
        <v>0</v>
      </c>
      <c r="G1342" s="274">
        <f>Tabla3[[#This Row],[INGRESOS]]-Tabla3[[#This Row],[EGRESOS]]</f>
        <v>-150000</v>
      </c>
      <c r="H1342" s="137">
        <v>-11584975.02</v>
      </c>
      <c r="I1342" s="135">
        <v>1140</v>
      </c>
      <c r="J1342" s="136">
        <f>Tabla3[[#This Row],[EGRESOS]]/Tabla3[[#This Row],[TC]]</f>
        <v>131.57894736842104</v>
      </c>
      <c r="K1342" s="136">
        <f>Tabla3[[#This Row],[INGRESOS]]/Tabla3[[#This Row],[TC]]</f>
        <v>0</v>
      </c>
      <c r="L1342" s="8" t="s">
        <v>376</v>
      </c>
      <c r="M1342" s="8" t="s">
        <v>377</v>
      </c>
      <c r="N1342" s="8" t="s">
        <v>20</v>
      </c>
      <c r="O1342" s="8" t="s">
        <v>184</v>
      </c>
      <c r="P1342" s="8" t="s">
        <v>199</v>
      </c>
      <c r="Q1342" s="8" t="s">
        <v>200</v>
      </c>
      <c r="R1342" s="8"/>
      <c r="S1342" s="8" t="s">
        <v>470</v>
      </c>
      <c r="T1342" s="8"/>
      <c r="U1342" s="8" t="s">
        <v>390</v>
      </c>
      <c r="V1342" s="8"/>
      <c r="W1342" s="8" t="s">
        <v>380</v>
      </c>
      <c r="X1342" s="8" t="s">
        <v>99</v>
      </c>
      <c r="Y1342" s="8" t="s">
        <v>23</v>
      </c>
    </row>
    <row r="1343" spans="1:25" hidden="1" x14ac:dyDescent="0.25">
      <c r="A1343" s="273" t="s">
        <v>313</v>
      </c>
      <c r="B1343" s="251">
        <v>45734</v>
      </c>
      <c r="C1343" s="252" t="s">
        <v>828</v>
      </c>
      <c r="D1343" s="252"/>
      <c r="E1343" s="253">
        <v>121</v>
      </c>
      <c r="F1343" s="253">
        <v>0</v>
      </c>
      <c r="G1343" s="274">
        <f>Tabla3[[#This Row],[INGRESOS]]-Tabla3[[#This Row],[EGRESOS]]</f>
        <v>-121</v>
      </c>
      <c r="H1343" s="137">
        <v>-13464496.02</v>
      </c>
      <c r="I1343" s="135">
        <v>1140</v>
      </c>
      <c r="J1343" s="136">
        <f>Tabla3[[#This Row],[EGRESOS]]/Tabla3[[#This Row],[TC]]</f>
        <v>0.10614035087719298</v>
      </c>
      <c r="K1343" s="136">
        <f>Tabla3[[#This Row],[INGRESOS]]/Tabla3[[#This Row],[TC]]</f>
        <v>0</v>
      </c>
      <c r="L1343" s="8" t="s">
        <v>376</v>
      </c>
      <c r="M1343" s="8" t="s">
        <v>377</v>
      </c>
      <c r="N1343" s="8" t="s">
        <v>20</v>
      </c>
      <c r="O1343" s="8" t="s">
        <v>184</v>
      </c>
      <c r="P1343" s="8" t="s">
        <v>185</v>
      </c>
      <c r="Q1343" s="8" t="s">
        <v>186</v>
      </c>
      <c r="R1343" s="8" t="s">
        <v>227</v>
      </c>
      <c r="S1343" s="8"/>
      <c r="T1343" s="8"/>
      <c r="U1343" s="8" t="s">
        <v>384</v>
      </c>
      <c r="V1343" s="8"/>
      <c r="W1343" s="8" t="s">
        <v>380</v>
      </c>
      <c r="X1343" s="8" t="s">
        <v>29</v>
      </c>
      <c r="Y1343" s="8" t="s">
        <v>23</v>
      </c>
    </row>
    <row r="1344" spans="1:25" hidden="1" x14ac:dyDescent="0.25">
      <c r="A1344" s="273" t="s">
        <v>313</v>
      </c>
      <c r="B1344" s="251">
        <v>45734</v>
      </c>
      <c r="C1344" s="252" t="s">
        <v>760</v>
      </c>
      <c r="D1344" s="252"/>
      <c r="E1344" s="253">
        <v>33303.919999999998</v>
      </c>
      <c r="F1344" s="253">
        <v>0</v>
      </c>
      <c r="G1344" s="274">
        <f>Tabla3[[#This Row],[INGRESOS]]-Tabla3[[#This Row],[EGRESOS]]</f>
        <v>-33303.919999999998</v>
      </c>
      <c r="H1344" s="137">
        <v>-13497799.939999999</v>
      </c>
      <c r="I1344" s="135">
        <v>1140</v>
      </c>
      <c r="J1344" s="136">
        <f>Tabla3[[#This Row],[EGRESOS]]/Tabla3[[#This Row],[TC]]</f>
        <v>29.213964912280701</v>
      </c>
      <c r="K1344" s="136">
        <f>Tabla3[[#This Row],[INGRESOS]]/Tabla3[[#This Row],[TC]]</f>
        <v>0</v>
      </c>
      <c r="L1344" s="8" t="s">
        <v>376</v>
      </c>
      <c r="M1344" s="8" t="s">
        <v>377</v>
      </c>
      <c r="N1344" s="8" t="s">
        <v>20</v>
      </c>
      <c r="O1344" s="8" t="s">
        <v>184</v>
      </c>
      <c r="P1344" s="8" t="s">
        <v>195</v>
      </c>
      <c r="Q1344" s="8" t="s">
        <v>196</v>
      </c>
      <c r="R1344" s="8" t="s">
        <v>394</v>
      </c>
      <c r="S1344" s="8" t="s">
        <v>383</v>
      </c>
      <c r="T1344" s="8"/>
      <c r="U1344" s="8" t="s">
        <v>384</v>
      </c>
      <c r="V1344" s="8"/>
      <c r="W1344" s="8" t="s">
        <v>380</v>
      </c>
      <c r="X1344" s="8" t="s">
        <v>99</v>
      </c>
      <c r="Y1344" s="8" t="s">
        <v>23</v>
      </c>
    </row>
    <row r="1345" spans="1:25" hidden="1" x14ac:dyDescent="0.25">
      <c r="A1345" s="273" t="s">
        <v>313</v>
      </c>
      <c r="B1345" s="251">
        <v>45735</v>
      </c>
      <c r="C1345" s="252" t="s">
        <v>760</v>
      </c>
      <c r="D1345" s="252"/>
      <c r="E1345" s="253">
        <v>26.07</v>
      </c>
      <c r="F1345" s="253">
        <v>0</v>
      </c>
      <c r="G1345" s="274">
        <f>Tabla3[[#This Row],[INGRESOS]]-Tabla3[[#This Row],[EGRESOS]]</f>
        <v>-26.07</v>
      </c>
      <c r="H1345" s="137">
        <v>-13522171.01</v>
      </c>
      <c r="I1345" s="135">
        <v>1140</v>
      </c>
      <c r="J1345" s="136">
        <f>Tabla3[[#This Row],[EGRESOS]]/Tabla3[[#This Row],[TC]]</f>
        <v>2.286842105263158E-2</v>
      </c>
      <c r="K1345" s="136">
        <f>Tabla3[[#This Row],[INGRESOS]]/Tabla3[[#This Row],[TC]]</f>
        <v>0</v>
      </c>
      <c r="L1345" s="8" t="s">
        <v>376</v>
      </c>
      <c r="M1345" s="8" t="s">
        <v>377</v>
      </c>
      <c r="N1345" s="8" t="s">
        <v>20</v>
      </c>
      <c r="O1345" s="8" t="s">
        <v>184</v>
      </c>
      <c r="P1345" s="8" t="s">
        <v>195</v>
      </c>
      <c r="Q1345" s="8" t="s">
        <v>196</v>
      </c>
      <c r="R1345" s="8" t="s">
        <v>394</v>
      </c>
      <c r="S1345" s="8" t="s">
        <v>383</v>
      </c>
      <c r="T1345" s="8"/>
      <c r="U1345" s="8" t="s">
        <v>384</v>
      </c>
      <c r="V1345" s="8"/>
      <c r="W1345" s="8" t="s">
        <v>380</v>
      </c>
      <c r="X1345" s="8" t="s">
        <v>99</v>
      </c>
      <c r="Y1345" s="8" t="s">
        <v>23</v>
      </c>
    </row>
    <row r="1346" spans="1:25" hidden="1" x14ac:dyDescent="0.25">
      <c r="A1346" s="273" t="s">
        <v>313</v>
      </c>
      <c r="B1346" s="251">
        <v>45735</v>
      </c>
      <c r="C1346" s="252" t="s">
        <v>822</v>
      </c>
      <c r="D1346" s="252"/>
      <c r="E1346" s="253">
        <v>4345</v>
      </c>
      <c r="F1346" s="253">
        <v>0</v>
      </c>
      <c r="G1346" s="274">
        <f>Tabla3[[#This Row],[INGRESOS]]-Tabla3[[#This Row],[EGRESOS]]</f>
        <v>-4345</v>
      </c>
      <c r="H1346" s="137">
        <v>-13522144.939999999</v>
      </c>
      <c r="I1346" s="135">
        <v>1140</v>
      </c>
      <c r="J1346" s="136">
        <f>Tabla3[[#This Row],[EGRESOS]]/Tabla3[[#This Row],[TC]]</f>
        <v>3.8114035087719298</v>
      </c>
      <c r="K1346" s="136">
        <f>Tabla3[[#This Row],[INGRESOS]]/Tabla3[[#This Row],[TC]]</f>
        <v>0</v>
      </c>
      <c r="L1346" s="8" t="s">
        <v>376</v>
      </c>
      <c r="M1346" s="8" t="s">
        <v>377</v>
      </c>
      <c r="N1346" s="8" t="s">
        <v>20</v>
      </c>
      <c r="O1346" s="8" t="s">
        <v>184</v>
      </c>
      <c r="P1346" s="8" t="s">
        <v>185</v>
      </c>
      <c r="Q1346" s="8" t="s">
        <v>189</v>
      </c>
      <c r="R1346" s="8" t="s">
        <v>227</v>
      </c>
      <c r="S1346" s="8"/>
      <c r="T1346" s="8"/>
      <c r="U1346" s="8" t="s">
        <v>384</v>
      </c>
      <c r="V1346" s="8"/>
      <c r="W1346" s="8" t="s">
        <v>380</v>
      </c>
      <c r="X1346" s="8" t="s">
        <v>99</v>
      </c>
      <c r="Y1346" s="8" t="s">
        <v>23</v>
      </c>
    </row>
    <row r="1347" spans="1:25" hidden="1" x14ac:dyDescent="0.25">
      <c r="A1347" s="273" t="s">
        <v>313</v>
      </c>
      <c r="B1347" s="251">
        <v>45735</v>
      </c>
      <c r="C1347" s="252" t="s">
        <v>404</v>
      </c>
      <c r="D1347" s="252"/>
      <c r="E1347" s="253">
        <v>20000</v>
      </c>
      <c r="F1347" s="253">
        <v>0</v>
      </c>
      <c r="G1347" s="274">
        <f>Tabla3[[#This Row],[INGRESOS]]-Tabla3[[#This Row],[EGRESOS]]</f>
        <v>-20000</v>
      </c>
      <c r="H1347" s="137">
        <v>-13517799.939999999</v>
      </c>
      <c r="I1347" s="135">
        <v>1140</v>
      </c>
      <c r="J1347" s="136">
        <f>Tabla3[[#This Row],[EGRESOS]]/Tabla3[[#This Row],[TC]]</f>
        <v>17.543859649122808</v>
      </c>
      <c r="K1347" s="136">
        <f>Tabla3[[#This Row],[INGRESOS]]/Tabla3[[#This Row],[TC]]</f>
        <v>0</v>
      </c>
      <c r="L1347" s="8" t="s">
        <v>376</v>
      </c>
      <c r="M1347" s="8" t="s">
        <v>377</v>
      </c>
      <c r="N1347" s="8" t="s">
        <v>20</v>
      </c>
      <c r="O1347" s="8" t="s">
        <v>244</v>
      </c>
      <c r="P1347" s="8" t="s">
        <v>259</v>
      </c>
      <c r="Q1347" s="8" t="s">
        <v>260</v>
      </c>
      <c r="R1347" s="8" t="s">
        <v>444</v>
      </c>
      <c r="S1347" s="8"/>
      <c r="T1347" s="8"/>
      <c r="U1347" s="8" t="s">
        <v>379</v>
      </c>
      <c r="V1347" s="8"/>
      <c r="W1347" s="8"/>
      <c r="X1347" s="8"/>
      <c r="Y1347" s="8"/>
    </row>
    <row r="1348" spans="1:25" hidden="1" x14ac:dyDescent="0.25">
      <c r="A1348" s="273" t="s">
        <v>313</v>
      </c>
      <c r="B1348" s="251">
        <v>45735</v>
      </c>
      <c r="C1348" s="252" t="s">
        <v>760</v>
      </c>
      <c r="D1348" s="252"/>
      <c r="E1348" s="253">
        <v>26.07</v>
      </c>
      <c r="F1348" s="253">
        <v>0</v>
      </c>
      <c r="G1348" s="274">
        <f>Tabla3[[#This Row],[INGRESOS]]-Tabla3[[#This Row],[EGRESOS]]</f>
        <v>-26.07</v>
      </c>
      <c r="H1348" s="137">
        <v>-13522171.01</v>
      </c>
      <c r="I1348" s="135">
        <v>1140</v>
      </c>
      <c r="J1348" s="136">
        <f>Tabla3[[#This Row],[EGRESOS]]/Tabla3[[#This Row],[TC]]</f>
        <v>2.286842105263158E-2</v>
      </c>
      <c r="K1348" s="136">
        <f>Tabla3[[#This Row],[INGRESOS]]/Tabla3[[#This Row],[TC]]</f>
        <v>0</v>
      </c>
      <c r="L1348" s="8" t="s">
        <v>376</v>
      </c>
      <c r="M1348" s="8" t="s">
        <v>377</v>
      </c>
      <c r="N1348" s="8" t="s">
        <v>20</v>
      </c>
      <c r="O1348" s="8" t="s">
        <v>184</v>
      </c>
      <c r="P1348" s="8" t="s">
        <v>195</v>
      </c>
      <c r="Q1348" s="8" t="s">
        <v>196</v>
      </c>
      <c r="R1348" s="8" t="s">
        <v>394</v>
      </c>
      <c r="S1348" s="8" t="s">
        <v>383</v>
      </c>
      <c r="T1348" s="8"/>
      <c r="U1348" s="8" t="s">
        <v>384</v>
      </c>
      <c r="V1348" s="8"/>
      <c r="W1348" s="8" t="s">
        <v>380</v>
      </c>
      <c r="X1348" s="8" t="s">
        <v>99</v>
      </c>
      <c r="Y1348" s="8" t="s">
        <v>23</v>
      </c>
    </row>
    <row r="1349" spans="1:25" s="275" customFormat="1" hidden="1" x14ac:dyDescent="0.25">
      <c r="A1349" s="273" t="s">
        <v>313</v>
      </c>
      <c r="B1349" s="251">
        <v>45736</v>
      </c>
      <c r="C1349" s="252" t="s">
        <v>823</v>
      </c>
      <c r="D1349" s="252"/>
      <c r="E1349" s="253">
        <v>1173709</v>
      </c>
      <c r="F1349" s="253">
        <v>0</v>
      </c>
      <c r="G1349" s="274">
        <f>Tabla3[[#This Row],[INGRESOS]]-Tabla3[[#This Row],[EGRESOS]]</f>
        <v>-1173709</v>
      </c>
      <c r="H1349" s="137">
        <v>-14695880.01</v>
      </c>
      <c r="I1349" s="135">
        <v>1140</v>
      </c>
      <c r="J1349" s="136">
        <f>Tabla3[[#This Row],[EGRESOS]]/Tabla3[[#This Row],[TC]]</f>
        <v>1029.5692982456139</v>
      </c>
      <c r="K1349" s="136">
        <f>Tabla3[[#This Row],[INGRESOS]]/Tabla3[[#This Row],[TC]]</f>
        <v>0</v>
      </c>
      <c r="L1349" s="8" t="s">
        <v>376</v>
      </c>
      <c r="M1349" s="8" t="s">
        <v>377</v>
      </c>
      <c r="N1349" s="8" t="s">
        <v>20</v>
      </c>
      <c r="O1349" s="8" t="s">
        <v>184</v>
      </c>
      <c r="P1349" s="8" t="s">
        <v>195</v>
      </c>
      <c r="Q1349" s="8" t="s">
        <v>196</v>
      </c>
      <c r="R1349" s="8" t="s">
        <v>897</v>
      </c>
      <c r="S1349" s="8" t="s">
        <v>69</v>
      </c>
      <c r="T1349" s="8"/>
      <c r="U1349" s="8" t="s">
        <v>825</v>
      </c>
      <c r="V1349" s="8"/>
      <c r="W1349" s="8" t="s">
        <v>380</v>
      </c>
      <c r="X1349" s="8" t="s">
        <v>99</v>
      </c>
      <c r="Y1349" s="8" t="s">
        <v>23</v>
      </c>
    </row>
    <row r="1350" spans="1:25" s="275" customFormat="1" hidden="1" x14ac:dyDescent="0.25">
      <c r="A1350" s="273" t="s">
        <v>313</v>
      </c>
      <c r="B1350" s="251">
        <v>45736</v>
      </c>
      <c r="C1350" s="252" t="s">
        <v>760</v>
      </c>
      <c r="D1350" s="252"/>
      <c r="E1350" s="253">
        <v>7042.25</v>
      </c>
      <c r="F1350" s="253">
        <v>0</v>
      </c>
      <c r="G1350" s="274">
        <f>Tabla3[[#This Row],[INGRESOS]]-Tabla3[[#This Row],[EGRESOS]]</f>
        <v>-7042.25</v>
      </c>
      <c r="H1350" s="137">
        <v>-14702922.26</v>
      </c>
      <c r="I1350" s="135">
        <v>1140</v>
      </c>
      <c r="J1350" s="136">
        <f>Tabla3[[#This Row],[EGRESOS]]/Tabla3[[#This Row],[TC]]</f>
        <v>6.1774122807017546</v>
      </c>
      <c r="K1350" s="136">
        <f>Tabla3[[#This Row],[INGRESOS]]/Tabla3[[#This Row],[TC]]</f>
        <v>0</v>
      </c>
      <c r="L1350" s="8" t="s">
        <v>376</v>
      </c>
      <c r="M1350" s="8" t="s">
        <v>377</v>
      </c>
      <c r="N1350" s="8" t="s">
        <v>20</v>
      </c>
      <c r="O1350" s="8" t="s">
        <v>184</v>
      </c>
      <c r="P1350" s="8" t="s">
        <v>195</v>
      </c>
      <c r="Q1350" s="8" t="s">
        <v>196</v>
      </c>
      <c r="R1350" s="8" t="s">
        <v>394</v>
      </c>
      <c r="S1350" s="8" t="s">
        <v>383</v>
      </c>
      <c r="T1350" s="8"/>
      <c r="U1350" s="8" t="s">
        <v>384</v>
      </c>
      <c r="V1350" s="8"/>
      <c r="W1350" s="8" t="s">
        <v>380</v>
      </c>
      <c r="X1350" s="8" t="s">
        <v>99</v>
      </c>
      <c r="Y1350" s="8" t="s">
        <v>23</v>
      </c>
    </row>
    <row r="1351" spans="1:25" s="275" customFormat="1" hidden="1" x14ac:dyDescent="0.25">
      <c r="A1351" s="273" t="s">
        <v>313</v>
      </c>
      <c r="B1351" s="251">
        <v>45737</v>
      </c>
      <c r="C1351" s="252" t="s">
        <v>404</v>
      </c>
      <c r="D1351" s="252"/>
      <c r="E1351" s="253">
        <v>550000</v>
      </c>
      <c r="F1351" s="253">
        <v>0</v>
      </c>
      <c r="G1351" s="274">
        <f>Tabla3[[#This Row],[INGRESOS]]-Tabla3[[#This Row],[EGRESOS]]</f>
        <v>-550000</v>
      </c>
      <c r="H1351" s="137">
        <v>-15252922.26</v>
      </c>
      <c r="I1351" s="135">
        <v>1140</v>
      </c>
      <c r="J1351" s="136">
        <f>Tabla3[[#This Row],[EGRESOS]]/Tabla3[[#This Row],[TC]]</f>
        <v>482.45614035087721</v>
      </c>
      <c r="K1351" s="136">
        <f>Tabla3[[#This Row],[INGRESOS]]/Tabla3[[#This Row],[TC]]</f>
        <v>0</v>
      </c>
      <c r="L1351" s="8" t="s">
        <v>376</v>
      </c>
      <c r="M1351" s="8" t="s">
        <v>377</v>
      </c>
      <c r="N1351" s="8" t="s">
        <v>20</v>
      </c>
      <c r="O1351" s="8" t="s">
        <v>244</v>
      </c>
      <c r="P1351" s="8" t="s">
        <v>259</v>
      </c>
      <c r="Q1351" s="8" t="s">
        <v>260</v>
      </c>
      <c r="R1351" s="8" t="s">
        <v>594</v>
      </c>
      <c r="S1351" s="8"/>
      <c r="T1351" s="8"/>
      <c r="U1351" s="8" t="s">
        <v>379</v>
      </c>
      <c r="V1351" s="8"/>
      <c r="W1351" s="8" t="s">
        <v>380</v>
      </c>
      <c r="X1351" s="8"/>
      <c r="Y1351" s="8"/>
    </row>
    <row r="1352" spans="1:25" s="275" customFormat="1" hidden="1" x14ac:dyDescent="0.25">
      <c r="A1352" s="273" t="s">
        <v>313</v>
      </c>
      <c r="B1352" s="251">
        <v>45737</v>
      </c>
      <c r="C1352" s="252" t="s">
        <v>828</v>
      </c>
      <c r="D1352" s="252"/>
      <c r="E1352" s="253">
        <v>121</v>
      </c>
      <c r="F1352" s="253">
        <v>0</v>
      </c>
      <c r="G1352" s="274">
        <f>Tabla3[[#This Row],[INGRESOS]]-Tabla3[[#This Row],[EGRESOS]]</f>
        <v>-121</v>
      </c>
      <c r="H1352" s="137">
        <v>-15253043.26</v>
      </c>
      <c r="I1352" s="135">
        <v>1140</v>
      </c>
      <c r="J1352" s="136">
        <f>Tabla3[[#This Row],[EGRESOS]]/Tabla3[[#This Row],[TC]]</f>
        <v>0.10614035087719298</v>
      </c>
      <c r="K1352" s="136">
        <f>Tabla3[[#This Row],[INGRESOS]]/Tabla3[[#This Row],[TC]]</f>
        <v>0</v>
      </c>
      <c r="L1352" s="8" t="s">
        <v>376</v>
      </c>
      <c r="M1352" s="8" t="s">
        <v>377</v>
      </c>
      <c r="N1352" s="8" t="s">
        <v>20</v>
      </c>
      <c r="O1352" s="8" t="s">
        <v>184</v>
      </c>
      <c r="P1352" s="8" t="s">
        <v>195</v>
      </c>
      <c r="Q1352" s="8" t="s">
        <v>196</v>
      </c>
      <c r="R1352" s="8" t="s">
        <v>394</v>
      </c>
      <c r="S1352" s="8" t="s">
        <v>383</v>
      </c>
      <c r="T1352" s="8"/>
      <c r="U1352" s="8" t="s">
        <v>384</v>
      </c>
      <c r="V1352" s="8"/>
      <c r="W1352" s="8" t="s">
        <v>380</v>
      </c>
      <c r="X1352" s="8" t="s">
        <v>99</v>
      </c>
      <c r="Y1352" s="8" t="s">
        <v>23</v>
      </c>
    </row>
    <row r="1353" spans="1:25" s="275" customFormat="1" hidden="1" x14ac:dyDescent="0.25">
      <c r="A1353" s="273" t="s">
        <v>313</v>
      </c>
      <c r="B1353" s="251">
        <v>45737</v>
      </c>
      <c r="C1353" s="252" t="s">
        <v>800</v>
      </c>
      <c r="D1353" s="252"/>
      <c r="E1353" s="253">
        <v>850000</v>
      </c>
      <c r="F1353" s="253">
        <v>0</v>
      </c>
      <c r="G1353" s="274">
        <f>Tabla3[[#This Row],[INGRESOS]]-Tabla3[[#This Row],[EGRESOS]]</f>
        <v>-850000</v>
      </c>
      <c r="H1353" s="137">
        <v>-16103043.26</v>
      </c>
      <c r="I1353" s="135">
        <v>1140</v>
      </c>
      <c r="J1353" s="136">
        <f>Tabla3[[#This Row],[EGRESOS]]/Tabla3[[#This Row],[TC]]</f>
        <v>745.61403508771934</v>
      </c>
      <c r="K1353" s="136">
        <f>Tabla3[[#This Row],[INGRESOS]]/Tabla3[[#This Row],[TC]]</f>
        <v>0</v>
      </c>
      <c r="L1353" s="8" t="s">
        <v>376</v>
      </c>
      <c r="M1353" s="8" t="s">
        <v>377</v>
      </c>
      <c r="N1353" s="8" t="s">
        <v>20</v>
      </c>
      <c r="O1353" s="8" t="s">
        <v>184</v>
      </c>
      <c r="P1353" s="8" t="s">
        <v>185</v>
      </c>
      <c r="Q1353" s="8" t="s">
        <v>188</v>
      </c>
      <c r="R1353" s="8" t="s">
        <v>187</v>
      </c>
      <c r="S1353" s="8" t="s">
        <v>898</v>
      </c>
      <c r="T1353" s="8"/>
      <c r="U1353" s="8" t="s">
        <v>384</v>
      </c>
      <c r="V1353" s="8"/>
      <c r="W1353" s="8" t="s">
        <v>380</v>
      </c>
      <c r="X1353" s="8" t="s">
        <v>99</v>
      </c>
      <c r="Y1353" s="8" t="s">
        <v>23</v>
      </c>
    </row>
    <row r="1354" spans="1:25" s="275" customFormat="1" hidden="1" x14ac:dyDescent="0.25">
      <c r="A1354" s="273" t="s">
        <v>313</v>
      </c>
      <c r="B1354" s="251">
        <v>45737</v>
      </c>
      <c r="C1354" s="252" t="s">
        <v>828</v>
      </c>
      <c r="D1354" s="252"/>
      <c r="E1354" s="253">
        <v>121</v>
      </c>
      <c r="F1354" s="253">
        <v>0</v>
      </c>
      <c r="G1354" s="274">
        <f>Tabla3[[#This Row],[INGRESOS]]-Tabla3[[#This Row],[EGRESOS]]</f>
        <v>-121</v>
      </c>
      <c r="H1354" s="137">
        <v>-16103164.26</v>
      </c>
      <c r="I1354" s="135">
        <v>1140</v>
      </c>
      <c r="J1354" s="136">
        <f>Tabla3[[#This Row],[EGRESOS]]/Tabla3[[#This Row],[TC]]</f>
        <v>0.10614035087719298</v>
      </c>
      <c r="K1354" s="136">
        <f>Tabla3[[#This Row],[INGRESOS]]/Tabla3[[#This Row],[TC]]</f>
        <v>0</v>
      </c>
      <c r="L1354" s="8" t="s">
        <v>376</v>
      </c>
      <c r="M1354" s="8" t="s">
        <v>377</v>
      </c>
      <c r="N1354" s="8" t="s">
        <v>20</v>
      </c>
      <c r="O1354" s="8" t="s">
        <v>184</v>
      </c>
      <c r="P1354" s="8" t="s">
        <v>185</v>
      </c>
      <c r="Q1354" s="8" t="s">
        <v>186</v>
      </c>
      <c r="R1354" s="8" t="s">
        <v>227</v>
      </c>
      <c r="S1354" s="8"/>
      <c r="T1354" s="8"/>
      <c r="U1354" s="8" t="s">
        <v>384</v>
      </c>
      <c r="V1354" s="8"/>
      <c r="W1354" s="8" t="s">
        <v>380</v>
      </c>
      <c r="X1354" s="8" t="s">
        <v>99</v>
      </c>
      <c r="Y1354" s="8" t="s">
        <v>23</v>
      </c>
    </row>
    <row r="1355" spans="1:25" hidden="1" x14ac:dyDescent="0.25">
      <c r="A1355" s="273" t="s">
        <v>313</v>
      </c>
      <c r="B1355" s="251">
        <v>45737</v>
      </c>
      <c r="C1355" s="252" t="s">
        <v>760</v>
      </c>
      <c r="D1355" s="252"/>
      <c r="E1355" s="253">
        <v>5101.46</v>
      </c>
      <c r="F1355" s="253">
        <v>0</v>
      </c>
      <c r="G1355" s="274">
        <f>Tabla3[[#This Row],[INGRESOS]]-Tabla3[[#This Row],[EGRESOS]]</f>
        <v>-5101.46</v>
      </c>
      <c r="H1355" s="137">
        <v>-16108265.720000001</v>
      </c>
      <c r="I1355" s="135">
        <v>1140</v>
      </c>
      <c r="J1355" s="136">
        <f>Tabla3[[#This Row],[EGRESOS]]/Tabla3[[#This Row],[TC]]</f>
        <v>4.4749649122807016</v>
      </c>
      <c r="K1355" s="136">
        <f>Tabla3[[#This Row],[INGRESOS]]/Tabla3[[#This Row],[TC]]</f>
        <v>0</v>
      </c>
      <c r="L1355" s="8" t="s">
        <v>376</v>
      </c>
      <c r="M1355" s="8" t="s">
        <v>377</v>
      </c>
      <c r="N1355" s="8" t="s">
        <v>20</v>
      </c>
      <c r="O1355" s="8" t="s">
        <v>184</v>
      </c>
      <c r="P1355" s="8" t="s">
        <v>195</v>
      </c>
      <c r="Q1355" s="8" t="s">
        <v>196</v>
      </c>
      <c r="R1355" s="8" t="s">
        <v>394</v>
      </c>
      <c r="S1355" s="8" t="s">
        <v>383</v>
      </c>
      <c r="T1355" s="8"/>
      <c r="U1355" s="8" t="s">
        <v>384</v>
      </c>
      <c r="V1355" s="8"/>
      <c r="W1355" s="8" t="s">
        <v>380</v>
      </c>
      <c r="X1355" s="8" t="s">
        <v>99</v>
      </c>
      <c r="Y1355" s="8" t="s">
        <v>23</v>
      </c>
    </row>
    <row r="1356" spans="1:25" hidden="1" x14ac:dyDescent="0.25">
      <c r="A1356" s="273" t="s">
        <v>313</v>
      </c>
      <c r="B1356" s="251">
        <v>45737</v>
      </c>
      <c r="C1356" s="252" t="s">
        <v>795</v>
      </c>
      <c r="D1356" s="252"/>
      <c r="E1356" s="253">
        <v>1641443.89</v>
      </c>
      <c r="F1356" s="253">
        <v>0</v>
      </c>
      <c r="G1356" s="274">
        <f>Tabla3[[#This Row],[INGRESOS]]-Tabla3[[#This Row],[EGRESOS]]</f>
        <v>-1641443.89</v>
      </c>
      <c r="H1356" s="137">
        <v>-17749709.609999999</v>
      </c>
      <c r="I1356" s="135">
        <v>1140</v>
      </c>
      <c r="J1356" s="136">
        <f>Tabla3[[#This Row],[EGRESOS]]/Tabla3[[#This Row],[TC]]</f>
        <v>1439.8630614035087</v>
      </c>
      <c r="K1356" s="136">
        <f>Tabla3[[#This Row],[INGRESOS]]/Tabla3[[#This Row],[TC]]</f>
        <v>0</v>
      </c>
      <c r="L1356" s="8" t="s">
        <v>376</v>
      </c>
      <c r="M1356" s="8" t="s">
        <v>377</v>
      </c>
      <c r="N1356" s="8" t="s">
        <v>20</v>
      </c>
      <c r="O1356" s="8" t="s">
        <v>244</v>
      </c>
      <c r="P1356" s="8" t="s">
        <v>259</v>
      </c>
      <c r="Q1356" s="8" t="s">
        <v>260</v>
      </c>
      <c r="R1356" s="8" t="s">
        <v>804</v>
      </c>
      <c r="S1356" s="8"/>
      <c r="T1356" s="8"/>
      <c r="U1356" s="8" t="s">
        <v>379</v>
      </c>
      <c r="V1356" s="8"/>
      <c r="W1356" s="8" t="s">
        <v>380</v>
      </c>
      <c r="X1356" s="8"/>
      <c r="Y1356" s="8"/>
    </row>
    <row r="1357" spans="1:25" hidden="1" x14ac:dyDescent="0.25">
      <c r="A1357" s="273" t="s">
        <v>313</v>
      </c>
      <c r="B1357" s="251">
        <v>45741</v>
      </c>
      <c r="C1357" s="252" t="s">
        <v>800</v>
      </c>
      <c r="D1357" s="252"/>
      <c r="E1357" s="253">
        <v>73940</v>
      </c>
      <c r="F1357" s="253">
        <v>0</v>
      </c>
      <c r="G1357" s="274">
        <f>Tabla3[[#This Row],[INGRESOS]]-Tabla3[[#This Row],[EGRESOS]]</f>
        <v>-73940</v>
      </c>
      <c r="H1357" s="137">
        <v>-17823649.609999999</v>
      </c>
      <c r="I1357" s="135">
        <v>1140</v>
      </c>
      <c r="J1357" s="136">
        <f>Tabla3[[#This Row],[EGRESOS]]/Tabla3[[#This Row],[TC]]</f>
        <v>64.859649122807014</v>
      </c>
      <c r="K1357" s="136">
        <f>Tabla3[[#This Row],[INGRESOS]]/Tabla3[[#This Row],[TC]]</f>
        <v>0</v>
      </c>
      <c r="L1357" s="8" t="s">
        <v>376</v>
      </c>
      <c r="M1357" s="8" t="s">
        <v>377</v>
      </c>
      <c r="N1357" s="8" t="s">
        <v>20</v>
      </c>
      <c r="O1357" s="8" t="s">
        <v>225</v>
      </c>
      <c r="P1357" s="8" t="s">
        <v>236</v>
      </c>
      <c r="Q1357" s="8" t="s">
        <v>227</v>
      </c>
      <c r="R1357" s="8" t="s">
        <v>899</v>
      </c>
      <c r="S1357" s="8" t="s">
        <v>900</v>
      </c>
      <c r="T1357" s="8" t="s">
        <v>901</v>
      </c>
      <c r="U1357" s="8" t="s">
        <v>412</v>
      </c>
      <c r="V1357" s="8"/>
      <c r="W1357" s="8" t="s">
        <v>380</v>
      </c>
      <c r="X1357" s="8" t="s">
        <v>29</v>
      </c>
      <c r="Y1357" s="8" t="s">
        <v>23</v>
      </c>
    </row>
    <row r="1358" spans="1:25" hidden="1" x14ac:dyDescent="0.25">
      <c r="A1358" s="273" t="s">
        <v>313</v>
      </c>
      <c r="B1358" s="251">
        <v>45741</v>
      </c>
      <c r="C1358" s="252" t="s">
        <v>760</v>
      </c>
      <c r="D1358" s="252"/>
      <c r="E1358" s="253">
        <v>443.64</v>
      </c>
      <c r="F1358" s="253">
        <v>0</v>
      </c>
      <c r="G1358" s="274">
        <f>Tabla3[[#This Row],[INGRESOS]]-Tabla3[[#This Row],[EGRESOS]]</f>
        <v>-443.64</v>
      </c>
      <c r="H1358" s="137">
        <v>-17824093.25</v>
      </c>
      <c r="I1358" s="135">
        <v>1140</v>
      </c>
      <c r="J1358" s="136">
        <f>Tabla3[[#This Row],[EGRESOS]]/Tabla3[[#This Row],[TC]]</f>
        <v>0.38915789473684209</v>
      </c>
      <c r="K1358" s="136">
        <f>Tabla3[[#This Row],[INGRESOS]]/Tabla3[[#This Row],[TC]]</f>
        <v>0</v>
      </c>
      <c r="L1358" s="8" t="s">
        <v>376</v>
      </c>
      <c r="M1358" s="8" t="s">
        <v>377</v>
      </c>
      <c r="N1358" s="8" t="s">
        <v>20</v>
      </c>
      <c r="O1358" s="8" t="s">
        <v>184</v>
      </c>
      <c r="P1358" s="8" t="s">
        <v>195</v>
      </c>
      <c r="Q1358" s="8" t="s">
        <v>196</v>
      </c>
      <c r="R1358" s="8" t="s">
        <v>394</v>
      </c>
      <c r="S1358" s="8" t="s">
        <v>383</v>
      </c>
      <c r="T1358" s="8"/>
      <c r="U1358" s="8" t="s">
        <v>384</v>
      </c>
      <c r="V1358" s="8"/>
      <c r="W1358" s="8" t="s">
        <v>380</v>
      </c>
      <c r="X1358" s="8" t="s">
        <v>99</v>
      </c>
      <c r="Y1358" s="8" t="s">
        <v>23</v>
      </c>
    </row>
    <row r="1359" spans="1:25" hidden="1" x14ac:dyDescent="0.25">
      <c r="A1359" s="273" t="s">
        <v>313</v>
      </c>
      <c r="B1359" s="251">
        <v>45742</v>
      </c>
      <c r="C1359" s="252" t="s">
        <v>404</v>
      </c>
      <c r="D1359" s="252"/>
      <c r="E1359" s="253">
        <v>1700000</v>
      </c>
      <c r="F1359" s="253">
        <v>0</v>
      </c>
      <c r="G1359" s="274">
        <f>Tabla3[[#This Row],[INGRESOS]]-Tabla3[[#This Row],[EGRESOS]]</f>
        <v>-1700000</v>
      </c>
      <c r="H1359" s="137">
        <v>-19524093.25</v>
      </c>
      <c r="I1359" s="135">
        <v>1140</v>
      </c>
      <c r="J1359" s="136">
        <f>Tabla3[[#This Row],[EGRESOS]]/Tabla3[[#This Row],[TC]]</f>
        <v>1491.2280701754387</v>
      </c>
      <c r="K1359" s="136">
        <f>Tabla3[[#This Row],[INGRESOS]]/Tabla3[[#This Row],[TC]]</f>
        <v>0</v>
      </c>
      <c r="L1359" s="8" t="s">
        <v>376</v>
      </c>
      <c r="M1359" s="8" t="s">
        <v>377</v>
      </c>
      <c r="N1359" s="8" t="s">
        <v>20</v>
      </c>
      <c r="O1359" s="8" t="s">
        <v>244</v>
      </c>
      <c r="P1359" s="8" t="s">
        <v>259</v>
      </c>
      <c r="Q1359" s="8" t="s">
        <v>260</v>
      </c>
      <c r="R1359" s="8" t="s">
        <v>444</v>
      </c>
      <c r="S1359" s="8"/>
      <c r="T1359" s="8"/>
      <c r="U1359" s="8" t="s">
        <v>379</v>
      </c>
      <c r="V1359" s="8"/>
      <c r="W1359" s="8"/>
      <c r="X1359" s="8"/>
      <c r="Y1359" s="8"/>
    </row>
    <row r="1360" spans="1:25" hidden="1" x14ac:dyDescent="0.25">
      <c r="A1360" s="273" t="s">
        <v>313</v>
      </c>
      <c r="B1360" s="251">
        <v>45742</v>
      </c>
      <c r="C1360" s="252" t="s">
        <v>828</v>
      </c>
      <c r="D1360" s="252"/>
      <c r="E1360" s="253">
        <v>121</v>
      </c>
      <c r="F1360" s="253">
        <v>0</v>
      </c>
      <c r="G1360" s="274">
        <f>Tabla3[[#This Row],[INGRESOS]]-Tabla3[[#This Row],[EGRESOS]]</f>
        <v>-121</v>
      </c>
      <c r="H1360" s="137">
        <v>-19524214.25</v>
      </c>
      <c r="I1360" s="135">
        <v>1140</v>
      </c>
      <c r="J1360" s="136">
        <f>Tabla3[[#This Row],[EGRESOS]]/Tabla3[[#This Row],[TC]]</f>
        <v>0.10614035087719298</v>
      </c>
      <c r="K1360" s="136">
        <f>Tabla3[[#This Row],[INGRESOS]]/Tabla3[[#This Row],[TC]]</f>
        <v>0</v>
      </c>
      <c r="L1360" s="8" t="s">
        <v>376</v>
      </c>
      <c r="M1360" s="8" t="s">
        <v>377</v>
      </c>
      <c r="N1360" s="8" t="s">
        <v>20</v>
      </c>
      <c r="O1360" s="8" t="s">
        <v>184</v>
      </c>
      <c r="P1360" s="8" t="s">
        <v>185</v>
      </c>
      <c r="Q1360" s="8" t="s">
        <v>186</v>
      </c>
      <c r="R1360" s="8" t="s">
        <v>227</v>
      </c>
      <c r="S1360" s="8"/>
      <c r="T1360" s="8"/>
      <c r="U1360" s="8" t="s">
        <v>384</v>
      </c>
      <c r="V1360" s="8"/>
      <c r="W1360" s="8" t="s">
        <v>380</v>
      </c>
      <c r="X1360" s="8" t="s">
        <v>99</v>
      </c>
      <c r="Y1360" s="8" t="s">
        <v>23</v>
      </c>
    </row>
    <row r="1361" spans="1:25" hidden="1" x14ac:dyDescent="0.25">
      <c r="A1361" s="273" t="s">
        <v>313</v>
      </c>
      <c r="B1361" s="251">
        <v>45742</v>
      </c>
      <c r="C1361" s="252" t="s">
        <v>800</v>
      </c>
      <c r="D1361" s="252"/>
      <c r="E1361" s="253">
        <v>30000</v>
      </c>
      <c r="F1361" s="253">
        <v>0</v>
      </c>
      <c r="G1361" s="274">
        <f>Tabla3[[#This Row],[INGRESOS]]-Tabla3[[#This Row],[EGRESOS]]</f>
        <v>-30000</v>
      </c>
      <c r="H1361" s="137">
        <v>-19718214.25</v>
      </c>
      <c r="I1361" s="135">
        <v>1140</v>
      </c>
      <c r="J1361" s="136">
        <f>Tabla3[[#This Row],[EGRESOS]]/Tabla3[[#This Row],[TC]]</f>
        <v>26.315789473684209</v>
      </c>
      <c r="K1361" s="136">
        <f>Tabla3[[#This Row],[INGRESOS]]/Tabla3[[#This Row],[TC]]</f>
        <v>0</v>
      </c>
      <c r="L1361" s="8" t="s">
        <v>376</v>
      </c>
      <c r="M1361" s="8" t="s">
        <v>377</v>
      </c>
      <c r="N1361" s="8" t="s">
        <v>20</v>
      </c>
      <c r="O1361" s="8" t="s">
        <v>276</v>
      </c>
      <c r="P1361" s="7" t="s">
        <v>279</v>
      </c>
      <c r="Q1361" s="7" t="s">
        <v>280</v>
      </c>
      <c r="R1361" s="8"/>
      <c r="S1361" s="8" t="s">
        <v>431</v>
      </c>
      <c r="T1361" s="8"/>
      <c r="U1361" s="8" t="s">
        <v>384</v>
      </c>
      <c r="V1361" s="8"/>
      <c r="W1361" s="8" t="s">
        <v>380</v>
      </c>
      <c r="X1361" s="8" t="s">
        <v>99</v>
      </c>
      <c r="Y1361" s="8" t="s">
        <v>23</v>
      </c>
    </row>
    <row r="1362" spans="1:25" hidden="1" x14ac:dyDescent="0.25">
      <c r="A1362" s="273" t="s">
        <v>313</v>
      </c>
      <c r="B1362" s="251">
        <v>45742</v>
      </c>
      <c r="C1362" s="252" t="s">
        <v>800</v>
      </c>
      <c r="D1362" s="252"/>
      <c r="E1362" s="253">
        <v>14000</v>
      </c>
      <c r="F1362" s="253">
        <v>0</v>
      </c>
      <c r="G1362" s="274">
        <f>Tabla3[[#This Row],[INGRESOS]]-Tabla3[[#This Row],[EGRESOS]]</f>
        <v>-14000</v>
      </c>
      <c r="H1362" s="137">
        <v>-19718214.25</v>
      </c>
      <c r="I1362" s="135">
        <v>1140</v>
      </c>
      <c r="J1362" s="136">
        <f>Tabla3[[#This Row],[EGRESOS]]/Tabla3[[#This Row],[TC]]</f>
        <v>12.280701754385966</v>
      </c>
      <c r="K1362" s="136">
        <f>Tabla3[[#This Row],[INGRESOS]]/Tabla3[[#This Row],[TC]]</f>
        <v>0</v>
      </c>
      <c r="L1362" s="8" t="s">
        <v>376</v>
      </c>
      <c r="M1362" s="8" t="s">
        <v>377</v>
      </c>
      <c r="N1362" s="8" t="s">
        <v>20</v>
      </c>
      <c r="O1362" s="8" t="s">
        <v>225</v>
      </c>
      <c r="P1362" s="8" t="s">
        <v>233</v>
      </c>
      <c r="Q1362" s="8" t="s">
        <v>234</v>
      </c>
      <c r="R1362" s="8" t="s">
        <v>430</v>
      </c>
      <c r="S1362" s="8"/>
      <c r="T1362" s="8"/>
      <c r="U1362" s="8" t="s">
        <v>403</v>
      </c>
      <c r="V1362" s="8"/>
      <c r="W1362" s="8" t="s">
        <v>380</v>
      </c>
      <c r="X1362" s="8" t="s">
        <v>29</v>
      </c>
      <c r="Y1362" s="8" t="s">
        <v>23</v>
      </c>
    </row>
    <row r="1363" spans="1:25" hidden="1" x14ac:dyDescent="0.25">
      <c r="A1363" s="273" t="s">
        <v>313</v>
      </c>
      <c r="B1363" s="251">
        <v>45742</v>
      </c>
      <c r="C1363" s="252" t="s">
        <v>800</v>
      </c>
      <c r="D1363" s="252"/>
      <c r="E1363" s="253">
        <v>150000</v>
      </c>
      <c r="F1363" s="253">
        <v>0</v>
      </c>
      <c r="G1363" s="274">
        <f>Tabla3[[#This Row],[INGRESOS]]-Tabla3[[#This Row],[EGRESOS]]</f>
        <v>-150000</v>
      </c>
      <c r="H1363" s="137">
        <v>-19718214.25</v>
      </c>
      <c r="I1363" s="135">
        <v>1140</v>
      </c>
      <c r="J1363" s="136">
        <f>Tabla3[[#This Row],[EGRESOS]]/Tabla3[[#This Row],[TC]]</f>
        <v>131.57894736842104</v>
      </c>
      <c r="K1363" s="136">
        <f>Tabla3[[#This Row],[INGRESOS]]/Tabla3[[#This Row],[TC]]</f>
        <v>0</v>
      </c>
      <c r="L1363" s="8" t="s">
        <v>376</v>
      </c>
      <c r="M1363" s="8" t="s">
        <v>377</v>
      </c>
      <c r="N1363" s="8" t="s">
        <v>20</v>
      </c>
      <c r="O1363" s="8" t="s">
        <v>184</v>
      </c>
      <c r="P1363" s="8" t="s">
        <v>199</v>
      </c>
      <c r="Q1363" s="8" t="s">
        <v>200</v>
      </c>
      <c r="R1363" s="8"/>
      <c r="S1363" s="8" t="s">
        <v>470</v>
      </c>
      <c r="T1363" s="8"/>
      <c r="U1363" s="8" t="s">
        <v>390</v>
      </c>
      <c r="V1363" s="8"/>
      <c r="W1363" s="8" t="s">
        <v>380</v>
      </c>
      <c r="X1363" s="8" t="s">
        <v>99</v>
      </c>
      <c r="Y1363" s="8" t="s">
        <v>23</v>
      </c>
    </row>
    <row r="1364" spans="1:25" hidden="1" x14ac:dyDescent="0.25">
      <c r="A1364" s="273" t="s">
        <v>315</v>
      </c>
      <c r="B1364" s="251">
        <v>45789</v>
      </c>
      <c r="C1364" s="252" t="s">
        <v>800</v>
      </c>
      <c r="D1364" s="252"/>
      <c r="E1364" s="253">
        <v>2000000</v>
      </c>
      <c r="F1364" s="253">
        <v>0</v>
      </c>
      <c r="G1364" s="274">
        <f>Tabla3[[#This Row],[INGRESOS]]-Tabla3[[#This Row],[EGRESOS]]</f>
        <v>-2000000</v>
      </c>
      <c r="H1364" s="137">
        <v>-16683275.300000001</v>
      </c>
      <c r="I1364" s="135">
        <v>1170</v>
      </c>
      <c r="J1364" s="136">
        <f>Tabla3[[#This Row],[EGRESOS]]/Tabla3[[#This Row],[TC]]</f>
        <v>1709.4017094017095</v>
      </c>
      <c r="K1364" s="136">
        <f>Tabla3[[#This Row],[INGRESOS]]/Tabla3[[#This Row],[TC]]</f>
        <v>0</v>
      </c>
      <c r="L1364" s="8" t="s">
        <v>376</v>
      </c>
      <c r="M1364" s="8" t="s">
        <v>377</v>
      </c>
      <c r="N1364" s="8" t="s">
        <v>20</v>
      </c>
      <c r="O1364" s="8" t="s">
        <v>184</v>
      </c>
      <c r="P1364" s="8" t="s">
        <v>203</v>
      </c>
      <c r="Q1364" s="8" t="s">
        <v>208</v>
      </c>
      <c r="R1364" s="8"/>
      <c r="S1364" s="8" t="s">
        <v>386</v>
      </c>
      <c r="T1364" s="8"/>
      <c r="U1364" s="8" t="s">
        <v>387</v>
      </c>
      <c r="V1364" s="8" t="s">
        <v>386</v>
      </c>
      <c r="W1364" s="8" t="s">
        <v>380</v>
      </c>
      <c r="X1364" s="8" t="s">
        <v>104</v>
      </c>
      <c r="Y1364" s="8" t="s">
        <v>23</v>
      </c>
    </row>
    <row r="1365" spans="1:25" hidden="1" x14ac:dyDescent="0.25">
      <c r="A1365" s="273" t="s">
        <v>313</v>
      </c>
      <c r="B1365" s="251">
        <v>45742</v>
      </c>
      <c r="C1365" s="252" t="s">
        <v>760</v>
      </c>
      <c r="D1365" s="252"/>
      <c r="E1365" s="253">
        <v>2634.73</v>
      </c>
      <c r="F1365" s="253">
        <v>0</v>
      </c>
      <c r="G1365" s="274">
        <f>Tabla3[[#This Row],[INGRESOS]]-Tabla3[[#This Row],[EGRESOS]]</f>
        <v>-2634.73</v>
      </c>
      <c r="H1365" s="137">
        <v>-19965848.98</v>
      </c>
      <c r="I1365" s="135">
        <v>1140</v>
      </c>
      <c r="J1365" s="136">
        <f>Tabla3[[#This Row],[EGRESOS]]/Tabla3[[#This Row],[TC]]</f>
        <v>2.3111666666666668</v>
      </c>
      <c r="K1365" s="136">
        <f>Tabla3[[#This Row],[INGRESOS]]/Tabla3[[#This Row],[TC]]</f>
        <v>0</v>
      </c>
      <c r="L1365" s="8" t="s">
        <v>376</v>
      </c>
      <c r="M1365" s="8" t="s">
        <v>377</v>
      </c>
      <c r="N1365" s="8" t="s">
        <v>20</v>
      </c>
      <c r="O1365" s="8" t="s">
        <v>184</v>
      </c>
      <c r="P1365" s="8" t="s">
        <v>195</v>
      </c>
      <c r="Q1365" s="8" t="s">
        <v>196</v>
      </c>
      <c r="R1365" s="8" t="s">
        <v>394</v>
      </c>
      <c r="S1365" s="8" t="s">
        <v>383</v>
      </c>
      <c r="T1365" s="8"/>
      <c r="U1365" s="8" t="s">
        <v>384</v>
      </c>
      <c r="V1365" s="8"/>
      <c r="W1365" s="8" t="s">
        <v>380</v>
      </c>
      <c r="X1365" s="8" t="s">
        <v>99</v>
      </c>
      <c r="Y1365" s="8" t="s">
        <v>23</v>
      </c>
    </row>
    <row r="1366" spans="1:25" hidden="1" x14ac:dyDescent="0.25">
      <c r="A1366" s="273" t="s">
        <v>313</v>
      </c>
      <c r="B1366" s="251">
        <v>45742</v>
      </c>
      <c r="C1366" s="252" t="s">
        <v>760</v>
      </c>
      <c r="D1366" s="252"/>
      <c r="E1366" s="253">
        <v>2634.73</v>
      </c>
      <c r="F1366" s="253">
        <v>0</v>
      </c>
      <c r="G1366" s="274">
        <f>Tabla3[[#This Row],[INGRESOS]]-Tabla3[[#This Row],[EGRESOS]]</f>
        <v>-2634.73</v>
      </c>
      <c r="H1366" s="137">
        <v>-19965848.98</v>
      </c>
      <c r="I1366" s="135">
        <v>1140</v>
      </c>
      <c r="J1366" s="136">
        <f>Tabla3[[#This Row],[EGRESOS]]/Tabla3[[#This Row],[TC]]</f>
        <v>2.3111666666666668</v>
      </c>
      <c r="K1366" s="136">
        <f>Tabla3[[#This Row],[INGRESOS]]/Tabla3[[#This Row],[TC]]</f>
        <v>0</v>
      </c>
      <c r="L1366" s="8" t="s">
        <v>376</v>
      </c>
      <c r="M1366" s="8" t="s">
        <v>377</v>
      </c>
      <c r="N1366" s="8" t="s">
        <v>20</v>
      </c>
      <c r="O1366" s="8" t="s">
        <v>184</v>
      </c>
      <c r="P1366" s="8" t="s">
        <v>195</v>
      </c>
      <c r="Q1366" s="8" t="s">
        <v>196</v>
      </c>
      <c r="R1366" s="8" t="s">
        <v>394</v>
      </c>
      <c r="S1366" s="8" t="s">
        <v>383</v>
      </c>
      <c r="T1366" s="8"/>
      <c r="U1366" s="8" t="s">
        <v>384</v>
      </c>
      <c r="V1366" s="8"/>
      <c r="W1366" s="8" t="s">
        <v>380</v>
      </c>
      <c r="X1366" s="8" t="s">
        <v>99</v>
      </c>
      <c r="Y1366" s="8" t="s">
        <v>23</v>
      </c>
    </row>
    <row r="1367" spans="1:25" hidden="1" x14ac:dyDescent="0.25">
      <c r="A1367" s="273" t="s">
        <v>313</v>
      </c>
      <c r="B1367" s="251">
        <v>45743</v>
      </c>
      <c r="C1367" s="252" t="s">
        <v>404</v>
      </c>
      <c r="D1367" s="252"/>
      <c r="E1367" s="253">
        <v>70000</v>
      </c>
      <c r="F1367" s="253">
        <v>0</v>
      </c>
      <c r="G1367" s="274">
        <f>Tabla3[[#This Row],[INGRESOS]]-Tabla3[[#This Row],[EGRESOS]]</f>
        <v>-70000</v>
      </c>
      <c r="H1367" s="137">
        <v>-20035848.98</v>
      </c>
      <c r="I1367" s="135">
        <v>1140</v>
      </c>
      <c r="J1367" s="136">
        <f>Tabla3[[#This Row],[EGRESOS]]/Tabla3[[#This Row],[TC]]</f>
        <v>61.403508771929822</v>
      </c>
      <c r="K1367" s="136">
        <f>Tabla3[[#This Row],[INGRESOS]]/Tabla3[[#This Row],[TC]]</f>
        <v>0</v>
      </c>
      <c r="L1367" s="8" t="s">
        <v>376</v>
      </c>
      <c r="M1367" s="8" t="s">
        <v>377</v>
      </c>
      <c r="N1367" s="8" t="s">
        <v>20</v>
      </c>
      <c r="O1367" s="8" t="s">
        <v>244</v>
      </c>
      <c r="P1367" s="8" t="s">
        <v>259</v>
      </c>
      <c r="Q1367" s="8" t="s">
        <v>260</v>
      </c>
      <c r="R1367" s="8" t="s">
        <v>617</v>
      </c>
      <c r="S1367" s="8"/>
      <c r="T1367" s="8"/>
      <c r="U1367" s="8" t="s">
        <v>379</v>
      </c>
      <c r="V1367" s="8"/>
      <c r="W1367" s="8"/>
      <c r="X1367" s="8"/>
      <c r="Y1367" s="8"/>
    </row>
    <row r="1368" spans="1:25" hidden="1" x14ac:dyDescent="0.25">
      <c r="A1368" s="273" t="s">
        <v>313</v>
      </c>
      <c r="B1368" s="251">
        <v>45743</v>
      </c>
      <c r="C1368" s="252" t="s">
        <v>762</v>
      </c>
      <c r="D1368" s="252"/>
      <c r="E1368" s="253">
        <v>1423.17</v>
      </c>
      <c r="F1368" s="253">
        <v>0</v>
      </c>
      <c r="G1368" s="274">
        <f>Tabla3[[#This Row],[INGRESOS]]-Tabla3[[#This Row],[EGRESOS]]</f>
        <v>-1423.17</v>
      </c>
      <c r="H1368" s="137">
        <v>-20037272.149999999</v>
      </c>
      <c r="I1368" s="135">
        <v>1140</v>
      </c>
      <c r="J1368" s="136">
        <f>Tabla3[[#This Row],[EGRESOS]]/Tabla3[[#This Row],[TC]]</f>
        <v>1.2483947368421053</v>
      </c>
      <c r="K1368" s="136">
        <f>Tabla3[[#This Row],[INGRESOS]]/Tabla3[[#This Row],[TC]]</f>
        <v>0</v>
      </c>
      <c r="L1368" s="8" t="s">
        <v>376</v>
      </c>
      <c r="M1368" s="8" t="s">
        <v>377</v>
      </c>
      <c r="N1368" s="8" t="s">
        <v>20</v>
      </c>
      <c r="O1368" s="8" t="s">
        <v>184</v>
      </c>
      <c r="P1368" s="8" t="s">
        <v>195</v>
      </c>
      <c r="Q1368" s="8" t="s">
        <v>196</v>
      </c>
      <c r="R1368" s="8" t="s">
        <v>902</v>
      </c>
      <c r="S1368" s="8" t="s">
        <v>383</v>
      </c>
      <c r="T1368" s="8"/>
      <c r="U1368" s="8" t="s">
        <v>384</v>
      </c>
      <c r="V1368" s="8"/>
      <c r="W1368" s="8" t="s">
        <v>380</v>
      </c>
      <c r="X1368" s="8" t="s">
        <v>99</v>
      </c>
      <c r="Y1368" s="8" t="s">
        <v>23</v>
      </c>
    </row>
    <row r="1369" spans="1:25" hidden="1" x14ac:dyDescent="0.25">
      <c r="A1369" s="273" t="s">
        <v>313</v>
      </c>
      <c r="B1369" s="251">
        <v>45743</v>
      </c>
      <c r="C1369" s="252" t="s">
        <v>763</v>
      </c>
      <c r="D1369" s="252"/>
      <c r="E1369" s="253">
        <v>203.31</v>
      </c>
      <c r="F1369" s="253">
        <v>0</v>
      </c>
      <c r="G1369" s="274">
        <f>Tabla3[[#This Row],[INGRESOS]]-Tabla3[[#This Row],[EGRESOS]]</f>
        <v>-203.31</v>
      </c>
      <c r="H1369" s="137">
        <v>-20037475.460000001</v>
      </c>
      <c r="I1369" s="135">
        <v>1140</v>
      </c>
      <c r="J1369" s="136">
        <f>Tabla3[[#This Row],[EGRESOS]]/Tabla3[[#This Row],[TC]]</f>
        <v>0.17834210526315789</v>
      </c>
      <c r="K1369" s="136">
        <f>Tabla3[[#This Row],[INGRESOS]]/Tabla3[[#This Row],[TC]]</f>
        <v>0</v>
      </c>
      <c r="L1369" s="8" t="s">
        <v>376</v>
      </c>
      <c r="M1369" s="8" t="s">
        <v>377</v>
      </c>
      <c r="N1369" s="8" t="s">
        <v>20</v>
      </c>
      <c r="O1369" s="8" t="s">
        <v>184</v>
      </c>
      <c r="P1369" s="8" t="s">
        <v>195</v>
      </c>
      <c r="Q1369" s="8" t="s">
        <v>196</v>
      </c>
      <c r="R1369" s="8" t="s">
        <v>417</v>
      </c>
      <c r="S1369" s="8" t="s">
        <v>383</v>
      </c>
      <c r="T1369" s="8"/>
      <c r="U1369" s="8" t="s">
        <v>384</v>
      </c>
      <c r="V1369" s="8"/>
      <c r="W1369" s="8" t="s">
        <v>380</v>
      </c>
      <c r="X1369" s="8" t="s">
        <v>99</v>
      </c>
      <c r="Y1369" s="8" t="s">
        <v>23</v>
      </c>
    </row>
    <row r="1370" spans="1:25" hidden="1" x14ac:dyDescent="0.25">
      <c r="A1370" s="273" t="s">
        <v>313</v>
      </c>
      <c r="B1370" s="251">
        <v>45743</v>
      </c>
      <c r="C1370" s="252" t="s">
        <v>837</v>
      </c>
      <c r="D1370" s="252"/>
      <c r="E1370" s="253">
        <v>6777</v>
      </c>
      <c r="F1370" s="253">
        <v>0</v>
      </c>
      <c r="G1370" s="274">
        <f>Tabla3[[#This Row],[INGRESOS]]-Tabla3[[#This Row],[EGRESOS]]</f>
        <v>-6777</v>
      </c>
      <c r="H1370" s="137">
        <v>-20044252.460000001</v>
      </c>
      <c r="I1370" s="135">
        <v>1140</v>
      </c>
      <c r="J1370" s="136">
        <f>Tabla3[[#This Row],[EGRESOS]]/Tabla3[[#This Row],[TC]]</f>
        <v>5.9447368421052635</v>
      </c>
      <c r="K1370" s="136">
        <f>Tabla3[[#This Row],[INGRESOS]]/Tabla3[[#This Row],[TC]]</f>
        <v>0</v>
      </c>
      <c r="L1370" s="8" t="s">
        <v>376</v>
      </c>
      <c r="M1370" s="8" t="s">
        <v>377</v>
      </c>
      <c r="N1370" s="8" t="s">
        <v>20</v>
      </c>
      <c r="O1370" s="8" t="s">
        <v>184</v>
      </c>
      <c r="P1370" s="8" t="s">
        <v>185</v>
      </c>
      <c r="Q1370" s="8" t="s">
        <v>186</v>
      </c>
      <c r="R1370" s="8" t="s">
        <v>227</v>
      </c>
      <c r="S1370" s="8"/>
      <c r="T1370" s="8"/>
      <c r="U1370" s="8" t="s">
        <v>384</v>
      </c>
      <c r="V1370" s="8"/>
      <c r="W1370" s="8" t="s">
        <v>380</v>
      </c>
      <c r="X1370" s="8" t="s">
        <v>99</v>
      </c>
      <c r="Y1370" s="8" t="s">
        <v>23</v>
      </c>
    </row>
    <row r="1371" spans="1:25" hidden="1" x14ac:dyDescent="0.25">
      <c r="A1371" s="273" t="s">
        <v>313</v>
      </c>
      <c r="B1371" s="251">
        <v>45743</v>
      </c>
      <c r="C1371" s="252" t="s">
        <v>760</v>
      </c>
      <c r="D1371" s="252"/>
      <c r="E1371" s="253">
        <v>50.42</v>
      </c>
      <c r="F1371" s="253">
        <v>0</v>
      </c>
      <c r="G1371" s="274">
        <f>Tabla3[[#This Row],[INGRESOS]]-Tabla3[[#This Row],[EGRESOS]]</f>
        <v>-50.42</v>
      </c>
      <c r="H1371" s="137">
        <v>-20044302.879999999</v>
      </c>
      <c r="I1371" s="135">
        <v>1140</v>
      </c>
      <c r="J1371" s="136">
        <f>Tabla3[[#This Row],[EGRESOS]]/Tabla3[[#This Row],[TC]]</f>
        <v>4.4228070175438595E-2</v>
      </c>
      <c r="K1371" s="136">
        <f>Tabla3[[#This Row],[INGRESOS]]/Tabla3[[#This Row],[TC]]</f>
        <v>0</v>
      </c>
      <c r="L1371" s="8" t="s">
        <v>376</v>
      </c>
      <c r="M1371" s="8" t="s">
        <v>377</v>
      </c>
      <c r="N1371" s="8" t="s">
        <v>20</v>
      </c>
      <c r="O1371" s="8" t="s">
        <v>184</v>
      </c>
      <c r="P1371" s="8" t="s">
        <v>195</v>
      </c>
      <c r="Q1371" s="8" t="s">
        <v>196</v>
      </c>
      <c r="R1371" s="8" t="s">
        <v>394</v>
      </c>
      <c r="S1371" s="8" t="s">
        <v>383</v>
      </c>
      <c r="T1371" s="8"/>
      <c r="U1371" s="8" t="s">
        <v>384</v>
      </c>
      <c r="V1371" s="8"/>
      <c r="W1371" s="8" t="s">
        <v>380</v>
      </c>
      <c r="X1371" s="8" t="s">
        <v>99</v>
      </c>
      <c r="Y1371" s="8" t="s">
        <v>23</v>
      </c>
    </row>
    <row r="1372" spans="1:25" hidden="1" x14ac:dyDescent="0.25">
      <c r="A1372" s="273" t="s">
        <v>313</v>
      </c>
      <c r="B1372" s="251">
        <v>45744</v>
      </c>
      <c r="C1372" s="252" t="s">
        <v>795</v>
      </c>
      <c r="D1372" s="252"/>
      <c r="E1372" s="253">
        <v>52018.25</v>
      </c>
      <c r="F1372" s="253">
        <v>0</v>
      </c>
      <c r="G1372" s="274">
        <f>Tabla3[[#This Row],[INGRESOS]]-Tabla3[[#This Row],[EGRESOS]]</f>
        <v>-52018.25</v>
      </c>
      <c r="H1372" s="137">
        <v>-20096321.129999999</v>
      </c>
      <c r="I1372" s="135">
        <v>1140</v>
      </c>
      <c r="J1372" s="136">
        <f>Tabla3[[#This Row],[EGRESOS]]/Tabla3[[#This Row],[TC]]</f>
        <v>45.63004385964912</v>
      </c>
      <c r="K1372" s="136">
        <f>Tabla3[[#This Row],[INGRESOS]]/Tabla3[[#This Row],[TC]]</f>
        <v>0</v>
      </c>
      <c r="L1372" s="8" t="s">
        <v>376</v>
      </c>
      <c r="M1372" s="8" t="s">
        <v>377</v>
      </c>
      <c r="N1372" s="8" t="s">
        <v>20</v>
      </c>
      <c r="O1372" s="8" t="s">
        <v>244</v>
      </c>
      <c r="P1372" s="8" t="s">
        <v>259</v>
      </c>
      <c r="Q1372" s="8" t="s">
        <v>260</v>
      </c>
      <c r="R1372" s="8" t="s">
        <v>804</v>
      </c>
      <c r="S1372" s="8"/>
      <c r="T1372" s="8"/>
      <c r="U1372" s="8" t="s">
        <v>379</v>
      </c>
      <c r="V1372" s="8"/>
      <c r="W1372" s="8"/>
      <c r="X1372" s="8"/>
      <c r="Y1372" s="8"/>
    </row>
    <row r="1373" spans="1:25" hidden="1" x14ac:dyDescent="0.25">
      <c r="A1373" s="273" t="s">
        <v>313</v>
      </c>
      <c r="B1373" s="251">
        <v>45747</v>
      </c>
      <c r="C1373" s="252" t="s">
        <v>782</v>
      </c>
      <c r="D1373" s="252" t="s">
        <v>903</v>
      </c>
      <c r="E1373" s="253">
        <v>342700</v>
      </c>
      <c r="F1373" s="253">
        <v>0</v>
      </c>
      <c r="G1373" s="274">
        <f>Tabla3[[#This Row],[INGRESOS]]-Tabla3[[#This Row],[EGRESOS]]</f>
        <v>-342700</v>
      </c>
      <c r="H1373" s="137">
        <v>-20439021.129999999</v>
      </c>
      <c r="I1373" s="135">
        <v>1140</v>
      </c>
      <c r="J1373" s="136">
        <f>Tabla3[[#This Row],[EGRESOS]]/Tabla3[[#This Row],[TC]]</f>
        <v>300.61403508771929</v>
      </c>
      <c r="K1373" s="136">
        <f>Tabla3[[#This Row],[INGRESOS]]/Tabla3[[#This Row],[TC]]</f>
        <v>0</v>
      </c>
      <c r="L1373" s="8" t="s">
        <v>376</v>
      </c>
      <c r="M1373" s="8" t="s">
        <v>377</v>
      </c>
      <c r="N1373" s="8" t="s">
        <v>20</v>
      </c>
      <c r="O1373" s="8" t="s">
        <v>225</v>
      </c>
      <c r="P1373" s="8" t="s">
        <v>226</v>
      </c>
      <c r="Q1373" s="8"/>
      <c r="R1373" s="8"/>
      <c r="S1373" s="8" t="s">
        <v>904</v>
      </c>
      <c r="T1373" s="8"/>
      <c r="U1373" s="8" t="s">
        <v>403</v>
      </c>
      <c r="V1373" s="8"/>
      <c r="W1373" s="8" t="s">
        <v>380</v>
      </c>
      <c r="X1373" s="8" t="s">
        <v>29</v>
      </c>
      <c r="Y1373" s="8" t="s">
        <v>23</v>
      </c>
    </row>
    <row r="1374" spans="1:25" hidden="1" x14ac:dyDescent="0.25">
      <c r="A1374" s="273" t="s">
        <v>314</v>
      </c>
      <c r="B1374" s="251">
        <v>45748</v>
      </c>
      <c r="C1374" s="252" t="s">
        <v>762</v>
      </c>
      <c r="D1374" s="252"/>
      <c r="E1374" s="253">
        <v>21999.200000000001</v>
      </c>
      <c r="F1374" s="253">
        <v>0</v>
      </c>
      <c r="G1374" s="274">
        <f>Tabla3[[#This Row],[INGRESOS]]-Tabla3[[#This Row],[EGRESOS]]</f>
        <v>-21999.200000000001</v>
      </c>
      <c r="H1374" s="137">
        <v>-20463076.530000001</v>
      </c>
      <c r="I1374" s="135">
        <v>1140</v>
      </c>
      <c r="J1374" s="136">
        <f>Tabla3[[#This Row],[EGRESOS]]/Tabla3[[#This Row],[TC]]</f>
        <v>19.297543859649124</v>
      </c>
      <c r="K1374" s="136">
        <f>Tabla3[[#This Row],[INGRESOS]]/Tabla3[[#This Row],[TC]]</f>
        <v>0</v>
      </c>
      <c r="L1374" s="8" t="s">
        <v>376</v>
      </c>
      <c r="M1374" s="8" t="s">
        <v>377</v>
      </c>
      <c r="N1374" s="8" t="s">
        <v>20</v>
      </c>
      <c r="O1374" s="8" t="s">
        <v>184</v>
      </c>
      <c r="P1374" s="8" t="s">
        <v>195</v>
      </c>
      <c r="Q1374" s="8" t="s">
        <v>196</v>
      </c>
      <c r="R1374" s="8" t="s">
        <v>382</v>
      </c>
      <c r="S1374" s="8" t="s">
        <v>383</v>
      </c>
      <c r="T1374" s="8"/>
      <c r="U1374" s="8" t="s">
        <v>384</v>
      </c>
      <c r="V1374" s="8"/>
      <c r="W1374" s="8" t="s">
        <v>380</v>
      </c>
      <c r="X1374" s="8" t="s">
        <v>99</v>
      </c>
      <c r="Y1374" s="8" t="s">
        <v>23</v>
      </c>
    </row>
    <row r="1375" spans="1:25" hidden="1" x14ac:dyDescent="0.25">
      <c r="A1375" s="273" t="s">
        <v>314</v>
      </c>
      <c r="B1375" s="251">
        <v>45748</v>
      </c>
      <c r="C1375" s="252" t="s">
        <v>763</v>
      </c>
      <c r="D1375" s="252"/>
      <c r="E1375" s="253">
        <v>3142.74</v>
      </c>
      <c r="F1375" s="253">
        <v>0</v>
      </c>
      <c r="G1375" s="274">
        <f>Tabla3[[#This Row],[INGRESOS]]-Tabla3[[#This Row],[EGRESOS]]</f>
        <v>-3142.74</v>
      </c>
      <c r="H1375" s="137">
        <v>-20466219.27</v>
      </c>
      <c r="I1375" s="135">
        <v>1140</v>
      </c>
      <c r="J1375" s="136">
        <f>Tabla3[[#This Row],[EGRESOS]]/Tabla3[[#This Row],[TC]]</f>
        <v>2.7567894736842105</v>
      </c>
      <c r="K1375" s="136">
        <f>Tabla3[[#This Row],[INGRESOS]]/Tabla3[[#This Row],[TC]]</f>
        <v>0</v>
      </c>
      <c r="L1375" s="8" t="s">
        <v>376</v>
      </c>
      <c r="M1375" s="8" t="s">
        <v>377</v>
      </c>
      <c r="N1375" s="8" t="s">
        <v>20</v>
      </c>
      <c r="O1375" s="8" t="s">
        <v>184</v>
      </c>
      <c r="P1375" s="8" t="s">
        <v>195</v>
      </c>
      <c r="Q1375" s="8" t="s">
        <v>196</v>
      </c>
      <c r="R1375" s="8" t="s">
        <v>417</v>
      </c>
      <c r="S1375" s="8" t="s">
        <v>383</v>
      </c>
      <c r="T1375" s="8"/>
      <c r="U1375" s="8" t="s">
        <v>384</v>
      </c>
      <c r="V1375" s="8"/>
      <c r="W1375" s="8" t="s">
        <v>380</v>
      </c>
      <c r="X1375" s="8" t="s">
        <v>99</v>
      </c>
      <c r="Y1375" s="8" t="s">
        <v>23</v>
      </c>
    </row>
    <row r="1376" spans="1:25" hidden="1" x14ac:dyDescent="0.25">
      <c r="A1376" s="273" t="s">
        <v>314</v>
      </c>
      <c r="B1376" s="251">
        <v>45748</v>
      </c>
      <c r="C1376" s="252" t="s">
        <v>780</v>
      </c>
      <c r="D1376" s="252"/>
      <c r="E1376" s="253">
        <v>209516.16</v>
      </c>
      <c r="F1376" s="253">
        <v>0</v>
      </c>
      <c r="G1376" s="274">
        <f>Tabla3[[#This Row],[INGRESOS]]-Tabla3[[#This Row],[EGRESOS]]</f>
        <v>-209516.16</v>
      </c>
      <c r="H1376" s="137">
        <v>-20675735.43</v>
      </c>
      <c r="I1376" s="135">
        <v>1140</v>
      </c>
      <c r="J1376" s="136">
        <f>Tabla3[[#This Row],[EGRESOS]]/Tabla3[[#This Row],[TC]]</f>
        <v>183.78610526315791</v>
      </c>
      <c r="K1376" s="136">
        <f>Tabla3[[#This Row],[INGRESOS]]/Tabla3[[#This Row],[TC]]</f>
        <v>0</v>
      </c>
      <c r="L1376" s="8" t="s">
        <v>376</v>
      </c>
      <c r="M1376" s="8" t="s">
        <v>377</v>
      </c>
      <c r="N1376" s="8" t="s">
        <v>20</v>
      </c>
      <c r="O1376" s="8" t="s">
        <v>184</v>
      </c>
      <c r="P1376" s="8" t="s">
        <v>197</v>
      </c>
      <c r="Q1376" s="8" t="s">
        <v>198</v>
      </c>
      <c r="R1376" s="8" t="s">
        <v>419</v>
      </c>
      <c r="S1376" s="8"/>
      <c r="T1376" s="8"/>
      <c r="U1376" s="8" t="s">
        <v>384</v>
      </c>
      <c r="V1376" s="8"/>
      <c r="W1376" s="8" t="s">
        <v>380</v>
      </c>
      <c r="X1376" s="8" t="s">
        <v>99</v>
      </c>
      <c r="Y1376" s="8" t="s">
        <v>23</v>
      </c>
    </row>
    <row r="1377" spans="1:25" hidden="1" x14ac:dyDescent="0.25">
      <c r="A1377" s="273" t="s">
        <v>314</v>
      </c>
      <c r="B1377" s="251">
        <v>45748</v>
      </c>
      <c r="C1377" s="252" t="s">
        <v>762</v>
      </c>
      <c r="D1377" s="252"/>
      <c r="E1377" s="253">
        <v>20863.14</v>
      </c>
      <c r="F1377" s="253">
        <v>0</v>
      </c>
      <c r="G1377" s="274">
        <f>Tabla3[[#This Row],[INGRESOS]]-Tabla3[[#This Row],[EGRESOS]]</f>
        <v>-20863.14</v>
      </c>
      <c r="H1377" s="137">
        <v>-20696598.57</v>
      </c>
      <c r="I1377" s="135">
        <v>1140</v>
      </c>
      <c r="J1377" s="136">
        <f>Tabla3[[#This Row],[EGRESOS]]/Tabla3[[#This Row],[TC]]</f>
        <v>18.300999999999998</v>
      </c>
      <c r="K1377" s="136">
        <f>Tabla3[[#This Row],[INGRESOS]]/Tabla3[[#This Row],[TC]]</f>
        <v>0</v>
      </c>
      <c r="L1377" s="8" t="s">
        <v>376</v>
      </c>
      <c r="M1377" s="8" t="s">
        <v>377</v>
      </c>
      <c r="N1377" s="8" t="s">
        <v>20</v>
      </c>
      <c r="O1377" s="8" t="s">
        <v>184</v>
      </c>
      <c r="P1377" s="8" t="s">
        <v>195</v>
      </c>
      <c r="Q1377" s="8" t="s">
        <v>196</v>
      </c>
      <c r="R1377" s="8" t="s">
        <v>382</v>
      </c>
      <c r="S1377" s="8" t="s">
        <v>383</v>
      </c>
      <c r="T1377" s="8"/>
      <c r="U1377" s="8" t="s">
        <v>384</v>
      </c>
      <c r="V1377" s="8"/>
      <c r="W1377" s="8" t="s">
        <v>380</v>
      </c>
      <c r="X1377" s="8" t="s">
        <v>99</v>
      </c>
      <c r="Y1377" s="8" t="s">
        <v>23</v>
      </c>
    </row>
    <row r="1378" spans="1:25" hidden="1" x14ac:dyDescent="0.25">
      <c r="A1378" s="273" t="s">
        <v>314</v>
      </c>
      <c r="B1378" s="251">
        <v>45748</v>
      </c>
      <c r="C1378" s="252" t="s">
        <v>763</v>
      </c>
      <c r="D1378" s="252"/>
      <c r="E1378" s="253">
        <v>2980.45</v>
      </c>
      <c r="F1378" s="253">
        <v>0</v>
      </c>
      <c r="G1378" s="274">
        <f>Tabla3[[#This Row],[INGRESOS]]-Tabla3[[#This Row],[EGRESOS]]</f>
        <v>-2980.45</v>
      </c>
      <c r="H1378" s="137">
        <v>-20699579.02</v>
      </c>
      <c r="I1378" s="135">
        <v>1140</v>
      </c>
      <c r="J1378" s="136">
        <f>Tabla3[[#This Row],[EGRESOS]]/Tabla3[[#This Row],[TC]]</f>
        <v>2.6144298245614035</v>
      </c>
      <c r="K1378" s="136">
        <f>Tabla3[[#This Row],[INGRESOS]]/Tabla3[[#This Row],[TC]]</f>
        <v>0</v>
      </c>
      <c r="L1378" s="8" t="s">
        <v>376</v>
      </c>
      <c r="M1378" s="8" t="s">
        <v>377</v>
      </c>
      <c r="N1378" s="8" t="s">
        <v>20</v>
      </c>
      <c r="O1378" s="8" t="s">
        <v>184</v>
      </c>
      <c r="P1378" s="8" t="s">
        <v>195</v>
      </c>
      <c r="Q1378" s="8" t="s">
        <v>196</v>
      </c>
      <c r="R1378" s="8" t="s">
        <v>417</v>
      </c>
      <c r="S1378" s="8" t="s">
        <v>383</v>
      </c>
      <c r="T1378" s="8"/>
      <c r="U1378" s="8" t="s">
        <v>384</v>
      </c>
      <c r="V1378" s="8"/>
      <c r="W1378" s="8" t="s">
        <v>380</v>
      </c>
      <c r="X1378" s="8" t="s">
        <v>99</v>
      </c>
      <c r="Y1378" s="8" t="s">
        <v>23</v>
      </c>
    </row>
    <row r="1379" spans="1:25" hidden="1" x14ac:dyDescent="0.25">
      <c r="A1379" s="273" t="s">
        <v>314</v>
      </c>
      <c r="B1379" s="251">
        <v>45748</v>
      </c>
      <c r="C1379" s="252" t="s">
        <v>780</v>
      </c>
      <c r="D1379" s="252"/>
      <c r="E1379" s="253">
        <v>198696.54</v>
      </c>
      <c r="F1379" s="253">
        <v>0</v>
      </c>
      <c r="G1379" s="274">
        <f>Tabla3[[#This Row],[INGRESOS]]-Tabla3[[#This Row],[EGRESOS]]</f>
        <v>-198696.54</v>
      </c>
      <c r="H1379" s="137">
        <v>-20898275.559999999</v>
      </c>
      <c r="I1379" s="135">
        <v>1140</v>
      </c>
      <c r="J1379" s="136">
        <f>Tabla3[[#This Row],[EGRESOS]]/Tabla3[[#This Row],[TC]]</f>
        <v>174.2952105263158</v>
      </c>
      <c r="K1379" s="136">
        <f>Tabla3[[#This Row],[INGRESOS]]/Tabla3[[#This Row],[TC]]</f>
        <v>0</v>
      </c>
      <c r="L1379" s="8" t="s">
        <v>376</v>
      </c>
      <c r="M1379" s="8" t="s">
        <v>377</v>
      </c>
      <c r="N1379" s="8" t="s">
        <v>20</v>
      </c>
      <c r="O1379" s="8" t="s">
        <v>184</v>
      </c>
      <c r="P1379" s="8" t="s">
        <v>197</v>
      </c>
      <c r="Q1379" s="8" t="s">
        <v>198</v>
      </c>
      <c r="R1379" s="8" t="s">
        <v>419</v>
      </c>
      <c r="S1379" s="8"/>
      <c r="T1379" s="8"/>
      <c r="U1379" s="8" t="s">
        <v>384</v>
      </c>
      <c r="V1379" s="8"/>
      <c r="W1379" s="8" t="s">
        <v>380</v>
      </c>
      <c r="X1379" s="8" t="s">
        <v>99</v>
      </c>
      <c r="Y1379" s="8" t="s">
        <v>23</v>
      </c>
    </row>
    <row r="1380" spans="1:25" hidden="1" x14ac:dyDescent="0.25">
      <c r="A1380" s="273" t="s">
        <v>314</v>
      </c>
      <c r="B1380" s="251">
        <v>45748</v>
      </c>
      <c r="C1380" s="252" t="s">
        <v>762</v>
      </c>
      <c r="D1380" s="252"/>
      <c r="E1380" s="253">
        <v>19.579999999999998</v>
      </c>
      <c r="F1380" s="253">
        <v>0</v>
      </c>
      <c r="G1380" s="274">
        <f>Tabla3[[#This Row],[INGRESOS]]-Tabla3[[#This Row],[EGRESOS]]</f>
        <v>-19.579999999999998</v>
      </c>
      <c r="H1380" s="137">
        <v>-20898295.140000001</v>
      </c>
      <c r="I1380" s="135">
        <v>1140</v>
      </c>
      <c r="J1380" s="136">
        <f>Tabla3[[#This Row],[EGRESOS]]/Tabla3[[#This Row],[TC]]</f>
        <v>1.7175438596491226E-2</v>
      </c>
      <c r="K1380" s="136">
        <f>Tabla3[[#This Row],[INGRESOS]]/Tabla3[[#This Row],[TC]]</f>
        <v>0</v>
      </c>
      <c r="L1380" s="8" t="s">
        <v>376</v>
      </c>
      <c r="M1380" s="8" t="s">
        <v>377</v>
      </c>
      <c r="N1380" s="8" t="s">
        <v>20</v>
      </c>
      <c r="O1380" s="8" t="s">
        <v>184</v>
      </c>
      <c r="P1380" s="8" t="s">
        <v>195</v>
      </c>
      <c r="Q1380" s="8" t="s">
        <v>196</v>
      </c>
      <c r="R1380" s="8" t="s">
        <v>382</v>
      </c>
      <c r="S1380" s="8" t="s">
        <v>383</v>
      </c>
      <c r="T1380" s="8"/>
      <c r="U1380" s="8" t="s">
        <v>384</v>
      </c>
      <c r="V1380" s="8"/>
      <c r="W1380" s="8" t="s">
        <v>380</v>
      </c>
      <c r="X1380" s="8" t="s">
        <v>99</v>
      </c>
      <c r="Y1380" s="8" t="s">
        <v>23</v>
      </c>
    </row>
    <row r="1381" spans="1:25" hidden="1" x14ac:dyDescent="0.25">
      <c r="A1381" s="273" t="s">
        <v>314</v>
      </c>
      <c r="B1381" s="251">
        <v>45748</v>
      </c>
      <c r="C1381" s="252" t="s">
        <v>781</v>
      </c>
      <c r="D1381" s="252"/>
      <c r="E1381" s="253">
        <v>186.49</v>
      </c>
      <c r="F1381" s="253">
        <v>0</v>
      </c>
      <c r="G1381" s="274">
        <f>Tabla3[[#This Row],[INGRESOS]]-Tabla3[[#This Row],[EGRESOS]]</f>
        <v>-186.49</v>
      </c>
      <c r="H1381" s="137">
        <v>-20898481.629999999</v>
      </c>
      <c r="I1381" s="135">
        <v>1140</v>
      </c>
      <c r="J1381" s="136">
        <f>Tabla3[[#This Row],[EGRESOS]]/Tabla3[[#This Row],[TC]]</f>
        <v>0.16358771929824562</v>
      </c>
      <c r="K1381" s="136">
        <f>Tabla3[[#This Row],[INGRESOS]]/Tabla3[[#This Row],[TC]]</f>
        <v>0</v>
      </c>
      <c r="L1381" s="8" t="s">
        <v>376</v>
      </c>
      <c r="M1381" s="8" t="s">
        <v>377</v>
      </c>
      <c r="N1381" s="8" t="s">
        <v>20</v>
      </c>
      <c r="O1381" s="8" t="s">
        <v>184</v>
      </c>
      <c r="P1381" s="8" t="s">
        <v>197</v>
      </c>
      <c r="Q1381" s="8" t="s">
        <v>198</v>
      </c>
      <c r="R1381" s="8" t="s">
        <v>419</v>
      </c>
      <c r="S1381" s="8"/>
      <c r="T1381" s="8"/>
      <c r="U1381" s="8" t="s">
        <v>384</v>
      </c>
      <c r="V1381" s="8"/>
      <c r="W1381" s="8" t="s">
        <v>380</v>
      </c>
      <c r="X1381" s="8" t="s">
        <v>99</v>
      </c>
      <c r="Y1381" s="8" t="s">
        <v>23</v>
      </c>
    </row>
    <row r="1382" spans="1:25" hidden="1" x14ac:dyDescent="0.25">
      <c r="A1382" s="273" t="s">
        <v>314</v>
      </c>
      <c r="B1382" s="251">
        <v>45748</v>
      </c>
      <c r="C1382" s="252" t="s">
        <v>782</v>
      </c>
      <c r="D1382" s="252" t="s">
        <v>905</v>
      </c>
      <c r="E1382" s="253">
        <v>1108898.33</v>
      </c>
      <c r="F1382" s="253">
        <v>0</v>
      </c>
      <c r="G1382" s="274">
        <f>Tabla3[[#This Row],[INGRESOS]]-Tabla3[[#This Row],[EGRESOS]]</f>
        <v>-1108898.33</v>
      </c>
      <c r="H1382" s="137">
        <v>-22007379.960000001</v>
      </c>
      <c r="I1382" s="135">
        <v>1140</v>
      </c>
      <c r="J1382" s="136">
        <f>Tabla3[[#This Row],[EGRESOS]]/Tabla3[[#This Row],[TC]]</f>
        <v>972.71783333333337</v>
      </c>
      <c r="K1382" s="136">
        <f>Tabla3[[#This Row],[INGRESOS]]/Tabla3[[#This Row],[TC]]</f>
        <v>0</v>
      </c>
      <c r="L1382" s="8" t="s">
        <v>376</v>
      </c>
      <c r="M1382" s="8" t="s">
        <v>377</v>
      </c>
      <c r="N1382" s="8" t="s">
        <v>20</v>
      </c>
      <c r="O1382" s="8" t="s">
        <v>286</v>
      </c>
      <c r="P1382" s="8" t="s">
        <v>287</v>
      </c>
      <c r="Q1382" s="8" t="s">
        <v>288</v>
      </c>
      <c r="R1382" s="8" t="s">
        <v>143</v>
      </c>
      <c r="S1382" s="8" t="s">
        <v>665</v>
      </c>
      <c r="T1382" s="8"/>
      <c r="U1382" s="8" t="s">
        <v>412</v>
      </c>
      <c r="V1382" s="8"/>
      <c r="W1382" s="8" t="s">
        <v>380</v>
      </c>
      <c r="X1382" s="8" t="s">
        <v>29</v>
      </c>
      <c r="Y1382" s="8" t="s">
        <v>23</v>
      </c>
    </row>
    <row r="1383" spans="1:25" hidden="1" x14ac:dyDescent="0.25">
      <c r="A1383" s="273" t="s">
        <v>314</v>
      </c>
      <c r="B1383" s="251">
        <v>45748</v>
      </c>
      <c r="C1383" s="252" t="s">
        <v>817</v>
      </c>
      <c r="D1383" s="252" t="s">
        <v>906</v>
      </c>
      <c r="E1383" s="253">
        <v>440000</v>
      </c>
      <c r="F1383" s="253">
        <v>0</v>
      </c>
      <c r="G1383" s="274">
        <f>Tabla3[[#This Row],[INGRESOS]]-Tabla3[[#This Row],[EGRESOS]]</f>
        <v>-440000</v>
      </c>
      <c r="H1383" s="137">
        <v>-22447379.960000001</v>
      </c>
      <c r="I1383" s="135">
        <v>1140</v>
      </c>
      <c r="J1383" s="136">
        <f>Tabla3[[#This Row],[EGRESOS]]/Tabla3[[#This Row],[TC]]</f>
        <v>385.96491228070175</v>
      </c>
      <c r="K1383" s="136">
        <f>Tabla3[[#This Row],[INGRESOS]]/Tabla3[[#This Row],[TC]]</f>
        <v>0</v>
      </c>
      <c r="L1383" s="8" t="s">
        <v>376</v>
      </c>
      <c r="M1383" s="8" t="s">
        <v>377</v>
      </c>
      <c r="N1383" s="8" t="s">
        <v>20</v>
      </c>
      <c r="O1383" s="8" t="s">
        <v>286</v>
      </c>
      <c r="P1383" s="8" t="s">
        <v>287</v>
      </c>
      <c r="Q1383" s="8" t="s">
        <v>217</v>
      </c>
      <c r="R1383" s="8" t="s">
        <v>188</v>
      </c>
      <c r="S1383" s="8" t="s">
        <v>656</v>
      </c>
      <c r="T1383" s="8" t="s">
        <v>907</v>
      </c>
      <c r="U1383" s="8" t="s">
        <v>412</v>
      </c>
      <c r="V1383" s="8"/>
      <c r="W1383" s="8" t="s">
        <v>380</v>
      </c>
      <c r="X1383" s="8" t="s">
        <v>29</v>
      </c>
      <c r="Y1383" s="8" t="s">
        <v>23</v>
      </c>
    </row>
    <row r="1384" spans="1:25" hidden="1" x14ac:dyDescent="0.25">
      <c r="A1384" s="273" t="s">
        <v>315</v>
      </c>
      <c r="B1384" s="251">
        <v>45793</v>
      </c>
      <c r="C1384" s="252" t="s">
        <v>800</v>
      </c>
      <c r="D1384" s="252"/>
      <c r="E1384" s="253">
        <v>1000000</v>
      </c>
      <c r="F1384" s="253">
        <v>0</v>
      </c>
      <c r="G1384" s="274">
        <f>Tabla3[[#This Row],[INGRESOS]]-Tabla3[[#This Row],[EGRESOS]]</f>
        <v>-1000000</v>
      </c>
      <c r="H1384" s="274">
        <v>27410098.09</v>
      </c>
      <c r="I1384" s="135">
        <v>1170</v>
      </c>
      <c r="J1384" s="136">
        <f>Tabla3[[#This Row],[EGRESOS]]/Tabla3[[#This Row],[TC]]</f>
        <v>854.70085470085473</v>
      </c>
      <c r="K1384" s="136">
        <f>Tabla3[[#This Row],[INGRESOS]]/Tabla3[[#This Row],[TC]]</f>
        <v>0</v>
      </c>
      <c r="L1384" s="8" t="s">
        <v>376</v>
      </c>
      <c r="M1384" s="8" t="s">
        <v>377</v>
      </c>
      <c r="N1384" s="8" t="s">
        <v>20</v>
      </c>
      <c r="O1384" s="8" t="s">
        <v>184</v>
      </c>
      <c r="P1384" s="8" t="s">
        <v>203</v>
      </c>
      <c r="Q1384" s="8" t="s">
        <v>208</v>
      </c>
      <c r="R1384" s="8"/>
      <c r="S1384" s="8" t="s">
        <v>386</v>
      </c>
      <c r="T1384" s="8"/>
      <c r="U1384" s="8" t="s">
        <v>387</v>
      </c>
      <c r="V1384" s="8" t="s">
        <v>386</v>
      </c>
      <c r="W1384" s="8" t="s">
        <v>380</v>
      </c>
      <c r="X1384" s="8" t="s">
        <v>104</v>
      </c>
      <c r="Y1384" s="8" t="s">
        <v>23</v>
      </c>
    </row>
    <row r="1385" spans="1:25" hidden="1" x14ac:dyDescent="0.25">
      <c r="A1385" s="273" t="s">
        <v>314</v>
      </c>
      <c r="B1385" s="251">
        <v>45748</v>
      </c>
      <c r="C1385" s="252" t="s">
        <v>762</v>
      </c>
      <c r="D1385" s="252"/>
      <c r="E1385" s="253">
        <v>3024</v>
      </c>
      <c r="F1385" s="253">
        <v>0</v>
      </c>
      <c r="G1385" s="274">
        <f>Tabla3[[#This Row],[INGRESOS]]-Tabla3[[#This Row],[EGRESOS]]</f>
        <v>-3024</v>
      </c>
      <c r="H1385" s="137">
        <v>-20950403.960000001</v>
      </c>
      <c r="I1385" s="135">
        <v>1140</v>
      </c>
      <c r="J1385" s="136">
        <f>Tabla3[[#This Row],[EGRESOS]]/Tabla3[[#This Row],[TC]]</f>
        <v>2.6526315789473682</v>
      </c>
      <c r="K1385" s="136">
        <f>Tabla3[[#This Row],[INGRESOS]]/Tabla3[[#This Row],[TC]]</f>
        <v>0</v>
      </c>
      <c r="L1385" s="8" t="s">
        <v>376</v>
      </c>
      <c r="M1385" s="8" t="s">
        <v>377</v>
      </c>
      <c r="N1385" s="8" t="s">
        <v>20</v>
      </c>
      <c r="O1385" s="8" t="s">
        <v>184</v>
      </c>
      <c r="P1385" s="8" t="s">
        <v>195</v>
      </c>
      <c r="Q1385" s="8" t="s">
        <v>196</v>
      </c>
      <c r="R1385" s="8" t="s">
        <v>382</v>
      </c>
      <c r="S1385" s="8" t="s">
        <v>383</v>
      </c>
      <c r="T1385" s="8"/>
      <c r="U1385" s="8" t="s">
        <v>384</v>
      </c>
      <c r="V1385" s="8"/>
      <c r="W1385" s="8" t="s">
        <v>380</v>
      </c>
      <c r="X1385" s="8" t="s">
        <v>99</v>
      </c>
      <c r="Y1385" s="8" t="s">
        <v>23</v>
      </c>
    </row>
    <row r="1386" spans="1:25" hidden="1" x14ac:dyDescent="0.25">
      <c r="A1386" s="273" t="s">
        <v>314</v>
      </c>
      <c r="B1386" s="251">
        <v>45748</v>
      </c>
      <c r="C1386" s="252" t="s">
        <v>763</v>
      </c>
      <c r="D1386" s="252"/>
      <c r="E1386" s="253">
        <v>432</v>
      </c>
      <c r="F1386" s="253">
        <v>0</v>
      </c>
      <c r="G1386" s="274">
        <f>Tabla3[[#This Row],[INGRESOS]]-Tabla3[[#This Row],[EGRESOS]]</f>
        <v>-432</v>
      </c>
      <c r="H1386" s="137">
        <v>-20950835.960000001</v>
      </c>
      <c r="I1386" s="135">
        <v>1140</v>
      </c>
      <c r="J1386" s="136">
        <f>Tabla3[[#This Row],[EGRESOS]]/Tabla3[[#This Row],[TC]]</f>
        <v>0.37894736842105264</v>
      </c>
      <c r="K1386" s="136">
        <f>Tabla3[[#This Row],[INGRESOS]]/Tabla3[[#This Row],[TC]]</f>
        <v>0</v>
      </c>
      <c r="L1386" s="8" t="s">
        <v>376</v>
      </c>
      <c r="M1386" s="8" t="s">
        <v>377</v>
      </c>
      <c r="N1386" s="8" t="s">
        <v>20</v>
      </c>
      <c r="O1386" s="8" t="s">
        <v>184</v>
      </c>
      <c r="P1386" s="8" t="s">
        <v>195</v>
      </c>
      <c r="Q1386" s="8" t="s">
        <v>196</v>
      </c>
      <c r="R1386" s="8" t="s">
        <v>417</v>
      </c>
      <c r="S1386" s="8" t="s">
        <v>383</v>
      </c>
      <c r="T1386" s="8"/>
      <c r="U1386" s="8" t="s">
        <v>384</v>
      </c>
      <c r="V1386" s="8"/>
      <c r="W1386" s="8" t="s">
        <v>380</v>
      </c>
      <c r="X1386" s="8" t="s">
        <v>99</v>
      </c>
      <c r="Y1386" s="8" t="s">
        <v>23</v>
      </c>
    </row>
    <row r="1387" spans="1:25" hidden="1" x14ac:dyDescent="0.25">
      <c r="A1387" s="273" t="s">
        <v>314</v>
      </c>
      <c r="B1387" s="251">
        <v>45748</v>
      </c>
      <c r="C1387" s="252" t="s">
        <v>794</v>
      </c>
      <c r="D1387" s="252"/>
      <c r="E1387" s="253">
        <v>14400</v>
      </c>
      <c r="F1387" s="253">
        <v>0</v>
      </c>
      <c r="G1387" s="274">
        <f>Tabla3[[#This Row],[INGRESOS]]-Tabla3[[#This Row],[EGRESOS]]</f>
        <v>-14400</v>
      </c>
      <c r="H1387" s="137">
        <v>-20965235.960000001</v>
      </c>
      <c r="I1387" s="135">
        <v>1140</v>
      </c>
      <c r="J1387" s="136">
        <f>Tabla3[[#This Row],[EGRESOS]]/Tabla3[[#This Row],[TC]]</f>
        <v>12.631578947368421</v>
      </c>
      <c r="K1387" s="136">
        <f>Tabla3[[#This Row],[INGRESOS]]/Tabla3[[#This Row],[TC]]</f>
        <v>0</v>
      </c>
      <c r="L1387" s="8" t="s">
        <v>376</v>
      </c>
      <c r="M1387" s="8" t="s">
        <v>377</v>
      </c>
      <c r="N1387" s="8" t="s">
        <v>20</v>
      </c>
      <c r="O1387" s="8" t="s">
        <v>184</v>
      </c>
      <c r="P1387" s="8" t="s">
        <v>185</v>
      </c>
      <c r="Q1387" s="8" t="s">
        <v>186</v>
      </c>
      <c r="R1387" s="8" t="s">
        <v>227</v>
      </c>
      <c r="S1387" s="8"/>
      <c r="T1387" s="8"/>
      <c r="U1387" s="8" t="s">
        <v>384</v>
      </c>
      <c r="V1387" s="8"/>
      <c r="W1387" s="8" t="s">
        <v>380</v>
      </c>
      <c r="X1387" s="8" t="s">
        <v>99</v>
      </c>
      <c r="Y1387" s="8" t="s">
        <v>23</v>
      </c>
    </row>
    <row r="1388" spans="1:25" hidden="1" x14ac:dyDescent="0.25">
      <c r="A1388" s="273" t="s">
        <v>314</v>
      </c>
      <c r="B1388" s="251">
        <v>45748</v>
      </c>
      <c r="C1388" s="252" t="s">
        <v>845</v>
      </c>
      <c r="D1388" s="252"/>
      <c r="E1388" s="253">
        <v>6198.49</v>
      </c>
      <c r="F1388" s="253">
        <v>0</v>
      </c>
      <c r="G1388" s="274">
        <f>Tabla3[[#This Row],[INGRESOS]]-Tabla3[[#This Row],[EGRESOS]]</f>
        <v>-6198.49</v>
      </c>
      <c r="H1388" s="137">
        <v>-20971434.449999999</v>
      </c>
      <c r="I1388" s="135">
        <v>1140</v>
      </c>
      <c r="J1388" s="136">
        <f>Tabla3[[#This Row],[EGRESOS]]/Tabla3[[#This Row],[TC]]</f>
        <v>5.4372719298245613</v>
      </c>
      <c r="K1388" s="136">
        <f>Tabla3[[#This Row],[INGRESOS]]/Tabla3[[#This Row],[TC]]</f>
        <v>0</v>
      </c>
      <c r="L1388" s="8" t="s">
        <v>376</v>
      </c>
      <c r="M1388" s="8" t="s">
        <v>377</v>
      </c>
      <c r="N1388" s="8" t="s">
        <v>20</v>
      </c>
      <c r="O1388" s="8" t="s">
        <v>184</v>
      </c>
      <c r="P1388" s="8" t="s">
        <v>195</v>
      </c>
      <c r="Q1388" s="8" t="s">
        <v>196</v>
      </c>
      <c r="R1388" s="8" t="s">
        <v>423</v>
      </c>
      <c r="S1388" s="8" t="s">
        <v>69</v>
      </c>
      <c r="T1388" s="8"/>
      <c r="U1388" s="8" t="s">
        <v>384</v>
      </c>
      <c r="V1388" s="8"/>
      <c r="W1388" s="8" t="s">
        <v>380</v>
      </c>
      <c r="X1388" s="8" t="s">
        <v>99</v>
      </c>
      <c r="Y1388" s="8" t="s">
        <v>23</v>
      </c>
    </row>
    <row r="1389" spans="1:25" hidden="1" x14ac:dyDescent="0.25">
      <c r="A1389" s="273" t="s">
        <v>314</v>
      </c>
      <c r="B1389" s="251">
        <v>45748</v>
      </c>
      <c r="C1389" s="252" t="s">
        <v>845</v>
      </c>
      <c r="D1389" s="252"/>
      <c r="E1389" s="253">
        <v>5599.19</v>
      </c>
      <c r="F1389" s="253">
        <v>0</v>
      </c>
      <c r="G1389" s="274">
        <f>Tabla3[[#This Row],[INGRESOS]]-Tabla3[[#This Row],[EGRESOS]]</f>
        <v>-5599.19</v>
      </c>
      <c r="H1389" s="137">
        <v>-20977033.640000001</v>
      </c>
      <c r="I1389" s="135">
        <v>1140</v>
      </c>
      <c r="J1389" s="136">
        <f>Tabla3[[#This Row],[EGRESOS]]/Tabla3[[#This Row],[TC]]</f>
        <v>4.9115701754385963</v>
      </c>
      <c r="K1389" s="136">
        <f>Tabla3[[#This Row],[INGRESOS]]/Tabla3[[#This Row],[TC]]</f>
        <v>0</v>
      </c>
      <c r="L1389" s="8" t="s">
        <v>376</v>
      </c>
      <c r="M1389" s="8" t="s">
        <v>377</v>
      </c>
      <c r="N1389" s="8" t="s">
        <v>20</v>
      </c>
      <c r="O1389" s="8" t="s">
        <v>184</v>
      </c>
      <c r="P1389" s="8" t="s">
        <v>195</v>
      </c>
      <c r="Q1389" s="8" t="s">
        <v>196</v>
      </c>
      <c r="R1389" s="8" t="s">
        <v>423</v>
      </c>
      <c r="S1389" s="8" t="s">
        <v>69</v>
      </c>
      <c r="T1389" s="8"/>
      <c r="U1389" s="8" t="s">
        <v>384</v>
      </c>
      <c r="V1389" s="8"/>
      <c r="W1389" s="8" t="s">
        <v>380</v>
      </c>
      <c r="X1389" s="8" t="s">
        <v>99</v>
      </c>
      <c r="Y1389" s="8" t="s">
        <v>23</v>
      </c>
    </row>
    <row r="1390" spans="1:25" hidden="1" x14ac:dyDescent="0.25">
      <c r="A1390" s="273" t="s">
        <v>314</v>
      </c>
      <c r="B1390" s="251">
        <v>45748</v>
      </c>
      <c r="C1390" s="252" t="s">
        <v>845</v>
      </c>
      <c r="D1390" s="252"/>
      <c r="E1390" s="253">
        <v>4.05</v>
      </c>
      <c r="F1390" s="253">
        <v>0</v>
      </c>
      <c r="G1390" s="274">
        <f>Tabla3[[#This Row],[INGRESOS]]-Tabla3[[#This Row],[EGRESOS]]</f>
        <v>-4.05</v>
      </c>
      <c r="H1390" s="137">
        <v>-20977037.690000001</v>
      </c>
      <c r="I1390" s="135">
        <v>1140</v>
      </c>
      <c r="J1390" s="136">
        <f>Tabla3[[#This Row],[EGRESOS]]/Tabla3[[#This Row],[TC]]</f>
        <v>3.5526315789473684E-3</v>
      </c>
      <c r="K1390" s="136">
        <f>Tabla3[[#This Row],[INGRESOS]]/Tabla3[[#This Row],[TC]]</f>
        <v>0</v>
      </c>
      <c r="L1390" s="8" t="s">
        <v>376</v>
      </c>
      <c r="M1390" s="8" t="s">
        <v>377</v>
      </c>
      <c r="N1390" s="8" t="s">
        <v>20</v>
      </c>
      <c r="O1390" s="8" t="s">
        <v>184</v>
      </c>
      <c r="P1390" s="8" t="s">
        <v>195</v>
      </c>
      <c r="Q1390" s="8" t="s">
        <v>196</v>
      </c>
      <c r="R1390" s="8" t="s">
        <v>423</v>
      </c>
      <c r="S1390" s="8" t="s">
        <v>69</v>
      </c>
      <c r="T1390" s="8"/>
      <c r="U1390" s="8" t="s">
        <v>384</v>
      </c>
      <c r="V1390" s="8"/>
      <c r="W1390" s="8" t="s">
        <v>380</v>
      </c>
      <c r="X1390" s="8" t="s">
        <v>99</v>
      </c>
      <c r="Y1390" s="8" t="s">
        <v>23</v>
      </c>
    </row>
    <row r="1391" spans="1:25" hidden="1" x14ac:dyDescent="0.25">
      <c r="A1391" s="273" t="s">
        <v>314</v>
      </c>
      <c r="B1391" s="251">
        <v>45748</v>
      </c>
      <c r="C1391" s="252" t="s">
        <v>760</v>
      </c>
      <c r="D1391" s="252"/>
      <c r="E1391" s="253">
        <v>9000</v>
      </c>
      <c r="F1391" s="253">
        <v>0</v>
      </c>
      <c r="G1391" s="274">
        <f>Tabla3[[#This Row],[INGRESOS]]-Tabla3[[#This Row],[EGRESOS]]</f>
        <v>-9000</v>
      </c>
      <c r="H1391" s="137">
        <v>-20986037.690000001</v>
      </c>
      <c r="I1391" s="135">
        <v>1140</v>
      </c>
      <c r="J1391" s="136">
        <f>Tabla3[[#This Row],[EGRESOS]]/Tabla3[[#This Row],[TC]]</f>
        <v>7.8947368421052628</v>
      </c>
      <c r="K1391" s="136">
        <f>Tabla3[[#This Row],[INGRESOS]]/Tabla3[[#This Row],[TC]]</f>
        <v>0</v>
      </c>
      <c r="L1391" s="8" t="s">
        <v>376</v>
      </c>
      <c r="M1391" s="8" t="s">
        <v>377</v>
      </c>
      <c r="N1391" s="8" t="s">
        <v>20</v>
      </c>
      <c r="O1391" s="8" t="s">
        <v>184</v>
      </c>
      <c r="P1391" s="8" t="s">
        <v>195</v>
      </c>
      <c r="Q1391" s="8" t="s">
        <v>196</v>
      </c>
      <c r="R1391" s="8" t="s">
        <v>394</v>
      </c>
      <c r="S1391" s="8" t="s">
        <v>383</v>
      </c>
      <c r="T1391" s="8"/>
      <c r="U1391" s="8" t="s">
        <v>384</v>
      </c>
      <c r="V1391" s="8"/>
      <c r="W1391" s="8" t="s">
        <v>380</v>
      </c>
      <c r="X1391" s="8" t="s">
        <v>99</v>
      </c>
      <c r="Y1391" s="8" t="s">
        <v>23</v>
      </c>
    </row>
    <row r="1392" spans="1:25" hidden="1" x14ac:dyDescent="0.25">
      <c r="A1392" s="273" t="s">
        <v>314</v>
      </c>
      <c r="B1392" s="251">
        <v>45748</v>
      </c>
      <c r="C1392" s="252" t="s">
        <v>760</v>
      </c>
      <c r="D1392" s="252"/>
      <c r="E1392" s="253">
        <v>12215.77</v>
      </c>
      <c r="F1392" s="253">
        <v>0</v>
      </c>
      <c r="G1392" s="274">
        <f>Tabla3[[#This Row],[INGRESOS]]-Tabla3[[#This Row],[EGRESOS]]</f>
        <v>-12215.77</v>
      </c>
      <c r="H1392" s="137">
        <v>-20998253.460000001</v>
      </c>
      <c r="I1392" s="135">
        <v>1140</v>
      </c>
      <c r="J1392" s="136">
        <f>Tabla3[[#This Row],[EGRESOS]]/Tabla3[[#This Row],[TC]]</f>
        <v>10.715587719298245</v>
      </c>
      <c r="K1392" s="136">
        <f>Tabla3[[#This Row],[INGRESOS]]/Tabla3[[#This Row],[TC]]</f>
        <v>0</v>
      </c>
      <c r="L1392" s="8" t="s">
        <v>376</v>
      </c>
      <c r="M1392" s="8" t="s">
        <v>377</v>
      </c>
      <c r="N1392" s="8" t="s">
        <v>20</v>
      </c>
      <c r="O1392" s="8" t="s">
        <v>184</v>
      </c>
      <c r="P1392" s="8" t="s">
        <v>195</v>
      </c>
      <c r="Q1392" s="8" t="s">
        <v>196</v>
      </c>
      <c r="R1392" s="8" t="s">
        <v>394</v>
      </c>
      <c r="S1392" s="8" t="s">
        <v>383</v>
      </c>
      <c r="T1392" s="8"/>
      <c r="U1392" s="8" t="s">
        <v>384</v>
      </c>
      <c r="V1392" s="8"/>
      <c r="W1392" s="8" t="s">
        <v>380</v>
      </c>
      <c r="X1392" s="8" t="s">
        <v>99</v>
      </c>
      <c r="Y1392" s="8" t="s">
        <v>23</v>
      </c>
    </row>
    <row r="1393" spans="1:25" hidden="1" x14ac:dyDescent="0.25">
      <c r="A1393" s="273" t="s">
        <v>314</v>
      </c>
      <c r="B1393" s="251">
        <v>45750</v>
      </c>
      <c r="C1393" s="252" t="s">
        <v>782</v>
      </c>
      <c r="D1393" s="252" t="s">
        <v>908</v>
      </c>
      <c r="E1393" s="253">
        <v>4254250</v>
      </c>
      <c r="F1393" s="253">
        <v>0</v>
      </c>
      <c r="G1393" s="274">
        <f>Tabla3[[#This Row],[INGRESOS]]-Tabla3[[#This Row],[EGRESOS]]</f>
        <v>-4254250</v>
      </c>
      <c r="H1393" s="137">
        <v>-25252503.460000001</v>
      </c>
      <c r="I1393" s="135">
        <v>1140</v>
      </c>
      <c r="J1393" s="136">
        <f>Tabla3[[#This Row],[EGRESOS]]/Tabla3[[#This Row],[TC]]</f>
        <v>3731.7982456140353</v>
      </c>
      <c r="K1393" s="136">
        <f>Tabla3[[#This Row],[INGRESOS]]/Tabla3[[#This Row],[TC]]</f>
        <v>0</v>
      </c>
      <c r="L1393" s="8" t="s">
        <v>376</v>
      </c>
      <c r="M1393" s="8" t="s">
        <v>377</v>
      </c>
      <c r="N1393" s="8" t="s">
        <v>20</v>
      </c>
      <c r="O1393" s="8" t="s">
        <v>215</v>
      </c>
      <c r="P1393" s="8" t="s">
        <v>216</v>
      </c>
      <c r="Q1393" s="8" t="s">
        <v>219</v>
      </c>
      <c r="R1393" s="8" t="s">
        <v>327</v>
      </c>
      <c r="S1393" s="8" t="s">
        <v>909</v>
      </c>
      <c r="T1393" s="8"/>
      <c r="U1393" s="8" t="s">
        <v>403</v>
      </c>
      <c r="V1393" s="8"/>
      <c r="W1393" s="8" t="s">
        <v>380</v>
      </c>
      <c r="X1393" s="8" t="s">
        <v>29</v>
      </c>
      <c r="Y1393" s="8" t="s">
        <v>23</v>
      </c>
    </row>
    <row r="1394" spans="1:25" hidden="1" x14ac:dyDescent="0.25">
      <c r="A1394" s="273" t="s">
        <v>314</v>
      </c>
      <c r="B1394" s="251">
        <v>45750</v>
      </c>
      <c r="C1394" s="252" t="s">
        <v>762</v>
      </c>
      <c r="D1394" s="252"/>
      <c r="E1394" s="253">
        <v>3024</v>
      </c>
      <c r="F1394" s="253">
        <v>0</v>
      </c>
      <c r="G1394" s="274">
        <f>Tabla3[[#This Row],[INGRESOS]]-Tabla3[[#This Row],[EGRESOS]]</f>
        <v>-3024</v>
      </c>
      <c r="H1394" s="137">
        <v>-25255527.460000001</v>
      </c>
      <c r="I1394" s="135">
        <v>1140</v>
      </c>
      <c r="J1394" s="136">
        <f>Tabla3[[#This Row],[EGRESOS]]/Tabla3[[#This Row],[TC]]</f>
        <v>2.6526315789473682</v>
      </c>
      <c r="K1394" s="136">
        <f>Tabla3[[#This Row],[INGRESOS]]/Tabla3[[#This Row],[TC]]</f>
        <v>0</v>
      </c>
      <c r="L1394" s="8" t="s">
        <v>376</v>
      </c>
      <c r="M1394" s="8" t="s">
        <v>377</v>
      </c>
      <c r="N1394" s="8" t="s">
        <v>20</v>
      </c>
      <c r="O1394" s="8" t="s">
        <v>184</v>
      </c>
      <c r="P1394" s="8" t="s">
        <v>195</v>
      </c>
      <c r="Q1394" s="8" t="s">
        <v>196</v>
      </c>
      <c r="R1394" s="8" t="s">
        <v>382</v>
      </c>
      <c r="S1394" s="8" t="s">
        <v>383</v>
      </c>
      <c r="T1394" s="8"/>
      <c r="U1394" s="8" t="s">
        <v>384</v>
      </c>
      <c r="V1394" s="8"/>
      <c r="W1394" s="8" t="s">
        <v>380</v>
      </c>
      <c r="X1394" s="8" t="s">
        <v>99</v>
      </c>
      <c r="Y1394" s="8" t="s">
        <v>23</v>
      </c>
    </row>
    <row r="1395" spans="1:25" hidden="1" x14ac:dyDescent="0.25">
      <c r="A1395" s="273" t="s">
        <v>314</v>
      </c>
      <c r="B1395" s="251">
        <v>45750</v>
      </c>
      <c r="C1395" s="252" t="s">
        <v>763</v>
      </c>
      <c r="D1395" s="252"/>
      <c r="E1395" s="253">
        <v>432</v>
      </c>
      <c r="F1395" s="253">
        <v>0</v>
      </c>
      <c r="G1395" s="274">
        <f>Tabla3[[#This Row],[INGRESOS]]-Tabla3[[#This Row],[EGRESOS]]</f>
        <v>-432</v>
      </c>
      <c r="H1395" s="137">
        <v>-25255959.460000001</v>
      </c>
      <c r="I1395" s="135">
        <v>1140</v>
      </c>
      <c r="J1395" s="136">
        <f>Tabla3[[#This Row],[EGRESOS]]/Tabla3[[#This Row],[TC]]</f>
        <v>0.37894736842105264</v>
      </c>
      <c r="K1395" s="136">
        <f>Tabla3[[#This Row],[INGRESOS]]/Tabla3[[#This Row],[TC]]</f>
        <v>0</v>
      </c>
      <c r="L1395" s="8" t="s">
        <v>376</v>
      </c>
      <c r="M1395" s="8" t="s">
        <v>377</v>
      </c>
      <c r="N1395" s="8" t="s">
        <v>20</v>
      </c>
      <c r="O1395" s="8" t="s">
        <v>184</v>
      </c>
      <c r="P1395" s="8" t="s">
        <v>195</v>
      </c>
      <c r="Q1395" s="8" t="s">
        <v>196</v>
      </c>
      <c r="R1395" s="8" t="s">
        <v>417</v>
      </c>
      <c r="S1395" s="8" t="s">
        <v>383</v>
      </c>
      <c r="T1395" s="8"/>
      <c r="U1395" s="8" t="s">
        <v>384</v>
      </c>
      <c r="V1395" s="8"/>
      <c r="W1395" s="8" t="s">
        <v>380</v>
      </c>
      <c r="X1395" s="8" t="s">
        <v>99</v>
      </c>
      <c r="Y1395" s="8" t="s">
        <v>23</v>
      </c>
    </row>
    <row r="1396" spans="1:25" hidden="1" x14ac:dyDescent="0.25">
      <c r="A1396" s="273" t="s">
        <v>314</v>
      </c>
      <c r="B1396" s="251">
        <v>45750</v>
      </c>
      <c r="C1396" s="252" t="s">
        <v>794</v>
      </c>
      <c r="D1396" s="252"/>
      <c r="E1396" s="253">
        <v>14400</v>
      </c>
      <c r="F1396" s="253">
        <v>0</v>
      </c>
      <c r="G1396" s="274">
        <f>Tabla3[[#This Row],[INGRESOS]]-Tabla3[[#This Row],[EGRESOS]]</f>
        <v>-14400</v>
      </c>
      <c r="H1396" s="137">
        <v>-25270359.460000001</v>
      </c>
      <c r="I1396" s="135">
        <v>1140</v>
      </c>
      <c r="J1396" s="136">
        <f>Tabla3[[#This Row],[EGRESOS]]/Tabla3[[#This Row],[TC]]</f>
        <v>12.631578947368421</v>
      </c>
      <c r="K1396" s="136">
        <f>Tabla3[[#This Row],[INGRESOS]]/Tabla3[[#This Row],[TC]]</f>
        <v>0</v>
      </c>
      <c r="L1396" s="8" t="s">
        <v>376</v>
      </c>
      <c r="M1396" s="8" t="s">
        <v>377</v>
      </c>
      <c r="N1396" s="8" t="s">
        <v>20</v>
      </c>
      <c r="O1396" s="8" t="s">
        <v>184</v>
      </c>
      <c r="P1396" s="8" t="s">
        <v>185</v>
      </c>
      <c r="Q1396" s="8" t="s">
        <v>186</v>
      </c>
      <c r="R1396" s="8" t="s">
        <v>227</v>
      </c>
      <c r="S1396" s="8"/>
      <c r="T1396" s="8"/>
      <c r="U1396" s="8" t="s">
        <v>384</v>
      </c>
      <c r="V1396" s="8"/>
      <c r="W1396" s="8" t="s">
        <v>380</v>
      </c>
      <c r="X1396" s="8" t="s">
        <v>99</v>
      </c>
      <c r="Y1396" s="8" t="s">
        <v>23</v>
      </c>
    </row>
    <row r="1397" spans="1:25" hidden="1" x14ac:dyDescent="0.25">
      <c r="A1397" s="273" t="s">
        <v>314</v>
      </c>
      <c r="B1397" s="251">
        <v>45750</v>
      </c>
      <c r="C1397" s="252" t="s">
        <v>760</v>
      </c>
      <c r="D1397" s="252"/>
      <c r="E1397" s="253">
        <v>25632.639999999999</v>
      </c>
      <c r="F1397" s="253">
        <v>0</v>
      </c>
      <c r="G1397" s="274">
        <f>Tabla3[[#This Row],[INGRESOS]]-Tabla3[[#This Row],[EGRESOS]]</f>
        <v>-25632.639999999999</v>
      </c>
      <c r="H1397" s="137">
        <v>-25295992.100000001</v>
      </c>
      <c r="I1397" s="135">
        <v>1140</v>
      </c>
      <c r="J1397" s="136">
        <f>Tabla3[[#This Row],[EGRESOS]]/Tabla3[[#This Row],[TC]]</f>
        <v>22.484771929824561</v>
      </c>
      <c r="K1397" s="136">
        <f>Tabla3[[#This Row],[INGRESOS]]/Tabla3[[#This Row],[TC]]</f>
        <v>0</v>
      </c>
      <c r="L1397" s="8" t="s">
        <v>376</v>
      </c>
      <c r="M1397" s="8" t="s">
        <v>377</v>
      </c>
      <c r="N1397" s="8" t="s">
        <v>20</v>
      </c>
      <c r="O1397" s="8" t="s">
        <v>184</v>
      </c>
      <c r="P1397" s="8" t="s">
        <v>195</v>
      </c>
      <c r="Q1397" s="8" t="s">
        <v>196</v>
      </c>
      <c r="R1397" s="8" t="s">
        <v>394</v>
      </c>
      <c r="S1397" s="8" t="s">
        <v>383</v>
      </c>
      <c r="T1397" s="8"/>
      <c r="U1397" s="8" t="s">
        <v>384</v>
      </c>
      <c r="V1397" s="8"/>
      <c r="W1397" s="8" t="s">
        <v>380</v>
      </c>
      <c r="X1397" s="8" t="s">
        <v>99</v>
      </c>
      <c r="Y1397" s="8" t="s">
        <v>23</v>
      </c>
    </row>
    <row r="1398" spans="1:25" hidden="1" x14ac:dyDescent="0.25">
      <c r="A1398" s="273" t="s">
        <v>314</v>
      </c>
      <c r="B1398" s="251">
        <v>45751</v>
      </c>
      <c r="C1398" s="252" t="s">
        <v>782</v>
      </c>
      <c r="D1398" s="252" t="s">
        <v>910</v>
      </c>
      <c r="E1398" s="253">
        <v>1229406</v>
      </c>
      <c r="F1398" s="253">
        <v>0</v>
      </c>
      <c r="G1398" s="274">
        <f>Tabla3[[#This Row],[INGRESOS]]-Tabla3[[#This Row],[EGRESOS]]</f>
        <v>-1229406</v>
      </c>
      <c r="H1398" s="137">
        <v>-26525398.100000001</v>
      </c>
      <c r="I1398" s="135">
        <v>1140</v>
      </c>
      <c r="J1398" s="136">
        <f>Tabla3[[#This Row],[EGRESOS]]/Tabla3[[#This Row],[TC]]</f>
        <v>1078.4263157894736</v>
      </c>
      <c r="K1398" s="136">
        <f>Tabla3[[#This Row],[INGRESOS]]/Tabla3[[#This Row],[TC]]</f>
        <v>0</v>
      </c>
      <c r="L1398" s="8" t="s">
        <v>376</v>
      </c>
      <c r="M1398" s="8" t="s">
        <v>377</v>
      </c>
      <c r="N1398" s="8" t="s">
        <v>20</v>
      </c>
      <c r="O1398" s="8" t="s">
        <v>215</v>
      </c>
      <c r="P1398" s="8" t="s">
        <v>216</v>
      </c>
      <c r="Q1398" s="8" t="s">
        <v>220</v>
      </c>
      <c r="R1398" s="8" t="s">
        <v>327</v>
      </c>
      <c r="S1398" s="8" t="s">
        <v>551</v>
      </c>
      <c r="T1398" s="8"/>
      <c r="U1398" s="8" t="s">
        <v>403</v>
      </c>
      <c r="V1398" s="8"/>
      <c r="W1398" s="8" t="s">
        <v>380</v>
      </c>
      <c r="X1398" s="8" t="s">
        <v>29</v>
      </c>
      <c r="Y1398" s="8" t="s">
        <v>23</v>
      </c>
    </row>
    <row r="1399" spans="1:25" hidden="1" x14ac:dyDescent="0.25">
      <c r="A1399" s="273" t="s">
        <v>315</v>
      </c>
      <c r="B1399" s="251">
        <v>45796</v>
      </c>
      <c r="C1399" s="252" t="s">
        <v>800</v>
      </c>
      <c r="D1399" s="252"/>
      <c r="E1399" s="253">
        <v>2000000</v>
      </c>
      <c r="F1399" s="253">
        <v>0</v>
      </c>
      <c r="G1399" s="274">
        <f>Tabla3[[#This Row],[INGRESOS]]-Tabla3[[#This Row],[EGRESOS]]</f>
        <v>-2000000</v>
      </c>
      <c r="H1399" s="274">
        <v>20451092.379999999</v>
      </c>
      <c r="I1399" s="135">
        <v>1170</v>
      </c>
      <c r="J1399" s="136">
        <f>Tabla3[[#This Row],[EGRESOS]]/Tabla3[[#This Row],[TC]]</f>
        <v>1709.4017094017095</v>
      </c>
      <c r="K1399" s="136">
        <f>Tabla3[[#This Row],[INGRESOS]]/Tabla3[[#This Row],[TC]]</f>
        <v>0</v>
      </c>
      <c r="L1399" s="8" t="s">
        <v>376</v>
      </c>
      <c r="M1399" s="8" t="s">
        <v>377</v>
      </c>
      <c r="N1399" s="8" t="s">
        <v>20</v>
      </c>
      <c r="O1399" s="8" t="s">
        <v>184</v>
      </c>
      <c r="P1399" s="8" t="s">
        <v>203</v>
      </c>
      <c r="Q1399" s="8" t="s">
        <v>208</v>
      </c>
      <c r="R1399" s="8"/>
      <c r="S1399" s="8" t="s">
        <v>386</v>
      </c>
      <c r="T1399" s="8"/>
      <c r="U1399" s="8" t="s">
        <v>387</v>
      </c>
      <c r="V1399" s="8" t="s">
        <v>386</v>
      </c>
      <c r="W1399" s="8" t="s">
        <v>380</v>
      </c>
      <c r="X1399" s="8" t="s">
        <v>104</v>
      </c>
      <c r="Y1399" s="8" t="s">
        <v>23</v>
      </c>
    </row>
    <row r="1400" spans="1:25" hidden="1" x14ac:dyDescent="0.25">
      <c r="A1400" s="273" t="s">
        <v>314</v>
      </c>
      <c r="B1400" s="251">
        <v>45751</v>
      </c>
      <c r="C1400" s="252" t="s">
        <v>912</v>
      </c>
      <c r="D1400" s="252"/>
      <c r="E1400" s="253">
        <v>0</v>
      </c>
      <c r="F1400" s="253">
        <v>520000</v>
      </c>
      <c r="G1400" s="274">
        <f>Tabla3[[#This Row],[INGRESOS]]-Tabla3[[#This Row],[EGRESOS]]</f>
        <v>520000</v>
      </c>
      <c r="H1400" s="137">
        <v>-25305398.100000001</v>
      </c>
      <c r="I1400" s="135">
        <v>1140</v>
      </c>
      <c r="J1400" s="136">
        <f>Tabla3[[#This Row],[EGRESOS]]/Tabla3[[#This Row],[TC]]</f>
        <v>0</v>
      </c>
      <c r="K1400" s="136">
        <f>Tabla3[[#This Row],[INGRESOS]]/Tabla3[[#This Row],[TC]]</f>
        <v>456.14035087719299</v>
      </c>
      <c r="L1400" s="8" t="s">
        <v>376</v>
      </c>
      <c r="M1400" s="8" t="s">
        <v>377</v>
      </c>
      <c r="N1400" s="8" t="s">
        <v>20</v>
      </c>
      <c r="O1400" s="8" t="s">
        <v>244</v>
      </c>
      <c r="P1400" s="8" t="s">
        <v>259</v>
      </c>
      <c r="Q1400" s="8" t="s">
        <v>260</v>
      </c>
      <c r="R1400" s="8" t="s">
        <v>474</v>
      </c>
      <c r="S1400" s="8"/>
      <c r="T1400" s="8"/>
      <c r="U1400" s="8" t="s">
        <v>379</v>
      </c>
      <c r="V1400" s="8"/>
      <c r="W1400" s="8" t="s">
        <v>380</v>
      </c>
      <c r="X1400" s="8"/>
      <c r="Y1400" s="8"/>
    </row>
    <row r="1401" spans="1:25" hidden="1" x14ac:dyDescent="0.25">
      <c r="A1401" s="273" t="s">
        <v>315</v>
      </c>
      <c r="B1401" s="251">
        <v>45799</v>
      </c>
      <c r="C1401" s="252" t="s">
        <v>800</v>
      </c>
      <c r="D1401" s="252"/>
      <c r="E1401" s="253">
        <v>150000</v>
      </c>
      <c r="F1401" s="253">
        <v>0</v>
      </c>
      <c r="G1401" s="274">
        <f>Tabla3[[#This Row],[INGRESOS]]-Tabla3[[#This Row],[EGRESOS]]</f>
        <v>-150000</v>
      </c>
      <c r="H1401" s="274">
        <v>5126990.07</v>
      </c>
      <c r="I1401" s="135">
        <v>1170</v>
      </c>
      <c r="J1401" s="136">
        <f>Tabla3[[#This Row],[EGRESOS]]/Tabla3[[#This Row],[TC]]</f>
        <v>128.2051282051282</v>
      </c>
      <c r="K1401" s="136">
        <f>Tabla3[[#This Row],[INGRESOS]]/Tabla3[[#This Row],[TC]]</f>
        <v>0</v>
      </c>
      <c r="L1401" s="8" t="s">
        <v>376</v>
      </c>
      <c r="M1401" s="8" t="s">
        <v>377</v>
      </c>
      <c r="N1401" s="8" t="s">
        <v>20</v>
      </c>
      <c r="O1401" s="8" t="s">
        <v>184</v>
      </c>
      <c r="P1401" s="8" t="s">
        <v>203</v>
      </c>
      <c r="Q1401" s="8" t="s">
        <v>205</v>
      </c>
      <c r="R1401" s="8" t="s">
        <v>619</v>
      </c>
      <c r="S1401" s="8" t="s">
        <v>386</v>
      </c>
      <c r="T1401" s="8"/>
      <c r="U1401" s="8" t="s">
        <v>384</v>
      </c>
      <c r="V1401" s="8" t="s">
        <v>386</v>
      </c>
      <c r="W1401" s="8" t="s">
        <v>380</v>
      </c>
      <c r="X1401" s="8" t="s">
        <v>99</v>
      </c>
      <c r="Y1401" s="8" t="s">
        <v>23</v>
      </c>
    </row>
    <row r="1402" spans="1:25" hidden="1" x14ac:dyDescent="0.25">
      <c r="A1402" s="273" t="s">
        <v>314</v>
      </c>
      <c r="B1402" s="251">
        <v>45751</v>
      </c>
      <c r="C1402" s="252" t="s">
        <v>762</v>
      </c>
      <c r="D1402" s="252"/>
      <c r="E1402" s="253">
        <v>3024</v>
      </c>
      <c r="F1402" s="253">
        <v>0</v>
      </c>
      <c r="G1402" s="274">
        <f>Tabla3[[#This Row],[INGRESOS]]-Tabla3[[#This Row],[EGRESOS]]</f>
        <v>-3024</v>
      </c>
      <c r="H1402" s="137">
        <v>-25278422.100000001</v>
      </c>
      <c r="I1402" s="135">
        <v>1140</v>
      </c>
      <c r="J1402" s="136">
        <f>Tabla3[[#This Row],[EGRESOS]]/Tabla3[[#This Row],[TC]]</f>
        <v>2.6526315789473682</v>
      </c>
      <c r="K1402" s="136">
        <f>Tabla3[[#This Row],[INGRESOS]]/Tabla3[[#This Row],[TC]]</f>
        <v>0</v>
      </c>
      <c r="L1402" s="8" t="s">
        <v>376</v>
      </c>
      <c r="M1402" s="8" t="s">
        <v>377</v>
      </c>
      <c r="N1402" s="8" t="s">
        <v>20</v>
      </c>
      <c r="O1402" s="8" t="s">
        <v>184</v>
      </c>
      <c r="P1402" s="8" t="s">
        <v>195</v>
      </c>
      <c r="Q1402" s="8" t="s">
        <v>196</v>
      </c>
      <c r="R1402" s="8" t="s">
        <v>382</v>
      </c>
      <c r="S1402" s="8" t="s">
        <v>383</v>
      </c>
      <c r="T1402" s="8"/>
      <c r="U1402" s="8" t="s">
        <v>384</v>
      </c>
      <c r="V1402" s="8"/>
      <c r="W1402" s="8" t="s">
        <v>380</v>
      </c>
      <c r="X1402" s="8" t="s">
        <v>99</v>
      </c>
      <c r="Y1402" s="8" t="s">
        <v>23</v>
      </c>
    </row>
    <row r="1403" spans="1:25" hidden="1" x14ac:dyDescent="0.25">
      <c r="A1403" s="273" t="s">
        <v>314</v>
      </c>
      <c r="B1403" s="251">
        <v>45751</v>
      </c>
      <c r="C1403" s="252" t="s">
        <v>763</v>
      </c>
      <c r="D1403" s="252"/>
      <c r="E1403" s="253">
        <v>432</v>
      </c>
      <c r="F1403" s="253">
        <v>0</v>
      </c>
      <c r="G1403" s="274">
        <f>Tabla3[[#This Row],[INGRESOS]]-Tabla3[[#This Row],[EGRESOS]]</f>
        <v>-432</v>
      </c>
      <c r="H1403" s="137">
        <v>-25278854.100000001</v>
      </c>
      <c r="I1403" s="135">
        <v>1140</v>
      </c>
      <c r="J1403" s="136">
        <f>Tabla3[[#This Row],[EGRESOS]]/Tabla3[[#This Row],[TC]]</f>
        <v>0.37894736842105264</v>
      </c>
      <c r="K1403" s="136">
        <f>Tabla3[[#This Row],[INGRESOS]]/Tabla3[[#This Row],[TC]]</f>
        <v>0</v>
      </c>
      <c r="L1403" s="8" t="s">
        <v>376</v>
      </c>
      <c r="M1403" s="8" t="s">
        <v>377</v>
      </c>
      <c r="N1403" s="8" t="s">
        <v>20</v>
      </c>
      <c r="O1403" s="8" t="s">
        <v>184</v>
      </c>
      <c r="P1403" s="8" t="s">
        <v>195</v>
      </c>
      <c r="Q1403" s="8" t="s">
        <v>196</v>
      </c>
      <c r="R1403" s="8" t="s">
        <v>417</v>
      </c>
      <c r="S1403" s="8" t="s">
        <v>383</v>
      </c>
      <c r="T1403" s="8"/>
      <c r="U1403" s="8" t="s">
        <v>384</v>
      </c>
      <c r="V1403" s="8"/>
      <c r="W1403" s="8" t="s">
        <v>380</v>
      </c>
      <c r="X1403" s="8" t="s">
        <v>99</v>
      </c>
      <c r="Y1403" s="8" t="s">
        <v>23</v>
      </c>
    </row>
    <row r="1404" spans="1:25" hidden="1" x14ac:dyDescent="0.25">
      <c r="A1404" s="273" t="s">
        <v>314</v>
      </c>
      <c r="B1404" s="251">
        <v>45751</v>
      </c>
      <c r="C1404" s="252" t="s">
        <v>794</v>
      </c>
      <c r="D1404" s="252"/>
      <c r="E1404" s="253">
        <v>14400</v>
      </c>
      <c r="F1404" s="253">
        <v>0</v>
      </c>
      <c r="G1404" s="274">
        <f>Tabla3[[#This Row],[INGRESOS]]-Tabla3[[#This Row],[EGRESOS]]</f>
        <v>-14400</v>
      </c>
      <c r="H1404" s="137">
        <v>-25293254.100000001</v>
      </c>
      <c r="I1404" s="135">
        <v>1140</v>
      </c>
      <c r="J1404" s="136">
        <f>Tabla3[[#This Row],[EGRESOS]]/Tabla3[[#This Row],[TC]]</f>
        <v>12.631578947368421</v>
      </c>
      <c r="K1404" s="136">
        <f>Tabla3[[#This Row],[INGRESOS]]/Tabla3[[#This Row],[TC]]</f>
        <v>0</v>
      </c>
      <c r="L1404" s="8" t="s">
        <v>376</v>
      </c>
      <c r="M1404" s="8" t="s">
        <v>377</v>
      </c>
      <c r="N1404" s="8" t="s">
        <v>20</v>
      </c>
      <c r="O1404" s="8" t="s">
        <v>184</v>
      </c>
      <c r="P1404" s="8" t="s">
        <v>185</v>
      </c>
      <c r="Q1404" s="8" t="s">
        <v>186</v>
      </c>
      <c r="R1404" s="8" t="s">
        <v>227</v>
      </c>
      <c r="S1404" s="8"/>
      <c r="T1404" s="8"/>
      <c r="U1404" s="8" t="s">
        <v>384</v>
      </c>
      <c r="V1404" s="8"/>
      <c r="W1404" s="8" t="s">
        <v>380</v>
      </c>
      <c r="X1404" s="8" t="s">
        <v>99</v>
      </c>
      <c r="Y1404" s="8" t="s">
        <v>23</v>
      </c>
    </row>
    <row r="1405" spans="1:25" hidden="1" x14ac:dyDescent="0.25">
      <c r="A1405" s="273" t="s">
        <v>314</v>
      </c>
      <c r="B1405" s="251">
        <v>45751</v>
      </c>
      <c r="C1405" s="252" t="s">
        <v>760</v>
      </c>
      <c r="D1405" s="252"/>
      <c r="E1405" s="253">
        <v>4380</v>
      </c>
      <c r="F1405" s="253">
        <v>0</v>
      </c>
      <c r="G1405" s="274">
        <f>Tabla3[[#This Row],[INGRESOS]]-Tabla3[[#This Row],[EGRESOS]]</f>
        <v>-4380</v>
      </c>
      <c r="H1405" s="137">
        <v>-25297634.100000001</v>
      </c>
      <c r="I1405" s="135">
        <v>1140</v>
      </c>
      <c r="J1405" s="136">
        <f>Tabla3[[#This Row],[EGRESOS]]/Tabla3[[#This Row],[TC]]</f>
        <v>3.8421052631578947</v>
      </c>
      <c r="K1405" s="136">
        <f>Tabla3[[#This Row],[INGRESOS]]/Tabla3[[#This Row],[TC]]</f>
        <v>0</v>
      </c>
      <c r="L1405" s="8" t="s">
        <v>376</v>
      </c>
      <c r="M1405" s="8" t="s">
        <v>377</v>
      </c>
      <c r="N1405" s="8" t="s">
        <v>20</v>
      </c>
      <c r="O1405" s="8" t="s">
        <v>184</v>
      </c>
      <c r="P1405" s="8" t="s">
        <v>195</v>
      </c>
      <c r="Q1405" s="8" t="s">
        <v>196</v>
      </c>
      <c r="R1405" s="8" t="s">
        <v>394</v>
      </c>
      <c r="S1405" s="8" t="s">
        <v>383</v>
      </c>
      <c r="T1405" s="8"/>
      <c r="U1405" s="8" t="s">
        <v>384</v>
      </c>
      <c r="V1405" s="8"/>
      <c r="W1405" s="8" t="s">
        <v>380</v>
      </c>
      <c r="X1405" s="8" t="s">
        <v>99</v>
      </c>
      <c r="Y1405" s="8" t="s">
        <v>23</v>
      </c>
    </row>
    <row r="1406" spans="1:25" hidden="1" x14ac:dyDescent="0.25">
      <c r="A1406" s="273" t="s">
        <v>314</v>
      </c>
      <c r="B1406" s="251">
        <v>45751</v>
      </c>
      <c r="C1406" s="252" t="s">
        <v>760</v>
      </c>
      <c r="D1406" s="252"/>
      <c r="E1406" s="253">
        <v>7483.58</v>
      </c>
      <c r="F1406" s="253">
        <v>0</v>
      </c>
      <c r="G1406" s="274">
        <f>Tabla3[[#This Row],[INGRESOS]]-Tabla3[[#This Row],[EGRESOS]]</f>
        <v>-7483.58</v>
      </c>
      <c r="H1406" s="137">
        <v>-25305117.68</v>
      </c>
      <c r="I1406" s="135">
        <v>1140</v>
      </c>
      <c r="J1406" s="136">
        <f>Tabla3[[#This Row],[EGRESOS]]/Tabla3[[#This Row],[TC]]</f>
        <v>6.564543859649123</v>
      </c>
      <c r="K1406" s="136">
        <f>Tabla3[[#This Row],[INGRESOS]]/Tabla3[[#This Row],[TC]]</f>
        <v>0</v>
      </c>
      <c r="L1406" s="8" t="s">
        <v>376</v>
      </c>
      <c r="M1406" s="8" t="s">
        <v>377</v>
      </c>
      <c r="N1406" s="8" t="s">
        <v>20</v>
      </c>
      <c r="O1406" s="8" t="s">
        <v>184</v>
      </c>
      <c r="P1406" s="8" t="s">
        <v>195</v>
      </c>
      <c r="Q1406" s="8" t="s">
        <v>196</v>
      </c>
      <c r="R1406" s="8" t="s">
        <v>394</v>
      </c>
      <c r="S1406" s="8" t="s">
        <v>383</v>
      </c>
      <c r="T1406" s="8"/>
      <c r="U1406" s="8" t="s">
        <v>384</v>
      </c>
      <c r="V1406" s="8"/>
      <c r="W1406" s="8" t="s">
        <v>380</v>
      </c>
      <c r="X1406" s="8" t="s">
        <v>99</v>
      </c>
      <c r="Y1406" s="8" t="s">
        <v>23</v>
      </c>
    </row>
    <row r="1407" spans="1:25" hidden="1" x14ac:dyDescent="0.25">
      <c r="A1407" s="273" t="s">
        <v>314</v>
      </c>
      <c r="B1407" s="251">
        <v>45756</v>
      </c>
      <c r="C1407" s="252" t="s">
        <v>782</v>
      </c>
      <c r="D1407" s="252" t="s">
        <v>913</v>
      </c>
      <c r="E1407" s="253">
        <v>250000</v>
      </c>
      <c r="F1407" s="253">
        <v>0</v>
      </c>
      <c r="G1407" s="274">
        <f>Tabla3[[#This Row],[INGRESOS]]-Tabla3[[#This Row],[EGRESOS]]</f>
        <v>-250000</v>
      </c>
      <c r="H1407" s="137">
        <v>-25555117.68</v>
      </c>
      <c r="I1407" s="135">
        <v>1140</v>
      </c>
      <c r="J1407" s="136">
        <f>Tabla3[[#This Row],[EGRESOS]]/Tabla3[[#This Row],[TC]]</f>
        <v>219.2982456140351</v>
      </c>
      <c r="K1407" s="136">
        <f>Tabla3[[#This Row],[INGRESOS]]/Tabla3[[#This Row],[TC]]</f>
        <v>0</v>
      </c>
      <c r="L1407" s="8" t="s">
        <v>376</v>
      </c>
      <c r="M1407" s="8" t="s">
        <v>377</v>
      </c>
      <c r="N1407" s="8" t="s">
        <v>20</v>
      </c>
      <c r="O1407" s="8" t="s">
        <v>184</v>
      </c>
      <c r="P1407" s="8" t="s">
        <v>199</v>
      </c>
      <c r="Q1407" s="8" t="s">
        <v>201</v>
      </c>
      <c r="R1407" s="8" t="s">
        <v>914</v>
      </c>
      <c r="S1407" s="8" t="s">
        <v>389</v>
      </c>
      <c r="T1407" s="8"/>
      <c r="U1407" s="8" t="s">
        <v>390</v>
      </c>
      <c r="V1407" s="8"/>
      <c r="W1407" s="8" t="s">
        <v>380</v>
      </c>
      <c r="X1407" s="8" t="s">
        <v>99</v>
      </c>
      <c r="Y1407" s="8" t="s">
        <v>23</v>
      </c>
    </row>
    <row r="1408" spans="1:25" hidden="1" x14ac:dyDescent="0.25">
      <c r="A1408" s="273" t="s">
        <v>314</v>
      </c>
      <c r="B1408" s="251">
        <v>45756</v>
      </c>
      <c r="C1408" s="252" t="s">
        <v>810</v>
      </c>
      <c r="D1408" s="252"/>
      <c r="E1408" s="253">
        <v>0</v>
      </c>
      <c r="F1408" s="253">
        <v>300000</v>
      </c>
      <c r="G1408" s="274">
        <f>Tabla3[[#This Row],[INGRESOS]]-Tabla3[[#This Row],[EGRESOS]]</f>
        <v>300000</v>
      </c>
      <c r="H1408" s="137">
        <v>-25255117.68</v>
      </c>
      <c r="I1408" s="135">
        <v>1140</v>
      </c>
      <c r="J1408" s="136">
        <f>Tabla3[[#This Row],[EGRESOS]]/Tabla3[[#This Row],[TC]]</f>
        <v>0</v>
      </c>
      <c r="K1408" s="136">
        <f>Tabla3[[#This Row],[INGRESOS]]/Tabla3[[#This Row],[TC]]</f>
        <v>263.15789473684208</v>
      </c>
      <c r="L1408" s="8" t="s">
        <v>376</v>
      </c>
      <c r="M1408" s="8" t="s">
        <v>377</v>
      </c>
      <c r="N1408" s="8" t="s">
        <v>20</v>
      </c>
      <c r="O1408" s="8" t="s">
        <v>244</v>
      </c>
      <c r="P1408" s="8" t="s">
        <v>259</v>
      </c>
      <c r="Q1408" s="8" t="s">
        <v>260</v>
      </c>
      <c r="R1408" s="8" t="s">
        <v>447</v>
      </c>
      <c r="S1408" s="8"/>
      <c r="T1408" s="8"/>
      <c r="U1408" s="8" t="s">
        <v>379</v>
      </c>
      <c r="V1408" s="8"/>
      <c r="W1408" s="8"/>
      <c r="X1408" s="8"/>
      <c r="Y1408" s="8"/>
    </row>
    <row r="1409" spans="1:25" hidden="1" x14ac:dyDescent="0.25">
      <c r="A1409" s="273" t="s">
        <v>314</v>
      </c>
      <c r="B1409" s="251">
        <v>45756</v>
      </c>
      <c r="C1409" s="252" t="s">
        <v>810</v>
      </c>
      <c r="D1409" s="252"/>
      <c r="E1409" s="253">
        <v>0</v>
      </c>
      <c r="F1409" s="253">
        <v>4300000</v>
      </c>
      <c r="G1409" s="274">
        <f>Tabla3[[#This Row],[INGRESOS]]-Tabla3[[#This Row],[EGRESOS]]</f>
        <v>4300000</v>
      </c>
      <c r="H1409" s="137">
        <v>-20955117.68</v>
      </c>
      <c r="I1409" s="135">
        <v>1140</v>
      </c>
      <c r="J1409" s="136">
        <f>Tabla3[[#This Row],[EGRESOS]]/Tabla3[[#This Row],[TC]]</f>
        <v>0</v>
      </c>
      <c r="K1409" s="136">
        <f>Tabla3[[#This Row],[INGRESOS]]/Tabla3[[#This Row],[TC]]</f>
        <v>3771.9298245614036</v>
      </c>
      <c r="L1409" s="8" t="s">
        <v>376</v>
      </c>
      <c r="M1409" s="8" t="s">
        <v>377</v>
      </c>
      <c r="N1409" s="8" t="s">
        <v>20</v>
      </c>
      <c r="O1409" s="8" t="s">
        <v>244</v>
      </c>
      <c r="P1409" s="8" t="s">
        <v>259</v>
      </c>
      <c r="Q1409" s="8" t="s">
        <v>260</v>
      </c>
      <c r="R1409" s="8" t="s">
        <v>447</v>
      </c>
      <c r="S1409" s="8"/>
      <c r="T1409" s="8"/>
      <c r="U1409" s="8" t="s">
        <v>379</v>
      </c>
      <c r="V1409" s="8"/>
      <c r="W1409" s="8"/>
      <c r="X1409" s="8"/>
      <c r="Y1409" s="8"/>
    </row>
    <row r="1410" spans="1:25" hidden="1" x14ac:dyDescent="0.25">
      <c r="A1410" s="273" t="s">
        <v>314</v>
      </c>
      <c r="B1410" s="251">
        <v>45756</v>
      </c>
      <c r="C1410" s="252" t="s">
        <v>762</v>
      </c>
      <c r="D1410" s="252"/>
      <c r="E1410" s="253">
        <v>3024</v>
      </c>
      <c r="F1410" s="253">
        <v>0</v>
      </c>
      <c r="G1410" s="274">
        <f>Tabla3[[#This Row],[INGRESOS]]-Tabla3[[#This Row],[EGRESOS]]</f>
        <v>-3024</v>
      </c>
      <c r="H1410" s="137">
        <v>-20958141.68</v>
      </c>
      <c r="I1410" s="135">
        <v>1140</v>
      </c>
      <c r="J1410" s="136">
        <f>Tabla3[[#This Row],[EGRESOS]]/Tabla3[[#This Row],[TC]]</f>
        <v>2.6526315789473682</v>
      </c>
      <c r="K1410" s="136">
        <f>Tabla3[[#This Row],[INGRESOS]]/Tabla3[[#This Row],[TC]]</f>
        <v>0</v>
      </c>
      <c r="L1410" s="8" t="s">
        <v>376</v>
      </c>
      <c r="M1410" s="8" t="s">
        <v>377</v>
      </c>
      <c r="N1410" s="8" t="s">
        <v>20</v>
      </c>
      <c r="O1410" s="8" t="s">
        <v>184</v>
      </c>
      <c r="P1410" s="8" t="s">
        <v>195</v>
      </c>
      <c r="Q1410" s="8" t="s">
        <v>196</v>
      </c>
      <c r="R1410" s="8" t="s">
        <v>382</v>
      </c>
      <c r="S1410" s="8" t="s">
        <v>383</v>
      </c>
      <c r="T1410" s="8"/>
      <c r="U1410" s="8" t="s">
        <v>384</v>
      </c>
      <c r="V1410" s="8"/>
      <c r="W1410" s="8" t="s">
        <v>380</v>
      </c>
      <c r="X1410" s="8" t="s">
        <v>99</v>
      </c>
      <c r="Y1410" s="8" t="s">
        <v>23</v>
      </c>
    </row>
    <row r="1411" spans="1:25" hidden="1" x14ac:dyDescent="0.25">
      <c r="A1411" s="273" t="s">
        <v>314</v>
      </c>
      <c r="B1411" s="251">
        <v>45756</v>
      </c>
      <c r="C1411" s="252" t="s">
        <v>763</v>
      </c>
      <c r="D1411" s="252"/>
      <c r="E1411" s="253">
        <v>432</v>
      </c>
      <c r="F1411" s="253">
        <v>0</v>
      </c>
      <c r="G1411" s="274">
        <f>Tabla3[[#This Row],[INGRESOS]]-Tabla3[[#This Row],[EGRESOS]]</f>
        <v>-432</v>
      </c>
      <c r="H1411" s="137">
        <v>-20958573.68</v>
      </c>
      <c r="I1411" s="135">
        <v>1140</v>
      </c>
      <c r="J1411" s="136">
        <f>Tabla3[[#This Row],[EGRESOS]]/Tabla3[[#This Row],[TC]]</f>
        <v>0.37894736842105264</v>
      </c>
      <c r="K1411" s="136">
        <f>Tabla3[[#This Row],[INGRESOS]]/Tabla3[[#This Row],[TC]]</f>
        <v>0</v>
      </c>
      <c r="L1411" s="8" t="s">
        <v>376</v>
      </c>
      <c r="M1411" s="8" t="s">
        <v>377</v>
      </c>
      <c r="N1411" s="8" t="s">
        <v>20</v>
      </c>
      <c r="O1411" s="8" t="s">
        <v>184</v>
      </c>
      <c r="P1411" s="8" t="s">
        <v>195</v>
      </c>
      <c r="Q1411" s="8" t="s">
        <v>196</v>
      </c>
      <c r="R1411" s="8" t="s">
        <v>417</v>
      </c>
      <c r="S1411" s="8" t="s">
        <v>383</v>
      </c>
      <c r="T1411" s="8"/>
      <c r="U1411" s="8" t="s">
        <v>384</v>
      </c>
      <c r="V1411" s="8"/>
      <c r="W1411" s="8" t="s">
        <v>380</v>
      </c>
      <c r="X1411" s="8" t="s">
        <v>99</v>
      </c>
      <c r="Y1411" s="8" t="s">
        <v>23</v>
      </c>
    </row>
    <row r="1412" spans="1:25" hidden="1" x14ac:dyDescent="0.25">
      <c r="A1412" s="273" t="s">
        <v>314</v>
      </c>
      <c r="B1412" s="251">
        <v>45756</v>
      </c>
      <c r="C1412" s="252" t="s">
        <v>794</v>
      </c>
      <c r="D1412" s="252"/>
      <c r="E1412" s="253">
        <v>14400</v>
      </c>
      <c r="F1412" s="253">
        <v>0</v>
      </c>
      <c r="G1412" s="274">
        <f>Tabla3[[#This Row],[INGRESOS]]-Tabla3[[#This Row],[EGRESOS]]</f>
        <v>-14400</v>
      </c>
      <c r="H1412" s="137">
        <v>-20972973.68</v>
      </c>
      <c r="I1412" s="135">
        <v>1140</v>
      </c>
      <c r="J1412" s="136">
        <f>Tabla3[[#This Row],[EGRESOS]]/Tabla3[[#This Row],[TC]]</f>
        <v>12.631578947368421</v>
      </c>
      <c r="K1412" s="136">
        <f>Tabla3[[#This Row],[INGRESOS]]/Tabla3[[#This Row],[TC]]</f>
        <v>0</v>
      </c>
      <c r="L1412" s="8" t="s">
        <v>376</v>
      </c>
      <c r="M1412" s="8" t="s">
        <v>377</v>
      </c>
      <c r="N1412" s="8" t="s">
        <v>20</v>
      </c>
      <c r="O1412" s="8" t="s">
        <v>184</v>
      </c>
      <c r="P1412" s="8" t="s">
        <v>185</v>
      </c>
      <c r="Q1412" s="8" t="s">
        <v>186</v>
      </c>
      <c r="R1412" s="8" t="s">
        <v>227</v>
      </c>
      <c r="S1412" s="8"/>
      <c r="T1412" s="8"/>
      <c r="U1412" s="8" t="s">
        <v>384</v>
      </c>
      <c r="V1412" s="8"/>
      <c r="W1412" s="8" t="s">
        <v>380</v>
      </c>
      <c r="X1412" s="8" t="s">
        <v>99</v>
      </c>
      <c r="Y1412" s="8" t="s">
        <v>23</v>
      </c>
    </row>
    <row r="1413" spans="1:25" hidden="1" x14ac:dyDescent="0.25">
      <c r="A1413" s="273" t="s">
        <v>314</v>
      </c>
      <c r="B1413" s="251">
        <v>45756</v>
      </c>
      <c r="C1413" s="252" t="s">
        <v>760</v>
      </c>
      <c r="D1413" s="252"/>
      <c r="E1413" s="253">
        <v>1607.14</v>
      </c>
      <c r="F1413" s="253">
        <v>0</v>
      </c>
      <c r="G1413" s="274">
        <f>Tabla3[[#This Row],[INGRESOS]]-Tabla3[[#This Row],[EGRESOS]]</f>
        <v>-1607.14</v>
      </c>
      <c r="H1413" s="137">
        <v>-20974580.82</v>
      </c>
      <c r="I1413" s="135">
        <v>1140</v>
      </c>
      <c r="J1413" s="136">
        <f>Tabla3[[#This Row],[EGRESOS]]/Tabla3[[#This Row],[TC]]</f>
        <v>1.4097719298245615</v>
      </c>
      <c r="K1413" s="136">
        <f>Tabla3[[#This Row],[INGRESOS]]/Tabla3[[#This Row],[TC]]</f>
        <v>0</v>
      </c>
      <c r="L1413" s="8" t="s">
        <v>376</v>
      </c>
      <c r="M1413" s="8" t="s">
        <v>377</v>
      </c>
      <c r="N1413" s="8" t="s">
        <v>20</v>
      </c>
      <c r="O1413" s="8" t="s">
        <v>184</v>
      </c>
      <c r="P1413" s="8" t="s">
        <v>195</v>
      </c>
      <c r="Q1413" s="8" t="s">
        <v>196</v>
      </c>
      <c r="R1413" s="8" t="s">
        <v>394</v>
      </c>
      <c r="S1413" s="8" t="s">
        <v>383</v>
      </c>
      <c r="T1413" s="8"/>
      <c r="U1413" s="8" t="s">
        <v>384</v>
      </c>
      <c r="V1413" s="8"/>
      <c r="W1413" s="8" t="s">
        <v>380</v>
      </c>
      <c r="X1413" s="8" t="s">
        <v>99</v>
      </c>
      <c r="Y1413" s="8" t="s">
        <v>23</v>
      </c>
    </row>
    <row r="1414" spans="1:25" hidden="1" x14ac:dyDescent="0.25">
      <c r="A1414" s="273" t="s">
        <v>314</v>
      </c>
      <c r="B1414" s="251">
        <v>45761</v>
      </c>
      <c r="C1414" s="252" t="s">
        <v>810</v>
      </c>
      <c r="D1414" s="252"/>
      <c r="E1414" s="253">
        <v>0</v>
      </c>
      <c r="F1414" s="253">
        <v>1200000</v>
      </c>
      <c r="G1414" s="274">
        <f>Tabla3[[#This Row],[INGRESOS]]-Tabla3[[#This Row],[EGRESOS]]</f>
        <v>1200000</v>
      </c>
      <c r="H1414" s="137">
        <v>-19774580.82</v>
      </c>
      <c r="I1414" s="135">
        <v>1170</v>
      </c>
      <c r="J1414" s="136">
        <f>Tabla3[[#This Row],[EGRESOS]]/Tabla3[[#This Row],[TC]]</f>
        <v>0</v>
      </c>
      <c r="K1414" s="136">
        <f>Tabla3[[#This Row],[INGRESOS]]/Tabla3[[#This Row],[TC]]</f>
        <v>1025.6410256410256</v>
      </c>
      <c r="L1414" s="8" t="s">
        <v>376</v>
      </c>
      <c r="M1414" s="8" t="s">
        <v>377</v>
      </c>
      <c r="N1414" s="8" t="s">
        <v>20</v>
      </c>
      <c r="O1414" s="8" t="s">
        <v>244</v>
      </c>
      <c r="P1414" s="8" t="s">
        <v>259</v>
      </c>
      <c r="Q1414" s="8" t="s">
        <v>260</v>
      </c>
      <c r="R1414" s="8" t="s">
        <v>447</v>
      </c>
      <c r="S1414" s="8"/>
      <c r="T1414" s="8"/>
      <c r="U1414" s="8" t="s">
        <v>379</v>
      </c>
      <c r="V1414" s="8"/>
      <c r="W1414" s="8"/>
      <c r="X1414" s="8"/>
      <c r="Y1414" s="8"/>
    </row>
    <row r="1415" spans="1:25" hidden="1" x14ac:dyDescent="0.25">
      <c r="A1415" s="273" t="s">
        <v>314</v>
      </c>
      <c r="B1415" s="251">
        <v>45763</v>
      </c>
      <c r="C1415" s="252" t="s">
        <v>782</v>
      </c>
      <c r="D1415" s="252" t="s">
        <v>915</v>
      </c>
      <c r="E1415" s="253">
        <v>4254250</v>
      </c>
      <c r="F1415" s="253">
        <v>0</v>
      </c>
      <c r="G1415" s="274">
        <f>Tabla3[[#This Row],[INGRESOS]]-Tabla3[[#This Row],[EGRESOS]]</f>
        <v>-4254250</v>
      </c>
      <c r="H1415" s="137">
        <v>-24028830.82</v>
      </c>
      <c r="I1415" s="135">
        <v>1170</v>
      </c>
      <c r="J1415" s="136">
        <f>Tabla3[[#This Row],[EGRESOS]]/Tabla3[[#This Row],[TC]]</f>
        <v>3636.1111111111113</v>
      </c>
      <c r="K1415" s="136">
        <f>Tabla3[[#This Row],[INGRESOS]]/Tabla3[[#This Row],[TC]]</f>
        <v>0</v>
      </c>
      <c r="L1415" s="8" t="s">
        <v>376</v>
      </c>
      <c r="M1415" s="8" t="s">
        <v>377</v>
      </c>
      <c r="N1415" s="8" t="s">
        <v>20</v>
      </c>
      <c r="O1415" s="8" t="s">
        <v>215</v>
      </c>
      <c r="P1415" s="8" t="s">
        <v>216</v>
      </c>
      <c r="Q1415" s="8" t="s">
        <v>219</v>
      </c>
      <c r="R1415" s="8" t="s">
        <v>327</v>
      </c>
      <c r="S1415" s="8" t="s">
        <v>909</v>
      </c>
      <c r="T1415" s="8"/>
      <c r="U1415" s="8" t="s">
        <v>403</v>
      </c>
      <c r="V1415" s="8"/>
      <c r="W1415" s="8" t="s">
        <v>380</v>
      </c>
      <c r="X1415" s="8" t="s">
        <v>29</v>
      </c>
      <c r="Y1415" s="8" t="s">
        <v>23</v>
      </c>
    </row>
    <row r="1416" spans="1:25" hidden="1" x14ac:dyDescent="0.25">
      <c r="A1416" s="273" t="s">
        <v>314</v>
      </c>
      <c r="B1416" s="251">
        <v>45763</v>
      </c>
      <c r="C1416" s="252" t="s">
        <v>782</v>
      </c>
      <c r="D1416" s="252" t="s">
        <v>916</v>
      </c>
      <c r="E1416" s="253">
        <v>1356000</v>
      </c>
      <c r="F1416" s="253">
        <v>0</v>
      </c>
      <c r="G1416" s="274">
        <f>Tabla3[[#This Row],[INGRESOS]]-Tabla3[[#This Row],[EGRESOS]]</f>
        <v>-1356000</v>
      </c>
      <c r="H1416" s="137">
        <v>-25384830.82</v>
      </c>
      <c r="I1416" s="135">
        <v>1170</v>
      </c>
      <c r="J1416" s="136">
        <f>Tabla3[[#This Row],[EGRESOS]]/Tabla3[[#This Row],[TC]]</f>
        <v>1158.9743589743589</v>
      </c>
      <c r="K1416" s="136">
        <f>Tabla3[[#This Row],[INGRESOS]]/Tabla3[[#This Row],[TC]]</f>
        <v>0</v>
      </c>
      <c r="L1416" s="8" t="s">
        <v>376</v>
      </c>
      <c r="M1416" s="8" t="s">
        <v>377</v>
      </c>
      <c r="N1416" s="8" t="s">
        <v>20</v>
      </c>
      <c r="O1416" s="8" t="s">
        <v>215</v>
      </c>
      <c r="P1416" s="8" t="s">
        <v>216</v>
      </c>
      <c r="Q1416" s="8" t="s">
        <v>220</v>
      </c>
      <c r="R1416" s="8" t="s">
        <v>329</v>
      </c>
      <c r="S1416" s="8" t="s">
        <v>634</v>
      </c>
      <c r="T1416" s="8" t="s">
        <v>890</v>
      </c>
      <c r="U1416" s="8" t="s">
        <v>412</v>
      </c>
      <c r="V1416" s="8"/>
      <c r="W1416" s="8" t="s">
        <v>380</v>
      </c>
      <c r="X1416" s="8" t="s">
        <v>29</v>
      </c>
      <c r="Y1416" s="8" t="s">
        <v>23</v>
      </c>
    </row>
    <row r="1417" spans="1:25" hidden="1" x14ac:dyDescent="0.25">
      <c r="A1417" s="273" t="s">
        <v>314</v>
      </c>
      <c r="B1417" s="251">
        <v>45763</v>
      </c>
      <c r="C1417" s="252" t="s">
        <v>793</v>
      </c>
      <c r="D1417" s="252"/>
      <c r="E1417" s="253">
        <v>0</v>
      </c>
      <c r="F1417" s="253">
        <v>1200000</v>
      </c>
      <c r="G1417" s="274">
        <f>Tabla3[[#This Row],[INGRESOS]]-Tabla3[[#This Row],[EGRESOS]]</f>
        <v>1200000</v>
      </c>
      <c r="H1417" s="137">
        <v>-24184830.82</v>
      </c>
      <c r="I1417" s="135">
        <v>1170</v>
      </c>
      <c r="J1417" s="136">
        <f>Tabla3[[#This Row],[EGRESOS]]/Tabla3[[#This Row],[TC]]</f>
        <v>0</v>
      </c>
      <c r="K1417" s="136">
        <f>Tabla3[[#This Row],[INGRESOS]]/Tabla3[[#This Row],[TC]]</f>
        <v>1025.6410256410256</v>
      </c>
      <c r="L1417" s="8" t="s">
        <v>376</v>
      </c>
      <c r="M1417" s="8" t="s">
        <v>377</v>
      </c>
      <c r="N1417" s="8" t="s">
        <v>20</v>
      </c>
      <c r="O1417" s="8" t="s">
        <v>244</v>
      </c>
      <c r="P1417" s="8" t="s">
        <v>259</v>
      </c>
      <c r="Q1417" s="8" t="s">
        <v>260</v>
      </c>
      <c r="R1417" s="8" t="s">
        <v>474</v>
      </c>
      <c r="S1417" s="8"/>
      <c r="T1417" s="8"/>
      <c r="U1417" s="8" t="s">
        <v>379</v>
      </c>
      <c r="V1417" s="8"/>
      <c r="W1417" s="8" t="s">
        <v>380</v>
      </c>
      <c r="X1417" s="8"/>
      <c r="Y1417" s="8"/>
    </row>
    <row r="1418" spans="1:25" hidden="1" x14ac:dyDescent="0.25">
      <c r="A1418" s="273" t="s">
        <v>314</v>
      </c>
      <c r="B1418" s="251">
        <v>45763</v>
      </c>
      <c r="C1418" s="252" t="s">
        <v>793</v>
      </c>
      <c r="D1418" s="252"/>
      <c r="E1418" s="253">
        <v>0</v>
      </c>
      <c r="F1418" s="253">
        <v>1000000</v>
      </c>
      <c r="G1418" s="274">
        <f>Tabla3[[#This Row],[INGRESOS]]-Tabla3[[#This Row],[EGRESOS]]</f>
        <v>1000000</v>
      </c>
      <c r="H1418" s="137">
        <v>-23184830.82</v>
      </c>
      <c r="I1418" s="135">
        <v>1170</v>
      </c>
      <c r="J1418" s="136">
        <f>Tabla3[[#This Row],[EGRESOS]]/Tabla3[[#This Row],[TC]]</f>
        <v>0</v>
      </c>
      <c r="K1418" s="136">
        <f>Tabla3[[#This Row],[INGRESOS]]/Tabla3[[#This Row],[TC]]</f>
        <v>854.70085470085473</v>
      </c>
      <c r="L1418" s="8" t="s">
        <v>376</v>
      </c>
      <c r="M1418" s="8" t="s">
        <v>377</v>
      </c>
      <c r="N1418" s="8" t="s">
        <v>20</v>
      </c>
      <c r="O1418" s="8" t="s">
        <v>244</v>
      </c>
      <c r="P1418" s="8" t="s">
        <v>259</v>
      </c>
      <c r="Q1418" s="8" t="s">
        <v>260</v>
      </c>
      <c r="R1418" s="8" t="s">
        <v>474</v>
      </c>
      <c r="S1418" s="8"/>
      <c r="T1418" s="8"/>
      <c r="U1418" s="8" t="s">
        <v>379</v>
      </c>
      <c r="V1418" s="8"/>
      <c r="W1418" s="8" t="s">
        <v>380</v>
      </c>
      <c r="X1418" s="8"/>
      <c r="Y1418" s="8"/>
    </row>
    <row r="1419" spans="1:25" hidden="1" x14ac:dyDescent="0.25">
      <c r="A1419" s="273" t="s">
        <v>314</v>
      </c>
      <c r="B1419" s="251">
        <v>45763</v>
      </c>
      <c r="C1419" s="252" t="s">
        <v>810</v>
      </c>
      <c r="D1419" s="252"/>
      <c r="E1419" s="253">
        <v>0</v>
      </c>
      <c r="F1419" s="253">
        <v>2100000</v>
      </c>
      <c r="G1419" s="274">
        <f>Tabla3[[#This Row],[INGRESOS]]-Tabla3[[#This Row],[EGRESOS]]</f>
        <v>2100000</v>
      </c>
      <c r="H1419" s="137">
        <v>-21084830.82</v>
      </c>
      <c r="I1419" s="135">
        <v>1170</v>
      </c>
      <c r="J1419" s="136">
        <f>Tabla3[[#This Row],[EGRESOS]]/Tabla3[[#This Row],[TC]]</f>
        <v>0</v>
      </c>
      <c r="K1419" s="136">
        <f>Tabla3[[#This Row],[INGRESOS]]/Tabla3[[#This Row],[TC]]</f>
        <v>1794.8717948717949</v>
      </c>
      <c r="L1419" s="8" t="s">
        <v>376</v>
      </c>
      <c r="M1419" s="8" t="s">
        <v>377</v>
      </c>
      <c r="N1419" s="8" t="s">
        <v>20</v>
      </c>
      <c r="O1419" s="8" t="s">
        <v>244</v>
      </c>
      <c r="P1419" s="8" t="s">
        <v>259</v>
      </c>
      <c r="Q1419" s="8" t="s">
        <v>260</v>
      </c>
      <c r="R1419" s="8" t="s">
        <v>447</v>
      </c>
      <c r="S1419" s="8"/>
      <c r="T1419" s="8"/>
      <c r="U1419" s="8" t="s">
        <v>379</v>
      </c>
      <c r="V1419" s="8"/>
      <c r="W1419" s="8" t="s">
        <v>380</v>
      </c>
      <c r="X1419" s="8"/>
      <c r="Y1419" s="8"/>
    </row>
    <row r="1420" spans="1:25" hidden="1" x14ac:dyDescent="0.25">
      <c r="A1420" s="273" t="s">
        <v>314</v>
      </c>
      <c r="B1420" s="251">
        <v>45763</v>
      </c>
      <c r="C1420" s="252" t="s">
        <v>793</v>
      </c>
      <c r="D1420" s="252"/>
      <c r="E1420" s="253">
        <v>0</v>
      </c>
      <c r="F1420" s="253">
        <v>90000</v>
      </c>
      <c r="G1420" s="274">
        <f>Tabla3[[#This Row],[INGRESOS]]-Tabla3[[#This Row],[EGRESOS]]</f>
        <v>90000</v>
      </c>
      <c r="H1420" s="137">
        <v>-20994830.82</v>
      </c>
      <c r="I1420" s="135">
        <v>1170</v>
      </c>
      <c r="J1420" s="136">
        <f>Tabla3[[#This Row],[EGRESOS]]/Tabla3[[#This Row],[TC]]</f>
        <v>0</v>
      </c>
      <c r="K1420" s="136">
        <f>Tabla3[[#This Row],[INGRESOS]]/Tabla3[[#This Row],[TC]]</f>
        <v>76.92307692307692</v>
      </c>
      <c r="L1420" s="8" t="s">
        <v>376</v>
      </c>
      <c r="M1420" s="8" t="s">
        <v>377</v>
      </c>
      <c r="N1420" s="8" t="s">
        <v>20</v>
      </c>
      <c r="O1420" s="8" t="s">
        <v>244</v>
      </c>
      <c r="P1420" s="8" t="s">
        <v>259</v>
      </c>
      <c r="Q1420" s="8" t="s">
        <v>260</v>
      </c>
      <c r="R1420" s="8" t="s">
        <v>474</v>
      </c>
      <c r="S1420" s="8"/>
      <c r="T1420" s="8"/>
      <c r="U1420" s="8" t="s">
        <v>379</v>
      </c>
      <c r="V1420" s="8"/>
      <c r="W1420" s="8" t="s">
        <v>380</v>
      </c>
      <c r="X1420" s="8"/>
      <c r="Y1420" s="8"/>
    </row>
    <row r="1421" spans="1:25" hidden="1" x14ac:dyDescent="0.25">
      <c r="A1421" s="273" t="s">
        <v>314</v>
      </c>
      <c r="B1421" s="251">
        <v>45763</v>
      </c>
      <c r="C1421" s="252" t="s">
        <v>762</v>
      </c>
      <c r="D1421" s="252"/>
      <c r="E1421" s="253">
        <v>3024</v>
      </c>
      <c r="F1421" s="253">
        <v>0</v>
      </c>
      <c r="G1421" s="274">
        <f>Tabla3[[#This Row],[INGRESOS]]-Tabla3[[#This Row],[EGRESOS]]</f>
        <v>-3024</v>
      </c>
      <c r="H1421" s="137">
        <v>-20997854.82</v>
      </c>
      <c r="I1421" s="135">
        <v>1170</v>
      </c>
      <c r="J1421" s="136">
        <f>Tabla3[[#This Row],[EGRESOS]]/Tabla3[[#This Row],[TC]]</f>
        <v>2.5846153846153848</v>
      </c>
      <c r="K1421" s="136">
        <f>Tabla3[[#This Row],[INGRESOS]]/Tabla3[[#This Row],[TC]]</f>
        <v>0</v>
      </c>
      <c r="L1421" s="8" t="s">
        <v>376</v>
      </c>
      <c r="M1421" s="8" t="s">
        <v>377</v>
      </c>
      <c r="N1421" s="8" t="s">
        <v>20</v>
      </c>
      <c r="O1421" s="8" t="s">
        <v>184</v>
      </c>
      <c r="P1421" s="8" t="s">
        <v>195</v>
      </c>
      <c r="Q1421" s="8" t="s">
        <v>196</v>
      </c>
      <c r="R1421" s="8" t="s">
        <v>382</v>
      </c>
      <c r="S1421" s="8" t="s">
        <v>383</v>
      </c>
      <c r="T1421" s="8"/>
      <c r="U1421" s="8" t="s">
        <v>384</v>
      </c>
      <c r="V1421" s="8"/>
      <c r="W1421" s="8" t="s">
        <v>380</v>
      </c>
      <c r="X1421" s="8" t="s">
        <v>99</v>
      </c>
      <c r="Y1421" s="8" t="s">
        <v>23</v>
      </c>
    </row>
    <row r="1422" spans="1:25" hidden="1" x14ac:dyDescent="0.25">
      <c r="A1422" s="273" t="s">
        <v>314</v>
      </c>
      <c r="B1422" s="251">
        <v>45763</v>
      </c>
      <c r="C1422" s="252" t="s">
        <v>763</v>
      </c>
      <c r="D1422" s="252"/>
      <c r="E1422" s="253">
        <v>432</v>
      </c>
      <c r="F1422" s="253">
        <v>0</v>
      </c>
      <c r="G1422" s="274">
        <f>Tabla3[[#This Row],[INGRESOS]]-Tabla3[[#This Row],[EGRESOS]]</f>
        <v>-432</v>
      </c>
      <c r="H1422" s="137">
        <v>-20998286.82</v>
      </c>
      <c r="I1422" s="135">
        <v>1170</v>
      </c>
      <c r="J1422" s="136">
        <f>Tabla3[[#This Row],[EGRESOS]]/Tabla3[[#This Row],[TC]]</f>
        <v>0.36923076923076925</v>
      </c>
      <c r="K1422" s="136">
        <f>Tabla3[[#This Row],[INGRESOS]]/Tabla3[[#This Row],[TC]]</f>
        <v>0</v>
      </c>
      <c r="L1422" s="8" t="s">
        <v>376</v>
      </c>
      <c r="M1422" s="8" t="s">
        <v>377</v>
      </c>
      <c r="N1422" s="8" t="s">
        <v>20</v>
      </c>
      <c r="O1422" s="8" t="s">
        <v>184</v>
      </c>
      <c r="P1422" s="8" t="s">
        <v>195</v>
      </c>
      <c r="Q1422" s="8" t="s">
        <v>196</v>
      </c>
      <c r="R1422" s="8" t="s">
        <v>417</v>
      </c>
      <c r="S1422" s="8" t="s">
        <v>383</v>
      </c>
      <c r="T1422" s="8"/>
      <c r="U1422" s="8" t="s">
        <v>384</v>
      </c>
      <c r="V1422" s="8"/>
      <c r="W1422" s="8" t="s">
        <v>380</v>
      </c>
      <c r="X1422" s="8" t="s">
        <v>99</v>
      </c>
      <c r="Y1422" s="8" t="s">
        <v>23</v>
      </c>
    </row>
    <row r="1423" spans="1:25" hidden="1" x14ac:dyDescent="0.25">
      <c r="A1423" s="273" t="s">
        <v>314</v>
      </c>
      <c r="B1423" s="251">
        <v>45763</v>
      </c>
      <c r="C1423" s="252" t="s">
        <v>794</v>
      </c>
      <c r="D1423" s="252"/>
      <c r="E1423" s="253">
        <v>14400</v>
      </c>
      <c r="F1423" s="253">
        <v>0</v>
      </c>
      <c r="G1423" s="274">
        <f>Tabla3[[#This Row],[INGRESOS]]-Tabla3[[#This Row],[EGRESOS]]</f>
        <v>-14400</v>
      </c>
      <c r="H1423" s="137">
        <v>-21012686.82</v>
      </c>
      <c r="I1423" s="135">
        <v>1170</v>
      </c>
      <c r="J1423" s="136">
        <f>Tabla3[[#This Row],[EGRESOS]]/Tabla3[[#This Row],[TC]]</f>
        <v>12.307692307692308</v>
      </c>
      <c r="K1423" s="136">
        <f>Tabla3[[#This Row],[INGRESOS]]/Tabla3[[#This Row],[TC]]</f>
        <v>0</v>
      </c>
      <c r="L1423" s="8" t="s">
        <v>376</v>
      </c>
      <c r="M1423" s="8" t="s">
        <v>377</v>
      </c>
      <c r="N1423" s="8" t="s">
        <v>20</v>
      </c>
      <c r="O1423" s="8" t="s">
        <v>184</v>
      </c>
      <c r="P1423" s="8" t="s">
        <v>185</v>
      </c>
      <c r="Q1423" s="8" t="s">
        <v>186</v>
      </c>
      <c r="R1423" s="8" t="s">
        <v>227</v>
      </c>
      <c r="S1423" s="8"/>
      <c r="T1423" s="8"/>
      <c r="U1423" s="8" t="s">
        <v>384</v>
      </c>
      <c r="V1423" s="8"/>
      <c r="W1423" s="8" t="s">
        <v>380</v>
      </c>
      <c r="X1423" s="8" t="s">
        <v>99</v>
      </c>
      <c r="Y1423" s="8" t="s">
        <v>23</v>
      </c>
    </row>
    <row r="1424" spans="1:25" hidden="1" x14ac:dyDescent="0.25">
      <c r="A1424" s="273" t="s">
        <v>314</v>
      </c>
      <c r="B1424" s="251">
        <v>45763</v>
      </c>
      <c r="C1424" s="252" t="s">
        <v>760</v>
      </c>
      <c r="D1424" s="252"/>
      <c r="E1424" s="253">
        <v>33768.639999999999</v>
      </c>
      <c r="F1424" s="253">
        <v>0</v>
      </c>
      <c r="G1424" s="274">
        <f>Tabla3[[#This Row],[INGRESOS]]-Tabla3[[#This Row],[EGRESOS]]</f>
        <v>-33768.639999999999</v>
      </c>
      <c r="H1424" s="137">
        <v>-21046455.460000001</v>
      </c>
      <c r="I1424" s="135">
        <v>1170</v>
      </c>
      <c r="J1424" s="136">
        <f>Tabla3[[#This Row],[EGRESOS]]/Tabla3[[#This Row],[TC]]</f>
        <v>28.862085470085468</v>
      </c>
      <c r="K1424" s="136">
        <f>Tabla3[[#This Row],[INGRESOS]]/Tabla3[[#This Row],[TC]]</f>
        <v>0</v>
      </c>
      <c r="L1424" s="8" t="s">
        <v>376</v>
      </c>
      <c r="M1424" s="8" t="s">
        <v>377</v>
      </c>
      <c r="N1424" s="8" t="s">
        <v>20</v>
      </c>
      <c r="O1424" s="8" t="s">
        <v>184</v>
      </c>
      <c r="P1424" s="8" t="s">
        <v>195</v>
      </c>
      <c r="Q1424" s="8" t="s">
        <v>196</v>
      </c>
      <c r="R1424" s="8" t="s">
        <v>394</v>
      </c>
      <c r="S1424" s="8" t="s">
        <v>383</v>
      </c>
      <c r="T1424" s="8"/>
      <c r="U1424" s="8" t="s">
        <v>384</v>
      </c>
      <c r="V1424" s="8"/>
      <c r="W1424" s="8" t="s">
        <v>380</v>
      </c>
      <c r="X1424" s="8" t="s">
        <v>99</v>
      </c>
      <c r="Y1424" s="8" t="s">
        <v>23</v>
      </c>
    </row>
    <row r="1425" spans="1:25" hidden="1" x14ac:dyDescent="0.25">
      <c r="A1425" s="273" t="s">
        <v>314</v>
      </c>
      <c r="B1425" s="251">
        <v>45768</v>
      </c>
      <c r="C1425" s="252" t="s">
        <v>782</v>
      </c>
      <c r="D1425" s="252" t="s">
        <v>917</v>
      </c>
      <c r="E1425" s="253">
        <v>591074.96</v>
      </c>
      <c r="F1425" s="253">
        <v>0</v>
      </c>
      <c r="G1425" s="274">
        <f>Tabla3[[#This Row],[INGRESOS]]-Tabla3[[#This Row],[EGRESOS]]</f>
        <v>-591074.96</v>
      </c>
      <c r="H1425" s="137">
        <v>-21637530.420000002</v>
      </c>
      <c r="I1425" s="135">
        <v>1170</v>
      </c>
      <c r="J1425" s="136">
        <f>Tabla3[[#This Row],[EGRESOS]]/Tabla3[[#This Row],[TC]]</f>
        <v>505.19227350427349</v>
      </c>
      <c r="K1425" s="136">
        <f>Tabla3[[#This Row],[INGRESOS]]/Tabla3[[#This Row],[TC]]</f>
        <v>0</v>
      </c>
      <c r="L1425" s="8" t="s">
        <v>376</v>
      </c>
      <c r="M1425" s="8" t="s">
        <v>377</v>
      </c>
      <c r="N1425" s="8" t="s">
        <v>20</v>
      </c>
      <c r="O1425" s="8" t="s">
        <v>286</v>
      </c>
      <c r="P1425" s="8" t="s">
        <v>287</v>
      </c>
      <c r="Q1425" s="8" t="s">
        <v>288</v>
      </c>
      <c r="R1425" s="8" t="s">
        <v>143</v>
      </c>
      <c r="S1425" s="8" t="s">
        <v>637</v>
      </c>
      <c r="T1425" s="8" t="s">
        <v>918</v>
      </c>
      <c r="U1425" s="8" t="s">
        <v>412</v>
      </c>
      <c r="V1425" s="8"/>
      <c r="W1425" s="8" t="s">
        <v>380</v>
      </c>
      <c r="X1425" s="8" t="s">
        <v>29</v>
      </c>
      <c r="Y1425" s="8" t="s">
        <v>23</v>
      </c>
    </row>
    <row r="1426" spans="1:25" hidden="1" x14ac:dyDescent="0.25">
      <c r="A1426" s="273" t="s">
        <v>314</v>
      </c>
      <c r="B1426" s="251">
        <v>45768</v>
      </c>
      <c r="C1426" s="252" t="s">
        <v>793</v>
      </c>
      <c r="D1426" s="252"/>
      <c r="E1426" s="253">
        <v>0</v>
      </c>
      <c r="F1426" s="253">
        <v>650000</v>
      </c>
      <c r="G1426" s="274">
        <f>Tabla3[[#This Row],[INGRESOS]]-Tabla3[[#This Row],[EGRESOS]]</f>
        <v>650000</v>
      </c>
      <c r="H1426" s="137">
        <v>-20987530.420000002</v>
      </c>
      <c r="I1426" s="135">
        <v>1170</v>
      </c>
      <c r="J1426" s="136">
        <f>Tabla3[[#This Row],[EGRESOS]]/Tabla3[[#This Row],[TC]]</f>
        <v>0</v>
      </c>
      <c r="K1426" s="136">
        <f>Tabla3[[#This Row],[INGRESOS]]/Tabla3[[#This Row],[TC]]</f>
        <v>555.55555555555554</v>
      </c>
      <c r="L1426" s="8" t="s">
        <v>376</v>
      </c>
      <c r="M1426" s="8" t="s">
        <v>377</v>
      </c>
      <c r="N1426" s="8" t="s">
        <v>20</v>
      </c>
      <c r="O1426" s="8" t="s">
        <v>244</v>
      </c>
      <c r="P1426" s="8" t="s">
        <v>259</v>
      </c>
      <c r="Q1426" s="8" t="s">
        <v>260</v>
      </c>
      <c r="R1426" s="8" t="s">
        <v>474</v>
      </c>
      <c r="S1426" s="8"/>
      <c r="T1426" s="8"/>
      <c r="U1426" s="8" t="s">
        <v>379</v>
      </c>
      <c r="V1426" s="8"/>
      <c r="W1426" s="8" t="s">
        <v>380</v>
      </c>
      <c r="X1426" s="8"/>
      <c r="Y1426" s="8"/>
    </row>
    <row r="1427" spans="1:25" hidden="1" x14ac:dyDescent="0.25">
      <c r="A1427" s="273" t="s">
        <v>314</v>
      </c>
      <c r="B1427" s="251">
        <v>45768</v>
      </c>
      <c r="C1427" s="252" t="s">
        <v>822</v>
      </c>
      <c r="D1427" s="252"/>
      <c r="E1427" s="253">
        <v>8067</v>
      </c>
      <c r="F1427" s="253">
        <v>0</v>
      </c>
      <c r="G1427" s="274">
        <f>Tabla3[[#This Row],[INGRESOS]]-Tabla3[[#This Row],[EGRESOS]]</f>
        <v>-8067</v>
      </c>
      <c r="H1427" s="137">
        <v>-20995597.420000002</v>
      </c>
      <c r="I1427" s="135">
        <v>1170</v>
      </c>
      <c r="J1427" s="136">
        <f>Tabla3[[#This Row],[EGRESOS]]/Tabla3[[#This Row],[TC]]</f>
        <v>6.8948717948717952</v>
      </c>
      <c r="K1427" s="136">
        <f>Tabla3[[#This Row],[INGRESOS]]/Tabla3[[#This Row],[TC]]</f>
        <v>0</v>
      </c>
      <c r="L1427" s="8" t="s">
        <v>376</v>
      </c>
      <c r="M1427" s="8" t="s">
        <v>377</v>
      </c>
      <c r="N1427" s="8" t="s">
        <v>20</v>
      </c>
      <c r="O1427" s="8" t="s">
        <v>184</v>
      </c>
      <c r="P1427" s="8" t="s">
        <v>185</v>
      </c>
      <c r="Q1427" s="8" t="s">
        <v>189</v>
      </c>
      <c r="R1427" s="8" t="s">
        <v>227</v>
      </c>
      <c r="S1427" s="8"/>
      <c r="T1427" s="8"/>
      <c r="U1427" s="8" t="s">
        <v>384</v>
      </c>
      <c r="V1427" s="8"/>
      <c r="W1427" s="8" t="s">
        <v>380</v>
      </c>
      <c r="X1427" s="8" t="s">
        <v>99</v>
      </c>
      <c r="Y1427" s="8" t="s">
        <v>23</v>
      </c>
    </row>
    <row r="1428" spans="1:25" hidden="1" x14ac:dyDescent="0.25">
      <c r="A1428" s="273" t="s">
        <v>314</v>
      </c>
      <c r="B1428" s="251">
        <v>45768</v>
      </c>
      <c r="C1428" s="252" t="s">
        <v>762</v>
      </c>
      <c r="D1428" s="252"/>
      <c r="E1428" s="253">
        <v>3024</v>
      </c>
      <c r="F1428" s="253">
        <v>0</v>
      </c>
      <c r="G1428" s="274">
        <f>Tabla3[[#This Row],[INGRESOS]]-Tabla3[[#This Row],[EGRESOS]]</f>
        <v>-3024</v>
      </c>
      <c r="H1428" s="137">
        <v>-20998621.420000002</v>
      </c>
      <c r="I1428" s="135">
        <v>1170</v>
      </c>
      <c r="J1428" s="136">
        <f>Tabla3[[#This Row],[EGRESOS]]/Tabla3[[#This Row],[TC]]</f>
        <v>2.5846153846153848</v>
      </c>
      <c r="K1428" s="136">
        <f>Tabla3[[#This Row],[INGRESOS]]/Tabla3[[#This Row],[TC]]</f>
        <v>0</v>
      </c>
      <c r="L1428" s="8" t="s">
        <v>376</v>
      </c>
      <c r="M1428" s="8" t="s">
        <v>377</v>
      </c>
      <c r="N1428" s="8" t="s">
        <v>20</v>
      </c>
      <c r="O1428" s="8" t="s">
        <v>184</v>
      </c>
      <c r="P1428" s="8" t="s">
        <v>195</v>
      </c>
      <c r="Q1428" s="8" t="s">
        <v>196</v>
      </c>
      <c r="R1428" s="8" t="s">
        <v>382</v>
      </c>
      <c r="S1428" s="8" t="s">
        <v>383</v>
      </c>
      <c r="T1428" s="8"/>
      <c r="U1428" s="8" t="s">
        <v>384</v>
      </c>
      <c r="V1428" s="8"/>
      <c r="W1428" s="8" t="s">
        <v>380</v>
      </c>
      <c r="X1428" s="8" t="s">
        <v>99</v>
      </c>
      <c r="Y1428" s="8" t="s">
        <v>23</v>
      </c>
    </row>
    <row r="1429" spans="1:25" hidden="1" x14ac:dyDescent="0.25">
      <c r="A1429" s="273" t="s">
        <v>314</v>
      </c>
      <c r="B1429" s="251">
        <v>45768</v>
      </c>
      <c r="C1429" s="252" t="s">
        <v>763</v>
      </c>
      <c r="D1429" s="252"/>
      <c r="E1429" s="253">
        <v>432</v>
      </c>
      <c r="F1429" s="253">
        <v>0</v>
      </c>
      <c r="G1429" s="274">
        <f>Tabla3[[#This Row],[INGRESOS]]-Tabla3[[#This Row],[EGRESOS]]</f>
        <v>-432</v>
      </c>
      <c r="H1429" s="137">
        <v>-20999053.420000002</v>
      </c>
      <c r="I1429" s="135">
        <v>1170</v>
      </c>
      <c r="J1429" s="136">
        <f>Tabla3[[#This Row],[EGRESOS]]/Tabla3[[#This Row],[TC]]</f>
        <v>0.36923076923076925</v>
      </c>
      <c r="K1429" s="136">
        <f>Tabla3[[#This Row],[INGRESOS]]/Tabla3[[#This Row],[TC]]</f>
        <v>0</v>
      </c>
      <c r="L1429" s="8" t="s">
        <v>376</v>
      </c>
      <c r="M1429" s="8" t="s">
        <v>377</v>
      </c>
      <c r="N1429" s="8" t="s">
        <v>20</v>
      </c>
      <c r="O1429" s="8" t="s">
        <v>184</v>
      </c>
      <c r="P1429" s="8" t="s">
        <v>195</v>
      </c>
      <c r="Q1429" s="8" t="s">
        <v>196</v>
      </c>
      <c r="R1429" s="8" t="s">
        <v>417</v>
      </c>
      <c r="S1429" s="8" t="s">
        <v>383</v>
      </c>
      <c r="T1429" s="8"/>
      <c r="U1429" s="8" t="s">
        <v>384</v>
      </c>
      <c r="V1429" s="8"/>
      <c r="W1429" s="8" t="s">
        <v>380</v>
      </c>
      <c r="X1429" s="8" t="s">
        <v>99</v>
      </c>
      <c r="Y1429" s="8" t="s">
        <v>23</v>
      </c>
    </row>
    <row r="1430" spans="1:25" hidden="1" x14ac:dyDescent="0.25">
      <c r="A1430" s="273" t="s">
        <v>314</v>
      </c>
      <c r="B1430" s="251">
        <v>45768</v>
      </c>
      <c r="C1430" s="252" t="s">
        <v>794</v>
      </c>
      <c r="D1430" s="252"/>
      <c r="E1430" s="253">
        <v>14400</v>
      </c>
      <c r="F1430" s="253">
        <v>0</v>
      </c>
      <c r="G1430" s="274">
        <f>Tabla3[[#This Row],[INGRESOS]]-Tabla3[[#This Row],[EGRESOS]]</f>
        <v>-14400</v>
      </c>
      <c r="H1430" s="137">
        <v>-21013453.420000002</v>
      </c>
      <c r="I1430" s="135">
        <v>1170</v>
      </c>
      <c r="J1430" s="136">
        <f>Tabla3[[#This Row],[EGRESOS]]/Tabla3[[#This Row],[TC]]</f>
        <v>12.307692307692308</v>
      </c>
      <c r="K1430" s="136">
        <f>Tabla3[[#This Row],[INGRESOS]]/Tabla3[[#This Row],[TC]]</f>
        <v>0</v>
      </c>
      <c r="L1430" s="8" t="s">
        <v>376</v>
      </c>
      <c r="M1430" s="8" t="s">
        <v>377</v>
      </c>
      <c r="N1430" s="8" t="s">
        <v>20</v>
      </c>
      <c r="O1430" s="8" t="s">
        <v>184</v>
      </c>
      <c r="P1430" s="8" t="s">
        <v>185</v>
      </c>
      <c r="Q1430" s="8" t="s">
        <v>186</v>
      </c>
      <c r="R1430" s="8" t="s">
        <v>227</v>
      </c>
      <c r="S1430" s="8"/>
      <c r="T1430" s="8"/>
      <c r="U1430" s="8" t="s">
        <v>384</v>
      </c>
      <c r="V1430" s="8"/>
      <c r="W1430" s="8" t="s">
        <v>380</v>
      </c>
      <c r="X1430" s="8" t="s">
        <v>99</v>
      </c>
      <c r="Y1430" s="8" t="s">
        <v>23</v>
      </c>
    </row>
    <row r="1431" spans="1:25" hidden="1" x14ac:dyDescent="0.25">
      <c r="A1431" s="273" t="s">
        <v>314</v>
      </c>
      <c r="B1431" s="251">
        <v>45768</v>
      </c>
      <c r="C1431" s="252" t="s">
        <v>760</v>
      </c>
      <c r="D1431" s="252"/>
      <c r="E1431" s="253">
        <v>3701.99</v>
      </c>
      <c r="F1431" s="253">
        <v>0</v>
      </c>
      <c r="G1431" s="274">
        <f>Tabla3[[#This Row],[INGRESOS]]-Tabla3[[#This Row],[EGRESOS]]</f>
        <v>-3701.99</v>
      </c>
      <c r="H1431" s="137">
        <v>-21017155.41</v>
      </c>
      <c r="I1431" s="135">
        <v>1170</v>
      </c>
      <c r="J1431" s="136">
        <f>Tabla3[[#This Row],[EGRESOS]]/Tabla3[[#This Row],[TC]]</f>
        <v>3.1640940170940168</v>
      </c>
      <c r="K1431" s="136">
        <f>Tabla3[[#This Row],[INGRESOS]]/Tabla3[[#This Row],[TC]]</f>
        <v>0</v>
      </c>
      <c r="L1431" s="8" t="s">
        <v>376</v>
      </c>
      <c r="M1431" s="8" t="s">
        <v>377</v>
      </c>
      <c r="N1431" s="8" t="s">
        <v>20</v>
      </c>
      <c r="O1431" s="8" t="s">
        <v>184</v>
      </c>
      <c r="P1431" s="8" t="s">
        <v>195</v>
      </c>
      <c r="Q1431" s="8" t="s">
        <v>196</v>
      </c>
      <c r="R1431" s="8" t="s">
        <v>394</v>
      </c>
      <c r="S1431" s="8" t="s">
        <v>383</v>
      </c>
      <c r="T1431" s="8"/>
      <c r="U1431" s="8" t="s">
        <v>384</v>
      </c>
      <c r="V1431" s="8"/>
      <c r="W1431" s="8" t="s">
        <v>380</v>
      </c>
      <c r="X1431" s="8" t="s">
        <v>99</v>
      </c>
      <c r="Y1431" s="8" t="s">
        <v>23</v>
      </c>
    </row>
    <row r="1432" spans="1:25" hidden="1" x14ac:dyDescent="0.25">
      <c r="A1432" s="273" t="s">
        <v>314</v>
      </c>
      <c r="B1432" s="251">
        <v>45775</v>
      </c>
      <c r="C1432" s="252" t="s">
        <v>782</v>
      </c>
      <c r="D1432" s="252" t="s">
        <v>919</v>
      </c>
      <c r="E1432" s="253">
        <v>85050</v>
      </c>
      <c r="F1432" s="253">
        <v>0</v>
      </c>
      <c r="G1432" s="274">
        <f>Tabla3[[#This Row],[INGRESOS]]-Tabla3[[#This Row],[EGRESOS]]</f>
        <v>-85050</v>
      </c>
      <c r="H1432" s="133">
        <v>-21102205.41</v>
      </c>
      <c r="I1432" s="135">
        <v>1170</v>
      </c>
      <c r="J1432" s="136">
        <f>Tabla3[[#This Row],[EGRESOS]]/Tabla3[[#This Row],[TC]]</f>
        <v>72.692307692307693</v>
      </c>
      <c r="K1432" s="136">
        <f>Tabla3[[#This Row],[INGRESOS]]/Tabla3[[#This Row],[TC]]</f>
        <v>0</v>
      </c>
      <c r="L1432" s="8" t="s">
        <v>376</v>
      </c>
      <c r="M1432" s="8" t="s">
        <v>377</v>
      </c>
      <c r="N1432" s="8" t="s">
        <v>20</v>
      </c>
      <c r="O1432" s="8" t="s">
        <v>225</v>
      </c>
      <c r="P1432" s="8" t="s">
        <v>236</v>
      </c>
      <c r="Q1432" s="8" t="s">
        <v>237</v>
      </c>
      <c r="R1432" s="8" t="s">
        <v>920</v>
      </c>
      <c r="S1432" s="8" t="s">
        <v>572</v>
      </c>
      <c r="T1432" s="8"/>
      <c r="U1432" s="8" t="s">
        <v>429</v>
      </c>
      <c r="V1432" s="8"/>
      <c r="W1432" s="7" t="s">
        <v>399</v>
      </c>
      <c r="X1432" s="8" t="s">
        <v>29</v>
      </c>
      <c r="Y1432" s="8" t="s">
        <v>23</v>
      </c>
    </row>
    <row r="1433" spans="1:25" hidden="1" x14ac:dyDescent="0.25">
      <c r="A1433" s="273" t="s">
        <v>315</v>
      </c>
      <c r="B1433" s="251">
        <v>45803</v>
      </c>
      <c r="C1433" s="252" t="s">
        <v>800</v>
      </c>
      <c r="D1433" s="252"/>
      <c r="E1433" s="253">
        <v>1000000</v>
      </c>
      <c r="F1433" s="253">
        <v>0</v>
      </c>
      <c r="G1433" s="274">
        <f>Tabla3[[#This Row],[INGRESOS]]-Tabla3[[#This Row],[EGRESOS]]</f>
        <v>-1000000</v>
      </c>
      <c r="H1433" s="137"/>
      <c r="I1433" s="135">
        <v>1170</v>
      </c>
      <c r="J1433" s="136">
        <f>Tabla3[[#This Row],[EGRESOS]]/Tabla3[[#This Row],[TC]]</f>
        <v>854.70085470085473</v>
      </c>
      <c r="K1433" s="136">
        <f>Tabla3[[#This Row],[INGRESOS]]/Tabla3[[#This Row],[TC]]</f>
        <v>0</v>
      </c>
      <c r="L1433" s="8" t="s">
        <v>376</v>
      </c>
      <c r="M1433" s="8" t="s">
        <v>377</v>
      </c>
      <c r="N1433" s="8" t="s">
        <v>20</v>
      </c>
      <c r="O1433" s="8" t="s">
        <v>184</v>
      </c>
      <c r="P1433" s="8" t="s">
        <v>203</v>
      </c>
      <c r="Q1433" s="8" t="s">
        <v>208</v>
      </c>
      <c r="R1433" s="8" t="s">
        <v>976</v>
      </c>
      <c r="S1433" s="8" t="s">
        <v>386</v>
      </c>
      <c r="T1433" s="8"/>
      <c r="U1433" s="8" t="s">
        <v>387</v>
      </c>
      <c r="V1433" s="8" t="s">
        <v>386</v>
      </c>
      <c r="W1433" s="8" t="s">
        <v>380</v>
      </c>
      <c r="X1433" s="8" t="s">
        <v>104</v>
      </c>
      <c r="Y1433" s="8" t="s">
        <v>23</v>
      </c>
    </row>
    <row r="1434" spans="1:25" hidden="1" x14ac:dyDescent="0.25">
      <c r="A1434" s="273" t="s">
        <v>314</v>
      </c>
      <c r="B1434" s="251">
        <v>45775</v>
      </c>
      <c r="C1434" s="252" t="s">
        <v>762</v>
      </c>
      <c r="D1434" s="252"/>
      <c r="E1434" s="253">
        <v>1394.4</v>
      </c>
      <c r="F1434" s="253">
        <v>0</v>
      </c>
      <c r="G1434" s="274">
        <f>Tabla3[[#This Row],[INGRESOS]]-Tabla3[[#This Row],[EGRESOS]]</f>
        <v>-1394.4</v>
      </c>
      <c r="H1434" s="137">
        <v>-20993599.809999999</v>
      </c>
      <c r="I1434" s="135">
        <v>1170</v>
      </c>
      <c r="J1434" s="136">
        <f>Tabla3[[#This Row],[EGRESOS]]/Tabla3[[#This Row],[TC]]</f>
        <v>1.1917948717948719</v>
      </c>
      <c r="K1434" s="136">
        <f>Tabla3[[#This Row],[INGRESOS]]/Tabla3[[#This Row],[TC]]</f>
        <v>0</v>
      </c>
      <c r="L1434" s="8" t="s">
        <v>376</v>
      </c>
      <c r="M1434" s="8" t="s">
        <v>377</v>
      </c>
      <c r="N1434" s="8" t="s">
        <v>20</v>
      </c>
      <c r="O1434" s="8" t="s">
        <v>184</v>
      </c>
      <c r="P1434" s="8" t="s">
        <v>195</v>
      </c>
      <c r="Q1434" s="8" t="s">
        <v>196</v>
      </c>
      <c r="R1434" s="8" t="s">
        <v>382</v>
      </c>
      <c r="S1434" s="8" t="s">
        <v>383</v>
      </c>
      <c r="T1434" s="8"/>
      <c r="U1434" s="8" t="s">
        <v>384</v>
      </c>
      <c r="V1434" s="8"/>
      <c r="W1434" s="8" t="s">
        <v>380</v>
      </c>
      <c r="X1434" s="8" t="s">
        <v>99</v>
      </c>
      <c r="Y1434" s="8" t="s">
        <v>23</v>
      </c>
    </row>
    <row r="1435" spans="1:25" hidden="1" x14ac:dyDescent="0.25">
      <c r="A1435" s="273" t="s">
        <v>314</v>
      </c>
      <c r="B1435" s="251">
        <v>45775</v>
      </c>
      <c r="C1435" s="252" t="s">
        <v>763</v>
      </c>
      <c r="D1435" s="252"/>
      <c r="E1435" s="253">
        <v>199.2</v>
      </c>
      <c r="F1435" s="253">
        <v>0</v>
      </c>
      <c r="G1435" s="274">
        <f>Tabla3[[#This Row],[INGRESOS]]-Tabla3[[#This Row],[EGRESOS]]</f>
        <v>-199.2</v>
      </c>
      <c r="H1435" s="137">
        <v>-20993799.010000002</v>
      </c>
      <c r="I1435" s="135">
        <v>1170</v>
      </c>
      <c r="J1435" s="136">
        <f>Tabla3[[#This Row],[EGRESOS]]/Tabla3[[#This Row],[TC]]</f>
        <v>0.17025641025641025</v>
      </c>
      <c r="K1435" s="136">
        <f>Tabla3[[#This Row],[INGRESOS]]/Tabla3[[#This Row],[TC]]</f>
        <v>0</v>
      </c>
      <c r="L1435" s="8" t="s">
        <v>376</v>
      </c>
      <c r="M1435" s="8" t="s">
        <v>377</v>
      </c>
      <c r="N1435" s="8" t="s">
        <v>20</v>
      </c>
      <c r="O1435" s="8" t="s">
        <v>184</v>
      </c>
      <c r="P1435" s="8" t="s">
        <v>195</v>
      </c>
      <c r="Q1435" s="8" t="s">
        <v>196</v>
      </c>
      <c r="R1435" s="8" t="s">
        <v>417</v>
      </c>
      <c r="S1435" s="8" t="s">
        <v>383</v>
      </c>
      <c r="T1435" s="8"/>
      <c r="U1435" s="8" t="s">
        <v>384</v>
      </c>
      <c r="V1435" s="8"/>
      <c r="W1435" s="8" t="s">
        <v>380</v>
      </c>
      <c r="X1435" s="8" t="s">
        <v>99</v>
      </c>
      <c r="Y1435" s="8" t="s">
        <v>23</v>
      </c>
    </row>
    <row r="1436" spans="1:25" hidden="1" x14ac:dyDescent="0.25">
      <c r="A1436" s="273" t="s">
        <v>314</v>
      </c>
      <c r="B1436" s="251">
        <v>45775</v>
      </c>
      <c r="C1436" s="252" t="s">
        <v>837</v>
      </c>
      <c r="D1436" s="252"/>
      <c r="E1436" s="253">
        <v>6640</v>
      </c>
      <c r="F1436" s="253">
        <v>0</v>
      </c>
      <c r="G1436" s="274">
        <f>Tabla3[[#This Row],[INGRESOS]]-Tabla3[[#This Row],[EGRESOS]]</f>
        <v>-6640</v>
      </c>
      <c r="H1436" s="137">
        <v>-21000439.010000002</v>
      </c>
      <c r="I1436" s="135">
        <v>1170</v>
      </c>
      <c r="J1436" s="136">
        <f>Tabla3[[#This Row],[EGRESOS]]/Tabla3[[#This Row],[TC]]</f>
        <v>5.6752136752136755</v>
      </c>
      <c r="K1436" s="136">
        <f>Tabla3[[#This Row],[INGRESOS]]/Tabla3[[#This Row],[TC]]</f>
        <v>0</v>
      </c>
      <c r="L1436" s="8" t="s">
        <v>376</v>
      </c>
      <c r="M1436" s="8" t="s">
        <v>377</v>
      </c>
      <c r="N1436" s="8" t="s">
        <v>20</v>
      </c>
      <c r="O1436" s="8" t="s">
        <v>184</v>
      </c>
      <c r="P1436" s="8" t="s">
        <v>185</v>
      </c>
      <c r="Q1436" s="8" t="s">
        <v>186</v>
      </c>
      <c r="R1436" s="8" t="s">
        <v>227</v>
      </c>
      <c r="S1436" s="8"/>
      <c r="T1436" s="8"/>
      <c r="U1436" s="8" t="s">
        <v>384</v>
      </c>
      <c r="V1436" s="8"/>
      <c r="W1436" s="8" t="s">
        <v>380</v>
      </c>
      <c r="X1436" s="8" t="s">
        <v>99</v>
      </c>
      <c r="Y1436" s="8" t="s">
        <v>23</v>
      </c>
    </row>
    <row r="1437" spans="1:25" hidden="1" x14ac:dyDescent="0.25">
      <c r="A1437" s="273" t="s">
        <v>314</v>
      </c>
      <c r="B1437" s="251">
        <v>45775</v>
      </c>
      <c r="C1437" s="252" t="s">
        <v>762</v>
      </c>
      <c r="D1437" s="252"/>
      <c r="E1437" s="253">
        <v>3024</v>
      </c>
      <c r="F1437" s="253">
        <v>0</v>
      </c>
      <c r="G1437" s="274">
        <f>Tabla3[[#This Row],[INGRESOS]]-Tabla3[[#This Row],[EGRESOS]]</f>
        <v>-3024</v>
      </c>
      <c r="H1437" s="137">
        <v>-21003463.010000002</v>
      </c>
      <c r="I1437" s="135">
        <v>1170</v>
      </c>
      <c r="J1437" s="136">
        <f>Tabla3[[#This Row],[EGRESOS]]/Tabla3[[#This Row],[TC]]</f>
        <v>2.5846153846153848</v>
      </c>
      <c r="K1437" s="136">
        <f>Tabla3[[#This Row],[INGRESOS]]/Tabla3[[#This Row],[TC]]</f>
        <v>0</v>
      </c>
      <c r="L1437" s="8" t="s">
        <v>376</v>
      </c>
      <c r="M1437" s="8" t="s">
        <v>377</v>
      </c>
      <c r="N1437" s="8" t="s">
        <v>20</v>
      </c>
      <c r="O1437" s="8" t="s">
        <v>184</v>
      </c>
      <c r="P1437" s="8" t="s">
        <v>195</v>
      </c>
      <c r="Q1437" s="8" t="s">
        <v>196</v>
      </c>
      <c r="R1437" s="8" t="s">
        <v>382</v>
      </c>
      <c r="S1437" s="8" t="s">
        <v>383</v>
      </c>
      <c r="T1437" s="8"/>
      <c r="U1437" s="8" t="s">
        <v>384</v>
      </c>
      <c r="V1437" s="8"/>
      <c r="W1437" s="8" t="s">
        <v>380</v>
      </c>
      <c r="X1437" s="8" t="s">
        <v>99</v>
      </c>
      <c r="Y1437" s="8" t="s">
        <v>23</v>
      </c>
    </row>
    <row r="1438" spans="1:25" hidden="1" x14ac:dyDescent="0.25">
      <c r="A1438" s="273" t="s">
        <v>314</v>
      </c>
      <c r="B1438" s="251">
        <v>45775</v>
      </c>
      <c r="C1438" s="252" t="s">
        <v>763</v>
      </c>
      <c r="D1438" s="252"/>
      <c r="E1438" s="253">
        <v>432</v>
      </c>
      <c r="F1438" s="253">
        <v>0</v>
      </c>
      <c r="G1438" s="274">
        <f>Tabla3[[#This Row],[INGRESOS]]-Tabla3[[#This Row],[EGRESOS]]</f>
        <v>-432</v>
      </c>
      <c r="H1438" s="137">
        <v>-21003895.010000002</v>
      </c>
      <c r="I1438" s="135">
        <v>1170</v>
      </c>
      <c r="J1438" s="136">
        <f>Tabla3[[#This Row],[EGRESOS]]/Tabla3[[#This Row],[TC]]</f>
        <v>0.36923076923076925</v>
      </c>
      <c r="K1438" s="136">
        <f>Tabla3[[#This Row],[INGRESOS]]/Tabla3[[#This Row],[TC]]</f>
        <v>0</v>
      </c>
      <c r="L1438" s="8" t="s">
        <v>376</v>
      </c>
      <c r="M1438" s="8" t="s">
        <v>377</v>
      </c>
      <c r="N1438" s="8" t="s">
        <v>20</v>
      </c>
      <c r="O1438" s="8" t="s">
        <v>184</v>
      </c>
      <c r="P1438" s="8" t="s">
        <v>195</v>
      </c>
      <c r="Q1438" s="8" t="s">
        <v>196</v>
      </c>
      <c r="R1438" s="8" t="s">
        <v>417</v>
      </c>
      <c r="S1438" s="8" t="s">
        <v>383</v>
      </c>
      <c r="T1438" s="8"/>
      <c r="U1438" s="8" t="s">
        <v>384</v>
      </c>
      <c r="V1438" s="8"/>
      <c r="W1438" s="8" t="s">
        <v>380</v>
      </c>
      <c r="X1438" s="8" t="s">
        <v>99</v>
      </c>
      <c r="Y1438" s="8" t="s">
        <v>23</v>
      </c>
    </row>
    <row r="1439" spans="1:25" hidden="1" x14ac:dyDescent="0.25">
      <c r="A1439" s="273" t="s">
        <v>314</v>
      </c>
      <c r="B1439" s="251">
        <v>45775</v>
      </c>
      <c r="C1439" s="252" t="s">
        <v>794</v>
      </c>
      <c r="D1439" s="252"/>
      <c r="E1439" s="253">
        <v>14400</v>
      </c>
      <c r="F1439" s="253">
        <v>0</v>
      </c>
      <c r="G1439" s="274">
        <f>Tabla3[[#This Row],[INGRESOS]]-Tabla3[[#This Row],[EGRESOS]]</f>
        <v>-14400</v>
      </c>
      <c r="H1439" s="137">
        <v>-21018295.010000002</v>
      </c>
      <c r="I1439" s="135">
        <v>1170</v>
      </c>
      <c r="J1439" s="136">
        <f>Tabla3[[#This Row],[EGRESOS]]/Tabla3[[#This Row],[TC]]</f>
        <v>12.307692307692308</v>
      </c>
      <c r="K1439" s="136">
        <f>Tabla3[[#This Row],[INGRESOS]]/Tabla3[[#This Row],[TC]]</f>
        <v>0</v>
      </c>
      <c r="L1439" s="8" t="s">
        <v>376</v>
      </c>
      <c r="M1439" s="8" t="s">
        <v>377</v>
      </c>
      <c r="N1439" s="8" t="s">
        <v>20</v>
      </c>
      <c r="O1439" s="8" t="s">
        <v>184</v>
      </c>
      <c r="P1439" s="8" t="s">
        <v>185</v>
      </c>
      <c r="Q1439" s="8" t="s">
        <v>186</v>
      </c>
      <c r="R1439" s="8" t="s">
        <v>227</v>
      </c>
      <c r="S1439" s="8"/>
      <c r="T1439" s="8"/>
      <c r="U1439" s="8" t="s">
        <v>384</v>
      </c>
      <c r="V1439" s="8"/>
      <c r="W1439" s="8" t="s">
        <v>380</v>
      </c>
      <c r="X1439" s="8" t="s">
        <v>99</v>
      </c>
      <c r="Y1439" s="8" t="s">
        <v>23</v>
      </c>
    </row>
    <row r="1440" spans="1:25" hidden="1" x14ac:dyDescent="0.25">
      <c r="A1440" s="273" t="s">
        <v>314</v>
      </c>
      <c r="B1440" s="251">
        <v>45775</v>
      </c>
      <c r="C1440" s="252" t="s">
        <v>760</v>
      </c>
      <c r="D1440" s="252"/>
      <c r="E1440" s="253">
        <v>660</v>
      </c>
      <c r="F1440" s="253">
        <v>0</v>
      </c>
      <c r="G1440" s="274">
        <f>Tabla3[[#This Row],[INGRESOS]]-Tabla3[[#This Row],[EGRESOS]]</f>
        <v>-660</v>
      </c>
      <c r="H1440" s="137">
        <v>-21018955.010000002</v>
      </c>
      <c r="I1440" s="135">
        <v>1170</v>
      </c>
      <c r="J1440" s="136">
        <f>Tabla3[[#This Row],[EGRESOS]]/Tabla3[[#This Row],[TC]]</f>
        <v>0.5641025641025641</v>
      </c>
      <c r="K1440" s="136">
        <f>Tabla3[[#This Row],[INGRESOS]]/Tabla3[[#This Row],[TC]]</f>
        <v>0</v>
      </c>
      <c r="L1440" s="8" t="s">
        <v>376</v>
      </c>
      <c r="M1440" s="8" t="s">
        <v>377</v>
      </c>
      <c r="N1440" s="8" t="s">
        <v>20</v>
      </c>
      <c r="O1440" s="8" t="s">
        <v>184</v>
      </c>
      <c r="P1440" s="8" t="s">
        <v>195</v>
      </c>
      <c r="Q1440" s="8" t="s">
        <v>196</v>
      </c>
      <c r="R1440" s="8" t="s">
        <v>394</v>
      </c>
      <c r="S1440" s="8" t="s">
        <v>383</v>
      </c>
      <c r="T1440" s="8"/>
      <c r="U1440" s="8" t="s">
        <v>384</v>
      </c>
      <c r="V1440" s="8"/>
      <c r="W1440" s="8" t="s">
        <v>380</v>
      </c>
      <c r="X1440" s="8" t="s">
        <v>99</v>
      </c>
      <c r="Y1440" s="8" t="s">
        <v>23</v>
      </c>
    </row>
    <row r="1441" spans="1:25" hidden="1" x14ac:dyDescent="0.25">
      <c r="A1441" s="273" t="s">
        <v>314</v>
      </c>
      <c r="B1441" s="251">
        <v>45775</v>
      </c>
      <c r="C1441" s="252" t="s">
        <v>760</v>
      </c>
      <c r="D1441" s="252"/>
      <c r="E1441" s="253">
        <v>666.84</v>
      </c>
      <c r="F1441" s="253">
        <v>0</v>
      </c>
      <c r="G1441" s="274">
        <f>Tabla3[[#This Row],[INGRESOS]]-Tabla3[[#This Row],[EGRESOS]]</f>
        <v>-666.84</v>
      </c>
      <c r="H1441" s="137">
        <v>-21019621.850000001</v>
      </c>
      <c r="I1441" s="135">
        <v>1170</v>
      </c>
      <c r="J1441" s="136">
        <f>Tabla3[[#This Row],[EGRESOS]]/Tabla3[[#This Row],[TC]]</f>
        <v>0.56994871794871793</v>
      </c>
      <c r="K1441" s="136">
        <f>Tabla3[[#This Row],[INGRESOS]]/Tabla3[[#This Row],[TC]]</f>
        <v>0</v>
      </c>
      <c r="L1441" s="8" t="s">
        <v>376</v>
      </c>
      <c r="M1441" s="8" t="s">
        <v>377</v>
      </c>
      <c r="N1441" s="8" t="s">
        <v>20</v>
      </c>
      <c r="O1441" s="8" t="s">
        <v>184</v>
      </c>
      <c r="P1441" s="8" t="s">
        <v>195</v>
      </c>
      <c r="Q1441" s="8" t="s">
        <v>196</v>
      </c>
      <c r="R1441" s="8" t="s">
        <v>394</v>
      </c>
      <c r="S1441" s="8" t="s">
        <v>383</v>
      </c>
      <c r="T1441" s="8"/>
      <c r="U1441" s="8" t="s">
        <v>384</v>
      </c>
      <c r="V1441" s="8"/>
      <c r="W1441" s="8" t="s">
        <v>380</v>
      </c>
      <c r="X1441" s="8" t="s">
        <v>99</v>
      </c>
      <c r="Y1441" s="8" t="s">
        <v>23</v>
      </c>
    </row>
    <row r="1442" spans="1:25" hidden="1" x14ac:dyDescent="0.25">
      <c r="A1442" s="273" t="s">
        <v>314</v>
      </c>
      <c r="B1442" s="251">
        <v>45776</v>
      </c>
      <c r="C1442" s="252" t="s">
        <v>782</v>
      </c>
      <c r="D1442" s="252" t="s">
        <v>921</v>
      </c>
      <c r="E1442" s="253">
        <v>811420.13</v>
      </c>
      <c r="F1442" s="253">
        <v>0</v>
      </c>
      <c r="G1442" s="274">
        <f>Tabla3[[#This Row],[INGRESOS]]-Tabla3[[#This Row],[EGRESOS]]</f>
        <v>-811420.13</v>
      </c>
      <c r="H1442" s="137">
        <v>-21831041.98</v>
      </c>
      <c r="I1442" s="135">
        <v>1170</v>
      </c>
      <c r="J1442" s="136">
        <f>Tabla3[[#This Row],[EGRESOS]]/Tabla3[[#This Row],[TC]]</f>
        <v>693.52147863247865</v>
      </c>
      <c r="K1442" s="136">
        <f>Tabla3[[#This Row],[INGRESOS]]/Tabla3[[#This Row],[TC]]</f>
        <v>0</v>
      </c>
      <c r="L1442" s="8" t="s">
        <v>376</v>
      </c>
      <c r="M1442" s="8" t="s">
        <v>377</v>
      </c>
      <c r="N1442" s="8" t="s">
        <v>20</v>
      </c>
      <c r="O1442" s="8" t="s">
        <v>286</v>
      </c>
      <c r="P1442" s="8" t="s">
        <v>287</v>
      </c>
      <c r="Q1442" s="8" t="s">
        <v>288</v>
      </c>
      <c r="R1442" s="8" t="s">
        <v>143</v>
      </c>
      <c r="S1442" s="8" t="s">
        <v>637</v>
      </c>
      <c r="T1442" s="8" t="s">
        <v>922</v>
      </c>
      <c r="U1442" s="8" t="s">
        <v>412</v>
      </c>
      <c r="V1442" s="8"/>
      <c r="W1442" s="8" t="s">
        <v>380</v>
      </c>
      <c r="X1442" s="8" t="s">
        <v>29</v>
      </c>
      <c r="Y1442" s="8" t="s">
        <v>23</v>
      </c>
    </row>
    <row r="1443" spans="1:25" hidden="1" x14ac:dyDescent="0.25">
      <c r="A1443" s="273" t="s">
        <v>315</v>
      </c>
      <c r="B1443" s="251">
        <v>45804</v>
      </c>
      <c r="C1443" s="252" t="s">
        <v>800</v>
      </c>
      <c r="D1443" s="252"/>
      <c r="E1443" s="253">
        <v>350000</v>
      </c>
      <c r="F1443" s="253">
        <v>0</v>
      </c>
      <c r="G1443" s="274">
        <f>Tabla3[[#This Row],[INGRESOS]]-Tabla3[[#This Row],[EGRESOS]]</f>
        <v>-350000</v>
      </c>
      <c r="H1443" s="274">
        <v>-3707001.91</v>
      </c>
      <c r="I1443" s="135">
        <v>1170</v>
      </c>
      <c r="J1443" s="136">
        <f>Tabla3[[#This Row],[EGRESOS]]/Tabla3[[#This Row],[TC]]</f>
        <v>299.14529914529913</v>
      </c>
      <c r="K1443" s="136">
        <f>Tabla3[[#This Row],[INGRESOS]]/Tabla3[[#This Row],[TC]]</f>
        <v>0</v>
      </c>
      <c r="L1443" s="8" t="s">
        <v>376</v>
      </c>
      <c r="M1443" s="8" t="s">
        <v>377</v>
      </c>
      <c r="N1443" s="8" t="s">
        <v>20</v>
      </c>
      <c r="O1443" s="8" t="s">
        <v>184</v>
      </c>
      <c r="P1443" s="8" t="s">
        <v>203</v>
      </c>
      <c r="Q1443" s="8" t="s">
        <v>208</v>
      </c>
      <c r="R1443" s="8"/>
      <c r="S1443" s="8" t="s">
        <v>386</v>
      </c>
      <c r="T1443" s="8"/>
      <c r="U1443" s="8" t="s">
        <v>387</v>
      </c>
      <c r="V1443" s="8" t="s">
        <v>386</v>
      </c>
      <c r="W1443" s="8" t="s">
        <v>380</v>
      </c>
      <c r="X1443" s="8" t="s">
        <v>104</v>
      </c>
      <c r="Y1443" s="8" t="s">
        <v>23</v>
      </c>
    </row>
    <row r="1444" spans="1:25" hidden="1" x14ac:dyDescent="0.25">
      <c r="A1444" s="273" t="s">
        <v>314</v>
      </c>
      <c r="B1444" s="251">
        <v>45776</v>
      </c>
      <c r="C1444" s="252" t="s">
        <v>923</v>
      </c>
      <c r="D1444" s="252"/>
      <c r="E1444" s="253">
        <v>0</v>
      </c>
      <c r="F1444" s="253">
        <v>17155.41</v>
      </c>
      <c r="G1444" s="274">
        <f>Tabla3[[#This Row],[INGRESOS]]-Tabla3[[#This Row],[EGRESOS]]</f>
        <v>17155.41</v>
      </c>
      <c r="H1444" s="137">
        <v>-20963886.57</v>
      </c>
      <c r="I1444" s="135">
        <v>1170</v>
      </c>
      <c r="J1444" s="136">
        <f>Tabla3[[#This Row],[EGRESOS]]/Tabla3[[#This Row],[TC]]</f>
        <v>0</v>
      </c>
      <c r="K1444" s="136">
        <f>Tabla3[[#This Row],[INGRESOS]]/Tabla3[[#This Row],[TC]]</f>
        <v>14.66274358974359</v>
      </c>
      <c r="L1444" s="8" t="s">
        <v>376</v>
      </c>
      <c r="M1444" s="8" t="s">
        <v>377</v>
      </c>
      <c r="N1444" s="8" t="s">
        <v>20</v>
      </c>
      <c r="O1444" s="8" t="s">
        <v>244</v>
      </c>
      <c r="P1444" s="8" t="s">
        <v>271</v>
      </c>
      <c r="Q1444" s="8" t="s">
        <v>272</v>
      </c>
      <c r="R1444" s="8"/>
      <c r="S1444" s="8"/>
      <c r="T1444" s="8"/>
      <c r="U1444" s="8" t="s">
        <v>924</v>
      </c>
      <c r="V1444" s="8"/>
      <c r="W1444" s="8" t="s">
        <v>380</v>
      </c>
      <c r="X1444" s="8" t="s">
        <v>23</v>
      </c>
      <c r="Y1444" s="8" t="s">
        <v>97</v>
      </c>
    </row>
    <row r="1445" spans="1:25" hidden="1" x14ac:dyDescent="0.25">
      <c r="A1445" s="273" t="s">
        <v>314</v>
      </c>
      <c r="B1445" s="251">
        <v>45776</v>
      </c>
      <c r="C1445" s="252" t="s">
        <v>762</v>
      </c>
      <c r="D1445" s="252"/>
      <c r="E1445" s="253">
        <v>3024</v>
      </c>
      <c r="F1445" s="253">
        <v>0</v>
      </c>
      <c r="G1445" s="274">
        <f>Tabla3[[#This Row],[INGRESOS]]-Tabla3[[#This Row],[EGRESOS]]</f>
        <v>-3024</v>
      </c>
      <c r="H1445" s="137">
        <v>-20966910.57</v>
      </c>
      <c r="I1445" s="135">
        <v>1170</v>
      </c>
      <c r="J1445" s="136">
        <f>Tabla3[[#This Row],[EGRESOS]]/Tabla3[[#This Row],[TC]]</f>
        <v>2.5846153846153848</v>
      </c>
      <c r="K1445" s="136">
        <f>Tabla3[[#This Row],[INGRESOS]]/Tabla3[[#This Row],[TC]]</f>
        <v>0</v>
      </c>
      <c r="L1445" s="8" t="s">
        <v>376</v>
      </c>
      <c r="M1445" s="8" t="s">
        <v>377</v>
      </c>
      <c r="N1445" s="8" t="s">
        <v>20</v>
      </c>
      <c r="O1445" s="8" t="s">
        <v>184</v>
      </c>
      <c r="P1445" s="8" t="s">
        <v>195</v>
      </c>
      <c r="Q1445" s="8" t="s">
        <v>196</v>
      </c>
      <c r="R1445" s="8" t="s">
        <v>382</v>
      </c>
      <c r="S1445" s="8" t="s">
        <v>383</v>
      </c>
      <c r="T1445" s="8"/>
      <c r="U1445" s="8" t="s">
        <v>384</v>
      </c>
      <c r="V1445" s="8"/>
      <c r="W1445" s="8" t="s">
        <v>380</v>
      </c>
      <c r="X1445" s="8" t="s">
        <v>99</v>
      </c>
      <c r="Y1445" s="8" t="s">
        <v>23</v>
      </c>
    </row>
    <row r="1446" spans="1:25" hidden="1" x14ac:dyDescent="0.25">
      <c r="A1446" s="273" t="s">
        <v>314</v>
      </c>
      <c r="B1446" s="251">
        <v>45776</v>
      </c>
      <c r="C1446" s="252" t="s">
        <v>763</v>
      </c>
      <c r="D1446" s="252"/>
      <c r="E1446" s="253">
        <v>432</v>
      </c>
      <c r="F1446" s="253">
        <v>0</v>
      </c>
      <c r="G1446" s="274">
        <f>Tabla3[[#This Row],[INGRESOS]]-Tabla3[[#This Row],[EGRESOS]]</f>
        <v>-432</v>
      </c>
      <c r="H1446" s="137">
        <v>-20967342.57</v>
      </c>
      <c r="I1446" s="135">
        <v>1170</v>
      </c>
      <c r="J1446" s="136">
        <f>Tabla3[[#This Row],[EGRESOS]]/Tabla3[[#This Row],[TC]]</f>
        <v>0.36923076923076925</v>
      </c>
      <c r="K1446" s="136">
        <f>Tabla3[[#This Row],[INGRESOS]]/Tabla3[[#This Row],[TC]]</f>
        <v>0</v>
      </c>
      <c r="L1446" s="8" t="s">
        <v>376</v>
      </c>
      <c r="M1446" s="8" t="s">
        <v>377</v>
      </c>
      <c r="N1446" s="8" t="s">
        <v>20</v>
      </c>
      <c r="O1446" s="8" t="s">
        <v>184</v>
      </c>
      <c r="P1446" s="8" t="s">
        <v>195</v>
      </c>
      <c r="Q1446" s="8" t="s">
        <v>196</v>
      </c>
      <c r="R1446" s="8" t="s">
        <v>417</v>
      </c>
      <c r="S1446" s="8" t="s">
        <v>383</v>
      </c>
      <c r="T1446" s="8"/>
      <c r="U1446" s="8" t="s">
        <v>384</v>
      </c>
      <c r="V1446" s="8"/>
      <c r="W1446" s="8" t="s">
        <v>380</v>
      </c>
      <c r="X1446" s="8" t="s">
        <v>99</v>
      </c>
      <c r="Y1446" s="8" t="s">
        <v>23</v>
      </c>
    </row>
    <row r="1447" spans="1:25" hidden="1" x14ac:dyDescent="0.25">
      <c r="A1447" s="273" t="s">
        <v>314</v>
      </c>
      <c r="B1447" s="251">
        <v>45776</v>
      </c>
      <c r="C1447" s="252" t="s">
        <v>794</v>
      </c>
      <c r="D1447" s="252"/>
      <c r="E1447" s="253">
        <v>14400</v>
      </c>
      <c r="F1447" s="253">
        <v>0</v>
      </c>
      <c r="G1447" s="274">
        <f>Tabla3[[#This Row],[INGRESOS]]-Tabla3[[#This Row],[EGRESOS]]</f>
        <v>-14400</v>
      </c>
      <c r="H1447" s="137">
        <v>-20981742.57</v>
      </c>
      <c r="I1447" s="135">
        <v>1170</v>
      </c>
      <c r="J1447" s="136">
        <f>Tabla3[[#This Row],[EGRESOS]]/Tabla3[[#This Row],[TC]]</f>
        <v>12.307692307692308</v>
      </c>
      <c r="K1447" s="136">
        <f>Tabla3[[#This Row],[INGRESOS]]/Tabla3[[#This Row],[TC]]</f>
        <v>0</v>
      </c>
      <c r="L1447" s="8" t="s">
        <v>376</v>
      </c>
      <c r="M1447" s="8" t="s">
        <v>377</v>
      </c>
      <c r="N1447" s="8" t="s">
        <v>20</v>
      </c>
      <c r="O1447" s="8" t="s">
        <v>184</v>
      </c>
      <c r="P1447" s="8" t="s">
        <v>185</v>
      </c>
      <c r="Q1447" s="8" t="s">
        <v>186</v>
      </c>
      <c r="R1447" s="8" t="s">
        <v>227</v>
      </c>
      <c r="S1447" s="8"/>
      <c r="T1447" s="8"/>
      <c r="U1447" s="8" t="s">
        <v>384</v>
      </c>
      <c r="V1447" s="8"/>
      <c r="W1447" s="8" t="s">
        <v>380</v>
      </c>
      <c r="X1447" s="8" t="s">
        <v>99</v>
      </c>
      <c r="Y1447" s="8" t="s">
        <v>23</v>
      </c>
    </row>
    <row r="1448" spans="1:25" hidden="1" x14ac:dyDescent="0.25">
      <c r="A1448" s="273" t="s">
        <v>314</v>
      </c>
      <c r="B1448" s="251">
        <v>45776</v>
      </c>
      <c r="C1448" s="252" t="s">
        <v>760</v>
      </c>
      <c r="D1448" s="252"/>
      <c r="E1448" s="253">
        <v>5202.93</v>
      </c>
      <c r="F1448" s="253">
        <v>0</v>
      </c>
      <c r="G1448" s="274">
        <f>Tabla3[[#This Row],[INGRESOS]]-Tabla3[[#This Row],[EGRESOS]]</f>
        <v>-5202.93</v>
      </c>
      <c r="H1448" s="137">
        <v>-20986945.5</v>
      </c>
      <c r="I1448" s="135">
        <v>1170</v>
      </c>
      <c r="J1448" s="136">
        <f>Tabla3[[#This Row],[EGRESOS]]/Tabla3[[#This Row],[TC]]</f>
        <v>4.4469487179487182</v>
      </c>
      <c r="K1448" s="136">
        <f>Tabla3[[#This Row],[INGRESOS]]/Tabla3[[#This Row],[TC]]</f>
        <v>0</v>
      </c>
      <c r="L1448" s="8" t="s">
        <v>376</v>
      </c>
      <c r="M1448" s="8" t="s">
        <v>377</v>
      </c>
      <c r="N1448" s="8" t="s">
        <v>20</v>
      </c>
      <c r="O1448" s="8" t="s">
        <v>184</v>
      </c>
      <c r="P1448" s="8" t="s">
        <v>195</v>
      </c>
      <c r="Q1448" s="8" t="s">
        <v>196</v>
      </c>
      <c r="R1448" s="8" t="s">
        <v>394</v>
      </c>
      <c r="S1448" s="8" t="s">
        <v>383</v>
      </c>
      <c r="T1448" s="8"/>
      <c r="U1448" s="8" t="s">
        <v>384</v>
      </c>
      <c r="V1448" s="8"/>
      <c r="W1448" s="8" t="s">
        <v>380</v>
      </c>
      <c r="X1448" s="8" t="s">
        <v>99</v>
      </c>
      <c r="Y1448" s="8" t="s">
        <v>23</v>
      </c>
    </row>
    <row r="1449" spans="1:25" hidden="1" x14ac:dyDescent="0.25">
      <c r="A1449" s="273" t="s">
        <v>314</v>
      </c>
      <c r="B1449" s="251">
        <v>45776</v>
      </c>
      <c r="C1449" s="252" t="s">
        <v>760</v>
      </c>
      <c r="D1449" s="252"/>
      <c r="E1449" s="253">
        <v>4975.66</v>
      </c>
      <c r="F1449" s="253">
        <v>0</v>
      </c>
      <c r="G1449" s="274">
        <f>Tabla3[[#This Row],[INGRESOS]]-Tabla3[[#This Row],[EGRESOS]]</f>
        <v>-4975.66</v>
      </c>
      <c r="H1449" s="137">
        <v>-20991921.16</v>
      </c>
      <c r="I1449" s="135">
        <v>1170</v>
      </c>
      <c r="J1449" s="136">
        <f>Tabla3[[#This Row],[EGRESOS]]/Tabla3[[#This Row],[TC]]</f>
        <v>4.2527008547008549</v>
      </c>
      <c r="K1449" s="136">
        <f>Tabla3[[#This Row],[INGRESOS]]/Tabla3[[#This Row],[TC]]</f>
        <v>0</v>
      </c>
      <c r="L1449" s="8" t="s">
        <v>376</v>
      </c>
      <c r="M1449" s="8" t="s">
        <v>377</v>
      </c>
      <c r="N1449" s="8" t="s">
        <v>20</v>
      </c>
      <c r="O1449" s="8" t="s">
        <v>184</v>
      </c>
      <c r="P1449" s="8" t="s">
        <v>195</v>
      </c>
      <c r="Q1449" s="8" t="s">
        <v>196</v>
      </c>
      <c r="R1449" s="8" t="s">
        <v>394</v>
      </c>
      <c r="S1449" s="8" t="s">
        <v>383</v>
      </c>
      <c r="T1449" s="8"/>
      <c r="U1449" s="8" t="s">
        <v>384</v>
      </c>
      <c r="V1449" s="8"/>
      <c r="W1449" s="8" t="s">
        <v>380</v>
      </c>
      <c r="X1449" s="8" t="s">
        <v>99</v>
      </c>
      <c r="Y1449" s="8" t="s">
        <v>23</v>
      </c>
    </row>
    <row r="1450" spans="1:25" hidden="1" x14ac:dyDescent="0.25">
      <c r="A1450" s="273" t="s">
        <v>314</v>
      </c>
      <c r="B1450" s="251">
        <v>45776</v>
      </c>
      <c r="C1450" s="252" t="s">
        <v>795</v>
      </c>
      <c r="D1450" s="252"/>
      <c r="E1450" s="253">
        <v>57040</v>
      </c>
      <c r="F1450" s="253">
        <v>0</v>
      </c>
      <c r="G1450" s="274">
        <f>Tabla3[[#This Row],[INGRESOS]]-Tabla3[[#This Row],[EGRESOS]]</f>
        <v>-57040</v>
      </c>
      <c r="H1450" s="137">
        <v>-21048961.16</v>
      </c>
      <c r="I1450" s="135">
        <v>1170</v>
      </c>
      <c r="J1450" s="136">
        <f>Tabla3[[#This Row],[EGRESOS]]/Tabla3[[#This Row],[TC]]</f>
        <v>48.752136752136749</v>
      </c>
      <c r="K1450" s="136">
        <f>Tabla3[[#This Row],[INGRESOS]]/Tabla3[[#This Row],[TC]]</f>
        <v>0</v>
      </c>
      <c r="L1450" s="8" t="s">
        <v>376</v>
      </c>
      <c r="M1450" s="8" t="s">
        <v>377</v>
      </c>
      <c r="N1450" s="8" t="s">
        <v>20</v>
      </c>
      <c r="O1450" s="8" t="s">
        <v>244</v>
      </c>
      <c r="P1450" s="8" t="s">
        <v>259</v>
      </c>
      <c r="Q1450" s="8" t="s">
        <v>260</v>
      </c>
      <c r="R1450" s="8" t="s">
        <v>804</v>
      </c>
      <c r="S1450" s="8"/>
      <c r="T1450" s="8"/>
      <c r="U1450" s="8" t="s">
        <v>379</v>
      </c>
      <c r="V1450" s="8"/>
      <c r="W1450" s="8"/>
      <c r="X1450" s="8"/>
      <c r="Y1450" s="8"/>
    </row>
    <row r="1451" spans="1:25" hidden="1" x14ac:dyDescent="0.25">
      <c r="A1451" s="273" t="s">
        <v>314</v>
      </c>
      <c r="B1451" s="251">
        <v>45777</v>
      </c>
      <c r="C1451" s="252" t="s">
        <v>795</v>
      </c>
      <c r="D1451" s="252"/>
      <c r="E1451" s="253">
        <v>342.24</v>
      </c>
      <c r="F1451" s="253">
        <v>0</v>
      </c>
      <c r="G1451" s="274">
        <f>Tabla3[[#This Row],[INGRESOS]]-Tabla3[[#This Row],[EGRESOS]]</f>
        <v>-342.24</v>
      </c>
      <c r="H1451" s="137">
        <v>-21049303.399999999</v>
      </c>
      <c r="I1451" s="135">
        <v>1170</v>
      </c>
      <c r="J1451" s="136">
        <f>Tabla3[[#This Row],[EGRESOS]]/Tabla3[[#This Row],[TC]]</f>
        <v>0.29251282051282051</v>
      </c>
      <c r="K1451" s="136">
        <f>Tabla3[[#This Row],[INGRESOS]]/Tabla3[[#This Row],[TC]]</f>
        <v>0</v>
      </c>
      <c r="L1451" s="8" t="s">
        <v>376</v>
      </c>
      <c r="M1451" s="8" t="s">
        <v>377</v>
      </c>
      <c r="N1451" s="8" t="s">
        <v>20</v>
      </c>
      <c r="O1451" s="8" t="s">
        <v>244</v>
      </c>
      <c r="P1451" s="8" t="s">
        <v>259</v>
      </c>
      <c r="Q1451" s="8" t="s">
        <v>260</v>
      </c>
      <c r="R1451" s="8" t="s">
        <v>804</v>
      </c>
      <c r="S1451" s="8"/>
      <c r="T1451" s="8"/>
      <c r="U1451" s="8" t="s">
        <v>379</v>
      </c>
      <c r="V1451" s="8"/>
      <c r="W1451" s="8"/>
      <c r="X1451" s="8"/>
      <c r="Y1451" s="8"/>
    </row>
    <row r="1452" spans="1:25" hidden="1" x14ac:dyDescent="0.25">
      <c r="A1452" s="273" t="s">
        <v>315</v>
      </c>
      <c r="B1452" s="251">
        <v>45782</v>
      </c>
      <c r="C1452" s="252" t="s">
        <v>762</v>
      </c>
      <c r="D1452" s="252"/>
      <c r="E1452" s="253">
        <v>21915.91</v>
      </c>
      <c r="F1452" s="253">
        <v>0</v>
      </c>
      <c r="G1452" s="274">
        <f>Tabla3[[#This Row],[INGRESOS]]-Tabla3[[#This Row],[EGRESOS]]</f>
        <v>-21915.91</v>
      </c>
      <c r="H1452" s="137">
        <v>-21071219.309999999</v>
      </c>
      <c r="I1452" s="135">
        <v>1170</v>
      </c>
      <c r="J1452" s="136">
        <f>Tabla3[[#This Row],[EGRESOS]]/Tabla3[[#This Row],[TC]]</f>
        <v>18.731547008547007</v>
      </c>
      <c r="K1452" s="136">
        <f>Tabla3[[#This Row],[INGRESOS]]/Tabla3[[#This Row],[TC]]</f>
        <v>0</v>
      </c>
      <c r="L1452" s="8" t="s">
        <v>376</v>
      </c>
      <c r="M1452" s="8" t="s">
        <v>377</v>
      </c>
      <c r="N1452" s="8" t="s">
        <v>20</v>
      </c>
      <c r="O1452" s="8" t="s">
        <v>184</v>
      </c>
      <c r="P1452" s="8" t="s">
        <v>195</v>
      </c>
      <c r="Q1452" s="8" t="s">
        <v>196</v>
      </c>
      <c r="R1452" s="8" t="s">
        <v>382</v>
      </c>
      <c r="S1452" s="8" t="s">
        <v>383</v>
      </c>
      <c r="T1452" s="8"/>
      <c r="U1452" s="8" t="s">
        <v>384</v>
      </c>
      <c r="V1452" s="8"/>
      <c r="W1452" s="8" t="s">
        <v>380</v>
      </c>
      <c r="X1452" s="8" t="s">
        <v>99</v>
      </c>
      <c r="Y1452" s="8" t="s">
        <v>23</v>
      </c>
    </row>
    <row r="1453" spans="1:25" hidden="1" x14ac:dyDescent="0.25">
      <c r="A1453" s="273" t="s">
        <v>315</v>
      </c>
      <c r="B1453" s="251">
        <v>45782</v>
      </c>
      <c r="C1453" s="252" t="s">
        <v>763</v>
      </c>
      <c r="D1453" s="252"/>
      <c r="E1453" s="253">
        <v>3130.84</v>
      </c>
      <c r="F1453" s="253">
        <v>0</v>
      </c>
      <c r="G1453" s="274">
        <f>Tabla3[[#This Row],[INGRESOS]]-Tabla3[[#This Row],[EGRESOS]]</f>
        <v>-3130.84</v>
      </c>
      <c r="H1453" s="137">
        <v>-21074350.149999999</v>
      </c>
      <c r="I1453" s="135">
        <v>1170</v>
      </c>
      <c r="J1453" s="136">
        <f>Tabla3[[#This Row],[EGRESOS]]/Tabla3[[#This Row],[TC]]</f>
        <v>2.675931623931624</v>
      </c>
      <c r="K1453" s="136">
        <f>Tabla3[[#This Row],[INGRESOS]]/Tabla3[[#This Row],[TC]]</f>
        <v>0</v>
      </c>
      <c r="L1453" s="8" t="s">
        <v>376</v>
      </c>
      <c r="M1453" s="8" t="s">
        <v>377</v>
      </c>
      <c r="N1453" s="8" t="s">
        <v>20</v>
      </c>
      <c r="O1453" s="8" t="s">
        <v>184</v>
      </c>
      <c r="P1453" s="8" t="s">
        <v>195</v>
      </c>
      <c r="Q1453" s="8" t="s">
        <v>196</v>
      </c>
      <c r="R1453" s="8" t="s">
        <v>417</v>
      </c>
      <c r="S1453" s="8" t="s">
        <v>383</v>
      </c>
      <c r="T1453" s="8"/>
      <c r="U1453" s="8" t="s">
        <v>384</v>
      </c>
      <c r="V1453" s="8"/>
      <c r="W1453" s="8" t="s">
        <v>380</v>
      </c>
      <c r="X1453" s="8" t="s">
        <v>99</v>
      </c>
      <c r="Y1453" s="8" t="s">
        <v>23</v>
      </c>
    </row>
    <row r="1454" spans="1:25" hidden="1" x14ac:dyDescent="0.25">
      <c r="A1454" s="273" t="s">
        <v>315</v>
      </c>
      <c r="B1454" s="251">
        <v>45782</v>
      </c>
      <c r="C1454" s="252" t="s">
        <v>780</v>
      </c>
      <c r="D1454" s="252"/>
      <c r="E1454" s="253">
        <v>208722.91</v>
      </c>
      <c r="F1454" s="253">
        <v>0</v>
      </c>
      <c r="G1454" s="274">
        <f>Tabla3[[#This Row],[INGRESOS]]-Tabla3[[#This Row],[EGRESOS]]</f>
        <v>-208722.91</v>
      </c>
      <c r="H1454" s="137">
        <v>-21283073.059999999</v>
      </c>
      <c r="I1454" s="135">
        <v>1170</v>
      </c>
      <c r="J1454" s="136">
        <f>Tabla3[[#This Row],[EGRESOS]]/Tabla3[[#This Row],[TC]]</f>
        <v>178.39564957264957</v>
      </c>
      <c r="K1454" s="136">
        <f>Tabla3[[#This Row],[INGRESOS]]/Tabla3[[#This Row],[TC]]</f>
        <v>0</v>
      </c>
      <c r="L1454" s="8" t="s">
        <v>376</v>
      </c>
      <c r="M1454" s="8" t="s">
        <v>377</v>
      </c>
      <c r="N1454" s="8" t="s">
        <v>20</v>
      </c>
      <c r="O1454" s="8" t="s">
        <v>184</v>
      </c>
      <c r="P1454" s="8" t="s">
        <v>197</v>
      </c>
      <c r="Q1454" s="8" t="s">
        <v>198</v>
      </c>
      <c r="R1454" s="8" t="s">
        <v>419</v>
      </c>
      <c r="S1454" s="8"/>
      <c r="T1454" s="8"/>
      <c r="U1454" s="8" t="s">
        <v>384</v>
      </c>
      <c r="V1454" s="8"/>
      <c r="W1454" s="8" t="s">
        <v>380</v>
      </c>
      <c r="X1454" s="8" t="s">
        <v>99</v>
      </c>
      <c r="Y1454" s="8" t="s">
        <v>23</v>
      </c>
    </row>
    <row r="1455" spans="1:25" hidden="1" x14ac:dyDescent="0.25">
      <c r="A1455" s="273" t="s">
        <v>315</v>
      </c>
      <c r="B1455" s="251">
        <v>45782</v>
      </c>
      <c r="C1455" s="252" t="s">
        <v>762</v>
      </c>
      <c r="D1455" s="252"/>
      <c r="E1455" s="253">
        <v>59801.23</v>
      </c>
      <c r="F1455" s="253">
        <v>0</v>
      </c>
      <c r="G1455" s="274">
        <f>Tabla3[[#This Row],[INGRESOS]]-Tabla3[[#This Row],[EGRESOS]]</f>
        <v>-59801.23</v>
      </c>
      <c r="H1455" s="137">
        <v>-21342874.289999999</v>
      </c>
      <c r="I1455" s="135">
        <v>1170</v>
      </c>
      <c r="J1455" s="136">
        <f>Tabla3[[#This Row],[EGRESOS]]/Tabla3[[#This Row],[TC]]</f>
        <v>51.112162393162393</v>
      </c>
      <c r="K1455" s="136">
        <f>Tabla3[[#This Row],[INGRESOS]]/Tabla3[[#This Row],[TC]]</f>
        <v>0</v>
      </c>
      <c r="L1455" s="8" t="s">
        <v>376</v>
      </c>
      <c r="M1455" s="8" t="s">
        <v>377</v>
      </c>
      <c r="N1455" s="8" t="s">
        <v>20</v>
      </c>
      <c r="O1455" s="8" t="s">
        <v>184</v>
      </c>
      <c r="P1455" s="8" t="s">
        <v>195</v>
      </c>
      <c r="Q1455" s="8" t="s">
        <v>196</v>
      </c>
      <c r="R1455" s="8" t="s">
        <v>382</v>
      </c>
      <c r="S1455" s="8" t="s">
        <v>383</v>
      </c>
      <c r="T1455" s="8"/>
      <c r="U1455" s="8" t="s">
        <v>384</v>
      </c>
      <c r="V1455" s="8"/>
      <c r="W1455" s="8" t="s">
        <v>380</v>
      </c>
      <c r="X1455" s="8" t="s">
        <v>99</v>
      </c>
      <c r="Y1455" s="8" t="s">
        <v>23</v>
      </c>
    </row>
    <row r="1456" spans="1:25" hidden="1" x14ac:dyDescent="0.25">
      <c r="A1456" s="273" t="s">
        <v>315</v>
      </c>
      <c r="B1456" s="251">
        <v>45782</v>
      </c>
      <c r="C1456" s="252" t="s">
        <v>763</v>
      </c>
      <c r="D1456" s="252"/>
      <c r="E1456" s="253">
        <v>8543.0300000000007</v>
      </c>
      <c r="F1456" s="253">
        <v>0</v>
      </c>
      <c r="G1456" s="274">
        <f>Tabla3[[#This Row],[INGRESOS]]-Tabla3[[#This Row],[EGRESOS]]</f>
        <v>-8543.0300000000007</v>
      </c>
      <c r="H1456" s="137">
        <v>-21351417.32</v>
      </c>
      <c r="I1456" s="135">
        <v>1170</v>
      </c>
      <c r="J1456" s="136">
        <f>Tabla3[[#This Row],[EGRESOS]]/Tabla3[[#This Row],[TC]]</f>
        <v>7.3017350427350429</v>
      </c>
      <c r="K1456" s="136">
        <f>Tabla3[[#This Row],[INGRESOS]]/Tabla3[[#This Row],[TC]]</f>
        <v>0</v>
      </c>
      <c r="L1456" s="8" t="s">
        <v>376</v>
      </c>
      <c r="M1456" s="8" t="s">
        <v>377</v>
      </c>
      <c r="N1456" s="8" t="s">
        <v>20</v>
      </c>
      <c r="O1456" s="8" t="s">
        <v>184</v>
      </c>
      <c r="P1456" s="8" t="s">
        <v>195</v>
      </c>
      <c r="Q1456" s="8" t="s">
        <v>196</v>
      </c>
      <c r="R1456" s="8" t="s">
        <v>417</v>
      </c>
      <c r="S1456" s="8" t="s">
        <v>383</v>
      </c>
      <c r="T1456" s="8"/>
      <c r="U1456" s="8" t="s">
        <v>384</v>
      </c>
      <c r="V1456" s="8"/>
      <c r="W1456" s="8" t="s">
        <v>380</v>
      </c>
      <c r="X1456" s="8" t="s">
        <v>99</v>
      </c>
      <c r="Y1456" s="8" t="s">
        <v>23</v>
      </c>
    </row>
    <row r="1457" spans="1:25" hidden="1" x14ac:dyDescent="0.25">
      <c r="A1457" s="273" t="s">
        <v>315</v>
      </c>
      <c r="B1457" s="251">
        <v>45782</v>
      </c>
      <c r="C1457" s="252" t="s">
        <v>780</v>
      </c>
      <c r="D1457" s="252"/>
      <c r="E1457" s="253">
        <v>569535.56000000006</v>
      </c>
      <c r="F1457" s="253">
        <v>0</v>
      </c>
      <c r="G1457" s="274">
        <f>Tabla3[[#This Row],[INGRESOS]]-Tabla3[[#This Row],[EGRESOS]]</f>
        <v>-569535.56000000006</v>
      </c>
      <c r="H1457" s="137">
        <v>-21920952.879999999</v>
      </c>
      <c r="I1457" s="135">
        <v>1170</v>
      </c>
      <c r="J1457" s="136">
        <f>Tabla3[[#This Row],[EGRESOS]]/Tabla3[[#This Row],[TC]]</f>
        <v>486.78252991452996</v>
      </c>
      <c r="K1457" s="136">
        <f>Tabla3[[#This Row],[INGRESOS]]/Tabla3[[#This Row],[TC]]</f>
        <v>0</v>
      </c>
      <c r="L1457" s="8" t="s">
        <v>376</v>
      </c>
      <c r="M1457" s="8" t="s">
        <v>377</v>
      </c>
      <c r="N1457" s="8" t="s">
        <v>20</v>
      </c>
      <c r="O1457" s="8" t="s">
        <v>184</v>
      </c>
      <c r="P1457" s="8" t="s">
        <v>197</v>
      </c>
      <c r="Q1457" s="8" t="s">
        <v>198</v>
      </c>
      <c r="R1457" s="8" t="s">
        <v>419</v>
      </c>
      <c r="S1457" s="8"/>
      <c r="T1457" s="8"/>
      <c r="U1457" s="8" t="s">
        <v>384</v>
      </c>
      <c r="V1457" s="8"/>
      <c r="W1457" s="8" t="s">
        <v>380</v>
      </c>
      <c r="X1457" s="8" t="s">
        <v>99</v>
      </c>
      <c r="Y1457" s="8" t="s">
        <v>23</v>
      </c>
    </row>
    <row r="1458" spans="1:25" hidden="1" x14ac:dyDescent="0.25">
      <c r="A1458" s="273" t="s">
        <v>315</v>
      </c>
      <c r="B1458" s="251">
        <v>45782</v>
      </c>
      <c r="C1458" s="252" t="s">
        <v>762</v>
      </c>
      <c r="D1458" s="252"/>
      <c r="E1458" s="253">
        <v>4513.58</v>
      </c>
      <c r="F1458" s="253">
        <v>0</v>
      </c>
      <c r="G1458" s="274">
        <f>Tabla3[[#This Row],[INGRESOS]]-Tabla3[[#This Row],[EGRESOS]]</f>
        <v>-4513.58</v>
      </c>
      <c r="H1458" s="137">
        <v>-21925466.460000001</v>
      </c>
      <c r="I1458" s="135">
        <v>1170</v>
      </c>
      <c r="J1458" s="136">
        <f>Tabla3[[#This Row],[EGRESOS]]/Tabla3[[#This Row],[TC]]</f>
        <v>3.8577606837606835</v>
      </c>
      <c r="K1458" s="136">
        <f>Tabla3[[#This Row],[INGRESOS]]/Tabla3[[#This Row],[TC]]</f>
        <v>0</v>
      </c>
      <c r="L1458" s="8" t="s">
        <v>376</v>
      </c>
      <c r="M1458" s="8" t="s">
        <v>377</v>
      </c>
      <c r="N1458" s="8" t="s">
        <v>20</v>
      </c>
      <c r="O1458" s="8" t="s">
        <v>184</v>
      </c>
      <c r="P1458" s="8" t="s">
        <v>195</v>
      </c>
      <c r="Q1458" s="8" t="s">
        <v>196</v>
      </c>
      <c r="R1458" s="8" t="s">
        <v>382</v>
      </c>
      <c r="S1458" s="8" t="s">
        <v>383</v>
      </c>
      <c r="T1458" s="8"/>
      <c r="U1458" s="8" t="s">
        <v>384</v>
      </c>
      <c r="V1458" s="8"/>
      <c r="W1458" s="8" t="s">
        <v>380</v>
      </c>
      <c r="X1458" s="8" t="s">
        <v>99</v>
      </c>
      <c r="Y1458" s="8" t="s">
        <v>23</v>
      </c>
    </row>
    <row r="1459" spans="1:25" hidden="1" x14ac:dyDescent="0.25">
      <c r="A1459" s="273" t="s">
        <v>315</v>
      </c>
      <c r="B1459" s="251">
        <v>45782</v>
      </c>
      <c r="C1459" s="252" t="s">
        <v>763</v>
      </c>
      <c r="D1459" s="252"/>
      <c r="E1459" s="253">
        <v>644.79999999999995</v>
      </c>
      <c r="F1459" s="253">
        <v>0</v>
      </c>
      <c r="G1459" s="274">
        <f>Tabla3[[#This Row],[INGRESOS]]-Tabla3[[#This Row],[EGRESOS]]</f>
        <v>-644.79999999999995</v>
      </c>
      <c r="H1459" s="137">
        <v>-21926111.260000002</v>
      </c>
      <c r="I1459" s="135">
        <v>1170</v>
      </c>
      <c r="J1459" s="136">
        <f>Tabla3[[#This Row],[EGRESOS]]/Tabla3[[#This Row],[TC]]</f>
        <v>0.55111111111111111</v>
      </c>
      <c r="K1459" s="136">
        <f>Tabla3[[#This Row],[INGRESOS]]/Tabla3[[#This Row],[TC]]</f>
        <v>0</v>
      </c>
      <c r="L1459" s="8" t="s">
        <v>376</v>
      </c>
      <c r="M1459" s="8" t="s">
        <v>377</v>
      </c>
      <c r="N1459" s="8" t="s">
        <v>20</v>
      </c>
      <c r="O1459" s="8" t="s">
        <v>184</v>
      </c>
      <c r="P1459" s="8" t="s">
        <v>195</v>
      </c>
      <c r="Q1459" s="8" t="s">
        <v>196</v>
      </c>
      <c r="R1459" s="8" t="s">
        <v>417</v>
      </c>
      <c r="S1459" s="8" t="s">
        <v>383</v>
      </c>
      <c r="T1459" s="8"/>
      <c r="U1459" s="8" t="s">
        <v>384</v>
      </c>
      <c r="V1459" s="8"/>
      <c r="W1459" s="8" t="s">
        <v>380</v>
      </c>
      <c r="X1459" s="8" t="s">
        <v>99</v>
      </c>
      <c r="Y1459" s="8" t="s">
        <v>23</v>
      </c>
    </row>
    <row r="1460" spans="1:25" hidden="1" x14ac:dyDescent="0.25">
      <c r="A1460" s="273" t="s">
        <v>315</v>
      </c>
      <c r="B1460" s="251">
        <v>45782</v>
      </c>
      <c r="C1460" s="252" t="s">
        <v>781</v>
      </c>
      <c r="D1460" s="252"/>
      <c r="E1460" s="253">
        <v>42986.44</v>
      </c>
      <c r="F1460" s="253">
        <v>0</v>
      </c>
      <c r="G1460" s="274">
        <f>Tabla3[[#This Row],[INGRESOS]]-Tabla3[[#This Row],[EGRESOS]]</f>
        <v>-42986.44</v>
      </c>
      <c r="H1460" s="137">
        <v>-21969097.699999999</v>
      </c>
      <c r="I1460" s="135">
        <v>1170</v>
      </c>
      <c r="J1460" s="136">
        <f>Tabla3[[#This Row],[EGRESOS]]/Tabla3[[#This Row],[TC]]</f>
        <v>36.740547008547011</v>
      </c>
      <c r="K1460" s="136">
        <f>Tabla3[[#This Row],[INGRESOS]]/Tabla3[[#This Row],[TC]]</f>
        <v>0</v>
      </c>
      <c r="L1460" s="8" t="s">
        <v>376</v>
      </c>
      <c r="M1460" s="8" t="s">
        <v>377</v>
      </c>
      <c r="N1460" s="8" t="s">
        <v>20</v>
      </c>
      <c r="O1460" s="8" t="s">
        <v>184</v>
      </c>
      <c r="P1460" s="8" t="s">
        <v>197</v>
      </c>
      <c r="Q1460" s="8" t="s">
        <v>198</v>
      </c>
      <c r="R1460" s="8" t="s">
        <v>419</v>
      </c>
      <c r="S1460" s="8"/>
      <c r="T1460" s="8"/>
      <c r="U1460" s="8" t="s">
        <v>384</v>
      </c>
      <c r="V1460" s="8"/>
      <c r="W1460" s="8" t="s">
        <v>380</v>
      </c>
      <c r="X1460" s="8" t="s">
        <v>99</v>
      </c>
      <c r="Y1460" s="8" t="s">
        <v>23</v>
      </c>
    </row>
    <row r="1461" spans="1:25" hidden="1" x14ac:dyDescent="0.25">
      <c r="A1461" s="273" t="s">
        <v>315</v>
      </c>
      <c r="B1461" s="251">
        <v>45782</v>
      </c>
      <c r="C1461" s="252" t="s">
        <v>782</v>
      </c>
      <c r="D1461" s="252" t="s">
        <v>925</v>
      </c>
      <c r="E1461" s="253">
        <v>1500000</v>
      </c>
      <c r="F1461" s="253">
        <v>0</v>
      </c>
      <c r="G1461" s="274">
        <f>Tabla3[[#This Row],[INGRESOS]]-Tabla3[[#This Row],[EGRESOS]]</f>
        <v>-1500000</v>
      </c>
      <c r="H1461" s="137">
        <v>-23469097.699999999</v>
      </c>
      <c r="I1461" s="135">
        <v>1170</v>
      </c>
      <c r="J1461" s="136">
        <f>Tabla3[[#This Row],[EGRESOS]]/Tabla3[[#This Row],[TC]]</f>
        <v>1282.051282051282</v>
      </c>
      <c r="K1461" s="136">
        <f>Tabla3[[#This Row],[INGRESOS]]/Tabla3[[#This Row],[TC]]</f>
        <v>0</v>
      </c>
      <c r="L1461" s="8" t="s">
        <v>376</v>
      </c>
      <c r="M1461" s="8" t="s">
        <v>377</v>
      </c>
      <c r="N1461" s="8" t="s">
        <v>20</v>
      </c>
      <c r="O1461" s="8" t="s">
        <v>286</v>
      </c>
      <c r="P1461" s="8" t="s">
        <v>287</v>
      </c>
      <c r="Q1461" s="8" t="s">
        <v>288</v>
      </c>
      <c r="R1461" s="8" t="s">
        <v>143</v>
      </c>
      <c r="S1461" s="8" t="s">
        <v>665</v>
      </c>
      <c r="T1461" s="8"/>
      <c r="U1461" s="8" t="s">
        <v>412</v>
      </c>
      <c r="V1461" s="8"/>
      <c r="W1461" s="8" t="s">
        <v>380</v>
      </c>
      <c r="X1461" s="8" t="s">
        <v>29</v>
      </c>
      <c r="Y1461" s="8" t="s">
        <v>23</v>
      </c>
    </row>
    <row r="1462" spans="1:25" hidden="1" x14ac:dyDescent="0.25">
      <c r="A1462" s="273" t="s">
        <v>315</v>
      </c>
      <c r="B1462" s="251">
        <v>45782</v>
      </c>
      <c r="C1462" s="252" t="s">
        <v>762</v>
      </c>
      <c r="D1462" s="252"/>
      <c r="E1462" s="253">
        <v>3024</v>
      </c>
      <c r="F1462" s="253">
        <v>0</v>
      </c>
      <c r="G1462" s="274">
        <f>Tabla3[[#This Row],[INGRESOS]]-Tabla3[[#This Row],[EGRESOS]]</f>
        <v>-3024</v>
      </c>
      <c r="H1462" s="137">
        <v>-23472121.699999999</v>
      </c>
      <c r="I1462" s="135">
        <v>1170</v>
      </c>
      <c r="J1462" s="136">
        <f>Tabla3[[#This Row],[EGRESOS]]/Tabla3[[#This Row],[TC]]</f>
        <v>2.5846153846153848</v>
      </c>
      <c r="K1462" s="136">
        <f>Tabla3[[#This Row],[INGRESOS]]/Tabla3[[#This Row],[TC]]</f>
        <v>0</v>
      </c>
      <c r="L1462" s="8" t="s">
        <v>376</v>
      </c>
      <c r="M1462" s="8" t="s">
        <v>377</v>
      </c>
      <c r="N1462" s="8" t="s">
        <v>20</v>
      </c>
      <c r="O1462" s="8" t="s">
        <v>184</v>
      </c>
      <c r="P1462" s="8" t="s">
        <v>195</v>
      </c>
      <c r="Q1462" s="8" t="s">
        <v>196</v>
      </c>
      <c r="R1462" s="8" t="s">
        <v>382</v>
      </c>
      <c r="S1462" s="8" t="s">
        <v>383</v>
      </c>
      <c r="T1462" s="8"/>
      <c r="U1462" s="8" t="s">
        <v>384</v>
      </c>
      <c r="V1462" s="8"/>
      <c r="W1462" s="8" t="s">
        <v>380</v>
      </c>
      <c r="X1462" s="8" t="s">
        <v>99</v>
      </c>
      <c r="Y1462" s="8" t="s">
        <v>23</v>
      </c>
    </row>
    <row r="1463" spans="1:25" hidden="1" x14ac:dyDescent="0.25">
      <c r="A1463" s="273" t="s">
        <v>315</v>
      </c>
      <c r="B1463" s="251">
        <v>45782</v>
      </c>
      <c r="C1463" s="252" t="s">
        <v>763</v>
      </c>
      <c r="D1463" s="252"/>
      <c r="E1463" s="253">
        <v>432</v>
      </c>
      <c r="F1463" s="253">
        <v>0</v>
      </c>
      <c r="G1463" s="274">
        <f>Tabla3[[#This Row],[INGRESOS]]-Tabla3[[#This Row],[EGRESOS]]</f>
        <v>-432</v>
      </c>
      <c r="H1463" s="137">
        <v>-23472553.699999999</v>
      </c>
      <c r="I1463" s="135">
        <v>1170</v>
      </c>
      <c r="J1463" s="136">
        <f>Tabla3[[#This Row],[EGRESOS]]/Tabla3[[#This Row],[TC]]</f>
        <v>0.36923076923076925</v>
      </c>
      <c r="K1463" s="136">
        <f>Tabla3[[#This Row],[INGRESOS]]/Tabla3[[#This Row],[TC]]</f>
        <v>0</v>
      </c>
      <c r="L1463" s="8" t="s">
        <v>376</v>
      </c>
      <c r="M1463" s="8" t="s">
        <v>377</v>
      </c>
      <c r="N1463" s="8" t="s">
        <v>20</v>
      </c>
      <c r="O1463" s="8" t="s">
        <v>184</v>
      </c>
      <c r="P1463" s="8" t="s">
        <v>195</v>
      </c>
      <c r="Q1463" s="8" t="s">
        <v>196</v>
      </c>
      <c r="R1463" s="8" t="s">
        <v>417</v>
      </c>
      <c r="S1463" s="8" t="s">
        <v>383</v>
      </c>
      <c r="T1463" s="8"/>
      <c r="U1463" s="8" t="s">
        <v>384</v>
      </c>
      <c r="V1463" s="8"/>
      <c r="W1463" s="8" t="s">
        <v>380</v>
      </c>
      <c r="X1463" s="8" t="s">
        <v>99</v>
      </c>
      <c r="Y1463" s="8" t="s">
        <v>23</v>
      </c>
    </row>
    <row r="1464" spans="1:25" hidden="1" x14ac:dyDescent="0.25">
      <c r="A1464" s="273" t="s">
        <v>315</v>
      </c>
      <c r="B1464" s="251">
        <v>45782</v>
      </c>
      <c r="C1464" s="252" t="s">
        <v>794</v>
      </c>
      <c r="D1464" s="252"/>
      <c r="E1464" s="253">
        <v>14400</v>
      </c>
      <c r="F1464" s="253">
        <v>0</v>
      </c>
      <c r="G1464" s="274">
        <f>Tabla3[[#This Row],[INGRESOS]]-Tabla3[[#This Row],[EGRESOS]]</f>
        <v>-14400</v>
      </c>
      <c r="H1464" s="137">
        <v>-23486953.699999999</v>
      </c>
      <c r="I1464" s="135">
        <v>1170</v>
      </c>
      <c r="J1464" s="136">
        <f>Tabla3[[#This Row],[EGRESOS]]/Tabla3[[#This Row],[TC]]</f>
        <v>12.307692307692308</v>
      </c>
      <c r="K1464" s="136">
        <f>Tabla3[[#This Row],[INGRESOS]]/Tabla3[[#This Row],[TC]]</f>
        <v>0</v>
      </c>
      <c r="L1464" s="8" t="s">
        <v>376</v>
      </c>
      <c r="M1464" s="8" t="s">
        <v>377</v>
      </c>
      <c r="N1464" s="8" t="s">
        <v>20</v>
      </c>
      <c r="O1464" s="8" t="s">
        <v>184</v>
      </c>
      <c r="P1464" s="8" t="s">
        <v>185</v>
      </c>
      <c r="Q1464" s="8" t="s">
        <v>186</v>
      </c>
      <c r="R1464" s="8" t="s">
        <v>227</v>
      </c>
      <c r="S1464" s="8"/>
      <c r="T1464" s="8"/>
      <c r="U1464" s="8" t="s">
        <v>384</v>
      </c>
      <c r="V1464" s="8"/>
      <c r="W1464" s="8" t="s">
        <v>380</v>
      </c>
      <c r="X1464" s="8" t="s">
        <v>99</v>
      </c>
      <c r="Y1464" s="8" t="s">
        <v>23</v>
      </c>
    </row>
    <row r="1465" spans="1:25" hidden="1" x14ac:dyDescent="0.25">
      <c r="A1465" s="273" t="s">
        <v>315</v>
      </c>
      <c r="B1465" s="251">
        <v>45782</v>
      </c>
      <c r="C1465" s="252" t="s">
        <v>845</v>
      </c>
      <c r="D1465" s="252"/>
      <c r="E1465" s="253">
        <v>5914.07</v>
      </c>
      <c r="F1465" s="253">
        <v>0</v>
      </c>
      <c r="G1465" s="274">
        <f>Tabla3[[#This Row],[INGRESOS]]-Tabla3[[#This Row],[EGRESOS]]</f>
        <v>-5914.07</v>
      </c>
      <c r="H1465" s="137">
        <v>-23492867.77</v>
      </c>
      <c r="I1465" s="135">
        <v>1170</v>
      </c>
      <c r="J1465" s="136">
        <f>Tabla3[[#This Row],[EGRESOS]]/Tabla3[[#This Row],[TC]]</f>
        <v>5.0547606837606835</v>
      </c>
      <c r="K1465" s="136">
        <f>Tabla3[[#This Row],[INGRESOS]]/Tabla3[[#This Row],[TC]]</f>
        <v>0</v>
      </c>
      <c r="L1465" s="8" t="s">
        <v>376</v>
      </c>
      <c r="M1465" s="8" t="s">
        <v>377</v>
      </c>
      <c r="N1465" s="8" t="s">
        <v>20</v>
      </c>
      <c r="O1465" s="8" t="s">
        <v>184</v>
      </c>
      <c r="P1465" s="8" t="s">
        <v>195</v>
      </c>
      <c r="Q1465" s="8" t="s">
        <v>196</v>
      </c>
      <c r="R1465" s="8" t="s">
        <v>423</v>
      </c>
      <c r="S1465" s="8" t="s">
        <v>69</v>
      </c>
      <c r="T1465" s="8"/>
      <c r="U1465" s="8" t="s">
        <v>384</v>
      </c>
      <c r="V1465" s="8"/>
      <c r="W1465" s="8" t="s">
        <v>380</v>
      </c>
      <c r="X1465" s="8" t="s">
        <v>99</v>
      </c>
      <c r="Y1465" s="8" t="s">
        <v>23</v>
      </c>
    </row>
    <row r="1466" spans="1:25" hidden="1" x14ac:dyDescent="0.25">
      <c r="A1466" s="273" t="s">
        <v>315</v>
      </c>
      <c r="B1466" s="251">
        <v>45782</v>
      </c>
      <c r="C1466" s="252" t="s">
        <v>845</v>
      </c>
      <c r="D1466" s="252"/>
      <c r="E1466" s="253">
        <v>876.39</v>
      </c>
      <c r="F1466" s="253">
        <v>0</v>
      </c>
      <c r="G1466" s="274">
        <f>Tabla3[[#This Row],[INGRESOS]]-Tabla3[[#This Row],[EGRESOS]]</f>
        <v>-876.39</v>
      </c>
      <c r="H1466" s="137">
        <v>-23493744.16</v>
      </c>
      <c r="I1466" s="135">
        <v>1170</v>
      </c>
      <c r="J1466" s="136">
        <f>Tabla3[[#This Row],[EGRESOS]]/Tabla3[[#This Row],[TC]]</f>
        <v>0.74905128205128202</v>
      </c>
      <c r="K1466" s="136">
        <f>Tabla3[[#This Row],[INGRESOS]]/Tabla3[[#This Row],[TC]]</f>
        <v>0</v>
      </c>
      <c r="L1466" s="8" t="s">
        <v>376</v>
      </c>
      <c r="M1466" s="8" t="s">
        <v>377</v>
      </c>
      <c r="N1466" s="8" t="s">
        <v>20</v>
      </c>
      <c r="O1466" s="8" t="s">
        <v>184</v>
      </c>
      <c r="P1466" s="8" t="s">
        <v>195</v>
      </c>
      <c r="Q1466" s="8" t="s">
        <v>196</v>
      </c>
      <c r="R1466" s="8" t="s">
        <v>423</v>
      </c>
      <c r="S1466" s="8" t="s">
        <v>69</v>
      </c>
      <c r="T1466" s="8"/>
      <c r="U1466" s="8" t="s">
        <v>384</v>
      </c>
      <c r="V1466" s="8"/>
      <c r="W1466" s="8" t="s">
        <v>380</v>
      </c>
      <c r="X1466" s="8" t="s">
        <v>99</v>
      </c>
      <c r="Y1466" s="8" t="s">
        <v>23</v>
      </c>
    </row>
    <row r="1467" spans="1:25" hidden="1" x14ac:dyDescent="0.25">
      <c r="A1467" s="273" t="s">
        <v>315</v>
      </c>
      <c r="B1467" s="251">
        <v>45782</v>
      </c>
      <c r="C1467" s="252" t="s">
        <v>845</v>
      </c>
      <c r="D1467" s="252"/>
      <c r="E1467" s="253">
        <v>14999.88</v>
      </c>
      <c r="F1467" s="253">
        <v>0</v>
      </c>
      <c r="G1467" s="274">
        <f>Tabla3[[#This Row],[INGRESOS]]-Tabla3[[#This Row],[EGRESOS]]</f>
        <v>-14999.88</v>
      </c>
      <c r="H1467" s="137">
        <v>-23508744.039999999</v>
      </c>
      <c r="I1467" s="135">
        <v>1170</v>
      </c>
      <c r="J1467" s="136">
        <f>Tabla3[[#This Row],[EGRESOS]]/Tabla3[[#This Row],[TC]]</f>
        <v>12.820410256410256</v>
      </c>
      <c r="K1467" s="136">
        <f>Tabla3[[#This Row],[INGRESOS]]/Tabla3[[#This Row],[TC]]</f>
        <v>0</v>
      </c>
      <c r="L1467" s="8" t="s">
        <v>376</v>
      </c>
      <c r="M1467" s="8" t="s">
        <v>377</v>
      </c>
      <c r="N1467" s="8" t="s">
        <v>20</v>
      </c>
      <c r="O1467" s="8" t="s">
        <v>184</v>
      </c>
      <c r="P1467" s="8" t="s">
        <v>195</v>
      </c>
      <c r="Q1467" s="8" t="s">
        <v>196</v>
      </c>
      <c r="R1467" s="8" t="s">
        <v>423</v>
      </c>
      <c r="S1467" s="8" t="s">
        <v>69</v>
      </c>
      <c r="T1467" s="8"/>
      <c r="U1467" s="8" t="s">
        <v>384</v>
      </c>
      <c r="V1467" s="8"/>
      <c r="W1467" s="8" t="s">
        <v>380</v>
      </c>
      <c r="X1467" s="8" t="s">
        <v>99</v>
      </c>
      <c r="Y1467" s="8" t="s">
        <v>23</v>
      </c>
    </row>
    <row r="1468" spans="1:25" hidden="1" x14ac:dyDescent="0.25">
      <c r="A1468" s="273" t="s">
        <v>315</v>
      </c>
      <c r="B1468" s="251">
        <v>45782</v>
      </c>
      <c r="C1468" s="252" t="s">
        <v>760</v>
      </c>
      <c r="D1468" s="252"/>
      <c r="E1468" s="253">
        <v>14756.65</v>
      </c>
      <c r="F1468" s="253">
        <v>0</v>
      </c>
      <c r="G1468" s="274">
        <f>Tabla3[[#This Row],[INGRESOS]]-Tabla3[[#This Row],[EGRESOS]]</f>
        <v>-14756.65</v>
      </c>
      <c r="H1468" s="137">
        <v>-23523500.690000001</v>
      </c>
      <c r="I1468" s="135">
        <v>1170</v>
      </c>
      <c r="J1468" s="136">
        <f>Tabla3[[#This Row],[EGRESOS]]/Tabla3[[#This Row],[TC]]</f>
        <v>12.612521367521367</v>
      </c>
      <c r="K1468" s="136">
        <f>Tabla3[[#This Row],[INGRESOS]]/Tabla3[[#This Row],[TC]]</f>
        <v>0</v>
      </c>
      <c r="L1468" s="8" t="s">
        <v>376</v>
      </c>
      <c r="M1468" s="8" t="s">
        <v>377</v>
      </c>
      <c r="N1468" s="8" t="s">
        <v>20</v>
      </c>
      <c r="O1468" s="8" t="s">
        <v>184</v>
      </c>
      <c r="P1468" s="8" t="s">
        <v>195</v>
      </c>
      <c r="Q1468" s="8" t="s">
        <v>196</v>
      </c>
      <c r="R1468" s="8" t="s">
        <v>394</v>
      </c>
      <c r="S1468" s="8" t="s">
        <v>383</v>
      </c>
      <c r="T1468" s="8"/>
      <c r="U1468" s="8" t="s">
        <v>384</v>
      </c>
      <c r="V1468" s="8"/>
      <c r="W1468" s="8" t="s">
        <v>380</v>
      </c>
      <c r="X1468" s="8" t="s">
        <v>99</v>
      </c>
      <c r="Y1468" s="8" t="s">
        <v>23</v>
      </c>
    </row>
    <row r="1469" spans="1:25" hidden="1" x14ac:dyDescent="0.25">
      <c r="A1469" s="273" t="s">
        <v>315</v>
      </c>
      <c r="B1469" s="251">
        <v>45783</v>
      </c>
      <c r="C1469" s="252" t="s">
        <v>782</v>
      </c>
      <c r="D1469" s="252" t="s">
        <v>926</v>
      </c>
      <c r="E1469" s="253">
        <v>497090</v>
      </c>
      <c r="F1469" s="253">
        <v>0</v>
      </c>
      <c r="G1469" s="274">
        <f>Tabla3[[#This Row],[INGRESOS]]-Tabla3[[#This Row],[EGRESOS]]</f>
        <v>-497090</v>
      </c>
      <c r="H1469" s="137">
        <v>-24020590.690000001</v>
      </c>
      <c r="I1469" s="135">
        <v>1170</v>
      </c>
      <c r="J1469" s="136">
        <f>Tabla3[[#This Row],[EGRESOS]]/Tabla3[[#This Row],[TC]]</f>
        <v>424.86324786324786</v>
      </c>
      <c r="K1469" s="136">
        <f>Tabla3[[#This Row],[INGRESOS]]/Tabla3[[#This Row],[TC]]</f>
        <v>0</v>
      </c>
      <c r="L1469" s="8" t="s">
        <v>376</v>
      </c>
      <c r="M1469" s="8" t="s">
        <v>377</v>
      </c>
      <c r="N1469" s="8" t="s">
        <v>20</v>
      </c>
      <c r="O1469" s="8" t="s">
        <v>286</v>
      </c>
      <c r="P1469" s="8" t="s">
        <v>287</v>
      </c>
      <c r="Q1469" s="8" t="s">
        <v>217</v>
      </c>
      <c r="R1469" s="8" t="s">
        <v>188</v>
      </c>
      <c r="S1469" s="8" t="s">
        <v>656</v>
      </c>
      <c r="T1469" s="8" t="s">
        <v>927</v>
      </c>
      <c r="U1469" s="8" t="s">
        <v>412</v>
      </c>
      <c r="V1469" s="8"/>
      <c r="W1469" s="8" t="s">
        <v>380</v>
      </c>
      <c r="X1469" s="8" t="s">
        <v>29</v>
      </c>
      <c r="Y1469" s="8" t="s">
        <v>23</v>
      </c>
    </row>
    <row r="1470" spans="1:25" hidden="1" x14ac:dyDescent="0.25">
      <c r="A1470" s="273" t="s">
        <v>315</v>
      </c>
      <c r="B1470" s="251">
        <v>45783</v>
      </c>
      <c r="C1470" s="252" t="s">
        <v>928</v>
      </c>
      <c r="D1470" s="252"/>
      <c r="E1470" s="253">
        <v>0</v>
      </c>
      <c r="F1470" s="253">
        <v>10000000</v>
      </c>
      <c r="G1470" s="274">
        <f>Tabla3[[#This Row],[INGRESOS]]-Tabla3[[#This Row],[EGRESOS]]</f>
        <v>10000000</v>
      </c>
      <c r="H1470" s="137">
        <v>-14020590.689999999</v>
      </c>
      <c r="I1470" s="135">
        <v>1170</v>
      </c>
      <c r="J1470" s="136">
        <f>Tabla3[[#This Row],[EGRESOS]]/Tabla3[[#This Row],[TC]]</f>
        <v>0</v>
      </c>
      <c r="K1470" s="136">
        <f>Tabla3[[#This Row],[INGRESOS]]/Tabla3[[#This Row],[TC]]</f>
        <v>8547.0085470085469</v>
      </c>
      <c r="L1470" s="8" t="s">
        <v>376</v>
      </c>
      <c r="M1470" s="8" t="s">
        <v>377</v>
      </c>
      <c r="N1470" s="8" t="s">
        <v>20</v>
      </c>
      <c r="O1470" s="8" t="s">
        <v>215</v>
      </c>
      <c r="P1470" s="8" t="s">
        <v>216</v>
      </c>
      <c r="Q1470" s="8" t="s">
        <v>220</v>
      </c>
      <c r="R1470" s="8" t="s">
        <v>929</v>
      </c>
      <c r="S1470" s="8" t="s">
        <v>706</v>
      </c>
      <c r="T1470" s="8"/>
      <c r="U1470" s="8" t="s">
        <v>516</v>
      </c>
      <c r="V1470" s="8"/>
      <c r="W1470" s="8" t="s">
        <v>380</v>
      </c>
      <c r="X1470" s="8" t="s">
        <v>23</v>
      </c>
      <c r="Y1470" s="8" t="s">
        <v>97</v>
      </c>
    </row>
    <row r="1471" spans="1:25" hidden="1" x14ac:dyDescent="0.25">
      <c r="A1471" s="273" t="s">
        <v>315</v>
      </c>
      <c r="B1471" s="251">
        <v>45783</v>
      </c>
      <c r="C1471" s="252" t="s">
        <v>762</v>
      </c>
      <c r="D1471" s="252"/>
      <c r="E1471" s="253">
        <v>3024</v>
      </c>
      <c r="F1471" s="253">
        <v>0</v>
      </c>
      <c r="G1471" s="274">
        <f>Tabla3[[#This Row],[INGRESOS]]-Tabla3[[#This Row],[EGRESOS]]</f>
        <v>-3024</v>
      </c>
      <c r="H1471" s="137">
        <v>-14023614.689999999</v>
      </c>
      <c r="I1471" s="135">
        <v>1170</v>
      </c>
      <c r="J1471" s="136">
        <f>Tabla3[[#This Row],[EGRESOS]]/Tabla3[[#This Row],[TC]]</f>
        <v>2.5846153846153848</v>
      </c>
      <c r="K1471" s="136">
        <f>Tabla3[[#This Row],[INGRESOS]]/Tabla3[[#This Row],[TC]]</f>
        <v>0</v>
      </c>
      <c r="L1471" s="8" t="s">
        <v>376</v>
      </c>
      <c r="M1471" s="8" t="s">
        <v>377</v>
      </c>
      <c r="N1471" s="8" t="s">
        <v>20</v>
      </c>
      <c r="O1471" s="8" t="s">
        <v>184</v>
      </c>
      <c r="P1471" s="8" t="s">
        <v>195</v>
      </c>
      <c r="Q1471" s="8" t="s">
        <v>196</v>
      </c>
      <c r="R1471" s="8" t="s">
        <v>382</v>
      </c>
      <c r="S1471" s="8" t="s">
        <v>383</v>
      </c>
      <c r="T1471" s="8"/>
      <c r="U1471" s="8" t="s">
        <v>384</v>
      </c>
      <c r="V1471" s="8"/>
      <c r="W1471" s="8" t="s">
        <v>380</v>
      </c>
      <c r="X1471" s="8" t="s">
        <v>99</v>
      </c>
      <c r="Y1471" s="8" t="s">
        <v>23</v>
      </c>
    </row>
    <row r="1472" spans="1:25" hidden="1" x14ac:dyDescent="0.25">
      <c r="A1472" s="273" t="s">
        <v>315</v>
      </c>
      <c r="B1472" s="251">
        <v>45783</v>
      </c>
      <c r="C1472" s="252" t="s">
        <v>763</v>
      </c>
      <c r="D1472" s="252"/>
      <c r="E1472" s="253">
        <v>432</v>
      </c>
      <c r="F1472" s="253">
        <v>0</v>
      </c>
      <c r="G1472" s="274">
        <f>Tabla3[[#This Row],[INGRESOS]]-Tabla3[[#This Row],[EGRESOS]]</f>
        <v>-432</v>
      </c>
      <c r="H1472" s="137">
        <v>-14024046.689999999</v>
      </c>
      <c r="I1472" s="135">
        <v>1170</v>
      </c>
      <c r="J1472" s="136">
        <f>Tabla3[[#This Row],[EGRESOS]]/Tabla3[[#This Row],[TC]]</f>
        <v>0.36923076923076925</v>
      </c>
      <c r="K1472" s="136">
        <f>Tabla3[[#This Row],[INGRESOS]]/Tabla3[[#This Row],[TC]]</f>
        <v>0</v>
      </c>
      <c r="L1472" s="8" t="s">
        <v>376</v>
      </c>
      <c r="M1472" s="8" t="s">
        <v>377</v>
      </c>
      <c r="N1472" s="8" t="s">
        <v>20</v>
      </c>
      <c r="O1472" s="8" t="s">
        <v>184</v>
      </c>
      <c r="P1472" s="8" t="s">
        <v>195</v>
      </c>
      <c r="Q1472" s="8" t="s">
        <v>196</v>
      </c>
      <c r="R1472" s="8" t="s">
        <v>417</v>
      </c>
      <c r="S1472" s="8" t="s">
        <v>383</v>
      </c>
      <c r="T1472" s="8"/>
      <c r="U1472" s="8" t="s">
        <v>384</v>
      </c>
      <c r="V1472" s="8"/>
      <c r="W1472" s="8" t="s">
        <v>380</v>
      </c>
      <c r="X1472" s="8" t="s">
        <v>99</v>
      </c>
      <c r="Y1472" s="8" t="s">
        <v>23</v>
      </c>
    </row>
    <row r="1473" spans="1:25" hidden="1" x14ac:dyDescent="0.25">
      <c r="A1473" s="273" t="s">
        <v>315</v>
      </c>
      <c r="B1473" s="251">
        <v>45783</v>
      </c>
      <c r="C1473" s="252" t="s">
        <v>794</v>
      </c>
      <c r="D1473" s="252"/>
      <c r="E1473" s="253">
        <v>14400</v>
      </c>
      <c r="F1473" s="253">
        <v>0</v>
      </c>
      <c r="G1473" s="274">
        <f>Tabla3[[#This Row],[INGRESOS]]-Tabla3[[#This Row],[EGRESOS]]</f>
        <v>-14400</v>
      </c>
      <c r="H1473" s="137">
        <v>-14038446.689999999</v>
      </c>
      <c r="I1473" s="135">
        <v>1170</v>
      </c>
      <c r="J1473" s="136">
        <f>Tabla3[[#This Row],[EGRESOS]]/Tabla3[[#This Row],[TC]]</f>
        <v>12.307692307692308</v>
      </c>
      <c r="K1473" s="136">
        <f>Tabla3[[#This Row],[INGRESOS]]/Tabla3[[#This Row],[TC]]</f>
        <v>0</v>
      </c>
      <c r="L1473" s="8" t="s">
        <v>376</v>
      </c>
      <c r="M1473" s="8" t="s">
        <v>377</v>
      </c>
      <c r="N1473" s="8" t="s">
        <v>20</v>
      </c>
      <c r="O1473" s="8" t="s">
        <v>184</v>
      </c>
      <c r="P1473" s="8" t="s">
        <v>185</v>
      </c>
      <c r="Q1473" s="8" t="s">
        <v>186</v>
      </c>
      <c r="R1473" s="8" t="s">
        <v>227</v>
      </c>
      <c r="S1473" s="8"/>
      <c r="T1473" s="8"/>
      <c r="U1473" s="8" t="s">
        <v>384</v>
      </c>
      <c r="V1473" s="8"/>
      <c r="W1473" s="8" t="s">
        <v>380</v>
      </c>
      <c r="X1473" s="8" t="s">
        <v>99</v>
      </c>
      <c r="Y1473" s="8" t="s">
        <v>23</v>
      </c>
    </row>
    <row r="1474" spans="1:25" hidden="1" x14ac:dyDescent="0.25">
      <c r="A1474" s="273" t="s">
        <v>315</v>
      </c>
      <c r="B1474" s="251">
        <v>45783</v>
      </c>
      <c r="C1474" s="252" t="s">
        <v>817</v>
      </c>
      <c r="D1474" s="252" t="s">
        <v>930</v>
      </c>
      <c r="E1474" s="253">
        <v>1356000</v>
      </c>
      <c r="F1474" s="253">
        <v>0</v>
      </c>
      <c r="G1474" s="274">
        <f>Tabla3[[#This Row],[INGRESOS]]-Tabla3[[#This Row],[EGRESOS]]</f>
        <v>-1356000</v>
      </c>
      <c r="H1474" s="137">
        <v>-15394446.689999999</v>
      </c>
      <c r="I1474" s="135">
        <v>1170</v>
      </c>
      <c r="J1474" s="136">
        <f>Tabla3[[#This Row],[EGRESOS]]/Tabla3[[#This Row],[TC]]</f>
        <v>1158.9743589743589</v>
      </c>
      <c r="K1474" s="136">
        <f>Tabla3[[#This Row],[INGRESOS]]/Tabla3[[#This Row],[TC]]</f>
        <v>0</v>
      </c>
      <c r="L1474" s="8" t="s">
        <v>376</v>
      </c>
      <c r="M1474" s="8" t="s">
        <v>377</v>
      </c>
      <c r="N1474" s="8" t="s">
        <v>20</v>
      </c>
      <c r="O1474" s="8" t="s">
        <v>215</v>
      </c>
      <c r="P1474" s="8" t="s">
        <v>216</v>
      </c>
      <c r="Q1474" s="8" t="s">
        <v>220</v>
      </c>
      <c r="R1474" s="8" t="s">
        <v>329</v>
      </c>
      <c r="S1474" s="8" t="s">
        <v>634</v>
      </c>
      <c r="T1474" s="8" t="s">
        <v>890</v>
      </c>
      <c r="U1474" s="8" t="s">
        <v>412</v>
      </c>
      <c r="V1474" s="8"/>
      <c r="W1474" s="8" t="s">
        <v>380</v>
      </c>
      <c r="X1474" s="8" t="s">
        <v>29</v>
      </c>
      <c r="Y1474" s="8" t="s">
        <v>23</v>
      </c>
    </row>
    <row r="1475" spans="1:25" hidden="1" x14ac:dyDescent="0.25">
      <c r="A1475" s="273" t="s">
        <v>315</v>
      </c>
      <c r="B1475" s="251">
        <v>45783</v>
      </c>
      <c r="C1475" s="252" t="s">
        <v>760</v>
      </c>
      <c r="D1475" s="252"/>
      <c r="E1475" s="253">
        <v>60000</v>
      </c>
      <c r="F1475" s="253">
        <v>0</v>
      </c>
      <c r="G1475" s="274">
        <f>Tabla3[[#This Row],[INGRESOS]]-Tabla3[[#This Row],[EGRESOS]]</f>
        <v>-60000</v>
      </c>
      <c r="H1475" s="137">
        <v>-15454446.689999999</v>
      </c>
      <c r="I1475" s="135">
        <v>1170</v>
      </c>
      <c r="J1475" s="136">
        <f>Tabla3[[#This Row],[EGRESOS]]/Tabla3[[#This Row],[TC]]</f>
        <v>51.282051282051285</v>
      </c>
      <c r="K1475" s="136">
        <f>Tabla3[[#This Row],[INGRESOS]]/Tabla3[[#This Row],[TC]]</f>
        <v>0</v>
      </c>
      <c r="L1475" s="8" t="s">
        <v>376</v>
      </c>
      <c r="M1475" s="8" t="s">
        <v>377</v>
      </c>
      <c r="N1475" s="8" t="s">
        <v>20</v>
      </c>
      <c r="O1475" s="8" t="s">
        <v>184</v>
      </c>
      <c r="P1475" s="8" t="s">
        <v>195</v>
      </c>
      <c r="Q1475" s="8" t="s">
        <v>196</v>
      </c>
      <c r="R1475" s="8" t="s">
        <v>394</v>
      </c>
      <c r="S1475" s="8" t="s">
        <v>383</v>
      </c>
      <c r="T1475" s="8"/>
      <c r="U1475" s="8" t="s">
        <v>384</v>
      </c>
      <c r="V1475" s="8"/>
      <c r="W1475" s="8" t="s">
        <v>380</v>
      </c>
      <c r="X1475" s="8" t="s">
        <v>99</v>
      </c>
      <c r="Y1475" s="8" t="s">
        <v>23</v>
      </c>
    </row>
    <row r="1476" spans="1:25" hidden="1" x14ac:dyDescent="0.25">
      <c r="A1476" s="273" t="s">
        <v>315</v>
      </c>
      <c r="B1476" s="251">
        <v>45783</v>
      </c>
      <c r="C1476" s="252" t="s">
        <v>760</v>
      </c>
      <c r="D1476" s="252"/>
      <c r="E1476" s="253">
        <v>11225.68</v>
      </c>
      <c r="F1476" s="253">
        <v>0</v>
      </c>
      <c r="G1476" s="274">
        <f>Tabla3[[#This Row],[INGRESOS]]-Tabla3[[#This Row],[EGRESOS]]</f>
        <v>-11225.68</v>
      </c>
      <c r="H1476" s="137">
        <v>-15465672.369999999</v>
      </c>
      <c r="I1476" s="135">
        <v>1170</v>
      </c>
      <c r="J1476" s="136">
        <f>Tabla3[[#This Row],[EGRESOS]]/Tabla3[[#This Row],[TC]]</f>
        <v>9.5945982905982916</v>
      </c>
      <c r="K1476" s="136">
        <f>Tabla3[[#This Row],[INGRESOS]]/Tabla3[[#This Row],[TC]]</f>
        <v>0</v>
      </c>
      <c r="L1476" s="8" t="s">
        <v>376</v>
      </c>
      <c r="M1476" s="8" t="s">
        <v>377</v>
      </c>
      <c r="N1476" s="8" t="s">
        <v>20</v>
      </c>
      <c r="O1476" s="8" t="s">
        <v>184</v>
      </c>
      <c r="P1476" s="8" t="s">
        <v>195</v>
      </c>
      <c r="Q1476" s="8" t="s">
        <v>196</v>
      </c>
      <c r="R1476" s="8" t="s">
        <v>394</v>
      </c>
      <c r="S1476" s="8" t="s">
        <v>383</v>
      </c>
      <c r="T1476" s="8"/>
      <c r="U1476" s="8" t="s">
        <v>384</v>
      </c>
      <c r="V1476" s="8"/>
      <c r="W1476" s="8" t="s">
        <v>380</v>
      </c>
      <c r="X1476" s="8" t="s">
        <v>99</v>
      </c>
      <c r="Y1476" s="8" t="s">
        <v>23</v>
      </c>
    </row>
    <row r="1477" spans="1:25" hidden="1" x14ac:dyDescent="0.25">
      <c r="A1477" s="273" t="s">
        <v>315</v>
      </c>
      <c r="B1477" s="251">
        <v>45784</v>
      </c>
      <c r="C1477" s="252" t="s">
        <v>782</v>
      </c>
      <c r="D1477" s="252" t="s">
        <v>931</v>
      </c>
      <c r="E1477" s="253">
        <v>879500</v>
      </c>
      <c r="F1477" s="253">
        <v>0</v>
      </c>
      <c r="G1477" s="274">
        <f>Tabla3[[#This Row],[INGRESOS]]-Tabla3[[#This Row],[EGRESOS]]</f>
        <v>-879500</v>
      </c>
      <c r="H1477" s="137">
        <v>-16345172.369999999</v>
      </c>
      <c r="I1477" s="135">
        <v>1170</v>
      </c>
      <c r="J1477" s="136">
        <f>Tabla3[[#This Row],[EGRESOS]]/Tabla3[[#This Row],[TC]]</f>
        <v>751.70940170940173</v>
      </c>
      <c r="K1477" s="136">
        <f>Tabla3[[#This Row],[INGRESOS]]/Tabla3[[#This Row],[TC]]</f>
        <v>0</v>
      </c>
      <c r="L1477" s="8" t="s">
        <v>376</v>
      </c>
      <c r="M1477" s="8" t="s">
        <v>377</v>
      </c>
      <c r="N1477" s="8" t="s">
        <v>20</v>
      </c>
      <c r="O1477" s="8" t="s">
        <v>225</v>
      </c>
      <c r="P1477" s="8" t="s">
        <v>236</v>
      </c>
      <c r="Q1477" s="8" t="s">
        <v>239</v>
      </c>
      <c r="R1477" s="8"/>
      <c r="S1477" s="8" t="s">
        <v>597</v>
      </c>
      <c r="T1477" s="8"/>
      <c r="U1477" s="8" t="s">
        <v>412</v>
      </c>
      <c r="V1477" s="8"/>
      <c r="W1477" s="8" t="s">
        <v>380</v>
      </c>
      <c r="X1477" s="8" t="s">
        <v>29</v>
      </c>
      <c r="Y1477" s="8" t="s">
        <v>23</v>
      </c>
    </row>
    <row r="1478" spans="1:25" hidden="1" x14ac:dyDescent="0.25">
      <c r="A1478" s="273" t="s">
        <v>315</v>
      </c>
      <c r="B1478" s="251">
        <v>45784</v>
      </c>
      <c r="C1478" s="252" t="s">
        <v>782</v>
      </c>
      <c r="D1478" s="252" t="s">
        <v>932</v>
      </c>
      <c r="E1478" s="253">
        <v>1500000</v>
      </c>
      <c r="F1478" s="253">
        <v>0</v>
      </c>
      <c r="G1478" s="274">
        <f>Tabla3[[#This Row],[INGRESOS]]-Tabla3[[#This Row],[EGRESOS]]</f>
        <v>-1500000</v>
      </c>
      <c r="H1478" s="137">
        <v>-17845172.370000001</v>
      </c>
      <c r="I1478" s="135">
        <v>1170</v>
      </c>
      <c r="J1478" s="136">
        <f>Tabla3[[#This Row],[EGRESOS]]/Tabla3[[#This Row],[TC]]</f>
        <v>1282.051282051282</v>
      </c>
      <c r="K1478" s="136">
        <f>Tabla3[[#This Row],[INGRESOS]]/Tabla3[[#This Row],[TC]]</f>
        <v>0</v>
      </c>
      <c r="L1478" s="8" t="s">
        <v>376</v>
      </c>
      <c r="M1478" s="8" t="s">
        <v>377</v>
      </c>
      <c r="N1478" s="8" t="s">
        <v>20</v>
      </c>
      <c r="O1478" s="8" t="s">
        <v>215</v>
      </c>
      <c r="P1478" s="8" t="s">
        <v>216</v>
      </c>
      <c r="Q1478" s="8" t="s">
        <v>220</v>
      </c>
      <c r="R1478" s="8" t="s">
        <v>327</v>
      </c>
      <c r="S1478" s="8" t="s">
        <v>551</v>
      </c>
      <c r="T1478" s="8"/>
      <c r="U1478" s="8" t="s">
        <v>403</v>
      </c>
      <c r="V1478" s="8"/>
      <c r="W1478" s="8" t="s">
        <v>380</v>
      </c>
      <c r="X1478" s="8" t="s">
        <v>29</v>
      </c>
      <c r="Y1478" s="8" t="s">
        <v>23</v>
      </c>
    </row>
    <row r="1479" spans="1:25" hidden="1" x14ac:dyDescent="0.25">
      <c r="A1479" s="273" t="s">
        <v>315</v>
      </c>
      <c r="B1479" s="251">
        <v>45784</v>
      </c>
      <c r="C1479" s="252" t="s">
        <v>404</v>
      </c>
      <c r="D1479" s="252"/>
      <c r="E1479" s="253">
        <v>50000</v>
      </c>
      <c r="F1479" s="253">
        <v>0</v>
      </c>
      <c r="G1479" s="274">
        <f>Tabla3[[#This Row],[INGRESOS]]-Tabla3[[#This Row],[EGRESOS]]</f>
        <v>-50000</v>
      </c>
      <c r="H1479" s="137">
        <v>-17895172.370000001</v>
      </c>
      <c r="I1479" s="135">
        <v>1170</v>
      </c>
      <c r="J1479" s="136">
        <f>Tabla3[[#This Row],[EGRESOS]]/Tabla3[[#This Row],[TC]]</f>
        <v>42.735042735042732</v>
      </c>
      <c r="K1479" s="136">
        <f>Tabla3[[#This Row],[INGRESOS]]/Tabla3[[#This Row],[TC]]</f>
        <v>0</v>
      </c>
      <c r="L1479" s="8" t="s">
        <v>376</v>
      </c>
      <c r="M1479" s="8" t="s">
        <v>377</v>
      </c>
      <c r="N1479" s="8" t="s">
        <v>20</v>
      </c>
      <c r="O1479" s="8" t="s">
        <v>244</v>
      </c>
      <c r="P1479" s="8" t="s">
        <v>259</v>
      </c>
      <c r="Q1479" s="8" t="s">
        <v>260</v>
      </c>
      <c r="R1479" s="8" t="s">
        <v>472</v>
      </c>
      <c r="S1479" s="8"/>
      <c r="T1479" s="8"/>
      <c r="U1479" s="8" t="s">
        <v>379</v>
      </c>
      <c r="V1479" s="8"/>
      <c r="W1479" s="8"/>
      <c r="X1479" s="8"/>
      <c r="Y1479" s="8"/>
    </row>
    <row r="1480" spans="1:25" hidden="1" x14ac:dyDescent="0.25">
      <c r="A1480" s="273" t="s">
        <v>315</v>
      </c>
      <c r="B1480" s="251">
        <v>45784</v>
      </c>
      <c r="C1480" s="252" t="s">
        <v>404</v>
      </c>
      <c r="D1480" s="252"/>
      <c r="E1480" s="253">
        <v>350000</v>
      </c>
      <c r="F1480" s="253">
        <v>0</v>
      </c>
      <c r="G1480" s="274">
        <f>Tabla3[[#This Row],[INGRESOS]]-Tabla3[[#This Row],[EGRESOS]]</f>
        <v>-350000</v>
      </c>
      <c r="H1480" s="137">
        <v>-18245172.370000001</v>
      </c>
      <c r="I1480" s="135">
        <v>1170</v>
      </c>
      <c r="J1480" s="136">
        <f>Tabla3[[#This Row],[EGRESOS]]/Tabla3[[#This Row],[TC]]</f>
        <v>299.14529914529913</v>
      </c>
      <c r="K1480" s="136">
        <f>Tabla3[[#This Row],[INGRESOS]]/Tabla3[[#This Row],[TC]]</f>
        <v>0</v>
      </c>
      <c r="L1480" s="8" t="s">
        <v>376</v>
      </c>
      <c r="M1480" s="8" t="s">
        <v>377</v>
      </c>
      <c r="N1480" s="8" t="s">
        <v>20</v>
      </c>
      <c r="O1480" s="8" t="s">
        <v>244</v>
      </c>
      <c r="P1480" s="8" t="s">
        <v>259</v>
      </c>
      <c r="Q1480" s="8" t="s">
        <v>260</v>
      </c>
      <c r="R1480" s="8" t="s">
        <v>466</v>
      </c>
      <c r="S1480" s="8"/>
      <c r="T1480" s="8"/>
      <c r="U1480" s="8" t="s">
        <v>379</v>
      </c>
      <c r="V1480" s="8"/>
      <c r="W1480" s="8"/>
      <c r="X1480" s="8"/>
      <c r="Y1480" s="8"/>
    </row>
    <row r="1481" spans="1:25" hidden="1" x14ac:dyDescent="0.25">
      <c r="A1481" s="273" t="s">
        <v>315</v>
      </c>
      <c r="B1481" s="251">
        <v>45784</v>
      </c>
      <c r="C1481" s="252" t="s">
        <v>828</v>
      </c>
      <c r="D1481" s="252"/>
      <c r="E1481" s="253">
        <v>121</v>
      </c>
      <c r="F1481" s="253">
        <v>0</v>
      </c>
      <c r="G1481" s="274">
        <f>Tabla3[[#This Row],[INGRESOS]]-Tabla3[[#This Row],[EGRESOS]]</f>
        <v>-121</v>
      </c>
      <c r="H1481" s="137">
        <v>-18245293.370000001</v>
      </c>
      <c r="I1481" s="135">
        <v>1170</v>
      </c>
      <c r="J1481" s="136">
        <f>Tabla3[[#This Row],[EGRESOS]]/Tabla3[[#This Row],[TC]]</f>
        <v>0.10341880341880341</v>
      </c>
      <c r="K1481" s="136">
        <f>Tabla3[[#This Row],[INGRESOS]]/Tabla3[[#This Row],[TC]]</f>
        <v>0</v>
      </c>
      <c r="L1481" s="8" t="s">
        <v>376</v>
      </c>
      <c r="M1481" s="8" t="s">
        <v>377</v>
      </c>
      <c r="N1481" s="8" t="s">
        <v>20</v>
      </c>
      <c r="O1481" s="8" t="s">
        <v>184</v>
      </c>
      <c r="P1481" s="8" t="s">
        <v>185</v>
      </c>
      <c r="Q1481" s="8" t="s">
        <v>186</v>
      </c>
      <c r="R1481" s="8" t="s">
        <v>227</v>
      </c>
      <c r="S1481" s="8"/>
      <c r="T1481" s="8"/>
      <c r="U1481" s="8" t="s">
        <v>384</v>
      </c>
      <c r="V1481" s="8"/>
      <c r="W1481" s="8" t="s">
        <v>380</v>
      </c>
      <c r="X1481" s="8" t="s">
        <v>99</v>
      </c>
      <c r="Y1481" s="8" t="s">
        <v>23</v>
      </c>
    </row>
    <row r="1482" spans="1:25" hidden="1" x14ac:dyDescent="0.25">
      <c r="A1482" s="273" t="s">
        <v>316</v>
      </c>
      <c r="B1482" s="251">
        <v>45813</v>
      </c>
      <c r="C1482" s="252" t="s">
        <v>1338</v>
      </c>
      <c r="D1482" s="252"/>
      <c r="E1482" s="253">
        <v>66158</v>
      </c>
      <c r="F1482" s="253">
        <v>0</v>
      </c>
      <c r="G1482" s="274">
        <f>Tabla3[[#This Row],[INGRESOS]]-Tabla3[[#This Row],[EGRESOS]]</f>
        <v>-66158</v>
      </c>
      <c r="H1482" s="135">
        <v>0</v>
      </c>
      <c r="I1482" s="135">
        <v>1170</v>
      </c>
      <c r="J1482" s="136">
        <f>Tabla3[[#This Row],[EGRESOS]]/Tabla3[[#This Row],[TC]]</f>
        <v>56.545299145299147</v>
      </c>
      <c r="K1482" s="136">
        <f>Tabla3[[#This Row],[INGRESOS]]/Tabla3[[#This Row],[TC]]</f>
        <v>0</v>
      </c>
      <c r="L1482" s="8" t="s">
        <v>1336</v>
      </c>
      <c r="M1482" s="8" t="s">
        <v>1336</v>
      </c>
      <c r="N1482" s="8" t="s">
        <v>1336</v>
      </c>
      <c r="O1482" s="8" t="s">
        <v>184</v>
      </c>
      <c r="P1482" s="8" t="s">
        <v>203</v>
      </c>
      <c r="Q1482" s="8" t="s">
        <v>205</v>
      </c>
      <c r="R1482" s="8" t="s">
        <v>189</v>
      </c>
      <c r="S1482" s="8" t="s">
        <v>386</v>
      </c>
      <c r="T1482" s="8"/>
      <c r="U1482" s="8" t="s">
        <v>387</v>
      </c>
      <c r="V1482" s="8" t="s">
        <v>386</v>
      </c>
      <c r="W1482" s="8" t="s">
        <v>380</v>
      </c>
      <c r="X1482" s="8" t="s">
        <v>104</v>
      </c>
      <c r="Y1482" s="8" t="s">
        <v>23</v>
      </c>
    </row>
    <row r="1483" spans="1:25" hidden="1" x14ac:dyDescent="0.25">
      <c r="A1483" s="273" t="s">
        <v>315</v>
      </c>
      <c r="B1483" s="251">
        <v>45784</v>
      </c>
      <c r="C1483" s="252" t="s">
        <v>828</v>
      </c>
      <c r="D1483" s="252"/>
      <c r="E1483" s="253">
        <v>121</v>
      </c>
      <c r="F1483" s="253">
        <v>0</v>
      </c>
      <c r="G1483" s="274">
        <f>Tabla3[[#This Row],[INGRESOS]]-Tabla3[[#This Row],[EGRESOS]]</f>
        <v>-121</v>
      </c>
      <c r="H1483" s="137">
        <v>-20245414.370000001</v>
      </c>
      <c r="I1483" s="135">
        <v>1170</v>
      </c>
      <c r="J1483" s="136">
        <f>Tabla3[[#This Row],[EGRESOS]]/Tabla3[[#This Row],[TC]]</f>
        <v>0.10341880341880341</v>
      </c>
      <c r="K1483" s="136">
        <f>Tabla3[[#This Row],[INGRESOS]]/Tabla3[[#This Row],[TC]]</f>
        <v>0</v>
      </c>
      <c r="L1483" s="8" t="s">
        <v>376</v>
      </c>
      <c r="M1483" s="8" t="s">
        <v>377</v>
      </c>
      <c r="N1483" s="8" t="s">
        <v>20</v>
      </c>
      <c r="O1483" s="8" t="s">
        <v>184</v>
      </c>
      <c r="P1483" s="8" t="s">
        <v>185</v>
      </c>
      <c r="Q1483" s="8" t="s">
        <v>186</v>
      </c>
      <c r="R1483" s="8" t="s">
        <v>227</v>
      </c>
      <c r="S1483" s="8"/>
      <c r="T1483" s="8"/>
      <c r="U1483" s="8" t="s">
        <v>384</v>
      </c>
      <c r="V1483" s="8"/>
      <c r="W1483" s="8" t="s">
        <v>380</v>
      </c>
      <c r="X1483" s="8" t="s">
        <v>99</v>
      </c>
      <c r="Y1483" s="8" t="s">
        <v>23</v>
      </c>
    </row>
    <row r="1484" spans="1:25" hidden="1" x14ac:dyDescent="0.25">
      <c r="A1484" s="273" t="s">
        <v>315</v>
      </c>
      <c r="B1484" s="251">
        <v>45784</v>
      </c>
      <c r="C1484" s="252" t="s">
        <v>800</v>
      </c>
      <c r="D1484" s="252"/>
      <c r="E1484" s="253">
        <v>500000</v>
      </c>
      <c r="F1484" s="253">
        <v>0</v>
      </c>
      <c r="G1484" s="274">
        <f>Tabla3[[#This Row],[INGRESOS]]-Tabla3[[#This Row],[EGRESOS]]</f>
        <v>-500000</v>
      </c>
      <c r="H1484" s="137">
        <v>-20745414.370000001</v>
      </c>
      <c r="I1484" s="135">
        <v>1170</v>
      </c>
      <c r="J1484" s="136">
        <f>Tabla3[[#This Row],[EGRESOS]]/Tabla3[[#This Row],[TC]]</f>
        <v>427.35042735042737</v>
      </c>
      <c r="K1484" s="136">
        <f>Tabla3[[#This Row],[INGRESOS]]/Tabla3[[#This Row],[TC]]</f>
        <v>0</v>
      </c>
      <c r="L1484" s="8" t="s">
        <v>376</v>
      </c>
      <c r="M1484" s="8" t="s">
        <v>377</v>
      </c>
      <c r="N1484" s="8" t="s">
        <v>20</v>
      </c>
      <c r="O1484" s="8" t="s">
        <v>184</v>
      </c>
      <c r="P1484" s="8" t="s">
        <v>210</v>
      </c>
      <c r="Q1484" s="8" t="s">
        <v>205</v>
      </c>
      <c r="R1484" s="8" t="s">
        <v>933</v>
      </c>
      <c r="S1484" s="8" t="s">
        <v>524</v>
      </c>
      <c r="T1484" s="8"/>
      <c r="U1484" s="8" t="s">
        <v>453</v>
      </c>
      <c r="V1484" s="8"/>
      <c r="W1484" s="8" t="s">
        <v>380</v>
      </c>
      <c r="X1484" s="8" t="s">
        <v>39</v>
      </c>
      <c r="Y1484" s="8" t="s">
        <v>23</v>
      </c>
    </row>
    <row r="1485" spans="1:25" hidden="1" x14ac:dyDescent="0.25">
      <c r="A1485" s="273" t="s">
        <v>315</v>
      </c>
      <c r="B1485" s="251">
        <v>45784</v>
      </c>
      <c r="C1485" s="252" t="s">
        <v>828</v>
      </c>
      <c r="D1485" s="252"/>
      <c r="E1485" s="253">
        <v>121</v>
      </c>
      <c r="F1485" s="253">
        <v>0</v>
      </c>
      <c r="G1485" s="274">
        <f>Tabla3[[#This Row],[INGRESOS]]-Tabla3[[#This Row],[EGRESOS]]</f>
        <v>-121</v>
      </c>
      <c r="H1485" s="137">
        <v>-20745535.370000001</v>
      </c>
      <c r="I1485" s="135">
        <v>1170</v>
      </c>
      <c r="J1485" s="136">
        <f>Tabla3[[#This Row],[EGRESOS]]/Tabla3[[#This Row],[TC]]</f>
        <v>0.10341880341880341</v>
      </c>
      <c r="K1485" s="136">
        <f>Tabla3[[#This Row],[INGRESOS]]/Tabla3[[#This Row],[TC]]</f>
        <v>0</v>
      </c>
      <c r="L1485" s="8" t="s">
        <v>376</v>
      </c>
      <c r="M1485" s="8" t="s">
        <v>377</v>
      </c>
      <c r="N1485" s="8" t="s">
        <v>20</v>
      </c>
      <c r="O1485" s="8" t="s">
        <v>184</v>
      </c>
      <c r="P1485" s="8" t="s">
        <v>185</v>
      </c>
      <c r="Q1485" s="8" t="s">
        <v>186</v>
      </c>
      <c r="R1485" s="8" t="s">
        <v>227</v>
      </c>
      <c r="S1485" s="8"/>
      <c r="T1485" s="8"/>
      <c r="U1485" s="8" t="s">
        <v>384</v>
      </c>
      <c r="V1485" s="8"/>
      <c r="W1485" s="8" t="s">
        <v>380</v>
      </c>
      <c r="X1485" s="8" t="s">
        <v>99</v>
      </c>
      <c r="Y1485" s="8" t="s">
        <v>23</v>
      </c>
    </row>
    <row r="1486" spans="1:25" hidden="1" x14ac:dyDescent="0.25">
      <c r="A1486" s="273" t="s">
        <v>315</v>
      </c>
      <c r="B1486" s="251">
        <v>45784</v>
      </c>
      <c r="C1486" s="252" t="s">
        <v>760</v>
      </c>
      <c r="D1486" s="252"/>
      <c r="E1486" s="253">
        <v>29279.19</v>
      </c>
      <c r="F1486" s="253">
        <v>0</v>
      </c>
      <c r="G1486" s="274">
        <f>Tabla3[[#This Row],[INGRESOS]]-Tabla3[[#This Row],[EGRESOS]]</f>
        <v>-29279.19</v>
      </c>
      <c r="H1486" s="137">
        <v>-20774814.559999999</v>
      </c>
      <c r="I1486" s="135">
        <v>1170</v>
      </c>
      <c r="J1486" s="136">
        <f>Tabla3[[#This Row],[EGRESOS]]/Tabla3[[#This Row],[TC]]</f>
        <v>25.024948717948718</v>
      </c>
      <c r="K1486" s="136">
        <f>Tabla3[[#This Row],[INGRESOS]]/Tabla3[[#This Row],[TC]]</f>
        <v>0</v>
      </c>
      <c r="L1486" s="8" t="s">
        <v>376</v>
      </c>
      <c r="M1486" s="8" t="s">
        <v>377</v>
      </c>
      <c r="N1486" s="8" t="s">
        <v>20</v>
      </c>
      <c r="O1486" s="8" t="s">
        <v>184</v>
      </c>
      <c r="P1486" s="8" t="s">
        <v>195</v>
      </c>
      <c r="Q1486" s="8" t="s">
        <v>196</v>
      </c>
      <c r="R1486" s="8" t="s">
        <v>394</v>
      </c>
      <c r="S1486" s="8" t="s">
        <v>383</v>
      </c>
      <c r="T1486" s="8"/>
      <c r="U1486" s="8" t="s">
        <v>384</v>
      </c>
      <c r="V1486" s="8"/>
      <c r="W1486" s="8" t="s">
        <v>380</v>
      </c>
      <c r="X1486" s="8" t="s">
        <v>99</v>
      </c>
      <c r="Y1486" s="8" t="s">
        <v>23</v>
      </c>
    </row>
    <row r="1487" spans="1:25" hidden="1" x14ac:dyDescent="0.25">
      <c r="A1487" s="273" t="s">
        <v>315</v>
      </c>
      <c r="B1487" s="251">
        <v>45785</v>
      </c>
      <c r="C1487" s="252" t="s">
        <v>934</v>
      </c>
      <c r="D1487" s="252"/>
      <c r="E1487" s="253">
        <v>0</v>
      </c>
      <c r="F1487" s="253">
        <v>220885.34</v>
      </c>
      <c r="G1487" s="274">
        <f>Tabla3[[#This Row],[INGRESOS]]-Tabla3[[#This Row],[EGRESOS]]</f>
        <v>220885.34</v>
      </c>
      <c r="H1487" s="137">
        <v>-20553929.219999999</v>
      </c>
      <c r="I1487" s="135">
        <v>1170</v>
      </c>
      <c r="J1487" s="136">
        <f>Tabla3[[#This Row],[EGRESOS]]/Tabla3[[#This Row],[TC]]</f>
        <v>0</v>
      </c>
      <c r="K1487" s="136">
        <f>Tabla3[[#This Row],[INGRESOS]]/Tabla3[[#This Row],[TC]]</f>
        <v>188.79088888888887</v>
      </c>
      <c r="L1487" s="8" t="s">
        <v>376</v>
      </c>
      <c r="M1487" s="8" t="s">
        <v>377</v>
      </c>
      <c r="N1487" s="8" t="s">
        <v>20</v>
      </c>
      <c r="O1487" s="8" t="s">
        <v>215</v>
      </c>
      <c r="P1487" s="8" t="s">
        <v>216</v>
      </c>
      <c r="Q1487" s="8" t="s">
        <v>220</v>
      </c>
      <c r="R1487" s="8" t="s">
        <v>929</v>
      </c>
      <c r="S1487" s="8" t="s">
        <v>935</v>
      </c>
      <c r="T1487" s="8"/>
      <c r="U1487" s="8" t="s">
        <v>516</v>
      </c>
      <c r="V1487" s="8"/>
      <c r="W1487" s="8" t="s">
        <v>380</v>
      </c>
      <c r="X1487" s="8" t="s">
        <v>23</v>
      </c>
      <c r="Y1487" s="8" t="s">
        <v>97</v>
      </c>
    </row>
    <row r="1488" spans="1:25" hidden="1" x14ac:dyDescent="0.25">
      <c r="A1488" s="273" t="s">
        <v>315</v>
      </c>
      <c r="B1488" s="251">
        <v>45785</v>
      </c>
      <c r="C1488" s="252" t="s">
        <v>800</v>
      </c>
      <c r="D1488" s="252"/>
      <c r="E1488" s="253">
        <v>400000</v>
      </c>
      <c r="F1488" s="253">
        <v>0</v>
      </c>
      <c r="G1488" s="274">
        <f>Tabla3[[#This Row],[INGRESOS]]-Tabla3[[#This Row],[EGRESOS]]</f>
        <v>-400000</v>
      </c>
      <c r="H1488" s="137">
        <v>-20953929.219999999</v>
      </c>
      <c r="I1488" s="135">
        <v>1170</v>
      </c>
      <c r="J1488" s="136">
        <f>Tabla3[[#This Row],[EGRESOS]]/Tabla3[[#This Row],[TC]]</f>
        <v>341.88034188034186</v>
      </c>
      <c r="K1488" s="136">
        <f>Tabla3[[#This Row],[INGRESOS]]/Tabla3[[#This Row],[TC]]</f>
        <v>0</v>
      </c>
      <c r="L1488" s="8" t="s">
        <v>376</v>
      </c>
      <c r="M1488" s="8" t="s">
        <v>377</v>
      </c>
      <c r="N1488" s="8" t="s">
        <v>20</v>
      </c>
      <c r="O1488" s="8" t="s">
        <v>184</v>
      </c>
      <c r="P1488" s="8" t="s">
        <v>210</v>
      </c>
      <c r="Q1488" s="8" t="s">
        <v>205</v>
      </c>
      <c r="R1488" s="8" t="s">
        <v>933</v>
      </c>
      <c r="S1488" s="8" t="s">
        <v>524</v>
      </c>
      <c r="T1488" s="8"/>
      <c r="U1488" s="8" t="s">
        <v>453</v>
      </c>
      <c r="V1488" s="8"/>
      <c r="W1488" s="8" t="s">
        <v>380</v>
      </c>
      <c r="X1488" s="8" t="s">
        <v>39</v>
      </c>
      <c r="Y1488" s="8" t="s">
        <v>23</v>
      </c>
    </row>
    <row r="1489" spans="1:25" hidden="1" x14ac:dyDescent="0.25">
      <c r="A1489" s="273" t="s">
        <v>315</v>
      </c>
      <c r="B1489" s="251">
        <v>45785</v>
      </c>
      <c r="C1489" s="252" t="s">
        <v>828</v>
      </c>
      <c r="D1489" s="252"/>
      <c r="E1489" s="253">
        <v>121</v>
      </c>
      <c r="F1489" s="253">
        <v>0</v>
      </c>
      <c r="G1489" s="274">
        <f>Tabla3[[#This Row],[INGRESOS]]-Tabla3[[#This Row],[EGRESOS]]</f>
        <v>-121</v>
      </c>
      <c r="H1489" s="137">
        <v>-20954050.219999999</v>
      </c>
      <c r="I1489" s="135">
        <v>1170</v>
      </c>
      <c r="J1489" s="136">
        <f>Tabla3[[#This Row],[EGRESOS]]/Tabla3[[#This Row],[TC]]</f>
        <v>0.10341880341880341</v>
      </c>
      <c r="K1489" s="136">
        <f>Tabla3[[#This Row],[INGRESOS]]/Tabla3[[#This Row],[TC]]</f>
        <v>0</v>
      </c>
      <c r="L1489" s="8" t="s">
        <v>376</v>
      </c>
      <c r="M1489" s="8" t="s">
        <v>377</v>
      </c>
      <c r="N1489" s="8" t="s">
        <v>20</v>
      </c>
      <c r="O1489" s="8" t="s">
        <v>184</v>
      </c>
      <c r="P1489" s="8" t="s">
        <v>185</v>
      </c>
      <c r="Q1489" s="8" t="s">
        <v>186</v>
      </c>
      <c r="R1489" s="8" t="s">
        <v>227</v>
      </c>
      <c r="S1489" s="8"/>
      <c r="T1489" s="8"/>
      <c r="U1489" s="8" t="s">
        <v>384</v>
      </c>
      <c r="V1489" s="8"/>
      <c r="W1489" s="8" t="s">
        <v>380</v>
      </c>
      <c r="X1489" s="8" t="s">
        <v>99</v>
      </c>
      <c r="Y1489" s="8" t="s">
        <v>23</v>
      </c>
    </row>
    <row r="1490" spans="1:25" hidden="1" x14ac:dyDescent="0.25">
      <c r="A1490" s="273" t="s">
        <v>315</v>
      </c>
      <c r="B1490" s="251">
        <v>45785</v>
      </c>
      <c r="C1490" s="252" t="s">
        <v>760</v>
      </c>
      <c r="D1490" s="252"/>
      <c r="E1490" s="253">
        <v>1325.31</v>
      </c>
      <c r="F1490" s="253">
        <v>0</v>
      </c>
      <c r="G1490" s="274">
        <f>Tabla3[[#This Row],[INGRESOS]]-Tabla3[[#This Row],[EGRESOS]]</f>
        <v>-1325.31</v>
      </c>
      <c r="H1490" s="137">
        <v>-20955375.530000001</v>
      </c>
      <c r="I1490" s="135">
        <v>1170</v>
      </c>
      <c r="J1490" s="136">
        <f>Tabla3[[#This Row],[EGRESOS]]/Tabla3[[#This Row],[TC]]</f>
        <v>1.1327435897435898</v>
      </c>
      <c r="K1490" s="136">
        <f>Tabla3[[#This Row],[INGRESOS]]/Tabla3[[#This Row],[TC]]</f>
        <v>0</v>
      </c>
      <c r="L1490" s="8" t="s">
        <v>376</v>
      </c>
      <c r="M1490" s="8" t="s">
        <v>377</v>
      </c>
      <c r="N1490" s="8" t="s">
        <v>20</v>
      </c>
      <c r="O1490" s="8" t="s">
        <v>184</v>
      </c>
      <c r="P1490" s="8" t="s">
        <v>195</v>
      </c>
      <c r="Q1490" s="8" t="s">
        <v>196</v>
      </c>
      <c r="R1490" s="8" t="s">
        <v>394</v>
      </c>
      <c r="S1490" s="8" t="s">
        <v>383</v>
      </c>
      <c r="T1490" s="8"/>
      <c r="U1490" s="8" t="s">
        <v>384</v>
      </c>
      <c r="V1490" s="8"/>
      <c r="W1490" s="8" t="s">
        <v>380</v>
      </c>
      <c r="X1490" s="8" t="s">
        <v>99</v>
      </c>
      <c r="Y1490" s="8" t="s">
        <v>23</v>
      </c>
    </row>
    <row r="1491" spans="1:25" hidden="1" x14ac:dyDescent="0.25">
      <c r="A1491" s="273" t="s">
        <v>315</v>
      </c>
      <c r="B1491" s="251">
        <v>45785</v>
      </c>
      <c r="C1491" s="252" t="s">
        <v>760</v>
      </c>
      <c r="D1491" s="252"/>
      <c r="E1491" s="253">
        <v>2400.73</v>
      </c>
      <c r="F1491" s="253">
        <v>0</v>
      </c>
      <c r="G1491" s="274">
        <f>Tabla3[[#This Row],[INGRESOS]]-Tabla3[[#This Row],[EGRESOS]]</f>
        <v>-2400.73</v>
      </c>
      <c r="H1491" s="137">
        <v>-20957776.260000002</v>
      </c>
      <c r="I1491" s="135">
        <v>1170</v>
      </c>
      <c r="J1491" s="136">
        <f>Tabla3[[#This Row],[EGRESOS]]/Tabla3[[#This Row],[TC]]</f>
        <v>2.0519059829059829</v>
      </c>
      <c r="K1491" s="136">
        <f>Tabla3[[#This Row],[INGRESOS]]/Tabla3[[#This Row],[TC]]</f>
        <v>0</v>
      </c>
      <c r="L1491" s="8" t="s">
        <v>376</v>
      </c>
      <c r="M1491" s="8" t="s">
        <v>377</v>
      </c>
      <c r="N1491" s="8" t="s">
        <v>20</v>
      </c>
      <c r="O1491" s="8" t="s">
        <v>184</v>
      </c>
      <c r="P1491" s="8" t="s">
        <v>195</v>
      </c>
      <c r="Q1491" s="8" t="s">
        <v>196</v>
      </c>
      <c r="R1491" s="8" t="s">
        <v>394</v>
      </c>
      <c r="S1491" s="8" t="s">
        <v>383</v>
      </c>
      <c r="T1491" s="8"/>
      <c r="U1491" s="8" t="s">
        <v>384</v>
      </c>
      <c r="V1491" s="8"/>
      <c r="W1491" s="8" t="s">
        <v>380</v>
      </c>
      <c r="X1491" s="8" t="s">
        <v>99</v>
      </c>
      <c r="Y1491" s="8" t="s">
        <v>23</v>
      </c>
    </row>
    <row r="1492" spans="1:25" hidden="1" x14ac:dyDescent="0.25">
      <c r="A1492" s="273" t="s">
        <v>315</v>
      </c>
      <c r="B1492" s="251">
        <v>45786</v>
      </c>
      <c r="C1492" s="252" t="s">
        <v>928</v>
      </c>
      <c r="D1492" s="252"/>
      <c r="E1492" s="253">
        <v>0</v>
      </c>
      <c r="F1492" s="253">
        <v>8957440.0999999996</v>
      </c>
      <c r="G1492" s="274">
        <f>Tabla3[[#This Row],[INGRESOS]]-Tabla3[[#This Row],[EGRESOS]]</f>
        <v>8957440.0999999996</v>
      </c>
      <c r="H1492" s="137">
        <v>-12000336.16</v>
      </c>
      <c r="I1492" s="135">
        <v>1170</v>
      </c>
      <c r="J1492" s="136">
        <f>Tabla3[[#This Row],[EGRESOS]]/Tabla3[[#This Row],[TC]]</f>
        <v>0</v>
      </c>
      <c r="K1492" s="136">
        <f>Tabla3[[#This Row],[INGRESOS]]/Tabla3[[#This Row],[TC]]</f>
        <v>7655.9317094017088</v>
      </c>
      <c r="L1492" s="8" t="s">
        <v>376</v>
      </c>
      <c r="M1492" s="8" t="s">
        <v>377</v>
      </c>
      <c r="N1492" s="8" t="s">
        <v>20</v>
      </c>
      <c r="O1492" s="8" t="s">
        <v>215</v>
      </c>
      <c r="P1492" s="8" t="s">
        <v>216</v>
      </c>
      <c r="Q1492" s="8" t="s">
        <v>220</v>
      </c>
      <c r="R1492" s="8" t="s">
        <v>929</v>
      </c>
      <c r="S1492" s="8" t="s">
        <v>706</v>
      </c>
      <c r="T1492" s="8"/>
      <c r="U1492" s="8" t="s">
        <v>516</v>
      </c>
      <c r="V1492" s="8"/>
      <c r="W1492" s="8" t="s">
        <v>380</v>
      </c>
      <c r="X1492" s="8" t="s">
        <v>23</v>
      </c>
      <c r="Y1492" s="8" t="s">
        <v>97</v>
      </c>
    </row>
    <row r="1493" spans="1:25" hidden="1" x14ac:dyDescent="0.25">
      <c r="A1493" s="273" t="s">
        <v>316</v>
      </c>
      <c r="B1493" s="251">
        <v>45814</v>
      </c>
      <c r="C1493" s="252" t="s">
        <v>404</v>
      </c>
      <c r="D1493" s="252"/>
      <c r="E1493" s="253">
        <v>1500000</v>
      </c>
      <c r="F1493" s="253">
        <v>0</v>
      </c>
      <c r="G1493" s="274">
        <f>Tabla3[[#This Row],[INGRESOS]]-Tabla3[[#This Row],[EGRESOS]]</f>
        <v>-1500000</v>
      </c>
      <c r="H1493" s="274">
        <v>-12924191.92</v>
      </c>
      <c r="I1493" s="135">
        <v>1170</v>
      </c>
      <c r="J1493" s="136">
        <f>Tabla3[[#This Row],[EGRESOS]]/Tabla3[[#This Row],[TC]]</f>
        <v>1282.051282051282</v>
      </c>
      <c r="K1493" s="136">
        <f>Tabla3[[#This Row],[INGRESOS]]/Tabla3[[#This Row],[TC]]</f>
        <v>0</v>
      </c>
      <c r="L1493" s="8" t="s">
        <v>376</v>
      </c>
      <c r="M1493" s="8" t="s">
        <v>377</v>
      </c>
      <c r="N1493" s="8" t="s">
        <v>20</v>
      </c>
      <c r="O1493" s="8" t="s">
        <v>184</v>
      </c>
      <c r="P1493" s="8" t="s">
        <v>203</v>
      </c>
      <c r="Q1493" s="8" t="s">
        <v>208</v>
      </c>
      <c r="R1493" s="8" t="s">
        <v>188</v>
      </c>
      <c r="S1493" s="8" t="s">
        <v>386</v>
      </c>
      <c r="T1493" s="8"/>
      <c r="U1493" s="8" t="s">
        <v>387</v>
      </c>
      <c r="V1493" s="8" t="s">
        <v>386</v>
      </c>
      <c r="W1493" s="8" t="s">
        <v>380</v>
      </c>
      <c r="X1493" s="8" t="s">
        <v>104</v>
      </c>
      <c r="Y1493" s="8" t="s">
        <v>23</v>
      </c>
    </row>
    <row r="1494" spans="1:25" hidden="1" x14ac:dyDescent="0.25">
      <c r="A1494" s="273" t="s">
        <v>315</v>
      </c>
      <c r="B1494" s="251">
        <v>45786</v>
      </c>
      <c r="C1494" s="252" t="s">
        <v>828</v>
      </c>
      <c r="D1494" s="252"/>
      <c r="E1494" s="253">
        <v>121</v>
      </c>
      <c r="F1494" s="253">
        <v>0</v>
      </c>
      <c r="G1494" s="274">
        <f>Tabla3[[#This Row],[INGRESOS]]-Tabla3[[#This Row],[EGRESOS]]</f>
        <v>-121</v>
      </c>
      <c r="H1494" s="137">
        <v>-14000457.16</v>
      </c>
      <c r="I1494" s="135">
        <v>1170</v>
      </c>
      <c r="J1494" s="136">
        <f>Tabla3[[#This Row],[EGRESOS]]/Tabla3[[#This Row],[TC]]</f>
        <v>0.10341880341880341</v>
      </c>
      <c r="K1494" s="136">
        <f>Tabla3[[#This Row],[INGRESOS]]/Tabla3[[#This Row],[TC]]</f>
        <v>0</v>
      </c>
      <c r="L1494" s="8" t="s">
        <v>376</v>
      </c>
      <c r="M1494" s="8" t="s">
        <v>377</v>
      </c>
      <c r="N1494" s="8" t="s">
        <v>20</v>
      </c>
      <c r="O1494" s="8" t="s">
        <v>184</v>
      </c>
      <c r="P1494" s="8" t="s">
        <v>185</v>
      </c>
      <c r="Q1494" s="8" t="s">
        <v>186</v>
      </c>
      <c r="R1494" s="8" t="s">
        <v>227</v>
      </c>
      <c r="S1494" s="8"/>
      <c r="T1494" s="8"/>
      <c r="U1494" s="8" t="s">
        <v>384</v>
      </c>
      <c r="V1494" s="8"/>
      <c r="W1494" s="8" t="s">
        <v>380</v>
      </c>
      <c r="X1494" s="8" t="s">
        <v>99</v>
      </c>
      <c r="Y1494" s="8" t="s">
        <v>23</v>
      </c>
    </row>
    <row r="1495" spans="1:25" hidden="1" x14ac:dyDescent="0.25">
      <c r="A1495" s="273" t="s">
        <v>315</v>
      </c>
      <c r="B1495" s="251">
        <v>45786</v>
      </c>
      <c r="C1495" s="252" t="s">
        <v>828</v>
      </c>
      <c r="D1495" s="252"/>
      <c r="E1495" s="253">
        <v>121</v>
      </c>
      <c r="F1495" s="253">
        <v>0</v>
      </c>
      <c r="G1495" s="274">
        <f>Tabla3[[#This Row],[INGRESOS]]-Tabla3[[#This Row],[EGRESOS]]</f>
        <v>-121</v>
      </c>
      <c r="H1495" s="137">
        <v>-14500578.16</v>
      </c>
      <c r="I1495" s="135">
        <v>1170</v>
      </c>
      <c r="J1495" s="136">
        <f>Tabla3[[#This Row],[EGRESOS]]/Tabla3[[#This Row],[TC]]</f>
        <v>0.10341880341880341</v>
      </c>
      <c r="K1495" s="136">
        <f>Tabla3[[#This Row],[INGRESOS]]/Tabla3[[#This Row],[TC]]</f>
        <v>0</v>
      </c>
      <c r="L1495" s="8" t="s">
        <v>376</v>
      </c>
      <c r="M1495" s="8" t="s">
        <v>377</v>
      </c>
      <c r="N1495" s="8" t="s">
        <v>20</v>
      </c>
      <c r="O1495" s="8" t="s">
        <v>184</v>
      </c>
      <c r="P1495" s="8" t="s">
        <v>185</v>
      </c>
      <c r="Q1495" s="8" t="s">
        <v>186</v>
      </c>
      <c r="R1495" s="8" t="s">
        <v>227</v>
      </c>
      <c r="S1495" s="8"/>
      <c r="T1495" s="8"/>
      <c r="U1495" s="8" t="s">
        <v>384</v>
      </c>
      <c r="V1495" s="8"/>
      <c r="W1495" s="8" t="s">
        <v>380</v>
      </c>
      <c r="X1495" s="8" t="s">
        <v>99</v>
      </c>
      <c r="Y1495" s="8" t="s">
        <v>23</v>
      </c>
    </row>
    <row r="1496" spans="1:25" hidden="1" x14ac:dyDescent="0.25">
      <c r="A1496" s="273" t="s">
        <v>315</v>
      </c>
      <c r="B1496" s="251">
        <v>45786</v>
      </c>
      <c r="C1496" s="252" t="s">
        <v>762</v>
      </c>
      <c r="D1496" s="252"/>
      <c r="E1496" s="253">
        <v>13860</v>
      </c>
      <c r="F1496" s="253">
        <v>0</v>
      </c>
      <c r="G1496" s="274">
        <f>Tabla3[[#This Row],[INGRESOS]]-Tabla3[[#This Row],[EGRESOS]]</f>
        <v>-13860</v>
      </c>
      <c r="H1496" s="137">
        <v>-14514438.16</v>
      </c>
      <c r="I1496" s="135">
        <v>1170</v>
      </c>
      <c r="J1496" s="136">
        <f>Tabla3[[#This Row],[EGRESOS]]/Tabla3[[#This Row],[TC]]</f>
        <v>11.846153846153847</v>
      </c>
      <c r="K1496" s="136">
        <f>Tabla3[[#This Row],[INGRESOS]]/Tabla3[[#This Row],[TC]]</f>
        <v>0</v>
      </c>
      <c r="L1496" s="8" t="s">
        <v>376</v>
      </c>
      <c r="M1496" s="8" t="s">
        <v>377</v>
      </c>
      <c r="N1496" s="8" t="s">
        <v>20</v>
      </c>
      <c r="O1496" s="8" t="s">
        <v>184</v>
      </c>
      <c r="P1496" s="8" t="s">
        <v>195</v>
      </c>
      <c r="Q1496" s="8" t="s">
        <v>196</v>
      </c>
      <c r="R1496" s="8" t="s">
        <v>382</v>
      </c>
      <c r="S1496" s="8" t="s">
        <v>383</v>
      </c>
      <c r="T1496" s="8"/>
      <c r="U1496" s="8" t="s">
        <v>384</v>
      </c>
      <c r="V1496" s="8"/>
      <c r="W1496" s="8" t="s">
        <v>380</v>
      </c>
      <c r="X1496" s="8" t="s">
        <v>99</v>
      </c>
      <c r="Y1496" s="8" t="s">
        <v>23</v>
      </c>
    </row>
    <row r="1497" spans="1:25" hidden="1" x14ac:dyDescent="0.25">
      <c r="A1497" s="273" t="s">
        <v>315</v>
      </c>
      <c r="B1497" s="251">
        <v>45786</v>
      </c>
      <c r="C1497" s="252" t="s">
        <v>763</v>
      </c>
      <c r="D1497" s="252"/>
      <c r="E1497" s="253">
        <v>1980</v>
      </c>
      <c r="F1497" s="253">
        <v>0</v>
      </c>
      <c r="G1497" s="274">
        <f>Tabla3[[#This Row],[INGRESOS]]-Tabla3[[#This Row],[EGRESOS]]</f>
        <v>-1980</v>
      </c>
      <c r="H1497" s="137">
        <v>-14516418.16</v>
      </c>
      <c r="I1497" s="135">
        <v>1170</v>
      </c>
      <c r="J1497" s="136">
        <f>Tabla3[[#This Row],[EGRESOS]]/Tabla3[[#This Row],[TC]]</f>
        <v>1.6923076923076923</v>
      </c>
      <c r="K1497" s="136">
        <f>Tabla3[[#This Row],[INGRESOS]]/Tabla3[[#This Row],[TC]]</f>
        <v>0</v>
      </c>
      <c r="L1497" s="8" t="s">
        <v>376</v>
      </c>
      <c r="M1497" s="8" t="s">
        <v>377</v>
      </c>
      <c r="N1497" s="8" t="s">
        <v>20</v>
      </c>
      <c r="O1497" s="8" t="s">
        <v>184</v>
      </c>
      <c r="P1497" s="8" t="s">
        <v>195</v>
      </c>
      <c r="Q1497" s="8" t="s">
        <v>196</v>
      </c>
      <c r="R1497" s="8" t="s">
        <v>417</v>
      </c>
      <c r="S1497" s="8" t="s">
        <v>383</v>
      </c>
      <c r="T1497" s="8"/>
      <c r="U1497" s="8" t="s">
        <v>384</v>
      </c>
      <c r="V1497" s="8"/>
      <c r="W1497" s="8" t="s">
        <v>380</v>
      </c>
      <c r="X1497" s="8" t="s">
        <v>99</v>
      </c>
      <c r="Y1497" s="8" t="s">
        <v>23</v>
      </c>
    </row>
    <row r="1498" spans="1:25" hidden="1" x14ac:dyDescent="0.25">
      <c r="A1498" s="273" t="s">
        <v>315</v>
      </c>
      <c r="B1498" s="251">
        <v>45786</v>
      </c>
      <c r="C1498" s="252" t="s">
        <v>803</v>
      </c>
      <c r="D1498" s="252"/>
      <c r="E1498" s="253">
        <v>66000</v>
      </c>
      <c r="F1498" s="253">
        <v>0</v>
      </c>
      <c r="G1498" s="274">
        <f>Tabla3[[#This Row],[INGRESOS]]-Tabla3[[#This Row],[EGRESOS]]</f>
        <v>-66000</v>
      </c>
      <c r="H1498" s="137">
        <v>-14582418.16</v>
      </c>
      <c r="I1498" s="135">
        <v>1170</v>
      </c>
      <c r="J1498" s="136">
        <f>Tabla3[[#This Row],[EGRESOS]]/Tabla3[[#This Row],[TC]]</f>
        <v>56.410256410256409</v>
      </c>
      <c r="K1498" s="136">
        <f>Tabla3[[#This Row],[INGRESOS]]/Tabla3[[#This Row],[TC]]</f>
        <v>0</v>
      </c>
      <c r="L1498" s="8" t="s">
        <v>376</v>
      </c>
      <c r="M1498" s="8" t="s">
        <v>377</v>
      </c>
      <c r="N1498" s="8" t="s">
        <v>20</v>
      </c>
      <c r="O1498" s="8" t="s">
        <v>184</v>
      </c>
      <c r="P1498" s="8" t="s">
        <v>185</v>
      </c>
      <c r="Q1498" s="8" t="s">
        <v>186</v>
      </c>
      <c r="R1498" s="8" t="s">
        <v>227</v>
      </c>
      <c r="S1498" s="8"/>
      <c r="T1498" s="8"/>
      <c r="U1498" s="8" t="s">
        <v>384</v>
      </c>
      <c r="V1498" s="8"/>
      <c r="W1498" s="8" t="s">
        <v>380</v>
      </c>
      <c r="X1498" s="8" t="s">
        <v>99</v>
      </c>
      <c r="Y1498" s="8" t="s">
        <v>23</v>
      </c>
    </row>
    <row r="1499" spans="1:25" hidden="1" x14ac:dyDescent="0.25">
      <c r="A1499" s="273" t="s">
        <v>315</v>
      </c>
      <c r="B1499" s="251">
        <v>45786</v>
      </c>
      <c r="C1499" s="252" t="s">
        <v>760</v>
      </c>
      <c r="D1499" s="252"/>
      <c r="E1499" s="253">
        <v>53744.639999999999</v>
      </c>
      <c r="F1499" s="253">
        <v>0</v>
      </c>
      <c r="G1499" s="274">
        <f>Tabla3[[#This Row],[INGRESOS]]-Tabla3[[#This Row],[EGRESOS]]</f>
        <v>-53744.639999999999</v>
      </c>
      <c r="H1499" s="137">
        <v>-14636162.800000001</v>
      </c>
      <c r="I1499" s="135">
        <v>1170</v>
      </c>
      <c r="J1499" s="136">
        <f>Tabla3[[#This Row],[EGRESOS]]/Tabla3[[#This Row],[TC]]</f>
        <v>45.935589743589745</v>
      </c>
      <c r="K1499" s="136">
        <f>Tabla3[[#This Row],[INGRESOS]]/Tabla3[[#This Row],[TC]]</f>
        <v>0</v>
      </c>
      <c r="L1499" s="8" t="s">
        <v>376</v>
      </c>
      <c r="M1499" s="8" t="s">
        <v>377</v>
      </c>
      <c r="N1499" s="8" t="s">
        <v>20</v>
      </c>
      <c r="O1499" s="8" t="s">
        <v>184</v>
      </c>
      <c r="P1499" s="8" t="s">
        <v>195</v>
      </c>
      <c r="Q1499" s="8" t="s">
        <v>196</v>
      </c>
      <c r="R1499" s="8" t="s">
        <v>394</v>
      </c>
      <c r="S1499" s="8" t="s">
        <v>383</v>
      </c>
      <c r="T1499" s="8"/>
      <c r="U1499" s="8" t="s">
        <v>384</v>
      </c>
      <c r="V1499" s="8"/>
      <c r="W1499" s="8" t="s">
        <v>380</v>
      </c>
      <c r="X1499" s="8" t="s">
        <v>99</v>
      </c>
      <c r="Y1499" s="8" t="s">
        <v>23</v>
      </c>
    </row>
    <row r="1500" spans="1:25" hidden="1" x14ac:dyDescent="0.25">
      <c r="A1500" s="273" t="s">
        <v>315</v>
      </c>
      <c r="B1500" s="251">
        <v>45786</v>
      </c>
      <c r="C1500" s="252" t="s">
        <v>760</v>
      </c>
      <c r="D1500" s="252"/>
      <c r="E1500" s="253">
        <v>15492.5</v>
      </c>
      <c r="F1500" s="253">
        <v>0</v>
      </c>
      <c r="G1500" s="274">
        <f>Tabla3[[#This Row],[INGRESOS]]-Tabla3[[#This Row],[EGRESOS]]</f>
        <v>-15492.5</v>
      </c>
      <c r="H1500" s="137">
        <v>-14651655.300000001</v>
      </c>
      <c r="I1500" s="135">
        <v>1170</v>
      </c>
      <c r="J1500" s="136">
        <f>Tabla3[[#This Row],[EGRESOS]]/Tabla3[[#This Row],[TC]]</f>
        <v>13.241452991452991</v>
      </c>
      <c r="K1500" s="136">
        <f>Tabla3[[#This Row],[INGRESOS]]/Tabla3[[#This Row],[TC]]</f>
        <v>0</v>
      </c>
      <c r="L1500" s="8" t="s">
        <v>376</v>
      </c>
      <c r="M1500" s="8" t="s">
        <v>377</v>
      </c>
      <c r="N1500" s="8" t="s">
        <v>20</v>
      </c>
      <c r="O1500" s="8" t="s">
        <v>184</v>
      </c>
      <c r="P1500" s="8" t="s">
        <v>195</v>
      </c>
      <c r="Q1500" s="8" t="s">
        <v>196</v>
      </c>
      <c r="R1500" s="8" t="s">
        <v>394</v>
      </c>
      <c r="S1500" s="8" t="s">
        <v>383</v>
      </c>
      <c r="T1500" s="8"/>
      <c r="U1500" s="8" t="s">
        <v>384</v>
      </c>
      <c r="V1500" s="8"/>
      <c r="W1500" s="8" t="s">
        <v>380</v>
      </c>
      <c r="X1500" s="8" t="s">
        <v>99</v>
      </c>
      <c r="Y1500" s="8" t="s">
        <v>23</v>
      </c>
    </row>
    <row r="1501" spans="1:25" hidden="1" x14ac:dyDescent="0.25">
      <c r="A1501" s="273" t="s">
        <v>315</v>
      </c>
      <c r="B1501" s="251">
        <v>45786</v>
      </c>
      <c r="C1501" s="252" t="s">
        <v>800</v>
      </c>
      <c r="D1501" s="252"/>
      <c r="E1501" s="253">
        <v>500000</v>
      </c>
      <c r="F1501" s="253">
        <v>0</v>
      </c>
      <c r="G1501" s="274">
        <f>Tabla3[[#This Row],[INGRESOS]]-Tabla3[[#This Row],[EGRESOS]]</f>
        <v>-500000</v>
      </c>
      <c r="H1501" s="137">
        <v>-14500457.16</v>
      </c>
      <c r="I1501" s="135">
        <v>1170</v>
      </c>
      <c r="J1501" s="136">
        <f>Tabla3[[#This Row],[EGRESOS]]/Tabla3[[#This Row],[TC]]</f>
        <v>427.35042735042737</v>
      </c>
      <c r="K1501" s="136">
        <f>Tabla3[[#This Row],[INGRESOS]]/Tabla3[[#This Row],[TC]]</f>
        <v>0</v>
      </c>
      <c r="L1501" s="8" t="s">
        <v>376</v>
      </c>
      <c r="M1501" s="8" t="s">
        <v>377</v>
      </c>
      <c r="N1501" s="8" t="s">
        <v>20</v>
      </c>
      <c r="O1501" s="8" t="s">
        <v>184</v>
      </c>
      <c r="P1501" s="8" t="s">
        <v>203</v>
      </c>
      <c r="Q1501" s="8" t="s">
        <v>208</v>
      </c>
      <c r="R1501" s="8" t="s">
        <v>624</v>
      </c>
      <c r="S1501" s="8" t="s">
        <v>414</v>
      </c>
      <c r="T1501" s="8"/>
      <c r="U1501" s="8" t="s">
        <v>530</v>
      </c>
      <c r="V1501" s="8" t="s">
        <v>415</v>
      </c>
      <c r="W1501" s="8" t="s">
        <v>380</v>
      </c>
      <c r="X1501" s="8" t="s">
        <v>102</v>
      </c>
      <c r="Y1501" s="8" t="s">
        <v>23</v>
      </c>
    </row>
    <row r="1502" spans="1:25" hidden="1" x14ac:dyDescent="0.25">
      <c r="A1502" s="273" t="s">
        <v>315</v>
      </c>
      <c r="B1502" s="251">
        <v>45789</v>
      </c>
      <c r="C1502" s="252" t="s">
        <v>762</v>
      </c>
      <c r="D1502" s="252"/>
      <c r="E1502" s="253">
        <v>5355</v>
      </c>
      <c r="F1502" s="253">
        <v>0</v>
      </c>
      <c r="G1502" s="274">
        <f>Tabla3[[#This Row],[INGRESOS]]-Tabla3[[#This Row],[EGRESOS]]</f>
        <v>-5355</v>
      </c>
      <c r="H1502" s="137">
        <v>-14657010.300000001</v>
      </c>
      <c r="I1502" s="135">
        <v>1170</v>
      </c>
      <c r="J1502" s="136">
        <f>Tabla3[[#This Row],[EGRESOS]]/Tabla3[[#This Row],[TC]]</f>
        <v>4.5769230769230766</v>
      </c>
      <c r="K1502" s="136">
        <f>Tabla3[[#This Row],[INGRESOS]]/Tabla3[[#This Row],[TC]]</f>
        <v>0</v>
      </c>
      <c r="L1502" s="8" t="s">
        <v>376</v>
      </c>
      <c r="M1502" s="8" t="s">
        <v>377</v>
      </c>
      <c r="N1502" s="8" t="s">
        <v>20</v>
      </c>
      <c r="O1502" s="8" t="s">
        <v>184</v>
      </c>
      <c r="P1502" s="8" t="s">
        <v>195</v>
      </c>
      <c r="Q1502" s="8" t="s">
        <v>196</v>
      </c>
      <c r="R1502" s="8" t="s">
        <v>382</v>
      </c>
      <c r="S1502" s="8" t="s">
        <v>383</v>
      </c>
      <c r="T1502" s="8"/>
      <c r="U1502" s="8" t="s">
        <v>384</v>
      </c>
      <c r="V1502" s="8"/>
      <c r="W1502" s="8" t="s">
        <v>380</v>
      </c>
      <c r="X1502" s="8" t="s">
        <v>99</v>
      </c>
      <c r="Y1502" s="8" t="s">
        <v>23</v>
      </c>
    </row>
    <row r="1503" spans="1:25" hidden="1" x14ac:dyDescent="0.25">
      <c r="A1503" s="273" t="s">
        <v>315</v>
      </c>
      <c r="B1503" s="251">
        <v>45789</v>
      </c>
      <c r="C1503" s="252" t="s">
        <v>763</v>
      </c>
      <c r="D1503" s="252"/>
      <c r="E1503" s="253">
        <v>765</v>
      </c>
      <c r="F1503" s="253">
        <v>0</v>
      </c>
      <c r="G1503" s="274">
        <f>Tabla3[[#This Row],[INGRESOS]]-Tabla3[[#This Row],[EGRESOS]]</f>
        <v>-765</v>
      </c>
      <c r="H1503" s="137">
        <v>-14657775.300000001</v>
      </c>
      <c r="I1503" s="135">
        <v>1170</v>
      </c>
      <c r="J1503" s="136">
        <f>Tabla3[[#This Row],[EGRESOS]]/Tabla3[[#This Row],[TC]]</f>
        <v>0.65384615384615385</v>
      </c>
      <c r="K1503" s="136">
        <f>Tabla3[[#This Row],[INGRESOS]]/Tabla3[[#This Row],[TC]]</f>
        <v>0</v>
      </c>
      <c r="L1503" s="8" t="s">
        <v>376</v>
      </c>
      <c r="M1503" s="8" t="s">
        <v>377</v>
      </c>
      <c r="N1503" s="8" t="s">
        <v>20</v>
      </c>
      <c r="O1503" s="8" t="s">
        <v>184</v>
      </c>
      <c r="P1503" s="8" t="s">
        <v>195</v>
      </c>
      <c r="Q1503" s="8" t="s">
        <v>196</v>
      </c>
      <c r="R1503" s="8" t="s">
        <v>417</v>
      </c>
      <c r="S1503" s="8" t="s">
        <v>383</v>
      </c>
      <c r="T1503" s="8"/>
      <c r="U1503" s="8" t="s">
        <v>384</v>
      </c>
      <c r="V1503" s="8"/>
      <c r="W1503" s="8" t="s">
        <v>380</v>
      </c>
      <c r="X1503" s="8" t="s">
        <v>99</v>
      </c>
      <c r="Y1503" s="8" t="s">
        <v>23</v>
      </c>
    </row>
    <row r="1504" spans="1:25" hidden="1" x14ac:dyDescent="0.25">
      <c r="A1504" s="273" t="s">
        <v>315</v>
      </c>
      <c r="B1504" s="251">
        <v>45789</v>
      </c>
      <c r="C1504" s="252" t="s">
        <v>936</v>
      </c>
      <c r="D1504" s="252"/>
      <c r="E1504" s="253">
        <v>25500</v>
      </c>
      <c r="F1504" s="253">
        <v>0</v>
      </c>
      <c r="G1504" s="274">
        <f>Tabla3[[#This Row],[INGRESOS]]-Tabla3[[#This Row],[EGRESOS]]</f>
        <v>-25500</v>
      </c>
      <c r="H1504" s="137">
        <v>-14683275.300000001</v>
      </c>
      <c r="I1504" s="135">
        <v>1170</v>
      </c>
      <c r="J1504" s="136">
        <f>Tabla3[[#This Row],[EGRESOS]]/Tabla3[[#This Row],[TC]]</f>
        <v>21.794871794871796</v>
      </c>
      <c r="K1504" s="136">
        <f>Tabla3[[#This Row],[INGRESOS]]/Tabla3[[#This Row],[TC]]</f>
        <v>0</v>
      </c>
      <c r="L1504" s="8" t="s">
        <v>376</v>
      </c>
      <c r="M1504" s="8" t="s">
        <v>377</v>
      </c>
      <c r="N1504" s="8" t="s">
        <v>20</v>
      </c>
      <c r="O1504" s="8" t="s">
        <v>184</v>
      </c>
      <c r="P1504" s="8" t="s">
        <v>185</v>
      </c>
      <c r="Q1504" s="8" t="s">
        <v>186</v>
      </c>
      <c r="R1504" s="8" t="s">
        <v>227</v>
      </c>
      <c r="S1504" s="8"/>
      <c r="T1504" s="8"/>
      <c r="U1504" s="8" t="s">
        <v>384</v>
      </c>
      <c r="V1504" s="8"/>
      <c r="W1504" s="8" t="s">
        <v>380</v>
      </c>
      <c r="X1504" s="8" t="s">
        <v>99</v>
      </c>
      <c r="Y1504" s="8" t="s">
        <v>23</v>
      </c>
    </row>
    <row r="1505" spans="1:25" hidden="1" x14ac:dyDescent="0.25">
      <c r="A1505" s="273" t="s">
        <v>316</v>
      </c>
      <c r="B1505" s="251">
        <v>45818</v>
      </c>
      <c r="C1505" s="252" t="s">
        <v>800</v>
      </c>
      <c r="D1505" s="252"/>
      <c r="E1505" s="253">
        <v>1000000</v>
      </c>
      <c r="F1505" s="253">
        <v>0</v>
      </c>
      <c r="G1505" s="274">
        <f>Tabla3[[#This Row],[INGRESOS]]-Tabla3[[#This Row],[EGRESOS]]</f>
        <v>-1000000</v>
      </c>
      <c r="H1505" s="274">
        <v>16910477.629999999</v>
      </c>
      <c r="I1505" s="135">
        <v>1170</v>
      </c>
      <c r="J1505" s="136">
        <f>Tabla3[[#This Row],[EGRESOS]]/Tabla3[[#This Row],[TC]]</f>
        <v>854.70085470085473</v>
      </c>
      <c r="K1505" s="136">
        <f>Tabla3[[#This Row],[INGRESOS]]/Tabla3[[#This Row],[TC]]</f>
        <v>0</v>
      </c>
      <c r="L1505" s="8" t="s">
        <v>376</v>
      </c>
      <c r="M1505" s="8" t="s">
        <v>377</v>
      </c>
      <c r="N1505" s="8" t="s">
        <v>20</v>
      </c>
      <c r="O1505" s="8" t="s">
        <v>184</v>
      </c>
      <c r="P1505" s="8" t="s">
        <v>203</v>
      </c>
      <c r="Q1505" s="8" t="s">
        <v>208</v>
      </c>
      <c r="R1505" s="8" t="s">
        <v>188</v>
      </c>
      <c r="S1505" s="8" t="s">
        <v>386</v>
      </c>
      <c r="T1505" s="8"/>
      <c r="U1505" s="8" t="s">
        <v>387</v>
      </c>
      <c r="V1505" s="8" t="s">
        <v>386</v>
      </c>
      <c r="W1505" s="8" t="s">
        <v>380</v>
      </c>
      <c r="X1505" s="8" t="s">
        <v>104</v>
      </c>
      <c r="Y1505" s="8" t="s">
        <v>23</v>
      </c>
    </row>
    <row r="1506" spans="1:25" hidden="1" x14ac:dyDescent="0.25">
      <c r="A1506" s="273" t="s">
        <v>315</v>
      </c>
      <c r="B1506" s="251">
        <v>45789</v>
      </c>
      <c r="C1506" s="252" t="s">
        <v>828</v>
      </c>
      <c r="D1506" s="252"/>
      <c r="E1506" s="253">
        <v>121</v>
      </c>
      <c r="F1506" s="253">
        <v>0</v>
      </c>
      <c r="G1506" s="274">
        <f>Tabla3[[#This Row],[INGRESOS]]-Tabla3[[#This Row],[EGRESOS]]</f>
        <v>-121</v>
      </c>
      <c r="H1506" s="137">
        <v>-16683396.300000001</v>
      </c>
      <c r="I1506" s="135">
        <v>1170</v>
      </c>
      <c r="J1506" s="136">
        <f>Tabla3[[#This Row],[EGRESOS]]/Tabla3[[#This Row],[TC]]</f>
        <v>0.10341880341880341</v>
      </c>
      <c r="K1506" s="136">
        <f>Tabla3[[#This Row],[INGRESOS]]/Tabla3[[#This Row],[TC]]</f>
        <v>0</v>
      </c>
      <c r="L1506" s="8" t="s">
        <v>376</v>
      </c>
      <c r="M1506" s="8" t="s">
        <v>377</v>
      </c>
      <c r="N1506" s="8" t="s">
        <v>20</v>
      </c>
      <c r="O1506" s="8" t="s">
        <v>184</v>
      </c>
      <c r="P1506" s="8" t="s">
        <v>185</v>
      </c>
      <c r="Q1506" s="8" t="s">
        <v>186</v>
      </c>
      <c r="R1506" s="8" t="s">
        <v>227</v>
      </c>
      <c r="S1506" s="8"/>
      <c r="T1506" s="8"/>
      <c r="U1506" s="8" t="s">
        <v>384</v>
      </c>
      <c r="V1506" s="8"/>
      <c r="W1506" s="8" t="s">
        <v>380</v>
      </c>
      <c r="X1506" s="8" t="s">
        <v>99</v>
      </c>
      <c r="Y1506" s="8" t="s">
        <v>23</v>
      </c>
    </row>
    <row r="1507" spans="1:25" hidden="1" x14ac:dyDescent="0.25">
      <c r="A1507" s="273" t="s">
        <v>315</v>
      </c>
      <c r="B1507" s="251">
        <v>45789</v>
      </c>
      <c r="C1507" s="252" t="s">
        <v>404</v>
      </c>
      <c r="D1507" s="252"/>
      <c r="E1507" s="253">
        <v>550000</v>
      </c>
      <c r="F1507" s="253">
        <v>0</v>
      </c>
      <c r="G1507" s="274">
        <f>Tabla3[[#This Row],[INGRESOS]]-Tabla3[[#This Row],[EGRESOS]]</f>
        <v>-550000</v>
      </c>
      <c r="H1507" s="137">
        <v>-17233396.300000001</v>
      </c>
      <c r="I1507" s="135">
        <v>1170</v>
      </c>
      <c r="J1507" s="136">
        <f>Tabla3[[#This Row],[EGRESOS]]/Tabla3[[#This Row],[TC]]</f>
        <v>470.08547008547009</v>
      </c>
      <c r="K1507" s="136">
        <f>Tabla3[[#This Row],[INGRESOS]]/Tabla3[[#This Row],[TC]]</f>
        <v>0</v>
      </c>
      <c r="L1507" s="8" t="s">
        <v>376</v>
      </c>
      <c r="M1507" s="8" t="s">
        <v>377</v>
      </c>
      <c r="N1507" s="8" t="s">
        <v>20</v>
      </c>
      <c r="O1507" s="8" t="s">
        <v>244</v>
      </c>
      <c r="P1507" s="8" t="s">
        <v>259</v>
      </c>
      <c r="Q1507" s="8" t="s">
        <v>260</v>
      </c>
      <c r="R1507" s="8" t="s">
        <v>579</v>
      </c>
      <c r="S1507" s="8"/>
      <c r="T1507" s="8"/>
      <c r="U1507" s="8" t="s">
        <v>379</v>
      </c>
      <c r="V1507" s="8"/>
      <c r="W1507" s="8"/>
      <c r="X1507" s="8"/>
      <c r="Y1507" s="8"/>
    </row>
    <row r="1508" spans="1:25" hidden="1" x14ac:dyDescent="0.25">
      <c r="A1508" s="273" t="s">
        <v>315</v>
      </c>
      <c r="B1508" s="251">
        <v>45789</v>
      </c>
      <c r="C1508" s="252" t="s">
        <v>828</v>
      </c>
      <c r="D1508" s="252"/>
      <c r="E1508" s="253">
        <v>121</v>
      </c>
      <c r="F1508" s="253">
        <v>0</v>
      </c>
      <c r="G1508" s="274">
        <f>Tabla3[[#This Row],[INGRESOS]]-Tabla3[[#This Row],[EGRESOS]]</f>
        <v>-121</v>
      </c>
      <c r="H1508" s="137">
        <v>-17233517.300000001</v>
      </c>
      <c r="I1508" s="135">
        <v>1170</v>
      </c>
      <c r="J1508" s="136">
        <f>Tabla3[[#This Row],[EGRESOS]]/Tabla3[[#This Row],[TC]]</f>
        <v>0.10341880341880341</v>
      </c>
      <c r="K1508" s="136">
        <f>Tabla3[[#This Row],[INGRESOS]]/Tabla3[[#This Row],[TC]]</f>
        <v>0</v>
      </c>
      <c r="L1508" s="8" t="s">
        <v>376</v>
      </c>
      <c r="M1508" s="8" t="s">
        <v>377</v>
      </c>
      <c r="N1508" s="8" t="s">
        <v>20</v>
      </c>
      <c r="O1508" s="8" t="s">
        <v>184</v>
      </c>
      <c r="P1508" s="8" t="s">
        <v>185</v>
      </c>
      <c r="Q1508" s="8" t="s">
        <v>186</v>
      </c>
      <c r="R1508" s="8" t="s">
        <v>227</v>
      </c>
      <c r="S1508" s="8"/>
      <c r="T1508" s="8"/>
      <c r="U1508" s="8" t="s">
        <v>384</v>
      </c>
      <c r="V1508" s="8"/>
      <c r="W1508" s="8" t="s">
        <v>380</v>
      </c>
      <c r="X1508" s="8" t="s">
        <v>99</v>
      </c>
      <c r="Y1508" s="8" t="s">
        <v>23</v>
      </c>
    </row>
    <row r="1509" spans="1:25" hidden="1" x14ac:dyDescent="0.25">
      <c r="A1509" s="273" t="s">
        <v>315</v>
      </c>
      <c r="B1509" s="251">
        <v>45789</v>
      </c>
      <c r="C1509" s="252" t="s">
        <v>800</v>
      </c>
      <c r="D1509" s="252"/>
      <c r="E1509" s="253">
        <v>471318</v>
      </c>
      <c r="F1509" s="253">
        <v>0</v>
      </c>
      <c r="G1509" s="274">
        <f>Tabla3[[#This Row],[INGRESOS]]-Tabla3[[#This Row],[EGRESOS]]</f>
        <v>-471318</v>
      </c>
      <c r="H1509" s="137">
        <v>-17704835.300000001</v>
      </c>
      <c r="I1509" s="135">
        <v>1170</v>
      </c>
      <c r="J1509" s="136">
        <f>Tabla3[[#This Row],[EGRESOS]]/Tabla3[[#This Row],[TC]]</f>
        <v>402.83589743589744</v>
      </c>
      <c r="K1509" s="136">
        <f>Tabla3[[#This Row],[INGRESOS]]/Tabla3[[#This Row],[TC]]</f>
        <v>0</v>
      </c>
      <c r="L1509" s="8" t="s">
        <v>376</v>
      </c>
      <c r="M1509" s="8" t="s">
        <v>377</v>
      </c>
      <c r="N1509" s="8" t="s">
        <v>20</v>
      </c>
      <c r="O1509" s="8" t="s">
        <v>184</v>
      </c>
      <c r="P1509" s="8" t="s">
        <v>199</v>
      </c>
      <c r="Q1509" s="8" t="s">
        <v>201</v>
      </c>
      <c r="R1509" s="8" t="s">
        <v>937</v>
      </c>
      <c r="S1509" s="8" t="s">
        <v>392</v>
      </c>
      <c r="T1509" s="8"/>
      <c r="U1509" s="8" t="s">
        <v>390</v>
      </c>
      <c r="V1509" s="8"/>
      <c r="W1509" s="8" t="s">
        <v>380</v>
      </c>
      <c r="X1509" s="8" t="s">
        <v>99</v>
      </c>
      <c r="Y1509" s="8" t="s">
        <v>23</v>
      </c>
    </row>
    <row r="1510" spans="1:25" hidden="1" x14ac:dyDescent="0.25">
      <c r="A1510" s="273" t="s">
        <v>315</v>
      </c>
      <c r="B1510" s="251">
        <v>45789</v>
      </c>
      <c r="C1510" s="252" t="s">
        <v>828</v>
      </c>
      <c r="D1510" s="252"/>
      <c r="E1510" s="253">
        <v>121</v>
      </c>
      <c r="F1510" s="253">
        <v>0</v>
      </c>
      <c r="G1510" s="274">
        <f>Tabla3[[#This Row],[INGRESOS]]-Tabla3[[#This Row],[EGRESOS]]</f>
        <v>-121</v>
      </c>
      <c r="H1510" s="137">
        <v>-17704956.300000001</v>
      </c>
      <c r="I1510" s="135">
        <v>1170</v>
      </c>
      <c r="J1510" s="136">
        <f>Tabla3[[#This Row],[EGRESOS]]/Tabla3[[#This Row],[TC]]</f>
        <v>0.10341880341880341</v>
      </c>
      <c r="K1510" s="136">
        <f>Tabla3[[#This Row],[INGRESOS]]/Tabla3[[#This Row],[TC]]</f>
        <v>0</v>
      </c>
      <c r="L1510" s="8" t="s">
        <v>376</v>
      </c>
      <c r="M1510" s="8" t="s">
        <v>377</v>
      </c>
      <c r="N1510" s="8" t="s">
        <v>20</v>
      </c>
      <c r="O1510" s="8" t="s">
        <v>184</v>
      </c>
      <c r="P1510" s="8" t="s">
        <v>185</v>
      </c>
      <c r="Q1510" s="8" t="s">
        <v>186</v>
      </c>
      <c r="R1510" s="8" t="s">
        <v>227</v>
      </c>
      <c r="S1510" s="8"/>
      <c r="T1510" s="8"/>
      <c r="U1510" s="8" t="s">
        <v>384</v>
      </c>
      <c r="V1510" s="8"/>
      <c r="W1510" s="8" t="s">
        <v>380</v>
      </c>
      <c r="X1510" s="8" t="s">
        <v>99</v>
      </c>
      <c r="Y1510" s="8" t="s">
        <v>23</v>
      </c>
    </row>
    <row r="1511" spans="1:25" hidden="1" x14ac:dyDescent="0.25">
      <c r="A1511" s="273" t="s">
        <v>315</v>
      </c>
      <c r="B1511" s="251">
        <v>45789</v>
      </c>
      <c r="C1511" s="252" t="s">
        <v>800</v>
      </c>
      <c r="D1511" s="252"/>
      <c r="E1511" s="253">
        <v>282000</v>
      </c>
      <c r="F1511" s="253">
        <v>0</v>
      </c>
      <c r="G1511" s="274">
        <f>Tabla3[[#This Row],[INGRESOS]]-Tabla3[[#This Row],[EGRESOS]]</f>
        <v>-282000</v>
      </c>
      <c r="H1511" s="137">
        <v>-17986956.300000001</v>
      </c>
      <c r="I1511" s="135">
        <v>1170</v>
      </c>
      <c r="J1511" s="136">
        <f>Tabla3[[#This Row],[EGRESOS]]/Tabla3[[#This Row],[TC]]</f>
        <v>241.02564102564102</v>
      </c>
      <c r="K1511" s="136">
        <f>Tabla3[[#This Row],[INGRESOS]]/Tabla3[[#This Row],[TC]]</f>
        <v>0</v>
      </c>
      <c r="L1511" s="8" t="s">
        <v>376</v>
      </c>
      <c r="M1511" s="8" t="s">
        <v>377</v>
      </c>
      <c r="N1511" s="8" t="s">
        <v>20</v>
      </c>
      <c r="O1511" s="8" t="s">
        <v>184</v>
      </c>
      <c r="P1511" s="8" t="s">
        <v>210</v>
      </c>
      <c r="Q1511" s="8" t="s">
        <v>205</v>
      </c>
      <c r="R1511" s="8" t="s">
        <v>933</v>
      </c>
      <c r="S1511" s="8" t="s">
        <v>524</v>
      </c>
      <c r="T1511" s="8"/>
      <c r="U1511" s="8" t="s">
        <v>453</v>
      </c>
      <c r="V1511" s="8"/>
      <c r="W1511" s="8" t="s">
        <v>380</v>
      </c>
      <c r="X1511" s="8" t="s">
        <v>39</v>
      </c>
      <c r="Y1511" s="8" t="s">
        <v>23</v>
      </c>
    </row>
    <row r="1512" spans="1:25" hidden="1" x14ac:dyDescent="0.25">
      <c r="A1512" s="273" t="s">
        <v>315</v>
      </c>
      <c r="B1512" s="251">
        <v>45789</v>
      </c>
      <c r="C1512" s="252" t="s">
        <v>828</v>
      </c>
      <c r="D1512" s="252"/>
      <c r="E1512" s="253">
        <v>18.149999999999999</v>
      </c>
      <c r="F1512" s="253">
        <v>0</v>
      </c>
      <c r="G1512" s="274">
        <f>Tabla3[[#This Row],[INGRESOS]]-Tabla3[[#This Row],[EGRESOS]]</f>
        <v>-18.149999999999999</v>
      </c>
      <c r="H1512" s="137">
        <v>-17986974.449999999</v>
      </c>
      <c r="I1512" s="135">
        <v>1170</v>
      </c>
      <c r="J1512" s="136">
        <f>Tabla3[[#This Row],[EGRESOS]]/Tabla3[[#This Row],[TC]]</f>
        <v>1.5512820512820512E-2</v>
      </c>
      <c r="K1512" s="136">
        <f>Tabla3[[#This Row],[INGRESOS]]/Tabla3[[#This Row],[TC]]</f>
        <v>0</v>
      </c>
      <c r="L1512" s="8" t="s">
        <v>376</v>
      </c>
      <c r="M1512" s="8" t="s">
        <v>377</v>
      </c>
      <c r="N1512" s="8" t="s">
        <v>20</v>
      </c>
      <c r="O1512" s="8" t="s">
        <v>184</v>
      </c>
      <c r="P1512" s="8" t="s">
        <v>185</v>
      </c>
      <c r="Q1512" s="8" t="s">
        <v>186</v>
      </c>
      <c r="R1512" s="8" t="s">
        <v>227</v>
      </c>
      <c r="S1512" s="8"/>
      <c r="T1512" s="8"/>
      <c r="U1512" s="8" t="s">
        <v>384</v>
      </c>
      <c r="V1512" s="8"/>
      <c r="W1512" s="8" t="s">
        <v>380</v>
      </c>
      <c r="X1512" s="8" t="s">
        <v>99</v>
      </c>
      <c r="Y1512" s="8" t="s">
        <v>23</v>
      </c>
    </row>
    <row r="1513" spans="1:25" hidden="1" x14ac:dyDescent="0.25">
      <c r="A1513" s="273" t="s">
        <v>315</v>
      </c>
      <c r="B1513" s="251">
        <v>45789</v>
      </c>
      <c r="C1513" s="252" t="s">
        <v>800</v>
      </c>
      <c r="D1513" s="252"/>
      <c r="E1513" s="253">
        <v>550000</v>
      </c>
      <c r="F1513" s="253">
        <v>0</v>
      </c>
      <c r="G1513" s="274">
        <f>Tabla3[[#This Row],[INGRESOS]]-Tabla3[[#This Row],[EGRESOS]]</f>
        <v>-550000</v>
      </c>
      <c r="H1513" s="137">
        <v>-18536974.449999999</v>
      </c>
      <c r="I1513" s="135">
        <v>1170</v>
      </c>
      <c r="J1513" s="136">
        <f>Tabla3[[#This Row],[EGRESOS]]/Tabla3[[#This Row],[TC]]</f>
        <v>470.08547008547009</v>
      </c>
      <c r="K1513" s="136">
        <f>Tabla3[[#This Row],[INGRESOS]]/Tabla3[[#This Row],[TC]]</f>
        <v>0</v>
      </c>
      <c r="L1513" s="8" t="s">
        <v>376</v>
      </c>
      <c r="M1513" s="8" t="s">
        <v>377</v>
      </c>
      <c r="N1513" s="8" t="s">
        <v>20</v>
      </c>
      <c r="O1513" s="8" t="s">
        <v>184</v>
      </c>
      <c r="P1513" s="8" t="s">
        <v>199</v>
      </c>
      <c r="Q1513" s="8" t="s">
        <v>201</v>
      </c>
      <c r="R1513" s="8" t="s">
        <v>938</v>
      </c>
      <c r="S1513" s="8" t="s">
        <v>389</v>
      </c>
      <c r="T1513" s="8"/>
      <c r="U1513" s="8" t="s">
        <v>390</v>
      </c>
      <c r="V1513" s="8"/>
      <c r="W1513" s="8" t="s">
        <v>380</v>
      </c>
      <c r="X1513" s="8" t="s">
        <v>99</v>
      </c>
      <c r="Y1513" s="8" t="s">
        <v>23</v>
      </c>
    </row>
    <row r="1514" spans="1:25" hidden="1" x14ac:dyDescent="0.25">
      <c r="A1514" s="273" t="s">
        <v>315</v>
      </c>
      <c r="B1514" s="251">
        <v>45789</v>
      </c>
      <c r="C1514" s="252" t="s">
        <v>828</v>
      </c>
      <c r="D1514" s="252"/>
      <c r="E1514" s="253">
        <v>121</v>
      </c>
      <c r="F1514" s="253">
        <v>0</v>
      </c>
      <c r="G1514" s="274">
        <f>Tabla3[[#This Row],[INGRESOS]]-Tabla3[[#This Row],[EGRESOS]]</f>
        <v>-121</v>
      </c>
      <c r="H1514" s="137">
        <v>-18537095.449999999</v>
      </c>
      <c r="I1514" s="135">
        <v>1170</v>
      </c>
      <c r="J1514" s="136">
        <f>Tabla3[[#This Row],[EGRESOS]]/Tabla3[[#This Row],[TC]]</f>
        <v>0.10341880341880341</v>
      </c>
      <c r="K1514" s="136">
        <f>Tabla3[[#This Row],[INGRESOS]]/Tabla3[[#This Row],[TC]]</f>
        <v>0</v>
      </c>
      <c r="L1514" s="8" t="s">
        <v>376</v>
      </c>
      <c r="M1514" s="8" t="s">
        <v>377</v>
      </c>
      <c r="N1514" s="8" t="s">
        <v>20</v>
      </c>
      <c r="O1514" s="8" t="s">
        <v>184</v>
      </c>
      <c r="P1514" s="8" t="s">
        <v>185</v>
      </c>
      <c r="Q1514" s="8" t="s">
        <v>186</v>
      </c>
      <c r="R1514" s="8" t="s">
        <v>227</v>
      </c>
      <c r="S1514" s="8"/>
      <c r="T1514" s="8"/>
      <c r="U1514" s="8" t="s">
        <v>384</v>
      </c>
      <c r="V1514" s="8"/>
      <c r="W1514" s="8" t="s">
        <v>380</v>
      </c>
      <c r="X1514" s="8" t="s">
        <v>99</v>
      </c>
      <c r="Y1514" s="8" t="s">
        <v>23</v>
      </c>
    </row>
    <row r="1515" spans="1:25" hidden="1" x14ac:dyDescent="0.25">
      <c r="A1515" s="273" t="s">
        <v>315</v>
      </c>
      <c r="B1515" s="251">
        <v>45789</v>
      </c>
      <c r="C1515" s="252" t="s">
        <v>800</v>
      </c>
      <c r="D1515" s="252"/>
      <c r="E1515" s="253">
        <v>90000</v>
      </c>
      <c r="F1515" s="253">
        <v>0</v>
      </c>
      <c r="G1515" s="274">
        <f>Tabla3[[#This Row],[INGRESOS]]-Tabla3[[#This Row],[EGRESOS]]</f>
        <v>-90000</v>
      </c>
      <c r="H1515" s="137">
        <v>-18627095.449999999</v>
      </c>
      <c r="I1515" s="135">
        <v>1170</v>
      </c>
      <c r="J1515" s="136">
        <f>Tabla3[[#This Row],[EGRESOS]]/Tabla3[[#This Row],[TC]]</f>
        <v>76.92307692307692</v>
      </c>
      <c r="K1515" s="136">
        <f>Tabla3[[#This Row],[INGRESOS]]/Tabla3[[#This Row],[TC]]</f>
        <v>0</v>
      </c>
      <c r="L1515" s="8" t="s">
        <v>376</v>
      </c>
      <c r="M1515" s="8" t="s">
        <v>377</v>
      </c>
      <c r="N1515" s="8" t="s">
        <v>20</v>
      </c>
      <c r="O1515" s="8" t="s">
        <v>184</v>
      </c>
      <c r="P1515" s="8" t="s">
        <v>203</v>
      </c>
      <c r="Q1515" s="8" t="s">
        <v>206</v>
      </c>
      <c r="R1515" s="8" t="s">
        <v>939</v>
      </c>
      <c r="S1515" s="8" t="s">
        <v>414</v>
      </c>
      <c r="T1515" s="8"/>
      <c r="U1515" s="8" t="s">
        <v>530</v>
      </c>
      <c r="V1515" s="8" t="s">
        <v>415</v>
      </c>
      <c r="W1515" s="8" t="s">
        <v>380</v>
      </c>
      <c r="X1515" s="8" t="s">
        <v>102</v>
      </c>
      <c r="Y1515" s="8" t="s">
        <v>23</v>
      </c>
    </row>
    <row r="1516" spans="1:25" hidden="1" x14ac:dyDescent="0.25">
      <c r="A1516" s="273" t="s">
        <v>315</v>
      </c>
      <c r="B1516" s="251">
        <v>45789</v>
      </c>
      <c r="C1516" s="252" t="s">
        <v>823</v>
      </c>
      <c r="D1516" s="252"/>
      <c r="E1516" s="253">
        <v>1173709</v>
      </c>
      <c r="F1516" s="253">
        <v>0</v>
      </c>
      <c r="G1516" s="274">
        <f>Tabla3[[#This Row],[INGRESOS]]-Tabla3[[#This Row],[EGRESOS]]</f>
        <v>-1173709</v>
      </c>
      <c r="H1516" s="137">
        <v>-19800804.449999999</v>
      </c>
      <c r="I1516" s="135">
        <v>1170</v>
      </c>
      <c r="J1516" s="136">
        <f>Tabla3[[#This Row],[EGRESOS]]/Tabla3[[#This Row],[TC]]</f>
        <v>1003.1700854700855</v>
      </c>
      <c r="K1516" s="136">
        <f>Tabla3[[#This Row],[INGRESOS]]/Tabla3[[#This Row],[TC]]</f>
        <v>0</v>
      </c>
      <c r="L1516" s="8" t="s">
        <v>376</v>
      </c>
      <c r="M1516" s="8" t="s">
        <v>377</v>
      </c>
      <c r="N1516" s="8" t="s">
        <v>20</v>
      </c>
      <c r="O1516" s="8" t="s">
        <v>184</v>
      </c>
      <c r="P1516" s="8" t="s">
        <v>195</v>
      </c>
      <c r="Q1516" s="8" t="s">
        <v>196</v>
      </c>
      <c r="R1516" s="8" t="s">
        <v>940</v>
      </c>
      <c r="S1516" s="8" t="s">
        <v>69</v>
      </c>
      <c r="T1516" s="8"/>
      <c r="U1516" s="8" t="s">
        <v>825</v>
      </c>
      <c r="V1516" s="8"/>
      <c r="W1516" s="8" t="s">
        <v>380</v>
      </c>
      <c r="X1516" s="8" t="s">
        <v>99</v>
      </c>
      <c r="Y1516" s="8" t="s">
        <v>23</v>
      </c>
    </row>
    <row r="1517" spans="1:25" hidden="1" x14ac:dyDescent="0.25">
      <c r="A1517" s="273" t="s">
        <v>315</v>
      </c>
      <c r="B1517" s="251">
        <v>45789</v>
      </c>
      <c r="C1517" s="252" t="s">
        <v>760</v>
      </c>
      <c r="D1517" s="252"/>
      <c r="E1517" s="253">
        <v>27594.91</v>
      </c>
      <c r="F1517" s="253">
        <v>0</v>
      </c>
      <c r="G1517" s="274">
        <f>Tabla3[[#This Row],[INGRESOS]]-Tabla3[[#This Row],[EGRESOS]]</f>
        <v>-27594.91</v>
      </c>
      <c r="H1517" s="137">
        <v>-19828399.359999999</v>
      </c>
      <c r="I1517" s="135">
        <v>1170</v>
      </c>
      <c r="J1517" s="136">
        <f>Tabla3[[#This Row],[EGRESOS]]/Tabla3[[#This Row],[TC]]</f>
        <v>23.585393162393164</v>
      </c>
      <c r="K1517" s="136">
        <f>Tabla3[[#This Row],[INGRESOS]]/Tabla3[[#This Row],[TC]]</f>
        <v>0</v>
      </c>
      <c r="L1517" s="8" t="s">
        <v>376</v>
      </c>
      <c r="M1517" s="8" t="s">
        <v>377</v>
      </c>
      <c r="N1517" s="8" t="s">
        <v>20</v>
      </c>
      <c r="O1517" s="8" t="s">
        <v>184</v>
      </c>
      <c r="P1517" s="8" t="s">
        <v>195</v>
      </c>
      <c r="Q1517" s="8" t="s">
        <v>196</v>
      </c>
      <c r="R1517" s="8" t="s">
        <v>394</v>
      </c>
      <c r="S1517" s="8"/>
      <c r="T1517" s="8"/>
      <c r="U1517" s="8" t="s">
        <v>384</v>
      </c>
      <c r="V1517" s="8"/>
      <c r="W1517" s="8" t="s">
        <v>380</v>
      </c>
      <c r="X1517" s="8" t="s">
        <v>99</v>
      </c>
      <c r="Y1517" s="8" t="s">
        <v>23</v>
      </c>
    </row>
    <row r="1518" spans="1:25" hidden="1" x14ac:dyDescent="0.25">
      <c r="A1518" s="273" t="s">
        <v>315</v>
      </c>
      <c r="B1518" s="251">
        <v>45791</v>
      </c>
      <c r="C1518" s="252" t="s">
        <v>782</v>
      </c>
      <c r="D1518" s="252" t="s">
        <v>941</v>
      </c>
      <c r="E1518" s="253">
        <v>995000</v>
      </c>
      <c r="F1518" s="253">
        <v>0</v>
      </c>
      <c r="G1518" s="274">
        <f>Tabla3[[#This Row],[INGRESOS]]-Tabla3[[#This Row],[EGRESOS]]</f>
        <v>-995000</v>
      </c>
      <c r="H1518" s="137">
        <v>-20823399.359999999</v>
      </c>
      <c r="I1518" s="135">
        <v>1170</v>
      </c>
      <c r="J1518" s="136">
        <f>Tabla3[[#This Row],[EGRESOS]]/Tabla3[[#This Row],[TC]]</f>
        <v>850.42735042735046</v>
      </c>
      <c r="K1518" s="136">
        <f>Tabla3[[#This Row],[INGRESOS]]/Tabla3[[#This Row],[TC]]</f>
        <v>0</v>
      </c>
      <c r="L1518" s="8" t="s">
        <v>376</v>
      </c>
      <c r="M1518" s="8" t="s">
        <v>377</v>
      </c>
      <c r="N1518" s="8" t="s">
        <v>20</v>
      </c>
      <c r="O1518" s="8" t="s">
        <v>215</v>
      </c>
      <c r="P1518" s="8" t="s">
        <v>216</v>
      </c>
      <c r="Q1518" s="8" t="s">
        <v>219</v>
      </c>
      <c r="R1518" s="8" t="s">
        <v>942</v>
      </c>
      <c r="S1518" s="8" t="s">
        <v>637</v>
      </c>
      <c r="T1518" s="8" t="s">
        <v>943</v>
      </c>
      <c r="U1518" s="8" t="s">
        <v>412</v>
      </c>
      <c r="V1518" s="8"/>
      <c r="W1518" s="8" t="s">
        <v>380</v>
      </c>
      <c r="X1518" s="8" t="s">
        <v>29</v>
      </c>
      <c r="Y1518" s="8" t="s">
        <v>23</v>
      </c>
    </row>
    <row r="1519" spans="1:25" hidden="1" x14ac:dyDescent="0.25">
      <c r="A1519" s="273" t="s">
        <v>315</v>
      </c>
      <c r="B1519" s="251">
        <v>45791</v>
      </c>
      <c r="C1519" s="252" t="s">
        <v>762</v>
      </c>
      <c r="D1519" s="252"/>
      <c r="E1519" s="253">
        <v>3024</v>
      </c>
      <c r="F1519" s="253">
        <v>0</v>
      </c>
      <c r="G1519" s="274">
        <f>Tabla3[[#This Row],[INGRESOS]]-Tabla3[[#This Row],[EGRESOS]]</f>
        <v>-3024</v>
      </c>
      <c r="H1519" s="137">
        <v>-20826423.359999999</v>
      </c>
      <c r="I1519" s="135">
        <v>1170</v>
      </c>
      <c r="J1519" s="136">
        <f>Tabla3[[#This Row],[EGRESOS]]/Tabla3[[#This Row],[TC]]</f>
        <v>2.5846153846153848</v>
      </c>
      <c r="K1519" s="136">
        <f>Tabla3[[#This Row],[INGRESOS]]/Tabla3[[#This Row],[TC]]</f>
        <v>0</v>
      </c>
      <c r="L1519" s="8" t="s">
        <v>376</v>
      </c>
      <c r="M1519" s="8" t="s">
        <v>377</v>
      </c>
      <c r="N1519" s="8" t="s">
        <v>20</v>
      </c>
      <c r="O1519" s="8" t="s">
        <v>184</v>
      </c>
      <c r="P1519" s="8" t="s">
        <v>195</v>
      </c>
      <c r="Q1519" s="8" t="s">
        <v>196</v>
      </c>
      <c r="R1519" s="8" t="s">
        <v>382</v>
      </c>
      <c r="S1519" s="8" t="s">
        <v>383</v>
      </c>
      <c r="T1519" s="8"/>
      <c r="U1519" s="8" t="s">
        <v>384</v>
      </c>
      <c r="V1519" s="8"/>
      <c r="W1519" s="8" t="s">
        <v>380</v>
      </c>
      <c r="X1519" s="8" t="s">
        <v>99</v>
      </c>
      <c r="Y1519" s="8" t="s">
        <v>23</v>
      </c>
    </row>
    <row r="1520" spans="1:25" hidden="1" x14ac:dyDescent="0.25">
      <c r="A1520" s="273" t="s">
        <v>315</v>
      </c>
      <c r="B1520" s="251">
        <v>45791</v>
      </c>
      <c r="C1520" s="252" t="s">
        <v>763</v>
      </c>
      <c r="D1520" s="252"/>
      <c r="E1520" s="253">
        <v>432</v>
      </c>
      <c r="F1520" s="253">
        <v>0</v>
      </c>
      <c r="G1520" s="274">
        <f>Tabla3[[#This Row],[INGRESOS]]-Tabla3[[#This Row],[EGRESOS]]</f>
        <v>-432</v>
      </c>
      <c r="H1520" s="137">
        <v>-20826855.359999999</v>
      </c>
      <c r="I1520" s="135">
        <v>1170</v>
      </c>
      <c r="J1520" s="136">
        <f>Tabla3[[#This Row],[EGRESOS]]/Tabla3[[#This Row],[TC]]</f>
        <v>0.36923076923076925</v>
      </c>
      <c r="K1520" s="136">
        <f>Tabla3[[#This Row],[INGRESOS]]/Tabla3[[#This Row],[TC]]</f>
        <v>0</v>
      </c>
      <c r="L1520" s="8" t="s">
        <v>376</v>
      </c>
      <c r="M1520" s="8" t="s">
        <v>377</v>
      </c>
      <c r="N1520" s="8" t="s">
        <v>20</v>
      </c>
      <c r="O1520" s="8" t="s">
        <v>184</v>
      </c>
      <c r="P1520" s="8" t="s">
        <v>195</v>
      </c>
      <c r="Q1520" s="8" t="s">
        <v>196</v>
      </c>
      <c r="R1520" s="8" t="s">
        <v>417</v>
      </c>
      <c r="S1520" s="8" t="s">
        <v>383</v>
      </c>
      <c r="T1520" s="8"/>
      <c r="U1520" s="8" t="s">
        <v>384</v>
      </c>
      <c r="V1520" s="8"/>
      <c r="W1520" s="8" t="s">
        <v>380</v>
      </c>
      <c r="X1520" s="8" t="s">
        <v>99</v>
      </c>
      <c r="Y1520" s="8" t="s">
        <v>23</v>
      </c>
    </row>
    <row r="1521" spans="1:25" hidden="1" x14ac:dyDescent="0.25">
      <c r="A1521" s="273" t="s">
        <v>315</v>
      </c>
      <c r="B1521" s="251">
        <v>45791</v>
      </c>
      <c r="C1521" s="252" t="s">
        <v>794</v>
      </c>
      <c r="D1521" s="252"/>
      <c r="E1521" s="253">
        <v>14400</v>
      </c>
      <c r="F1521" s="253">
        <v>0</v>
      </c>
      <c r="G1521" s="274">
        <f>Tabla3[[#This Row],[INGRESOS]]-Tabla3[[#This Row],[EGRESOS]]</f>
        <v>-14400</v>
      </c>
      <c r="H1521" s="137">
        <v>-20841255.359999999</v>
      </c>
      <c r="I1521" s="135">
        <v>1170</v>
      </c>
      <c r="J1521" s="136">
        <f>Tabla3[[#This Row],[EGRESOS]]/Tabla3[[#This Row],[TC]]</f>
        <v>12.307692307692308</v>
      </c>
      <c r="K1521" s="136">
        <f>Tabla3[[#This Row],[INGRESOS]]/Tabla3[[#This Row],[TC]]</f>
        <v>0</v>
      </c>
      <c r="L1521" s="8" t="s">
        <v>376</v>
      </c>
      <c r="M1521" s="8" t="s">
        <v>377</v>
      </c>
      <c r="N1521" s="8" t="s">
        <v>20</v>
      </c>
      <c r="O1521" s="8" t="s">
        <v>184</v>
      </c>
      <c r="P1521" s="8" t="s">
        <v>185</v>
      </c>
      <c r="Q1521" s="8" t="s">
        <v>186</v>
      </c>
      <c r="R1521" s="8" t="s">
        <v>227</v>
      </c>
      <c r="S1521" s="8"/>
      <c r="T1521" s="8"/>
      <c r="U1521" s="8" t="s">
        <v>384</v>
      </c>
      <c r="V1521" s="8"/>
      <c r="W1521" s="8" t="s">
        <v>380</v>
      </c>
      <c r="X1521" s="8" t="s">
        <v>99</v>
      </c>
      <c r="Y1521" s="8" t="s">
        <v>23</v>
      </c>
    </row>
    <row r="1522" spans="1:25" hidden="1" x14ac:dyDescent="0.25">
      <c r="A1522" s="273" t="s">
        <v>315</v>
      </c>
      <c r="B1522" s="251">
        <v>45791</v>
      </c>
      <c r="C1522" s="252" t="s">
        <v>760</v>
      </c>
      <c r="D1522" s="252"/>
      <c r="E1522" s="253">
        <v>6077.14</v>
      </c>
      <c r="F1522" s="253">
        <v>0</v>
      </c>
      <c r="G1522" s="274">
        <f>Tabla3[[#This Row],[INGRESOS]]-Tabla3[[#This Row],[EGRESOS]]</f>
        <v>-6077.14</v>
      </c>
      <c r="H1522" s="137">
        <v>-20847332.5</v>
      </c>
      <c r="I1522" s="135">
        <v>1170</v>
      </c>
      <c r="J1522" s="136">
        <f>Tabla3[[#This Row],[EGRESOS]]/Tabla3[[#This Row],[TC]]</f>
        <v>5.1941367521367523</v>
      </c>
      <c r="K1522" s="136">
        <f>Tabla3[[#This Row],[INGRESOS]]/Tabla3[[#This Row],[TC]]</f>
        <v>0</v>
      </c>
      <c r="L1522" s="8" t="s">
        <v>376</v>
      </c>
      <c r="M1522" s="8" t="s">
        <v>377</v>
      </c>
      <c r="N1522" s="8" t="s">
        <v>20</v>
      </c>
      <c r="O1522" s="8" t="s">
        <v>184</v>
      </c>
      <c r="P1522" s="8" t="s">
        <v>195</v>
      </c>
      <c r="Q1522" s="8" t="s">
        <v>196</v>
      </c>
      <c r="R1522" s="8" t="s">
        <v>394</v>
      </c>
      <c r="S1522" s="8" t="s">
        <v>383</v>
      </c>
      <c r="T1522" s="8"/>
      <c r="U1522" s="8" t="s">
        <v>384</v>
      </c>
      <c r="V1522" s="8"/>
      <c r="W1522" s="8" t="s">
        <v>380</v>
      </c>
      <c r="X1522" s="8" t="s">
        <v>99</v>
      </c>
      <c r="Y1522" s="8" t="s">
        <v>23</v>
      </c>
    </row>
    <row r="1523" spans="1:25" hidden="1" x14ac:dyDescent="0.25">
      <c r="A1523" s="273" t="s">
        <v>315</v>
      </c>
      <c r="B1523" s="251">
        <v>45792</v>
      </c>
      <c r="C1523" s="252" t="s">
        <v>782</v>
      </c>
      <c r="D1523" s="252" t="s">
        <v>944</v>
      </c>
      <c r="E1523" s="253">
        <v>250000</v>
      </c>
      <c r="F1523" s="253">
        <v>0</v>
      </c>
      <c r="G1523" s="274">
        <f>Tabla3[[#This Row],[INGRESOS]]-Tabla3[[#This Row],[EGRESOS]]</f>
        <v>-250000</v>
      </c>
      <c r="H1523" s="137">
        <v>-21097332.5</v>
      </c>
      <c r="I1523" s="135">
        <v>1170</v>
      </c>
      <c r="J1523" s="136">
        <f>Tabla3[[#This Row],[EGRESOS]]/Tabla3[[#This Row],[TC]]</f>
        <v>213.67521367521368</v>
      </c>
      <c r="K1523" s="136">
        <f>Tabla3[[#This Row],[INGRESOS]]/Tabla3[[#This Row],[TC]]</f>
        <v>0</v>
      </c>
      <c r="L1523" s="8" t="s">
        <v>376</v>
      </c>
      <c r="M1523" s="8" t="s">
        <v>377</v>
      </c>
      <c r="N1523" s="8" t="s">
        <v>20</v>
      </c>
      <c r="O1523" s="8" t="s">
        <v>184</v>
      </c>
      <c r="P1523" s="8" t="s">
        <v>199</v>
      </c>
      <c r="Q1523" s="8" t="s">
        <v>201</v>
      </c>
      <c r="R1523" s="8" t="s">
        <v>914</v>
      </c>
      <c r="S1523" s="8" t="s">
        <v>389</v>
      </c>
      <c r="T1523" s="8"/>
      <c r="U1523" s="8" t="s">
        <v>390</v>
      </c>
      <c r="V1523" s="8"/>
      <c r="W1523" s="8" t="s">
        <v>380</v>
      </c>
      <c r="X1523" s="8" t="s">
        <v>99</v>
      </c>
      <c r="Y1523" s="8" t="s">
        <v>23</v>
      </c>
    </row>
    <row r="1524" spans="1:25" hidden="1" x14ac:dyDescent="0.25">
      <c r="A1524" s="273" t="s">
        <v>315</v>
      </c>
      <c r="B1524" s="251">
        <v>45792</v>
      </c>
      <c r="C1524" s="252" t="s">
        <v>945</v>
      </c>
      <c r="D1524" s="252"/>
      <c r="E1524" s="253">
        <v>0</v>
      </c>
      <c r="F1524" s="253">
        <v>58177991.899999999</v>
      </c>
      <c r="G1524" s="274">
        <f>Tabla3[[#This Row],[INGRESOS]]-Tabla3[[#This Row],[EGRESOS]]</f>
        <v>58177991.899999999</v>
      </c>
      <c r="H1524" s="137">
        <v>37080659.399999999</v>
      </c>
      <c r="I1524" s="135">
        <v>1170</v>
      </c>
      <c r="J1524" s="136">
        <f>Tabla3[[#This Row],[EGRESOS]]/Tabla3[[#This Row],[TC]]</f>
        <v>0</v>
      </c>
      <c r="K1524" s="136">
        <f>Tabla3[[#This Row],[INGRESOS]]/Tabla3[[#This Row],[TC]]</f>
        <v>49724.779401709398</v>
      </c>
      <c r="L1524" s="8" t="s">
        <v>376</v>
      </c>
      <c r="M1524" s="8" t="s">
        <v>377</v>
      </c>
      <c r="N1524" s="8" t="s">
        <v>20</v>
      </c>
      <c r="O1524" s="8" t="s">
        <v>286</v>
      </c>
      <c r="P1524" s="8" t="s">
        <v>304</v>
      </c>
      <c r="Q1524" s="8" t="s">
        <v>305</v>
      </c>
      <c r="R1524" s="351" t="s">
        <v>946</v>
      </c>
      <c r="S1524" s="8" t="s">
        <v>947</v>
      </c>
      <c r="T1524" s="8" t="s">
        <v>948</v>
      </c>
      <c r="U1524" s="8" t="s">
        <v>949</v>
      </c>
      <c r="V1524" s="8"/>
      <c r="W1524" s="8" t="s">
        <v>380</v>
      </c>
      <c r="X1524" s="8" t="s">
        <v>23</v>
      </c>
      <c r="Y1524" s="8" t="s">
        <v>97</v>
      </c>
    </row>
    <row r="1525" spans="1:25" hidden="1" x14ac:dyDescent="0.25">
      <c r="A1525" s="273" t="s">
        <v>315</v>
      </c>
      <c r="B1525" s="251">
        <v>45792</v>
      </c>
      <c r="C1525" s="252" t="s">
        <v>762</v>
      </c>
      <c r="D1525" s="252"/>
      <c r="E1525" s="253">
        <v>3024</v>
      </c>
      <c r="F1525" s="253">
        <v>0</v>
      </c>
      <c r="G1525" s="274">
        <f>Tabla3[[#This Row],[INGRESOS]]-Tabla3[[#This Row],[EGRESOS]]</f>
        <v>-3024</v>
      </c>
      <c r="H1525" s="137">
        <v>37077635.399999999</v>
      </c>
      <c r="I1525" s="135">
        <v>1170</v>
      </c>
      <c r="J1525" s="136">
        <f>Tabla3[[#This Row],[EGRESOS]]/Tabla3[[#This Row],[TC]]</f>
        <v>2.5846153846153848</v>
      </c>
      <c r="K1525" s="136">
        <f>Tabla3[[#This Row],[INGRESOS]]/Tabla3[[#This Row],[TC]]</f>
        <v>0</v>
      </c>
      <c r="L1525" s="8" t="s">
        <v>376</v>
      </c>
      <c r="M1525" s="8" t="s">
        <v>377</v>
      </c>
      <c r="N1525" s="8" t="s">
        <v>20</v>
      </c>
      <c r="O1525" s="8" t="s">
        <v>184</v>
      </c>
      <c r="P1525" s="8" t="s">
        <v>195</v>
      </c>
      <c r="Q1525" s="8" t="s">
        <v>196</v>
      </c>
      <c r="R1525" s="8" t="s">
        <v>382</v>
      </c>
      <c r="S1525" s="8" t="s">
        <v>383</v>
      </c>
      <c r="T1525" s="8"/>
      <c r="U1525" s="8" t="s">
        <v>384</v>
      </c>
      <c r="V1525" s="8"/>
      <c r="W1525" s="8" t="s">
        <v>380</v>
      </c>
      <c r="X1525" s="8" t="s">
        <v>99</v>
      </c>
      <c r="Y1525" s="8" t="s">
        <v>23</v>
      </c>
    </row>
    <row r="1526" spans="1:25" hidden="1" x14ac:dyDescent="0.25">
      <c r="A1526" s="273" t="s">
        <v>315</v>
      </c>
      <c r="B1526" s="251">
        <v>45792</v>
      </c>
      <c r="C1526" s="252" t="s">
        <v>763</v>
      </c>
      <c r="D1526" s="252"/>
      <c r="E1526" s="253">
        <v>432</v>
      </c>
      <c r="F1526" s="253">
        <v>0</v>
      </c>
      <c r="G1526" s="274">
        <f>Tabla3[[#This Row],[INGRESOS]]-Tabla3[[#This Row],[EGRESOS]]</f>
        <v>-432</v>
      </c>
      <c r="H1526" s="137">
        <v>37077203.399999999</v>
      </c>
      <c r="I1526" s="135">
        <v>1170</v>
      </c>
      <c r="J1526" s="136">
        <f>Tabla3[[#This Row],[EGRESOS]]/Tabla3[[#This Row],[TC]]</f>
        <v>0.36923076923076925</v>
      </c>
      <c r="K1526" s="136">
        <f>Tabla3[[#This Row],[INGRESOS]]/Tabla3[[#This Row],[TC]]</f>
        <v>0</v>
      </c>
      <c r="L1526" s="8" t="s">
        <v>376</v>
      </c>
      <c r="M1526" s="8" t="s">
        <v>377</v>
      </c>
      <c r="N1526" s="8" t="s">
        <v>20</v>
      </c>
      <c r="O1526" s="8" t="s">
        <v>184</v>
      </c>
      <c r="P1526" s="8" t="s">
        <v>195</v>
      </c>
      <c r="Q1526" s="8" t="s">
        <v>196</v>
      </c>
      <c r="R1526" s="8" t="s">
        <v>417</v>
      </c>
      <c r="S1526" s="8" t="s">
        <v>383</v>
      </c>
      <c r="T1526" s="8"/>
      <c r="U1526" s="8" t="s">
        <v>384</v>
      </c>
      <c r="V1526" s="8"/>
      <c r="W1526" s="8" t="s">
        <v>380</v>
      </c>
      <c r="X1526" s="8" t="s">
        <v>99</v>
      </c>
      <c r="Y1526" s="8" t="s">
        <v>23</v>
      </c>
    </row>
    <row r="1527" spans="1:25" hidden="1" x14ac:dyDescent="0.25">
      <c r="A1527" s="273" t="s">
        <v>315</v>
      </c>
      <c r="B1527" s="251">
        <v>45792</v>
      </c>
      <c r="C1527" s="252" t="s">
        <v>794</v>
      </c>
      <c r="D1527" s="252"/>
      <c r="E1527" s="253">
        <v>14400</v>
      </c>
      <c r="F1527" s="253">
        <v>0</v>
      </c>
      <c r="G1527" s="274">
        <f>Tabla3[[#This Row],[INGRESOS]]-Tabla3[[#This Row],[EGRESOS]]</f>
        <v>-14400</v>
      </c>
      <c r="H1527" s="137">
        <v>37062803.399999999</v>
      </c>
      <c r="I1527" s="135">
        <v>1170</v>
      </c>
      <c r="J1527" s="136">
        <f>Tabla3[[#This Row],[EGRESOS]]/Tabla3[[#This Row],[TC]]</f>
        <v>12.307692307692308</v>
      </c>
      <c r="K1527" s="136">
        <f>Tabla3[[#This Row],[INGRESOS]]/Tabla3[[#This Row],[TC]]</f>
        <v>0</v>
      </c>
      <c r="L1527" s="8" t="s">
        <v>376</v>
      </c>
      <c r="M1527" s="8" t="s">
        <v>377</v>
      </c>
      <c r="N1527" s="8" t="s">
        <v>20</v>
      </c>
      <c r="O1527" s="8" t="s">
        <v>184</v>
      </c>
      <c r="P1527" s="8" t="s">
        <v>185</v>
      </c>
      <c r="Q1527" s="8" t="s">
        <v>186</v>
      </c>
      <c r="R1527" s="8" t="s">
        <v>227</v>
      </c>
      <c r="S1527" s="8"/>
      <c r="T1527" s="8"/>
      <c r="U1527" s="8" t="s">
        <v>384</v>
      </c>
      <c r="V1527" s="8"/>
      <c r="W1527" s="8" t="s">
        <v>380</v>
      </c>
      <c r="X1527" s="8" t="s">
        <v>99</v>
      </c>
      <c r="Y1527" s="8" t="s">
        <v>23</v>
      </c>
    </row>
    <row r="1528" spans="1:25" hidden="1" x14ac:dyDescent="0.25">
      <c r="A1528" s="273" t="s">
        <v>315</v>
      </c>
      <c r="B1528" s="251">
        <v>45792</v>
      </c>
      <c r="C1528" s="252" t="s">
        <v>760</v>
      </c>
      <c r="D1528" s="252"/>
      <c r="E1528" s="253">
        <v>349067.95</v>
      </c>
      <c r="F1528" s="253">
        <v>0</v>
      </c>
      <c r="G1528" s="274">
        <f>Tabla3[[#This Row],[INGRESOS]]-Tabla3[[#This Row],[EGRESOS]]</f>
        <v>-349067.95</v>
      </c>
      <c r="H1528" s="137">
        <v>36713735.450000003</v>
      </c>
      <c r="I1528" s="135">
        <v>1170</v>
      </c>
      <c r="J1528" s="136">
        <f>Tabla3[[#This Row],[EGRESOS]]/Tabla3[[#This Row],[TC]]</f>
        <v>298.34867521367522</v>
      </c>
      <c r="K1528" s="136">
        <f>Tabla3[[#This Row],[INGRESOS]]/Tabla3[[#This Row],[TC]]</f>
        <v>0</v>
      </c>
      <c r="L1528" s="8" t="s">
        <v>376</v>
      </c>
      <c r="M1528" s="8" t="s">
        <v>377</v>
      </c>
      <c r="N1528" s="8" t="s">
        <v>20</v>
      </c>
      <c r="O1528" s="8" t="s">
        <v>184</v>
      </c>
      <c r="P1528" s="8" t="s">
        <v>195</v>
      </c>
      <c r="Q1528" s="8" t="s">
        <v>196</v>
      </c>
      <c r="R1528" s="8" t="s">
        <v>394</v>
      </c>
      <c r="S1528" s="8" t="s">
        <v>383</v>
      </c>
      <c r="T1528" s="8"/>
      <c r="U1528" s="8" t="s">
        <v>384</v>
      </c>
      <c r="V1528" s="8"/>
      <c r="W1528" s="8" t="s">
        <v>380</v>
      </c>
      <c r="X1528" s="8" t="s">
        <v>99</v>
      </c>
      <c r="Y1528" s="8" t="s">
        <v>23</v>
      </c>
    </row>
    <row r="1529" spans="1:25" hidden="1" x14ac:dyDescent="0.25">
      <c r="A1529" s="273" t="s">
        <v>315</v>
      </c>
      <c r="B1529" s="251">
        <v>45792</v>
      </c>
      <c r="C1529" s="252" t="s">
        <v>760</v>
      </c>
      <c r="D1529" s="252"/>
      <c r="E1529" s="253">
        <v>1607.14</v>
      </c>
      <c r="F1529" s="253">
        <v>0</v>
      </c>
      <c r="G1529" s="274">
        <f>Tabla3[[#This Row],[INGRESOS]]-Tabla3[[#This Row],[EGRESOS]]</f>
        <v>-1607.14</v>
      </c>
      <c r="H1529" s="137">
        <v>36712128.310000002</v>
      </c>
      <c r="I1529" s="135">
        <v>1170</v>
      </c>
      <c r="J1529" s="136">
        <f>Tabla3[[#This Row],[EGRESOS]]/Tabla3[[#This Row],[TC]]</f>
        <v>1.3736239316239318</v>
      </c>
      <c r="K1529" s="136">
        <f>Tabla3[[#This Row],[INGRESOS]]/Tabla3[[#This Row],[TC]]</f>
        <v>0</v>
      </c>
      <c r="L1529" s="8" t="s">
        <v>376</v>
      </c>
      <c r="M1529" s="8" t="s">
        <v>377</v>
      </c>
      <c r="N1529" s="8" t="s">
        <v>20</v>
      </c>
      <c r="O1529" s="8" t="s">
        <v>184</v>
      </c>
      <c r="P1529" s="8" t="s">
        <v>195</v>
      </c>
      <c r="Q1529" s="8" t="s">
        <v>196</v>
      </c>
      <c r="R1529" s="8" t="s">
        <v>394</v>
      </c>
      <c r="S1529" s="8" t="s">
        <v>383</v>
      </c>
      <c r="T1529" s="8"/>
      <c r="U1529" s="8" t="s">
        <v>384</v>
      </c>
      <c r="V1529" s="8"/>
      <c r="W1529" s="8" t="s">
        <v>380</v>
      </c>
      <c r="X1529" s="8" t="s">
        <v>99</v>
      </c>
      <c r="Y1529" s="8" t="s">
        <v>23</v>
      </c>
    </row>
    <row r="1530" spans="1:25" hidden="1" x14ac:dyDescent="0.25">
      <c r="A1530" s="273" t="s">
        <v>315</v>
      </c>
      <c r="B1530" s="251">
        <v>45793</v>
      </c>
      <c r="C1530" s="252" t="s">
        <v>782</v>
      </c>
      <c r="D1530" s="252" t="s">
        <v>950</v>
      </c>
      <c r="E1530" s="253">
        <v>1473485</v>
      </c>
      <c r="F1530" s="253">
        <v>0</v>
      </c>
      <c r="G1530" s="274">
        <f>Tabla3[[#This Row],[INGRESOS]]-Tabla3[[#This Row],[EGRESOS]]</f>
        <v>-1473485</v>
      </c>
      <c r="H1530" s="274">
        <v>35238643.310000002</v>
      </c>
      <c r="I1530" s="135">
        <v>1170</v>
      </c>
      <c r="J1530" s="136">
        <f>Tabla3[[#This Row],[EGRESOS]]/Tabla3[[#This Row],[TC]]</f>
        <v>1259.3888888888889</v>
      </c>
      <c r="K1530" s="136">
        <f>Tabla3[[#This Row],[INGRESOS]]/Tabla3[[#This Row],[TC]]</f>
        <v>0</v>
      </c>
      <c r="L1530" s="8" t="s">
        <v>376</v>
      </c>
      <c r="M1530" s="8" t="s">
        <v>377</v>
      </c>
      <c r="N1530" s="8" t="s">
        <v>20</v>
      </c>
      <c r="O1530" s="8" t="s">
        <v>286</v>
      </c>
      <c r="P1530" s="8" t="s">
        <v>287</v>
      </c>
      <c r="Q1530" s="8" t="s">
        <v>288</v>
      </c>
      <c r="R1530" s="8" t="s">
        <v>143</v>
      </c>
      <c r="S1530" s="8" t="s">
        <v>665</v>
      </c>
      <c r="T1530" s="8"/>
      <c r="U1530" s="8" t="s">
        <v>412</v>
      </c>
      <c r="V1530" s="8"/>
      <c r="W1530" s="8" t="s">
        <v>380</v>
      </c>
      <c r="X1530" s="8" t="s">
        <v>29</v>
      </c>
      <c r="Y1530" s="8" t="s">
        <v>23</v>
      </c>
    </row>
    <row r="1531" spans="1:25" hidden="1" x14ac:dyDescent="0.25">
      <c r="A1531" s="273" t="s">
        <v>315</v>
      </c>
      <c r="B1531" s="251">
        <v>45793</v>
      </c>
      <c r="C1531" s="252" t="s">
        <v>404</v>
      </c>
      <c r="D1531" s="252"/>
      <c r="E1531" s="253">
        <v>1600000</v>
      </c>
      <c r="F1531" s="253">
        <v>0</v>
      </c>
      <c r="G1531" s="274">
        <f>Tabla3[[#This Row],[INGRESOS]]-Tabla3[[#This Row],[EGRESOS]]</f>
        <v>-1600000</v>
      </c>
      <c r="H1531" s="274">
        <v>33638643.310000002</v>
      </c>
      <c r="I1531" s="135">
        <v>1170</v>
      </c>
      <c r="J1531" s="136">
        <f>Tabla3[[#This Row],[EGRESOS]]/Tabla3[[#This Row],[TC]]</f>
        <v>1367.5213675213674</v>
      </c>
      <c r="K1531" s="136">
        <f>Tabla3[[#This Row],[INGRESOS]]/Tabla3[[#This Row],[TC]]</f>
        <v>0</v>
      </c>
      <c r="L1531" s="8" t="s">
        <v>376</v>
      </c>
      <c r="M1531" s="8" t="s">
        <v>377</v>
      </c>
      <c r="N1531" s="8" t="s">
        <v>20</v>
      </c>
      <c r="O1531" s="8" t="s">
        <v>244</v>
      </c>
      <c r="P1531" s="8" t="s">
        <v>259</v>
      </c>
      <c r="Q1531" s="8" t="s">
        <v>260</v>
      </c>
      <c r="R1531" s="8" t="s">
        <v>466</v>
      </c>
      <c r="S1531" s="8"/>
      <c r="T1531" s="8"/>
      <c r="U1531" s="8" t="s">
        <v>379</v>
      </c>
      <c r="V1531" s="8"/>
      <c r="W1531" s="8"/>
      <c r="X1531" s="8"/>
      <c r="Y1531" s="8"/>
    </row>
    <row r="1532" spans="1:25" hidden="1" x14ac:dyDescent="0.25">
      <c r="A1532" s="273" t="s">
        <v>315</v>
      </c>
      <c r="B1532" s="251">
        <v>45793</v>
      </c>
      <c r="C1532" s="252" t="s">
        <v>828</v>
      </c>
      <c r="D1532" s="252"/>
      <c r="E1532" s="253">
        <v>121</v>
      </c>
      <c r="F1532" s="253">
        <v>0</v>
      </c>
      <c r="G1532" s="274">
        <f>Tabla3[[#This Row],[INGRESOS]]-Tabla3[[#This Row],[EGRESOS]]</f>
        <v>-121</v>
      </c>
      <c r="H1532" s="274">
        <v>33638522.310000002</v>
      </c>
      <c r="I1532" s="135">
        <v>1170</v>
      </c>
      <c r="J1532" s="136">
        <f>Tabla3[[#This Row],[EGRESOS]]/Tabla3[[#This Row],[TC]]</f>
        <v>0.10341880341880341</v>
      </c>
      <c r="K1532" s="136">
        <f>Tabla3[[#This Row],[INGRESOS]]/Tabla3[[#This Row],[TC]]</f>
        <v>0</v>
      </c>
      <c r="L1532" s="8" t="s">
        <v>376</v>
      </c>
      <c r="M1532" s="8" t="s">
        <v>377</v>
      </c>
      <c r="N1532" s="8" t="s">
        <v>20</v>
      </c>
      <c r="O1532" s="8" t="s">
        <v>184</v>
      </c>
      <c r="P1532" s="8" t="s">
        <v>185</v>
      </c>
      <c r="Q1532" s="8" t="s">
        <v>186</v>
      </c>
      <c r="R1532" s="8" t="s">
        <v>227</v>
      </c>
      <c r="S1532" s="8"/>
      <c r="T1532" s="8"/>
      <c r="U1532" s="8" t="s">
        <v>384</v>
      </c>
      <c r="V1532" s="8"/>
      <c r="W1532" s="8" t="s">
        <v>380</v>
      </c>
      <c r="X1532" s="8" t="s">
        <v>99</v>
      </c>
      <c r="Y1532" s="8" t="s">
        <v>23</v>
      </c>
    </row>
    <row r="1533" spans="1:25" hidden="1" x14ac:dyDescent="0.25">
      <c r="A1533" s="273" t="s">
        <v>315</v>
      </c>
      <c r="B1533" s="251">
        <v>45793</v>
      </c>
      <c r="C1533" s="252" t="s">
        <v>800</v>
      </c>
      <c r="D1533" s="252"/>
      <c r="E1533" s="253">
        <v>501925.22</v>
      </c>
      <c r="F1533" s="253">
        <v>0</v>
      </c>
      <c r="G1533" s="274">
        <f>Tabla3[[#This Row],[INGRESOS]]-Tabla3[[#This Row],[EGRESOS]]</f>
        <v>-501925.22</v>
      </c>
      <c r="H1533" s="274">
        <v>33136597.09</v>
      </c>
      <c r="I1533" s="135">
        <v>1170</v>
      </c>
      <c r="J1533" s="136">
        <f>Tabla3[[#This Row],[EGRESOS]]/Tabla3[[#This Row],[TC]]</f>
        <v>428.9959145299145</v>
      </c>
      <c r="K1533" s="136">
        <f>Tabla3[[#This Row],[INGRESOS]]/Tabla3[[#This Row],[TC]]</f>
        <v>0</v>
      </c>
      <c r="L1533" s="8" t="s">
        <v>376</v>
      </c>
      <c r="M1533" s="8" t="s">
        <v>377</v>
      </c>
      <c r="N1533" s="8" t="s">
        <v>20</v>
      </c>
      <c r="O1533" s="8" t="s">
        <v>225</v>
      </c>
      <c r="P1533" s="8" t="s">
        <v>236</v>
      </c>
      <c r="Q1533" s="8" t="s">
        <v>227</v>
      </c>
      <c r="R1533" s="8"/>
      <c r="S1533" s="8" t="s">
        <v>848</v>
      </c>
      <c r="T1533" s="8"/>
      <c r="U1533" s="8" t="s">
        <v>412</v>
      </c>
      <c r="V1533" s="8"/>
      <c r="W1533" s="8" t="s">
        <v>380</v>
      </c>
      <c r="X1533" s="8" t="s">
        <v>29</v>
      </c>
      <c r="Y1533" s="8" t="s">
        <v>23</v>
      </c>
    </row>
    <row r="1534" spans="1:25" hidden="1" x14ac:dyDescent="0.25">
      <c r="A1534" s="273" t="s">
        <v>315</v>
      </c>
      <c r="B1534" s="251">
        <v>45793</v>
      </c>
      <c r="C1534" s="252" t="s">
        <v>828</v>
      </c>
      <c r="D1534" s="252"/>
      <c r="E1534" s="253">
        <v>121</v>
      </c>
      <c r="F1534" s="253">
        <v>0</v>
      </c>
      <c r="G1534" s="274">
        <f>Tabla3[[#This Row],[INGRESOS]]-Tabla3[[#This Row],[EGRESOS]]</f>
        <v>-121</v>
      </c>
      <c r="H1534" s="274">
        <v>33136476.09</v>
      </c>
      <c r="I1534" s="135">
        <v>1170</v>
      </c>
      <c r="J1534" s="136">
        <f>Tabla3[[#This Row],[EGRESOS]]/Tabla3[[#This Row],[TC]]</f>
        <v>0.10341880341880341</v>
      </c>
      <c r="K1534" s="136">
        <f>Tabla3[[#This Row],[INGRESOS]]/Tabla3[[#This Row],[TC]]</f>
        <v>0</v>
      </c>
      <c r="L1534" s="8" t="s">
        <v>376</v>
      </c>
      <c r="M1534" s="8" t="s">
        <v>377</v>
      </c>
      <c r="N1534" s="8" t="s">
        <v>20</v>
      </c>
      <c r="O1534" s="8" t="s">
        <v>184</v>
      </c>
      <c r="P1534" s="8" t="s">
        <v>185</v>
      </c>
      <c r="Q1534" s="8" t="s">
        <v>186</v>
      </c>
      <c r="R1534" s="8" t="s">
        <v>227</v>
      </c>
      <c r="S1534" s="8"/>
      <c r="T1534" s="8"/>
      <c r="U1534" s="8" t="s">
        <v>384</v>
      </c>
      <c r="V1534" s="8"/>
      <c r="W1534" s="8" t="s">
        <v>380</v>
      </c>
      <c r="X1534" s="8" t="s">
        <v>99</v>
      </c>
      <c r="Y1534" s="8" t="s">
        <v>23</v>
      </c>
    </row>
    <row r="1535" spans="1:25" hidden="1" x14ac:dyDescent="0.25">
      <c r="A1535" s="273" t="s">
        <v>315</v>
      </c>
      <c r="B1535" s="251">
        <v>45793</v>
      </c>
      <c r="C1535" s="252" t="s">
        <v>800</v>
      </c>
      <c r="D1535" s="252"/>
      <c r="E1535" s="253">
        <v>26257</v>
      </c>
      <c r="F1535" s="253">
        <v>0</v>
      </c>
      <c r="G1535" s="274">
        <f>Tabla3[[#This Row],[INGRESOS]]-Tabla3[[#This Row],[EGRESOS]]</f>
        <v>-26257</v>
      </c>
      <c r="H1535" s="274">
        <v>33110219.09</v>
      </c>
      <c r="I1535" s="135">
        <v>1170</v>
      </c>
      <c r="J1535" s="136">
        <f>Tabla3[[#This Row],[EGRESOS]]/Tabla3[[#This Row],[TC]]</f>
        <v>22.441880341880342</v>
      </c>
      <c r="K1535" s="136">
        <f>Tabla3[[#This Row],[INGRESOS]]/Tabla3[[#This Row],[TC]]</f>
        <v>0</v>
      </c>
      <c r="L1535" s="8" t="s">
        <v>376</v>
      </c>
      <c r="M1535" s="8" t="s">
        <v>377</v>
      </c>
      <c r="N1535" s="8" t="s">
        <v>20</v>
      </c>
      <c r="O1535" s="8" t="s">
        <v>225</v>
      </c>
      <c r="P1535" s="8" t="s">
        <v>236</v>
      </c>
      <c r="Q1535" s="8" t="s">
        <v>227</v>
      </c>
      <c r="R1535" s="8"/>
      <c r="S1535" s="8" t="s">
        <v>812</v>
      </c>
      <c r="T1535" s="8" t="s">
        <v>951</v>
      </c>
      <c r="U1535" s="8" t="s">
        <v>412</v>
      </c>
      <c r="V1535" s="8"/>
      <c r="W1535" s="8" t="s">
        <v>380</v>
      </c>
      <c r="X1535" s="8" t="s">
        <v>29</v>
      </c>
      <c r="Y1535" s="8" t="s">
        <v>23</v>
      </c>
    </row>
    <row r="1536" spans="1:25" hidden="1" x14ac:dyDescent="0.25">
      <c r="A1536" s="273" t="s">
        <v>315</v>
      </c>
      <c r="B1536" s="251">
        <v>45793</v>
      </c>
      <c r="C1536" s="252" t="s">
        <v>800</v>
      </c>
      <c r="D1536" s="252"/>
      <c r="E1536" s="253">
        <v>4700000</v>
      </c>
      <c r="F1536" s="253">
        <v>0</v>
      </c>
      <c r="G1536" s="274">
        <f>Tabla3[[#This Row],[INGRESOS]]-Tabla3[[#This Row],[EGRESOS]]</f>
        <v>-4700000</v>
      </c>
      <c r="H1536" s="274">
        <v>28410219.09</v>
      </c>
      <c r="I1536" s="135">
        <v>1170</v>
      </c>
      <c r="J1536" s="136">
        <f>Tabla3[[#This Row],[EGRESOS]]/Tabla3[[#This Row],[TC]]</f>
        <v>4017.0940170940171</v>
      </c>
      <c r="K1536" s="136">
        <f>Tabla3[[#This Row],[INGRESOS]]/Tabla3[[#This Row],[TC]]</f>
        <v>0</v>
      </c>
      <c r="L1536" s="8" t="s">
        <v>376</v>
      </c>
      <c r="M1536" s="8" t="s">
        <v>377</v>
      </c>
      <c r="N1536" s="8" t="s">
        <v>20</v>
      </c>
      <c r="O1536" s="8" t="s">
        <v>184</v>
      </c>
      <c r="P1536" s="8" t="s">
        <v>210</v>
      </c>
      <c r="Q1536" s="8" t="s">
        <v>205</v>
      </c>
      <c r="R1536" s="8"/>
      <c r="S1536" s="8" t="s">
        <v>452</v>
      </c>
      <c r="T1536" s="8"/>
      <c r="U1536" s="8" t="s">
        <v>453</v>
      </c>
      <c r="V1536" s="8"/>
      <c r="W1536" s="8" t="s">
        <v>380</v>
      </c>
      <c r="X1536" s="8" t="s">
        <v>45</v>
      </c>
      <c r="Y1536" s="8" t="s">
        <v>23</v>
      </c>
    </row>
    <row r="1537" spans="1:25" hidden="1" x14ac:dyDescent="0.25">
      <c r="A1537" s="273" t="s">
        <v>315</v>
      </c>
      <c r="B1537" s="251">
        <v>45793</v>
      </c>
      <c r="C1537" s="252" t="s">
        <v>828</v>
      </c>
      <c r="D1537" s="252"/>
      <c r="E1537" s="253">
        <v>121</v>
      </c>
      <c r="F1537" s="253">
        <v>0</v>
      </c>
      <c r="G1537" s="274">
        <f>Tabla3[[#This Row],[INGRESOS]]-Tabla3[[#This Row],[EGRESOS]]</f>
        <v>-121</v>
      </c>
      <c r="H1537" s="274">
        <v>28410098.09</v>
      </c>
      <c r="I1537" s="135">
        <v>1170</v>
      </c>
      <c r="J1537" s="136">
        <f>Tabla3[[#This Row],[EGRESOS]]/Tabla3[[#This Row],[TC]]</f>
        <v>0.10341880341880341</v>
      </c>
      <c r="K1537" s="136">
        <f>Tabla3[[#This Row],[INGRESOS]]/Tabla3[[#This Row],[TC]]</f>
        <v>0</v>
      </c>
      <c r="L1537" s="8" t="s">
        <v>376</v>
      </c>
      <c r="M1537" s="8" t="s">
        <v>377</v>
      </c>
      <c r="N1537" s="8" t="s">
        <v>20</v>
      </c>
      <c r="O1537" s="8" t="s">
        <v>184</v>
      </c>
      <c r="P1537" s="8" t="s">
        <v>185</v>
      </c>
      <c r="Q1537" s="8" t="s">
        <v>186</v>
      </c>
      <c r="R1537" s="8" t="s">
        <v>227</v>
      </c>
      <c r="S1537" s="8"/>
      <c r="T1537" s="8"/>
      <c r="U1537" s="8" t="s">
        <v>384</v>
      </c>
      <c r="V1537" s="8"/>
      <c r="W1537" s="8" t="s">
        <v>380</v>
      </c>
      <c r="X1537" s="8" t="s">
        <v>99</v>
      </c>
      <c r="Y1537" s="8" t="s">
        <v>23</v>
      </c>
    </row>
    <row r="1538" spans="1:25" hidden="1" x14ac:dyDescent="0.25">
      <c r="A1538" s="273" t="s">
        <v>316</v>
      </c>
      <c r="B1538" s="251">
        <v>45818</v>
      </c>
      <c r="C1538" s="252" t="s">
        <v>800</v>
      </c>
      <c r="D1538" s="252"/>
      <c r="E1538" s="253">
        <v>500000</v>
      </c>
      <c r="F1538" s="253">
        <v>0</v>
      </c>
      <c r="G1538" s="274">
        <f>Tabla3[[#This Row],[INGRESOS]]-Tabla3[[#This Row],[EGRESOS]]</f>
        <v>-500000</v>
      </c>
      <c r="H1538" s="274">
        <v>13026675.630000001</v>
      </c>
      <c r="I1538" s="135">
        <v>1170</v>
      </c>
      <c r="J1538" s="136">
        <f>Tabla3[[#This Row],[EGRESOS]]/Tabla3[[#This Row],[TC]]</f>
        <v>427.35042735042737</v>
      </c>
      <c r="K1538" s="136">
        <f>Tabla3[[#This Row],[INGRESOS]]/Tabla3[[#This Row],[TC]]</f>
        <v>0</v>
      </c>
      <c r="L1538" s="8" t="s">
        <v>376</v>
      </c>
      <c r="M1538" s="8" t="s">
        <v>377</v>
      </c>
      <c r="N1538" s="8" t="s">
        <v>20</v>
      </c>
      <c r="O1538" s="8" t="s">
        <v>184</v>
      </c>
      <c r="P1538" s="8" t="s">
        <v>203</v>
      </c>
      <c r="Q1538" s="8" t="s">
        <v>208</v>
      </c>
      <c r="R1538" s="8" t="s">
        <v>188</v>
      </c>
      <c r="S1538" s="8" t="s">
        <v>386</v>
      </c>
      <c r="T1538" s="8"/>
      <c r="U1538" s="8" t="s">
        <v>387</v>
      </c>
      <c r="V1538" s="8" t="s">
        <v>386</v>
      </c>
      <c r="W1538" s="8" t="s">
        <v>380</v>
      </c>
      <c r="X1538" s="8" t="s">
        <v>104</v>
      </c>
      <c r="Y1538" s="8" t="s">
        <v>23</v>
      </c>
    </row>
    <row r="1539" spans="1:25" hidden="1" x14ac:dyDescent="0.25">
      <c r="A1539" s="273" t="s">
        <v>315</v>
      </c>
      <c r="B1539" s="251">
        <v>45793</v>
      </c>
      <c r="C1539" s="252" t="s">
        <v>828</v>
      </c>
      <c r="D1539" s="252"/>
      <c r="E1539" s="253">
        <v>121</v>
      </c>
      <c r="F1539" s="253">
        <v>0</v>
      </c>
      <c r="G1539" s="274">
        <f>Tabla3[[#This Row],[INGRESOS]]-Tabla3[[#This Row],[EGRESOS]]</f>
        <v>-121</v>
      </c>
      <c r="H1539" s="274">
        <v>27409977.09</v>
      </c>
      <c r="I1539" s="135">
        <v>1170</v>
      </c>
      <c r="J1539" s="136">
        <f>Tabla3[[#This Row],[EGRESOS]]/Tabla3[[#This Row],[TC]]</f>
        <v>0.10341880341880341</v>
      </c>
      <c r="K1539" s="136">
        <f>Tabla3[[#This Row],[INGRESOS]]/Tabla3[[#This Row],[TC]]</f>
        <v>0</v>
      </c>
      <c r="L1539" s="8" t="s">
        <v>376</v>
      </c>
      <c r="M1539" s="8" t="s">
        <v>377</v>
      </c>
      <c r="N1539" s="8" t="s">
        <v>20</v>
      </c>
      <c r="O1539" s="8" t="s">
        <v>184</v>
      </c>
      <c r="P1539" s="8" t="s">
        <v>185</v>
      </c>
      <c r="Q1539" s="8" t="s">
        <v>186</v>
      </c>
      <c r="R1539" s="8" t="s">
        <v>227</v>
      </c>
      <c r="S1539" s="8"/>
      <c r="T1539" s="8"/>
      <c r="U1539" s="8" t="s">
        <v>384</v>
      </c>
      <c r="V1539" s="8"/>
      <c r="W1539" s="8" t="s">
        <v>380</v>
      </c>
      <c r="X1539" s="8" t="s">
        <v>99</v>
      </c>
      <c r="Y1539" s="8" t="s">
        <v>23</v>
      </c>
    </row>
    <row r="1540" spans="1:25" hidden="1" x14ac:dyDescent="0.25">
      <c r="A1540" s="273" t="s">
        <v>315</v>
      </c>
      <c r="B1540" s="251">
        <v>45793</v>
      </c>
      <c r="C1540" s="252" t="s">
        <v>760</v>
      </c>
      <c r="D1540" s="252"/>
      <c r="E1540" s="253">
        <v>46212.92</v>
      </c>
      <c r="F1540" s="253">
        <v>0</v>
      </c>
      <c r="G1540" s="274">
        <f>Tabla3[[#This Row],[INGRESOS]]-Tabla3[[#This Row],[EGRESOS]]</f>
        <v>-46212.92</v>
      </c>
      <c r="H1540" s="274">
        <v>27363764.170000002</v>
      </c>
      <c r="I1540" s="135">
        <v>1170</v>
      </c>
      <c r="J1540" s="136">
        <f>Tabla3[[#This Row],[EGRESOS]]/Tabla3[[#This Row],[TC]]</f>
        <v>39.498222222222218</v>
      </c>
      <c r="K1540" s="136">
        <f>Tabla3[[#This Row],[INGRESOS]]/Tabla3[[#This Row],[TC]]</f>
        <v>0</v>
      </c>
      <c r="L1540" s="8" t="s">
        <v>376</v>
      </c>
      <c r="M1540" s="8" t="s">
        <v>377</v>
      </c>
      <c r="N1540" s="8" t="s">
        <v>20</v>
      </c>
      <c r="O1540" s="8" t="s">
        <v>184</v>
      </c>
      <c r="P1540" s="8" t="s">
        <v>195</v>
      </c>
      <c r="Q1540" s="8" t="s">
        <v>196</v>
      </c>
      <c r="R1540" s="8" t="s">
        <v>394</v>
      </c>
      <c r="S1540" s="8" t="s">
        <v>383</v>
      </c>
      <c r="T1540" s="8"/>
      <c r="U1540" s="8" t="s">
        <v>384</v>
      </c>
      <c r="V1540" s="8"/>
      <c r="W1540" s="8" t="s">
        <v>380</v>
      </c>
      <c r="X1540" s="8" t="s">
        <v>99</v>
      </c>
      <c r="Y1540" s="8" t="s">
        <v>23</v>
      </c>
    </row>
    <row r="1541" spans="1:25" hidden="1" x14ac:dyDescent="0.25">
      <c r="A1541" s="273" t="s">
        <v>315</v>
      </c>
      <c r="B1541" s="251">
        <v>45793</v>
      </c>
      <c r="C1541" s="252" t="s">
        <v>795</v>
      </c>
      <c r="D1541" s="252"/>
      <c r="E1541" s="253">
        <v>1646260.62</v>
      </c>
      <c r="F1541" s="253">
        <v>0</v>
      </c>
      <c r="G1541" s="274">
        <f>Tabla3[[#This Row],[INGRESOS]]-Tabla3[[#This Row],[EGRESOS]]</f>
        <v>-1646260.62</v>
      </c>
      <c r="H1541" s="274">
        <v>25717503.550000001</v>
      </c>
      <c r="I1541" s="135">
        <v>1170</v>
      </c>
      <c r="J1541" s="136">
        <f>Tabla3[[#This Row],[EGRESOS]]/Tabla3[[#This Row],[TC]]</f>
        <v>1407.0603589743591</v>
      </c>
      <c r="K1541" s="136">
        <f>Tabla3[[#This Row],[INGRESOS]]/Tabla3[[#This Row],[TC]]</f>
        <v>0</v>
      </c>
      <c r="L1541" s="8" t="s">
        <v>376</v>
      </c>
      <c r="M1541" s="8" t="s">
        <v>377</v>
      </c>
      <c r="N1541" s="8" t="s">
        <v>20</v>
      </c>
      <c r="O1541" s="8" t="s">
        <v>244</v>
      </c>
      <c r="P1541" s="8" t="s">
        <v>259</v>
      </c>
      <c r="Q1541" s="8" t="s">
        <v>260</v>
      </c>
      <c r="R1541" s="8" t="s">
        <v>804</v>
      </c>
      <c r="S1541" s="8"/>
      <c r="T1541" s="8"/>
      <c r="U1541" s="8" t="s">
        <v>379</v>
      </c>
      <c r="V1541" s="8"/>
      <c r="W1541" s="8"/>
      <c r="X1541" s="8"/>
      <c r="Y1541" s="8"/>
    </row>
    <row r="1542" spans="1:25" hidden="1" x14ac:dyDescent="0.25">
      <c r="A1542" s="273" t="s">
        <v>315</v>
      </c>
      <c r="B1542" s="251">
        <v>45796</v>
      </c>
      <c r="C1542" s="252" t="s">
        <v>800</v>
      </c>
      <c r="D1542" s="252"/>
      <c r="E1542" s="253">
        <v>860000</v>
      </c>
      <c r="F1542" s="253">
        <v>0</v>
      </c>
      <c r="G1542" s="274">
        <f>Tabla3[[#This Row],[INGRESOS]]-Tabla3[[#This Row],[EGRESOS]]</f>
        <v>-860000</v>
      </c>
      <c r="H1542" s="274">
        <v>22551213.379999999</v>
      </c>
      <c r="I1542" s="135">
        <v>1170</v>
      </c>
      <c r="J1542" s="136">
        <f>Tabla3[[#This Row],[EGRESOS]]/Tabla3[[#This Row],[TC]]</f>
        <v>735.04273504273499</v>
      </c>
      <c r="K1542" s="136">
        <f>Tabla3[[#This Row],[INGRESOS]]/Tabla3[[#This Row],[TC]]</f>
        <v>0</v>
      </c>
      <c r="L1542" s="8" t="s">
        <v>376</v>
      </c>
      <c r="M1542" s="8" t="s">
        <v>377</v>
      </c>
      <c r="N1542" s="8" t="s">
        <v>20</v>
      </c>
      <c r="O1542" s="8" t="s">
        <v>184</v>
      </c>
      <c r="P1542" s="8" t="s">
        <v>203</v>
      </c>
      <c r="Q1542" s="8" t="s">
        <v>208</v>
      </c>
      <c r="R1542" s="8" t="s">
        <v>952</v>
      </c>
      <c r="S1542" s="8" t="s">
        <v>414</v>
      </c>
      <c r="T1542" s="8"/>
      <c r="U1542" s="8" t="s">
        <v>530</v>
      </c>
      <c r="V1542" s="8" t="s">
        <v>415</v>
      </c>
      <c r="W1542" s="8" t="s">
        <v>380</v>
      </c>
      <c r="X1542" s="8" t="s">
        <v>102</v>
      </c>
      <c r="Y1542" s="8" t="s">
        <v>23</v>
      </c>
    </row>
    <row r="1543" spans="1:25" hidden="1" x14ac:dyDescent="0.25">
      <c r="A1543" s="273" t="s">
        <v>315</v>
      </c>
      <c r="B1543" s="251">
        <v>45796</v>
      </c>
      <c r="C1543" s="252" t="s">
        <v>817</v>
      </c>
      <c r="D1543" s="252" t="s">
        <v>953</v>
      </c>
      <c r="E1543" s="253">
        <v>345300</v>
      </c>
      <c r="F1543" s="253">
        <v>0</v>
      </c>
      <c r="G1543" s="274">
        <f>Tabla3[[#This Row],[INGRESOS]]-Tabla3[[#This Row],[EGRESOS]]</f>
        <v>-345300</v>
      </c>
      <c r="H1543" s="274">
        <v>25372203.550000001</v>
      </c>
      <c r="I1543" s="135">
        <v>1170</v>
      </c>
      <c r="J1543" s="136">
        <f>Tabla3[[#This Row],[EGRESOS]]/Tabla3[[#This Row],[TC]]</f>
        <v>295.12820512820514</v>
      </c>
      <c r="K1543" s="136">
        <f>Tabla3[[#This Row],[INGRESOS]]/Tabla3[[#This Row],[TC]]</f>
        <v>0</v>
      </c>
      <c r="L1543" s="8" t="s">
        <v>376</v>
      </c>
      <c r="M1543" s="8" t="s">
        <v>377</v>
      </c>
      <c r="N1543" s="8" t="s">
        <v>20</v>
      </c>
      <c r="O1543" s="8" t="s">
        <v>286</v>
      </c>
      <c r="P1543" s="8" t="s">
        <v>287</v>
      </c>
      <c r="Q1543" s="8" t="s">
        <v>289</v>
      </c>
      <c r="R1543" s="8"/>
      <c r="S1543" s="8" t="s">
        <v>653</v>
      </c>
      <c r="T1543" s="8" t="s">
        <v>954</v>
      </c>
      <c r="U1543" s="8" t="s">
        <v>412</v>
      </c>
      <c r="V1543" s="8"/>
      <c r="W1543" s="8" t="s">
        <v>380</v>
      </c>
      <c r="X1543" s="8" t="s">
        <v>29</v>
      </c>
      <c r="Y1543" s="8" t="s">
        <v>23</v>
      </c>
    </row>
    <row r="1544" spans="1:25" hidden="1" x14ac:dyDescent="0.25">
      <c r="A1544" s="273" t="s">
        <v>315</v>
      </c>
      <c r="B1544" s="251">
        <v>45796</v>
      </c>
      <c r="C1544" s="252" t="s">
        <v>800</v>
      </c>
      <c r="D1544" s="252"/>
      <c r="E1544" s="253">
        <v>925558</v>
      </c>
      <c r="F1544" s="253">
        <v>0</v>
      </c>
      <c r="G1544" s="274">
        <f>Tabla3[[#This Row],[INGRESOS]]-Tabla3[[#This Row],[EGRESOS]]</f>
        <v>-925558</v>
      </c>
      <c r="H1544" s="274">
        <v>24446645.550000001</v>
      </c>
      <c r="I1544" s="135">
        <v>1170</v>
      </c>
      <c r="J1544" s="136">
        <f>Tabla3[[#This Row],[EGRESOS]]/Tabla3[[#This Row],[TC]]</f>
        <v>791.07521367521372</v>
      </c>
      <c r="K1544" s="136">
        <f>Tabla3[[#This Row],[INGRESOS]]/Tabla3[[#This Row],[TC]]</f>
        <v>0</v>
      </c>
      <c r="L1544" s="8" t="s">
        <v>376</v>
      </c>
      <c r="M1544" s="8" t="s">
        <v>377</v>
      </c>
      <c r="N1544" s="8" t="s">
        <v>20</v>
      </c>
      <c r="O1544" s="8" t="s">
        <v>215</v>
      </c>
      <c r="P1544" s="8" t="s">
        <v>216</v>
      </c>
      <c r="Q1544" s="8" t="s">
        <v>217</v>
      </c>
      <c r="R1544" s="8" t="s">
        <v>188</v>
      </c>
      <c r="S1544" s="8" t="s">
        <v>396</v>
      </c>
      <c r="T1544" s="8" t="s">
        <v>955</v>
      </c>
      <c r="U1544" s="8" t="s">
        <v>412</v>
      </c>
      <c r="V1544" s="8"/>
      <c r="W1544" s="8" t="s">
        <v>380</v>
      </c>
      <c r="X1544" s="8" t="s">
        <v>29</v>
      </c>
      <c r="Y1544" s="8" t="s">
        <v>23</v>
      </c>
    </row>
    <row r="1545" spans="1:25" hidden="1" x14ac:dyDescent="0.25">
      <c r="A1545" s="273" t="s">
        <v>315</v>
      </c>
      <c r="B1545" s="251">
        <v>45796</v>
      </c>
      <c r="C1545" s="252" t="s">
        <v>828</v>
      </c>
      <c r="D1545" s="252"/>
      <c r="E1545" s="253">
        <v>121</v>
      </c>
      <c r="F1545" s="253">
        <v>0</v>
      </c>
      <c r="G1545" s="274">
        <f>Tabla3[[#This Row],[INGRESOS]]-Tabla3[[#This Row],[EGRESOS]]</f>
        <v>-121</v>
      </c>
      <c r="H1545" s="274">
        <v>24446524.550000001</v>
      </c>
      <c r="I1545" s="135">
        <v>1170</v>
      </c>
      <c r="J1545" s="136">
        <f>Tabla3[[#This Row],[EGRESOS]]/Tabla3[[#This Row],[TC]]</f>
        <v>0.10341880341880341</v>
      </c>
      <c r="K1545" s="136">
        <f>Tabla3[[#This Row],[INGRESOS]]/Tabla3[[#This Row],[TC]]</f>
        <v>0</v>
      </c>
      <c r="L1545" s="8" t="s">
        <v>376</v>
      </c>
      <c r="M1545" s="8" t="s">
        <v>377</v>
      </c>
      <c r="N1545" s="8" t="s">
        <v>20</v>
      </c>
      <c r="O1545" s="8" t="s">
        <v>184</v>
      </c>
      <c r="P1545" s="8" t="s">
        <v>185</v>
      </c>
      <c r="Q1545" s="8" t="s">
        <v>186</v>
      </c>
      <c r="R1545" s="8" t="s">
        <v>227</v>
      </c>
      <c r="S1545" s="8"/>
      <c r="T1545" s="8"/>
      <c r="U1545" s="8" t="s">
        <v>384</v>
      </c>
      <c r="V1545" s="8"/>
      <c r="W1545" s="8" t="s">
        <v>380</v>
      </c>
      <c r="X1545" s="8" t="s">
        <v>99</v>
      </c>
      <c r="Y1545" s="8" t="s">
        <v>23</v>
      </c>
    </row>
    <row r="1546" spans="1:25" hidden="1" x14ac:dyDescent="0.25">
      <c r="A1546" s="273" t="s">
        <v>315</v>
      </c>
      <c r="B1546" s="251">
        <v>45796</v>
      </c>
      <c r="C1546" s="252" t="s">
        <v>800</v>
      </c>
      <c r="D1546" s="252"/>
      <c r="E1546" s="253">
        <v>10000</v>
      </c>
      <c r="F1546" s="249">
        <v>0</v>
      </c>
      <c r="G1546" s="274">
        <f>Tabla3[[#This Row],[INGRESOS]]-Tabla3[[#This Row],[EGRESOS]]</f>
        <v>-10000</v>
      </c>
      <c r="H1546" s="274">
        <v>22551213.379999999</v>
      </c>
      <c r="I1546" s="135">
        <v>1170</v>
      </c>
      <c r="J1546" s="136">
        <f>Tabla3[[#This Row],[EGRESOS]]/Tabla3[[#This Row],[TC]]</f>
        <v>8.5470085470085468</v>
      </c>
      <c r="K1546" s="136">
        <f>Tabla3[[#This Row],[INGRESOS]]/Tabla3[[#This Row],[TC]]</f>
        <v>0</v>
      </c>
      <c r="L1546" s="8" t="s">
        <v>376</v>
      </c>
      <c r="M1546" s="8" t="s">
        <v>377</v>
      </c>
      <c r="N1546" s="8" t="s">
        <v>20</v>
      </c>
      <c r="O1546" s="8" t="s">
        <v>184</v>
      </c>
      <c r="P1546" s="8" t="s">
        <v>203</v>
      </c>
      <c r="Q1546" s="8" t="s">
        <v>205</v>
      </c>
      <c r="R1546" s="8" t="s">
        <v>956</v>
      </c>
      <c r="S1546" s="8" t="s">
        <v>414</v>
      </c>
      <c r="T1546" s="8"/>
      <c r="U1546" s="8" t="s">
        <v>530</v>
      </c>
      <c r="V1546" s="8" t="s">
        <v>415</v>
      </c>
      <c r="W1546" s="8" t="s">
        <v>380</v>
      </c>
      <c r="X1546" s="8" t="s">
        <v>102</v>
      </c>
      <c r="Y1546" s="8" t="s">
        <v>23</v>
      </c>
    </row>
    <row r="1547" spans="1:25" hidden="1" x14ac:dyDescent="0.25">
      <c r="A1547" s="273" t="s">
        <v>315</v>
      </c>
      <c r="B1547" s="251">
        <v>45796</v>
      </c>
      <c r="C1547" s="252" t="s">
        <v>800</v>
      </c>
      <c r="D1547" s="252"/>
      <c r="E1547" s="253">
        <v>1000000</v>
      </c>
      <c r="F1547" s="253">
        <v>0</v>
      </c>
      <c r="G1547" s="274">
        <f>Tabla3[[#This Row],[INGRESOS]]-Tabla3[[#This Row],[EGRESOS]]</f>
        <v>-1000000</v>
      </c>
      <c r="H1547" s="274">
        <v>22551213.379999999</v>
      </c>
      <c r="I1547" s="135">
        <v>1170</v>
      </c>
      <c r="J1547" s="136">
        <f>Tabla3[[#This Row],[EGRESOS]]/Tabla3[[#This Row],[TC]]</f>
        <v>854.70085470085473</v>
      </c>
      <c r="K1547" s="136">
        <f>Tabla3[[#This Row],[INGRESOS]]/Tabla3[[#This Row],[TC]]</f>
        <v>0</v>
      </c>
      <c r="L1547" s="8" t="s">
        <v>376</v>
      </c>
      <c r="M1547" s="8" t="s">
        <v>377</v>
      </c>
      <c r="N1547" s="8" t="s">
        <v>20</v>
      </c>
      <c r="O1547" s="8" t="s">
        <v>184</v>
      </c>
      <c r="P1547" s="8" t="s">
        <v>203</v>
      </c>
      <c r="Q1547" s="8" t="s">
        <v>208</v>
      </c>
      <c r="R1547" s="8" t="s">
        <v>315</v>
      </c>
      <c r="S1547" s="8" t="s">
        <v>414</v>
      </c>
      <c r="T1547" s="8"/>
      <c r="U1547" s="8" t="s">
        <v>530</v>
      </c>
      <c r="V1547" s="8" t="s">
        <v>415</v>
      </c>
      <c r="W1547" s="8" t="s">
        <v>380</v>
      </c>
      <c r="X1547" s="8" t="s">
        <v>102</v>
      </c>
      <c r="Y1547" s="8" t="s">
        <v>23</v>
      </c>
    </row>
    <row r="1548" spans="1:25" hidden="1" x14ac:dyDescent="0.25">
      <c r="A1548" s="273" t="s">
        <v>315</v>
      </c>
      <c r="B1548" s="251">
        <v>45796</v>
      </c>
      <c r="C1548" s="252" t="s">
        <v>800</v>
      </c>
      <c r="D1548" s="252"/>
      <c r="E1548" s="253">
        <v>17000</v>
      </c>
      <c r="F1548" s="253">
        <v>0</v>
      </c>
      <c r="G1548" s="274">
        <f>Tabla3[[#This Row],[INGRESOS]]-Tabla3[[#This Row],[EGRESOS]]</f>
        <v>-17000</v>
      </c>
      <c r="H1548" s="274">
        <v>22551213.379999999</v>
      </c>
      <c r="I1548" s="135">
        <v>1170</v>
      </c>
      <c r="J1548" s="136">
        <f>Tabla3[[#This Row],[EGRESOS]]/Tabla3[[#This Row],[TC]]</f>
        <v>14.52991452991453</v>
      </c>
      <c r="K1548" s="136">
        <f>Tabla3[[#This Row],[INGRESOS]]/Tabla3[[#This Row],[TC]]</f>
        <v>0</v>
      </c>
      <c r="L1548" s="8" t="s">
        <v>376</v>
      </c>
      <c r="M1548" s="8" t="s">
        <v>377</v>
      </c>
      <c r="N1548" s="8" t="s">
        <v>20</v>
      </c>
      <c r="O1548" s="8" t="s">
        <v>184</v>
      </c>
      <c r="P1548" s="8" t="s">
        <v>199</v>
      </c>
      <c r="Q1548" s="8" t="s">
        <v>201</v>
      </c>
      <c r="R1548" s="8" t="s">
        <v>957</v>
      </c>
      <c r="S1548" s="8" t="s">
        <v>389</v>
      </c>
      <c r="T1548" s="8"/>
      <c r="U1548" s="8" t="s">
        <v>390</v>
      </c>
      <c r="V1548" s="8"/>
      <c r="W1548" s="8" t="s">
        <v>380</v>
      </c>
      <c r="X1548" s="8" t="s">
        <v>99</v>
      </c>
      <c r="Y1548" s="8" t="s">
        <v>23</v>
      </c>
    </row>
    <row r="1549" spans="1:25" hidden="1" x14ac:dyDescent="0.25">
      <c r="A1549" s="273" t="s">
        <v>315</v>
      </c>
      <c r="B1549" s="251">
        <v>45796</v>
      </c>
      <c r="C1549" s="252" t="s">
        <v>800</v>
      </c>
      <c r="D1549" s="252"/>
      <c r="E1549" s="253">
        <v>5500</v>
      </c>
      <c r="F1549" s="253">
        <v>0</v>
      </c>
      <c r="G1549" s="274">
        <f>Tabla3[[#This Row],[INGRESOS]]-Tabla3[[#This Row],[EGRESOS]]</f>
        <v>-5500</v>
      </c>
      <c r="H1549" s="274">
        <v>22551213.379999999</v>
      </c>
      <c r="I1549" s="135">
        <v>1170</v>
      </c>
      <c r="J1549" s="136">
        <f>Tabla3[[#This Row],[EGRESOS]]/Tabla3[[#This Row],[TC]]</f>
        <v>4.700854700854701</v>
      </c>
      <c r="K1549" s="136">
        <f>Tabla3[[#This Row],[INGRESOS]]/Tabla3[[#This Row],[TC]]</f>
        <v>0</v>
      </c>
      <c r="L1549" s="8" t="s">
        <v>376</v>
      </c>
      <c r="M1549" s="8" t="s">
        <v>377</v>
      </c>
      <c r="N1549" s="8" t="s">
        <v>20</v>
      </c>
      <c r="O1549" s="8" t="s">
        <v>184</v>
      </c>
      <c r="P1549" s="8" t="s">
        <v>199</v>
      </c>
      <c r="Q1549" s="8" t="s">
        <v>201</v>
      </c>
      <c r="R1549" s="8" t="s">
        <v>745</v>
      </c>
      <c r="S1549" s="8" t="s">
        <v>392</v>
      </c>
      <c r="T1549" s="8"/>
      <c r="U1549" s="8" t="s">
        <v>390</v>
      </c>
      <c r="V1549" s="8"/>
      <c r="W1549" s="8" t="s">
        <v>380</v>
      </c>
      <c r="X1549" s="8" t="s">
        <v>99</v>
      </c>
      <c r="Y1549" s="8" t="s">
        <v>23</v>
      </c>
    </row>
    <row r="1550" spans="1:25" hidden="1" x14ac:dyDescent="0.25">
      <c r="A1550" s="273" t="s">
        <v>315</v>
      </c>
      <c r="B1550" s="251">
        <v>45796</v>
      </c>
      <c r="C1550" s="252" t="s">
        <v>800</v>
      </c>
      <c r="D1550" s="252"/>
      <c r="E1550" s="253">
        <v>2811.17</v>
      </c>
      <c r="F1550" s="253">
        <v>0</v>
      </c>
      <c r="G1550" s="274">
        <f>Tabla3[[#This Row],[INGRESOS]]-Tabla3[[#This Row],[EGRESOS]]</f>
        <v>-2811.17</v>
      </c>
      <c r="H1550" s="274">
        <v>22551213.379999999</v>
      </c>
      <c r="I1550" s="135">
        <v>1170</v>
      </c>
      <c r="J1550" s="136">
        <f>Tabla3[[#This Row],[EGRESOS]]/Tabla3[[#This Row],[TC]]</f>
        <v>2.4027094017094019</v>
      </c>
      <c r="K1550" s="136">
        <f>Tabla3[[#This Row],[INGRESOS]]/Tabla3[[#This Row],[TC]]</f>
        <v>0</v>
      </c>
      <c r="L1550" s="8" t="s">
        <v>376</v>
      </c>
      <c r="M1550" s="8" t="s">
        <v>377</v>
      </c>
      <c r="N1550" s="8" t="s">
        <v>20</v>
      </c>
      <c r="O1550" s="8" t="s">
        <v>184</v>
      </c>
      <c r="P1550" s="8" t="s">
        <v>199</v>
      </c>
      <c r="Q1550" s="8" t="s">
        <v>201</v>
      </c>
      <c r="R1550" s="8" t="s">
        <v>958</v>
      </c>
      <c r="S1550" s="8" t="s">
        <v>392</v>
      </c>
      <c r="T1550" s="8"/>
      <c r="U1550" s="8" t="s">
        <v>390</v>
      </c>
      <c r="V1550" s="8"/>
      <c r="W1550" s="8" t="s">
        <v>380</v>
      </c>
      <c r="X1550" s="8" t="s">
        <v>99</v>
      </c>
      <c r="Y1550" s="8" t="s">
        <v>23</v>
      </c>
    </row>
    <row r="1551" spans="1:25" hidden="1" x14ac:dyDescent="0.25">
      <c r="A1551" s="273" t="s">
        <v>315</v>
      </c>
      <c r="B1551" s="251">
        <v>45796</v>
      </c>
      <c r="C1551" s="252" t="s">
        <v>828</v>
      </c>
      <c r="D1551" s="252"/>
      <c r="E1551" s="253">
        <v>121</v>
      </c>
      <c r="F1551" s="253">
        <v>0</v>
      </c>
      <c r="G1551" s="274">
        <f>Tabla3[[#This Row],[INGRESOS]]-Tabla3[[#This Row],[EGRESOS]]</f>
        <v>-121</v>
      </c>
      <c r="H1551" s="274">
        <v>22551092.379999999</v>
      </c>
      <c r="I1551" s="135">
        <v>1170</v>
      </c>
      <c r="J1551" s="136">
        <f>Tabla3[[#This Row],[EGRESOS]]/Tabla3[[#This Row],[TC]]</f>
        <v>0.10341880341880341</v>
      </c>
      <c r="K1551" s="136">
        <f>Tabla3[[#This Row],[INGRESOS]]/Tabla3[[#This Row],[TC]]</f>
        <v>0</v>
      </c>
      <c r="L1551" s="8" t="s">
        <v>376</v>
      </c>
      <c r="M1551" s="8" t="s">
        <v>377</v>
      </c>
      <c r="N1551" s="8" t="s">
        <v>20</v>
      </c>
      <c r="O1551" s="8" t="s">
        <v>184</v>
      </c>
      <c r="P1551" s="8" t="s">
        <v>185</v>
      </c>
      <c r="Q1551" s="8" t="s">
        <v>186</v>
      </c>
      <c r="R1551" s="8" t="s">
        <v>227</v>
      </c>
      <c r="S1551" s="8"/>
      <c r="T1551" s="8"/>
      <c r="U1551" s="8" t="s">
        <v>384</v>
      </c>
      <c r="V1551" s="8"/>
      <c r="W1551" s="8" t="s">
        <v>380</v>
      </c>
      <c r="X1551" s="8" t="s">
        <v>99</v>
      </c>
      <c r="Y1551" s="8" t="s">
        <v>23</v>
      </c>
    </row>
    <row r="1552" spans="1:25" hidden="1" x14ac:dyDescent="0.25">
      <c r="A1552" s="273" t="s">
        <v>315</v>
      </c>
      <c r="B1552" s="251">
        <v>45796</v>
      </c>
      <c r="C1552" s="252" t="s">
        <v>800</v>
      </c>
      <c r="D1552" s="252"/>
      <c r="E1552" s="253">
        <v>100000</v>
      </c>
      <c r="F1552" s="253">
        <v>0</v>
      </c>
      <c r="G1552" s="274">
        <f>Tabla3[[#This Row],[INGRESOS]]-Tabla3[[#This Row],[EGRESOS]]</f>
        <v>-100000</v>
      </c>
      <c r="H1552" s="274">
        <v>22451092.379999999</v>
      </c>
      <c r="I1552" s="135">
        <v>1170</v>
      </c>
      <c r="J1552" s="136">
        <f>Tabla3[[#This Row],[EGRESOS]]/Tabla3[[#This Row],[TC]]</f>
        <v>85.470085470085465</v>
      </c>
      <c r="K1552" s="136">
        <f>Tabla3[[#This Row],[INGRESOS]]/Tabla3[[#This Row],[TC]]</f>
        <v>0</v>
      </c>
      <c r="L1552" s="8" t="s">
        <v>376</v>
      </c>
      <c r="M1552" s="8" t="s">
        <v>377</v>
      </c>
      <c r="N1552" s="8" t="s">
        <v>20</v>
      </c>
      <c r="O1552" s="8" t="s">
        <v>184</v>
      </c>
      <c r="P1552" s="8" t="s">
        <v>199</v>
      </c>
      <c r="Q1552" s="8" t="s">
        <v>200</v>
      </c>
      <c r="R1552" s="8"/>
      <c r="S1552" s="8" t="s">
        <v>470</v>
      </c>
      <c r="T1552" s="8"/>
      <c r="U1552" s="8" t="s">
        <v>390</v>
      </c>
      <c r="V1552" s="8"/>
      <c r="W1552" s="8" t="s">
        <v>380</v>
      </c>
      <c r="X1552" s="8" t="s">
        <v>99</v>
      </c>
      <c r="Y1552" s="8" t="s">
        <v>23</v>
      </c>
    </row>
    <row r="1553" spans="1:25" hidden="1" x14ac:dyDescent="0.25">
      <c r="A1553" s="273" t="s">
        <v>316</v>
      </c>
      <c r="B1553" s="251">
        <v>45827</v>
      </c>
      <c r="C1553" s="252" t="s">
        <v>1338</v>
      </c>
      <c r="D1553" s="252"/>
      <c r="E1553" s="253">
        <v>0</v>
      </c>
      <c r="F1553" s="253">
        <v>17473</v>
      </c>
      <c r="G1553" s="274">
        <f>Tabla3[[#This Row],[INGRESOS]]-Tabla3[[#This Row],[EGRESOS]]</f>
        <v>17473</v>
      </c>
      <c r="H1553" s="135">
        <v>0</v>
      </c>
      <c r="I1553" s="135">
        <v>1170</v>
      </c>
      <c r="J1553" s="136">
        <f>Tabla3[[#This Row],[EGRESOS]]/Tabla3[[#This Row],[TC]]</f>
        <v>0</v>
      </c>
      <c r="K1553" s="136">
        <f>Tabla3[[#This Row],[INGRESOS]]/Tabla3[[#This Row],[TC]]</f>
        <v>14.934188034188034</v>
      </c>
      <c r="L1553" s="8" t="s">
        <v>1336</v>
      </c>
      <c r="M1553" s="8" t="s">
        <v>1336</v>
      </c>
      <c r="N1553" s="8" t="s">
        <v>1336</v>
      </c>
      <c r="O1553" s="8" t="s">
        <v>184</v>
      </c>
      <c r="P1553" s="8" t="s">
        <v>203</v>
      </c>
      <c r="Q1553" s="8" t="s">
        <v>204</v>
      </c>
      <c r="R1553" s="8"/>
      <c r="S1553" s="8" t="s">
        <v>386</v>
      </c>
      <c r="T1553" s="8"/>
      <c r="U1553" s="8" t="s">
        <v>439</v>
      </c>
      <c r="V1553" s="8" t="s">
        <v>386</v>
      </c>
      <c r="W1553" s="8" t="s">
        <v>380</v>
      </c>
      <c r="X1553" s="8" t="s">
        <v>23</v>
      </c>
      <c r="Y1553" s="8" t="s">
        <v>98</v>
      </c>
    </row>
    <row r="1554" spans="1:25" hidden="1" x14ac:dyDescent="0.25">
      <c r="A1554" s="273" t="s">
        <v>315</v>
      </c>
      <c r="B1554" s="251">
        <v>45796</v>
      </c>
      <c r="C1554" s="252" t="s">
        <v>828</v>
      </c>
      <c r="D1554" s="252"/>
      <c r="E1554" s="253">
        <v>121</v>
      </c>
      <c r="F1554" s="253">
        <v>0</v>
      </c>
      <c r="G1554" s="274">
        <f>Tabla3[[#This Row],[INGRESOS]]-Tabla3[[#This Row],[EGRESOS]]</f>
        <v>-121</v>
      </c>
      <c r="H1554" s="274">
        <v>20450971.379999999</v>
      </c>
      <c r="I1554" s="135">
        <v>1170</v>
      </c>
      <c r="J1554" s="136">
        <f>Tabla3[[#This Row],[EGRESOS]]/Tabla3[[#This Row],[TC]]</f>
        <v>0.10341880341880341</v>
      </c>
      <c r="K1554" s="136">
        <f>Tabla3[[#This Row],[INGRESOS]]/Tabla3[[#This Row],[TC]]</f>
        <v>0</v>
      </c>
      <c r="L1554" s="8" t="s">
        <v>376</v>
      </c>
      <c r="M1554" s="8" t="s">
        <v>377</v>
      </c>
      <c r="N1554" s="8" t="s">
        <v>20</v>
      </c>
      <c r="O1554" s="8" t="s">
        <v>184</v>
      </c>
      <c r="P1554" s="8" t="s">
        <v>185</v>
      </c>
      <c r="Q1554" s="8" t="s">
        <v>186</v>
      </c>
      <c r="R1554" s="8" t="s">
        <v>227</v>
      </c>
      <c r="S1554" s="8"/>
      <c r="T1554" s="8"/>
      <c r="U1554" s="8" t="s">
        <v>384</v>
      </c>
      <c r="V1554" s="8"/>
      <c r="W1554" s="8" t="s">
        <v>380</v>
      </c>
      <c r="X1554" s="8" t="s">
        <v>99</v>
      </c>
      <c r="Y1554" s="8" t="s">
        <v>23</v>
      </c>
    </row>
    <row r="1555" spans="1:25" hidden="1" x14ac:dyDescent="0.25">
      <c r="A1555" s="273" t="s">
        <v>315</v>
      </c>
      <c r="B1555" s="251">
        <v>45796</v>
      </c>
      <c r="C1555" s="252" t="s">
        <v>822</v>
      </c>
      <c r="D1555" s="252"/>
      <c r="E1555" s="253">
        <v>8067</v>
      </c>
      <c r="F1555" s="253">
        <v>0</v>
      </c>
      <c r="G1555" s="274">
        <f>Tabla3[[#This Row],[INGRESOS]]-Tabla3[[#This Row],[EGRESOS]]</f>
        <v>-8067</v>
      </c>
      <c r="H1555" s="274">
        <v>20442904.379999999</v>
      </c>
      <c r="I1555" s="135">
        <v>1170</v>
      </c>
      <c r="J1555" s="136">
        <f>Tabla3[[#This Row],[EGRESOS]]/Tabla3[[#This Row],[TC]]</f>
        <v>6.8948717948717952</v>
      </c>
      <c r="K1555" s="136">
        <f>Tabla3[[#This Row],[INGRESOS]]/Tabla3[[#This Row],[TC]]</f>
        <v>0</v>
      </c>
      <c r="L1555" s="8" t="s">
        <v>376</v>
      </c>
      <c r="M1555" s="8" t="s">
        <v>377</v>
      </c>
      <c r="N1555" s="8" t="s">
        <v>20</v>
      </c>
      <c r="O1555" s="8" t="s">
        <v>184</v>
      </c>
      <c r="P1555" s="8" t="s">
        <v>185</v>
      </c>
      <c r="Q1555" s="8" t="s">
        <v>189</v>
      </c>
      <c r="R1555" s="8"/>
      <c r="S1555" s="8"/>
      <c r="T1555" s="8"/>
      <c r="U1555" s="8" t="s">
        <v>384</v>
      </c>
      <c r="V1555" s="8"/>
      <c r="W1555" s="8" t="s">
        <v>380</v>
      </c>
      <c r="X1555" s="8" t="s">
        <v>99</v>
      </c>
      <c r="Y1555" s="8" t="s">
        <v>23</v>
      </c>
    </row>
    <row r="1556" spans="1:25" hidden="1" x14ac:dyDescent="0.25">
      <c r="A1556" s="273" t="s">
        <v>315</v>
      </c>
      <c r="B1556" s="251">
        <v>45796</v>
      </c>
      <c r="C1556" s="252" t="s">
        <v>760</v>
      </c>
      <c r="D1556" s="252"/>
      <c r="E1556" s="253">
        <v>31647.61</v>
      </c>
      <c r="F1556" s="253">
        <v>0</v>
      </c>
      <c r="G1556" s="274">
        <f>Tabla3[[#This Row],[INGRESOS]]-Tabla3[[#This Row],[EGRESOS]]</f>
        <v>-31647.61</v>
      </c>
      <c r="H1556" s="274">
        <v>20411256.77</v>
      </c>
      <c r="I1556" s="135">
        <v>1170</v>
      </c>
      <c r="J1556" s="136">
        <f>Tabla3[[#This Row],[EGRESOS]]/Tabla3[[#This Row],[TC]]</f>
        <v>27.049239316239316</v>
      </c>
      <c r="K1556" s="136">
        <f>Tabla3[[#This Row],[INGRESOS]]/Tabla3[[#This Row],[TC]]</f>
        <v>0</v>
      </c>
      <c r="L1556" s="8" t="s">
        <v>376</v>
      </c>
      <c r="M1556" s="8" t="s">
        <v>377</v>
      </c>
      <c r="N1556" s="8" t="s">
        <v>20</v>
      </c>
      <c r="O1556" s="8" t="s">
        <v>184</v>
      </c>
      <c r="P1556" s="8" t="s">
        <v>195</v>
      </c>
      <c r="Q1556" s="8" t="s">
        <v>196</v>
      </c>
      <c r="R1556" s="8" t="s">
        <v>394</v>
      </c>
      <c r="S1556" s="8" t="s">
        <v>383</v>
      </c>
      <c r="T1556" s="8"/>
      <c r="U1556" s="8" t="s">
        <v>384</v>
      </c>
      <c r="V1556" s="8"/>
      <c r="W1556" s="8" t="s">
        <v>380</v>
      </c>
      <c r="X1556" s="8" t="s">
        <v>99</v>
      </c>
      <c r="Y1556" s="8" t="s">
        <v>23</v>
      </c>
    </row>
    <row r="1557" spans="1:25" hidden="1" x14ac:dyDescent="0.25">
      <c r="A1557" s="273" t="s">
        <v>315</v>
      </c>
      <c r="B1557" s="251">
        <v>45797</v>
      </c>
      <c r="C1557" s="252" t="s">
        <v>404</v>
      </c>
      <c r="D1557" s="252"/>
      <c r="E1557" s="253">
        <v>10500000</v>
      </c>
      <c r="F1557" s="253">
        <v>0</v>
      </c>
      <c r="G1557" s="274">
        <f>Tabla3[[#This Row],[INGRESOS]]-Tabla3[[#This Row],[EGRESOS]]</f>
        <v>-10500000</v>
      </c>
      <c r="H1557" s="274">
        <v>9911256.7699999996</v>
      </c>
      <c r="I1557" s="135">
        <v>1170</v>
      </c>
      <c r="J1557" s="136">
        <f>Tabla3[[#This Row],[EGRESOS]]/Tabla3[[#This Row],[TC]]</f>
        <v>8974.3589743589746</v>
      </c>
      <c r="K1557" s="136">
        <f>Tabla3[[#This Row],[INGRESOS]]/Tabla3[[#This Row],[TC]]</f>
        <v>0</v>
      </c>
      <c r="L1557" s="8" t="s">
        <v>376</v>
      </c>
      <c r="M1557" s="8" t="s">
        <v>377</v>
      </c>
      <c r="N1557" s="8" t="s">
        <v>20</v>
      </c>
      <c r="O1557" s="8" t="s">
        <v>244</v>
      </c>
      <c r="P1557" s="8" t="s">
        <v>259</v>
      </c>
      <c r="Q1557" s="8" t="s">
        <v>260</v>
      </c>
      <c r="R1557" s="8"/>
      <c r="S1557" s="8"/>
      <c r="T1557" s="8"/>
      <c r="U1557" s="8" t="s">
        <v>379</v>
      </c>
      <c r="V1557" s="8"/>
      <c r="W1557" s="8"/>
      <c r="X1557" s="8"/>
      <c r="Y1557" s="8"/>
    </row>
    <row r="1558" spans="1:25" hidden="1" x14ac:dyDescent="0.25">
      <c r="A1558" s="273" t="s">
        <v>315</v>
      </c>
      <c r="B1558" s="251">
        <v>45797</v>
      </c>
      <c r="C1558" s="252" t="s">
        <v>828</v>
      </c>
      <c r="D1558" s="252"/>
      <c r="E1558" s="253">
        <v>121</v>
      </c>
      <c r="F1558" s="253">
        <v>0</v>
      </c>
      <c r="G1558" s="274">
        <f>Tabla3[[#This Row],[INGRESOS]]-Tabla3[[#This Row],[EGRESOS]]</f>
        <v>-121</v>
      </c>
      <c r="H1558" s="274">
        <v>9911135.7699999996</v>
      </c>
      <c r="I1558" s="135">
        <v>1170</v>
      </c>
      <c r="J1558" s="136">
        <f>Tabla3[[#This Row],[EGRESOS]]/Tabla3[[#This Row],[TC]]</f>
        <v>0.10341880341880341</v>
      </c>
      <c r="K1558" s="136">
        <f>Tabla3[[#This Row],[INGRESOS]]/Tabla3[[#This Row],[TC]]</f>
        <v>0</v>
      </c>
      <c r="L1558" s="8" t="s">
        <v>376</v>
      </c>
      <c r="M1558" s="8" t="s">
        <v>377</v>
      </c>
      <c r="N1558" s="8" t="s">
        <v>20</v>
      </c>
      <c r="O1558" s="8" t="s">
        <v>184</v>
      </c>
      <c r="P1558" s="8" t="s">
        <v>185</v>
      </c>
      <c r="Q1558" s="8" t="s">
        <v>186</v>
      </c>
      <c r="R1558" s="8" t="s">
        <v>227</v>
      </c>
      <c r="S1558" s="8"/>
      <c r="T1558" s="8"/>
      <c r="U1558" s="8" t="s">
        <v>384</v>
      </c>
      <c r="V1558" s="8"/>
      <c r="W1558" s="8" t="s">
        <v>380</v>
      </c>
      <c r="X1558" s="8" t="s">
        <v>99</v>
      </c>
      <c r="Y1558" s="8" t="s">
        <v>23</v>
      </c>
    </row>
    <row r="1559" spans="1:25" hidden="1" x14ac:dyDescent="0.25">
      <c r="A1559" s="273" t="s">
        <v>315</v>
      </c>
      <c r="B1559" s="251">
        <v>45797</v>
      </c>
      <c r="C1559" s="252" t="s">
        <v>800</v>
      </c>
      <c r="D1559" s="252"/>
      <c r="E1559" s="253">
        <v>27747.72</v>
      </c>
      <c r="F1559" s="253">
        <v>0</v>
      </c>
      <c r="G1559" s="274">
        <f>Tabla3[[#This Row],[INGRESOS]]-Tabla3[[#This Row],[EGRESOS]]</f>
        <v>-27747.72</v>
      </c>
      <c r="H1559" s="274">
        <v>9883388.0500000007</v>
      </c>
      <c r="I1559" s="135">
        <v>1170</v>
      </c>
      <c r="J1559" s="136">
        <f>Tabla3[[#This Row],[EGRESOS]]/Tabla3[[#This Row],[TC]]</f>
        <v>23.716000000000001</v>
      </c>
      <c r="K1559" s="136">
        <f>Tabla3[[#This Row],[INGRESOS]]/Tabla3[[#This Row],[TC]]</f>
        <v>0</v>
      </c>
      <c r="L1559" s="8" t="s">
        <v>376</v>
      </c>
      <c r="M1559" s="8" t="s">
        <v>377</v>
      </c>
      <c r="N1559" s="8" t="s">
        <v>20</v>
      </c>
      <c r="O1559" s="8" t="s">
        <v>225</v>
      </c>
      <c r="P1559" s="8" t="s">
        <v>236</v>
      </c>
      <c r="Q1559" s="8" t="s">
        <v>240</v>
      </c>
      <c r="R1559" s="8" t="s">
        <v>959</v>
      </c>
      <c r="S1559" s="8" t="s">
        <v>586</v>
      </c>
      <c r="T1559" s="8" t="s">
        <v>960</v>
      </c>
      <c r="U1559" s="8" t="s">
        <v>412</v>
      </c>
      <c r="V1559" s="8"/>
      <c r="W1559" s="8" t="s">
        <v>380</v>
      </c>
      <c r="X1559" s="8" t="s">
        <v>29</v>
      </c>
      <c r="Y1559" s="8" t="s">
        <v>23</v>
      </c>
    </row>
    <row r="1560" spans="1:25" hidden="1" x14ac:dyDescent="0.25">
      <c r="A1560" s="273" t="s">
        <v>315</v>
      </c>
      <c r="B1560" s="251">
        <v>45797</v>
      </c>
      <c r="C1560" s="252" t="s">
        <v>800</v>
      </c>
      <c r="D1560" s="252"/>
      <c r="E1560" s="253">
        <v>126401.47</v>
      </c>
      <c r="F1560" s="253">
        <v>0</v>
      </c>
      <c r="G1560" s="274">
        <f>Tabla3[[#This Row],[INGRESOS]]-Tabla3[[#This Row],[EGRESOS]]</f>
        <v>-126401.47</v>
      </c>
      <c r="H1560" s="274">
        <v>9756986.5800000001</v>
      </c>
      <c r="I1560" s="135">
        <v>1170</v>
      </c>
      <c r="J1560" s="136">
        <f>Tabla3[[#This Row],[EGRESOS]]/Tabla3[[#This Row],[TC]]</f>
        <v>108.03544444444445</v>
      </c>
      <c r="K1560" s="136">
        <f>Tabla3[[#This Row],[INGRESOS]]/Tabla3[[#This Row],[TC]]</f>
        <v>0</v>
      </c>
      <c r="L1560" s="8" t="s">
        <v>376</v>
      </c>
      <c r="M1560" s="8" t="s">
        <v>377</v>
      </c>
      <c r="N1560" s="8" t="s">
        <v>20</v>
      </c>
      <c r="O1560" s="8" t="s">
        <v>225</v>
      </c>
      <c r="P1560" s="8" t="s">
        <v>236</v>
      </c>
      <c r="Q1560" s="8" t="s">
        <v>241</v>
      </c>
      <c r="R1560" s="8" t="s">
        <v>643</v>
      </c>
      <c r="S1560" s="8" t="s">
        <v>961</v>
      </c>
      <c r="T1560" s="8" t="s">
        <v>962</v>
      </c>
      <c r="U1560" s="8" t="s">
        <v>412</v>
      </c>
      <c r="V1560" s="8"/>
      <c r="W1560" s="8" t="s">
        <v>380</v>
      </c>
      <c r="X1560" s="8" t="s">
        <v>29</v>
      </c>
      <c r="Y1560" s="8" t="s">
        <v>23</v>
      </c>
    </row>
    <row r="1561" spans="1:25" hidden="1" x14ac:dyDescent="0.25">
      <c r="A1561" s="273" t="s">
        <v>315</v>
      </c>
      <c r="B1561" s="251">
        <v>45797</v>
      </c>
      <c r="C1561" s="252" t="s">
        <v>800</v>
      </c>
      <c r="D1561" s="252"/>
      <c r="E1561" s="253">
        <v>53000</v>
      </c>
      <c r="F1561" s="253">
        <v>0</v>
      </c>
      <c r="G1561" s="274">
        <f>Tabla3[[#This Row],[INGRESOS]]-Tabla3[[#This Row],[EGRESOS]]</f>
        <v>-53000</v>
      </c>
      <c r="H1561" s="274">
        <v>9703986.5800000001</v>
      </c>
      <c r="I1561" s="135">
        <v>1170</v>
      </c>
      <c r="J1561" s="136">
        <f>Tabla3[[#This Row],[EGRESOS]]/Tabla3[[#This Row],[TC]]</f>
        <v>45.299145299145302</v>
      </c>
      <c r="K1561" s="136">
        <f>Tabla3[[#This Row],[INGRESOS]]/Tabla3[[#This Row],[TC]]</f>
        <v>0</v>
      </c>
      <c r="L1561" s="8" t="s">
        <v>376</v>
      </c>
      <c r="M1561" s="8" t="s">
        <v>377</v>
      </c>
      <c r="N1561" s="8" t="s">
        <v>20</v>
      </c>
      <c r="O1561" s="8" t="s">
        <v>276</v>
      </c>
      <c r="P1561" s="8" t="s">
        <v>281</v>
      </c>
      <c r="Q1561" s="8" t="s">
        <v>963</v>
      </c>
      <c r="R1561" s="8"/>
      <c r="S1561" s="8" t="s">
        <v>964</v>
      </c>
      <c r="T1561" s="8"/>
      <c r="U1561" s="8" t="s">
        <v>384</v>
      </c>
      <c r="V1561" s="8"/>
      <c r="W1561" s="8" t="s">
        <v>380</v>
      </c>
      <c r="X1561" s="8" t="s">
        <v>99</v>
      </c>
      <c r="Y1561" s="8" t="s">
        <v>23</v>
      </c>
    </row>
    <row r="1562" spans="1:25" hidden="1" x14ac:dyDescent="0.25">
      <c r="A1562" s="273" t="s">
        <v>315</v>
      </c>
      <c r="B1562" s="251">
        <v>45797</v>
      </c>
      <c r="C1562" s="252" t="s">
        <v>800</v>
      </c>
      <c r="D1562" s="252"/>
      <c r="E1562" s="253">
        <v>2100000</v>
      </c>
      <c r="F1562" s="253">
        <v>0</v>
      </c>
      <c r="G1562" s="274">
        <f>Tabla3[[#This Row],[INGRESOS]]-Tabla3[[#This Row],[EGRESOS]]</f>
        <v>-2100000</v>
      </c>
      <c r="H1562" s="274">
        <v>7603986.5800000001</v>
      </c>
      <c r="I1562" s="135">
        <v>1170</v>
      </c>
      <c r="J1562" s="136">
        <f>Tabla3[[#This Row],[EGRESOS]]/Tabla3[[#This Row],[TC]]</f>
        <v>1794.8717948717949</v>
      </c>
      <c r="K1562" s="136">
        <f>Tabla3[[#This Row],[INGRESOS]]/Tabla3[[#This Row],[TC]]</f>
        <v>0</v>
      </c>
      <c r="L1562" s="8" t="s">
        <v>376</v>
      </c>
      <c r="M1562" s="8" t="s">
        <v>377</v>
      </c>
      <c r="N1562" s="8" t="s">
        <v>20</v>
      </c>
      <c r="O1562" s="8" t="s">
        <v>184</v>
      </c>
      <c r="P1562" s="8" t="s">
        <v>210</v>
      </c>
      <c r="Q1562" s="8" t="s">
        <v>205</v>
      </c>
      <c r="R1562" s="8"/>
      <c r="S1562" s="8" t="s">
        <v>452</v>
      </c>
      <c r="T1562" s="8"/>
      <c r="U1562" s="8" t="s">
        <v>453</v>
      </c>
      <c r="V1562" s="8"/>
      <c r="W1562" s="8" t="s">
        <v>380</v>
      </c>
      <c r="X1562" s="8" t="s">
        <v>45</v>
      </c>
      <c r="Y1562" s="8" t="s">
        <v>23</v>
      </c>
    </row>
    <row r="1563" spans="1:25" hidden="1" x14ac:dyDescent="0.25">
      <c r="A1563" s="273" t="s">
        <v>315</v>
      </c>
      <c r="B1563" s="251">
        <v>45797</v>
      </c>
      <c r="C1563" s="252" t="s">
        <v>828</v>
      </c>
      <c r="D1563" s="252"/>
      <c r="E1563" s="253">
        <v>121</v>
      </c>
      <c r="F1563" s="253">
        <v>0</v>
      </c>
      <c r="G1563" s="274">
        <f>Tabla3[[#This Row],[INGRESOS]]-Tabla3[[#This Row],[EGRESOS]]</f>
        <v>-121</v>
      </c>
      <c r="H1563" s="274">
        <v>7603865.5800000001</v>
      </c>
      <c r="I1563" s="135">
        <v>1170</v>
      </c>
      <c r="J1563" s="136">
        <f>Tabla3[[#This Row],[EGRESOS]]/Tabla3[[#This Row],[TC]]</f>
        <v>0.10341880341880341</v>
      </c>
      <c r="K1563" s="136">
        <f>Tabla3[[#This Row],[INGRESOS]]/Tabla3[[#This Row],[TC]]</f>
        <v>0</v>
      </c>
      <c r="L1563" s="8" t="s">
        <v>376</v>
      </c>
      <c r="M1563" s="8" t="s">
        <v>377</v>
      </c>
      <c r="N1563" s="8" t="s">
        <v>20</v>
      </c>
      <c r="O1563" s="8" t="s">
        <v>184</v>
      </c>
      <c r="P1563" s="8" t="s">
        <v>185</v>
      </c>
      <c r="Q1563" s="8" t="s">
        <v>186</v>
      </c>
      <c r="R1563" s="8" t="s">
        <v>227</v>
      </c>
      <c r="S1563" s="8"/>
      <c r="T1563" s="8"/>
      <c r="U1563" s="8" t="s">
        <v>384</v>
      </c>
      <c r="V1563" s="8"/>
      <c r="W1563" s="8" t="s">
        <v>380</v>
      </c>
      <c r="X1563" s="8" t="s">
        <v>99</v>
      </c>
      <c r="Y1563" s="8" t="s">
        <v>23</v>
      </c>
    </row>
    <row r="1564" spans="1:25" hidden="1" x14ac:dyDescent="0.25">
      <c r="A1564" s="273" t="s">
        <v>315</v>
      </c>
      <c r="B1564" s="251">
        <v>45797</v>
      </c>
      <c r="C1564" s="252" t="s">
        <v>760</v>
      </c>
      <c r="D1564" s="252"/>
      <c r="E1564" s="253">
        <v>13844.36</v>
      </c>
      <c r="F1564" s="253">
        <v>0</v>
      </c>
      <c r="G1564" s="274">
        <f>Tabla3[[#This Row],[INGRESOS]]-Tabla3[[#This Row],[EGRESOS]]</f>
        <v>-13844.36</v>
      </c>
      <c r="H1564" s="274">
        <v>7590021.2199999997</v>
      </c>
      <c r="I1564" s="135">
        <v>1170</v>
      </c>
      <c r="J1564" s="136">
        <f>Tabla3[[#This Row],[EGRESOS]]/Tabla3[[#This Row],[TC]]</f>
        <v>11.832786324786325</v>
      </c>
      <c r="K1564" s="136">
        <f>Tabla3[[#This Row],[INGRESOS]]/Tabla3[[#This Row],[TC]]</f>
        <v>0</v>
      </c>
      <c r="L1564" s="8" t="s">
        <v>376</v>
      </c>
      <c r="M1564" s="8" t="s">
        <v>377</v>
      </c>
      <c r="N1564" s="8" t="s">
        <v>20</v>
      </c>
      <c r="O1564" s="8" t="s">
        <v>184</v>
      </c>
      <c r="P1564" s="8" t="s">
        <v>195</v>
      </c>
      <c r="Q1564" s="8" t="s">
        <v>196</v>
      </c>
      <c r="R1564" s="8" t="s">
        <v>394</v>
      </c>
      <c r="S1564" s="8" t="s">
        <v>383</v>
      </c>
      <c r="T1564" s="8"/>
      <c r="U1564" s="8" t="s">
        <v>384</v>
      </c>
      <c r="V1564" s="8"/>
      <c r="W1564" s="8" t="s">
        <v>380</v>
      </c>
      <c r="X1564" s="8" t="s">
        <v>99</v>
      </c>
      <c r="Y1564" s="8" t="s">
        <v>23</v>
      </c>
    </row>
    <row r="1565" spans="1:25" hidden="1" x14ac:dyDescent="0.25">
      <c r="A1565" s="273" t="s">
        <v>315</v>
      </c>
      <c r="B1565" s="251">
        <v>45798</v>
      </c>
      <c r="C1565" s="252" t="s">
        <v>404</v>
      </c>
      <c r="D1565" s="252"/>
      <c r="E1565" s="253">
        <v>350000</v>
      </c>
      <c r="F1565" s="253">
        <v>0</v>
      </c>
      <c r="G1565" s="274">
        <f>Tabla3[[#This Row],[INGRESOS]]-Tabla3[[#This Row],[EGRESOS]]</f>
        <v>-350000</v>
      </c>
      <c r="H1565" s="274">
        <v>7240021.2199999997</v>
      </c>
      <c r="I1565" s="135">
        <v>1170</v>
      </c>
      <c r="J1565" s="136">
        <f>Tabla3[[#This Row],[EGRESOS]]/Tabla3[[#This Row],[TC]]</f>
        <v>299.14529914529913</v>
      </c>
      <c r="K1565" s="136">
        <f>Tabla3[[#This Row],[INGRESOS]]/Tabla3[[#This Row],[TC]]</f>
        <v>0</v>
      </c>
      <c r="L1565" s="8" t="s">
        <v>376</v>
      </c>
      <c r="M1565" s="8" t="s">
        <v>377</v>
      </c>
      <c r="N1565" s="8" t="s">
        <v>20</v>
      </c>
      <c r="O1565" s="8" t="s">
        <v>244</v>
      </c>
      <c r="P1565" s="8" t="s">
        <v>259</v>
      </c>
      <c r="Q1565" s="8" t="s">
        <v>260</v>
      </c>
      <c r="R1565" s="8" t="s">
        <v>467</v>
      </c>
      <c r="S1565" s="8"/>
      <c r="T1565" s="8"/>
      <c r="U1565" s="8" t="s">
        <v>379</v>
      </c>
      <c r="V1565" s="8"/>
      <c r="W1565" s="8"/>
      <c r="X1565" s="8"/>
      <c r="Y1565" s="8"/>
    </row>
    <row r="1566" spans="1:25" hidden="1" x14ac:dyDescent="0.25">
      <c r="A1566" s="273" t="s">
        <v>315</v>
      </c>
      <c r="B1566" s="251">
        <v>45798</v>
      </c>
      <c r="C1566" s="252" t="s">
        <v>828</v>
      </c>
      <c r="D1566" s="252"/>
      <c r="E1566" s="253">
        <v>121</v>
      </c>
      <c r="F1566" s="253">
        <v>0</v>
      </c>
      <c r="G1566" s="274">
        <f>Tabla3[[#This Row],[INGRESOS]]-Tabla3[[#This Row],[EGRESOS]]</f>
        <v>-121</v>
      </c>
      <c r="H1566" s="274">
        <v>7239900.2199999997</v>
      </c>
      <c r="I1566" s="135">
        <v>1170</v>
      </c>
      <c r="J1566" s="136">
        <f>Tabla3[[#This Row],[EGRESOS]]/Tabla3[[#This Row],[TC]]</f>
        <v>0.10341880341880341</v>
      </c>
      <c r="K1566" s="136">
        <f>Tabla3[[#This Row],[INGRESOS]]/Tabla3[[#This Row],[TC]]</f>
        <v>0</v>
      </c>
      <c r="L1566" s="8" t="s">
        <v>376</v>
      </c>
      <c r="M1566" s="8" t="s">
        <v>377</v>
      </c>
      <c r="N1566" s="8" t="s">
        <v>20</v>
      </c>
      <c r="O1566" s="8" t="s">
        <v>184</v>
      </c>
      <c r="P1566" s="8" t="s">
        <v>185</v>
      </c>
      <c r="Q1566" s="8" t="s">
        <v>186</v>
      </c>
      <c r="R1566" s="8" t="s">
        <v>227</v>
      </c>
      <c r="S1566" s="8"/>
      <c r="T1566" s="8"/>
      <c r="U1566" s="8" t="s">
        <v>384</v>
      </c>
      <c r="V1566" s="8"/>
      <c r="W1566" s="8" t="s">
        <v>380</v>
      </c>
      <c r="X1566" s="8" t="s">
        <v>99</v>
      </c>
      <c r="Y1566" s="8" t="s">
        <v>23</v>
      </c>
    </row>
    <row r="1567" spans="1:25" hidden="1" x14ac:dyDescent="0.25">
      <c r="A1567" s="273" t="s">
        <v>315</v>
      </c>
      <c r="B1567" s="251">
        <v>45798</v>
      </c>
      <c r="C1567" s="252" t="s">
        <v>934</v>
      </c>
      <c r="D1567" s="252"/>
      <c r="E1567" s="253">
        <v>0</v>
      </c>
      <c r="F1567" s="253">
        <v>18613.259999999998</v>
      </c>
      <c r="G1567" s="274">
        <f>Tabla3[[#This Row],[INGRESOS]]-Tabla3[[#This Row],[EGRESOS]]</f>
        <v>18613.259999999998</v>
      </c>
      <c r="H1567" s="274">
        <v>7258513.4800000004</v>
      </c>
      <c r="I1567" s="135">
        <v>1170</v>
      </c>
      <c r="J1567" s="136">
        <f>Tabla3[[#This Row],[EGRESOS]]/Tabla3[[#This Row],[TC]]</f>
        <v>0</v>
      </c>
      <c r="K1567" s="136">
        <f>Tabla3[[#This Row],[INGRESOS]]/Tabla3[[#This Row],[TC]]</f>
        <v>15.908769230769229</v>
      </c>
      <c r="L1567" s="8" t="s">
        <v>376</v>
      </c>
      <c r="M1567" s="8" t="s">
        <v>377</v>
      </c>
      <c r="N1567" s="8" t="s">
        <v>20</v>
      </c>
      <c r="O1567" s="8" t="s">
        <v>215</v>
      </c>
      <c r="P1567" s="8" t="s">
        <v>216</v>
      </c>
      <c r="Q1567" s="8" t="s">
        <v>220</v>
      </c>
      <c r="R1567" s="8" t="s">
        <v>929</v>
      </c>
      <c r="S1567" s="8" t="s">
        <v>935</v>
      </c>
      <c r="T1567" s="8"/>
      <c r="U1567" s="8" t="s">
        <v>516</v>
      </c>
      <c r="V1567" s="8"/>
      <c r="W1567" s="8" t="s">
        <v>380</v>
      </c>
      <c r="X1567" s="8" t="s">
        <v>23</v>
      </c>
      <c r="Y1567" s="8" t="s">
        <v>97</v>
      </c>
    </row>
    <row r="1568" spans="1:25" hidden="1" x14ac:dyDescent="0.25">
      <c r="A1568" s="273" t="s">
        <v>315</v>
      </c>
      <c r="B1568" s="251">
        <v>45798</v>
      </c>
      <c r="C1568" s="252" t="s">
        <v>760</v>
      </c>
      <c r="D1568" s="252"/>
      <c r="E1568" s="253">
        <v>111.68</v>
      </c>
      <c r="F1568" s="253">
        <v>0</v>
      </c>
      <c r="G1568" s="274">
        <f>Tabla3[[#This Row],[INGRESOS]]-Tabla3[[#This Row],[EGRESOS]]</f>
        <v>-111.68</v>
      </c>
      <c r="H1568" s="274">
        <v>7258401.7999999998</v>
      </c>
      <c r="I1568" s="135">
        <v>1170</v>
      </c>
      <c r="J1568" s="136">
        <f>Tabla3[[#This Row],[EGRESOS]]/Tabla3[[#This Row],[TC]]</f>
        <v>9.5452991452991465E-2</v>
      </c>
      <c r="K1568" s="136">
        <f>Tabla3[[#This Row],[INGRESOS]]/Tabla3[[#This Row],[TC]]</f>
        <v>0</v>
      </c>
      <c r="L1568" s="8" t="s">
        <v>376</v>
      </c>
      <c r="M1568" s="8" t="s">
        <v>377</v>
      </c>
      <c r="N1568" s="8" t="s">
        <v>20</v>
      </c>
      <c r="O1568" s="8" t="s">
        <v>184</v>
      </c>
      <c r="P1568" s="8" t="s">
        <v>195</v>
      </c>
      <c r="Q1568" s="8" t="s">
        <v>196</v>
      </c>
      <c r="R1568" s="8" t="s">
        <v>394</v>
      </c>
      <c r="S1568" s="8" t="s">
        <v>383</v>
      </c>
      <c r="T1568" s="8"/>
      <c r="U1568" s="8" t="s">
        <v>384</v>
      </c>
      <c r="V1568" s="8"/>
      <c r="W1568" s="8" t="s">
        <v>380</v>
      </c>
      <c r="X1568" s="8" t="s">
        <v>99</v>
      </c>
      <c r="Y1568" s="8" t="s">
        <v>23</v>
      </c>
    </row>
    <row r="1569" spans="1:25" hidden="1" x14ac:dyDescent="0.25">
      <c r="A1569" s="273" t="s">
        <v>315</v>
      </c>
      <c r="B1569" s="251">
        <v>45798</v>
      </c>
      <c r="C1569" s="252" t="s">
        <v>760</v>
      </c>
      <c r="D1569" s="252"/>
      <c r="E1569" s="253">
        <v>0.73</v>
      </c>
      <c r="F1569" s="253">
        <v>0</v>
      </c>
      <c r="G1569" s="274">
        <f>Tabla3[[#This Row],[INGRESOS]]-Tabla3[[#This Row],[EGRESOS]]</f>
        <v>-0.73</v>
      </c>
      <c r="H1569" s="274">
        <v>7258401.0700000003</v>
      </c>
      <c r="I1569" s="135">
        <v>1170</v>
      </c>
      <c r="J1569" s="136">
        <f>Tabla3[[#This Row],[EGRESOS]]/Tabla3[[#This Row],[TC]]</f>
        <v>6.2393162393162391E-4</v>
      </c>
      <c r="K1569" s="136">
        <f>Tabla3[[#This Row],[INGRESOS]]/Tabla3[[#This Row],[TC]]</f>
        <v>0</v>
      </c>
      <c r="L1569" s="8" t="s">
        <v>376</v>
      </c>
      <c r="M1569" s="8" t="s">
        <v>377</v>
      </c>
      <c r="N1569" s="8" t="s">
        <v>20</v>
      </c>
      <c r="O1569" s="8" t="s">
        <v>184</v>
      </c>
      <c r="P1569" s="8" t="s">
        <v>195</v>
      </c>
      <c r="Q1569" s="8" t="s">
        <v>196</v>
      </c>
      <c r="R1569" s="8" t="s">
        <v>394</v>
      </c>
      <c r="S1569" s="8" t="s">
        <v>383</v>
      </c>
      <c r="T1569" s="8"/>
      <c r="U1569" s="8" t="s">
        <v>384</v>
      </c>
      <c r="V1569" s="8"/>
      <c r="W1569" s="8" t="s">
        <v>380</v>
      </c>
      <c r="X1569" s="8" t="s">
        <v>99</v>
      </c>
      <c r="Y1569" s="8" t="s">
        <v>23</v>
      </c>
    </row>
    <row r="1570" spans="1:25" hidden="1" x14ac:dyDescent="0.25">
      <c r="A1570" s="273" t="s">
        <v>315</v>
      </c>
      <c r="B1570" s="251">
        <v>45799</v>
      </c>
      <c r="C1570" s="252" t="s">
        <v>782</v>
      </c>
      <c r="D1570" s="252" t="s">
        <v>965</v>
      </c>
      <c r="E1570" s="253">
        <v>1500000</v>
      </c>
      <c r="F1570" s="253">
        <v>0</v>
      </c>
      <c r="G1570" s="274">
        <f>Tabla3[[#This Row],[INGRESOS]]-Tabla3[[#This Row],[EGRESOS]]</f>
        <v>-1500000</v>
      </c>
      <c r="H1570" s="274">
        <v>5758401.0700000003</v>
      </c>
      <c r="I1570" s="135">
        <v>1170</v>
      </c>
      <c r="J1570" s="136">
        <f>Tabla3[[#This Row],[EGRESOS]]/Tabla3[[#This Row],[TC]]</f>
        <v>1282.051282051282</v>
      </c>
      <c r="K1570" s="136">
        <f>Tabla3[[#This Row],[INGRESOS]]/Tabla3[[#This Row],[TC]]</f>
        <v>0</v>
      </c>
      <c r="L1570" s="8" t="s">
        <v>376</v>
      </c>
      <c r="M1570" s="8" t="s">
        <v>377</v>
      </c>
      <c r="N1570" s="8" t="s">
        <v>20</v>
      </c>
      <c r="O1570" s="8" t="s">
        <v>215</v>
      </c>
      <c r="P1570" s="8" t="s">
        <v>216</v>
      </c>
      <c r="Q1570" s="8" t="s">
        <v>220</v>
      </c>
      <c r="R1570" s="8" t="s">
        <v>327</v>
      </c>
      <c r="S1570" s="8" t="s">
        <v>551</v>
      </c>
      <c r="T1570" s="8"/>
      <c r="U1570" s="8" t="s">
        <v>403</v>
      </c>
      <c r="V1570" s="8"/>
      <c r="W1570" s="8" t="s">
        <v>380</v>
      </c>
      <c r="X1570" s="8" t="s">
        <v>29</v>
      </c>
      <c r="Y1570" s="8" t="s">
        <v>23</v>
      </c>
    </row>
    <row r="1571" spans="1:25" hidden="1" x14ac:dyDescent="0.25">
      <c r="A1571" s="273" t="s">
        <v>315</v>
      </c>
      <c r="B1571" s="251">
        <v>45799</v>
      </c>
      <c r="C1571" s="252" t="s">
        <v>782</v>
      </c>
      <c r="D1571" s="252" t="s">
        <v>966</v>
      </c>
      <c r="E1571" s="253">
        <v>357951</v>
      </c>
      <c r="F1571" s="253">
        <v>0</v>
      </c>
      <c r="G1571" s="274">
        <f>Tabla3[[#This Row],[INGRESOS]]-Tabla3[[#This Row],[EGRESOS]]</f>
        <v>-357951</v>
      </c>
      <c r="H1571" s="274">
        <v>5400450.0700000003</v>
      </c>
      <c r="I1571" s="135">
        <v>1170</v>
      </c>
      <c r="J1571" s="136">
        <f>Tabla3[[#This Row],[EGRESOS]]/Tabla3[[#This Row],[TC]]</f>
        <v>305.94102564102565</v>
      </c>
      <c r="K1571" s="136">
        <f>Tabla3[[#This Row],[INGRESOS]]/Tabla3[[#This Row],[TC]]</f>
        <v>0</v>
      </c>
      <c r="L1571" s="8" t="s">
        <v>376</v>
      </c>
      <c r="M1571" s="8" t="s">
        <v>377</v>
      </c>
      <c r="N1571" s="8" t="s">
        <v>20</v>
      </c>
      <c r="O1571" s="8" t="s">
        <v>225</v>
      </c>
      <c r="P1571" s="8" t="s">
        <v>236</v>
      </c>
      <c r="Q1571" s="8" t="s">
        <v>227</v>
      </c>
      <c r="R1571" s="8" t="s">
        <v>967</v>
      </c>
      <c r="S1571" s="8" t="s">
        <v>968</v>
      </c>
      <c r="T1571" s="8" t="s">
        <v>969</v>
      </c>
      <c r="U1571" s="8" t="s">
        <v>412</v>
      </c>
      <c r="V1571" s="8"/>
      <c r="W1571" s="8" t="s">
        <v>380</v>
      </c>
      <c r="X1571" s="8" t="s">
        <v>29</v>
      </c>
      <c r="Y1571" s="8" t="s">
        <v>23</v>
      </c>
    </row>
    <row r="1572" spans="1:25" hidden="1" x14ac:dyDescent="0.25">
      <c r="A1572" s="273" t="s">
        <v>315</v>
      </c>
      <c r="B1572" s="251">
        <v>45799</v>
      </c>
      <c r="C1572" s="252" t="s">
        <v>800</v>
      </c>
      <c r="D1572" s="252"/>
      <c r="E1572" s="253">
        <v>15000</v>
      </c>
      <c r="F1572" s="253">
        <v>0</v>
      </c>
      <c r="G1572" s="274">
        <f>Tabla3[[#This Row],[INGRESOS]]-Tabla3[[#This Row],[EGRESOS]]</f>
        <v>-15000</v>
      </c>
      <c r="H1572" s="274">
        <v>5126990.07</v>
      </c>
      <c r="I1572" s="135">
        <v>1170</v>
      </c>
      <c r="J1572" s="136">
        <f>Tabla3[[#This Row],[EGRESOS]]/Tabla3[[#This Row],[TC]]</f>
        <v>12.820512820512821</v>
      </c>
      <c r="K1572" s="136">
        <f>Tabla3[[#This Row],[INGRESOS]]/Tabla3[[#This Row],[TC]]</f>
        <v>0</v>
      </c>
      <c r="L1572" s="8" t="s">
        <v>376</v>
      </c>
      <c r="M1572" s="8" t="s">
        <v>377</v>
      </c>
      <c r="N1572" s="8" t="s">
        <v>20</v>
      </c>
      <c r="O1572" s="8" t="s">
        <v>225</v>
      </c>
      <c r="P1572" s="8" t="s">
        <v>233</v>
      </c>
      <c r="Q1572" s="8" t="s">
        <v>234</v>
      </c>
      <c r="R1572" s="8" t="s">
        <v>430</v>
      </c>
      <c r="S1572" s="8"/>
      <c r="T1572" s="8"/>
      <c r="U1572" s="8" t="s">
        <v>403</v>
      </c>
      <c r="V1572" s="8"/>
      <c r="W1572" s="8" t="s">
        <v>380</v>
      </c>
      <c r="X1572" s="8" t="s">
        <v>29</v>
      </c>
      <c r="Y1572" s="8" t="s">
        <v>23</v>
      </c>
    </row>
    <row r="1573" spans="1:25" hidden="1" x14ac:dyDescent="0.25">
      <c r="A1573" s="273" t="s">
        <v>315</v>
      </c>
      <c r="B1573" s="251">
        <v>45799</v>
      </c>
      <c r="C1573" s="252" t="s">
        <v>800</v>
      </c>
      <c r="D1573" s="252"/>
      <c r="E1573" s="253">
        <v>108460</v>
      </c>
      <c r="F1573" s="253">
        <v>0</v>
      </c>
      <c r="G1573" s="274">
        <f>Tabla3[[#This Row],[INGRESOS]]-Tabla3[[#This Row],[EGRESOS]]</f>
        <v>-108460</v>
      </c>
      <c r="H1573" s="274">
        <v>5126990.07</v>
      </c>
      <c r="I1573" s="135">
        <v>1170</v>
      </c>
      <c r="J1573" s="136">
        <f>Tabla3[[#This Row],[EGRESOS]]/Tabla3[[#This Row],[TC]]</f>
        <v>92.700854700854705</v>
      </c>
      <c r="K1573" s="136">
        <f>Tabla3[[#This Row],[INGRESOS]]/Tabla3[[#This Row],[TC]]</f>
        <v>0</v>
      </c>
      <c r="L1573" s="8" t="s">
        <v>376</v>
      </c>
      <c r="M1573" s="8" t="s">
        <v>377</v>
      </c>
      <c r="N1573" s="8" t="s">
        <v>20</v>
      </c>
      <c r="O1573" s="8" t="s">
        <v>225</v>
      </c>
      <c r="P1573" s="8" t="s">
        <v>236</v>
      </c>
      <c r="Q1573" s="8" t="s">
        <v>214</v>
      </c>
      <c r="R1573" s="8"/>
      <c r="S1573" s="8" t="s">
        <v>522</v>
      </c>
      <c r="T1573" s="8"/>
      <c r="U1573" s="8" t="s">
        <v>412</v>
      </c>
      <c r="V1573" s="8"/>
      <c r="W1573" s="8" t="s">
        <v>380</v>
      </c>
      <c r="X1573" s="8" t="s">
        <v>29</v>
      </c>
      <c r="Y1573" s="8" t="s">
        <v>23</v>
      </c>
    </row>
    <row r="1574" spans="1:25" hidden="1" x14ac:dyDescent="0.25">
      <c r="A1574" s="273" t="s">
        <v>317</v>
      </c>
      <c r="B1574" s="251">
        <v>45839</v>
      </c>
      <c r="C1574" s="252" t="s">
        <v>800</v>
      </c>
      <c r="D1574" s="252"/>
      <c r="E1574" s="253">
        <v>96280</v>
      </c>
      <c r="F1574" s="253">
        <v>0</v>
      </c>
      <c r="G1574" s="274">
        <f>Tabla3[[#This Row],[INGRESOS]]-Tabla3[[#This Row],[EGRESOS]]</f>
        <v>-96280</v>
      </c>
      <c r="H1574" s="137">
        <v>11160910.640000001</v>
      </c>
      <c r="I1574" s="135">
        <v>1170</v>
      </c>
      <c r="J1574" s="136">
        <f>Tabla3[[#This Row],[EGRESOS]]/Tabla3[[#This Row],[TC]]</f>
        <v>82.290598290598297</v>
      </c>
      <c r="K1574" s="136">
        <f>Tabla3[[#This Row],[INGRESOS]]/Tabla3[[#This Row],[TC]]</f>
        <v>0</v>
      </c>
      <c r="L1574" s="8" t="s">
        <v>376</v>
      </c>
      <c r="M1574" s="8" t="s">
        <v>377</v>
      </c>
      <c r="N1574" s="8" t="s">
        <v>20</v>
      </c>
      <c r="O1574" s="8" t="s">
        <v>184</v>
      </c>
      <c r="P1574" s="8" t="s">
        <v>203</v>
      </c>
      <c r="Q1574" s="8" t="s">
        <v>205</v>
      </c>
      <c r="R1574" s="8" t="s">
        <v>189</v>
      </c>
      <c r="S1574" s="8" t="s">
        <v>386</v>
      </c>
      <c r="T1574" s="8"/>
      <c r="U1574" s="8" t="s">
        <v>387</v>
      </c>
      <c r="V1574" s="8" t="s">
        <v>386</v>
      </c>
      <c r="W1574" s="8" t="s">
        <v>380</v>
      </c>
      <c r="X1574" s="8" t="s">
        <v>104</v>
      </c>
      <c r="Y1574" s="8" t="s">
        <v>23</v>
      </c>
    </row>
    <row r="1575" spans="1:25" hidden="1" x14ac:dyDescent="0.25">
      <c r="A1575" s="273" t="s">
        <v>315</v>
      </c>
      <c r="B1575" s="251">
        <v>45799</v>
      </c>
      <c r="C1575" s="252" t="s">
        <v>828</v>
      </c>
      <c r="D1575" s="252"/>
      <c r="E1575" s="253">
        <v>18.149999999999999</v>
      </c>
      <c r="F1575" s="253">
        <v>0</v>
      </c>
      <c r="G1575" s="274">
        <f>Tabla3[[#This Row],[INGRESOS]]-Tabla3[[#This Row],[EGRESOS]]</f>
        <v>-18.149999999999999</v>
      </c>
      <c r="H1575" s="274">
        <v>5126971.92</v>
      </c>
      <c r="I1575" s="135">
        <v>1170</v>
      </c>
      <c r="J1575" s="136">
        <f>Tabla3[[#This Row],[EGRESOS]]/Tabla3[[#This Row],[TC]]</f>
        <v>1.5512820512820512E-2</v>
      </c>
      <c r="K1575" s="136">
        <f>Tabla3[[#This Row],[INGRESOS]]/Tabla3[[#This Row],[TC]]</f>
        <v>0</v>
      </c>
      <c r="L1575" s="8" t="s">
        <v>376</v>
      </c>
      <c r="M1575" s="8" t="s">
        <v>377</v>
      </c>
      <c r="N1575" s="8" t="s">
        <v>20</v>
      </c>
      <c r="O1575" s="8" t="s">
        <v>184</v>
      </c>
      <c r="P1575" s="8" t="s">
        <v>185</v>
      </c>
      <c r="Q1575" s="8" t="s">
        <v>186</v>
      </c>
      <c r="R1575" s="8" t="s">
        <v>227</v>
      </c>
      <c r="S1575" s="8"/>
      <c r="T1575" s="8"/>
      <c r="U1575" s="8" t="s">
        <v>384</v>
      </c>
      <c r="V1575" s="8"/>
      <c r="W1575" s="8" t="s">
        <v>380</v>
      </c>
      <c r="X1575" s="8" t="s">
        <v>99</v>
      </c>
      <c r="Y1575" s="8" t="s">
        <v>23</v>
      </c>
    </row>
    <row r="1576" spans="1:25" hidden="1" x14ac:dyDescent="0.25">
      <c r="A1576" s="273" t="s">
        <v>315</v>
      </c>
      <c r="B1576" s="251">
        <v>45799</v>
      </c>
      <c r="C1576" s="252" t="s">
        <v>760</v>
      </c>
      <c r="D1576" s="252"/>
      <c r="E1576" s="253">
        <v>12788.58</v>
      </c>
      <c r="F1576" s="253">
        <v>0</v>
      </c>
      <c r="G1576" s="274">
        <f>Tabla3[[#This Row],[INGRESOS]]-Tabla3[[#This Row],[EGRESOS]]</f>
        <v>-12788.58</v>
      </c>
      <c r="H1576" s="274">
        <v>5114183.34</v>
      </c>
      <c r="I1576" s="135">
        <v>1170</v>
      </c>
      <c r="J1576" s="136">
        <f>Tabla3[[#This Row],[EGRESOS]]/Tabla3[[#This Row],[TC]]</f>
        <v>10.930410256410257</v>
      </c>
      <c r="K1576" s="136">
        <f>Tabla3[[#This Row],[INGRESOS]]/Tabla3[[#This Row],[TC]]</f>
        <v>0</v>
      </c>
      <c r="L1576" s="8" t="s">
        <v>376</v>
      </c>
      <c r="M1576" s="8" t="s">
        <v>377</v>
      </c>
      <c r="N1576" s="8" t="s">
        <v>20</v>
      </c>
      <c r="O1576" s="8" t="s">
        <v>184</v>
      </c>
      <c r="P1576" s="8" t="s">
        <v>195</v>
      </c>
      <c r="Q1576" s="8" t="s">
        <v>196</v>
      </c>
      <c r="R1576" s="8" t="s">
        <v>394</v>
      </c>
      <c r="S1576" s="8" t="s">
        <v>383</v>
      </c>
      <c r="T1576" s="8"/>
      <c r="U1576" s="8" t="s">
        <v>384</v>
      </c>
      <c r="V1576" s="8"/>
      <c r="W1576" s="8" t="s">
        <v>380</v>
      </c>
      <c r="X1576" s="8" t="s">
        <v>99</v>
      </c>
      <c r="Y1576" s="8" t="s">
        <v>23</v>
      </c>
    </row>
    <row r="1577" spans="1:25" hidden="1" x14ac:dyDescent="0.25">
      <c r="A1577" s="273" t="s">
        <v>315</v>
      </c>
      <c r="B1577" s="251">
        <v>45800</v>
      </c>
      <c r="C1577" s="252" t="s">
        <v>782</v>
      </c>
      <c r="D1577" s="252" t="s">
        <v>970</v>
      </c>
      <c r="E1577" s="253">
        <v>47567.519999999997</v>
      </c>
      <c r="F1577" s="253">
        <v>0</v>
      </c>
      <c r="G1577" s="274">
        <f>Tabla3[[#This Row],[INGRESOS]]-Tabla3[[#This Row],[EGRESOS]]</f>
        <v>-47567.519999999997</v>
      </c>
      <c r="H1577" s="274">
        <v>5066615.82</v>
      </c>
      <c r="I1577" s="135">
        <v>1170</v>
      </c>
      <c r="J1577" s="136">
        <f>Tabla3[[#This Row],[EGRESOS]]/Tabla3[[#This Row],[TC]]</f>
        <v>40.655999999999999</v>
      </c>
      <c r="K1577" s="136">
        <f>Tabla3[[#This Row],[INGRESOS]]/Tabla3[[#This Row],[TC]]</f>
        <v>0</v>
      </c>
      <c r="L1577" s="8" t="s">
        <v>376</v>
      </c>
      <c r="M1577" s="8" t="s">
        <v>377</v>
      </c>
      <c r="N1577" s="8" t="s">
        <v>20</v>
      </c>
      <c r="O1577" s="8" t="s">
        <v>225</v>
      </c>
      <c r="P1577" s="8" t="s">
        <v>236</v>
      </c>
      <c r="Q1577" s="8" t="s">
        <v>240</v>
      </c>
      <c r="R1577" s="8"/>
      <c r="S1577" s="8" t="s">
        <v>586</v>
      </c>
      <c r="T1577" s="8" t="s">
        <v>971</v>
      </c>
      <c r="U1577" s="8" t="s">
        <v>412</v>
      </c>
      <c r="V1577" s="8"/>
      <c r="W1577" s="8" t="s">
        <v>380</v>
      </c>
      <c r="X1577" s="8" t="s">
        <v>29</v>
      </c>
      <c r="Y1577" s="8" t="s">
        <v>23</v>
      </c>
    </row>
    <row r="1578" spans="1:25" hidden="1" x14ac:dyDescent="0.25">
      <c r="A1578" s="273" t="s">
        <v>315</v>
      </c>
      <c r="B1578" s="251">
        <v>45800</v>
      </c>
      <c r="C1578" s="252" t="s">
        <v>800</v>
      </c>
      <c r="D1578" s="252"/>
      <c r="E1578" s="253">
        <v>30000</v>
      </c>
      <c r="F1578" s="253">
        <v>0</v>
      </c>
      <c r="G1578" s="274">
        <f>Tabla3[[#This Row],[INGRESOS]]-Tabla3[[#This Row],[EGRESOS]]</f>
        <v>-30000</v>
      </c>
      <c r="H1578" s="274">
        <v>1036741.19</v>
      </c>
      <c r="I1578" s="135">
        <v>1170</v>
      </c>
      <c r="J1578" s="136">
        <f>Tabla3[[#This Row],[EGRESOS]]/Tabla3[[#This Row],[TC]]</f>
        <v>25.641025641025642</v>
      </c>
      <c r="K1578" s="136">
        <f>Tabla3[[#This Row],[INGRESOS]]/Tabla3[[#This Row],[TC]]</f>
        <v>0</v>
      </c>
      <c r="L1578" s="8" t="s">
        <v>376</v>
      </c>
      <c r="M1578" s="8" t="s">
        <v>377</v>
      </c>
      <c r="N1578" s="8" t="s">
        <v>20</v>
      </c>
      <c r="O1578" s="8" t="s">
        <v>184</v>
      </c>
      <c r="P1578" s="8" t="s">
        <v>203</v>
      </c>
      <c r="Q1578" s="8" t="s">
        <v>208</v>
      </c>
      <c r="R1578" s="8"/>
      <c r="S1578" s="8" t="s">
        <v>414</v>
      </c>
      <c r="T1578" s="8"/>
      <c r="U1578" s="8" t="s">
        <v>530</v>
      </c>
      <c r="V1578" s="8" t="s">
        <v>415</v>
      </c>
      <c r="W1578" s="8" t="s">
        <v>380</v>
      </c>
      <c r="X1578" s="8" t="s">
        <v>102</v>
      </c>
      <c r="Y1578" s="8" t="s">
        <v>23</v>
      </c>
    </row>
    <row r="1579" spans="1:25" hidden="1" x14ac:dyDescent="0.25">
      <c r="A1579" s="273" t="s">
        <v>315</v>
      </c>
      <c r="B1579" s="251">
        <v>45800</v>
      </c>
      <c r="C1579" s="252" t="s">
        <v>934</v>
      </c>
      <c r="D1579" s="252"/>
      <c r="E1579" s="253">
        <v>0</v>
      </c>
      <c r="F1579" s="253">
        <v>246.37</v>
      </c>
      <c r="G1579" s="274">
        <f>Tabla3[[#This Row],[INGRESOS]]-Tabla3[[#This Row],[EGRESOS]]</f>
        <v>246.37</v>
      </c>
      <c r="H1579" s="274">
        <v>5066862.1900000004</v>
      </c>
      <c r="I1579" s="135">
        <v>1170</v>
      </c>
      <c r="J1579" s="136">
        <f>Tabla3[[#This Row],[EGRESOS]]/Tabla3[[#This Row],[TC]]</f>
        <v>0</v>
      </c>
      <c r="K1579" s="136">
        <f>Tabla3[[#This Row],[INGRESOS]]/Tabla3[[#This Row],[TC]]</f>
        <v>0.21057264957264957</v>
      </c>
      <c r="L1579" s="8" t="s">
        <v>376</v>
      </c>
      <c r="M1579" s="8" t="s">
        <v>377</v>
      </c>
      <c r="N1579" s="8" t="s">
        <v>20</v>
      </c>
      <c r="O1579" s="8" t="s">
        <v>215</v>
      </c>
      <c r="P1579" s="8" t="s">
        <v>216</v>
      </c>
      <c r="Q1579" s="8" t="s">
        <v>220</v>
      </c>
      <c r="R1579" s="8" t="s">
        <v>929</v>
      </c>
      <c r="S1579" s="8" t="s">
        <v>935</v>
      </c>
      <c r="T1579" s="8"/>
      <c r="U1579" s="8" t="s">
        <v>516</v>
      </c>
      <c r="V1579" s="8"/>
      <c r="W1579" s="8" t="s">
        <v>380</v>
      </c>
      <c r="X1579" s="8" t="s">
        <v>23</v>
      </c>
      <c r="Y1579" s="8" t="s">
        <v>97</v>
      </c>
    </row>
    <row r="1580" spans="1:25" hidden="1" x14ac:dyDescent="0.25">
      <c r="A1580" s="273" t="s">
        <v>315</v>
      </c>
      <c r="B1580" s="251">
        <v>45800</v>
      </c>
      <c r="C1580" s="252" t="s">
        <v>404</v>
      </c>
      <c r="D1580" s="252"/>
      <c r="E1580" s="253">
        <v>4000000</v>
      </c>
      <c r="F1580" s="253">
        <v>0</v>
      </c>
      <c r="G1580" s="274">
        <f>Tabla3[[#This Row],[INGRESOS]]-Tabla3[[#This Row],[EGRESOS]]</f>
        <v>-4000000</v>
      </c>
      <c r="H1580" s="274">
        <v>1066862.19</v>
      </c>
      <c r="I1580" s="135">
        <v>1170</v>
      </c>
      <c r="J1580" s="136">
        <f>Tabla3[[#This Row],[EGRESOS]]/Tabla3[[#This Row],[TC]]</f>
        <v>3418.8034188034189</v>
      </c>
      <c r="K1580" s="136">
        <f>Tabla3[[#This Row],[INGRESOS]]/Tabla3[[#This Row],[TC]]</f>
        <v>0</v>
      </c>
      <c r="L1580" s="8" t="s">
        <v>376</v>
      </c>
      <c r="M1580" s="8" t="s">
        <v>377</v>
      </c>
      <c r="N1580" s="8" t="s">
        <v>20</v>
      </c>
      <c r="O1580" s="8" t="s">
        <v>244</v>
      </c>
      <c r="P1580" s="8" t="s">
        <v>259</v>
      </c>
      <c r="Q1580" s="8" t="s">
        <v>260</v>
      </c>
      <c r="R1580" s="8" t="s">
        <v>579</v>
      </c>
      <c r="S1580" s="8"/>
      <c r="T1580" s="8"/>
      <c r="U1580" s="8" t="s">
        <v>379</v>
      </c>
      <c r="V1580" s="8"/>
      <c r="W1580" s="8"/>
      <c r="X1580" s="8"/>
      <c r="Y1580" s="8"/>
    </row>
    <row r="1581" spans="1:25" hidden="1" x14ac:dyDescent="0.25">
      <c r="A1581" s="273" t="s">
        <v>315</v>
      </c>
      <c r="B1581" s="251">
        <v>45800</v>
      </c>
      <c r="C1581" s="252" t="s">
        <v>828</v>
      </c>
      <c r="D1581" s="252"/>
      <c r="E1581" s="253">
        <v>121</v>
      </c>
      <c r="F1581" s="253">
        <v>0</v>
      </c>
      <c r="G1581" s="274">
        <f>Tabla3[[#This Row],[INGRESOS]]-Tabla3[[#This Row],[EGRESOS]]</f>
        <v>-121</v>
      </c>
      <c r="H1581" s="274">
        <v>1066741.19</v>
      </c>
      <c r="I1581" s="135">
        <v>1170</v>
      </c>
      <c r="J1581" s="136">
        <f>Tabla3[[#This Row],[EGRESOS]]/Tabla3[[#This Row],[TC]]</f>
        <v>0.10341880341880341</v>
      </c>
      <c r="K1581" s="136">
        <f>Tabla3[[#This Row],[INGRESOS]]/Tabla3[[#This Row],[TC]]</f>
        <v>0</v>
      </c>
      <c r="L1581" s="8" t="s">
        <v>376</v>
      </c>
      <c r="M1581" s="8" t="s">
        <v>377</v>
      </c>
      <c r="N1581" s="8" t="s">
        <v>20</v>
      </c>
      <c r="O1581" s="8" t="s">
        <v>184</v>
      </c>
      <c r="P1581" s="8" t="s">
        <v>185</v>
      </c>
      <c r="Q1581" s="8" t="s">
        <v>186</v>
      </c>
      <c r="R1581" s="8" t="s">
        <v>227</v>
      </c>
      <c r="S1581" s="8"/>
      <c r="T1581" s="8"/>
      <c r="U1581" s="8" t="s">
        <v>384</v>
      </c>
      <c r="V1581" s="8"/>
      <c r="W1581" s="8" t="s">
        <v>380</v>
      </c>
      <c r="X1581" s="8" t="s">
        <v>99</v>
      </c>
      <c r="Y1581" s="8" t="s">
        <v>23</v>
      </c>
    </row>
    <row r="1582" spans="1:25" hidden="1" x14ac:dyDescent="0.25">
      <c r="A1582" s="273" t="s">
        <v>315</v>
      </c>
      <c r="B1582" s="251">
        <v>45800</v>
      </c>
      <c r="C1582" s="252" t="s">
        <v>760</v>
      </c>
      <c r="D1582" s="252"/>
      <c r="E1582" s="253">
        <v>1.48</v>
      </c>
      <c r="F1582" s="253">
        <v>0</v>
      </c>
      <c r="G1582" s="274">
        <f>Tabla3[[#This Row],[INGRESOS]]-Tabla3[[#This Row],[EGRESOS]]</f>
        <v>-1.48</v>
      </c>
      <c r="H1582" s="274">
        <v>1036739.71</v>
      </c>
      <c r="I1582" s="135">
        <v>1170</v>
      </c>
      <c r="J1582" s="136">
        <f>Tabla3[[#This Row],[EGRESOS]]/Tabla3[[#This Row],[TC]]</f>
        <v>1.264957264957265E-3</v>
      </c>
      <c r="K1582" s="136">
        <f>Tabla3[[#This Row],[INGRESOS]]/Tabla3[[#This Row],[TC]]</f>
        <v>0</v>
      </c>
      <c r="L1582" s="8" t="s">
        <v>376</v>
      </c>
      <c r="M1582" s="8" t="s">
        <v>377</v>
      </c>
      <c r="N1582" s="8" t="s">
        <v>20</v>
      </c>
      <c r="O1582" s="8" t="s">
        <v>184</v>
      </c>
      <c r="P1582" s="8" t="s">
        <v>195</v>
      </c>
      <c r="Q1582" s="8" t="s">
        <v>196</v>
      </c>
      <c r="R1582" s="8" t="s">
        <v>394</v>
      </c>
      <c r="S1582" s="8" t="s">
        <v>383</v>
      </c>
      <c r="T1582" s="8"/>
      <c r="U1582" s="8" t="s">
        <v>384</v>
      </c>
      <c r="V1582" s="8"/>
      <c r="W1582" s="8" t="s">
        <v>380</v>
      </c>
      <c r="X1582" s="8" t="s">
        <v>99</v>
      </c>
      <c r="Y1582" s="8" t="s">
        <v>23</v>
      </c>
    </row>
    <row r="1583" spans="1:25" hidden="1" x14ac:dyDescent="0.25">
      <c r="A1583" s="273" t="s">
        <v>315</v>
      </c>
      <c r="B1583" s="251">
        <v>45800</v>
      </c>
      <c r="C1583" s="252" t="s">
        <v>760</v>
      </c>
      <c r="D1583" s="252"/>
      <c r="E1583" s="253">
        <v>466.14</v>
      </c>
      <c r="F1583" s="253">
        <v>0</v>
      </c>
      <c r="G1583" s="274">
        <f>Tabla3[[#This Row],[INGRESOS]]-Tabla3[[#This Row],[EGRESOS]]</f>
        <v>-466.14</v>
      </c>
      <c r="H1583" s="274">
        <v>1036273.57</v>
      </c>
      <c r="I1583" s="135">
        <v>1170</v>
      </c>
      <c r="J1583" s="136">
        <f>Tabla3[[#This Row],[EGRESOS]]/Tabla3[[#This Row],[TC]]</f>
        <v>0.3984102564102564</v>
      </c>
      <c r="K1583" s="136">
        <f>Tabla3[[#This Row],[INGRESOS]]/Tabla3[[#This Row],[TC]]</f>
        <v>0</v>
      </c>
      <c r="L1583" s="8" t="s">
        <v>376</v>
      </c>
      <c r="M1583" s="8" t="s">
        <v>377</v>
      </c>
      <c r="N1583" s="8" t="s">
        <v>20</v>
      </c>
      <c r="O1583" s="8" t="s">
        <v>184</v>
      </c>
      <c r="P1583" s="8" t="s">
        <v>195</v>
      </c>
      <c r="Q1583" s="8" t="s">
        <v>196</v>
      </c>
      <c r="R1583" s="8" t="s">
        <v>394</v>
      </c>
      <c r="S1583" s="8" t="s">
        <v>383</v>
      </c>
      <c r="T1583" s="8"/>
      <c r="U1583" s="8" t="s">
        <v>384</v>
      </c>
      <c r="V1583" s="8"/>
      <c r="W1583" s="8" t="s">
        <v>380</v>
      </c>
      <c r="X1583" s="8" t="s">
        <v>99</v>
      </c>
      <c r="Y1583" s="8" t="s">
        <v>23</v>
      </c>
    </row>
    <row r="1584" spans="1:25" hidden="1" x14ac:dyDescent="0.25">
      <c r="A1584" s="273" t="s">
        <v>315</v>
      </c>
      <c r="B1584" s="251">
        <v>45803</v>
      </c>
      <c r="C1584" s="252" t="s">
        <v>782</v>
      </c>
      <c r="D1584" s="252" t="s">
        <v>972</v>
      </c>
      <c r="E1584" s="253">
        <v>667548.46</v>
      </c>
      <c r="F1584" s="253">
        <v>0</v>
      </c>
      <c r="G1584" s="274">
        <f>Tabla3[[#This Row],[INGRESOS]]-Tabla3[[#This Row],[EGRESOS]]</f>
        <v>-667548.46</v>
      </c>
      <c r="H1584" s="274">
        <v>368725.11</v>
      </c>
      <c r="I1584" s="135">
        <v>1170</v>
      </c>
      <c r="J1584" s="136">
        <f>Tabla3[[#This Row],[EGRESOS]]/Tabla3[[#This Row],[TC]]</f>
        <v>570.55423931623932</v>
      </c>
      <c r="K1584" s="136">
        <f>Tabla3[[#This Row],[INGRESOS]]/Tabla3[[#This Row],[TC]]</f>
        <v>0</v>
      </c>
      <c r="L1584" s="8" t="s">
        <v>376</v>
      </c>
      <c r="M1584" s="8" t="s">
        <v>377</v>
      </c>
      <c r="N1584" s="8" t="s">
        <v>20</v>
      </c>
      <c r="O1584" s="8" t="s">
        <v>286</v>
      </c>
      <c r="P1584" s="8" t="s">
        <v>287</v>
      </c>
      <c r="Q1584" s="8" t="s">
        <v>288</v>
      </c>
      <c r="R1584" s="8" t="s">
        <v>143</v>
      </c>
      <c r="S1584" s="8" t="s">
        <v>637</v>
      </c>
      <c r="T1584" s="8" t="s">
        <v>973</v>
      </c>
      <c r="U1584" s="8" t="s">
        <v>412</v>
      </c>
      <c r="V1584" s="8"/>
      <c r="W1584" s="8" t="s">
        <v>380</v>
      </c>
      <c r="X1584" s="8" t="s">
        <v>29</v>
      </c>
      <c r="Y1584" s="8" t="s">
        <v>23</v>
      </c>
    </row>
    <row r="1585" spans="1:25" hidden="1" x14ac:dyDescent="0.25">
      <c r="A1585" s="273" t="s">
        <v>315</v>
      </c>
      <c r="B1585" s="251">
        <v>45803</v>
      </c>
      <c r="C1585" s="252" t="s">
        <v>782</v>
      </c>
      <c r="D1585" s="252" t="s">
        <v>974</v>
      </c>
      <c r="E1585" s="253">
        <v>1000000</v>
      </c>
      <c r="F1585" s="253">
        <v>0</v>
      </c>
      <c r="G1585" s="274">
        <f>Tabla3[[#This Row],[INGRESOS]]-Tabla3[[#This Row],[EGRESOS]]</f>
        <v>-1000000</v>
      </c>
      <c r="H1585" s="274">
        <v>-631274.89</v>
      </c>
      <c r="I1585" s="135">
        <v>1170</v>
      </c>
      <c r="J1585" s="136">
        <f>Tabla3[[#This Row],[EGRESOS]]/Tabla3[[#This Row],[TC]]</f>
        <v>854.70085470085473</v>
      </c>
      <c r="K1585" s="136">
        <f>Tabla3[[#This Row],[INGRESOS]]/Tabla3[[#This Row],[TC]]</f>
        <v>0</v>
      </c>
      <c r="L1585" s="8" t="s">
        <v>376</v>
      </c>
      <c r="M1585" s="8" t="s">
        <v>377</v>
      </c>
      <c r="N1585" s="8" t="s">
        <v>20</v>
      </c>
      <c r="O1585" s="8" t="s">
        <v>286</v>
      </c>
      <c r="P1585" s="8" t="s">
        <v>287</v>
      </c>
      <c r="Q1585" s="8" t="s">
        <v>288</v>
      </c>
      <c r="R1585" s="8" t="s">
        <v>143</v>
      </c>
      <c r="S1585" s="8" t="s">
        <v>637</v>
      </c>
      <c r="T1585" s="8" t="s">
        <v>943</v>
      </c>
      <c r="U1585" s="8" t="s">
        <v>412</v>
      </c>
      <c r="V1585" s="8"/>
      <c r="W1585" s="8" t="s">
        <v>380</v>
      </c>
      <c r="X1585" s="8" t="s">
        <v>29</v>
      </c>
      <c r="Y1585" s="8" t="s">
        <v>23</v>
      </c>
    </row>
    <row r="1586" spans="1:25" hidden="1" x14ac:dyDescent="0.25">
      <c r="A1586" s="273" t="s">
        <v>315</v>
      </c>
      <c r="B1586" s="251">
        <v>45803</v>
      </c>
      <c r="C1586" s="252" t="s">
        <v>800</v>
      </c>
      <c r="D1586" s="252"/>
      <c r="E1586" s="253">
        <v>1500000</v>
      </c>
      <c r="F1586" s="253">
        <v>0</v>
      </c>
      <c r="G1586" s="274">
        <f>Tabla3[[#This Row],[INGRESOS]]-Tabla3[[#This Row],[EGRESOS]]</f>
        <v>-1500000</v>
      </c>
      <c r="H1586" s="137">
        <v>-3231274.89</v>
      </c>
      <c r="I1586" s="135">
        <v>1170</v>
      </c>
      <c r="J1586" s="136">
        <f>Tabla3[[#This Row],[EGRESOS]]/Tabla3[[#This Row],[TC]]</f>
        <v>1282.051282051282</v>
      </c>
      <c r="K1586" s="136">
        <f>Tabla3[[#This Row],[INGRESOS]]/Tabla3[[#This Row],[TC]]</f>
        <v>0</v>
      </c>
      <c r="L1586" s="8" t="s">
        <v>376</v>
      </c>
      <c r="M1586" s="8" t="s">
        <v>377</v>
      </c>
      <c r="N1586" s="8" t="s">
        <v>20</v>
      </c>
      <c r="O1586" s="8" t="s">
        <v>184</v>
      </c>
      <c r="P1586" s="8" t="s">
        <v>210</v>
      </c>
      <c r="Q1586" s="8" t="s">
        <v>212</v>
      </c>
      <c r="R1586" s="8" t="s">
        <v>975</v>
      </c>
      <c r="S1586" s="8" t="s">
        <v>524</v>
      </c>
      <c r="T1586" s="8"/>
      <c r="U1586" s="8" t="s">
        <v>453</v>
      </c>
      <c r="V1586" s="8"/>
      <c r="W1586" s="8" t="s">
        <v>380</v>
      </c>
      <c r="X1586" s="8" t="s">
        <v>39</v>
      </c>
      <c r="Y1586" s="8" t="s">
        <v>23</v>
      </c>
    </row>
    <row r="1587" spans="1:25" hidden="1" x14ac:dyDescent="0.25">
      <c r="A1587" s="273" t="s">
        <v>315</v>
      </c>
      <c r="B1587" s="251">
        <v>45803</v>
      </c>
      <c r="C1587" s="252" t="s">
        <v>800</v>
      </c>
      <c r="D1587" s="252"/>
      <c r="E1587" s="253">
        <v>100000</v>
      </c>
      <c r="F1587" s="253">
        <v>0</v>
      </c>
      <c r="G1587" s="274">
        <f>Tabla3[[#This Row],[INGRESOS]]-Tabla3[[#This Row],[EGRESOS]]</f>
        <v>-100000</v>
      </c>
      <c r="H1587" s="137"/>
      <c r="I1587" s="135">
        <v>1170</v>
      </c>
      <c r="J1587" s="136">
        <f>Tabla3[[#This Row],[EGRESOS]]/Tabla3[[#This Row],[TC]]</f>
        <v>85.470085470085465</v>
      </c>
      <c r="K1587" s="136">
        <f>Tabla3[[#This Row],[INGRESOS]]/Tabla3[[#This Row],[TC]]</f>
        <v>0</v>
      </c>
      <c r="L1587" s="8" t="s">
        <v>376</v>
      </c>
      <c r="M1587" s="8" t="s">
        <v>377</v>
      </c>
      <c r="N1587" s="8" t="s">
        <v>20</v>
      </c>
      <c r="O1587" s="8" t="s">
        <v>184</v>
      </c>
      <c r="P1587" s="8" t="s">
        <v>199</v>
      </c>
      <c r="Q1587" s="8" t="s">
        <v>200</v>
      </c>
      <c r="R1587" s="8"/>
      <c r="S1587" s="8" t="s">
        <v>470</v>
      </c>
      <c r="T1587" s="8"/>
      <c r="U1587" s="8" t="s">
        <v>390</v>
      </c>
      <c r="V1587" s="8"/>
      <c r="W1587" s="8" t="s">
        <v>380</v>
      </c>
      <c r="X1587" s="8" t="s">
        <v>99</v>
      </c>
      <c r="Y1587" s="8" t="s">
        <v>23</v>
      </c>
    </row>
    <row r="1588" spans="1:25" hidden="1" x14ac:dyDescent="0.25">
      <c r="A1588" s="273" t="s">
        <v>317</v>
      </c>
      <c r="B1588" s="251">
        <v>45855</v>
      </c>
      <c r="C1588" s="252" t="s">
        <v>800</v>
      </c>
      <c r="D1588" s="252"/>
      <c r="E1588" s="253">
        <v>1000000</v>
      </c>
      <c r="F1588" s="253">
        <v>0</v>
      </c>
      <c r="G1588" s="274">
        <f>Tabla3[[#This Row],[INGRESOS]]-Tabla3[[#This Row],[EGRESOS]]</f>
        <v>-1000000</v>
      </c>
      <c r="H1588" s="274">
        <v>107505034.51000001</v>
      </c>
      <c r="I1588" s="135">
        <v>1170</v>
      </c>
      <c r="J1588" s="136">
        <f>Tabla3[[#This Row],[EGRESOS]]/Tabla3[[#This Row],[TC]]</f>
        <v>854.70085470085473</v>
      </c>
      <c r="K1588" s="136">
        <f>Tabla3[[#This Row],[INGRESOS]]/Tabla3[[#This Row],[TC]]</f>
        <v>0</v>
      </c>
      <c r="L1588" s="8" t="s">
        <v>376</v>
      </c>
      <c r="M1588" s="8" t="s">
        <v>377</v>
      </c>
      <c r="N1588" s="8" t="s">
        <v>20</v>
      </c>
      <c r="O1588" s="8" t="s">
        <v>184</v>
      </c>
      <c r="P1588" s="8" t="s">
        <v>203</v>
      </c>
      <c r="Q1588" s="8" t="s">
        <v>208</v>
      </c>
      <c r="R1588" s="8" t="s">
        <v>188</v>
      </c>
      <c r="S1588" s="8" t="s">
        <v>386</v>
      </c>
      <c r="T1588" s="8"/>
      <c r="U1588" s="8" t="s">
        <v>387</v>
      </c>
      <c r="V1588" s="8" t="s">
        <v>386</v>
      </c>
      <c r="W1588" s="8" t="s">
        <v>380</v>
      </c>
      <c r="X1588" s="8" t="s">
        <v>104</v>
      </c>
      <c r="Y1588" s="8" t="s">
        <v>23</v>
      </c>
    </row>
    <row r="1589" spans="1:25" hidden="1" x14ac:dyDescent="0.25">
      <c r="A1589" s="273" t="s">
        <v>315</v>
      </c>
      <c r="B1589" s="251">
        <v>45803</v>
      </c>
      <c r="C1589" s="252" t="s">
        <v>828</v>
      </c>
      <c r="D1589" s="252"/>
      <c r="E1589" s="253">
        <v>121</v>
      </c>
      <c r="F1589" s="253">
        <v>0</v>
      </c>
      <c r="G1589" s="274">
        <f>Tabla3[[#This Row],[INGRESOS]]-Tabla3[[#This Row],[EGRESOS]]</f>
        <v>-121</v>
      </c>
      <c r="H1589" s="137">
        <v>-3231395.89</v>
      </c>
      <c r="I1589" s="135">
        <v>1170</v>
      </c>
      <c r="J1589" s="136">
        <f>Tabla3[[#This Row],[EGRESOS]]/Tabla3[[#This Row],[TC]]</f>
        <v>0.10341880341880341</v>
      </c>
      <c r="K1589" s="136">
        <f>Tabla3[[#This Row],[INGRESOS]]/Tabla3[[#This Row],[TC]]</f>
        <v>0</v>
      </c>
      <c r="L1589" s="8" t="s">
        <v>376</v>
      </c>
      <c r="M1589" s="8" t="s">
        <v>377</v>
      </c>
      <c r="N1589" s="8" t="s">
        <v>20</v>
      </c>
      <c r="O1589" s="8" t="s">
        <v>184</v>
      </c>
      <c r="P1589" s="8" t="s">
        <v>185</v>
      </c>
      <c r="Q1589" s="8" t="s">
        <v>186</v>
      </c>
      <c r="R1589" s="8" t="s">
        <v>227</v>
      </c>
      <c r="S1589" s="8"/>
      <c r="T1589" s="8"/>
      <c r="U1589" s="8" t="s">
        <v>384</v>
      </c>
      <c r="V1589" s="8"/>
      <c r="W1589" s="8" t="s">
        <v>380</v>
      </c>
      <c r="X1589" s="8" t="s">
        <v>99</v>
      </c>
      <c r="Y1589" s="8" t="s">
        <v>23</v>
      </c>
    </row>
    <row r="1590" spans="1:25" hidden="1" x14ac:dyDescent="0.25">
      <c r="A1590" s="273" t="s">
        <v>315</v>
      </c>
      <c r="B1590" s="251">
        <v>45803</v>
      </c>
      <c r="C1590" s="252" t="s">
        <v>760</v>
      </c>
      <c r="D1590" s="252"/>
      <c r="E1590" s="253">
        <v>25606.02</v>
      </c>
      <c r="F1590" s="253">
        <v>0</v>
      </c>
      <c r="G1590" s="274">
        <f>Tabla3[[#This Row],[INGRESOS]]-Tabla3[[#This Row],[EGRESOS]]</f>
        <v>-25606.02</v>
      </c>
      <c r="H1590" s="137">
        <v>-3257001.91</v>
      </c>
      <c r="I1590" s="135">
        <v>1170</v>
      </c>
      <c r="J1590" s="136">
        <f>Tabla3[[#This Row],[EGRESOS]]/Tabla3[[#This Row],[TC]]</f>
        <v>21.885487179487178</v>
      </c>
      <c r="K1590" s="136">
        <f>Tabla3[[#This Row],[INGRESOS]]/Tabla3[[#This Row],[TC]]</f>
        <v>0</v>
      </c>
      <c r="L1590" s="8" t="s">
        <v>376</v>
      </c>
      <c r="M1590" s="8" t="s">
        <v>377</v>
      </c>
      <c r="N1590" s="8" t="s">
        <v>20</v>
      </c>
      <c r="O1590" s="8" t="s">
        <v>184</v>
      </c>
      <c r="P1590" s="8" t="s">
        <v>195</v>
      </c>
      <c r="Q1590" s="8" t="s">
        <v>196</v>
      </c>
      <c r="R1590" s="8" t="s">
        <v>394</v>
      </c>
      <c r="S1590" s="8" t="s">
        <v>383</v>
      </c>
      <c r="T1590" s="8"/>
      <c r="U1590" s="8" t="s">
        <v>384</v>
      </c>
      <c r="V1590" s="8"/>
      <c r="W1590" s="8" t="s">
        <v>380</v>
      </c>
      <c r="X1590" s="8" t="s">
        <v>99</v>
      </c>
      <c r="Y1590" s="8" t="s">
        <v>23</v>
      </c>
    </row>
    <row r="1591" spans="1:25" hidden="1" x14ac:dyDescent="0.25">
      <c r="A1591" s="273" t="s">
        <v>315</v>
      </c>
      <c r="B1591" s="251">
        <v>45804</v>
      </c>
      <c r="C1591" s="252" t="s">
        <v>782</v>
      </c>
      <c r="D1591" s="252" t="s">
        <v>977</v>
      </c>
      <c r="E1591" s="253">
        <v>100000</v>
      </c>
      <c r="F1591" s="253">
        <v>0</v>
      </c>
      <c r="G1591" s="274">
        <f>Tabla3[[#This Row],[INGRESOS]]-Tabla3[[#This Row],[EGRESOS]]</f>
        <v>-100000</v>
      </c>
      <c r="H1591" s="274">
        <v>-3357001.91</v>
      </c>
      <c r="I1591" s="135">
        <v>1170</v>
      </c>
      <c r="J1591" s="136">
        <f>Tabla3[[#This Row],[EGRESOS]]/Tabla3[[#This Row],[TC]]</f>
        <v>85.470085470085465</v>
      </c>
      <c r="K1591" s="136">
        <f>Tabla3[[#This Row],[INGRESOS]]/Tabla3[[#This Row],[TC]]</f>
        <v>0</v>
      </c>
      <c r="L1591" s="8" t="s">
        <v>376</v>
      </c>
      <c r="M1591" s="8" t="s">
        <v>377</v>
      </c>
      <c r="N1591" s="8" t="s">
        <v>20</v>
      </c>
      <c r="O1591" s="8" t="s">
        <v>184</v>
      </c>
      <c r="P1591" s="8" t="s">
        <v>210</v>
      </c>
      <c r="Q1591" s="8" t="s">
        <v>205</v>
      </c>
      <c r="R1591" s="8" t="s">
        <v>978</v>
      </c>
      <c r="S1591" s="8" t="s">
        <v>452</v>
      </c>
      <c r="T1591" s="8"/>
      <c r="U1591" s="8" t="s">
        <v>453</v>
      </c>
      <c r="V1591" s="8"/>
      <c r="W1591" s="8" t="s">
        <v>380</v>
      </c>
      <c r="X1591" s="8" t="s">
        <v>45</v>
      </c>
      <c r="Y1591" s="8" t="s">
        <v>23</v>
      </c>
    </row>
    <row r="1592" spans="1:25" hidden="1" x14ac:dyDescent="0.25">
      <c r="A1592" s="273" t="s">
        <v>317</v>
      </c>
      <c r="B1592" s="251">
        <v>45861</v>
      </c>
      <c r="C1592" s="252" t="s">
        <v>800</v>
      </c>
      <c r="D1592" s="252"/>
      <c r="E1592" s="253">
        <v>2000000</v>
      </c>
      <c r="F1592" s="253">
        <v>0</v>
      </c>
      <c r="G1592" s="274">
        <f>Tabla3[[#This Row],[INGRESOS]]-Tabla3[[#This Row],[EGRESOS]]</f>
        <v>-2000000</v>
      </c>
      <c r="H1592" s="274">
        <v>18299903.940000001</v>
      </c>
      <c r="I1592" s="135">
        <v>1170</v>
      </c>
      <c r="J1592" s="136">
        <f>Tabla3[[#This Row],[EGRESOS]]/Tabla3[[#This Row],[TC]]</f>
        <v>1709.4017094017095</v>
      </c>
      <c r="K1592" s="136">
        <f>Tabla3[[#This Row],[INGRESOS]]/Tabla3[[#This Row],[TC]]</f>
        <v>0</v>
      </c>
      <c r="L1592" s="8" t="s">
        <v>376</v>
      </c>
      <c r="M1592" s="8" t="s">
        <v>377</v>
      </c>
      <c r="N1592" s="8" t="s">
        <v>20</v>
      </c>
      <c r="O1592" s="8" t="s">
        <v>184</v>
      </c>
      <c r="P1592" s="8" t="s">
        <v>203</v>
      </c>
      <c r="Q1592" s="8" t="s">
        <v>208</v>
      </c>
      <c r="R1592" s="8" t="s">
        <v>188</v>
      </c>
      <c r="S1592" s="8" t="s">
        <v>386</v>
      </c>
      <c r="T1592" s="8"/>
      <c r="U1592" s="8" t="s">
        <v>387</v>
      </c>
      <c r="V1592" s="8" t="s">
        <v>386</v>
      </c>
      <c r="W1592" s="8" t="s">
        <v>380</v>
      </c>
      <c r="X1592" s="8" t="s">
        <v>104</v>
      </c>
      <c r="Y1592" s="8" t="s">
        <v>23</v>
      </c>
    </row>
    <row r="1593" spans="1:25" hidden="1" x14ac:dyDescent="0.25">
      <c r="A1593" s="273" t="s">
        <v>315</v>
      </c>
      <c r="B1593" s="251">
        <v>45804</v>
      </c>
      <c r="C1593" s="252" t="s">
        <v>828</v>
      </c>
      <c r="D1593" s="252"/>
      <c r="E1593" s="253">
        <v>121</v>
      </c>
      <c r="F1593" s="253">
        <v>0</v>
      </c>
      <c r="G1593" s="274">
        <f>Tabla3[[#This Row],[INGRESOS]]-Tabla3[[#This Row],[EGRESOS]]</f>
        <v>-121</v>
      </c>
      <c r="H1593" s="274">
        <v>-3707122.91</v>
      </c>
      <c r="I1593" s="135">
        <v>1170</v>
      </c>
      <c r="J1593" s="136">
        <f>Tabla3[[#This Row],[EGRESOS]]/Tabla3[[#This Row],[TC]]</f>
        <v>0.10341880341880341</v>
      </c>
      <c r="K1593" s="136">
        <f>Tabla3[[#This Row],[INGRESOS]]/Tabla3[[#This Row],[TC]]</f>
        <v>0</v>
      </c>
      <c r="L1593" s="8" t="s">
        <v>376</v>
      </c>
      <c r="M1593" s="8" t="s">
        <v>377</v>
      </c>
      <c r="N1593" s="8" t="s">
        <v>20</v>
      </c>
      <c r="O1593" s="8" t="s">
        <v>184</v>
      </c>
      <c r="P1593" s="8" t="s">
        <v>185</v>
      </c>
      <c r="Q1593" s="8" t="s">
        <v>186</v>
      </c>
      <c r="R1593" s="8" t="s">
        <v>227</v>
      </c>
      <c r="S1593" s="8"/>
      <c r="T1593" s="8"/>
      <c r="U1593" s="8" t="s">
        <v>384</v>
      </c>
      <c r="V1593" s="8"/>
      <c r="W1593" s="8" t="s">
        <v>380</v>
      </c>
      <c r="X1593" s="8" t="s">
        <v>99</v>
      </c>
      <c r="Y1593" s="8" t="s">
        <v>23</v>
      </c>
    </row>
    <row r="1594" spans="1:25" hidden="1" x14ac:dyDescent="0.25">
      <c r="A1594" s="273" t="s">
        <v>315</v>
      </c>
      <c r="B1594" s="251">
        <v>45804</v>
      </c>
      <c r="C1594" s="252" t="s">
        <v>762</v>
      </c>
      <c r="D1594" s="252"/>
      <c r="E1594" s="253">
        <v>2440.1999999999998</v>
      </c>
      <c r="F1594" s="253">
        <v>0</v>
      </c>
      <c r="G1594" s="274">
        <f>Tabla3[[#This Row],[INGRESOS]]-Tabla3[[#This Row],[EGRESOS]]</f>
        <v>-2440.1999999999998</v>
      </c>
      <c r="H1594" s="274">
        <v>-3709563.11</v>
      </c>
      <c r="I1594" s="135">
        <v>1170</v>
      </c>
      <c r="J1594" s="136">
        <f>Tabla3[[#This Row],[EGRESOS]]/Tabla3[[#This Row],[TC]]</f>
        <v>2.0856410256410256</v>
      </c>
      <c r="K1594" s="136">
        <f>Tabla3[[#This Row],[INGRESOS]]/Tabla3[[#This Row],[TC]]</f>
        <v>0</v>
      </c>
      <c r="L1594" s="8" t="s">
        <v>376</v>
      </c>
      <c r="M1594" s="8" t="s">
        <v>377</v>
      </c>
      <c r="N1594" s="8" t="s">
        <v>20</v>
      </c>
      <c r="O1594" s="8" t="s">
        <v>184</v>
      </c>
      <c r="P1594" s="8" t="s">
        <v>195</v>
      </c>
      <c r="Q1594" s="8" t="s">
        <v>196</v>
      </c>
      <c r="R1594" s="8" t="s">
        <v>382</v>
      </c>
      <c r="S1594" s="8" t="s">
        <v>383</v>
      </c>
      <c r="T1594" s="8"/>
      <c r="U1594" s="8" t="s">
        <v>384</v>
      </c>
      <c r="V1594" s="8"/>
      <c r="W1594" s="8" t="s">
        <v>380</v>
      </c>
      <c r="X1594" s="8" t="s">
        <v>99</v>
      </c>
      <c r="Y1594" s="8" t="s">
        <v>23</v>
      </c>
    </row>
    <row r="1595" spans="1:25" hidden="1" x14ac:dyDescent="0.25">
      <c r="A1595" s="273" t="s">
        <v>315</v>
      </c>
      <c r="B1595" s="251">
        <v>45804</v>
      </c>
      <c r="C1595" s="252" t="s">
        <v>763</v>
      </c>
      <c r="D1595" s="252"/>
      <c r="E1595" s="253">
        <v>348.6</v>
      </c>
      <c r="F1595" s="253">
        <v>0</v>
      </c>
      <c r="G1595" s="274">
        <f>Tabla3[[#This Row],[INGRESOS]]-Tabla3[[#This Row],[EGRESOS]]</f>
        <v>-348.6</v>
      </c>
      <c r="H1595" s="274">
        <v>-3709911.71</v>
      </c>
      <c r="I1595" s="135">
        <v>1170</v>
      </c>
      <c r="J1595" s="136">
        <f>Tabla3[[#This Row],[EGRESOS]]/Tabla3[[#This Row],[TC]]</f>
        <v>0.29794871794871797</v>
      </c>
      <c r="K1595" s="136">
        <f>Tabla3[[#This Row],[INGRESOS]]/Tabla3[[#This Row],[TC]]</f>
        <v>0</v>
      </c>
      <c r="L1595" s="8" t="s">
        <v>376</v>
      </c>
      <c r="M1595" s="8" t="s">
        <v>377</v>
      </c>
      <c r="N1595" s="8" t="s">
        <v>20</v>
      </c>
      <c r="O1595" s="8" t="s">
        <v>184</v>
      </c>
      <c r="P1595" s="8" t="s">
        <v>195</v>
      </c>
      <c r="Q1595" s="8" t="s">
        <v>196</v>
      </c>
      <c r="R1595" s="8" t="s">
        <v>417</v>
      </c>
      <c r="S1595" s="8" t="s">
        <v>383</v>
      </c>
      <c r="T1595" s="8"/>
      <c r="U1595" s="8" t="s">
        <v>384</v>
      </c>
      <c r="V1595" s="8"/>
      <c r="W1595" s="8" t="s">
        <v>380</v>
      </c>
      <c r="X1595" s="8" t="s">
        <v>99</v>
      </c>
      <c r="Y1595" s="8" t="s">
        <v>23</v>
      </c>
    </row>
    <row r="1596" spans="1:25" hidden="1" x14ac:dyDescent="0.25">
      <c r="A1596" s="273" t="s">
        <v>315</v>
      </c>
      <c r="B1596" s="251">
        <v>45804</v>
      </c>
      <c r="C1596" s="252" t="s">
        <v>837</v>
      </c>
      <c r="D1596" s="252"/>
      <c r="E1596" s="253">
        <v>11620</v>
      </c>
      <c r="F1596" s="253">
        <v>0</v>
      </c>
      <c r="G1596" s="274">
        <f>Tabla3[[#This Row],[INGRESOS]]-Tabla3[[#This Row],[EGRESOS]]</f>
        <v>-11620</v>
      </c>
      <c r="H1596" s="274">
        <v>-3721531.71</v>
      </c>
      <c r="I1596" s="135">
        <v>1170</v>
      </c>
      <c r="J1596" s="136">
        <f>Tabla3[[#This Row],[EGRESOS]]/Tabla3[[#This Row],[TC]]</f>
        <v>9.9316239316239319</v>
      </c>
      <c r="K1596" s="136">
        <f>Tabla3[[#This Row],[INGRESOS]]/Tabla3[[#This Row],[TC]]</f>
        <v>0</v>
      </c>
      <c r="L1596" s="8" t="s">
        <v>376</v>
      </c>
      <c r="M1596" s="8" t="s">
        <v>377</v>
      </c>
      <c r="N1596" s="8" t="s">
        <v>20</v>
      </c>
      <c r="O1596" s="8" t="s">
        <v>184</v>
      </c>
      <c r="P1596" s="8" t="s">
        <v>185</v>
      </c>
      <c r="Q1596" s="8" t="s">
        <v>186</v>
      </c>
      <c r="R1596" s="8" t="s">
        <v>227</v>
      </c>
      <c r="S1596" s="8"/>
      <c r="T1596" s="8"/>
      <c r="U1596" s="8" t="s">
        <v>384</v>
      </c>
      <c r="V1596" s="8"/>
      <c r="W1596" s="8" t="s">
        <v>380</v>
      </c>
      <c r="X1596" s="8" t="s">
        <v>99</v>
      </c>
      <c r="Y1596" s="8" t="s">
        <v>23</v>
      </c>
    </row>
    <row r="1597" spans="1:25" hidden="1" x14ac:dyDescent="0.25">
      <c r="A1597" s="273" t="s">
        <v>315</v>
      </c>
      <c r="B1597" s="251">
        <v>45804</v>
      </c>
      <c r="C1597" s="252" t="s">
        <v>760</v>
      </c>
      <c r="D1597" s="252"/>
      <c r="E1597" s="253">
        <v>2787.18</v>
      </c>
      <c r="F1597" s="253">
        <v>0</v>
      </c>
      <c r="G1597" s="274">
        <f>Tabla3[[#This Row],[INGRESOS]]-Tabla3[[#This Row],[EGRESOS]]</f>
        <v>-2787.18</v>
      </c>
      <c r="H1597" s="274">
        <v>-3724318.89</v>
      </c>
      <c r="I1597" s="135">
        <v>1170</v>
      </c>
      <c r="J1597" s="136">
        <f>Tabla3[[#This Row],[EGRESOS]]/Tabla3[[#This Row],[TC]]</f>
        <v>2.3822051282051282</v>
      </c>
      <c r="K1597" s="136">
        <f>Tabla3[[#This Row],[INGRESOS]]/Tabla3[[#This Row],[TC]]</f>
        <v>0</v>
      </c>
      <c r="L1597" s="8" t="s">
        <v>376</v>
      </c>
      <c r="M1597" s="8" t="s">
        <v>377</v>
      </c>
      <c r="N1597" s="8" t="s">
        <v>20</v>
      </c>
      <c r="O1597" s="8" t="s">
        <v>184</v>
      </c>
      <c r="P1597" s="8" t="s">
        <v>195</v>
      </c>
      <c r="Q1597" s="8" t="s">
        <v>196</v>
      </c>
      <c r="R1597" s="8" t="s">
        <v>394</v>
      </c>
      <c r="S1597" s="8" t="s">
        <v>383</v>
      </c>
      <c r="T1597" s="8"/>
      <c r="U1597" s="8" t="s">
        <v>384</v>
      </c>
      <c r="V1597" s="8"/>
      <c r="W1597" s="8" t="s">
        <v>380</v>
      </c>
      <c r="X1597" s="8" t="s">
        <v>99</v>
      </c>
      <c r="Y1597" s="8" t="s">
        <v>23</v>
      </c>
    </row>
    <row r="1598" spans="1:25" hidden="1" x14ac:dyDescent="0.25">
      <c r="A1598" s="273" t="s">
        <v>315</v>
      </c>
      <c r="B1598" s="251">
        <v>45805</v>
      </c>
      <c r="C1598" s="252" t="s">
        <v>782</v>
      </c>
      <c r="D1598" s="252" t="s">
        <v>979</v>
      </c>
      <c r="E1598" s="253">
        <v>179907.08</v>
      </c>
      <c r="F1598" s="253">
        <v>0</v>
      </c>
      <c r="G1598" s="274">
        <f>Tabla3[[#This Row],[INGRESOS]]-Tabla3[[#This Row],[EGRESOS]]</f>
        <v>-179907.08</v>
      </c>
      <c r="H1598" s="274">
        <v>-3904225.97</v>
      </c>
      <c r="I1598" s="135">
        <v>1170</v>
      </c>
      <c r="J1598" s="136">
        <f>Tabla3[[#This Row],[EGRESOS]]/Tabla3[[#This Row],[TC]]</f>
        <v>153.76673504273504</v>
      </c>
      <c r="K1598" s="136">
        <f>Tabla3[[#This Row],[INGRESOS]]/Tabla3[[#This Row],[TC]]</f>
        <v>0</v>
      </c>
      <c r="L1598" s="8" t="s">
        <v>376</v>
      </c>
      <c r="M1598" s="8" t="s">
        <v>377</v>
      </c>
      <c r="N1598" s="8" t="s">
        <v>20</v>
      </c>
      <c r="O1598" s="8" t="s">
        <v>225</v>
      </c>
      <c r="P1598" s="8" t="s">
        <v>226</v>
      </c>
      <c r="Q1598" s="8"/>
      <c r="R1598" s="8"/>
      <c r="S1598" s="8" t="s">
        <v>815</v>
      </c>
      <c r="T1598" s="8" t="s">
        <v>980</v>
      </c>
      <c r="U1598" s="8" t="s">
        <v>412</v>
      </c>
      <c r="V1598" s="8"/>
      <c r="W1598" s="8" t="s">
        <v>380</v>
      </c>
      <c r="X1598" s="8" t="s">
        <v>29</v>
      </c>
      <c r="Y1598" s="8" t="s">
        <v>23</v>
      </c>
    </row>
    <row r="1599" spans="1:25" hidden="1" x14ac:dyDescent="0.25">
      <c r="A1599" s="273" t="s">
        <v>315</v>
      </c>
      <c r="B1599" s="251">
        <v>45805</v>
      </c>
      <c r="C1599" s="252" t="s">
        <v>404</v>
      </c>
      <c r="D1599" s="252"/>
      <c r="E1599" s="253">
        <v>2750000</v>
      </c>
      <c r="F1599" s="253">
        <v>0</v>
      </c>
      <c r="G1599" s="274">
        <f>Tabla3[[#This Row],[INGRESOS]]-Tabla3[[#This Row],[EGRESOS]]</f>
        <v>-2750000</v>
      </c>
      <c r="H1599" s="274">
        <v>-6654225.9699999997</v>
      </c>
      <c r="I1599" s="135">
        <v>1170</v>
      </c>
      <c r="J1599" s="136">
        <f>Tabla3[[#This Row],[EGRESOS]]/Tabla3[[#This Row],[TC]]</f>
        <v>2350.4273504273506</v>
      </c>
      <c r="K1599" s="136">
        <f>Tabla3[[#This Row],[INGRESOS]]/Tabla3[[#This Row],[TC]]</f>
        <v>0</v>
      </c>
      <c r="L1599" s="8" t="s">
        <v>376</v>
      </c>
      <c r="M1599" s="8" t="s">
        <v>377</v>
      </c>
      <c r="N1599" s="8" t="s">
        <v>20</v>
      </c>
      <c r="O1599" s="8" t="s">
        <v>244</v>
      </c>
      <c r="P1599" s="8" t="s">
        <v>259</v>
      </c>
      <c r="Q1599" s="8" t="s">
        <v>260</v>
      </c>
      <c r="R1599" s="8" t="s">
        <v>466</v>
      </c>
      <c r="S1599" s="8"/>
      <c r="T1599" s="8"/>
      <c r="U1599" s="8" t="s">
        <v>379</v>
      </c>
      <c r="V1599" s="8"/>
      <c r="W1599" s="8"/>
      <c r="X1599" s="8"/>
      <c r="Y1599" s="8"/>
    </row>
    <row r="1600" spans="1:25" hidden="1" x14ac:dyDescent="0.25">
      <c r="A1600" s="273" t="s">
        <v>315</v>
      </c>
      <c r="B1600" s="251">
        <v>45805</v>
      </c>
      <c r="C1600" s="252" t="s">
        <v>828</v>
      </c>
      <c r="D1600" s="252"/>
      <c r="E1600" s="253">
        <v>121</v>
      </c>
      <c r="F1600" s="253">
        <v>0</v>
      </c>
      <c r="G1600" s="274">
        <f>Tabla3[[#This Row],[INGRESOS]]-Tabla3[[#This Row],[EGRESOS]]</f>
        <v>-121</v>
      </c>
      <c r="H1600" s="274">
        <v>-6654346.9699999997</v>
      </c>
      <c r="I1600" s="135">
        <v>1170</v>
      </c>
      <c r="J1600" s="136">
        <f>Tabla3[[#This Row],[EGRESOS]]/Tabla3[[#This Row],[TC]]</f>
        <v>0.10341880341880341</v>
      </c>
      <c r="K1600" s="136">
        <f>Tabla3[[#This Row],[INGRESOS]]/Tabla3[[#This Row],[TC]]</f>
        <v>0</v>
      </c>
      <c r="L1600" s="8" t="s">
        <v>376</v>
      </c>
      <c r="M1600" s="8" t="s">
        <v>377</v>
      </c>
      <c r="N1600" s="8" t="s">
        <v>20</v>
      </c>
      <c r="O1600" s="8" t="s">
        <v>184</v>
      </c>
      <c r="P1600" s="8" t="s">
        <v>185</v>
      </c>
      <c r="Q1600" s="8" t="s">
        <v>186</v>
      </c>
      <c r="R1600" s="8" t="s">
        <v>227</v>
      </c>
      <c r="S1600" s="8"/>
      <c r="T1600" s="8"/>
      <c r="U1600" s="8" t="s">
        <v>384</v>
      </c>
      <c r="V1600" s="8"/>
      <c r="W1600" s="8" t="s">
        <v>380</v>
      </c>
      <c r="X1600" s="8" t="s">
        <v>99</v>
      </c>
      <c r="Y1600" s="8" t="s">
        <v>23</v>
      </c>
    </row>
    <row r="1601" spans="1:25" hidden="1" x14ac:dyDescent="0.25">
      <c r="A1601" s="273" t="s">
        <v>315</v>
      </c>
      <c r="B1601" s="251">
        <v>45805</v>
      </c>
      <c r="C1601" s="252" t="s">
        <v>800</v>
      </c>
      <c r="D1601" s="252"/>
      <c r="E1601" s="253">
        <v>858500</v>
      </c>
      <c r="F1601" s="253">
        <v>0</v>
      </c>
      <c r="G1601" s="274">
        <f>Tabla3[[#This Row],[INGRESOS]]-Tabla3[[#This Row],[EGRESOS]]</f>
        <v>-858500</v>
      </c>
      <c r="H1601" s="274">
        <v>-7512846.9699999997</v>
      </c>
      <c r="I1601" s="135">
        <v>1170</v>
      </c>
      <c r="J1601" s="136">
        <f>Tabla3[[#This Row],[EGRESOS]]/Tabla3[[#This Row],[TC]]</f>
        <v>733.76068376068372</v>
      </c>
      <c r="K1601" s="136">
        <f>Tabla3[[#This Row],[INGRESOS]]/Tabla3[[#This Row],[TC]]</f>
        <v>0</v>
      </c>
      <c r="L1601" s="8" t="s">
        <v>376</v>
      </c>
      <c r="M1601" s="8" t="s">
        <v>377</v>
      </c>
      <c r="N1601" s="8" t="s">
        <v>20</v>
      </c>
      <c r="O1601" s="8" t="s">
        <v>184</v>
      </c>
      <c r="P1601" s="8" t="s">
        <v>210</v>
      </c>
      <c r="Q1601" s="8" t="s">
        <v>205</v>
      </c>
      <c r="R1601" s="8" t="s">
        <v>981</v>
      </c>
      <c r="S1601" s="8" t="s">
        <v>452</v>
      </c>
      <c r="T1601" s="8"/>
      <c r="U1601" s="8" t="s">
        <v>453</v>
      </c>
      <c r="V1601" s="8"/>
      <c r="W1601" s="8" t="s">
        <v>380</v>
      </c>
      <c r="X1601" s="8" t="s">
        <v>45</v>
      </c>
      <c r="Y1601" s="8" t="s">
        <v>23</v>
      </c>
    </row>
    <row r="1602" spans="1:25" hidden="1" x14ac:dyDescent="0.25">
      <c r="A1602" s="273" t="s">
        <v>315</v>
      </c>
      <c r="B1602" s="251">
        <v>45805</v>
      </c>
      <c r="C1602" s="252" t="s">
        <v>828</v>
      </c>
      <c r="D1602" s="252"/>
      <c r="E1602" s="253">
        <v>121</v>
      </c>
      <c r="F1602" s="253">
        <v>0</v>
      </c>
      <c r="G1602" s="274">
        <f>Tabla3[[#This Row],[INGRESOS]]-Tabla3[[#This Row],[EGRESOS]]</f>
        <v>-121</v>
      </c>
      <c r="H1602" s="274">
        <v>-7512967.9699999997</v>
      </c>
      <c r="I1602" s="135">
        <v>1170</v>
      </c>
      <c r="J1602" s="136">
        <f>Tabla3[[#This Row],[EGRESOS]]/Tabla3[[#This Row],[TC]]</f>
        <v>0.10341880341880341</v>
      </c>
      <c r="K1602" s="136">
        <f>Tabla3[[#This Row],[INGRESOS]]/Tabla3[[#This Row],[TC]]</f>
        <v>0</v>
      </c>
      <c r="L1602" s="8" t="s">
        <v>376</v>
      </c>
      <c r="M1602" s="8" t="s">
        <v>377</v>
      </c>
      <c r="N1602" s="8" t="s">
        <v>20</v>
      </c>
      <c r="O1602" s="8" t="s">
        <v>184</v>
      </c>
      <c r="P1602" s="8" t="s">
        <v>185</v>
      </c>
      <c r="Q1602" s="8" t="s">
        <v>186</v>
      </c>
      <c r="R1602" s="8" t="s">
        <v>227</v>
      </c>
      <c r="S1602" s="8"/>
      <c r="T1602" s="8"/>
      <c r="U1602" s="8" t="s">
        <v>384</v>
      </c>
      <c r="V1602" s="8"/>
      <c r="W1602" s="8" t="s">
        <v>380</v>
      </c>
      <c r="X1602" s="8" t="s">
        <v>99</v>
      </c>
      <c r="Y1602" s="8" t="s">
        <v>23</v>
      </c>
    </row>
    <row r="1603" spans="1:25" hidden="1" x14ac:dyDescent="0.25">
      <c r="A1603" s="273" t="s">
        <v>315</v>
      </c>
      <c r="B1603" s="251">
        <v>45805</v>
      </c>
      <c r="C1603" s="252" t="s">
        <v>760</v>
      </c>
      <c r="D1603" s="252"/>
      <c r="E1603" s="253">
        <v>6231.9</v>
      </c>
      <c r="F1603" s="253">
        <v>0</v>
      </c>
      <c r="G1603" s="274">
        <f>Tabla3[[#This Row],[INGRESOS]]-Tabla3[[#This Row],[EGRESOS]]</f>
        <v>-6231.9</v>
      </c>
      <c r="H1603" s="274">
        <v>-7519199.8700000001</v>
      </c>
      <c r="I1603" s="135">
        <v>1170</v>
      </c>
      <c r="J1603" s="136">
        <f>Tabla3[[#This Row],[EGRESOS]]/Tabla3[[#This Row],[TC]]</f>
        <v>5.3264102564102558</v>
      </c>
      <c r="K1603" s="136">
        <f>Tabla3[[#This Row],[INGRESOS]]/Tabla3[[#This Row],[TC]]</f>
        <v>0</v>
      </c>
      <c r="L1603" s="8" t="s">
        <v>376</v>
      </c>
      <c r="M1603" s="8" t="s">
        <v>377</v>
      </c>
      <c r="N1603" s="8" t="s">
        <v>20</v>
      </c>
      <c r="O1603" s="8" t="s">
        <v>184</v>
      </c>
      <c r="P1603" s="8" t="s">
        <v>195</v>
      </c>
      <c r="Q1603" s="8" t="s">
        <v>196</v>
      </c>
      <c r="R1603" s="8" t="s">
        <v>394</v>
      </c>
      <c r="S1603" s="8" t="s">
        <v>383</v>
      </c>
      <c r="T1603" s="8"/>
      <c r="U1603" s="8" t="s">
        <v>384</v>
      </c>
      <c r="V1603" s="8"/>
      <c r="W1603" s="8" t="s">
        <v>380</v>
      </c>
      <c r="X1603" s="8" t="s">
        <v>99</v>
      </c>
      <c r="Y1603" s="8" t="s">
        <v>23</v>
      </c>
    </row>
    <row r="1604" spans="1:25" hidden="1" x14ac:dyDescent="0.25">
      <c r="A1604" s="273" t="s">
        <v>315</v>
      </c>
      <c r="B1604" s="251">
        <v>45806</v>
      </c>
      <c r="C1604" s="252" t="s">
        <v>782</v>
      </c>
      <c r="D1604" s="252" t="s">
        <v>982</v>
      </c>
      <c r="E1604" s="253">
        <v>879500</v>
      </c>
      <c r="F1604" s="253">
        <v>0</v>
      </c>
      <c r="G1604" s="274">
        <f>Tabla3[[#This Row],[INGRESOS]]-Tabla3[[#This Row],[EGRESOS]]</f>
        <v>-879500</v>
      </c>
      <c r="H1604" s="274">
        <v>-8398699.8699999992</v>
      </c>
      <c r="I1604" s="135">
        <v>1170</v>
      </c>
      <c r="J1604" s="136">
        <f>Tabla3[[#This Row],[EGRESOS]]/Tabla3[[#This Row],[TC]]</f>
        <v>751.70940170940173</v>
      </c>
      <c r="K1604" s="136">
        <f>Tabla3[[#This Row],[INGRESOS]]/Tabla3[[#This Row],[TC]]</f>
        <v>0</v>
      </c>
      <c r="L1604" s="8" t="s">
        <v>376</v>
      </c>
      <c r="M1604" s="8" t="s">
        <v>377</v>
      </c>
      <c r="N1604" s="8" t="s">
        <v>20</v>
      </c>
      <c r="O1604" s="8" t="s">
        <v>225</v>
      </c>
      <c r="P1604" s="8" t="s">
        <v>236</v>
      </c>
      <c r="Q1604" s="8" t="s">
        <v>239</v>
      </c>
      <c r="R1604" s="8"/>
      <c r="S1604" s="8" t="s">
        <v>597</v>
      </c>
      <c r="T1604" s="8"/>
      <c r="U1604" s="8" t="s">
        <v>412</v>
      </c>
      <c r="V1604" s="8"/>
      <c r="W1604" s="8" t="s">
        <v>380</v>
      </c>
      <c r="X1604" s="8" t="s">
        <v>29</v>
      </c>
      <c r="Y1604" s="8" t="s">
        <v>23</v>
      </c>
    </row>
    <row r="1605" spans="1:25" hidden="1" x14ac:dyDescent="0.25">
      <c r="A1605" s="273" t="s">
        <v>315</v>
      </c>
      <c r="B1605" s="251">
        <v>45806</v>
      </c>
      <c r="C1605" s="252" t="s">
        <v>800</v>
      </c>
      <c r="D1605" s="252"/>
      <c r="E1605" s="253">
        <v>500000</v>
      </c>
      <c r="F1605" s="253">
        <v>0</v>
      </c>
      <c r="G1605" s="274">
        <f>Tabla3[[#This Row],[INGRESOS]]-Tabla3[[#This Row],[EGRESOS]]</f>
        <v>-500000</v>
      </c>
      <c r="H1605" s="274">
        <v>-8898699.8699999992</v>
      </c>
      <c r="I1605" s="135">
        <v>1170</v>
      </c>
      <c r="J1605" s="136">
        <f>Tabla3[[#This Row],[EGRESOS]]/Tabla3[[#This Row],[TC]]</f>
        <v>427.35042735042737</v>
      </c>
      <c r="K1605" s="136">
        <f>Tabla3[[#This Row],[INGRESOS]]/Tabla3[[#This Row],[TC]]</f>
        <v>0</v>
      </c>
      <c r="L1605" s="8" t="s">
        <v>376</v>
      </c>
      <c r="M1605" s="8" t="s">
        <v>377</v>
      </c>
      <c r="N1605" s="8" t="s">
        <v>20</v>
      </c>
      <c r="O1605" s="8" t="s">
        <v>215</v>
      </c>
      <c r="P1605" s="8" t="s">
        <v>216</v>
      </c>
      <c r="Q1605" s="8" t="s">
        <v>220</v>
      </c>
      <c r="R1605" s="8" t="s">
        <v>331</v>
      </c>
      <c r="S1605" s="8" t="s">
        <v>721</v>
      </c>
      <c r="T1605" s="8" t="s">
        <v>983</v>
      </c>
      <c r="U1605" s="8" t="s">
        <v>412</v>
      </c>
      <c r="V1605" s="8"/>
      <c r="W1605" s="8" t="s">
        <v>380</v>
      </c>
      <c r="X1605" s="8" t="s">
        <v>29</v>
      </c>
      <c r="Y1605" s="8" t="s">
        <v>23</v>
      </c>
    </row>
    <row r="1606" spans="1:25" hidden="1" x14ac:dyDescent="0.25">
      <c r="A1606" s="273" t="s">
        <v>315</v>
      </c>
      <c r="B1606" s="251">
        <v>45806</v>
      </c>
      <c r="C1606" s="252" t="s">
        <v>828</v>
      </c>
      <c r="D1606" s="252"/>
      <c r="E1606" s="253">
        <v>121</v>
      </c>
      <c r="F1606" s="253">
        <v>0</v>
      </c>
      <c r="G1606" s="274">
        <f>Tabla3[[#This Row],[INGRESOS]]-Tabla3[[#This Row],[EGRESOS]]</f>
        <v>-121</v>
      </c>
      <c r="H1606" s="274">
        <v>-8898820.8699999992</v>
      </c>
      <c r="I1606" s="135">
        <v>1170</v>
      </c>
      <c r="J1606" s="136">
        <f>Tabla3[[#This Row],[EGRESOS]]/Tabla3[[#This Row],[TC]]</f>
        <v>0.10341880341880341</v>
      </c>
      <c r="K1606" s="136">
        <f>Tabla3[[#This Row],[INGRESOS]]/Tabla3[[#This Row],[TC]]</f>
        <v>0</v>
      </c>
      <c r="L1606" s="8" t="s">
        <v>376</v>
      </c>
      <c r="M1606" s="8" t="s">
        <v>377</v>
      </c>
      <c r="N1606" s="8" t="s">
        <v>20</v>
      </c>
      <c r="O1606" s="8" t="s">
        <v>184</v>
      </c>
      <c r="P1606" s="8" t="s">
        <v>185</v>
      </c>
      <c r="Q1606" s="8" t="s">
        <v>186</v>
      </c>
      <c r="R1606" s="8" t="s">
        <v>227</v>
      </c>
      <c r="S1606" s="8"/>
      <c r="T1606" s="8"/>
      <c r="U1606" s="8" t="s">
        <v>384</v>
      </c>
      <c r="V1606" s="8"/>
      <c r="W1606" s="8" t="s">
        <v>380</v>
      </c>
      <c r="X1606" s="8" t="s">
        <v>99</v>
      </c>
      <c r="Y1606" s="8" t="s">
        <v>23</v>
      </c>
    </row>
    <row r="1607" spans="1:25" hidden="1" x14ac:dyDescent="0.25">
      <c r="A1607" s="273" t="s">
        <v>315</v>
      </c>
      <c r="B1607" s="251">
        <v>45806</v>
      </c>
      <c r="C1607" s="252" t="s">
        <v>760</v>
      </c>
      <c r="D1607" s="252"/>
      <c r="E1607" s="253">
        <v>8277.73</v>
      </c>
      <c r="F1607" s="253">
        <v>0</v>
      </c>
      <c r="G1607" s="274">
        <f>Tabla3[[#This Row],[INGRESOS]]-Tabla3[[#This Row],[EGRESOS]]</f>
        <v>-8277.73</v>
      </c>
      <c r="H1607" s="274">
        <v>-8907098.5999999996</v>
      </c>
      <c r="I1607" s="135">
        <v>1170</v>
      </c>
      <c r="J1607" s="136">
        <f>Tabla3[[#This Row],[EGRESOS]]/Tabla3[[#This Row],[TC]]</f>
        <v>7.0749829059829059</v>
      </c>
      <c r="K1607" s="136">
        <f>Tabla3[[#This Row],[INGRESOS]]/Tabla3[[#This Row],[TC]]</f>
        <v>0</v>
      </c>
      <c r="L1607" s="8" t="s">
        <v>376</v>
      </c>
      <c r="M1607" s="8" t="s">
        <v>377</v>
      </c>
      <c r="N1607" s="8" t="s">
        <v>20</v>
      </c>
      <c r="O1607" s="8" t="s">
        <v>184</v>
      </c>
      <c r="P1607" s="8" t="s">
        <v>195</v>
      </c>
      <c r="Q1607" s="8" t="s">
        <v>196</v>
      </c>
      <c r="R1607" s="8" t="s">
        <v>394</v>
      </c>
      <c r="S1607" s="8" t="s">
        <v>383</v>
      </c>
      <c r="T1607" s="8"/>
      <c r="U1607" s="8" t="s">
        <v>384</v>
      </c>
      <c r="V1607" s="8"/>
      <c r="W1607" s="8" t="s">
        <v>380</v>
      </c>
      <c r="X1607" s="8" t="s">
        <v>99</v>
      </c>
      <c r="Y1607" s="8" t="s">
        <v>23</v>
      </c>
    </row>
    <row r="1608" spans="1:25" hidden="1" x14ac:dyDescent="0.25">
      <c r="A1608" s="273" t="s">
        <v>315</v>
      </c>
      <c r="B1608" s="251">
        <v>45806</v>
      </c>
      <c r="C1608" s="252" t="s">
        <v>795</v>
      </c>
      <c r="D1608" s="252"/>
      <c r="E1608" s="253">
        <v>57382.239999999998</v>
      </c>
      <c r="F1608" s="253">
        <v>0</v>
      </c>
      <c r="G1608" s="274">
        <f>Tabla3[[#This Row],[INGRESOS]]-Tabla3[[#This Row],[EGRESOS]]</f>
        <v>-57382.239999999998</v>
      </c>
      <c r="H1608" s="274">
        <v>-8964480.8399999999</v>
      </c>
      <c r="I1608" s="135">
        <v>1170</v>
      </c>
      <c r="J1608" s="136">
        <f>Tabla3[[#This Row],[EGRESOS]]/Tabla3[[#This Row],[TC]]</f>
        <v>49.044649572649568</v>
      </c>
      <c r="K1608" s="136">
        <f>Tabla3[[#This Row],[INGRESOS]]/Tabla3[[#This Row],[TC]]</f>
        <v>0</v>
      </c>
      <c r="L1608" s="8" t="s">
        <v>376</v>
      </c>
      <c r="M1608" s="8" t="s">
        <v>377</v>
      </c>
      <c r="N1608" s="8" t="s">
        <v>20</v>
      </c>
      <c r="O1608" s="8" t="s">
        <v>244</v>
      </c>
      <c r="P1608" s="8" t="s">
        <v>259</v>
      </c>
      <c r="Q1608" s="8" t="s">
        <v>260</v>
      </c>
      <c r="R1608" s="8" t="s">
        <v>804</v>
      </c>
      <c r="S1608" s="8"/>
      <c r="T1608" s="8"/>
      <c r="U1608" s="8" t="s">
        <v>379</v>
      </c>
      <c r="V1608" s="8"/>
      <c r="W1608" s="8" t="s">
        <v>380</v>
      </c>
      <c r="X1608" s="8"/>
      <c r="Y1608" s="8"/>
    </row>
    <row r="1609" spans="1:25" hidden="1" x14ac:dyDescent="0.25">
      <c r="A1609" s="273" t="s">
        <v>315</v>
      </c>
      <c r="B1609" s="251">
        <v>45807</v>
      </c>
      <c r="C1609" s="252" t="s">
        <v>404</v>
      </c>
      <c r="D1609" s="252"/>
      <c r="E1609" s="253">
        <v>500000</v>
      </c>
      <c r="F1609" s="253">
        <v>0</v>
      </c>
      <c r="G1609" s="274">
        <f>Tabla3[[#This Row],[INGRESOS]]-Tabla3[[#This Row],[EGRESOS]]</f>
        <v>-500000</v>
      </c>
      <c r="H1609" s="274">
        <v>-9464480.8399999999</v>
      </c>
      <c r="I1609" s="135">
        <v>1170</v>
      </c>
      <c r="J1609" s="136">
        <f>Tabla3[[#This Row],[EGRESOS]]/Tabla3[[#This Row],[TC]]</f>
        <v>427.35042735042737</v>
      </c>
      <c r="K1609" s="136">
        <f>Tabla3[[#This Row],[INGRESOS]]/Tabla3[[#This Row],[TC]]</f>
        <v>0</v>
      </c>
      <c r="L1609" s="8" t="s">
        <v>376</v>
      </c>
      <c r="M1609" s="8" t="s">
        <v>377</v>
      </c>
      <c r="N1609" s="8" t="s">
        <v>20</v>
      </c>
      <c r="O1609" s="8" t="s">
        <v>244</v>
      </c>
      <c r="P1609" s="8" t="s">
        <v>259</v>
      </c>
      <c r="Q1609" s="8" t="s">
        <v>260</v>
      </c>
      <c r="R1609" s="8" t="s">
        <v>466</v>
      </c>
      <c r="S1609" s="8"/>
      <c r="T1609" s="8"/>
      <c r="U1609" s="8" t="s">
        <v>379</v>
      </c>
      <c r="V1609" s="8"/>
      <c r="W1609" s="8"/>
      <c r="X1609" s="8"/>
      <c r="Y1609" s="8"/>
    </row>
    <row r="1610" spans="1:25" hidden="1" x14ac:dyDescent="0.25">
      <c r="A1610" s="273" t="s">
        <v>315</v>
      </c>
      <c r="B1610" s="251">
        <v>45807</v>
      </c>
      <c r="C1610" s="252" t="s">
        <v>828</v>
      </c>
      <c r="D1610" s="252"/>
      <c r="E1610" s="253">
        <v>121</v>
      </c>
      <c r="F1610" s="253">
        <v>0</v>
      </c>
      <c r="G1610" s="274">
        <f>Tabla3[[#This Row],[INGRESOS]]-Tabla3[[#This Row],[EGRESOS]]</f>
        <v>-121</v>
      </c>
      <c r="H1610" s="274">
        <v>-9464601.8399999999</v>
      </c>
      <c r="I1610" s="135">
        <v>1170</v>
      </c>
      <c r="J1610" s="136">
        <f>Tabla3[[#This Row],[EGRESOS]]/Tabla3[[#This Row],[TC]]</f>
        <v>0.10341880341880341</v>
      </c>
      <c r="K1610" s="136">
        <f>Tabla3[[#This Row],[INGRESOS]]/Tabla3[[#This Row],[TC]]</f>
        <v>0</v>
      </c>
      <c r="L1610" s="8" t="s">
        <v>376</v>
      </c>
      <c r="M1610" s="8" t="s">
        <v>377</v>
      </c>
      <c r="N1610" s="8" t="s">
        <v>20</v>
      </c>
      <c r="O1610" s="8" t="s">
        <v>184</v>
      </c>
      <c r="P1610" s="8" t="s">
        <v>185</v>
      </c>
      <c r="Q1610" s="8" t="s">
        <v>186</v>
      </c>
      <c r="R1610" s="8" t="s">
        <v>227</v>
      </c>
      <c r="S1610" s="8"/>
      <c r="T1610" s="8"/>
      <c r="U1610" s="8" t="s">
        <v>384</v>
      </c>
      <c r="V1610" s="8"/>
      <c r="W1610" s="8" t="s">
        <v>380</v>
      </c>
      <c r="X1610" s="8" t="s">
        <v>99</v>
      </c>
      <c r="Y1610" s="8" t="s">
        <v>23</v>
      </c>
    </row>
    <row r="1611" spans="1:25" hidden="1" x14ac:dyDescent="0.25">
      <c r="A1611" s="273" t="s">
        <v>315</v>
      </c>
      <c r="B1611" s="251">
        <v>45807</v>
      </c>
      <c r="C1611" s="252" t="s">
        <v>760</v>
      </c>
      <c r="D1611" s="252"/>
      <c r="E1611" s="253">
        <v>0.73</v>
      </c>
      <c r="F1611" s="253">
        <v>0</v>
      </c>
      <c r="G1611" s="274">
        <f>Tabla3[[#This Row],[INGRESOS]]-Tabla3[[#This Row],[EGRESOS]]</f>
        <v>-0.73</v>
      </c>
      <c r="H1611" s="274">
        <v>-9464602.5700000003</v>
      </c>
      <c r="I1611" s="135">
        <v>1170</v>
      </c>
      <c r="J1611" s="136">
        <f>Tabla3[[#This Row],[EGRESOS]]/Tabla3[[#This Row],[TC]]</f>
        <v>6.2393162393162391E-4</v>
      </c>
      <c r="K1611" s="136">
        <f>Tabla3[[#This Row],[INGRESOS]]/Tabla3[[#This Row],[TC]]</f>
        <v>0</v>
      </c>
      <c r="L1611" s="8" t="s">
        <v>376</v>
      </c>
      <c r="M1611" s="8" t="s">
        <v>377</v>
      </c>
      <c r="N1611" s="8" t="s">
        <v>20</v>
      </c>
      <c r="O1611" s="8" t="s">
        <v>184</v>
      </c>
      <c r="P1611" s="8" t="s">
        <v>195</v>
      </c>
      <c r="Q1611" s="8" t="s">
        <v>196</v>
      </c>
      <c r="R1611" s="8" t="s">
        <v>394</v>
      </c>
      <c r="S1611" s="8" t="s">
        <v>383</v>
      </c>
      <c r="T1611" s="8"/>
      <c r="U1611" s="8" t="s">
        <v>384</v>
      </c>
      <c r="V1611" s="8"/>
      <c r="W1611" s="8" t="s">
        <v>380</v>
      </c>
      <c r="X1611" s="8" t="s">
        <v>99</v>
      </c>
      <c r="Y1611" s="8" t="s">
        <v>23</v>
      </c>
    </row>
    <row r="1612" spans="1:25" hidden="1" x14ac:dyDescent="0.25">
      <c r="A1612" s="273" t="s">
        <v>316</v>
      </c>
      <c r="B1612" s="251">
        <v>45810</v>
      </c>
      <c r="C1612" s="252" t="s">
        <v>762</v>
      </c>
      <c r="D1612" s="252"/>
      <c r="E1612" s="253">
        <v>11471.36</v>
      </c>
      <c r="F1612" s="253">
        <v>0</v>
      </c>
      <c r="G1612" s="274">
        <f>Tabla3[[#This Row],[INGRESOS]]-Tabla3[[#This Row],[EGRESOS]]</f>
        <v>-11471.36</v>
      </c>
      <c r="H1612" s="274">
        <v>-9476073.9299999997</v>
      </c>
      <c r="I1612" s="135">
        <v>1170</v>
      </c>
      <c r="J1612" s="136">
        <f>Tabla3[[#This Row],[EGRESOS]]/Tabla3[[#This Row],[TC]]</f>
        <v>9.8045811965811964</v>
      </c>
      <c r="K1612" s="136">
        <f>Tabla3[[#This Row],[INGRESOS]]/Tabla3[[#This Row],[TC]]</f>
        <v>0</v>
      </c>
      <c r="L1612" s="8" t="s">
        <v>376</v>
      </c>
      <c r="M1612" s="8" t="s">
        <v>377</v>
      </c>
      <c r="N1612" s="8" t="s">
        <v>20</v>
      </c>
      <c r="O1612" s="8" t="s">
        <v>184</v>
      </c>
      <c r="P1612" s="8" t="s">
        <v>195</v>
      </c>
      <c r="Q1612" s="8" t="s">
        <v>196</v>
      </c>
      <c r="R1612" s="8" t="s">
        <v>382</v>
      </c>
      <c r="S1612" s="8" t="s">
        <v>383</v>
      </c>
      <c r="T1612" s="8"/>
      <c r="U1612" s="8" t="s">
        <v>384</v>
      </c>
      <c r="V1612" s="8"/>
      <c r="W1612" s="8" t="s">
        <v>380</v>
      </c>
      <c r="X1612" s="8" t="s">
        <v>99</v>
      </c>
      <c r="Y1612" s="8" t="s">
        <v>23</v>
      </c>
    </row>
    <row r="1613" spans="1:25" hidden="1" x14ac:dyDescent="0.25">
      <c r="A1613" s="273" t="s">
        <v>316</v>
      </c>
      <c r="B1613" s="251">
        <v>45810</v>
      </c>
      <c r="C1613" s="252" t="s">
        <v>763</v>
      </c>
      <c r="D1613" s="252"/>
      <c r="E1613" s="253">
        <v>1638.77</v>
      </c>
      <c r="F1613" s="253">
        <v>0</v>
      </c>
      <c r="G1613" s="274">
        <f>Tabla3[[#This Row],[INGRESOS]]-Tabla3[[#This Row],[EGRESOS]]</f>
        <v>-1638.77</v>
      </c>
      <c r="H1613" s="274">
        <v>-9477712.6999999993</v>
      </c>
      <c r="I1613" s="135">
        <v>1170</v>
      </c>
      <c r="J1613" s="136">
        <f>Tabla3[[#This Row],[EGRESOS]]/Tabla3[[#This Row],[TC]]</f>
        <v>1.4006581196581196</v>
      </c>
      <c r="K1613" s="136">
        <f>Tabla3[[#This Row],[INGRESOS]]/Tabla3[[#This Row],[TC]]</f>
        <v>0</v>
      </c>
      <c r="L1613" s="8" t="s">
        <v>376</v>
      </c>
      <c r="M1613" s="8" t="s">
        <v>377</v>
      </c>
      <c r="N1613" s="8" t="s">
        <v>20</v>
      </c>
      <c r="O1613" s="8" t="s">
        <v>184</v>
      </c>
      <c r="P1613" s="8" t="s">
        <v>195</v>
      </c>
      <c r="Q1613" s="8" t="s">
        <v>196</v>
      </c>
      <c r="R1613" s="8" t="s">
        <v>417</v>
      </c>
      <c r="S1613" s="8" t="s">
        <v>383</v>
      </c>
      <c r="T1613" s="8"/>
      <c r="U1613" s="8" t="s">
        <v>384</v>
      </c>
      <c r="V1613" s="8"/>
      <c r="W1613" s="8" t="s">
        <v>380</v>
      </c>
      <c r="X1613" s="8" t="s">
        <v>99</v>
      </c>
      <c r="Y1613" s="8" t="s">
        <v>23</v>
      </c>
    </row>
    <row r="1614" spans="1:25" hidden="1" x14ac:dyDescent="0.25">
      <c r="A1614" s="273" t="s">
        <v>316</v>
      </c>
      <c r="B1614" s="251">
        <v>45810</v>
      </c>
      <c r="C1614" s="252" t="s">
        <v>780</v>
      </c>
      <c r="D1614" s="252"/>
      <c r="E1614" s="253">
        <v>109251.09</v>
      </c>
      <c r="F1614" s="253">
        <v>0</v>
      </c>
      <c r="G1614" s="274">
        <f>Tabla3[[#This Row],[INGRESOS]]-Tabla3[[#This Row],[EGRESOS]]</f>
        <v>-109251.09</v>
      </c>
      <c r="H1614" s="274">
        <v>-9586963.7899999991</v>
      </c>
      <c r="I1614" s="135">
        <v>1170</v>
      </c>
      <c r="J1614" s="136">
        <f>Tabla3[[#This Row],[EGRESOS]]/Tabla3[[#This Row],[TC]]</f>
        <v>93.376999999999995</v>
      </c>
      <c r="K1614" s="136">
        <f>Tabla3[[#This Row],[INGRESOS]]/Tabla3[[#This Row],[TC]]</f>
        <v>0</v>
      </c>
      <c r="L1614" s="8" t="s">
        <v>376</v>
      </c>
      <c r="M1614" s="8" t="s">
        <v>377</v>
      </c>
      <c r="N1614" s="8" t="s">
        <v>20</v>
      </c>
      <c r="O1614" s="8" t="s">
        <v>184</v>
      </c>
      <c r="P1614" s="8" t="s">
        <v>197</v>
      </c>
      <c r="Q1614" s="8" t="s">
        <v>198</v>
      </c>
      <c r="R1614" s="8" t="s">
        <v>419</v>
      </c>
      <c r="S1614" s="8"/>
      <c r="T1614" s="8"/>
      <c r="U1614" s="8" t="s">
        <v>384</v>
      </c>
      <c r="V1614" s="8"/>
      <c r="W1614" s="8" t="s">
        <v>380</v>
      </c>
      <c r="X1614" s="8" t="s">
        <v>99</v>
      </c>
      <c r="Y1614" s="8" t="s">
        <v>23</v>
      </c>
    </row>
    <row r="1615" spans="1:25" hidden="1" x14ac:dyDescent="0.25">
      <c r="A1615" s="273" t="s">
        <v>316</v>
      </c>
      <c r="B1615" s="251">
        <v>45810</v>
      </c>
      <c r="C1615" s="252" t="s">
        <v>762</v>
      </c>
      <c r="D1615" s="252"/>
      <c r="E1615" s="253">
        <v>27553.06</v>
      </c>
      <c r="F1615" s="253">
        <v>0</v>
      </c>
      <c r="G1615" s="274">
        <f>Tabla3[[#This Row],[INGRESOS]]-Tabla3[[#This Row],[EGRESOS]]</f>
        <v>-27553.06</v>
      </c>
      <c r="H1615" s="274">
        <v>-9614516.8499999996</v>
      </c>
      <c r="I1615" s="135">
        <v>1170</v>
      </c>
      <c r="J1615" s="136">
        <f>Tabla3[[#This Row],[EGRESOS]]/Tabla3[[#This Row],[TC]]</f>
        <v>23.549623931623934</v>
      </c>
      <c r="K1615" s="136">
        <f>Tabla3[[#This Row],[INGRESOS]]/Tabla3[[#This Row],[TC]]</f>
        <v>0</v>
      </c>
      <c r="L1615" s="8" t="s">
        <v>376</v>
      </c>
      <c r="M1615" s="8" t="s">
        <v>377</v>
      </c>
      <c r="N1615" s="8" t="s">
        <v>20</v>
      </c>
      <c r="O1615" s="8" t="s">
        <v>184</v>
      </c>
      <c r="P1615" s="8" t="s">
        <v>195</v>
      </c>
      <c r="Q1615" s="8" t="s">
        <v>196</v>
      </c>
      <c r="R1615" s="8" t="s">
        <v>382</v>
      </c>
      <c r="S1615" s="8" t="s">
        <v>383</v>
      </c>
      <c r="T1615" s="8"/>
      <c r="U1615" s="8" t="s">
        <v>384</v>
      </c>
      <c r="V1615" s="8"/>
      <c r="W1615" s="8" t="s">
        <v>380</v>
      </c>
      <c r="X1615" s="8" t="s">
        <v>99</v>
      </c>
      <c r="Y1615" s="8" t="s">
        <v>23</v>
      </c>
    </row>
    <row r="1616" spans="1:25" hidden="1" x14ac:dyDescent="0.25">
      <c r="A1616" s="273" t="s">
        <v>316</v>
      </c>
      <c r="B1616" s="251">
        <v>45810</v>
      </c>
      <c r="C1616" s="252" t="s">
        <v>763</v>
      </c>
      <c r="D1616" s="252"/>
      <c r="E1616" s="253">
        <v>3936.15</v>
      </c>
      <c r="F1616" s="253">
        <v>0</v>
      </c>
      <c r="G1616" s="274">
        <f>Tabla3[[#This Row],[INGRESOS]]-Tabla3[[#This Row],[EGRESOS]]</f>
        <v>-3936.15</v>
      </c>
      <c r="H1616" s="274">
        <v>-9618453</v>
      </c>
      <c r="I1616" s="135">
        <v>1170</v>
      </c>
      <c r="J1616" s="136">
        <f>Tabla3[[#This Row],[EGRESOS]]/Tabla3[[#This Row],[TC]]</f>
        <v>3.3642307692307694</v>
      </c>
      <c r="K1616" s="136">
        <f>Tabla3[[#This Row],[INGRESOS]]/Tabla3[[#This Row],[TC]]</f>
        <v>0</v>
      </c>
      <c r="L1616" s="8" t="s">
        <v>376</v>
      </c>
      <c r="M1616" s="8" t="s">
        <v>377</v>
      </c>
      <c r="N1616" s="8" t="s">
        <v>20</v>
      </c>
      <c r="O1616" s="8" t="s">
        <v>184</v>
      </c>
      <c r="P1616" s="8" t="s">
        <v>195</v>
      </c>
      <c r="Q1616" s="8" t="s">
        <v>196</v>
      </c>
      <c r="R1616" s="8" t="s">
        <v>417</v>
      </c>
      <c r="S1616" s="8" t="s">
        <v>383</v>
      </c>
      <c r="T1616" s="8"/>
      <c r="U1616" s="8" t="s">
        <v>384</v>
      </c>
      <c r="V1616" s="8"/>
      <c r="W1616" s="8" t="s">
        <v>380</v>
      </c>
      <c r="X1616" s="8" t="s">
        <v>99</v>
      </c>
      <c r="Y1616" s="8" t="s">
        <v>23</v>
      </c>
    </row>
    <row r="1617" spans="1:25" hidden="1" x14ac:dyDescent="0.25">
      <c r="A1617" s="273" t="s">
        <v>316</v>
      </c>
      <c r="B1617" s="251">
        <v>45810</v>
      </c>
      <c r="C1617" s="252" t="s">
        <v>780</v>
      </c>
      <c r="D1617" s="252"/>
      <c r="E1617" s="253">
        <v>262410.11</v>
      </c>
      <c r="F1617" s="253">
        <v>0</v>
      </c>
      <c r="G1617" s="274">
        <f>Tabla3[[#This Row],[INGRESOS]]-Tabla3[[#This Row],[EGRESOS]]</f>
        <v>-262410.11</v>
      </c>
      <c r="H1617" s="274">
        <v>-9880863.1099999994</v>
      </c>
      <c r="I1617" s="135">
        <v>1170</v>
      </c>
      <c r="J1617" s="136">
        <f>Tabla3[[#This Row],[EGRESOS]]/Tabla3[[#This Row],[TC]]</f>
        <v>224.2821452991453</v>
      </c>
      <c r="K1617" s="136">
        <f>Tabla3[[#This Row],[INGRESOS]]/Tabla3[[#This Row],[TC]]</f>
        <v>0</v>
      </c>
      <c r="L1617" s="8" t="s">
        <v>376</v>
      </c>
      <c r="M1617" s="8" t="s">
        <v>377</v>
      </c>
      <c r="N1617" s="8" t="s">
        <v>20</v>
      </c>
      <c r="O1617" s="8" t="s">
        <v>184</v>
      </c>
      <c r="P1617" s="8" t="s">
        <v>197</v>
      </c>
      <c r="Q1617" s="8" t="s">
        <v>198</v>
      </c>
      <c r="R1617" s="8" t="s">
        <v>419</v>
      </c>
      <c r="S1617" s="8"/>
      <c r="T1617" s="8"/>
      <c r="U1617" s="8" t="s">
        <v>384</v>
      </c>
      <c r="V1617" s="8"/>
      <c r="W1617" s="8" t="s">
        <v>380</v>
      </c>
      <c r="X1617" s="8" t="s">
        <v>99</v>
      </c>
      <c r="Y1617" s="8" t="s">
        <v>23</v>
      </c>
    </row>
    <row r="1618" spans="1:25" hidden="1" x14ac:dyDescent="0.25">
      <c r="A1618" s="273" t="s">
        <v>316</v>
      </c>
      <c r="B1618" s="251">
        <v>45810</v>
      </c>
      <c r="C1618" s="252" t="s">
        <v>762</v>
      </c>
      <c r="D1618" s="252"/>
      <c r="E1618" s="253">
        <v>2796.91</v>
      </c>
      <c r="F1618" s="253">
        <v>0</v>
      </c>
      <c r="G1618" s="274">
        <f>Tabla3[[#This Row],[INGRESOS]]-Tabla3[[#This Row],[EGRESOS]]</f>
        <v>-2796.91</v>
      </c>
      <c r="H1618" s="274">
        <v>-9883660.0199999996</v>
      </c>
      <c r="I1618" s="135">
        <v>1170</v>
      </c>
      <c r="J1618" s="136">
        <f>Tabla3[[#This Row],[EGRESOS]]/Tabla3[[#This Row],[TC]]</f>
        <v>2.3905213675213672</v>
      </c>
      <c r="K1618" s="136">
        <f>Tabla3[[#This Row],[INGRESOS]]/Tabla3[[#This Row],[TC]]</f>
        <v>0</v>
      </c>
      <c r="L1618" s="8" t="s">
        <v>376</v>
      </c>
      <c r="M1618" s="8" t="s">
        <v>377</v>
      </c>
      <c r="N1618" s="8" t="s">
        <v>20</v>
      </c>
      <c r="O1618" s="8" t="s">
        <v>184</v>
      </c>
      <c r="P1618" s="8" t="s">
        <v>195</v>
      </c>
      <c r="Q1618" s="8" t="s">
        <v>196</v>
      </c>
      <c r="R1618" s="8" t="s">
        <v>382</v>
      </c>
      <c r="S1618" s="8" t="s">
        <v>383</v>
      </c>
      <c r="T1618" s="8"/>
      <c r="U1618" s="8" t="s">
        <v>384</v>
      </c>
      <c r="V1618" s="8"/>
      <c r="W1618" s="8" t="s">
        <v>380</v>
      </c>
      <c r="X1618" s="8" t="s">
        <v>99</v>
      </c>
      <c r="Y1618" s="8" t="s">
        <v>23</v>
      </c>
    </row>
    <row r="1619" spans="1:25" hidden="1" x14ac:dyDescent="0.25">
      <c r="A1619" s="273" t="s">
        <v>316</v>
      </c>
      <c r="B1619" s="251">
        <v>45810</v>
      </c>
      <c r="C1619" s="252" t="s">
        <v>763</v>
      </c>
      <c r="D1619" s="252"/>
      <c r="E1619" s="253">
        <v>399.56</v>
      </c>
      <c r="F1619" s="253">
        <v>0</v>
      </c>
      <c r="G1619" s="274">
        <f>Tabla3[[#This Row],[INGRESOS]]-Tabla3[[#This Row],[EGRESOS]]</f>
        <v>-399.56</v>
      </c>
      <c r="H1619" s="274">
        <v>-9884059.5800000001</v>
      </c>
      <c r="I1619" s="135">
        <v>1170</v>
      </c>
      <c r="J1619" s="136">
        <f>Tabla3[[#This Row],[EGRESOS]]/Tabla3[[#This Row],[TC]]</f>
        <v>0.34150427350427348</v>
      </c>
      <c r="K1619" s="136">
        <f>Tabla3[[#This Row],[INGRESOS]]/Tabla3[[#This Row],[TC]]</f>
        <v>0</v>
      </c>
      <c r="L1619" s="8" t="s">
        <v>376</v>
      </c>
      <c r="M1619" s="8" t="s">
        <v>377</v>
      </c>
      <c r="N1619" s="8" t="s">
        <v>20</v>
      </c>
      <c r="O1619" s="8" t="s">
        <v>184</v>
      </c>
      <c r="P1619" s="8" t="s">
        <v>195</v>
      </c>
      <c r="Q1619" s="8" t="s">
        <v>196</v>
      </c>
      <c r="R1619" s="8" t="s">
        <v>417</v>
      </c>
      <c r="S1619" s="8" t="s">
        <v>383</v>
      </c>
      <c r="T1619" s="8"/>
      <c r="U1619" s="8" t="s">
        <v>384</v>
      </c>
      <c r="V1619" s="8"/>
      <c r="W1619" s="8" t="s">
        <v>380</v>
      </c>
      <c r="X1619" s="8" t="s">
        <v>99</v>
      </c>
      <c r="Y1619" s="8" t="s">
        <v>23</v>
      </c>
    </row>
    <row r="1620" spans="1:25" hidden="1" x14ac:dyDescent="0.25">
      <c r="A1620" s="273" t="s">
        <v>316</v>
      </c>
      <c r="B1620" s="251">
        <v>45810</v>
      </c>
      <c r="C1620" s="252" t="s">
        <v>781</v>
      </c>
      <c r="D1620" s="252"/>
      <c r="E1620" s="253">
        <v>26637.27</v>
      </c>
      <c r="F1620" s="253">
        <v>0</v>
      </c>
      <c r="G1620" s="274">
        <f>Tabla3[[#This Row],[INGRESOS]]-Tabla3[[#This Row],[EGRESOS]]</f>
        <v>-26637.27</v>
      </c>
      <c r="H1620" s="274">
        <v>-9910696.8499999996</v>
      </c>
      <c r="I1620" s="135">
        <v>1170</v>
      </c>
      <c r="J1620" s="136">
        <f>Tabla3[[#This Row],[EGRESOS]]/Tabla3[[#This Row],[TC]]</f>
        <v>22.766897435897437</v>
      </c>
      <c r="K1620" s="136">
        <f>Tabla3[[#This Row],[INGRESOS]]/Tabla3[[#This Row],[TC]]</f>
        <v>0</v>
      </c>
      <c r="L1620" s="8" t="s">
        <v>376</v>
      </c>
      <c r="M1620" s="8" t="s">
        <v>377</v>
      </c>
      <c r="N1620" s="8" t="s">
        <v>20</v>
      </c>
      <c r="O1620" s="8" t="s">
        <v>184</v>
      </c>
      <c r="P1620" s="8" t="s">
        <v>197</v>
      </c>
      <c r="Q1620" s="8" t="s">
        <v>198</v>
      </c>
      <c r="R1620" s="8" t="s">
        <v>419</v>
      </c>
      <c r="S1620" s="8"/>
      <c r="T1620" s="8"/>
      <c r="U1620" s="8" t="s">
        <v>384</v>
      </c>
      <c r="V1620" s="8"/>
      <c r="W1620" s="8" t="s">
        <v>380</v>
      </c>
      <c r="X1620" s="8" t="s">
        <v>99</v>
      </c>
      <c r="Y1620" s="8" t="s">
        <v>23</v>
      </c>
    </row>
    <row r="1621" spans="1:25" hidden="1" x14ac:dyDescent="0.25">
      <c r="A1621" s="273" t="s">
        <v>316</v>
      </c>
      <c r="B1621" s="251">
        <v>45810</v>
      </c>
      <c r="C1621" s="252" t="s">
        <v>845</v>
      </c>
      <c r="D1621" s="252"/>
      <c r="E1621" s="253">
        <v>3000.27</v>
      </c>
      <c r="F1621" s="253">
        <v>0</v>
      </c>
      <c r="G1621" s="274">
        <f>Tabla3[[#This Row],[INGRESOS]]-Tabla3[[#This Row],[EGRESOS]]</f>
        <v>-3000.27</v>
      </c>
      <c r="H1621" s="274">
        <v>-9913697.1199999992</v>
      </c>
      <c r="I1621" s="135">
        <v>1170</v>
      </c>
      <c r="J1621" s="136">
        <f>Tabla3[[#This Row],[EGRESOS]]/Tabla3[[#This Row],[TC]]</f>
        <v>2.5643333333333334</v>
      </c>
      <c r="K1621" s="136">
        <f>Tabla3[[#This Row],[INGRESOS]]/Tabla3[[#This Row],[TC]]</f>
        <v>0</v>
      </c>
      <c r="L1621" s="8" t="s">
        <v>376</v>
      </c>
      <c r="M1621" s="8" t="s">
        <v>377</v>
      </c>
      <c r="N1621" s="8" t="s">
        <v>20</v>
      </c>
      <c r="O1621" s="8" t="s">
        <v>184</v>
      </c>
      <c r="P1621" s="8" t="s">
        <v>195</v>
      </c>
      <c r="Q1621" s="8" t="s">
        <v>196</v>
      </c>
      <c r="R1621" s="8" t="s">
        <v>423</v>
      </c>
      <c r="S1621" s="8" t="s">
        <v>69</v>
      </c>
      <c r="T1621" s="8"/>
      <c r="U1621" s="8" t="s">
        <v>384</v>
      </c>
      <c r="V1621" s="8"/>
      <c r="W1621" s="8" t="s">
        <v>380</v>
      </c>
      <c r="X1621" s="8" t="s">
        <v>99</v>
      </c>
      <c r="Y1621" s="8" t="s">
        <v>23</v>
      </c>
    </row>
    <row r="1622" spans="1:25" hidden="1" x14ac:dyDescent="0.25">
      <c r="A1622" s="273" t="s">
        <v>316</v>
      </c>
      <c r="B1622" s="251">
        <v>45810</v>
      </c>
      <c r="C1622" s="252" t="s">
        <v>845</v>
      </c>
      <c r="D1622" s="252"/>
      <c r="E1622" s="253">
        <v>6840.51</v>
      </c>
      <c r="F1622" s="253">
        <v>0</v>
      </c>
      <c r="G1622" s="274">
        <f>Tabla3[[#This Row],[INGRESOS]]-Tabla3[[#This Row],[EGRESOS]]</f>
        <v>-6840.51</v>
      </c>
      <c r="H1622" s="274">
        <v>-9920537.6300000008</v>
      </c>
      <c r="I1622" s="135">
        <v>1170</v>
      </c>
      <c r="J1622" s="136">
        <f>Tabla3[[#This Row],[EGRESOS]]/Tabla3[[#This Row],[TC]]</f>
        <v>5.8465897435897434</v>
      </c>
      <c r="K1622" s="136">
        <f>Tabla3[[#This Row],[INGRESOS]]/Tabla3[[#This Row],[TC]]</f>
        <v>0</v>
      </c>
      <c r="L1622" s="8" t="s">
        <v>376</v>
      </c>
      <c r="M1622" s="8" t="s">
        <v>377</v>
      </c>
      <c r="N1622" s="8" t="s">
        <v>20</v>
      </c>
      <c r="O1622" s="8" t="s">
        <v>184</v>
      </c>
      <c r="P1622" s="8" t="s">
        <v>195</v>
      </c>
      <c r="Q1622" s="8" t="s">
        <v>196</v>
      </c>
      <c r="R1622" s="8" t="s">
        <v>423</v>
      </c>
      <c r="S1622" s="8" t="s">
        <v>69</v>
      </c>
      <c r="T1622" s="8"/>
      <c r="U1622" s="8" t="s">
        <v>384</v>
      </c>
      <c r="V1622" s="8"/>
      <c r="W1622" s="8" t="s">
        <v>380</v>
      </c>
      <c r="X1622" s="8" t="s">
        <v>99</v>
      </c>
      <c r="Y1622" s="8" t="s">
        <v>23</v>
      </c>
    </row>
    <row r="1623" spans="1:25" hidden="1" x14ac:dyDescent="0.25">
      <c r="A1623" s="273" t="s">
        <v>316</v>
      </c>
      <c r="B1623" s="251">
        <v>45810</v>
      </c>
      <c r="C1623" s="252" t="s">
        <v>845</v>
      </c>
      <c r="D1623" s="252"/>
      <c r="E1623" s="253">
        <v>551.64</v>
      </c>
      <c r="F1623" s="253">
        <v>0</v>
      </c>
      <c r="G1623" s="274">
        <f>Tabla3[[#This Row],[INGRESOS]]-Tabla3[[#This Row],[EGRESOS]]</f>
        <v>-551.64</v>
      </c>
      <c r="H1623" s="274">
        <v>-9921089.2699999996</v>
      </c>
      <c r="I1623" s="135">
        <v>1170</v>
      </c>
      <c r="J1623" s="136">
        <f>Tabla3[[#This Row],[EGRESOS]]/Tabla3[[#This Row],[TC]]</f>
        <v>0.4714871794871795</v>
      </c>
      <c r="K1623" s="136">
        <f>Tabla3[[#This Row],[INGRESOS]]/Tabla3[[#This Row],[TC]]</f>
        <v>0</v>
      </c>
      <c r="L1623" s="8" t="s">
        <v>376</v>
      </c>
      <c r="M1623" s="8" t="s">
        <v>377</v>
      </c>
      <c r="N1623" s="8" t="s">
        <v>20</v>
      </c>
      <c r="O1623" s="8" t="s">
        <v>184</v>
      </c>
      <c r="P1623" s="8" t="s">
        <v>195</v>
      </c>
      <c r="Q1623" s="8" t="s">
        <v>196</v>
      </c>
      <c r="R1623" s="8" t="s">
        <v>423</v>
      </c>
      <c r="S1623" s="8" t="s">
        <v>69</v>
      </c>
      <c r="T1623" s="8"/>
      <c r="U1623" s="8" t="s">
        <v>384</v>
      </c>
      <c r="V1623" s="8"/>
      <c r="W1623" s="8" t="s">
        <v>380</v>
      </c>
      <c r="X1623" s="8" t="s">
        <v>99</v>
      </c>
      <c r="Y1623" s="8" t="s">
        <v>23</v>
      </c>
    </row>
    <row r="1624" spans="1:25" hidden="1" x14ac:dyDescent="0.25">
      <c r="A1624" s="273" t="s">
        <v>316</v>
      </c>
      <c r="B1624" s="251">
        <v>45810</v>
      </c>
      <c r="C1624" s="252" t="s">
        <v>760</v>
      </c>
      <c r="D1624" s="252"/>
      <c r="E1624" s="253">
        <v>2738.92</v>
      </c>
      <c r="F1624" s="253">
        <v>0</v>
      </c>
      <c r="G1624" s="274">
        <f>Tabla3[[#This Row],[INGRESOS]]-Tabla3[[#This Row],[EGRESOS]]</f>
        <v>-2738.92</v>
      </c>
      <c r="H1624" s="274">
        <v>-9923828.1899999995</v>
      </c>
      <c r="I1624" s="135">
        <v>1170</v>
      </c>
      <c r="J1624" s="136">
        <f>Tabla3[[#This Row],[EGRESOS]]/Tabla3[[#This Row],[TC]]</f>
        <v>2.340957264957265</v>
      </c>
      <c r="K1624" s="136">
        <f>Tabla3[[#This Row],[INGRESOS]]/Tabla3[[#This Row],[TC]]</f>
        <v>0</v>
      </c>
      <c r="L1624" s="8" t="s">
        <v>376</v>
      </c>
      <c r="M1624" s="8" t="s">
        <v>377</v>
      </c>
      <c r="N1624" s="8" t="s">
        <v>20</v>
      </c>
      <c r="O1624" s="8" t="s">
        <v>184</v>
      </c>
      <c r="P1624" s="8" t="s">
        <v>195</v>
      </c>
      <c r="Q1624" s="8" t="s">
        <v>196</v>
      </c>
      <c r="R1624" s="8" t="s">
        <v>394</v>
      </c>
      <c r="S1624" s="8" t="s">
        <v>383</v>
      </c>
      <c r="T1624" s="8"/>
      <c r="U1624" s="8" t="s">
        <v>384</v>
      </c>
      <c r="V1624" s="8"/>
      <c r="W1624" s="8" t="s">
        <v>380</v>
      </c>
      <c r="X1624" s="8" t="s">
        <v>99</v>
      </c>
      <c r="Y1624" s="8" t="s">
        <v>23</v>
      </c>
    </row>
    <row r="1625" spans="1:25" hidden="1" x14ac:dyDescent="0.25">
      <c r="A1625" s="273" t="s">
        <v>316</v>
      </c>
      <c r="B1625" s="251">
        <v>45811</v>
      </c>
      <c r="C1625" s="252" t="s">
        <v>404</v>
      </c>
      <c r="D1625" s="252"/>
      <c r="E1625" s="253">
        <v>850000</v>
      </c>
      <c r="F1625" s="253">
        <v>0</v>
      </c>
      <c r="G1625" s="274">
        <f>Tabla3[[#This Row],[INGRESOS]]-Tabla3[[#This Row],[EGRESOS]]</f>
        <v>-850000</v>
      </c>
      <c r="H1625" s="274">
        <v>-10773828.189999999</v>
      </c>
      <c r="I1625" s="135">
        <v>1170</v>
      </c>
      <c r="J1625" s="136">
        <f>Tabla3[[#This Row],[EGRESOS]]/Tabla3[[#This Row],[TC]]</f>
        <v>726.49572649572644</v>
      </c>
      <c r="K1625" s="136">
        <f>Tabla3[[#This Row],[INGRESOS]]/Tabla3[[#This Row],[TC]]</f>
        <v>0</v>
      </c>
      <c r="L1625" s="8" t="s">
        <v>376</v>
      </c>
      <c r="M1625" s="8" t="s">
        <v>377</v>
      </c>
      <c r="N1625" s="8" t="s">
        <v>20</v>
      </c>
      <c r="O1625" s="8" t="s">
        <v>244</v>
      </c>
      <c r="P1625" s="8" t="s">
        <v>259</v>
      </c>
      <c r="Q1625" s="8" t="s">
        <v>260</v>
      </c>
      <c r="R1625" s="8" t="s">
        <v>466</v>
      </c>
      <c r="S1625" s="8"/>
      <c r="T1625" s="8"/>
      <c r="U1625" s="8" t="s">
        <v>379</v>
      </c>
      <c r="V1625" s="8"/>
      <c r="W1625" s="8"/>
      <c r="X1625" s="8"/>
      <c r="Y1625" s="8"/>
    </row>
    <row r="1626" spans="1:25" hidden="1" x14ac:dyDescent="0.25">
      <c r="A1626" s="273" t="s">
        <v>316</v>
      </c>
      <c r="B1626" s="251">
        <v>45811</v>
      </c>
      <c r="C1626" s="252" t="s">
        <v>828</v>
      </c>
      <c r="D1626" s="252"/>
      <c r="E1626" s="253">
        <v>121</v>
      </c>
      <c r="F1626" s="253">
        <v>0</v>
      </c>
      <c r="G1626" s="274">
        <f>Tabla3[[#This Row],[INGRESOS]]-Tabla3[[#This Row],[EGRESOS]]</f>
        <v>-121</v>
      </c>
      <c r="H1626" s="274">
        <v>-10773949.189999999</v>
      </c>
      <c r="I1626" s="135">
        <v>1170</v>
      </c>
      <c r="J1626" s="136">
        <f>Tabla3[[#This Row],[EGRESOS]]/Tabla3[[#This Row],[TC]]</f>
        <v>0.10341880341880341</v>
      </c>
      <c r="K1626" s="136">
        <f>Tabla3[[#This Row],[INGRESOS]]/Tabla3[[#This Row],[TC]]</f>
        <v>0</v>
      </c>
      <c r="L1626" s="8" t="s">
        <v>376</v>
      </c>
      <c r="M1626" s="8" t="s">
        <v>377</v>
      </c>
      <c r="N1626" s="8" t="s">
        <v>20</v>
      </c>
      <c r="O1626" s="8" t="s">
        <v>184</v>
      </c>
      <c r="P1626" s="8" t="s">
        <v>185</v>
      </c>
      <c r="Q1626" s="8" t="s">
        <v>186</v>
      </c>
      <c r="R1626" s="8" t="s">
        <v>227</v>
      </c>
      <c r="S1626" s="8"/>
      <c r="T1626" s="8"/>
      <c r="U1626" s="8" t="s">
        <v>384</v>
      </c>
      <c r="V1626" s="8"/>
      <c r="W1626" s="8" t="s">
        <v>380</v>
      </c>
      <c r="X1626" s="8" t="s">
        <v>99</v>
      </c>
      <c r="Y1626" s="8" t="s">
        <v>23</v>
      </c>
    </row>
    <row r="1627" spans="1:25" hidden="1" x14ac:dyDescent="0.25">
      <c r="A1627" s="273" t="s">
        <v>316</v>
      </c>
      <c r="B1627" s="251">
        <v>45811</v>
      </c>
      <c r="C1627" s="252" t="s">
        <v>760</v>
      </c>
      <c r="D1627" s="252"/>
      <c r="E1627" s="253">
        <v>0.73</v>
      </c>
      <c r="F1627" s="253">
        <v>0</v>
      </c>
      <c r="G1627" s="274">
        <f>Tabla3[[#This Row],[INGRESOS]]-Tabla3[[#This Row],[EGRESOS]]</f>
        <v>-0.73</v>
      </c>
      <c r="H1627" s="274">
        <v>-10773949.92</v>
      </c>
      <c r="I1627" s="135">
        <v>1170</v>
      </c>
      <c r="J1627" s="136">
        <f>Tabla3[[#This Row],[EGRESOS]]/Tabla3[[#This Row],[TC]]</f>
        <v>6.2393162393162391E-4</v>
      </c>
      <c r="K1627" s="136">
        <f>Tabla3[[#This Row],[INGRESOS]]/Tabla3[[#This Row],[TC]]</f>
        <v>0</v>
      </c>
      <c r="L1627" s="8" t="s">
        <v>376</v>
      </c>
      <c r="M1627" s="8" t="s">
        <v>377</v>
      </c>
      <c r="N1627" s="8" t="s">
        <v>20</v>
      </c>
      <c r="O1627" s="8" t="s">
        <v>184</v>
      </c>
      <c r="P1627" s="8" t="s">
        <v>195</v>
      </c>
      <c r="Q1627" s="8" t="s">
        <v>196</v>
      </c>
      <c r="R1627" s="8" t="s">
        <v>394</v>
      </c>
      <c r="S1627" s="8" t="s">
        <v>383</v>
      </c>
      <c r="T1627" s="8"/>
      <c r="U1627" s="8" t="s">
        <v>384</v>
      </c>
      <c r="V1627" s="8"/>
      <c r="W1627" s="8" t="s">
        <v>380</v>
      </c>
      <c r="X1627" s="8" t="s">
        <v>99</v>
      </c>
      <c r="Y1627" s="8" t="s">
        <v>23</v>
      </c>
    </row>
    <row r="1628" spans="1:25" hidden="1" x14ac:dyDescent="0.25">
      <c r="A1628" s="273" t="s">
        <v>316</v>
      </c>
      <c r="B1628" s="251">
        <v>45812</v>
      </c>
      <c r="C1628" s="252" t="s">
        <v>404</v>
      </c>
      <c r="D1628" s="252"/>
      <c r="E1628" s="253">
        <v>150000</v>
      </c>
      <c r="F1628" s="253">
        <v>0</v>
      </c>
      <c r="G1628" s="274">
        <f>Tabla3[[#This Row],[INGRESOS]]-Tabla3[[#This Row],[EGRESOS]]</f>
        <v>-150000</v>
      </c>
      <c r="H1628" s="274">
        <v>-10923949.92</v>
      </c>
      <c r="I1628" s="135">
        <v>1170</v>
      </c>
      <c r="J1628" s="136">
        <f>Tabla3[[#This Row],[EGRESOS]]/Tabla3[[#This Row],[TC]]</f>
        <v>128.2051282051282</v>
      </c>
      <c r="K1628" s="136">
        <f>Tabla3[[#This Row],[INGRESOS]]/Tabla3[[#This Row],[TC]]</f>
        <v>0</v>
      </c>
      <c r="L1628" s="8" t="s">
        <v>376</v>
      </c>
      <c r="M1628" s="8" t="s">
        <v>377</v>
      </c>
      <c r="N1628" s="8" t="s">
        <v>20</v>
      </c>
      <c r="O1628" s="8" t="s">
        <v>244</v>
      </c>
      <c r="P1628" s="8" t="s">
        <v>259</v>
      </c>
      <c r="Q1628" s="8" t="s">
        <v>260</v>
      </c>
      <c r="R1628" s="8" t="s">
        <v>466</v>
      </c>
      <c r="S1628" s="8"/>
      <c r="T1628" s="8"/>
      <c r="U1628" s="8" t="s">
        <v>379</v>
      </c>
      <c r="V1628" s="8"/>
      <c r="W1628" s="8"/>
      <c r="X1628" s="8"/>
      <c r="Y1628" s="8"/>
    </row>
    <row r="1629" spans="1:25" hidden="1" x14ac:dyDescent="0.25">
      <c r="A1629" s="273" t="s">
        <v>316</v>
      </c>
      <c r="B1629" s="251">
        <v>45814</v>
      </c>
      <c r="C1629" s="252" t="s">
        <v>828</v>
      </c>
      <c r="D1629" s="252"/>
      <c r="E1629" s="253">
        <v>121</v>
      </c>
      <c r="F1629" s="253">
        <v>0</v>
      </c>
      <c r="G1629" s="274">
        <f>Tabla3[[#This Row],[INGRESOS]]-Tabla3[[#This Row],[EGRESOS]]</f>
        <v>-121</v>
      </c>
      <c r="H1629" s="274">
        <v>-12924191.92</v>
      </c>
      <c r="I1629" s="135">
        <v>1170</v>
      </c>
      <c r="J1629" s="136">
        <f>Tabla3[[#This Row],[EGRESOS]]/Tabla3[[#This Row],[TC]]</f>
        <v>0.10341880341880341</v>
      </c>
      <c r="K1629" s="136">
        <f>Tabla3[[#This Row],[INGRESOS]]/Tabla3[[#This Row],[TC]]</f>
        <v>0</v>
      </c>
      <c r="L1629" s="8" t="s">
        <v>376</v>
      </c>
      <c r="M1629" s="8" t="s">
        <v>377</v>
      </c>
      <c r="N1629" s="8" t="s">
        <v>20</v>
      </c>
      <c r="O1629" s="8" t="s">
        <v>184</v>
      </c>
      <c r="P1629" s="8" t="s">
        <v>185</v>
      </c>
      <c r="Q1629" s="8" t="s">
        <v>186</v>
      </c>
      <c r="R1629" s="8" t="s">
        <v>227</v>
      </c>
      <c r="S1629" s="8"/>
      <c r="T1629" s="8"/>
      <c r="U1629" s="8" t="s">
        <v>384</v>
      </c>
      <c r="V1629" s="8"/>
      <c r="W1629" s="8" t="s">
        <v>380</v>
      </c>
      <c r="X1629" s="8" t="s">
        <v>99</v>
      </c>
      <c r="Y1629" s="8" t="s">
        <v>23</v>
      </c>
    </row>
    <row r="1630" spans="1:25" hidden="1" x14ac:dyDescent="0.25">
      <c r="A1630" s="273" t="s">
        <v>316</v>
      </c>
      <c r="B1630" s="251">
        <v>45814</v>
      </c>
      <c r="C1630" s="252" t="s">
        <v>404</v>
      </c>
      <c r="D1630" s="252"/>
      <c r="E1630" s="253">
        <v>500000</v>
      </c>
      <c r="F1630" s="253">
        <v>0</v>
      </c>
      <c r="G1630" s="274">
        <f>Tabla3[[#This Row],[INGRESOS]]-Tabla3[[#This Row],[EGRESOS]]</f>
        <v>-500000</v>
      </c>
      <c r="H1630" s="274">
        <v>-12924191.92</v>
      </c>
      <c r="I1630" s="135">
        <v>1170</v>
      </c>
      <c r="J1630" s="136">
        <f>Tabla3[[#This Row],[EGRESOS]]/Tabla3[[#This Row],[TC]]</f>
        <v>427.35042735042737</v>
      </c>
      <c r="K1630" s="136">
        <f>Tabla3[[#This Row],[INGRESOS]]/Tabla3[[#This Row],[TC]]</f>
        <v>0</v>
      </c>
      <c r="L1630" s="8" t="s">
        <v>376</v>
      </c>
      <c r="M1630" s="8" t="s">
        <v>377</v>
      </c>
      <c r="N1630" s="8" t="s">
        <v>20</v>
      </c>
      <c r="O1630" s="8" t="s">
        <v>184</v>
      </c>
      <c r="P1630" s="8" t="s">
        <v>203</v>
      </c>
      <c r="Q1630" s="8" t="s">
        <v>208</v>
      </c>
      <c r="R1630" s="8" t="s">
        <v>984</v>
      </c>
      <c r="S1630" s="8" t="s">
        <v>414</v>
      </c>
      <c r="T1630" s="8"/>
      <c r="U1630" s="8" t="s">
        <v>530</v>
      </c>
      <c r="V1630" s="8" t="s">
        <v>415</v>
      </c>
      <c r="W1630" s="8" t="s">
        <v>380</v>
      </c>
      <c r="X1630" s="8" t="s">
        <v>102</v>
      </c>
      <c r="Y1630" s="8" t="s">
        <v>23</v>
      </c>
    </row>
    <row r="1631" spans="1:25" hidden="1" x14ac:dyDescent="0.25">
      <c r="A1631" s="273" t="s">
        <v>316</v>
      </c>
      <c r="B1631" s="251">
        <v>45814</v>
      </c>
      <c r="C1631" s="252" t="s">
        <v>828</v>
      </c>
      <c r="D1631" s="252"/>
      <c r="E1631" s="253">
        <v>121</v>
      </c>
      <c r="F1631" s="253">
        <v>0</v>
      </c>
      <c r="G1631" s="274">
        <f>Tabla3[[#This Row],[INGRESOS]]-Tabla3[[#This Row],[EGRESOS]]</f>
        <v>-121</v>
      </c>
      <c r="H1631" s="274">
        <v>-12924191.92</v>
      </c>
      <c r="I1631" s="135">
        <v>1170</v>
      </c>
      <c r="J1631" s="136">
        <f>Tabla3[[#This Row],[EGRESOS]]/Tabla3[[#This Row],[TC]]</f>
        <v>0.10341880341880341</v>
      </c>
      <c r="K1631" s="136">
        <f>Tabla3[[#This Row],[INGRESOS]]/Tabla3[[#This Row],[TC]]</f>
        <v>0</v>
      </c>
      <c r="L1631" s="8" t="s">
        <v>376</v>
      </c>
      <c r="M1631" s="8" t="s">
        <v>377</v>
      </c>
      <c r="N1631" s="8" t="s">
        <v>20</v>
      </c>
      <c r="O1631" s="8" t="s">
        <v>184</v>
      </c>
      <c r="P1631" s="8" t="s">
        <v>185</v>
      </c>
      <c r="Q1631" s="8" t="s">
        <v>186</v>
      </c>
      <c r="R1631" s="8" t="s">
        <v>227</v>
      </c>
      <c r="S1631" s="8"/>
      <c r="T1631" s="8"/>
      <c r="U1631" s="8" t="s">
        <v>384</v>
      </c>
      <c r="V1631" s="8"/>
      <c r="W1631" s="8" t="s">
        <v>380</v>
      </c>
      <c r="X1631" s="8" t="s">
        <v>99</v>
      </c>
      <c r="Y1631" s="8" t="s">
        <v>23</v>
      </c>
    </row>
    <row r="1632" spans="1:25" hidden="1" x14ac:dyDescent="0.25">
      <c r="A1632" s="247" t="s">
        <v>318</v>
      </c>
      <c r="B1632" s="248">
        <v>45870</v>
      </c>
      <c r="C1632" s="244" t="s">
        <v>1338</v>
      </c>
      <c r="D1632" s="244"/>
      <c r="E1632" s="249">
        <v>66160</v>
      </c>
      <c r="F1632" s="249">
        <v>0</v>
      </c>
      <c r="G1632" s="266">
        <f>Tabla3[[#This Row],[INGRESOS]]-Tabla3[[#This Row],[EGRESOS]]</f>
        <v>-66160</v>
      </c>
      <c r="H1632" s="135">
        <v>0</v>
      </c>
      <c r="I1632" s="119">
        <v>1290</v>
      </c>
      <c r="J1632" s="136">
        <f>Tabla3[[#This Row],[EGRESOS]]/Tabla3[[#This Row],[TC]]</f>
        <v>51.286821705426355</v>
      </c>
      <c r="K1632" s="136">
        <f>Tabla3[[#This Row],[INGRESOS]]/Tabla3[[#This Row],[TC]]</f>
        <v>0</v>
      </c>
      <c r="L1632" s="8" t="s">
        <v>1336</v>
      </c>
      <c r="M1632" s="8" t="s">
        <v>1336</v>
      </c>
      <c r="N1632" s="8" t="s">
        <v>1336</v>
      </c>
      <c r="O1632" s="7" t="s">
        <v>184</v>
      </c>
      <c r="P1632" s="7" t="s">
        <v>203</v>
      </c>
      <c r="Q1632" s="7" t="s">
        <v>205</v>
      </c>
      <c r="R1632" s="7" t="s">
        <v>189</v>
      </c>
      <c r="S1632" s="7" t="s">
        <v>386</v>
      </c>
      <c r="T1632" s="7"/>
      <c r="U1632" s="7" t="s">
        <v>387</v>
      </c>
      <c r="V1632" s="7" t="s">
        <v>386</v>
      </c>
      <c r="W1632" s="7" t="s">
        <v>380</v>
      </c>
      <c r="X1632" s="7" t="s">
        <v>104</v>
      </c>
      <c r="Y1632" s="7" t="s">
        <v>23</v>
      </c>
    </row>
    <row r="1633" spans="1:25" hidden="1" x14ac:dyDescent="0.25">
      <c r="A1633" s="273" t="s">
        <v>316</v>
      </c>
      <c r="B1633" s="251">
        <v>45814</v>
      </c>
      <c r="C1633" s="252" t="s">
        <v>828</v>
      </c>
      <c r="D1633" s="252"/>
      <c r="E1633" s="253">
        <v>121</v>
      </c>
      <c r="F1633" s="253">
        <v>0</v>
      </c>
      <c r="G1633" s="274">
        <f>Tabla3[[#This Row],[INGRESOS]]-Tabla3[[#This Row],[EGRESOS]]</f>
        <v>-121</v>
      </c>
      <c r="H1633" s="274">
        <v>-12924191.92</v>
      </c>
      <c r="I1633" s="135">
        <v>1170</v>
      </c>
      <c r="J1633" s="136">
        <f>Tabla3[[#This Row],[EGRESOS]]/Tabla3[[#This Row],[TC]]</f>
        <v>0.10341880341880341</v>
      </c>
      <c r="K1633" s="136">
        <f>Tabla3[[#This Row],[INGRESOS]]/Tabla3[[#This Row],[TC]]</f>
        <v>0</v>
      </c>
      <c r="L1633" s="8" t="s">
        <v>376</v>
      </c>
      <c r="M1633" s="8" t="s">
        <v>377</v>
      </c>
      <c r="N1633" s="8" t="s">
        <v>20</v>
      </c>
      <c r="O1633" s="8" t="s">
        <v>184</v>
      </c>
      <c r="P1633" s="8" t="s">
        <v>185</v>
      </c>
      <c r="Q1633" s="8" t="s">
        <v>186</v>
      </c>
      <c r="R1633" s="8" t="s">
        <v>227</v>
      </c>
      <c r="S1633" s="8"/>
      <c r="T1633" s="8"/>
      <c r="U1633" s="8" t="s">
        <v>384</v>
      </c>
      <c r="V1633" s="8"/>
      <c r="W1633" s="8" t="s">
        <v>380</v>
      </c>
      <c r="X1633" s="8" t="s">
        <v>99</v>
      </c>
      <c r="Y1633" s="8" t="s">
        <v>23</v>
      </c>
    </row>
    <row r="1634" spans="1:25" hidden="1" x14ac:dyDescent="0.25">
      <c r="A1634" s="273" t="s">
        <v>316</v>
      </c>
      <c r="B1634" s="251">
        <v>45814</v>
      </c>
      <c r="C1634" s="252" t="s">
        <v>985</v>
      </c>
      <c r="D1634" s="252"/>
      <c r="E1634" s="253">
        <v>0</v>
      </c>
      <c r="F1634" s="253">
        <v>1084629.8999999999</v>
      </c>
      <c r="G1634" s="274">
        <f>Tabla3[[#This Row],[INGRESOS]]-Tabla3[[#This Row],[EGRESOS]]</f>
        <v>1084629.8999999999</v>
      </c>
      <c r="H1634" s="274">
        <v>-11839562.02</v>
      </c>
      <c r="I1634" s="135">
        <v>1170</v>
      </c>
      <c r="J1634" s="136">
        <f>Tabla3[[#This Row],[EGRESOS]]/Tabla3[[#This Row],[TC]]</f>
        <v>0</v>
      </c>
      <c r="K1634" s="136">
        <f>Tabla3[[#This Row],[INGRESOS]]/Tabla3[[#This Row],[TC]]</f>
        <v>927.03410256410245</v>
      </c>
      <c r="L1634" s="8" t="s">
        <v>376</v>
      </c>
      <c r="M1634" s="8" t="s">
        <v>377</v>
      </c>
      <c r="N1634" s="8" t="s">
        <v>20</v>
      </c>
      <c r="O1634" s="8" t="s">
        <v>244</v>
      </c>
      <c r="P1634" s="8" t="s">
        <v>261</v>
      </c>
      <c r="Q1634" s="8" t="s">
        <v>254</v>
      </c>
      <c r="R1634" s="8" t="s">
        <v>986</v>
      </c>
      <c r="S1634" s="7" t="s">
        <v>20</v>
      </c>
      <c r="T1634" s="8"/>
      <c r="U1634" s="8" t="s">
        <v>442</v>
      </c>
      <c r="V1634" s="8"/>
      <c r="W1634" s="8" t="s">
        <v>380</v>
      </c>
      <c r="X1634" s="8" t="s">
        <v>23</v>
      </c>
      <c r="Y1634" s="8" t="s">
        <v>85</v>
      </c>
    </row>
    <row r="1635" spans="1:25" hidden="1" x14ac:dyDescent="0.25">
      <c r="A1635" s="273" t="s">
        <v>316</v>
      </c>
      <c r="B1635" s="251">
        <v>45814</v>
      </c>
      <c r="C1635" s="252" t="s">
        <v>985</v>
      </c>
      <c r="D1635" s="252"/>
      <c r="E1635" s="253">
        <v>0</v>
      </c>
      <c r="F1635" s="253">
        <v>29529966.800000001</v>
      </c>
      <c r="G1635" s="274">
        <f>Tabla3[[#This Row],[INGRESOS]]-Tabla3[[#This Row],[EGRESOS]]</f>
        <v>29529966.800000001</v>
      </c>
      <c r="H1635" s="274">
        <v>17690404.780000001</v>
      </c>
      <c r="I1635" s="135">
        <v>1170</v>
      </c>
      <c r="J1635" s="136">
        <f>Tabla3[[#This Row],[EGRESOS]]/Tabla3[[#This Row],[TC]]</f>
        <v>0</v>
      </c>
      <c r="K1635" s="136">
        <f>Tabla3[[#This Row],[INGRESOS]]/Tabla3[[#This Row],[TC]]</f>
        <v>25239.287863247864</v>
      </c>
      <c r="L1635" s="8" t="s">
        <v>376</v>
      </c>
      <c r="M1635" s="8" t="s">
        <v>377</v>
      </c>
      <c r="N1635" s="8" t="s">
        <v>20</v>
      </c>
      <c r="O1635" s="8" t="s">
        <v>244</v>
      </c>
      <c r="P1635" s="8" t="s">
        <v>261</v>
      </c>
      <c r="Q1635" s="8" t="s">
        <v>254</v>
      </c>
      <c r="R1635" s="8" t="s">
        <v>986</v>
      </c>
      <c r="S1635" s="7" t="s">
        <v>20</v>
      </c>
      <c r="T1635" s="8"/>
      <c r="U1635" s="8" t="s">
        <v>442</v>
      </c>
      <c r="V1635" s="8"/>
      <c r="W1635" s="8" t="s">
        <v>380</v>
      </c>
      <c r="X1635" s="8" t="s">
        <v>23</v>
      </c>
      <c r="Y1635" s="8" t="s">
        <v>85</v>
      </c>
    </row>
    <row r="1636" spans="1:25" hidden="1" x14ac:dyDescent="0.25">
      <c r="A1636" s="273" t="s">
        <v>316</v>
      </c>
      <c r="B1636" s="251">
        <v>45814</v>
      </c>
      <c r="C1636" s="252" t="s">
        <v>762</v>
      </c>
      <c r="D1636" s="252"/>
      <c r="E1636" s="253">
        <v>4620</v>
      </c>
      <c r="F1636" s="253">
        <v>0</v>
      </c>
      <c r="G1636" s="274">
        <f>Tabla3[[#This Row],[INGRESOS]]-Tabla3[[#This Row],[EGRESOS]]</f>
        <v>-4620</v>
      </c>
      <c r="H1636" s="274">
        <v>17685784.780000001</v>
      </c>
      <c r="I1636" s="135">
        <v>1170</v>
      </c>
      <c r="J1636" s="136">
        <f>Tabla3[[#This Row],[EGRESOS]]/Tabla3[[#This Row],[TC]]</f>
        <v>3.9487179487179489</v>
      </c>
      <c r="K1636" s="136">
        <f>Tabla3[[#This Row],[INGRESOS]]/Tabla3[[#This Row],[TC]]</f>
        <v>0</v>
      </c>
      <c r="L1636" s="8" t="s">
        <v>376</v>
      </c>
      <c r="M1636" s="8" t="s">
        <v>377</v>
      </c>
      <c r="N1636" s="8" t="s">
        <v>20</v>
      </c>
      <c r="O1636" s="8" t="s">
        <v>184</v>
      </c>
      <c r="P1636" s="8" t="s">
        <v>195</v>
      </c>
      <c r="Q1636" s="8" t="s">
        <v>196</v>
      </c>
      <c r="R1636" s="8" t="s">
        <v>382</v>
      </c>
      <c r="S1636" s="8" t="s">
        <v>383</v>
      </c>
      <c r="T1636" s="8"/>
      <c r="U1636" s="8" t="s">
        <v>384</v>
      </c>
      <c r="V1636" s="8"/>
      <c r="W1636" s="8" t="s">
        <v>380</v>
      </c>
      <c r="X1636" s="8" t="s">
        <v>99</v>
      </c>
      <c r="Y1636" s="8" t="s">
        <v>23</v>
      </c>
    </row>
    <row r="1637" spans="1:25" hidden="1" x14ac:dyDescent="0.25">
      <c r="A1637" s="273" t="s">
        <v>316</v>
      </c>
      <c r="B1637" s="251">
        <v>45814</v>
      </c>
      <c r="C1637" s="252" t="s">
        <v>763</v>
      </c>
      <c r="D1637" s="252"/>
      <c r="E1637" s="253">
        <v>660</v>
      </c>
      <c r="F1637" s="253">
        <v>0</v>
      </c>
      <c r="G1637" s="274">
        <f>Tabla3[[#This Row],[INGRESOS]]-Tabla3[[#This Row],[EGRESOS]]</f>
        <v>-660</v>
      </c>
      <c r="H1637" s="274">
        <v>17685124.780000001</v>
      </c>
      <c r="I1637" s="135">
        <v>1170</v>
      </c>
      <c r="J1637" s="136">
        <f>Tabla3[[#This Row],[EGRESOS]]/Tabla3[[#This Row],[TC]]</f>
        <v>0.5641025641025641</v>
      </c>
      <c r="K1637" s="136">
        <f>Tabla3[[#This Row],[INGRESOS]]/Tabla3[[#This Row],[TC]]</f>
        <v>0</v>
      </c>
      <c r="L1637" s="8" t="s">
        <v>376</v>
      </c>
      <c r="M1637" s="8" t="s">
        <v>377</v>
      </c>
      <c r="N1637" s="8" t="s">
        <v>20</v>
      </c>
      <c r="O1637" s="8" t="s">
        <v>184</v>
      </c>
      <c r="P1637" s="8" t="s">
        <v>195</v>
      </c>
      <c r="Q1637" s="8" t="s">
        <v>196</v>
      </c>
      <c r="R1637" s="8" t="s">
        <v>417</v>
      </c>
      <c r="S1637" s="8" t="s">
        <v>383</v>
      </c>
      <c r="T1637" s="8"/>
      <c r="U1637" s="8" t="s">
        <v>384</v>
      </c>
      <c r="V1637" s="8"/>
      <c r="W1637" s="8" t="s">
        <v>380</v>
      </c>
      <c r="X1637" s="8" t="s">
        <v>99</v>
      </c>
      <c r="Y1637" s="8" t="s">
        <v>23</v>
      </c>
    </row>
    <row r="1638" spans="1:25" hidden="1" x14ac:dyDescent="0.25">
      <c r="A1638" s="273" t="s">
        <v>316</v>
      </c>
      <c r="B1638" s="251">
        <v>45814</v>
      </c>
      <c r="C1638" s="252" t="s">
        <v>803</v>
      </c>
      <c r="D1638" s="252"/>
      <c r="E1638" s="253">
        <v>22000</v>
      </c>
      <c r="F1638" s="253">
        <v>0</v>
      </c>
      <c r="G1638" s="274">
        <f>Tabla3[[#This Row],[INGRESOS]]-Tabla3[[#This Row],[EGRESOS]]</f>
        <v>-22000</v>
      </c>
      <c r="H1638" s="274">
        <v>17663124.780000001</v>
      </c>
      <c r="I1638" s="135">
        <v>1170</v>
      </c>
      <c r="J1638" s="136">
        <f>Tabla3[[#This Row],[EGRESOS]]/Tabla3[[#This Row],[TC]]</f>
        <v>18.803418803418804</v>
      </c>
      <c r="K1638" s="136">
        <f>Tabla3[[#This Row],[INGRESOS]]/Tabla3[[#This Row],[TC]]</f>
        <v>0</v>
      </c>
      <c r="L1638" s="8" t="s">
        <v>376</v>
      </c>
      <c r="M1638" s="8" t="s">
        <v>377</v>
      </c>
      <c r="N1638" s="8" t="s">
        <v>20</v>
      </c>
      <c r="O1638" s="8" t="s">
        <v>184</v>
      </c>
      <c r="P1638" s="8" t="s">
        <v>185</v>
      </c>
      <c r="Q1638" s="8" t="s">
        <v>186</v>
      </c>
      <c r="R1638" s="8" t="s">
        <v>227</v>
      </c>
      <c r="S1638" s="8"/>
      <c r="T1638" s="8"/>
      <c r="U1638" s="8" t="s">
        <v>384</v>
      </c>
      <c r="V1638" s="8"/>
      <c r="W1638" s="8" t="s">
        <v>380</v>
      </c>
      <c r="X1638" s="8" t="s">
        <v>99</v>
      </c>
      <c r="Y1638" s="8" t="s">
        <v>23</v>
      </c>
    </row>
    <row r="1639" spans="1:25" hidden="1" x14ac:dyDescent="0.25">
      <c r="A1639" s="273" t="s">
        <v>316</v>
      </c>
      <c r="B1639" s="251">
        <v>45814</v>
      </c>
      <c r="C1639" s="252" t="s">
        <v>760</v>
      </c>
      <c r="D1639" s="252"/>
      <c r="E1639" s="253">
        <v>183687.58</v>
      </c>
      <c r="F1639" s="253">
        <v>0</v>
      </c>
      <c r="G1639" s="274">
        <f>Tabla3[[#This Row],[INGRESOS]]-Tabla3[[#This Row],[EGRESOS]]</f>
        <v>-183687.58</v>
      </c>
      <c r="H1639" s="274">
        <v>17479437.199999999</v>
      </c>
      <c r="I1639" s="135">
        <v>1170</v>
      </c>
      <c r="J1639" s="136">
        <f>Tabla3[[#This Row],[EGRESOS]]/Tabla3[[#This Row],[TC]]</f>
        <v>156.99793162393161</v>
      </c>
      <c r="K1639" s="136">
        <f>Tabla3[[#This Row],[INGRESOS]]/Tabla3[[#This Row],[TC]]</f>
        <v>0</v>
      </c>
      <c r="L1639" s="8" t="s">
        <v>376</v>
      </c>
      <c r="M1639" s="8" t="s">
        <v>377</v>
      </c>
      <c r="N1639" s="8" t="s">
        <v>20</v>
      </c>
      <c r="O1639" s="8" t="s">
        <v>184</v>
      </c>
      <c r="P1639" s="8" t="s">
        <v>195</v>
      </c>
      <c r="Q1639" s="8" t="s">
        <v>196</v>
      </c>
      <c r="R1639" s="8" t="s">
        <v>394</v>
      </c>
      <c r="S1639" s="8" t="s">
        <v>383</v>
      </c>
      <c r="T1639" s="8"/>
      <c r="U1639" s="8" t="s">
        <v>384</v>
      </c>
      <c r="V1639" s="8"/>
      <c r="W1639" s="8" t="s">
        <v>380</v>
      </c>
      <c r="X1639" s="8" t="s">
        <v>99</v>
      </c>
      <c r="Y1639" s="8" t="s">
        <v>23</v>
      </c>
    </row>
    <row r="1640" spans="1:25" hidden="1" x14ac:dyDescent="0.25">
      <c r="A1640" s="273" t="s">
        <v>316</v>
      </c>
      <c r="B1640" s="251">
        <v>45814</v>
      </c>
      <c r="C1640" s="252" t="s">
        <v>760</v>
      </c>
      <c r="D1640" s="252"/>
      <c r="E1640" s="253">
        <v>12165.14</v>
      </c>
      <c r="F1640" s="253">
        <v>0</v>
      </c>
      <c r="G1640" s="274">
        <f>Tabla3[[#This Row],[INGRESOS]]-Tabla3[[#This Row],[EGRESOS]]</f>
        <v>-12165.14</v>
      </c>
      <c r="H1640" s="274">
        <v>17467272.059999999</v>
      </c>
      <c r="I1640" s="135">
        <v>1170</v>
      </c>
      <c r="J1640" s="136">
        <f>Tabla3[[#This Row],[EGRESOS]]/Tabla3[[#This Row],[TC]]</f>
        <v>10.397555555555556</v>
      </c>
      <c r="K1640" s="136">
        <f>Tabla3[[#This Row],[INGRESOS]]/Tabla3[[#This Row],[TC]]</f>
        <v>0</v>
      </c>
      <c r="L1640" s="8" t="s">
        <v>376</v>
      </c>
      <c r="M1640" s="8" t="s">
        <v>377</v>
      </c>
      <c r="N1640" s="8" t="s">
        <v>20</v>
      </c>
      <c r="O1640" s="8" t="s">
        <v>184</v>
      </c>
      <c r="P1640" s="8" t="s">
        <v>195</v>
      </c>
      <c r="Q1640" s="8" t="s">
        <v>196</v>
      </c>
      <c r="R1640" s="8" t="s">
        <v>394</v>
      </c>
      <c r="S1640" s="8" t="s">
        <v>383</v>
      </c>
      <c r="T1640" s="8"/>
      <c r="U1640" s="8" t="s">
        <v>384</v>
      </c>
      <c r="V1640" s="8"/>
      <c r="W1640" s="8" t="s">
        <v>380</v>
      </c>
      <c r="X1640" s="8" t="s">
        <v>99</v>
      </c>
      <c r="Y1640" s="8" t="s">
        <v>23</v>
      </c>
    </row>
    <row r="1641" spans="1:25" hidden="1" x14ac:dyDescent="0.25">
      <c r="A1641" s="273" t="s">
        <v>316</v>
      </c>
      <c r="B1641" s="251">
        <v>45817</v>
      </c>
      <c r="C1641" s="252" t="s">
        <v>987</v>
      </c>
      <c r="D1641" s="252"/>
      <c r="E1641" s="253">
        <v>0</v>
      </c>
      <c r="F1641" s="253">
        <v>696888.2</v>
      </c>
      <c r="G1641" s="274">
        <f>Tabla3[[#This Row],[INGRESOS]]-Tabla3[[#This Row],[EGRESOS]]</f>
        <v>696888.2</v>
      </c>
      <c r="H1641" s="274">
        <v>18164160.260000002</v>
      </c>
      <c r="I1641" s="135">
        <v>1170</v>
      </c>
      <c r="J1641" s="136">
        <f>Tabla3[[#This Row],[EGRESOS]]/Tabla3[[#This Row],[TC]]</f>
        <v>0</v>
      </c>
      <c r="K1641" s="136">
        <f>Tabla3[[#This Row],[INGRESOS]]/Tabla3[[#This Row],[TC]]</f>
        <v>595.63094017094011</v>
      </c>
      <c r="L1641" s="8" t="s">
        <v>376</v>
      </c>
      <c r="M1641" s="8" t="s">
        <v>377</v>
      </c>
      <c r="N1641" s="8" t="s">
        <v>20</v>
      </c>
      <c r="O1641" s="8" t="s">
        <v>215</v>
      </c>
      <c r="P1641" s="8" t="s">
        <v>216</v>
      </c>
      <c r="Q1641" s="8" t="s">
        <v>220</v>
      </c>
      <c r="R1641" s="8" t="s">
        <v>705</v>
      </c>
      <c r="S1641" s="8" t="s">
        <v>706</v>
      </c>
      <c r="T1641" s="8"/>
      <c r="U1641" s="8" t="s">
        <v>516</v>
      </c>
      <c r="V1641" s="8"/>
      <c r="W1641" s="8" t="s">
        <v>380</v>
      </c>
      <c r="X1641" s="8" t="s">
        <v>23</v>
      </c>
      <c r="Y1641" s="8" t="s">
        <v>97</v>
      </c>
    </row>
    <row r="1642" spans="1:25" hidden="1" x14ac:dyDescent="0.25">
      <c r="A1642" s="273" t="s">
        <v>316</v>
      </c>
      <c r="B1642" s="251">
        <v>45817</v>
      </c>
      <c r="C1642" s="252" t="s">
        <v>934</v>
      </c>
      <c r="D1642" s="252"/>
      <c r="E1642" s="253">
        <v>0</v>
      </c>
      <c r="F1642" s="253">
        <v>1258168.71</v>
      </c>
      <c r="G1642" s="274">
        <f>Tabla3[[#This Row],[INGRESOS]]-Tabla3[[#This Row],[EGRESOS]]</f>
        <v>1258168.71</v>
      </c>
      <c r="H1642" s="274">
        <v>19422328.969999999</v>
      </c>
      <c r="I1642" s="135">
        <v>1170</v>
      </c>
      <c r="J1642" s="136">
        <f>Tabla3[[#This Row],[EGRESOS]]/Tabla3[[#This Row],[TC]]</f>
        <v>0</v>
      </c>
      <c r="K1642" s="136">
        <f>Tabla3[[#This Row],[INGRESOS]]/Tabla3[[#This Row],[TC]]</f>
        <v>1075.3578717948717</v>
      </c>
      <c r="L1642" s="8" t="s">
        <v>376</v>
      </c>
      <c r="M1642" s="8" t="s">
        <v>377</v>
      </c>
      <c r="N1642" s="8" t="s">
        <v>20</v>
      </c>
      <c r="O1642" s="8" t="s">
        <v>215</v>
      </c>
      <c r="P1642" s="8" t="s">
        <v>216</v>
      </c>
      <c r="Q1642" s="8" t="s">
        <v>220</v>
      </c>
      <c r="R1642" s="8" t="s">
        <v>705</v>
      </c>
      <c r="S1642" s="8" t="s">
        <v>935</v>
      </c>
      <c r="T1642" s="8"/>
      <c r="U1642" s="8" t="s">
        <v>516</v>
      </c>
      <c r="V1642" s="8"/>
      <c r="W1642" s="8" t="s">
        <v>380</v>
      </c>
      <c r="X1642" s="8" t="s">
        <v>23</v>
      </c>
      <c r="Y1642" s="8" t="s">
        <v>97</v>
      </c>
    </row>
    <row r="1643" spans="1:25" hidden="1" x14ac:dyDescent="0.25">
      <c r="A1643" s="273" t="s">
        <v>316</v>
      </c>
      <c r="B1643" s="251">
        <v>45817</v>
      </c>
      <c r="C1643" s="252" t="s">
        <v>760</v>
      </c>
      <c r="D1643" s="252"/>
      <c r="E1643" s="253">
        <v>11730.34</v>
      </c>
      <c r="F1643" s="253">
        <v>0</v>
      </c>
      <c r="G1643" s="274">
        <f>Tabla3[[#This Row],[INGRESOS]]-Tabla3[[#This Row],[EGRESOS]]</f>
        <v>-11730.34</v>
      </c>
      <c r="H1643" s="274">
        <v>19410598.629999999</v>
      </c>
      <c r="I1643" s="135">
        <v>1170</v>
      </c>
      <c r="J1643" s="136">
        <f>Tabla3[[#This Row],[EGRESOS]]/Tabla3[[#This Row],[TC]]</f>
        <v>10.025931623931625</v>
      </c>
      <c r="K1643" s="136">
        <f>Tabla3[[#This Row],[INGRESOS]]/Tabla3[[#This Row],[TC]]</f>
        <v>0</v>
      </c>
      <c r="L1643" s="8" t="s">
        <v>376</v>
      </c>
      <c r="M1643" s="8" t="s">
        <v>377</v>
      </c>
      <c r="N1643" s="8" t="s">
        <v>20</v>
      </c>
      <c r="O1643" s="8" t="s">
        <v>184</v>
      </c>
      <c r="P1643" s="8" t="s">
        <v>195</v>
      </c>
      <c r="Q1643" s="8" t="s">
        <v>196</v>
      </c>
      <c r="R1643" s="8" t="s">
        <v>394</v>
      </c>
      <c r="S1643" s="8" t="s">
        <v>383</v>
      </c>
      <c r="T1643" s="8"/>
      <c r="U1643" s="8" t="s">
        <v>384</v>
      </c>
      <c r="V1643" s="8"/>
      <c r="W1643" s="8" t="s">
        <v>380</v>
      </c>
      <c r="X1643" s="8" t="s">
        <v>99</v>
      </c>
      <c r="Y1643" s="8" t="s">
        <v>23</v>
      </c>
    </row>
    <row r="1644" spans="1:25" hidden="1" x14ac:dyDescent="0.25">
      <c r="A1644" s="273" t="s">
        <v>316</v>
      </c>
      <c r="B1644" s="251">
        <v>45818</v>
      </c>
      <c r="C1644" s="252" t="s">
        <v>404</v>
      </c>
      <c r="D1644" s="252"/>
      <c r="E1644" s="253">
        <v>1500000</v>
      </c>
      <c r="F1644" s="253">
        <v>0</v>
      </c>
      <c r="G1644" s="274">
        <f>Tabla3[[#This Row],[INGRESOS]]-Tabla3[[#This Row],[EGRESOS]]</f>
        <v>-1500000</v>
      </c>
      <c r="H1644" s="274">
        <v>17910598.629999999</v>
      </c>
      <c r="I1644" s="135">
        <v>1170</v>
      </c>
      <c r="J1644" s="136">
        <f>Tabla3[[#This Row],[EGRESOS]]/Tabla3[[#This Row],[TC]]</f>
        <v>1282.051282051282</v>
      </c>
      <c r="K1644" s="136">
        <f>Tabla3[[#This Row],[INGRESOS]]/Tabla3[[#This Row],[TC]]</f>
        <v>0</v>
      </c>
      <c r="L1644" s="8" t="s">
        <v>376</v>
      </c>
      <c r="M1644" s="8" t="s">
        <v>377</v>
      </c>
      <c r="N1644" s="8" t="s">
        <v>20</v>
      </c>
      <c r="O1644" s="8" t="s">
        <v>244</v>
      </c>
      <c r="P1644" s="8" t="s">
        <v>259</v>
      </c>
      <c r="Q1644" s="8" t="s">
        <v>260</v>
      </c>
      <c r="R1644" s="8" t="s">
        <v>466</v>
      </c>
      <c r="S1644" s="8"/>
      <c r="T1644" s="8"/>
      <c r="U1644" s="8" t="s">
        <v>379</v>
      </c>
      <c r="V1644" s="8"/>
      <c r="W1644" s="8"/>
      <c r="X1644" s="8"/>
      <c r="Y1644" s="8"/>
    </row>
    <row r="1645" spans="1:25" hidden="1" x14ac:dyDescent="0.25">
      <c r="A1645" s="273" t="s">
        <v>316</v>
      </c>
      <c r="B1645" s="251">
        <v>45818</v>
      </c>
      <c r="C1645" s="252" t="s">
        <v>828</v>
      </c>
      <c r="D1645" s="252"/>
      <c r="E1645" s="253">
        <v>121</v>
      </c>
      <c r="F1645" s="253">
        <v>0</v>
      </c>
      <c r="G1645" s="274">
        <f>Tabla3[[#This Row],[INGRESOS]]-Tabla3[[#This Row],[EGRESOS]]</f>
        <v>-121</v>
      </c>
      <c r="H1645" s="274">
        <v>17910477.629999999</v>
      </c>
      <c r="I1645" s="135">
        <v>1170</v>
      </c>
      <c r="J1645" s="136">
        <f>Tabla3[[#This Row],[EGRESOS]]/Tabla3[[#This Row],[TC]]</f>
        <v>0.10341880341880341</v>
      </c>
      <c r="K1645" s="136">
        <f>Tabla3[[#This Row],[INGRESOS]]/Tabla3[[#This Row],[TC]]</f>
        <v>0</v>
      </c>
      <c r="L1645" s="8" t="s">
        <v>376</v>
      </c>
      <c r="M1645" s="8" t="s">
        <v>377</v>
      </c>
      <c r="N1645" s="8" t="s">
        <v>20</v>
      </c>
      <c r="O1645" s="8" t="s">
        <v>184</v>
      </c>
      <c r="P1645" s="8" t="s">
        <v>185</v>
      </c>
      <c r="Q1645" s="8" t="s">
        <v>186</v>
      </c>
      <c r="R1645" s="8" t="s">
        <v>227</v>
      </c>
      <c r="S1645" s="8"/>
      <c r="T1645" s="8"/>
      <c r="U1645" s="8" t="s">
        <v>384</v>
      </c>
      <c r="V1645" s="8"/>
      <c r="W1645" s="8" t="s">
        <v>380</v>
      </c>
      <c r="X1645" s="8" t="s">
        <v>99</v>
      </c>
      <c r="Y1645" s="8" t="s">
        <v>23</v>
      </c>
    </row>
    <row r="1646" spans="1:25" hidden="1" x14ac:dyDescent="0.25">
      <c r="A1646" s="273" t="s">
        <v>318</v>
      </c>
      <c r="B1646" s="251">
        <v>45873</v>
      </c>
      <c r="C1646" s="252" t="s">
        <v>800</v>
      </c>
      <c r="D1646" s="252"/>
      <c r="E1646" s="253">
        <v>1200000</v>
      </c>
      <c r="F1646" s="253">
        <v>0</v>
      </c>
      <c r="G1646" s="274">
        <f>Tabla3[[#This Row],[INGRESOS]]-Tabla3[[#This Row],[EGRESOS]]</f>
        <v>-1200000</v>
      </c>
      <c r="H1646" s="274">
        <v>25919643.390000001</v>
      </c>
      <c r="I1646" s="135">
        <v>1290</v>
      </c>
      <c r="J1646" s="136">
        <f>Tabla3[[#This Row],[EGRESOS]]/Tabla3[[#This Row],[TC]]</f>
        <v>930.23255813953483</v>
      </c>
      <c r="K1646" s="136">
        <f>Tabla3[[#This Row],[INGRESOS]]/Tabla3[[#This Row],[TC]]</f>
        <v>0</v>
      </c>
      <c r="L1646" s="8" t="s">
        <v>376</v>
      </c>
      <c r="M1646" s="8" t="s">
        <v>377</v>
      </c>
      <c r="N1646" s="8" t="s">
        <v>20</v>
      </c>
      <c r="O1646" s="8" t="s">
        <v>184</v>
      </c>
      <c r="P1646" s="8" t="s">
        <v>203</v>
      </c>
      <c r="Q1646" s="8" t="s">
        <v>208</v>
      </c>
      <c r="R1646" s="8" t="s">
        <v>188</v>
      </c>
      <c r="S1646" s="8" t="s">
        <v>386</v>
      </c>
      <c r="T1646" s="8"/>
      <c r="U1646" s="8" t="s">
        <v>387</v>
      </c>
      <c r="V1646" s="8" t="s">
        <v>386</v>
      </c>
      <c r="W1646" s="8" t="s">
        <v>380</v>
      </c>
      <c r="X1646" s="8" t="s">
        <v>104</v>
      </c>
      <c r="Y1646" s="8" t="s">
        <v>23</v>
      </c>
    </row>
    <row r="1647" spans="1:25" hidden="1" x14ac:dyDescent="0.25">
      <c r="A1647" s="273" t="s">
        <v>316</v>
      </c>
      <c r="B1647" s="251">
        <v>45818</v>
      </c>
      <c r="C1647" s="252" t="s">
        <v>828</v>
      </c>
      <c r="D1647" s="252"/>
      <c r="E1647" s="253">
        <v>121</v>
      </c>
      <c r="F1647" s="253">
        <v>0</v>
      </c>
      <c r="G1647" s="274">
        <f>Tabla3[[#This Row],[INGRESOS]]-Tabla3[[#This Row],[EGRESOS]]</f>
        <v>-121</v>
      </c>
      <c r="H1647" s="274">
        <v>16910356.629999999</v>
      </c>
      <c r="I1647" s="135">
        <v>1170</v>
      </c>
      <c r="J1647" s="136">
        <f>Tabla3[[#This Row],[EGRESOS]]/Tabla3[[#This Row],[TC]]</f>
        <v>0.10341880341880341</v>
      </c>
      <c r="K1647" s="136">
        <f>Tabla3[[#This Row],[INGRESOS]]/Tabla3[[#This Row],[TC]]</f>
        <v>0</v>
      </c>
      <c r="L1647" s="8" t="s">
        <v>376</v>
      </c>
      <c r="M1647" s="8" t="s">
        <v>377</v>
      </c>
      <c r="N1647" s="8" t="s">
        <v>20</v>
      </c>
      <c r="O1647" s="8" t="s">
        <v>184</v>
      </c>
      <c r="P1647" s="8" t="s">
        <v>185</v>
      </c>
      <c r="Q1647" s="8" t="s">
        <v>186</v>
      </c>
      <c r="R1647" s="8" t="s">
        <v>227</v>
      </c>
      <c r="S1647" s="8"/>
      <c r="T1647" s="8"/>
      <c r="U1647" s="8" t="s">
        <v>384</v>
      </c>
      <c r="V1647" s="8"/>
      <c r="W1647" s="8" t="s">
        <v>380</v>
      </c>
      <c r="X1647" s="8" t="s">
        <v>99</v>
      </c>
      <c r="Y1647" s="8" t="s">
        <v>23</v>
      </c>
    </row>
    <row r="1648" spans="1:25" hidden="1" x14ac:dyDescent="0.25">
      <c r="A1648" s="273" t="s">
        <v>316</v>
      </c>
      <c r="B1648" s="251">
        <v>45818</v>
      </c>
      <c r="C1648" s="252" t="s">
        <v>800</v>
      </c>
      <c r="D1648" s="252"/>
      <c r="E1648" s="253">
        <v>480960</v>
      </c>
      <c r="F1648" s="253">
        <v>0</v>
      </c>
      <c r="G1648" s="274">
        <f>Tabla3[[#This Row],[INGRESOS]]-Tabla3[[#This Row],[EGRESOS]]</f>
        <v>-480960</v>
      </c>
      <c r="H1648" s="274">
        <v>16429396.630000001</v>
      </c>
      <c r="I1648" s="135">
        <v>1170</v>
      </c>
      <c r="J1648" s="136">
        <f>Tabla3[[#This Row],[EGRESOS]]/Tabla3[[#This Row],[TC]]</f>
        <v>411.07692307692309</v>
      </c>
      <c r="K1648" s="136">
        <f>Tabla3[[#This Row],[INGRESOS]]/Tabla3[[#This Row],[TC]]</f>
        <v>0</v>
      </c>
      <c r="L1648" s="8" t="s">
        <v>376</v>
      </c>
      <c r="M1648" s="8" t="s">
        <v>377</v>
      </c>
      <c r="N1648" s="8" t="s">
        <v>20</v>
      </c>
      <c r="O1648" s="8" t="s">
        <v>184</v>
      </c>
      <c r="P1648" s="8" t="s">
        <v>199</v>
      </c>
      <c r="Q1648" s="8" t="s">
        <v>201</v>
      </c>
      <c r="R1648" s="8" t="s">
        <v>988</v>
      </c>
      <c r="S1648" s="8" t="s">
        <v>392</v>
      </c>
      <c r="T1648" s="8"/>
      <c r="U1648" s="8" t="s">
        <v>390</v>
      </c>
      <c r="V1648" s="8"/>
      <c r="W1648" s="8" t="s">
        <v>380</v>
      </c>
      <c r="X1648" s="8" t="s">
        <v>99</v>
      </c>
      <c r="Y1648" s="8" t="s">
        <v>23</v>
      </c>
    </row>
    <row r="1649" spans="1:25" hidden="1" x14ac:dyDescent="0.25">
      <c r="A1649" s="273" t="s">
        <v>316</v>
      </c>
      <c r="B1649" s="251">
        <v>45818</v>
      </c>
      <c r="C1649" s="252" t="s">
        <v>828</v>
      </c>
      <c r="D1649" s="252"/>
      <c r="E1649" s="253">
        <v>121</v>
      </c>
      <c r="F1649" s="253">
        <v>0</v>
      </c>
      <c r="G1649" s="274">
        <f>Tabla3[[#This Row],[INGRESOS]]-Tabla3[[#This Row],[EGRESOS]]</f>
        <v>-121</v>
      </c>
      <c r="H1649" s="274">
        <v>16429275.630000001</v>
      </c>
      <c r="I1649" s="135">
        <v>1170</v>
      </c>
      <c r="J1649" s="136">
        <f>Tabla3[[#This Row],[EGRESOS]]/Tabla3[[#This Row],[TC]]</f>
        <v>0.10341880341880341</v>
      </c>
      <c r="K1649" s="136">
        <f>Tabla3[[#This Row],[INGRESOS]]/Tabla3[[#This Row],[TC]]</f>
        <v>0</v>
      </c>
      <c r="L1649" s="8" t="s">
        <v>376</v>
      </c>
      <c r="M1649" s="8" t="s">
        <v>377</v>
      </c>
      <c r="N1649" s="8" t="s">
        <v>20</v>
      </c>
      <c r="O1649" s="8" t="s">
        <v>184</v>
      </c>
      <c r="P1649" s="8" t="s">
        <v>185</v>
      </c>
      <c r="Q1649" s="8" t="s">
        <v>186</v>
      </c>
      <c r="R1649" s="8" t="s">
        <v>227</v>
      </c>
      <c r="S1649" s="8"/>
      <c r="T1649" s="8"/>
      <c r="U1649" s="8" t="s">
        <v>384</v>
      </c>
      <c r="V1649" s="8"/>
      <c r="W1649" s="8" t="s">
        <v>380</v>
      </c>
      <c r="X1649" s="8" t="s">
        <v>99</v>
      </c>
      <c r="Y1649" s="8" t="s">
        <v>23</v>
      </c>
    </row>
    <row r="1650" spans="1:25" hidden="1" x14ac:dyDescent="0.25">
      <c r="A1650" s="273" t="s">
        <v>316</v>
      </c>
      <c r="B1650" s="251">
        <v>45818</v>
      </c>
      <c r="C1650" s="252" t="s">
        <v>800</v>
      </c>
      <c r="D1650" s="252"/>
      <c r="E1650" s="253">
        <v>902358</v>
      </c>
      <c r="F1650" s="253">
        <v>0</v>
      </c>
      <c r="G1650" s="274">
        <f>Tabla3[[#This Row],[INGRESOS]]-Tabla3[[#This Row],[EGRESOS]]</f>
        <v>-902358</v>
      </c>
      <c r="H1650" s="274">
        <v>15526917.630000001</v>
      </c>
      <c r="I1650" s="135">
        <v>1170</v>
      </c>
      <c r="J1650" s="136">
        <f>Tabla3[[#This Row],[EGRESOS]]/Tabla3[[#This Row],[TC]]</f>
        <v>771.2461538461539</v>
      </c>
      <c r="K1650" s="136">
        <f>Tabla3[[#This Row],[INGRESOS]]/Tabla3[[#This Row],[TC]]</f>
        <v>0</v>
      </c>
      <c r="L1650" s="8" t="s">
        <v>376</v>
      </c>
      <c r="M1650" s="8" t="s">
        <v>377</v>
      </c>
      <c r="N1650" s="8" t="s">
        <v>20</v>
      </c>
      <c r="O1650" s="8" t="s">
        <v>184</v>
      </c>
      <c r="P1650" s="8" t="s">
        <v>210</v>
      </c>
      <c r="Q1650" s="8" t="s">
        <v>205</v>
      </c>
      <c r="R1650" s="8" t="s">
        <v>975</v>
      </c>
      <c r="S1650" s="8" t="s">
        <v>524</v>
      </c>
      <c r="T1650" s="8"/>
      <c r="U1650" s="8" t="s">
        <v>453</v>
      </c>
      <c r="V1650" s="8"/>
      <c r="W1650" s="8" t="s">
        <v>380</v>
      </c>
      <c r="X1650" s="8" t="s">
        <v>39</v>
      </c>
      <c r="Y1650" s="8" t="s">
        <v>23</v>
      </c>
    </row>
    <row r="1651" spans="1:25" hidden="1" x14ac:dyDescent="0.25">
      <c r="A1651" s="273" t="s">
        <v>316</v>
      </c>
      <c r="B1651" s="251">
        <v>45818</v>
      </c>
      <c r="C1651" s="252" t="s">
        <v>828</v>
      </c>
      <c r="D1651" s="252"/>
      <c r="E1651" s="253">
        <v>121</v>
      </c>
      <c r="F1651" s="253">
        <v>0</v>
      </c>
      <c r="G1651" s="274">
        <f>Tabla3[[#This Row],[INGRESOS]]-Tabla3[[#This Row],[EGRESOS]]</f>
        <v>-121</v>
      </c>
      <c r="H1651" s="274">
        <v>15526796.630000001</v>
      </c>
      <c r="I1651" s="135">
        <v>1170</v>
      </c>
      <c r="J1651" s="136">
        <f>Tabla3[[#This Row],[EGRESOS]]/Tabla3[[#This Row],[TC]]</f>
        <v>0.10341880341880341</v>
      </c>
      <c r="K1651" s="136">
        <f>Tabla3[[#This Row],[INGRESOS]]/Tabla3[[#This Row],[TC]]</f>
        <v>0</v>
      </c>
      <c r="L1651" s="8" t="s">
        <v>376</v>
      </c>
      <c r="M1651" s="8" t="s">
        <v>377</v>
      </c>
      <c r="N1651" s="8" t="s">
        <v>20</v>
      </c>
      <c r="O1651" s="8" t="s">
        <v>184</v>
      </c>
      <c r="P1651" s="8" t="s">
        <v>185</v>
      </c>
      <c r="Q1651" s="8" t="s">
        <v>186</v>
      </c>
      <c r="R1651" s="8" t="s">
        <v>227</v>
      </c>
      <c r="S1651" s="8"/>
      <c r="T1651" s="8"/>
      <c r="U1651" s="8" t="s">
        <v>384</v>
      </c>
      <c r="V1651" s="8"/>
      <c r="W1651" s="8" t="s">
        <v>380</v>
      </c>
      <c r="X1651" s="8" t="s">
        <v>99</v>
      </c>
      <c r="Y1651" s="8" t="s">
        <v>23</v>
      </c>
    </row>
    <row r="1652" spans="1:25" hidden="1" x14ac:dyDescent="0.25">
      <c r="A1652" s="273" t="s">
        <v>316</v>
      </c>
      <c r="B1652" s="251">
        <v>45818</v>
      </c>
      <c r="C1652" s="252" t="s">
        <v>800</v>
      </c>
      <c r="D1652" s="252"/>
      <c r="E1652" s="253">
        <v>2000000</v>
      </c>
      <c r="F1652" s="253">
        <v>0</v>
      </c>
      <c r="G1652" s="274">
        <f>Tabla3[[#This Row],[INGRESOS]]-Tabla3[[#This Row],[EGRESOS]]</f>
        <v>-2000000</v>
      </c>
      <c r="H1652" s="274">
        <v>13526796.630000001</v>
      </c>
      <c r="I1652" s="135">
        <v>1170</v>
      </c>
      <c r="J1652" s="136">
        <f>Tabla3[[#This Row],[EGRESOS]]/Tabla3[[#This Row],[TC]]</f>
        <v>1709.4017094017095</v>
      </c>
      <c r="K1652" s="136">
        <f>Tabla3[[#This Row],[INGRESOS]]/Tabla3[[#This Row],[TC]]</f>
        <v>0</v>
      </c>
      <c r="L1652" s="8" t="s">
        <v>376</v>
      </c>
      <c r="M1652" s="8" t="s">
        <v>377</v>
      </c>
      <c r="N1652" s="8" t="s">
        <v>20</v>
      </c>
      <c r="O1652" s="8" t="s">
        <v>184</v>
      </c>
      <c r="P1652" s="8" t="s">
        <v>203</v>
      </c>
      <c r="Q1652" s="8" t="s">
        <v>206</v>
      </c>
      <c r="R1652" s="8" t="s">
        <v>509</v>
      </c>
      <c r="S1652" s="8" t="s">
        <v>510</v>
      </c>
      <c r="T1652" s="8"/>
      <c r="U1652" s="8" t="s">
        <v>511</v>
      </c>
      <c r="V1652" s="8" t="s">
        <v>512</v>
      </c>
      <c r="W1652" s="8" t="s">
        <v>380</v>
      </c>
      <c r="X1652" s="8" t="s">
        <v>103</v>
      </c>
      <c r="Y1652" s="8" t="s">
        <v>23</v>
      </c>
    </row>
    <row r="1653" spans="1:25" hidden="1" x14ac:dyDescent="0.25">
      <c r="A1653" s="273" t="s">
        <v>316</v>
      </c>
      <c r="B1653" s="251">
        <v>45818</v>
      </c>
      <c r="C1653" s="252" t="s">
        <v>828</v>
      </c>
      <c r="D1653" s="252"/>
      <c r="E1653" s="253">
        <v>121</v>
      </c>
      <c r="F1653" s="253">
        <v>0</v>
      </c>
      <c r="G1653" s="274">
        <f>Tabla3[[#This Row],[INGRESOS]]-Tabla3[[#This Row],[EGRESOS]]</f>
        <v>-121</v>
      </c>
      <c r="H1653" s="274">
        <v>13526675.630000001</v>
      </c>
      <c r="I1653" s="135">
        <v>1170</v>
      </c>
      <c r="J1653" s="136">
        <f>Tabla3[[#This Row],[EGRESOS]]/Tabla3[[#This Row],[TC]]</f>
        <v>0.10341880341880341</v>
      </c>
      <c r="K1653" s="136">
        <f>Tabla3[[#This Row],[INGRESOS]]/Tabla3[[#This Row],[TC]]</f>
        <v>0</v>
      </c>
      <c r="L1653" s="8" t="s">
        <v>376</v>
      </c>
      <c r="M1653" s="8" t="s">
        <v>377</v>
      </c>
      <c r="N1653" s="8" t="s">
        <v>20</v>
      </c>
      <c r="O1653" s="8" t="s">
        <v>184</v>
      </c>
      <c r="P1653" s="8" t="s">
        <v>185</v>
      </c>
      <c r="Q1653" s="8" t="s">
        <v>186</v>
      </c>
      <c r="R1653" s="8" t="s">
        <v>227</v>
      </c>
      <c r="S1653" s="8"/>
      <c r="T1653" s="8"/>
      <c r="U1653" s="8" t="s">
        <v>384</v>
      </c>
      <c r="V1653" s="8"/>
      <c r="W1653" s="8" t="s">
        <v>380</v>
      </c>
      <c r="X1653" s="8" t="s">
        <v>99</v>
      </c>
      <c r="Y1653" s="8" t="s">
        <v>23</v>
      </c>
    </row>
    <row r="1654" spans="1:25" hidden="1" x14ac:dyDescent="0.25">
      <c r="A1654" s="247" t="s">
        <v>318</v>
      </c>
      <c r="B1654" s="248">
        <v>45873</v>
      </c>
      <c r="C1654" s="244" t="s">
        <v>1338</v>
      </c>
      <c r="D1654" s="244"/>
      <c r="E1654" s="249">
        <v>400000</v>
      </c>
      <c r="F1654" s="249">
        <v>0</v>
      </c>
      <c r="G1654" s="266">
        <f>Tabla3[[#This Row],[INGRESOS]]-Tabla3[[#This Row],[EGRESOS]]</f>
        <v>-400000</v>
      </c>
      <c r="H1654" s="135">
        <v>0</v>
      </c>
      <c r="I1654" s="119">
        <v>1290</v>
      </c>
      <c r="J1654" s="136">
        <f>Tabla3[[#This Row],[EGRESOS]]/Tabla3[[#This Row],[TC]]</f>
        <v>310.07751937984494</v>
      </c>
      <c r="K1654" s="136">
        <f>Tabla3[[#This Row],[INGRESOS]]/Tabla3[[#This Row],[TC]]</f>
        <v>0</v>
      </c>
      <c r="L1654" s="8" t="s">
        <v>1336</v>
      </c>
      <c r="M1654" s="8" t="s">
        <v>1336</v>
      </c>
      <c r="N1654" s="8" t="s">
        <v>1336</v>
      </c>
      <c r="O1654" s="7" t="s">
        <v>184</v>
      </c>
      <c r="P1654" s="7" t="s">
        <v>203</v>
      </c>
      <c r="Q1654" s="7" t="s">
        <v>205</v>
      </c>
      <c r="R1654" s="7" t="s">
        <v>1352</v>
      </c>
      <c r="S1654" s="7" t="s">
        <v>386</v>
      </c>
      <c r="T1654" s="7"/>
      <c r="U1654" s="7" t="s">
        <v>387</v>
      </c>
      <c r="V1654" s="7" t="s">
        <v>386</v>
      </c>
      <c r="W1654" s="7" t="s">
        <v>380</v>
      </c>
      <c r="X1654" s="7" t="s">
        <v>104</v>
      </c>
      <c r="Y1654" s="7" t="s">
        <v>23</v>
      </c>
    </row>
    <row r="1655" spans="1:25" hidden="1" x14ac:dyDescent="0.25">
      <c r="A1655" s="273" t="s">
        <v>316</v>
      </c>
      <c r="B1655" s="251">
        <v>45818</v>
      </c>
      <c r="C1655" s="252" t="s">
        <v>828</v>
      </c>
      <c r="D1655" s="252"/>
      <c r="E1655" s="253">
        <v>121</v>
      </c>
      <c r="F1655" s="253">
        <v>0</v>
      </c>
      <c r="G1655" s="274">
        <f>Tabla3[[#This Row],[INGRESOS]]-Tabla3[[#This Row],[EGRESOS]]</f>
        <v>-121</v>
      </c>
      <c r="H1655" s="274">
        <v>13026554.630000001</v>
      </c>
      <c r="I1655" s="135">
        <v>1170</v>
      </c>
      <c r="J1655" s="136">
        <f>Tabla3[[#This Row],[EGRESOS]]/Tabla3[[#This Row],[TC]]</f>
        <v>0.10341880341880341</v>
      </c>
      <c r="K1655" s="136">
        <f>Tabla3[[#This Row],[INGRESOS]]/Tabla3[[#This Row],[TC]]</f>
        <v>0</v>
      </c>
      <c r="L1655" s="8" t="s">
        <v>376</v>
      </c>
      <c r="M1655" s="8" t="s">
        <v>377</v>
      </c>
      <c r="N1655" s="8" t="s">
        <v>20</v>
      </c>
      <c r="O1655" s="8" t="s">
        <v>184</v>
      </c>
      <c r="P1655" s="8" t="s">
        <v>185</v>
      </c>
      <c r="Q1655" s="8" t="s">
        <v>186</v>
      </c>
      <c r="R1655" s="8" t="s">
        <v>227</v>
      </c>
      <c r="S1655" s="8"/>
      <c r="T1655" s="8"/>
      <c r="U1655" s="8" t="s">
        <v>384</v>
      </c>
      <c r="V1655" s="8"/>
      <c r="W1655" s="8" t="s">
        <v>380</v>
      </c>
      <c r="X1655" s="8" t="s">
        <v>99</v>
      </c>
      <c r="Y1655" s="8" t="s">
        <v>23</v>
      </c>
    </row>
    <row r="1656" spans="1:25" hidden="1" x14ac:dyDescent="0.25">
      <c r="A1656" s="273" t="s">
        <v>316</v>
      </c>
      <c r="B1656" s="251">
        <v>45818</v>
      </c>
      <c r="C1656" s="252" t="s">
        <v>800</v>
      </c>
      <c r="D1656" s="252"/>
      <c r="E1656" s="253">
        <v>200000</v>
      </c>
      <c r="F1656" s="253">
        <v>0</v>
      </c>
      <c r="G1656" s="274">
        <f>Tabla3[[#This Row],[INGRESOS]]-Tabla3[[#This Row],[EGRESOS]]</f>
        <v>-200000</v>
      </c>
      <c r="H1656" s="274">
        <v>12826554.630000001</v>
      </c>
      <c r="I1656" s="135">
        <v>1170</v>
      </c>
      <c r="J1656" s="136">
        <f>Tabla3[[#This Row],[EGRESOS]]/Tabla3[[#This Row],[TC]]</f>
        <v>170.94017094017093</v>
      </c>
      <c r="K1656" s="136">
        <f>Tabla3[[#This Row],[INGRESOS]]/Tabla3[[#This Row],[TC]]</f>
        <v>0</v>
      </c>
      <c r="L1656" s="8" t="s">
        <v>376</v>
      </c>
      <c r="M1656" s="8" t="s">
        <v>377</v>
      </c>
      <c r="N1656" s="8" t="s">
        <v>20</v>
      </c>
      <c r="O1656" s="8" t="s">
        <v>184</v>
      </c>
      <c r="P1656" s="8" t="s">
        <v>199</v>
      </c>
      <c r="Q1656" s="8" t="s">
        <v>201</v>
      </c>
      <c r="R1656" s="8" t="s">
        <v>989</v>
      </c>
      <c r="S1656" s="8" t="s">
        <v>392</v>
      </c>
      <c r="T1656" s="8"/>
      <c r="U1656" s="8" t="s">
        <v>390</v>
      </c>
      <c r="V1656" s="8"/>
      <c r="W1656" s="8" t="s">
        <v>380</v>
      </c>
      <c r="X1656" s="8" t="s">
        <v>99</v>
      </c>
      <c r="Y1656" s="8" t="s">
        <v>23</v>
      </c>
    </row>
    <row r="1657" spans="1:25" hidden="1" x14ac:dyDescent="0.25">
      <c r="A1657" s="273" t="s">
        <v>316</v>
      </c>
      <c r="B1657" s="251">
        <v>45818</v>
      </c>
      <c r="C1657" s="252" t="s">
        <v>760</v>
      </c>
      <c r="D1657" s="252"/>
      <c r="E1657" s="253">
        <v>30504.29</v>
      </c>
      <c r="F1657" s="253">
        <v>0</v>
      </c>
      <c r="G1657" s="274">
        <f>Tabla3[[#This Row],[INGRESOS]]-Tabla3[[#This Row],[EGRESOS]]</f>
        <v>-30504.29</v>
      </c>
      <c r="H1657" s="274">
        <v>12796050.34</v>
      </c>
      <c r="I1657" s="135">
        <v>1170</v>
      </c>
      <c r="J1657" s="136">
        <f>Tabla3[[#This Row],[EGRESOS]]/Tabla3[[#This Row],[TC]]</f>
        <v>26.072042735042736</v>
      </c>
      <c r="K1657" s="136">
        <f>Tabla3[[#This Row],[INGRESOS]]/Tabla3[[#This Row],[TC]]</f>
        <v>0</v>
      </c>
      <c r="L1657" s="8" t="s">
        <v>376</v>
      </c>
      <c r="M1657" s="8" t="s">
        <v>377</v>
      </c>
      <c r="N1657" s="8" t="s">
        <v>20</v>
      </c>
      <c r="O1657" s="8" t="s">
        <v>184</v>
      </c>
      <c r="P1657" s="8" t="s">
        <v>195</v>
      </c>
      <c r="Q1657" s="8" t="s">
        <v>196</v>
      </c>
      <c r="R1657" s="8" t="s">
        <v>394</v>
      </c>
      <c r="S1657" s="8" t="s">
        <v>383</v>
      </c>
      <c r="T1657" s="8"/>
      <c r="U1657" s="8" t="s">
        <v>384</v>
      </c>
      <c r="V1657" s="8"/>
      <c r="W1657" s="8" t="s">
        <v>380</v>
      </c>
      <c r="X1657" s="8" t="s">
        <v>99</v>
      </c>
      <c r="Y1657" s="8" t="s">
        <v>23</v>
      </c>
    </row>
    <row r="1658" spans="1:25" hidden="1" x14ac:dyDescent="0.25">
      <c r="A1658" s="273" t="s">
        <v>316</v>
      </c>
      <c r="B1658" s="251">
        <v>45819</v>
      </c>
      <c r="C1658" s="252" t="s">
        <v>782</v>
      </c>
      <c r="D1658" s="252" t="s">
        <v>990</v>
      </c>
      <c r="E1658" s="253">
        <v>991660.66</v>
      </c>
      <c r="F1658" s="253">
        <v>0</v>
      </c>
      <c r="G1658" s="274">
        <f>Tabla3[[#This Row],[INGRESOS]]-Tabla3[[#This Row],[EGRESOS]]</f>
        <v>-991660.66</v>
      </c>
      <c r="H1658" s="274">
        <v>11804389.68</v>
      </c>
      <c r="I1658" s="135">
        <v>1170</v>
      </c>
      <c r="J1658" s="136">
        <f>Tabla3[[#This Row],[EGRESOS]]/Tabla3[[#This Row],[TC]]</f>
        <v>847.57321367521365</v>
      </c>
      <c r="K1658" s="136">
        <f>Tabla3[[#This Row],[INGRESOS]]/Tabla3[[#This Row],[TC]]</f>
        <v>0</v>
      </c>
      <c r="L1658" s="8" t="s">
        <v>376</v>
      </c>
      <c r="M1658" s="8" t="s">
        <v>377</v>
      </c>
      <c r="N1658" s="8" t="s">
        <v>20</v>
      </c>
      <c r="O1658" s="8" t="s">
        <v>286</v>
      </c>
      <c r="P1658" s="8" t="s">
        <v>287</v>
      </c>
      <c r="Q1658" s="8" t="s">
        <v>288</v>
      </c>
      <c r="R1658" s="8" t="s">
        <v>143</v>
      </c>
      <c r="S1658" s="8" t="s">
        <v>637</v>
      </c>
      <c r="T1658" s="8" t="s">
        <v>991</v>
      </c>
      <c r="U1658" s="8" t="s">
        <v>412</v>
      </c>
      <c r="V1658" s="8"/>
      <c r="W1658" s="8" t="s">
        <v>380</v>
      </c>
      <c r="X1658" s="8" t="s">
        <v>29</v>
      </c>
      <c r="Y1658" s="8" t="s">
        <v>23</v>
      </c>
    </row>
    <row r="1659" spans="1:25" hidden="1" x14ac:dyDescent="0.25">
      <c r="A1659" s="273" t="s">
        <v>316</v>
      </c>
      <c r="B1659" s="251">
        <v>45819</v>
      </c>
      <c r="C1659" s="252" t="s">
        <v>828</v>
      </c>
      <c r="D1659" s="252"/>
      <c r="E1659" s="253">
        <v>121</v>
      </c>
      <c r="F1659" s="253">
        <v>0</v>
      </c>
      <c r="G1659" s="274">
        <f>Tabla3[[#This Row],[INGRESOS]]-Tabla3[[#This Row],[EGRESOS]]</f>
        <v>-121</v>
      </c>
      <c r="H1659" s="274">
        <v>11304268.68</v>
      </c>
      <c r="I1659" s="135">
        <v>1170</v>
      </c>
      <c r="J1659" s="136">
        <f>Tabla3[[#This Row],[EGRESOS]]/Tabla3[[#This Row],[TC]]</f>
        <v>0.10341880341880341</v>
      </c>
      <c r="K1659" s="136">
        <f>Tabla3[[#This Row],[INGRESOS]]/Tabla3[[#This Row],[TC]]</f>
        <v>0</v>
      </c>
      <c r="L1659" s="8" t="s">
        <v>376</v>
      </c>
      <c r="M1659" s="8" t="s">
        <v>377</v>
      </c>
      <c r="N1659" s="8" t="s">
        <v>20</v>
      </c>
      <c r="O1659" s="8" t="s">
        <v>184</v>
      </c>
      <c r="P1659" s="8" t="s">
        <v>185</v>
      </c>
      <c r="Q1659" s="8" t="s">
        <v>186</v>
      </c>
      <c r="R1659" s="8" t="s">
        <v>227</v>
      </c>
      <c r="S1659" s="8"/>
      <c r="T1659" s="8"/>
      <c r="U1659" s="8" t="s">
        <v>384</v>
      </c>
      <c r="V1659" s="8"/>
      <c r="W1659" s="8" t="s">
        <v>380</v>
      </c>
      <c r="X1659" s="8" t="s">
        <v>99</v>
      </c>
      <c r="Y1659" s="8" t="s">
        <v>23</v>
      </c>
    </row>
    <row r="1660" spans="1:25" hidden="1" x14ac:dyDescent="0.25">
      <c r="A1660" s="273" t="s">
        <v>316</v>
      </c>
      <c r="B1660" s="251">
        <v>45819</v>
      </c>
      <c r="C1660" s="252" t="s">
        <v>992</v>
      </c>
      <c r="D1660" s="252"/>
      <c r="E1660" s="253">
        <v>10000000</v>
      </c>
      <c r="F1660" s="253">
        <v>0</v>
      </c>
      <c r="G1660" s="274">
        <f>Tabla3[[#This Row],[INGRESOS]]-Tabla3[[#This Row],[EGRESOS]]</f>
        <v>-10000000</v>
      </c>
      <c r="H1660" s="274">
        <v>1304268.68</v>
      </c>
      <c r="I1660" s="135">
        <v>1170</v>
      </c>
      <c r="J1660" s="136">
        <f>Tabla3[[#This Row],[EGRESOS]]/Tabla3[[#This Row],[TC]]</f>
        <v>8547.0085470085469</v>
      </c>
      <c r="K1660" s="136">
        <f>Tabla3[[#This Row],[INGRESOS]]/Tabla3[[#This Row],[TC]]</f>
        <v>0</v>
      </c>
      <c r="L1660" s="8" t="s">
        <v>376</v>
      </c>
      <c r="M1660" s="8" t="s">
        <v>377</v>
      </c>
      <c r="N1660" s="8" t="s">
        <v>20</v>
      </c>
      <c r="O1660" s="8" t="s">
        <v>244</v>
      </c>
      <c r="P1660" s="8" t="s">
        <v>61</v>
      </c>
      <c r="Q1660" s="7" t="s">
        <v>274</v>
      </c>
      <c r="R1660" s="8" t="s">
        <v>993</v>
      </c>
      <c r="S1660" s="8" t="s">
        <v>994</v>
      </c>
      <c r="T1660" s="8"/>
      <c r="U1660" s="8" t="s">
        <v>995</v>
      </c>
      <c r="V1660" s="8"/>
      <c r="W1660" s="8" t="s">
        <v>380</v>
      </c>
      <c r="X1660" s="8" t="s">
        <v>61</v>
      </c>
      <c r="Y1660" s="8" t="s">
        <v>23</v>
      </c>
    </row>
    <row r="1661" spans="1:25" hidden="1" x14ac:dyDescent="0.25">
      <c r="A1661" s="273" t="s">
        <v>316</v>
      </c>
      <c r="B1661" s="251">
        <v>45819</v>
      </c>
      <c r="C1661" s="252" t="s">
        <v>760</v>
      </c>
      <c r="D1661" s="252"/>
      <c r="E1661" s="253">
        <v>8950.69</v>
      </c>
      <c r="F1661" s="253">
        <v>0</v>
      </c>
      <c r="G1661" s="274">
        <f>Tabla3[[#This Row],[INGRESOS]]-Tabla3[[#This Row],[EGRESOS]]</f>
        <v>-8950.69</v>
      </c>
      <c r="H1661" s="274">
        <v>1295317.99</v>
      </c>
      <c r="I1661" s="135">
        <v>1170</v>
      </c>
      <c r="J1661" s="136">
        <f>Tabla3[[#This Row],[EGRESOS]]/Tabla3[[#This Row],[TC]]</f>
        <v>7.6501623931623932</v>
      </c>
      <c r="K1661" s="136">
        <f>Tabla3[[#This Row],[INGRESOS]]/Tabla3[[#This Row],[TC]]</f>
        <v>0</v>
      </c>
      <c r="L1661" s="8" t="s">
        <v>376</v>
      </c>
      <c r="M1661" s="8" t="s">
        <v>377</v>
      </c>
      <c r="N1661" s="8" t="s">
        <v>20</v>
      </c>
      <c r="O1661" s="8" t="s">
        <v>184</v>
      </c>
      <c r="P1661" s="8" t="s">
        <v>195</v>
      </c>
      <c r="Q1661" s="8" t="s">
        <v>196</v>
      </c>
      <c r="R1661" s="8" t="s">
        <v>394</v>
      </c>
      <c r="S1661" s="8" t="s">
        <v>383</v>
      </c>
      <c r="T1661" s="8"/>
      <c r="U1661" s="8" t="s">
        <v>384</v>
      </c>
      <c r="V1661" s="8"/>
      <c r="W1661" s="8" t="s">
        <v>380</v>
      </c>
      <c r="X1661" s="8" t="s">
        <v>99</v>
      </c>
      <c r="Y1661" s="8" t="s">
        <v>23</v>
      </c>
    </row>
    <row r="1662" spans="1:25" hidden="1" x14ac:dyDescent="0.25">
      <c r="A1662" s="273" t="s">
        <v>316</v>
      </c>
      <c r="B1662" s="251">
        <v>45819</v>
      </c>
      <c r="C1662" s="252" t="s">
        <v>800</v>
      </c>
      <c r="D1662" s="252"/>
      <c r="E1662" s="253">
        <v>500000</v>
      </c>
      <c r="F1662" s="253">
        <v>0</v>
      </c>
      <c r="G1662" s="274">
        <f>Tabla3[[#This Row],[INGRESOS]]-Tabla3[[#This Row],[EGRESOS]]</f>
        <v>-500000</v>
      </c>
      <c r="H1662" s="274">
        <v>11304389.68</v>
      </c>
      <c r="I1662" s="135">
        <v>1170</v>
      </c>
      <c r="J1662" s="136">
        <f>Tabla3[[#This Row],[EGRESOS]]/Tabla3[[#This Row],[TC]]</f>
        <v>427.35042735042737</v>
      </c>
      <c r="K1662" s="136">
        <f>Tabla3[[#This Row],[INGRESOS]]/Tabla3[[#This Row],[TC]]</f>
        <v>0</v>
      </c>
      <c r="L1662" s="8" t="s">
        <v>376</v>
      </c>
      <c r="M1662" s="8" t="s">
        <v>377</v>
      </c>
      <c r="N1662" s="8" t="s">
        <v>20</v>
      </c>
      <c r="O1662" s="8" t="s">
        <v>184</v>
      </c>
      <c r="P1662" s="8" t="s">
        <v>203</v>
      </c>
      <c r="Q1662" s="8" t="s">
        <v>208</v>
      </c>
      <c r="R1662" s="8" t="s">
        <v>984</v>
      </c>
      <c r="S1662" s="8" t="s">
        <v>414</v>
      </c>
      <c r="T1662" s="8"/>
      <c r="U1662" s="8" t="s">
        <v>530</v>
      </c>
      <c r="V1662" s="8" t="s">
        <v>415</v>
      </c>
      <c r="W1662" s="8" t="s">
        <v>380</v>
      </c>
      <c r="X1662" s="8" t="s">
        <v>102</v>
      </c>
      <c r="Y1662" s="8" t="s">
        <v>23</v>
      </c>
    </row>
    <row r="1663" spans="1:25" hidden="1" x14ac:dyDescent="0.25">
      <c r="A1663" s="273" t="s">
        <v>316</v>
      </c>
      <c r="B1663" s="251">
        <v>45820</v>
      </c>
      <c r="C1663" s="252" t="s">
        <v>934</v>
      </c>
      <c r="D1663" s="252"/>
      <c r="E1663" s="253">
        <v>0</v>
      </c>
      <c r="F1663" s="253">
        <v>41315677.57</v>
      </c>
      <c r="G1663" s="274">
        <f>Tabla3[[#This Row],[INGRESOS]]-Tabla3[[#This Row],[EGRESOS]]</f>
        <v>41315677.57</v>
      </c>
      <c r="H1663" s="274">
        <v>42610995.560000002</v>
      </c>
      <c r="I1663" s="135">
        <v>1170</v>
      </c>
      <c r="J1663" s="136">
        <f>Tabla3[[#This Row],[EGRESOS]]/Tabla3[[#This Row],[TC]]</f>
        <v>0</v>
      </c>
      <c r="K1663" s="136">
        <f>Tabla3[[#This Row],[INGRESOS]]/Tabla3[[#This Row],[TC]]</f>
        <v>35312.544931623932</v>
      </c>
      <c r="L1663" s="8" t="s">
        <v>376</v>
      </c>
      <c r="M1663" s="8" t="s">
        <v>377</v>
      </c>
      <c r="N1663" s="8" t="s">
        <v>20</v>
      </c>
      <c r="O1663" s="8" t="s">
        <v>215</v>
      </c>
      <c r="P1663" s="8" t="s">
        <v>216</v>
      </c>
      <c r="Q1663" s="8" t="s">
        <v>220</v>
      </c>
      <c r="R1663" s="8" t="s">
        <v>929</v>
      </c>
      <c r="S1663" s="8" t="s">
        <v>935</v>
      </c>
      <c r="T1663" s="8"/>
      <c r="U1663" s="8" t="s">
        <v>516</v>
      </c>
      <c r="V1663" s="8"/>
      <c r="W1663" s="8" t="s">
        <v>380</v>
      </c>
      <c r="X1663" s="8" t="s">
        <v>23</v>
      </c>
      <c r="Y1663" s="8" t="s">
        <v>97</v>
      </c>
    </row>
    <row r="1664" spans="1:25" hidden="1" x14ac:dyDescent="0.25">
      <c r="A1664" s="273" t="s">
        <v>316</v>
      </c>
      <c r="B1664" s="251">
        <v>45820</v>
      </c>
      <c r="C1664" s="252" t="s">
        <v>404</v>
      </c>
      <c r="D1664" s="252"/>
      <c r="E1664" s="253">
        <v>10000000</v>
      </c>
      <c r="F1664" s="253">
        <v>0</v>
      </c>
      <c r="G1664" s="274">
        <f>Tabla3[[#This Row],[INGRESOS]]-Tabla3[[#This Row],[EGRESOS]]</f>
        <v>-10000000</v>
      </c>
      <c r="H1664" s="274">
        <v>32610995.559999999</v>
      </c>
      <c r="I1664" s="135">
        <v>1170</v>
      </c>
      <c r="J1664" s="136">
        <f>Tabla3[[#This Row],[EGRESOS]]/Tabla3[[#This Row],[TC]]</f>
        <v>8547.0085470085469</v>
      </c>
      <c r="K1664" s="136">
        <f>Tabla3[[#This Row],[INGRESOS]]/Tabla3[[#This Row],[TC]]</f>
        <v>0</v>
      </c>
      <c r="L1664" s="8" t="s">
        <v>376</v>
      </c>
      <c r="M1664" s="8" t="s">
        <v>377</v>
      </c>
      <c r="N1664" s="8" t="s">
        <v>20</v>
      </c>
      <c r="O1664" s="8" t="s">
        <v>244</v>
      </c>
      <c r="P1664" s="8" t="s">
        <v>259</v>
      </c>
      <c r="Q1664" s="8" t="s">
        <v>260</v>
      </c>
      <c r="R1664" s="8" t="s">
        <v>996</v>
      </c>
      <c r="S1664" s="8" t="s">
        <v>456</v>
      </c>
      <c r="T1664" s="8"/>
      <c r="U1664" s="8" t="s">
        <v>379</v>
      </c>
      <c r="V1664" s="8"/>
      <c r="W1664" s="8" t="s">
        <v>380</v>
      </c>
      <c r="X1664" s="8"/>
      <c r="Y1664" s="8"/>
    </row>
    <row r="1665" spans="1:25" hidden="1" x14ac:dyDescent="0.25">
      <c r="A1665" s="273" t="s">
        <v>316</v>
      </c>
      <c r="B1665" s="251">
        <v>45820</v>
      </c>
      <c r="C1665" s="252" t="s">
        <v>828</v>
      </c>
      <c r="D1665" s="252"/>
      <c r="E1665" s="253">
        <v>121</v>
      </c>
      <c r="F1665" s="253">
        <v>0</v>
      </c>
      <c r="G1665" s="274">
        <f>Tabla3[[#This Row],[INGRESOS]]-Tabla3[[#This Row],[EGRESOS]]</f>
        <v>-121</v>
      </c>
      <c r="H1665" s="274">
        <v>32610874.559999999</v>
      </c>
      <c r="I1665" s="135">
        <v>1170</v>
      </c>
      <c r="J1665" s="136">
        <f>Tabla3[[#This Row],[EGRESOS]]/Tabla3[[#This Row],[TC]]</f>
        <v>0.10341880341880341</v>
      </c>
      <c r="K1665" s="136">
        <f>Tabla3[[#This Row],[INGRESOS]]/Tabla3[[#This Row],[TC]]</f>
        <v>0</v>
      </c>
      <c r="L1665" s="8" t="s">
        <v>376</v>
      </c>
      <c r="M1665" s="8" t="s">
        <v>377</v>
      </c>
      <c r="N1665" s="8" t="s">
        <v>20</v>
      </c>
      <c r="O1665" s="8" t="s">
        <v>184</v>
      </c>
      <c r="P1665" s="8" t="s">
        <v>185</v>
      </c>
      <c r="Q1665" s="8" t="s">
        <v>186</v>
      </c>
      <c r="R1665" s="8" t="s">
        <v>227</v>
      </c>
      <c r="S1665" s="8"/>
      <c r="T1665" s="8"/>
      <c r="U1665" s="8" t="s">
        <v>384</v>
      </c>
      <c r="V1665" s="8"/>
      <c r="W1665" s="8" t="s">
        <v>380</v>
      </c>
      <c r="X1665" s="8" t="s">
        <v>99</v>
      </c>
      <c r="Y1665" s="8" t="s">
        <v>23</v>
      </c>
    </row>
    <row r="1666" spans="1:25" hidden="1" x14ac:dyDescent="0.25">
      <c r="A1666" s="273" t="s">
        <v>316</v>
      </c>
      <c r="B1666" s="251">
        <v>45820</v>
      </c>
      <c r="C1666" s="252" t="s">
        <v>404</v>
      </c>
      <c r="D1666" s="252"/>
      <c r="E1666" s="253">
        <v>7020000</v>
      </c>
      <c r="F1666" s="253">
        <v>0</v>
      </c>
      <c r="G1666" s="274">
        <f>Tabla3[[#This Row],[INGRESOS]]-Tabla3[[#This Row],[EGRESOS]]</f>
        <v>-7020000</v>
      </c>
      <c r="H1666" s="274">
        <v>25590874.559999999</v>
      </c>
      <c r="I1666" s="135">
        <v>1170</v>
      </c>
      <c r="J1666" s="136">
        <f>Tabla3[[#This Row],[EGRESOS]]/Tabla3[[#This Row],[TC]]</f>
        <v>6000</v>
      </c>
      <c r="K1666" s="136">
        <f>Tabla3[[#This Row],[INGRESOS]]/Tabla3[[#This Row],[TC]]</f>
        <v>0</v>
      </c>
      <c r="L1666" s="8" t="s">
        <v>376</v>
      </c>
      <c r="M1666" s="8" t="s">
        <v>377</v>
      </c>
      <c r="N1666" s="8" t="s">
        <v>20</v>
      </c>
      <c r="O1666" s="8" t="s">
        <v>244</v>
      </c>
      <c r="P1666" s="8" t="s">
        <v>259</v>
      </c>
      <c r="Q1666" s="8" t="s">
        <v>260</v>
      </c>
      <c r="R1666" s="8" t="s">
        <v>996</v>
      </c>
      <c r="S1666" s="8" t="s">
        <v>606</v>
      </c>
      <c r="T1666" s="8"/>
      <c r="U1666" s="8" t="s">
        <v>379</v>
      </c>
      <c r="V1666" s="8"/>
      <c r="W1666" s="8" t="s">
        <v>380</v>
      </c>
      <c r="X1666" s="8"/>
      <c r="Y1666" s="8"/>
    </row>
    <row r="1667" spans="1:25" hidden="1" x14ac:dyDescent="0.25">
      <c r="A1667" s="273" t="s">
        <v>316</v>
      </c>
      <c r="B1667" s="251">
        <v>45820</v>
      </c>
      <c r="C1667" s="252" t="s">
        <v>828</v>
      </c>
      <c r="D1667" s="252"/>
      <c r="E1667" s="253">
        <v>121</v>
      </c>
      <c r="F1667" s="253">
        <v>0</v>
      </c>
      <c r="G1667" s="274">
        <f>Tabla3[[#This Row],[INGRESOS]]-Tabla3[[#This Row],[EGRESOS]]</f>
        <v>-121</v>
      </c>
      <c r="H1667" s="274">
        <v>25590753.559999999</v>
      </c>
      <c r="I1667" s="135">
        <v>1170</v>
      </c>
      <c r="J1667" s="136">
        <f>Tabla3[[#This Row],[EGRESOS]]/Tabla3[[#This Row],[TC]]</f>
        <v>0.10341880341880341</v>
      </c>
      <c r="K1667" s="136">
        <f>Tabla3[[#This Row],[INGRESOS]]/Tabla3[[#This Row],[TC]]</f>
        <v>0</v>
      </c>
      <c r="L1667" s="8" t="s">
        <v>376</v>
      </c>
      <c r="M1667" s="8" t="s">
        <v>377</v>
      </c>
      <c r="N1667" s="8" t="s">
        <v>20</v>
      </c>
      <c r="O1667" s="8" t="s">
        <v>184</v>
      </c>
      <c r="P1667" s="8" t="s">
        <v>185</v>
      </c>
      <c r="Q1667" s="8" t="s">
        <v>186</v>
      </c>
      <c r="R1667" s="8" t="s">
        <v>227</v>
      </c>
      <c r="S1667" s="8"/>
      <c r="T1667" s="8"/>
      <c r="U1667" s="8" t="s">
        <v>384</v>
      </c>
      <c r="V1667" s="8"/>
      <c r="W1667" s="8" t="s">
        <v>380</v>
      </c>
      <c r="X1667" s="8" t="s">
        <v>99</v>
      </c>
      <c r="Y1667" s="8" t="s">
        <v>23</v>
      </c>
    </row>
    <row r="1668" spans="1:25" hidden="1" x14ac:dyDescent="0.25">
      <c r="A1668" s="273" t="s">
        <v>316</v>
      </c>
      <c r="B1668" s="251">
        <v>45820</v>
      </c>
      <c r="C1668" s="252" t="s">
        <v>404</v>
      </c>
      <c r="D1668" s="252"/>
      <c r="E1668" s="253">
        <v>3000000</v>
      </c>
      <c r="F1668" s="253">
        <v>0</v>
      </c>
      <c r="G1668" s="274">
        <f>Tabla3[[#This Row],[INGRESOS]]-Tabla3[[#This Row],[EGRESOS]]</f>
        <v>-3000000</v>
      </c>
      <c r="H1668" s="274">
        <v>22590753.559999999</v>
      </c>
      <c r="I1668" s="135">
        <v>1170</v>
      </c>
      <c r="J1668" s="136">
        <f>Tabla3[[#This Row],[EGRESOS]]/Tabla3[[#This Row],[TC]]</f>
        <v>2564.102564102564</v>
      </c>
      <c r="K1668" s="136">
        <f>Tabla3[[#This Row],[INGRESOS]]/Tabla3[[#This Row],[TC]]</f>
        <v>0</v>
      </c>
      <c r="L1668" s="8" t="s">
        <v>376</v>
      </c>
      <c r="M1668" s="8" t="s">
        <v>377</v>
      </c>
      <c r="N1668" s="8" t="s">
        <v>20</v>
      </c>
      <c r="O1668" s="8" t="s">
        <v>244</v>
      </c>
      <c r="P1668" s="8" t="s">
        <v>259</v>
      </c>
      <c r="Q1668" s="8" t="s">
        <v>260</v>
      </c>
      <c r="R1668" s="8" t="s">
        <v>996</v>
      </c>
      <c r="S1668" s="8" t="s">
        <v>494</v>
      </c>
      <c r="T1668" s="8"/>
      <c r="U1668" s="8" t="s">
        <v>379</v>
      </c>
      <c r="V1668" s="8"/>
      <c r="W1668" s="8" t="s">
        <v>380</v>
      </c>
      <c r="X1668" s="8"/>
      <c r="Y1668" s="8"/>
    </row>
    <row r="1669" spans="1:25" hidden="1" x14ac:dyDescent="0.25">
      <c r="A1669" s="273" t="s">
        <v>316</v>
      </c>
      <c r="B1669" s="251">
        <v>45820</v>
      </c>
      <c r="C1669" s="252" t="s">
        <v>828</v>
      </c>
      <c r="D1669" s="252"/>
      <c r="E1669" s="253">
        <v>121</v>
      </c>
      <c r="F1669" s="253">
        <v>0</v>
      </c>
      <c r="G1669" s="274">
        <f>Tabla3[[#This Row],[INGRESOS]]-Tabla3[[#This Row],[EGRESOS]]</f>
        <v>-121</v>
      </c>
      <c r="H1669" s="274">
        <v>22590632.559999999</v>
      </c>
      <c r="I1669" s="135">
        <v>1170</v>
      </c>
      <c r="J1669" s="136">
        <f>Tabla3[[#This Row],[EGRESOS]]/Tabla3[[#This Row],[TC]]</f>
        <v>0.10341880341880341</v>
      </c>
      <c r="K1669" s="136">
        <f>Tabla3[[#This Row],[INGRESOS]]/Tabla3[[#This Row],[TC]]</f>
        <v>0</v>
      </c>
      <c r="L1669" s="8" t="s">
        <v>376</v>
      </c>
      <c r="M1669" s="8" t="s">
        <v>377</v>
      </c>
      <c r="N1669" s="8" t="s">
        <v>20</v>
      </c>
      <c r="O1669" s="8" t="s">
        <v>184</v>
      </c>
      <c r="P1669" s="8" t="s">
        <v>185</v>
      </c>
      <c r="Q1669" s="8" t="s">
        <v>186</v>
      </c>
      <c r="R1669" s="8" t="s">
        <v>227</v>
      </c>
      <c r="S1669" s="8"/>
      <c r="T1669" s="8"/>
      <c r="U1669" s="8" t="s">
        <v>384</v>
      </c>
      <c r="V1669" s="8"/>
      <c r="W1669" s="8" t="s">
        <v>380</v>
      </c>
      <c r="X1669" s="8" t="s">
        <v>99</v>
      </c>
      <c r="Y1669" s="8" t="s">
        <v>23</v>
      </c>
    </row>
    <row r="1670" spans="1:25" hidden="1" x14ac:dyDescent="0.25">
      <c r="A1670" s="273" t="s">
        <v>316</v>
      </c>
      <c r="B1670" s="251">
        <v>45820</v>
      </c>
      <c r="C1670" s="252" t="s">
        <v>800</v>
      </c>
      <c r="D1670" s="252"/>
      <c r="E1670" s="253">
        <v>53892</v>
      </c>
      <c r="F1670" s="253">
        <v>0</v>
      </c>
      <c r="G1670" s="274">
        <f>Tabla3[[#This Row],[INGRESOS]]-Tabla3[[#This Row],[EGRESOS]]</f>
        <v>-53892</v>
      </c>
      <c r="H1670" s="274">
        <v>20467669.359999999</v>
      </c>
      <c r="I1670" s="135">
        <v>1170</v>
      </c>
      <c r="J1670" s="136">
        <f>Tabla3[[#This Row],[EGRESOS]]/Tabla3[[#This Row],[TC]]</f>
        <v>46.061538461538461</v>
      </c>
      <c r="K1670" s="136">
        <f>Tabla3[[#This Row],[INGRESOS]]/Tabla3[[#This Row],[TC]]</f>
        <v>0</v>
      </c>
      <c r="L1670" s="8" t="s">
        <v>376</v>
      </c>
      <c r="M1670" s="8" t="s">
        <v>377</v>
      </c>
      <c r="N1670" s="8" t="s">
        <v>20</v>
      </c>
      <c r="O1670" s="8" t="s">
        <v>286</v>
      </c>
      <c r="P1670" s="8" t="s">
        <v>287</v>
      </c>
      <c r="Q1670" s="8" t="s">
        <v>290</v>
      </c>
      <c r="R1670" s="8" t="s">
        <v>143</v>
      </c>
      <c r="S1670" s="8" t="s">
        <v>682</v>
      </c>
      <c r="T1670" s="8"/>
      <c r="U1670" s="8" t="s">
        <v>412</v>
      </c>
      <c r="V1670" s="8"/>
      <c r="W1670" s="8" t="s">
        <v>380</v>
      </c>
      <c r="X1670" s="8" t="s">
        <v>29</v>
      </c>
      <c r="Y1670" s="8" t="s">
        <v>23</v>
      </c>
    </row>
    <row r="1671" spans="1:25" hidden="1" x14ac:dyDescent="0.25">
      <c r="A1671" s="273" t="s">
        <v>316</v>
      </c>
      <c r="B1671" s="251">
        <v>45820</v>
      </c>
      <c r="C1671" s="252" t="s">
        <v>800</v>
      </c>
      <c r="D1671" s="252"/>
      <c r="E1671" s="253">
        <v>800000</v>
      </c>
      <c r="F1671" s="253">
        <v>0</v>
      </c>
      <c r="G1671" s="274">
        <f>Tabla3[[#This Row],[INGRESOS]]-Tabla3[[#This Row],[EGRESOS]]</f>
        <v>-800000</v>
      </c>
      <c r="H1671" s="274">
        <v>18344706.16</v>
      </c>
      <c r="I1671" s="135">
        <v>1170</v>
      </c>
      <c r="J1671" s="136">
        <f>Tabla3[[#This Row],[EGRESOS]]/Tabla3[[#This Row],[TC]]</f>
        <v>683.76068376068372</v>
      </c>
      <c r="K1671" s="136">
        <f>Tabla3[[#This Row],[INGRESOS]]/Tabla3[[#This Row],[TC]]</f>
        <v>0</v>
      </c>
      <c r="L1671" s="8" t="s">
        <v>376</v>
      </c>
      <c r="M1671" s="8" t="s">
        <v>377</v>
      </c>
      <c r="N1671" s="8" t="s">
        <v>20</v>
      </c>
      <c r="O1671" s="8" t="s">
        <v>184</v>
      </c>
      <c r="P1671" s="8" t="s">
        <v>199</v>
      </c>
      <c r="Q1671" s="8" t="s">
        <v>201</v>
      </c>
      <c r="R1671" s="8" t="s">
        <v>988</v>
      </c>
      <c r="S1671" s="8" t="s">
        <v>389</v>
      </c>
      <c r="T1671" s="8"/>
      <c r="U1671" s="8" t="s">
        <v>390</v>
      </c>
      <c r="V1671" s="8"/>
      <c r="W1671" s="8" t="s">
        <v>380</v>
      </c>
      <c r="X1671" s="8" t="s">
        <v>99</v>
      </c>
      <c r="Y1671" s="8" t="s">
        <v>23</v>
      </c>
    </row>
    <row r="1672" spans="1:25" hidden="1" x14ac:dyDescent="0.25">
      <c r="A1672" s="273" t="s">
        <v>316</v>
      </c>
      <c r="B1672" s="251">
        <v>45820</v>
      </c>
      <c r="C1672" s="252" t="s">
        <v>800</v>
      </c>
      <c r="D1672" s="252"/>
      <c r="E1672" s="253">
        <v>1269170</v>
      </c>
      <c r="F1672" s="253">
        <v>0</v>
      </c>
      <c r="G1672" s="274">
        <f>Tabla3[[#This Row],[INGRESOS]]-Tabla3[[#This Row],[EGRESOS]]</f>
        <v>-1269170</v>
      </c>
      <c r="H1672" s="274">
        <v>16221742.960000001</v>
      </c>
      <c r="I1672" s="135">
        <v>1170</v>
      </c>
      <c r="J1672" s="136">
        <f>Tabla3[[#This Row],[EGRESOS]]/Tabla3[[#This Row],[TC]]</f>
        <v>1084.7606837606838</v>
      </c>
      <c r="K1672" s="136">
        <f>Tabla3[[#This Row],[INGRESOS]]/Tabla3[[#This Row],[TC]]</f>
        <v>0</v>
      </c>
      <c r="L1672" s="8" t="s">
        <v>376</v>
      </c>
      <c r="M1672" s="8" t="s">
        <v>377</v>
      </c>
      <c r="N1672" s="8" t="s">
        <v>20</v>
      </c>
      <c r="O1672" s="8" t="s">
        <v>184</v>
      </c>
      <c r="P1672" s="8" t="s">
        <v>195</v>
      </c>
      <c r="Q1672" s="8" t="s">
        <v>196</v>
      </c>
      <c r="R1672" s="8" t="s">
        <v>997</v>
      </c>
      <c r="S1672" s="8" t="s">
        <v>69</v>
      </c>
      <c r="T1672" s="8"/>
      <c r="U1672" s="8" t="s">
        <v>825</v>
      </c>
      <c r="V1672" s="8"/>
      <c r="W1672" s="8" t="s">
        <v>380</v>
      </c>
      <c r="X1672" s="8" t="s">
        <v>99</v>
      </c>
      <c r="Y1672" s="8" t="s">
        <v>23</v>
      </c>
    </row>
    <row r="1673" spans="1:25" hidden="1" x14ac:dyDescent="0.25">
      <c r="A1673" s="273" t="s">
        <v>316</v>
      </c>
      <c r="B1673" s="251">
        <v>45820</v>
      </c>
      <c r="C1673" s="252" t="s">
        <v>828</v>
      </c>
      <c r="D1673" s="252"/>
      <c r="E1673" s="253">
        <v>121</v>
      </c>
      <c r="F1673" s="253">
        <v>0</v>
      </c>
      <c r="G1673" s="274">
        <f>Tabla3[[#This Row],[INGRESOS]]-Tabla3[[#This Row],[EGRESOS]]</f>
        <v>-121</v>
      </c>
      <c r="H1673" s="274">
        <v>20467548.359999999</v>
      </c>
      <c r="I1673" s="135">
        <v>1170</v>
      </c>
      <c r="J1673" s="136">
        <f>Tabla3[[#This Row],[EGRESOS]]/Tabla3[[#This Row],[TC]]</f>
        <v>0.10341880341880341</v>
      </c>
      <c r="K1673" s="136">
        <f>Tabla3[[#This Row],[INGRESOS]]/Tabla3[[#This Row],[TC]]</f>
        <v>0</v>
      </c>
      <c r="L1673" s="8" t="s">
        <v>376</v>
      </c>
      <c r="M1673" s="8" t="s">
        <v>377</v>
      </c>
      <c r="N1673" s="8" t="s">
        <v>20</v>
      </c>
      <c r="O1673" s="8" t="s">
        <v>184</v>
      </c>
      <c r="P1673" s="8" t="s">
        <v>185</v>
      </c>
      <c r="Q1673" s="8" t="s">
        <v>186</v>
      </c>
      <c r="R1673" s="8" t="s">
        <v>227</v>
      </c>
      <c r="S1673" s="8"/>
      <c r="T1673" s="8"/>
      <c r="U1673" s="8" t="s">
        <v>384</v>
      </c>
      <c r="V1673" s="8"/>
      <c r="W1673" s="8" t="s">
        <v>380</v>
      </c>
      <c r="X1673" s="8" t="s">
        <v>99</v>
      </c>
      <c r="Y1673" s="8" t="s">
        <v>23</v>
      </c>
    </row>
    <row r="1674" spans="1:25" hidden="1" x14ac:dyDescent="0.25">
      <c r="A1674" s="273" t="s">
        <v>316</v>
      </c>
      <c r="B1674" s="251">
        <v>45820</v>
      </c>
      <c r="C1674" s="252" t="s">
        <v>998</v>
      </c>
      <c r="D1674" s="252"/>
      <c r="E1674" s="253">
        <v>24634929.239999998</v>
      </c>
      <c r="F1674" s="253">
        <v>0</v>
      </c>
      <c r="G1674" s="274">
        <f>Tabla3[[#This Row],[INGRESOS]]-Tabla3[[#This Row],[EGRESOS]]</f>
        <v>-24634929.239999998</v>
      </c>
      <c r="H1674" s="274">
        <v>-4167380.88</v>
      </c>
      <c r="I1674" s="135">
        <v>1170</v>
      </c>
      <c r="J1674" s="136">
        <f>Tabla3[[#This Row],[EGRESOS]]/Tabla3[[#This Row],[TC]]</f>
        <v>21055.495076923075</v>
      </c>
      <c r="K1674" s="136">
        <f>Tabla3[[#This Row],[INGRESOS]]/Tabla3[[#This Row],[TC]]</f>
        <v>0</v>
      </c>
      <c r="L1674" s="8" t="s">
        <v>376</v>
      </c>
      <c r="M1674" s="8" t="s">
        <v>377</v>
      </c>
      <c r="N1674" s="8" t="s">
        <v>20</v>
      </c>
      <c r="O1674" s="8" t="s">
        <v>244</v>
      </c>
      <c r="P1674" s="8" t="s">
        <v>38</v>
      </c>
      <c r="Q1674" s="8" t="s">
        <v>254</v>
      </c>
      <c r="R1674" s="8" t="s">
        <v>999</v>
      </c>
      <c r="S1674" s="8" t="s">
        <v>994</v>
      </c>
      <c r="T1674" s="8"/>
      <c r="U1674" s="8" t="s">
        <v>1000</v>
      </c>
      <c r="V1674" s="8"/>
      <c r="W1674" s="8" t="s">
        <v>380</v>
      </c>
      <c r="X1674" s="8" t="s">
        <v>85</v>
      </c>
      <c r="Y1674" s="8" t="s">
        <v>23</v>
      </c>
    </row>
    <row r="1675" spans="1:25" hidden="1" x14ac:dyDescent="0.25">
      <c r="A1675" s="273" t="s">
        <v>316</v>
      </c>
      <c r="B1675" s="251">
        <v>45820</v>
      </c>
      <c r="C1675" s="252" t="s">
        <v>760</v>
      </c>
      <c r="D1675" s="252"/>
      <c r="E1675" s="253">
        <v>247894.07</v>
      </c>
      <c r="F1675" s="253">
        <v>0</v>
      </c>
      <c r="G1675" s="274">
        <f>Tabla3[[#This Row],[INGRESOS]]-Tabla3[[#This Row],[EGRESOS]]</f>
        <v>-247894.07</v>
      </c>
      <c r="H1675" s="274">
        <v>-4415274.95</v>
      </c>
      <c r="I1675" s="135">
        <v>1170</v>
      </c>
      <c r="J1675" s="136">
        <f>Tabla3[[#This Row],[EGRESOS]]/Tabla3[[#This Row],[TC]]</f>
        <v>211.87527350427351</v>
      </c>
      <c r="K1675" s="136">
        <f>Tabla3[[#This Row],[INGRESOS]]/Tabla3[[#This Row],[TC]]</f>
        <v>0</v>
      </c>
      <c r="L1675" s="8" t="s">
        <v>376</v>
      </c>
      <c r="M1675" s="8" t="s">
        <v>377</v>
      </c>
      <c r="N1675" s="8" t="s">
        <v>20</v>
      </c>
      <c r="O1675" s="8" t="s">
        <v>184</v>
      </c>
      <c r="P1675" s="8" t="s">
        <v>195</v>
      </c>
      <c r="Q1675" s="8" t="s">
        <v>196</v>
      </c>
      <c r="R1675" s="8" t="s">
        <v>394</v>
      </c>
      <c r="S1675" s="8" t="s">
        <v>383</v>
      </c>
      <c r="T1675" s="8"/>
      <c r="U1675" s="8" t="s">
        <v>384</v>
      </c>
      <c r="V1675" s="8"/>
      <c r="W1675" s="8" t="s">
        <v>380</v>
      </c>
      <c r="X1675" s="8" t="s">
        <v>99</v>
      </c>
      <c r="Y1675" s="8" t="s">
        <v>23</v>
      </c>
    </row>
    <row r="1676" spans="1:25" hidden="1" x14ac:dyDescent="0.25">
      <c r="A1676" s="273" t="s">
        <v>316</v>
      </c>
      <c r="B1676" s="251">
        <v>45820</v>
      </c>
      <c r="C1676" s="252" t="s">
        <v>760</v>
      </c>
      <c r="D1676" s="252"/>
      <c r="E1676" s="253">
        <v>160550.28</v>
      </c>
      <c r="F1676" s="253">
        <v>0</v>
      </c>
      <c r="G1676" s="274">
        <f>Tabla3[[#This Row],[INGRESOS]]-Tabla3[[#This Row],[EGRESOS]]</f>
        <v>-160550.28</v>
      </c>
      <c r="H1676" s="274">
        <v>-4575825.2300000004</v>
      </c>
      <c r="I1676" s="135">
        <v>1170</v>
      </c>
      <c r="J1676" s="136">
        <f>Tabla3[[#This Row],[EGRESOS]]/Tabla3[[#This Row],[TC]]</f>
        <v>137.22246153846154</v>
      </c>
      <c r="K1676" s="136">
        <f>Tabla3[[#This Row],[INGRESOS]]/Tabla3[[#This Row],[TC]]</f>
        <v>0</v>
      </c>
      <c r="L1676" s="8" t="s">
        <v>376</v>
      </c>
      <c r="M1676" s="8" t="s">
        <v>377</v>
      </c>
      <c r="N1676" s="8" t="s">
        <v>20</v>
      </c>
      <c r="O1676" s="8" t="s">
        <v>184</v>
      </c>
      <c r="P1676" s="8" t="s">
        <v>195</v>
      </c>
      <c r="Q1676" s="8" t="s">
        <v>196</v>
      </c>
      <c r="R1676" s="8" t="s">
        <v>394</v>
      </c>
      <c r="S1676" s="8" t="s">
        <v>383</v>
      </c>
      <c r="T1676" s="8"/>
      <c r="U1676" s="8" t="s">
        <v>384</v>
      </c>
      <c r="V1676" s="8"/>
      <c r="W1676" s="8" t="s">
        <v>380</v>
      </c>
      <c r="X1676" s="8" t="s">
        <v>99</v>
      </c>
      <c r="Y1676" s="8" t="s">
        <v>23</v>
      </c>
    </row>
    <row r="1677" spans="1:25" hidden="1" x14ac:dyDescent="0.25">
      <c r="A1677" s="273" t="s">
        <v>316</v>
      </c>
      <c r="B1677" s="251">
        <v>45821</v>
      </c>
      <c r="C1677" s="252" t="s">
        <v>782</v>
      </c>
      <c r="D1677" s="252" t="s">
        <v>1001</v>
      </c>
      <c r="E1677" s="253">
        <v>1995000</v>
      </c>
      <c r="F1677" s="253">
        <v>0</v>
      </c>
      <c r="G1677" s="274">
        <f>Tabla3[[#This Row],[INGRESOS]]-Tabla3[[#This Row],[EGRESOS]]</f>
        <v>-1995000</v>
      </c>
      <c r="H1677" s="274">
        <v>-6570825.2300000004</v>
      </c>
      <c r="I1677" s="135">
        <v>1170</v>
      </c>
      <c r="J1677" s="136">
        <f>Tabla3[[#This Row],[EGRESOS]]/Tabla3[[#This Row],[TC]]</f>
        <v>1705.1282051282051</v>
      </c>
      <c r="K1677" s="136">
        <f>Tabla3[[#This Row],[INGRESOS]]/Tabla3[[#This Row],[TC]]</f>
        <v>0</v>
      </c>
      <c r="L1677" s="8" t="s">
        <v>376</v>
      </c>
      <c r="M1677" s="8" t="s">
        <v>377</v>
      </c>
      <c r="N1677" s="8" t="s">
        <v>20</v>
      </c>
      <c r="O1677" s="8" t="s">
        <v>286</v>
      </c>
      <c r="P1677" s="8" t="s">
        <v>287</v>
      </c>
      <c r="Q1677" s="8" t="s">
        <v>288</v>
      </c>
      <c r="R1677" s="8" t="s">
        <v>143</v>
      </c>
      <c r="S1677" s="8" t="s">
        <v>637</v>
      </c>
      <c r="T1677" s="8" t="s">
        <v>1002</v>
      </c>
      <c r="U1677" s="8" t="s">
        <v>412</v>
      </c>
      <c r="V1677" s="8"/>
      <c r="W1677" s="8" t="s">
        <v>380</v>
      </c>
      <c r="X1677" s="8" t="s">
        <v>29</v>
      </c>
      <c r="Y1677" s="8" t="s">
        <v>23</v>
      </c>
    </row>
    <row r="1678" spans="1:25" hidden="1" x14ac:dyDescent="0.25">
      <c r="A1678" s="273" t="s">
        <v>316</v>
      </c>
      <c r="B1678" s="251">
        <v>45821</v>
      </c>
      <c r="C1678" s="252" t="s">
        <v>1003</v>
      </c>
      <c r="D1678" s="252"/>
      <c r="E1678" s="253">
        <v>0</v>
      </c>
      <c r="F1678" s="253">
        <v>10014765.58</v>
      </c>
      <c r="G1678" s="274">
        <f>Tabla3[[#This Row],[INGRESOS]]-Tabla3[[#This Row],[EGRESOS]]</f>
        <v>10014765.58</v>
      </c>
      <c r="H1678" s="274">
        <v>3443940.35</v>
      </c>
      <c r="I1678" s="135">
        <v>1170</v>
      </c>
      <c r="J1678" s="136">
        <f>Tabla3[[#This Row],[EGRESOS]]/Tabla3[[#This Row],[TC]]</f>
        <v>0</v>
      </c>
      <c r="K1678" s="136">
        <f>Tabla3[[#This Row],[INGRESOS]]/Tabla3[[#This Row],[TC]]</f>
        <v>8559.6287008547006</v>
      </c>
      <c r="L1678" s="8" t="s">
        <v>376</v>
      </c>
      <c r="M1678" s="8" t="s">
        <v>377</v>
      </c>
      <c r="N1678" s="8" t="s">
        <v>20</v>
      </c>
      <c r="O1678" s="8" t="s">
        <v>244</v>
      </c>
      <c r="P1678" s="8" t="s">
        <v>61</v>
      </c>
      <c r="Q1678" s="8" t="s">
        <v>275</v>
      </c>
      <c r="R1678" s="8" t="s">
        <v>993</v>
      </c>
      <c r="S1678" s="8" t="s">
        <v>994</v>
      </c>
      <c r="T1678" s="8"/>
      <c r="U1678" s="8" t="s">
        <v>995</v>
      </c>
      <c r="V1678" s="8"/>
      <c r="W1678" s="8" t="s">
        <v>380</v>
      </c>
      <c r="X1678" s="8" t="s">
        <v>23</v>
      </c>
      <c r="Y1678" s="8" t="s">
        <v>61</v>
      </c>
    </row>
    <row r="1679" spans="1:25" s="7" customFormat="1" hidden="1" x14ac:dyDescent="0.25">
      <c r="A1679" s="273" t="s">
        <v>316</v>
      </c>
      <c r="B1679" s="251">
        <v>45821</v>
      </c>
      <c r="C1679" s="252" t="s">
        <v>800</v>
      </c>
      <c r="D1679" s="252"/>
      <c r="E1679" s="253">
        <v>560000</v>
      </c>
      <c r="F1679" s="253">
        <v>0</v>
      </c>
      <c r="G1679" s="274">
        <f>Tabla3[[#This Row],[INGRESOS]]-Tabla3[[#This Row],[EGRESOS]]</f>
        <v>-560000</v>
      </c>
      <c r="H1679" s="274">
        <v>2883940.35</v>
      </c>
      <c r="I1679" s="135">
        <v>1170</v>
      </c>
      <c r="J1679" s="136">
        <f>Tabla3[[#This Row],[EGRESOS]]/Tabla3[[#This Row],[TC]]</f>
        <v>478.63247863247864</v>
      </c>
      <c r="K1679" s="136">
        <f>Tabla3[[#This Row],[INGRESOS]]/Tabla3[[#This Row],[TC]]</f>
        <v>0</v>
      </c>
      <c r="L1679" s="8" t="s">
        <v>376</v>
      </c>
      <c r="M1679" s="8" t="s">
        <v>377</v>
      </c>
      <c r="N1679" s="8" t="s">
        <v>20</v>
      </c>
      <c r="O1679" s="8" t="s">
        <v>184</v>
      </c>
      <c r="P1679" s="8" t="s">
        <v>210</v>
      </c>
      <c r="Q1679" s="8" t="s">
        <v>212</v>
      </c>
      <c r="R1679" s="8" t="s">
        <v>1004</v>
      </c>
      <c r="S1679" s="8" t="s">
        <v>452</v>
      </c>
      <c r="T1679" s="8"/>
      <c r="U1679" s="8" t="s">
        <v>453</v>
      </c>
      <c r="V1679" s="8"/>
      <c r="W1679" s="8" t="s">
        <v>380</v>
      </c>
      <c r="X1679" s="8" t="s">
        <v>45</v>
      </c>
      <c r="Y1679" s="8" t="s">
        <v>23</v>
      </c>
    </row>
    <row r="1680" spans="1:25" s="7" customFormat="1" hidden="1" x14ac:dyDescent="0.25">
      <c r="A1680" s="273" t="s">
        <v>316</v>
      </c>
      <c r="B1680" s="251">
        <v>45821</v>
      </c>
      <c r="C1680" s="252" t="s">
        <v>828</v>
      </c>
      <c r="D1680" s="252"/>
      <c r="E1680" s="253">
        <v>121</v>
      </c>
      <c r="F1680" s="253">
        <v>0</v>
      </c>
      <c r="G1680" s="274">
        <f>Tabla3[[#This Row],[INGRESOS]]-Tabla3[[#This Row],[EGRESOS]]</f>
        <v>-121</v>
      </c>
      <c r="H1680" s="274">
        <v>2883819.35</v>
      </c>
      <c r="I1680" s="135">
        <v>1170</v>
      </c>
      <c r="J1680" s="136">
        <f>Tabla3[[#This Row],[EGRESOS]]/Tabla3[[#This Row],[TC]]</f>
        <v>0.10341880341880341</v>
      </c>
      <c r="K1680" s="136">
        <f>Tabla3[[#This Row],[INGRESOS]]/Tabla3[[#This Row],[TC]]</f>
        <v>0</v>
      </c>
      <c r="L1680" s="8" t="s">
        <v>376</v>
      </c>
      <c r="M1680" s="8" t="s">
        <v>377</v>
      </c>
      <c r="N1680" s="8" t="s">
        <v>20</v>
      </c>
      <c r="O1680" s="8" t="s">
        <v>184</v>
      </c>
      <c r="P1680" s="8" t="s">
        <v>185</v>
      </c>
      <c r="Q1680" s="8" t="s">
        <v>186</v>
      </c>
      <c r="R1680" s="8" t="s">
        <v>227</v>
      </c>
      <c r="S1680" s="8"/>
      <c r="T1680" s="8"/>
      <c r="U1680" s="8" t="s">
        <v>384</v>
      </c>
      <c r="V1680" s="8"/>
      <c r="W1680" s="8" t="s">
        <v>380</v>
      </c>
      <c r="X1680" s="8" t="s">
        <v>99</v>
      </c>
      <c r="Y1680" s="8" t="s">
        <v>23</v>
      </c>
    </row>
    <row r="1681" spans="1:25" s="7" customFormat="1" hidden="1" x14ac:dyDescent="0.25">
      <c r="A1681" s="273" t="s">
        <v>316</v>
      </c>
      <c r="B1681" s="251">
        <v>45821</v>
      </c>
      <c r="C1681" s="252" t="s">
        <v>404</v>
      </c>
      <c r="D1681" s="252"/>
      <c r="E1681" s="253">
        <v>2000000</v>
      </c>
      <c r="F1681" s="253">
        <v>0</v>
      </c>
      <c r="G1681" s="274">
        <f>Tabla3[[#This Row],[INGRESOS]]-Tabla3[[#This Row],[EGRESOS]]</f>
        <v>-2000000</v>
      </c>
      <c r="H1681" s="274">
        <v>883819.35</v>
      </c>
      <c r="I1681" s="135">
        <v>1170</v>
      </c>
      <c r="J1681" s="136">
        <f>Tabla3[[#This Row],[EGRESOS]]/Tabla3[[#This Row],[TC]]</f>
        <v>1709.4017094017095</v>
      </c>
      <c r="K1681" s="136">
        <f>Tabla3[[#This Row],[INGRESOS]]/Tabla3[[#This Row],[TC]]</f>
        <v>0</v>
      </c>
      <c r="L1681" s="8" t="s">
        <v>376</v>
      </c>
      <c r="M1681" s="8" t="s">
        <v>377</v>
      </c>
      <c r="N1681" s="8" t="s">
        <v>20</v>
      </c>
      <c r="O1681" s="8" t="s">
        <v>244</v>
      </c>
      <c r="P1681" s="8" t="s">
        <v>259</v>
      </c>
      <c r="Q1681" s="8" t="s">
        <v>260</v>
      </c>
      <c r="R1681" s="8" t="s">
        <v>1005</v>
      </c>
      <c r="S1681" s="8"/>
      <c r="T1681" s="8"/>
      <c r="U1681" s="8" t="s">
        <v>379</v>
      </c>
      <c r="V1681" s="8"/>
      <c r="W1681" s="8" t="s">
        <v>380</v>
      </c>
      <c r="X1681" s="8"/>
      <c r="Y1681" s="8"/>
    </row>
    <row r="1682" spans="1:25" s="7" customFormat="1" hidden="1" x14ac:dyDescent="0.25">
      <c r="A1682" s="273" t="s">
        <v>316</v>
      </c>
      <c r="B1682" s="251">
        <v>45821</v>
      </c>
      <c r="C1682" s="252" t="s">
        <v>828</v>
      </c>
      <c r="D1682" s="252"/>
      <c r="E1682" s="253">
        <v>121</v>
      </c>
      <c r="F1682" s="253">
        <v>0</v>
      </c>
      <c r="G1682" s="274">
        <f>Tabla3[[#This Row],[INGRESOS]]-Tabla3[[#This Row],[EGRESOS]]</f>
        <v>-121</v>
      </c>
      <c r="H1682" s="274">
        <v>883698.35</v>
      </c>
      <c r="I1682" s="135">
        <v>1170</v>
      </c>
      <c r="J1682" s="136">
        <f>Tabla3[[#This Row],[EGRESOS]]/Tabla3[[#This Row],[TC]]</f>
        <v>0.10341880341880341</v>
      </c>
      <c r="K1682" s="136">
        <f>Tabla3[[#This Row],[INGRESOS]]/Tabla3[[#This Row],[TC]]</f>
        <v>0</v>
      </c>
      <c r="L1682" s="8" t="s">
        <v>376</v>
      </c>
      <c r="M1682" s="8" t="s">
        <v>377</v>
      </c>
      <c r="N1682" s="8" t="s">
        <v>20</v>
      </c>
      <c r="O1682" s="8" t="s">
        <v>184</v>
      </c>
      <c r="P1682" s="8" t="s">
        <v>185</v>
      </c>
      <c r="Q1682" s="8" t="s">
        <v>186</v>
      </c>
      <c r="R1682" s="8" t="s">
        <v>227</v>
      </c>
      <c r="S1682" s="8"/>
      <c r="T1682" s="8"/>
      <c r="U1682" s="8" t="s">
        <v>384</v>
      </c>
      <c r="V1682" s="8"/>
      <c r="W1682" s="8" t="s">
        <v>380</v>
      </c>
      <c r="X1682" s="8" t="s">
        <v>99</v>
      </c>
      <c r="Y1682" s="8" t="s">
        <v>23</v>
      </c>
    </row>
    <row r="1683" spans="1:25" s="7" customFormat="1" hidden="1" x14ac:dyDescent="0.25">
      <c r="A1683" s="273" t="s">
        <v>316</v>
      </c>
      <c r="B1683" s="251">
        <v>45821</v>
      </c>
      <c r="C1683" s="252" t="s">
        <v>762</v>
      </c>
      <c r="D1683" s="252"/>
      <c r="E1683" s="253">
        <v>3024</v>
      </c>
      <c r="F1683" s="253">
        <v>0</v>
      </c>
      <c r="G1683" s="274">
        <f>Tabla3[[#This Row],[INGRESOS]]-Tabla3[[#This Row],[EGRESOS]]</f>
        <v>-3024</v>
      </c>
      <c r="H1683" s="274">
        <v>880674.35</v>
      </c>
      <c r="I1683" s="135">
        <v>1170</v>
      </c>
      <c r="J1683" s="136">
        <f>Tabla3[[#This Row],[EGRESOS]]/Tabla3[[#This Row],[TC]]</f>
        <v>2.5846153846153848</v>
      </c>
      <c r="K1683" s="136">
        <f>Tabla3[[#This Row],[INGRESOS]]/Tabla3[[#This Row],[TC]]</f>
        <v>0</v>
      </c>
      <c r="L1683" s="8" t="s">
        <v>376</v>
      </c>
      <c r="M1683" s="8" t="s">
        <v>377</v>
      </c>
      <c r="N1683" s="8" t="s">
        <v>20</v>
      </c>
      <c r="O1683" s="8" t="s">
        <v>184</v>
      </c>
      <c r="P1683" s="8" t="s">
        <v>195</v>
      </c>
      <c r="Q1683" s="8" t="s">
        <v>196</v>
      </c>
      <c r="R1683" s="8" t="s">
        <v>382</v>
      </c>
      <c r="S1683" s="8" t="s">
        <v>383</v>
      </c>
      <c r="T1683" s="8"/>
      <c r="U1683" s="8" t="s">
        <v>384</v>
      </c>
      <c r="V1683" s="8"/>
      <c r="W1683" s="8" t="s">
        <v>380</v>
      </c>
      <c r="X1683" s="8" t="s">
        <v>99</v>
      </c>
      <c r="Y1683" s="8" t="s">
        <v>23</v>
      </c>
    </row>
    <row r="1684" spans="1:25" s="7" customFormat="1" hidden="1" x14ac:dyDescent="0.25">
      <c r="A1684" s="273" t="s">
        <v>316</v>
      </c>
      <c r="B1684" s="251">
        <v>45821</v>
      </c>
      <c r="C1684" s="252" t="s">
        <v>763</v>
      </c>
      <c r="D1684" s="252"/>
      <c r="E1684" s="253">
        <v>432</v>
      </c>
      <c r="F1684" s="253">
        <v>0</v>
      </c>
      <c r="G1684" s="274">
        <f>Tabla3[[#This Row],[INGRESOS]]-Tabla3[[#This Row],[EGRESOS]]</f>
        <v>-432</v>
      </c>
      <c r="H1684" s="274">
        <v>880242.35</v>
      </c>
      <c r="I1684" s="135">
        <v>1170</v>
      </c>
      <c r="J1684" s="136">
        <f>Tabla3[[#This Row],[EGRESOS]]/Tabla3[[#This Row],[TC]]</f>
        <v>0.36923076923076925</v>
      </c>
      <c r="K1684" s="136">
        <f>Tabla3[[#This Row],[INGRESOS]]/Tabla3[[#This Row],[TC]]</f>
        <v>0</v>
      </c>
      <c r="L1684" s="8" t="s">
        <v>376</v>
      </c>
      <c r="M1684" s="8" t="s">
        <v>377</v>
      </c>
      <c r="N1684" s="8" t="s">
        <v>20</v>
      </c>
      <c r="O1684" s="8" t="s">
        <v>184</v>
      </c>
      <c r="P1684" s="8" t="s">
        <v>195</v>
      </c>
      <c r="Q1684" s="8" t="s">
        <v>196</v>
      </c>
      <c r="R1684" s="8" t="s">
        <v>417</v>
      </c>
      <c r="S1684" s="8" t="s">
        <v>383</v>
      </c>
      <c r="T1684" s="8"/>
      <c r="U1684" s="8" t="s">
        <v>384</v>
      </c>
      <c r="V1684" s="8"/>
      <c r="W1684" s="8" t="s">
        <v>380</v>
      </c>
      <c r="X1684" s="8" t="s">
        <v>99</v>
      </c>
      <c r="Y1684" s="8" t="s">
        <v>23</v>
      </c>
    </row>
    <row r="1685" spans="1:25" s="7" customFormat="1" hidden="1" x14ac:dyDescent="0.25">
      <c r="A1685" s="273" t="s">
        <v>316</v>
      </c>
      <c r="B1685" s="251">
        <v>45821</v>
      </c>
      <c r="C1685" s="252" t="s">
        <v>794</v>
      </c>
      <c r="D1685" s="252"/>
      <c r="E1685" s="253">
        <v>14400</v>
      </c>
      <c r="F1685" s="253">
        <v>0</v>
      </c>
      <c r="G1685" s="274">
        <f>Tabla3[[#This Row],[INGRESOS]]-Tabla3[[#This Row],[EGRESOS]]</f>
        <v>-14400</v>
      </c>
      <c r="H1685" s="274">
        <v>865842.35</v>
      </c>
      <c r="I1685" s="135">
        <v>1170</v>
      </c>
      <c r="J1685" s="136">
        <f>Tabla3[[#This Row],[EGRESOS]]/Tabla3[[#This Row],[TC]]</f>
        <v>12.307692307692308</v>
      </c>
      <c r="K1685" s="136">
        <f>Tabla3[[#This Row],[INGRESOS]]/Tabla3[[#This Row],[TC]]</f>
        <v>0</v>
      </c>
      <c r="L1685" s="8" t="s">
        <v>376</v>
      </c>
      <c r="M1685" s="8" t="s">
        <v>377</v>
      </c>
      <c r="N1685" s="8" t="s">
        <v>20</v>
      </c>
      <c r="O1685" s="8" t="s">
        <v>184</v>
      </c>
      <c r="P1685" s="8" t="s">
        <v>185</v>
      </c>
      <c r="Q1685" s="8" t="s">
        <v>186</v>
      </c>
      <c r="R1685" s="8" t="s">
        <v>227</v>
      </c>
      <c r="S1685" s="8"/>
      <c r="T1685" s="8"/>
      <c r="U1685" s="8" t="s">
        <v>384</v>
      </c>
      <c r="V1685" s="8"/>
      <c r="W1685" s="8" t="s">
        <v>380</v>
      </c>
      <c r="X1685" s="8" t="s">
        <v>99</v>
      </c>
      <c r="Y1685" s="8" t="s">
        <v>23</v>
      </c>
    </row>
    <row r="1686" spans="1:25" s="7" customFormat="1" hidden="1" x14ac:dyDescent="0.25">
      <c r="A1686" s="273" t="s">
        <v>316</v>
      </c>
      <c r="B1686" s="251">
        <v>45821</v>
      </c>
      <c r="C1686" s="252" t="s">
        <v>760</v>
      </c>
      <c r="D1686" s="252"/>
      <c r="E1686" s="253">
        <v>15438.6</v>
      </c>
      <c r="F1686" s="253">
        <v>0</v>
      </c>
      <c r="G1686" s="274">
        <f>Tabla3[[#This Row],[INGRESOS]]-Tabla3[[#This Row],[EGRESOS]]</f>
        <v>-15438.6</v>
      </c>
      <c r="H1686" s="274">
        <v>850403.75</v>
      </c>
      <c r="I1686" s="135">
        <v>1170</v>
      </c>
      <c r="J1686" s="136">
        <f>Tabla3[[#This Row],[EGRESOS]]/Tabla3[[#This Row],[TC]]</f>
        <v>13.195384615384615</v>
      </c>
      <c r="K1686" s="136">
        <f>Tabla3[[#This Row],[INGRESOS]]/Tabla3[[#This Row],[TC]]</f>
        <v>0</v>
      </c>
      <c r="L1686" s="8" t="s">
        <v>376</v>
      </c>
      <c r="M1686" s="8" t="s">
        <v>377</v>
      </c>
      <c r="N1686" s="8" t="s">
        <v>20</v>
      </c>
      <c r="O1686" s="8" t="s">
        <v>184</v>
      </c>
      <c r="P1686" s="8" t="s">
        <v>195</v>
      </c>
      <c r="Q1686" s="8" t="s">
        <v>196</v>
      </c>
      <c r="R1686" s="8" t="s">
        <v>394</v>
      </c>
      <c r="S1686" s="8" t="s">
        <v>383</v>
      </c>
      <c r="T1686" s="8"/>
      <c r="U1686" s="8" t="s">
        <v>384</v>
      </c>
      <c r="V1686" s="8"/>
      <c r="W1686" s="8" t="s">
        <v>380</v>
      </c>
      <c r="X1686" s="8" t="s">
        <v>99</v>
      </c>
      <c r="Y1686" s="8" t="s">
        <v>23</v>
      </c>
    </row>
    <row r="1687" spans="1:25" s="7" customFormat="1" hidden="1" x14ac:dyDescent="0.25">
      <c r="A1687" s="273" t="s">
        <v>316</v>
      </c>
      <c r="B1687" s="251">
        <v>45826</v>
      </c>
      <c r="C1687" s="252" t="s">
        <v>782</v>
      </c>
      <c r="D1687" s="252" t="s">
        <v>1006</v>
      </c>
      <c r="E1687" s="253">
        <v>1086667</v>
      </c>
      <c r="F1687" s="253">
        <v>0</v>
      </c>
      <c r="G1687" s="274">
        <f>Tabla3[[#This Row],[INGRESOS]]-Tabla3[[#This Row],[EGRESOS]]</f>
        <v>-1086667</v>
      </c>
      <c r="H1687" s="274">
        <v>-236263.25</v>
      </c>
      <c r="I1687" s="135">
        <v>1170</v>
      </c>
      <c r="J1687" s="136">
        <f>Tabla3[[#This Row],[EGRESOS]]/Tabla3[[#This Row],[TC]]</f>
        <v>928.77521367521365</v>
      </c>
      <c r="K1687" s="136">
        <f>Tabla3[[#This Row],[INGRESOS]]/Tabla3[[#This Row],[TC]]</f>
        <v>0</v>
      </c>
      <c r="L1687" s="8" t="s">
        <v>376</v>
      </c>
      <c r="M1687" s="8" t="s">
        <v>377</v>
      </c>
      <c r="N1687" s="8" t="s">
        <v>20</v>
      </c>
      <c r="O1687" s="8" t="s">
        <v>215</v>
      </c>
      <c r="P1687" s="8" t="s">
        <v>216</v>
      </c>
      <c r="Q1687" s="8" t="s">
        <v>220</v>
      </c>
      <c r="R1687" s="8" t="s">
        <v>291</v>
      </c>
      <c r="S1687" s="8" t="s">
        <v>676</v>
      </c>
      <c r="T1687" s="8"/>
      <c r="U1687" s="8" t="s">
        <v>412</v>
      </c>
      <c r="V1687" s="8"/>
      <c r="W1687" s="8" t="s">
        <v>380</v>
      </c>
      <c r="X1687" s="8" t="s">
        <v>29</v>
      </c>
      <c r="Y1687" s="8" t="s">
        <v>23</v>
      </c>
    </row>
    <row r="1688" spans="1:25" s="7" customFormat="1" hidden="1" x14ac:dyDescent="0.25">
      <c r="A1688" s="273" t="s">
        <v>316</v>
      </c>
      <c r="B1688" s="251">
        <v>45826</v>
      </c>
      <c r="C1688" s="252" t="s">
        <v>782</v>
      </c>
      <c r="D1688" s="252" t="s">
        <v>1007</v>
      </c>
      <c r="E1688" s="253">
        <v>1253833.94</v>
      </c>
      <c r="F1688" s="253">
        <v>0</v>
      </c>
      <c r="G1688" s="274">
        <f>Tabla3[[#This Row],[INGRESOS]]-Tabla3[[#This Row],[EGRESOS]]</f>
        <v>-1253833.94</v>
      </c>
      <c r="H1688" s="274">
        <v>-1490097.19</v>
      </c>
      <c r="I1688" s="135">
        <v>1170</v>
      </c>
      <c r="J1688" s="136">
        <f>Tabla3[[#This Row],[EGRESOS]]/Tabla3[[#This Row],[TC]]</f>
        <v>1071.6529401709402</v>
      </c>
      <c r="K1688" s="136">
        <f>Tabla3[[#This Row],[INGRESOS]]/Tabla3[[#This Row],[TC]]</f>
        <v>0</v>
      </c>
      <c r="L1688" s="8" t="s">
        <v>376</v>
      </c>
      <c r="M1688" s="8" t="s">
        <v>377</v>
      </c>
      <c r="N1688" s="8" t="s">
        <v>20</v>
      </c>
      <c r="O1688" s="8" t="s">
        <v>215</v>
      </c>
      <c r="P1688" s="8" t="s">
        <v>223</v>
      </c>
      <c r="Q1688" s="8" t="s">
        <v>224</v>
      </c>
      <c r="R1688" s="8" t="s">
        <v>328</v>
      </c>
      <c r="S1688" s="8" t="s">
        <v>631</v>
      </c>
      <c r="T1688" s="8" t="s">
        <v>663</v>
      </c>
      <c r="U1688" s="8" t="s">
        <v>412</v>
      </c>
      <c r="V1688" s="8"/>
      <c r="W1688" s="8" t="s">
        <v>380</v>
      </c>
      <c r="X1688" s="8" t="s">
        <v>41</v>
      </c>
      <c r="Y1688" s="8" t="s">
        <v>23</v>
      </c>
    </row>
    <row r="1689" spans="1:25" s="7" customFormat="1" hidden="1" x14ac:dyDescent="0.25">
      <c r="A1689" s="273" t="s">
        <v>316</v>
      </c>
      <c r="B1689" s="251">
        <v>45826</v>
      </c>
      <c r="C1689" s="252" t="s">
        <v>817</v>
      </c>
      <c r="D1689" s="252" t="s">
        <v>1008</v>
      </c>
      <c r="E1689" s="253">
        <v>1995000</v>
      </c>
      <c r="F1689" s="253">
        <v>0</v>
      </c>
      <c r="G1689" s="274">
        <f>Tabla3[[#This Row],[INGRESOS]]-Tabla3[[#This Row],[EGRESOS]]</f>
        <v>-1995000</v>
      </c>
      <c r="H1689" s="274">
        <v>-3485097.19</v>
      </c>
      <c r="I1689" s="135">
        <v>1170</v>
      </c>
      <c r="J1689" s="136">
        <f>Tabla3[[#This Row],[EGRESOS]]/Tabla3[[#This Row],[TC]]</f>
        <v>1705.1282051282051</v>
      </c>
      <c r="K1689" s="136">
        <f>Tabla3[[#This Row],[INGRESOS]]/Tabla3[[#This Row],[TC]]</f>
        <v>0</v>
      </c>
      <c r="L1689" s="8" t="s">
        <v>376</v>
      </c>
      <c r="M1689" s="8" t="s">
        <v>377</v>
      </c>
      <c r="N1689" s="8" t="s">
        <v>20</v>
      </c>
      <c r="O1689" s="8" t="s">
        <v>286</v>
      </c>
      <c r="P1689" s="8" t="s">
        <v>287</v>
      </c>
      <c r="Q1689" s="8" t="s">
        <v>288</v>
      </c>
      <c r="R1689" s="8" t="s">
        <v>143</v>
      </c>
      <c r="S1689" s="8" t="s">
        <v>637</v>
      </c>
      <c r="T1689" s="8" t="s">
        <v>1002</v>
      </c>
      <c r="U1689" s="8" t="s">
        <v>412</v>
      </c>
      <c r="V1689" s="8"/>
      <c r="W1689" s="8" t="s">
        <v>380</v>
      </c>
      <c r="X1689" s="8" t="s">
        <v>29</v>
      </c>
      <c r="Y1689" s="8" t="s">
        <v>23</v>
      </c>
    </row>
    <row r="1690" spans="1:25" s="7" customFormat="1" hidden="1" x14ac:dyDescent="0.25">
      <c r="A1690" s="273" t="s">
        <v>316</v>
      </c>
      <c r="B1690" s="251">
        <v>45826</v>
      </c>
      <c r="C1690" s="252" t="s">
        <v>817</v>
      </c>
      <c r="D1690" s="252" t="s">
        <v>1009</v>
      </c>
      <c r="E1690" s="253">
        <v>3261546.52</v>
      </c>
      <c r="F1690" s="253">
        <v>0</v>
      </c>
      <c r="G1690" s="274">
        <f>Tabla3[[#This Row],[INGRESOS]]-Tabla3[[#This Row],[EGRESOS]]</f>
        <v>-3261546.52</v>
      </c>
      <c r="H1690" s="337">
        <v>-6746643.71</v>
      </c>
      <c r="I1690" s="135">
        <v>1170</v>
      </c>
      <c r="J1690" s="136">
        <f>Tabla3[[#This Row],[EGRESOS]]/Tabla3[[#This Row],[TC]]</f>
        <v>2787.6465982905984</v>
      </c>
      <c r="K1690" s="136">
        <f>Tabla3[[#This Row],[INGRESOS]]/Tabla3[[#This Row],[TC]]</f>
        <v>0</v>
      </c>
      <c r="L1690" s="8" t="s">
        <v>376</v>
      </c>
      <c r="M1690" s="8" t="s">
        <v>377</v>
      </c>
      <c r="N1690" s="8" t="s">
        <v>20</v>
      </c>
      <c r="O1690" s="8" t="s">
        <v>215</v>
      </c>
      <c r="P1690" s="8" t="s">
        <v>216</v>
      </c>
      <c r="Q1690" s="8" t="s">
        <v>220</v>
      </c>
      <c r="R1690" s="8" t="s">
        <v>189</v>
      </c>
      <c r="S1690" s="8" t="s">
        <v>675</v>
      </c>
      <c r="T1690" s="8"/>
      <c r="U1690" s="8" t="s">
        <v>412</v>
      </c>
      <c r="V1690" s="8"/>
      <c r="W1690" s="8" t="s">
        <v>380</v>
      </c>
      <c r="X1690" s="8" t="s">
        <v>99</v>
      </c>
      <c r="Y1690" s="8" t="s">
        <v>23</v>
      </c>
    </row>
    <row r="1691" spans="1:25" s="7" customFormat="1" hidden="1" x14ac:dyDescent="0.25">
      <c r="A1691" s="273" t="s">
        <v>316</v>
      </c>
      <c r="B1691" s="251">
        <v>45826</v>
      </c>
      <c r="C1691" s="252" t="s">
        <v>810</v>
      </c>
      <c r="D1691" s="252"/>
      <c r="E1691" s="253">
        <v>0</v>
      </c>
      <c r="F1691" s="253">
        <v>1000000</v>
      </c>
      <c r="G1691" s="274">
        <f>Tabla3[[#This Row],[INGRESOS]]-Tabla3[[#This Row],[EGRESOS]]</f>
        <v>1000000</v>
      </c>
      <c r="H1691" s="135">
        <v>-5746643.71</v>
      </c>
      <c r="I1691" s="135">
        <v>1170</v>
      </c>
      <c r="J1691" s="136">
        <f>Tabla3[[#This Row],[EGRESOS]]/Tabla3[[#This Row],[TC]]</f>
        <v>0</v>
      </c>
      <c r="K1691" s="136">
        <f>Tabla3[[#This Row],[INGRESOS]]/Tabla3[[#This Row],[TC]]</f>
        <v>854.70085470085473</v>
      </c>
      <c r="L1691" s="8" t="s">
        <v>376</v>
      </c>
      <c r="M1691" s="8" t="s">
        <v>377</v>
      </c>
      <c r="N1691" s="8" t="s">
        <v>20</v>
      </c>
      <c r="O1691" s="8" t="s">
        <v>244</v>
      </c>
      <c r="P1691" s="8" t="s">
        <v>259</v>
      </c>
      <c r="Q1691" s="8" t="s">
        <v>260</v>
      </c>
      <c r="R1691" s="8" t="s">
        <v>447</v>
      </c>
      <c r="S1691" s="8"/>
      <c r="T1691" s="8"/>
      <c r="U1691" s="8" t="s">
        <v>379</v>
      </c>
      <c r="V1691" s="8"/>
      <c r="W1691" s="8" t="s">
        <v>380</v>
      </c>
      <c r="X1691" s="8"/>
      <c r="Y1691" s="8"/>
    </row>
    <row r="1692" spans="1:25" s="7" customFormat="1" hidden="1" x14ac:dyDescent="0.25">
      <c r="A1692" s="273" t="s">
        <v>316</v>
      </c>
      <c r="B1692" s="251">
        <v>45826</v>
      </c>
      <c r="C1692" s="252" t="s">
        <v>760</v>
      </c>
      <c r="D1692" s="252"/>
      <c r="E1692" s="253">
        <v>45582.28</v>
      </c>
      <c r="F1692" s="253">
        <v>0</v>
      </c>
      <c r="G1692" s="274">
        <f>Tabla3[[#This Row],[INGRESOS]]-Tabla3[[#This Row],[EGRESOS]]</f>
        <v>-45582.28</v>
      </c>
      <c r="H1692" s="135">
        <v>-5792225.9900000002</v>
      </c>
      <c r="I1692" s="135">
        <v>1170</v>
      </c>
      <c r="J1692" s="136">
        <f>Tabla3[[#This Row],[EGRESOS]]/Tabla3[[#This Row],[TC]]</f>
        <v>38.959213675213675</v>
      </c>
      <c r="K1692" s="136">
        <f>Tabla3[[#This Row],[INGRESOS]]/Tabla3[[#This Row],[TC]]</f>
        <v>0</v>
      </c>
      <c r="L1692" s="8" t="s">
        <v>376</v>
      </c>
      <c r="M1692" s="8" t="s">
        <v>377</v>
      </c>
      <c r="N1692" s="8" t="s">
        <v>20</v>
      </c>
      <c r="O1692" s="8" t="s">
        <v>184</v>
      </c>
      <c r="P1692" s="8" t="s">
        <v>195</v>
      </c>
      <c r="Q1692" s="8" t="s">
        <v>196</v>
      </c>
      <c r="R1692" s="8" t="s">
        <v>394</v>
      </c>
      <c r="S1692" s="8" t="s">
        <v>383</v>
      </c>
      <c r="T1692" s="8"/>
      <c r="U1692" s="8" t="s">
        <v>384</v>
      </c>
      <c r="V1692" s="8"/>
      <c r="W1692" s="8" t="s">
        <v>380</v>
      </c>
      <c r="X1692" s="8" t="s">
        <v>99</v>
      </c>
      <c r="Y1692" s="8" t="s">
        <v>23</v>
      </c>
    </row>
    <row r="1693" spans="1:25" s="7" customFormat="1" hidden="1" x14ac:dyDescent="0.25">
      <c r="A1693" s="273" t="s">
        <v>316</v>
      </c>
      <c r="B1693" s="251">
        <v>45827</v>
      </c>
      <c r="C1693" s="252" t="s">
        <v>822</v>
      </c>
      <c r="D1693" s="252"/>
      <c r="E1693" s="253">
        <v>8067</v>
      </c>
      <c r="F1693" s="253">
        <v>0</v>
      </c>
      <c r="G1693" s="274">
        <f>Tabla3[[#This Row],[INGRESOS]]-Tabla3[[#This Row],[EGRESOS]]</f>
        <v>-8067</v>
      </c>
      <c r="H1693" s="135">
        <v>-5800292.9900000002</v>
      </c>
      <c r="I1693" s="135">
        <v>1170</v>
      </c>
      <c r="J1693" s="136">
        <f>Tabla3[[#This Row],[EGRESOS]]/Tabla3[[#This Row],[TC]]</f>
        <v>6.8948717948717952</v>
      </c>
      <c r="K1693" s="136">
        <f>Tabla3[[#This Row],[INGRESOS]]/Tabla3[[#This Row],[TC]]</f>
        <v>0</v>
      </c>
      <c r="L1693" s="8" t="s">
        <v>376</v>
      </c>
      <c r="M1693" s="8" t="s">
        <v>377</v>
      </c>
      <c r="N1693" s="8" t="s">
        <v>20</v>
      </c>
      <c r="O1693" s="8" t="s">
        <v>184</v>
      </c>
      <c r="P1693" s="8" t="s">
        <v>185</v>
      </c>
      <c r="Q1693" s="8" t="s">
        <v>189</v>
      </c>
      <c r="R1693" s="8"/>
      <c r="S1693" s="8"/>
      <c r="T1693" s="8"/>
      <c r="U1693" s="8" t="s">
        <v>384</v>
      </c>
      <c r="V1693" s="8"/>
      <c r="W1693" s="8" t="s">
        <v>380</v>
      </c>
      <c r="X1693" s="8" t="s">
        <v>99</v>
      </c>
      <c r="Y1693" s="8" t="s">
        <v>23</v>
      </c>
    </row>
    <row r="1694" spans="1:25" s="7" customFormat="1" hidden="1" x14ac:dyDescent="0.25">
      <c r="A1694" s="273" t="s">
        <v>316</v>
      </c>
      <c r="B1694" s="251">
        <v>45827</v>
      </c>
      <c r="C1694" s="252" t="s">
        <v>760</v>
      </c>
      <c r="D1694" s="252"/>
      <c r="E1694" s="253">
        <v>48.4</v>
      </c>
      <c r="F1694" s="253">
        <v>0</v>
      </c>
      <c r="G1694" s="274">
        <f>Tabla3[[#This Row],[INGRESOS]]-Tabla3[[#This Row],[EGRESOS]]</f>
        <v>-48.4</v>
      </c>
      <c r="H1694" s="135">
        <v>-5800341.3899999997</v>
      </c>
      <c r="I1694" s="135">
        <v>1170</v>
      </c>
      <c r="J1694" s="136">
        <f>Tabla3[[#This Row],[EGRESOS]]/Tabla3[[#This Row],[TC]]</f>
        <v>4.1367521367521365E-2</v>
      </c>
      <c r="K1694" s="136">
        <f>Tabla3[[#This Row],[INGRESOS]]/Tabla3[[#This Row],[TC]]</f>
        <v>0</v>
      </c>
      <c r="L1694" s="8" t="s">
        <v>376</v>
      </c>
      <c r="M1694" s="8" t="s">
        <v>377</v>
      </c>
      <c r="N1694" s="8" t="s">
        <v>20</v>
      </c>
      <c r="O1694" s="8" t="s">
        <v>184</v>
      </c>
      <c r="P1694" s="8" t="s">
        <v>195</v>
      </c>
      <c r="Q1694" s="8" t="s">
        <v>196</v>
      </c>
      <c r="R1694" s="8" t="s">
        <v>394</v>
      </c>
      <c r="S1694" s="8" t="s">
        <v>383</v>
      </c>
      <c r="T1694" s="8"/>
      <c r="U1694" s="8" t="s">
        <v>384</v>
      </c>
      <c r="V1694" s="8"/>
      <c r="W1694" s="8" t="s">
        <v>380</v>
      </c>
      <c r="X1694" s="8" t="s">
        <v>99</v>
      </c>
      <c r="Y1694" s="8" t="s">
        <v>23</v>
      </c>
    </row>
    <row r="1695" spans="1:25" s="7" customFormat="1" hidden="1" x14ac:dyDescent="0.25">
      <c r="A1695" s="273" t="s">
        <v>316</v>
      </c>
      <c r="B1695" s="251">
        <v>45832</v>
      </c>
      <c r="C1695" s="252" t="s">
        <v>782</v>
      </c>
      <c r="D1695" s="252" t="s">
        <v>1010</v>
      </c>
      <c r="E1695" s="253">
        <v>424276.77</v>
      </c>
      <c r="F1695" s="253">
        <v>0</v>
      </c>
      <c r="G1695" s="274">
        <f>Tabla3[[#This Row],[INGRESOS]]-Tabla3[[#This Row],[EGRESOS]]</f>
        <v>-424276.77</v>
      </c>
      <c r="H1695" s="135">
        <v>-6224618.1600000001</v>
      </c>
      <c r="I1695" s="135">
        <v>1170</v>
      </c>
      <c r="J1695" s="136">
        <f>Tabla3[[#This Row],[EGRESOS]]/Tabla3[[#This Row],[TC]]</f>
        <v>362.62971794871794</v>
      </c>
      <c r="K1695" s="136">
        <f>Tabla3[[#This Row],[INGRESOS]]/Tabla3[[#This Row],[TC]]</f>
        <v>0</v>
      </c>
      <c r="L1695" s="8" t="s">
        <v>376</v>
      </c>
      <c r="M1695" s="8" t="s">
        <v>377</v>
      </c>
      <c r="N1695" s="8" t="s">
        <v>20</v>
      </c>
      <c r="O1695" s="8" t="s">
        <v>286</v>
      </c>
      <c r="P1695" s="8" t="s">
        <v>287</v>
      </c>
      <c r="Q1695" s="8" t="s">
        <v>289</v>
      </c>
      <c r="R1695" s="8" t="s">
        <v>33</v>
      </c>
      <c r="S1695" s="8" t="s">
        <v>600</v>
      </c>
      <c r="T1695" s="8" t="s">
        <v>1011</v>
      </c>
      <c r="U1695" s="8" t="s">
        <v>412</v>
      </c>
      <c r="V1695" s="8"/>
      <c r="W1695" s="8" t="s">
        <v>380</v>
      </c>
      <c r="X1695" s="8" t="s">
        <v>29</v>
      </c>
      <c r="Y1695" s="8" t="s">
        <v>23</v>
      </c>
    </row>
    <row r="1696" spans="1:25" s="7" customFormat="1" hidden="1" x14ac:dyDescent="0.25">
      <c r="A1696" s="273" t="s">
        <v>316</v>
      </c>
      <c r="B1696" s="251">
        <v>45832</v>
      </c>
      <c r="C1696" s="252" t="s">
        <v>782</v>
      </c>
      <c r="D1696" s="252" t="s">
        <v>1012</v>
      </c>
      <c r="E1696" s="253">
        <v>357951</v>
      </c>
      <c r="F1696" s="253">
        <v>0</v>
      </c>
      <c r="G1696" s="274">
        <f>Tabla3[[#This Row],[INGRESOS]]-Tabla3[[#This Row],[EGRESOS]]</f>
        <v>-357951</v>
      </c>
      <c r="H1696" s="135">
        <v>-6582569.1600000001</v>
      </c>
      <c r="I1696" s="135">
        <v>1170</v>
      </c>
      <c r="J1696" s="136">
        <f>Tabla3[[#This Row],[EGRESOS]]/Tabla3[[#This Row],[TC]]</f>
        <v>305.94102564102565</v>
      </c>
      <c r="K1696" s="136">
        <f>Tabla3[[#This Row],[INGRESOS]]/Tabla3[[#This Row],[TC]]</f>
        <v>0</v>
      </c>
      <c r="L1696" s="8" t="s">
        <v>376</v>
      </c>
      <c r="M1696" s="8" t="s">
        <v>377</v>
      </c>
      <c r="N1696" s="8" t="s">
        <v>20</v>
      </c>
      <c r="O1696" s="8" t="s">
        <v>225</v>
      </c>
      <c r="P1696" s="8" t="s">
        <v>236</v>
      </c>
      <c r="Q1696" s="8" t="s">
        <v>227</v>
      </c>
      <c r="R1696" s="8" t="s">
        <v>967</v>
      </c>
      <c r="S1696" s="8" t="s">
        <v>968</v>
      </c>
      <c r="T1696" s="8" t="s">
        <v>969</v>
      </c>
      <c r="U1696" s="8" t="s">
        <v>412</v>
      </c>
      <c r="V1696" s="8"/>
      <c r="W1696" s="8" t="s">
        <v>380</v>
      </c>
      <c r="X1696" s="8" t="s">
        <v>29</v>
      </c>
      <c r="Y1696" s="8" t="s">
        <v>23</v>
      </c>
    </row>
    <row r="1697" spans="1:25" s="7" customFormat="1" hidden="1" x14ac:dyDescent="0.25">
      <c r="A1697" s="273" t="s">
        <v>316</v>
      </c>
      <c r="B1697" s="251">
        <v>45832</v>
      </c>
      <c r="C1697" s="252" t="s">
        <v>782</v>
      </c>
      <c r="D1697" s="252" t="s">
        <v>1013</v>
      </c>
      <c r="E1697" s="253">
        <v>1050280</v>
      </c>
      <c r="F1697" s="253">
        <v>0</v>
      </c>
      <c r="G1697" s="274">
        <f>Tabla3[[#This Row],[INGRESOS]]-Tabla3[[#This Row],[EGRESOS]]</f>
        <v>-1050280</v>
      </c>
      <c r="H1697" s="135">
        <v>-7632849.1600000001</v>
      </c>
      <c r="I1697" s="135">
        <v>1170</v>
      </c>
      <c r="J1697" s="136">
        <f>Tabla3[[#This Row],[EGRESOS]]/Tabla3[[#This Row],[TC]]</f>
        <v>897.67521367521363</v>
      </c>
      <c r="K1697" s="136">
        <f>Tabla3[[#This Row],[INGRESOS]]/Tabla3[[#This Row],[TC]]</f>
        <v>0</v>
      </c>
      <c r="L1697" s="8" t="s">
        <v>376</v>
      </c>
      <c r="M1697" s="8" t="s">
        <v>377</v>
      </c>
      <c r="N1697" s="8" t="s">
        <v>20</v>
      </c>
      <c r="O1697" s="8" t="s">
        <v>215</v>
      </c>
      <c r="P1697" s="8" t="s">
        <v>216</v>
      </c>
      <c r="Q1697" s="8" t="s">
        <v>219</v>
      </c>
      <c r="R1697" s="8" t="s">
        <v>337</v>
      </c>
      <c r="S1697" s="8" t="s">
        <v>1014</v>
      </c>
      <c r="T1697" s="8" t="s">
        <v>1015</v>
      </c>
      <c r="U1697" s="8" t="s">
        <v>412</v>
      </c>
      <c r="V1697" s="8"/>
      <c r="W1697" s="8" t="s">
        <v>380</v>
      </c>
      <c r="X1697" s="8" t="s">
        <v>29</v>
      </c>
      <c r="Y1697" s="8" t="s">
        <v>23</v>
      </c>
    </row>
    <row r="1698" spans="1:25" s="7" customFormat="1" hidden="1" x14ac:dyDescent="0.25">
      <c r="A1698" s="273" t="s">
        <v>316</v>
      </c>
      <c r="B1698" s="251">
        <v>45832</v>
      </c>
      <c r="C1698" s="252" t="s">
        <v>782</v>
      </c>
      <c r="D1698" s="252" t="s">
        <v>1016</v>
      </c>
      <c r="E1698" s="253">
        <v>234000</v>
      </c>
      <c r="F1698" s="253">
        <v>0</v>
      </c>
      <c r="G1698" s="274">
        <f>Tabla3[[#This Row],[INGRESOS]]-Tabla3[[#This Row],[EGRESOS]]</f>
        <v>-234000</v>
      </c>
      <c r="H1698" s="135">
        <v>-7866849.1600000001</v>
      </c>
      <c r="I1698" s="135">
        <v>1170</v>
      </c>
      <c r="J1698" s="136">
        <f>Tabla3[[#This Row],[EGRESOS]]/Tabla3[[#This Row],[TC]]</f>
        <v>200</v>
      </c>
      <c r="K1698" s="136">
        <f>Tabla3[[#This Row],[INGRESOS]]/Tabla3[[#This Row],[TC]]</f>
        <v>0</v>
      </c>
      <c r="L1698" s="8" t="s">
        <v>376</v>
      </c>
      <c r="M1698" s="8" t="s">
        <v>377</v>
      </c>
      <c r="N1698" s="8" t="s">
        <v>20</v>
      </c>
      <c r="O1698" s="8" t="s">
        <v>286</v>
      </c>
      <c r="P1698" s="8" t="s">
        <v>287</v>
      </c>
      <c r="Q1698" s="8" t="s">
        <v>290</v>
      </c>
      <c r="R1698" s="8"/>
      <c r="S1698" s="8" t="s">
        <v>1017</v>
      </c>
      <c r="T1698" s="8"/>
      <c r="U1698" s="8" t="s">
        <v>690</v>
      </c>
      <c r="V1698" s="8"/>
      <c r="W1698" s="8" t="s">
        <v>380</v>
      </c>
      <c r="X1698" s="8" t="s">
        <v>99</v>
      </c>
      <c r="Y1698" s="8" t="s">
        <v>23</v>
      </c>
    </row>
    <row r="1699" spans="1:25" s="7" customFormat="1" hidden="1" x14ac:dyDescent="0.25">
      <c r="A1699" s="273" t="s">
        <v>316</v>
      </c>
      <c r="B1699" s="251">
        <v>45832</v>
      </c>
      <c r="C1699" s="252" t="s">
        <v>782</v>
      </c>
      <c r="D1699" s="252" t="s">
        <v>1018</v>
      </c>
      <c r="E1699" s="253">
        <v>2800000</v>
      </c>
      <c r="F1699" s="253">
        <v>0</v>
      </c>
      <c r="G1699" s="274">
        <f>Tabla3[[#This Row],[INGRESOS]]-Tabla3[[#This Row],[EGRESOS]]</f>
        <v>-2800000</v>
      </c>
      <c r="H1699" s="135">
        <v>-10666849.16</v>
      </c>
      <c r="I1699" s="135">
        <v>1170</v>
      </c>
      <c r="J1699" s="136">
        <f>Tabla3[[#This Row],[EGRESOS]]/Tabla3[[#This Row],[TC]]</f>
        <v>2393.1623931623931</v>
      </c>
      <c r="K1699" s="136">
        <f>Tabla3[[#This Row],[INGRESOS]]/Tabla3[[#This Row],[TC]]</f>
        <v>0</v>
      </c>
      <c r="L1699" s="8" t="s">
        <v>376</v>
      </c>
      <c r="M1699" s="8" t="s">
        <v>377</v>
      </c>
      <c r="N1699" s="8" t="s">
        <v>20</v>
      </c>
      <c r="O1699" s="8" t="s">
        <v>215</v>
      </c>
      <c r="P1699" s="8" t="s">
        <v>216</v>
      </c>
      <c r="Q1699" s="8" t="s">
        <v>220</v>
      </c>
      <c r="R1699" s="8" t="s">
        <v>331</v>
      </c>
      <c r="S1699" s="8" t="s">
        <v>721</v>
      </c>
      <c r="T1699" s="8" t="s">
        <v>983</v>
      </c>
      <c r="U1699" s="8" t="s">
        <v>412</v>
      </c>
      <c r="V1699" s="8"/>
      <c r="W1699" s="8" t="s">
        <v>380</v>
      </c>
      <c r="X1699" s="8" t="s">
        <v>29</v>
      </c>
      <c r="Y1699" s="8" t="s">
        <v>23</v>
      </c>
    </row>
    <row r="1700" spans="1:25" s="7" customFormat="1" hidden="1" x14ac:dyDescent="0.25">
      <c r="A1700" s="273" t="s">
        <v>316</v>
      </c>
      <c r="B1700" s="251">
        <v>45832</v>
      </c>
      <c r="C1700" s="252" t="s">
        <v>793</v>
      </c>
      <c r="D1700" s="252"/>
      <c r="E1700" s="253">
        <v>0</v>
      </c>
      <c r="F1700" s="253">
        <v>4700000</v>
      </c>
      <c r="G1700" s="274">
        <f>Tabla3[[#This Row],[INGRESOS]]-Tabla3[[#This Row],[EGRESOS]]</f>
        <v>4700000</v>
      </c>
      <c r="H1700" s="135">
        <v>-5966849.1600000001</v>
      </c>
      <c r="I1700" s="135">
        <v>1170</v>
      </c>
      <c r="J1700" s="136">
        <f>Tabla3[[#This Row],[EGRESOS]]/Tabla3[[#This Row],[TC]]</f>
        <v>0</v>
      </c>
      <c r="K1700" s="136">
        <f>Tabla3[[#This Row],[INGRESOS]]/Tabla3[[#This Row],[TC]]</f>
        <v>4017.0940170940171</v>
      </c>
      <c r="L1700" s="8" t="s">
        <v>376</v>
      </c>
      <c r="M1700" s="8" t="s">
        <v>377</v>
      </c>
      <c r="N1700" s="8" t="s">
        <v>20</v>
      </c>
      <c r="O1700" s="8" t="s">
        <v>244</v>
      </c>
      <c r="P1700" s="8" t="s">
        <v>259</v>
      </c>
      <c r="Q1700" s="8" t="s">
        <v>260</v>
      </c>
      <c r="R1700" s="8" t="s">
        <v>554</v>
      </c>
      <c r="S1700" s="8"/>
      <c r="T1700" s="8"/>
      <c r="U1700" s="8" t="s">
        <v>379</v>
      </c>
      <c r="V1700" s="8"/>
      <c r="W1700" s="8" t="s">
        <v>380</v>
      </c>
      <c r="X1700" s="8"/>
      <c r="Y1700" s="8"/>
    </row>
    <row r="1701" spans="1:25" s="7" customFormat="1" hidden="1" x14ac:dyDescent="0.25">
      <c r="A1701" s="273" t="s">
        <v>316</v>
      </c>
      <c r="B1701" s="251">
        <v>45832</v>
      </c>
      <c r="C1701" s="252" t="s">
        <v>945</v>
      </c>
      <c r="D1701" s="252"/>
      <c r="E1701" s="253">
        <v>0</v>
      </c>
      <c r="F1701" s="253">
        <v>64359736</v>
      </c>
      <c r="G1701" s="274">
        <f>Tabla3[[#This Row],[INGRESOS]]-Tabla3[[#This Row],[EGRESOS]]</f>
        <v>64359736</v>
      </c>
      <c r="H1701" s="135">
        <v>58392886.840000004</v>
      </c>
      <c r="I1701" s="135">
        <v>1170</v>
      </c>
      <c r="J1701" s="136">
        <f>Tabla3[[#This Row],[EGRESOS]]/Tabla3[[#This Row],[TC]]</f>
        <v>0</v>
      </c>
      <c r="K1701" s="136">
        <f>Tabla3[[#This Row],[INGRESOS]]/Tabla3[[#This Row],[TC]]</f>
        <v>55008.32136752137</v>
      </c>
      <c r="L1701" s="8" t="s">
        <v>376</v>
      </c>
      <c r="M1701" s="8" t="s">
        <v>377</v>
      </c>
      <c r="N1701" s="8" t="s">
        <v>20</v>
      </c>
      <c r="O1701" s="8" t="s">
        <v>286</v>
      </c>
      <c r="P1701" s="8" t="s">
        <v>304</v>
      </c>
      <c r="Q1701" s="8" t="s">
        <v>305</v>
      </c>
      <c r="R1701" s="351" t="s">
        <v>1019</v>
      </c>
      <c r="S1701" s="8" t="s">
        <v>947</v>
      </c>
      <c r="T1701" s="8" t="s">
        <v>1020</v>
      </c>
      <c r="U1701" s="8" t="s">
        <v>949</v>
      </c>
      <c r="V1701" s="8"/>
      <c r="W1701" s="8" t="s">
        <v>380</v>
      </c>
      <c r="X1701" s="8" t="s">
        <v>23</v>
      </c>
      <c r="Y1701" s="8" t="s">
        <v>97</v>
      </c>
    </row>
    <row r="1702" spans="1:25" s="7" customFormat="1" hidden="1" x14ac:dyDescent="0.25">
      <c r="A1702" s="273" t="s">
        <v>316</v>
      </c>
      <c r="B1702" s="251">
        <v>45832</v>
      </c>
      <c r="C1702" s="252" t="s">
        <v>762</v>
      </c>
      <c r="D1702" s="252"/>
      <c r="E1702" s="253">
        <v>3024</v>
      </c>
      <c r="F1702" s="253">
        <v>0</v>
      </c>
      <c r="G1702" s="274">
        <f>Tabla3[[#This Row],[INGRESOS]]-Tabla3[[#This Row],[EGRESOS]]</f>
        <v>-3024</v>
      </c>
      <c r="H1702" s="135">
        <v>58389862.840000004</v>
      </c>
      <c r="I1702" s="135">
        <v>1170</v>
      </c>
      <c r="J1702" s="136">
        <f>Tabla3[[#This Row],[EGRESOS]]/Tabla3[[#This Row],[TC]]</f>
        <v>2.5846153846153848</v>
      </c>
      <c r="K1702" s="136">
        <f>Tabla3[[#This Row],[INGRESOS]]/Tabla3[[#This Row],[TC]]</f>
        <v>0</v>
      </c>
      <c r="L1702" s="8" t="s">
        <v>376</v>
      </c>
      <c r="M1702" s="8" t="s">
        <v>377</v>
      </c>
      <c r="N1702" s="8" t="s">
        <v>20</v>
      </c>
      <c r="O1702" s="8" t="s">
        <v>184</v>
      </c>
      <c r="P1702" s="8" t="s">
        <v>195</v>
      </c>
      <c r="Q1702" s="8" t="s">
        <v>196</v>
      </c>
      <c r="R1702" s="8" t="s">
        <v>382</v>
      </c>
      <c r="S1702" s="8" t="s">
        <v>383</v>
      </c>
      <c r="T1702" s="8"/>
      <c r="U1702" s="8" t="s">
        <v>384</v>
      </c>
      <c r="V1702" s="8"/>
      <c r="W1702" s="8" t="s">
        <v>380</v>
      </c>
      <c r="X1702" s="8" t="s">
        <v>99</v>
      </c>
      <c r="Y1702" s="8" t="s">
        <v>23</v>
      </c>
    </row>
    <row r="1703" spans="1:25" s="7" customFormat="1" hidden="1" x14ac:dyDescent="0.25">
      <c r="A1703" s="273" t="s">
        <v>316</v>
      </c>
      <c r="B1703" s="251">
        <v>45832</v>
      </c>
      <c r="C1703" s="252" t="s">
        <v>763</v>
      </c>
      <c r="D1703" s="252"/>
      <c r="E1703" s="253">
        <v>432</v>
      </c>
      <c r="F1703" s="253">
        <v>0</v>
      </c>
      <c r="G1703" s="274">
        <f>Tabla3[[#This Row],[INGRESOS]]-Tabla3[[#This Row],[EGRESOS]]</f>
        <v>-432</v>
      </c>
      <c r="H1703" s="135">
        <v>58389430.840000004</v>
      </c>
      <c r="I1703" s="135">
        <v>1170</v>
      </c>
      <c r="J1703" s="136">
        <f>Tabla3[[#This Row],[EGRESOS]]/Tabla3[[#This Row],[TC]]</f>
        <v>0.36923076923076925</v>
      </c>
      <c r="K1703" s="136">
        <f>Tabla3[[#This Row],[INGRESOS]]/Tabla3[[#This Row],[TC]]</f>
        <v>0</v>
      </c>
      <c r="L1703" s="8" t="s">
        <v>376</v>
      </c>
      <c r="M1703" s="8" t="s">
        <v>377</v>
      </c>
      <c r="N1703" s="8" t="s">
        <v>20</v>
      </c>
      <c r="O1703" s="8" t="s">
        <v>184</v>
      </c>
      <c r="P1703" s="8" t="s">
        <v>195</v>
      </c>
      <c r="Q1703" s="8" t="s">
        <v>196</v>
      </c>
      <c r="R1703" s="8" t="s">
        <v>417</v>
      </c>
      <c r="S1703" s="8" t="s">
        <v>383</v>
      </c>
      <c r="T1703" s="8"/>
      <c r="U1703" s="8" t="s">
        <v>384</v>
      </c>
      <c r="V1703" s="8"/>
      <c r="W1703" s="8" t="s">
        <v>380</v>
      </c>
      <c r="X1703" s="8" t="s">
        <v>99</v>
      </c>
      <c r="Y1703" s="8" t="s">
        <v>23</v>
      </c>
    </row>
    <row r="1704" spans="1:25" s="7" customFormat="1" hidden="1" x14ac:dyDescent="0.25">
      <c r="A1704" s="273" t="s">
        <v>316</v>
      </c>
      <c r="B1704" s="251">
        <v>45832</v>
      </c>
      <c r="C1704" s="252" t="s">
        <v>794</v>
      </c>
      <c r="D1704" s="252"/>
      <c r="E1704" s="253">
        <v>14400</v>
      </c>
      <c r="F1704" s="253">
        <v>0</v>
      </c>
      <c r="G1704" s="274">
        <f>Tabla3[[#This Row],[INGRESOS]]-Tabla3[[#This Row],[EGRESOS]]</f>
        <v>-14400</v>
      </c>
      <c r="H1704" s="135">
        <v>58375030.840000004</v>
      </c>
      <c r="I1704" s="135">
        <v>1170</v>
      </c>
      <c r="J1704" s="136">
        <f>Tabla3[[#This Row],[EGRESOS]]/Tabla3[[#This Row],[TC]]</f>
        <v>12.307692307692308</v>
      </c>
      <c r="K1704" s="136">
        <f>Tabla3[[#This Row],[INGRESOS]]/Tabla3[[#This Row],[TC]]</f>
        <v>0</v>
      </c>
      <c r="L1704" s="8" t="s">
        <v>376</v>
      </c>
      <c r="M1704" s="8" t="s">
        <v>377</v>
      </c>
      <c r="N1704" s="8" t="s">
        <v>20</v>
      </c>
      <c r="O1704" s="8" t="s">
        <v>184</v>
      </c>
      <c r="P1704" s="8" t="s">
        <v>185</v>
      </c>
      <c r="Q1704" s="8" t="s">
        <v>186</v>
      </c>
      <c r="R1704" s="8" t="s">
        <v>227</v>
      </c>
      <c r="S1704" s="8"/>
      <c r="T1704" s="8"/>
      <c r="U1704" s="8" t="s">
        <v>384</v>
      </c>
      <c r="V1704" s="8"/>
      <c r="W1704" s="8" t="s">
        <v>380</v>
      </c>
      <c r="X1704" s="8" t="s">
        <v>99</v>
      </c>
      <c r="Y1704" s="8" t="s">
        <v>23</v>
      </c>
    </row>
    <row r="1705" spans="1:25" s="7" customFormat="1" hidden="1" x14ac:dyDescent="0.25">
      <c r="A1705" s="273" t="s">
        <v>316</v>
      </c>
      <c r="B1705" s="251">
        <v>45832</v>
      </c>
      <c r="C1705" s="252" t="s">
        <v>760</v>
      </c>
      <c r="D1705" s="252"/>
      <c r="E1705" s="253">
        <v>386158.42</v>
      </c>
      <c r="F1705" s="253">
        <v>0</v>
      </c>
      <c r="G1705" s="274">
        <f>Tabla3[[#This Row],[INGRESOS]]-Tabla3[[#This Row],[EGRESOS]]</f>
        <v>-386158.42</v>
      </c>
      <c r="H1705" s="135">
        <v>57988872.420000002</v>
      </c>
      <c r="I1705" s="135">
        <v>1170</v>
      </c>
      <c r="J1705" s="136">
        <f>Tabla3[[#This Row],[EGRESOS]]/Tabla3[[#This Row],[TC]]</f>
        <v>330.04993162393163</v>
      </c>
      <c r="K1705" s="136">
        <f>Tabla3[[#This Row],[INGRESOS]]/Tabla3[[#This Row],[TC]]</f>
        <v>0</v>
      </c>
      <c r="L1705" s="8" t="s">
        <v>376</v>
      </c>
      <c r="M1705" s="8" t="s">
        <v>377</v>
      </c>
      <c r="N1705" s="8" t="s">
        <v>20</v>
      </c>
      <c r="O1705" s="8" t="s">
        <v>184</v>
      </c>
      <c r="P1705" s="8" t="s">
        <v>195</v>
      </c>
      <c r="Q1705" s="8" t="s">
        <v>196</v>
      </c>
      <c r="R1705" s="8" t="s">
        <v>394</v>
      </c>
      <c r="S1705" s="8" t="s">
        <v>383</v>
      </c>
      <c r="T1705" s="8"/>
      <c r="U1705" s="8" t="s">
        <v>384</v>
      </c>
      <c r="V1705" s="8"/>
      <c r="W1705" s="8" t="s">
        <v>380</v>
      </c>
      <c r="X1705" s="8" t="s">
        <v>99</v>
      </c>
      <c r="Y1705" s="8" t="s">
        <v>23</v>
      </c>
    </row>
    <row r="1706" spans="1:25" s="7" customFormat="1" hidden="1" x14ac:dyDescent="0.25">
      <c r="A1706" s="273" t="s">
        <v>316</v>
      </c>
      <c r="B1706" s="251">
        <v>45832</v>
      </c>
      <c r="C1706" s="252" t="s">
        <v>760</v>
      </c>
      <c r="D1706" s="252"/>
      <c r="E1706" s="253">
        <v>29306.19</v>
      </c>
      <c r="F1706" s="253">
        <v>0</v>
      </c>
      <c r="G1706" s="274">
        <f>Tabla3[[#This Row],[INGRESOS]]-Tabla3[[#This Row],[EGRESOS]]</f>
        <v>-29306.19</v>
      </c>
      <c r="H1706" s="135">
        <v>57959566.229999997</v>
      </c>
      <c r="I1706" s="135">
        <v>1170</v>
      </c>
      <c r="J1706" s="136">
        <f>Tabla3[[#This Row],[EGRESOS]]/Tabla3[[#This Row],[TC]]</f>
        <v>25.048025641025639</v>
      </c>
      <c r="K1706" s="136">
        <f>Tabla3[[#This Row],[INGRESOS]]/Tabla3[[#This Row],[TC]]</f>
        <v>0</v>
      </c>
      <c r="L1706" s="8" t="s">
        <v>376</v>
      </c>
      <c r="M1706" s="8" t="s">
        <v>377</v>
      </c>
      <c r="N1706" s="8" t="s">
        <v>20</v>
      </c>
      <c r="O1706" s="8" t="s">
        <v>184</v>
      </c>
      <c r="P1706" s="8" t="s">
        <v>195</v>
      </c>
      <c r="Q1706" s="8" t="s">
        <v>196</v>
      </c>
      <c r="R1706" s="8" t="s">
        <v>394</v>
      </c>
      <c r="S1706" s="8" t="s">
        <v>383</v>
      </c>
      <c r="T1706" s="8"/>
      <c r="U1706" s="8" t="s">
        <v>384</v>
      </c>
      <c r="V1706" s="8"/>
      <c r="W1706" s="8" t="s">
        <v>380</v>
      </c>
      <c r="X1706" s="8" t="s">
        <v>99</v>
      </c>
      <c r="Y1706" s="8" t="s">
        <v>23</v>
      </c>
    </row>
    <row r="1707" spans="1:25" s="7" customFormat="1" hidden="1" x14ac:dyDescent="0.25">
      <c r="A1707" s="273" t="s">
        <v>316</v>
      </c>
      <c r="B1707" s="251">
        <v>45833</v>
      </c>
      <c r="C1707" s="252" t="s">
        <v>782</v>
      </c>
      <c r="D1707" s="252" t="s">
        <v>1021</v>
      </c>
      <c r="E1707" s="253">
        <v>6943750</v>
      </c>
      <c r="F1707" s="253">
        <v>0</v>
      </c>
      <c r="G1707" s="274">
        <f>Tabla3[[#This Row],[INGRESOS]]-Tabla3[[#This Row],[EGRESOS]]</f>
        <v>-6943750</v>
      </c>
      <c r="H1707" s="135">
        <v>51015816.229999997</v>
      </c>
      <c r="I1707" s="135">
        <v>1170</v>
      </c>
      <c r="J1707" s="136">
        <f>Tabla3[[#This Row],[EGRESOS]]/Tabla3[[#This Row],[TC]]</f>
        <v>5934.8290598290596</v>
      </c>
      <c r="K1707" s="136">
        <f>Tabla3[[#This Row],[INGRESOS]]/Tabla3[[#This Row],[TC]]</f>
        <v>0</v>
      </c>
      <c r="L1707" s="8" t="s">
        <v>376</v>
      </c>
      <c r="M1707" s="8" t="s">
        <v>377</v>
      </c>
      <c r="N1707" s="8" t="s">
        <v>20</v>
      </c>
      <c r="O1707" s="8" t="s">
        <v>215</v>
      </c>
      <c r="P1707" s="8" t="s">
        <v>216</v>
      </c>
      <c r="Q1707" s="8" t="s">
        <v>220</v>
      </c>
      <c r="R1707" s="8" t="s">
        <v>1022</v>
      </c>
      <c r="S1707" s="8" t="s">
        <v>545</v>
      </c>
      <c r="T1707" s="8" t="s">
        <v>616</v>
      </c>
      <c r="U1707" s="8" t="s">
        <v>412</v>
      </c>
      <c r="V1707" s="8"/>
      <c r="W1707" s="8" t="s">
        <v>380</v>
      </c>
      <c r="X1707" s="8" t="s">
        <v>29</v>
      </c>
      <c r="Y1707" s="8" t="s">
        <v>23</v>
      </c>
    </row>
    <row r="1708" spans="1:25" s="7" customFormat="1" hidden="1" x14ac:dyDescent="0.25">
      <c r="A1708" s="273" t="s">
        <v>316</v>
      </c>
      <c r="B1708" s="251">
        <v>45833</v>
      </c>
      <c r="C1708" s="252" t="s">
        <v>782</v>
      </c>
      <c r="D1708" s="252" t="s">
        <v>1023</v>
      </c>
      <c r="E1708" s="253">
        <v>205379.35</v>
      </c>
      <c r="F1708" s="253">
        <v>0</v>
      </c>
      <c r="G1708" s="274">
        <f>Tabla3[[#This Row],[INGRESOS]]-Tabla3[[#This Row],[EGRESOS]]</f>
        <v>-205379.35</v>
      </c>
      <c r="H1708" s="135">
        <v>50810436.880000003</v>
      </c>
      <c r="I1708" s="135">
        <v>1170</v>
      </c>
      <c r="J1708" s="136">
        <f>Tabla3[[#This Row],[EGRESOS]]/Tabla3[[#This Row],[TC]]</f>
        <v>175.53790598290598</v>
      </c>
      <c r="K1708" s="136">
        <f>Tabla3[[#This Row],[INGRESOS]]/Tabla3[[#This Row],[TC]]</f>
        <v>0</v>
      </c>
      <c r="L1708" s="8" t="s">
        <v>376</v>
      </c>
      <c r="M1708" s="8" t="s">
        <v>377</v>
      </c>
      <c r="N1708" s="8" t="s">
        <v>20</v>
      </c>
      <c r="O1708" s="8" t="s">
        <v>225</v>
      </c>
      <c r="P1708" s="8" t="s">
        <v>236</v>
      </c>
      <c r="Q1708" s="8" t="s">
        <v>33</v>
      </c>
      <c r="R1708" s="8"/>
      <c r="S1708" s="8" t="s">
        <v>407</v>
      </c>
      <c r="T1708" s="8" t="s">
        <v>1024</v>
      </c>
      <c r="U1708" s="8" t="s">
        <v>412</v>
      </c>
      <c r="V1708" s="8"/>
      <c r="W1708" s="8" t="s">
        <v>380</v>
      </c>
      <c r="X1708" s="8" t="s">
        <v>29</v>
      </c>
      <c r="Y1708" s="8" t="s">
        <v>23</v>
      </c>
    </row>
    <row r="1709" spans="1:25" s="7" customFormat="1" hidden="1" x14ac:dyDescent="0.25">
      <c r="A1709" s="273" t="s">
        <v>316</v>
      </c>
      <c r="B1709" s="251">
        <v>45833</v>
      </c>
      <c r="C1709" s="252" t="s">
        <v>800</v>
      </c>
      <c r="D1709" s="252"/>
      <c r="E1709" s="253">
        <v>25002223.5</v>
      </c>
      <c r="F1709" s="253">
        <v>0</v>
      </c>
      <c r="G1709" s="274">
        <f>Tabla3[[#This Row],[INGRESOS]]-Tabla3[[#This Row],[EGRESOS]]</f>
        <v>-25002223.5</v>
      </c>
      <c r="H1709" s="135">
        <v>25808213.379999999</v>
      </c>
      <c r="I1709" s="135">
        <v>1170</v>
      </c>
      <c r="J1709" s="136">
        <f>Tabla3[[#This Row],[EGRESOS]]/Tabla3[[#This Row],[TC]]</f>
        <v>21369.421794871796</v>
      </c>
      <c r="K1709" s="136">
        <f>Tabla3[[#This Row],[INGRESOS]]/Tabla3[[#This Row],[TC]]</f>
        <v>0</v>
      </c>
      <c r="L1709" s="8" t="s">
        <v>376</v>
      </c>
      <c r="M1709" s="8" t="s">
        <v>377</v>
      </c>
      <c r="N1709" s="8" t="s">
        <v>20</v>
      </c>
      <c r="O1709" s="8" t="s">
        <v>286</v>
      </c>
      <c r="P1709" s="8" t="s">
        <v>294</v>
      </c>
      <c r="Q1709" s="8" t="s">
        <v>296</v>
      </c>
      <c r="S1709" s="8" t="s">
        <v>689</v>
      </c>
      <c r="T1709" s="8"/>
      <c r="U1709" s="8" t="s">
        <v>690</v>
      </c>
      <c r="V1709" s="8"/>
      <c r="W1709" s="8" t="s">
        <v>380</v>
      </c>
      <c r="X1709" s="8" t="s">
        <v>99</v>
      </c>
      <c r="Y1709" s="8" t="s">
        <v>23</v>
      </c>
    </row>
    <row r="1710" spans="1:25" s="7" customFormat="1" hidden="1" x14ac:dyDescent="0.25">
      <c r="A1710" s="273" t="s">
        <v>316</v>
      </c>
      <c r="B1710" s="251">
        <v>45833</v>
      </c>
      <c r="C1710" s="252" t="s">
        <v>828</v>
      </c>
      <c r="D1710" s="252"/>
      <c r="E1710" s="253">
        <v>121</v>
      </c>
      <c r="F1710" s="253">
        <v>0</v>
      </c>
      <c r="G1710" s="274">
        <f>Tabla3[[#This Row],[INGRESOS]]-Tabla3[[#This Row],[EGRESOS]]</f>
        <v>-121</v>
      </c>
      <c r="H1710" s="135">
        <v>25808092.379999999</v>
      </c>
      <c r="I1710" s="135">
        <v>1170</v>
      </c>
      <c r="J1710" s="136">
        <f>Tabla3[[#This Row],[EGRESOS]]/Tabla3[[#This Row],[TC]]</f>
        <v>0.10341880341880341</v>
      </c>
      <c r="K1710" s="136">
        <f>Tabla3[[#This Row],[INGRESOS]]/Tabla3[[#This Row],[TC]]</f>
        <v>0</v>
      </c>
      <c r="L1710" s="8" t="s">
        <v>376</v>
      </c>
      <c r="M1710" s="8" t="s">
        <v>377</v>
      </c>
      <c r="N1710" s="8" t="s">
        <v>20</v>
      </c>
      <c r="O1710" s="8" t="s">
        <v>184</v>
      </c>
      <c r="P1710" s="8" t="s">
        <v>195</v>
      </c>
      <c r="Q1710" s="8" t="s">
        <v>196</v>
      </c>
      <c r="R1710" s="8" t="s">
        <v>394</v>
      </c>
      <c r="S1710" s="8" t="s">
        <v>383</v>
      </c>
      <c r="T1710" s="8"/>
      <c r="U1710" s="8" t="s">
        <v>384</v>
      </c>
      <c r="V1710" s="8"/>
      <c r="W1710" s="8" t="s">
        <v>380</v>
      </c>
      <c r="X1710" s="8" t="s">
        <v>99</v>
      </c>
      <c r="Y1710" s="8" t="s">
        <v>23</v>
      </c>
    </row>
    <row r="1711" spans="1:25" s="7" customFormat="1" hidden="1" x14ac:dyDescent="0.25">
      <c r="A1711" s="273" t="s">
        <v>316</v>
      </c>
      <c r="B1711" s="251">
        <v>45833</v>
      </c>
      <c r="C1711" s="252" t="s">
        <v>404</v>
      </c>
      <c r="D1711" s="252"/>
      <c r="E1711" s="253">
        <v>7200000</v>
      </c>
      <c r="F1711" s="253">
        <v>0</v>
      </c>
      <c r="G1711" s="274">
        <f>Tabla3[[#This Row],[INGRESOS]]-Tabla3[[#This Row],[EGRESOS]]</f>
        <v>-7200000</v>
      </c>
      <c r="H1711" s="135">
        <v>18608092.379999999</v>
      </c>
      <c r="I1711" s="135">
        <v>1170</v>
      </c>
      <c r="J1711" s="136">
        <f>Tabla3[[#This Row],[EGRESOS]]/Tabla3[[#This Row],[TC]]</f>
        <v>6153.8461538461543</v>
      </c>
      <c r="K1711" s="136">
        <f>Tabla3[[#This Row],[INGRESOS]]/Tabla3[[#This Row],[TC]]</f>
        <v>0</v>
      </c>
      <c r="L1711" s="8" t="s">
        <v>376</v>
      </c>
      <c r="M1711" s="8" t="s">
        <v>377</v>
      </c>
      <c r="N1711" s="8" t="s">
        <v>20</v>
      </c>
      <c r="O1711" s="8" t="s">
        <v>244</v>
      </c>
      <c r="P1711" s="8" t="s">
        <v>259</v>
      </c>
      <c r="Q1711" s="8" t="s">
        <v>260</v>
      </c>
      <c r="R1711" s="8" t="s">
        <v>466</v>
      </c>
      <c r="S1711" s="8"/>
      <c r="T1711" s="8"/>
      <c r="U1711" s="8" t="s">
        <v>379</v>
      </c>
      <c r="V1711" s="8"/>
      <c r="W1711" s="8" t="s">
        <v>380</v>
      </c>
      <c r="X1711" s="8"/>
      <c r="Y1711" s="8"/>
    </row>
    <row r="1712" spans="1:25" s="7" customFormat="1" hidden="1" x14ac:dyDescent="0.25">
      <c r="A1712" s="273" t="s">
        <v>316</v>
      </c>
      <c r="B1712" s="251">
        <v>45833</v>
      </c>
      <c r="C1712" s="252" t="s">
        <v>828</v>
      </c>
      <c r="D1712" s="252"/>
      <c r="E1712" s="253">
        <v>121</v>
      </c>
      <c r="F1712" s="253">
        <v>0</v>
      </c>
      <c r="G1712" s="274">
        <f>Tabla3[[#This Row],[INGRESOS]]-Tabla3[[#This Row],[EGRESOS]]</f>
        <v>-121</v>
      </c>
      <c r="H1712" s="135">
        <v>18607971.379999999</v>
      </c>
      <c r="I1712" s="135">
        <v>1170</v>
      </c>
      <c r="J1712" s="136">
        <f>Tabla3[[#This Row],[EGRESOS]]/Tabla3[[#This Row],[TC]]</f>
        <v>0.10341880341880341</v>
      </c>
      <c r="K1712" s="136">
        <f>Tabla3[[#This Row],[INGRESOS]]/Tabla3[[#This Row],[TC]]</f>
        <v>0</v>
      </c>
      <c r="L1712" s="8" t="s">
        <v>376</v>
      </c>
      <c r="M1712" s="8" t="s">
        <v>377</v>
      </c>
      <c r="N1712" s="8" t="s">
        <v>20</v>
      </c>
      <c r="O1712" s="8" t="s">
        <v>184</v>
      </c>
      <c r="P1712" s="8" t="s">
        <v>195</v>
      </c>
      <c r="Q1712" s="8" t="s">
        <v>196</v>
      </c>
      <c r="R1712" s="8" t="s">
        <v>394</v>
      </c>
      <c r="S1712" s="8" t="s">
        <v>383</v>
      </c>
      <c r="T1712" s="8"/>
      <c r="U1712" s="8" t="s">
        <v>384</v>
      </c>
      <c r="V1712" s="8"/>
      <c r="W1712" s="8" t="s">
        <v>380</v>
      </c>
      <c r="X1712" s="8" t="s">
        <v>99</v>
      </c>
      <c r="Y1712" s="8" t="s">
        <v>23</v>
      </c>
    </row>
    <row r="1713" spans="1:25" s="7" customFormat="1" hidden="1" x14ac:dyDescent="0.25">
      <c r="A1713" s="273" t="s">
        <v>316</v>
      </c>
      <c r="B1713" s="251">
        <v>45833</v>
      </c>
      <c r="C1713" s="252" t="s">
        <v>404</v>
      </c>
      <c r="D1713" s="252"/>
      <c r="E1713" s="253">
        <v>14000000</v>
      </c>
      <c r="F1713" s="253">
        <v>0</v>
      </c>
      <c r="G1713" s="274">
        <f>Tabla3[[#This Row],[INGRESOS]]-Tabla3[[#This Row],[EGRESOS]]</f>
        <v>-14000000</v>
      </c>
      <c r="H1713" s="135">
        <v>4607971.38</v>
      </c>
      <c r="I1713" s="135">
        <v>1170</v>
      </c>
      <c r="J1713" s="136">
        <f>Tabla3[[#This Row],[EGRESOS]]/Tabla3[[#This Row],[TC]]</f>
        <v>11965.811965811965</v>
      </c>
      <c r="K1713" s="136">
        <f>Tabla3[[#This Row],[INGRESOS]]/Tabla3[[#This Row],[TC]]</f>
        <v>0</v>
      </c>
      <c r="L1713" s="8" t="s">
        <v>376</v>
      </c>
      <c r="M1713" s="8" t="s">
        <v>377</v>
      </c>
      <c r="N1713" s="8" t="s">
        <v>20</v>
      </c>
      <c r="O1713" s="8" t="s">
        <v>244</v>
      </c>
      <c r="P1713" s="8" t="s">
        <v>259</v>
      </c>
      <c r="Q1713" s="8" t="s">
        <v>260</v>
      </c>
      <c r="R1713" s="8" t="s">
        <v>467</v>
      </c>
      <c r="S1713" s="8"/>
      <c r="T1713" s="8"/>
      <c r="U1713" s="8" t="s">
        <v>379</v>
      </c>
      <c r="V1713" s="8"/>
      <c r="W1713" s="8" t="s">
        <v>380</v>
      </c>
      <c r="X1713" s="8"/>
      <c r="Y1713" s="8"/>
    </row>
    <row r="1714" spans="1:25" s="7" customFormat="1" hidden="1" x14ac:dyDescent="0.25">
      <c r="A1714" s="273" t="s">
        <v>316</v>
      </c>
      <c r="B1714" s="251">
        <v>45833</v>
      </c>
      <c r="C1714" s="252" t="s">
        <v>828</v>
      </c>
      <c r="D1714" s="252"/>
      <c r="E1714" s="253">
        <v>121</v>
      </c>
      <c r="F1714" s="253">
        <v>0</v>
      </c>
      <c r="G1714" s="274">
        <f>Tabla3[[#This Row],[INGRESOS]]-Tabla3[[#This Row],[EGRESOS]]</f>
        <v>-121</v>
      </c>
      <c r="H1714" s="135">
        <v>4607850.38</v>
      </c>
      <c r="I1714" s="135">
        <v>1170</v>
      </c>
      <c r="J1714" s="136">
        <f>Tabla3[[#This Row],[EGRESOS]]/Tabla3[[#This Row],[TC]]</f>
        <v>0.10341880341880341</v>
      </c>
      <c r="K1714" s="136">
        <f>Tabla3[[#This Row],[INGRESOS]]/Tabla3[[#This Row],[TC]]</f>
        <v>0</v>
      </c>
      <c r="L1714" s="8" t="s">
        <v>376</v>
      </c>
      <c r="M1714" s="8" t="s">
        <v>377</v>
      </c>
      <c r="N1714" s="8" t="s">
        <v>20</v>
      </c>
      <c r="O1714" s="8" t="s">
        <v>184</v>
      </c>
      <c r="P1714" s="8" t="s">
        <v>185</v>
      </c>
      <c r="Q1714" s="8" t="s">
        <v>186</v>
      </c>
      <c r="R1714" s="8" t="s">
        <v>227</v>
      </c>
      <c r="S1714" s="8"/>
      <c r="T1714" s="8"/>
      <c r="U1714" s="8" t="s">
        <v>384</v>
      </c>
      <c r="V1714" s="8"/>
      <c r="W1714" s="8" t="s">
        <v>380</v>
      </c>
      <c r="X1714" s="8" t="s">
        <v>99</v>
      </c>
      <c r="Y1714" s="8" t="s">
        <v>23</v>
      </c>
    </row>
    <row r="1715" spans="1:25" s="7" customFormat="1" hidden="1" x14ac:dyDescent="0.25">
      <c r="A1715" s="273" t="s">
        <v>316</v>
      </c>
      <c r="B1715" s="251">
        <v>45833</v>
      </c>
      <c r="C1715" s="252" t="s">
        <v>760</v>
      </c>
      <c r="D1715" s="252"/>
      <c r="E1715" s="253">
        <v>192910.31</v>
      </c>
      <c r="F1715" s="253">
        <v>0</v>
      </c>
      <c r="G1715" s="274">
        <f>Tabla3[[#This Row],[INGRESOS]]-Tabla3[[#This Row],[EGRESOS]]</f>
        <v>-192910.31</v>
      </c>
      <c r="H1715" s="135">
        <v>4414940.07</v>
      </c>
      <c r="I1715" s="135">
        <v>1170</v>
      </c>
      <c r="J1715" s="136">
        <f>Tabla3[[#This Row],[EGRESOS]]/Tabla3[[#This Row],[TC]]</f>
        <v>164.88060683760685</v>
      </c>
      <c r="K1715" s="136">
        <f>Tabla3[[#This Row],[INGRESOS]]/Tabla3[[#This Row],[TC]]</f>
        <v>0</v>
      </c>
      <c r="L1715" s="8" t="s">
        <v>376</v>
      </c>
      <c r="M1715" s="8" t="s">
        <v>377</v>
      </c>
      <c r="N1715" s="8" t="s">
        <v>20</v>
      </c>
      <c r="O1715" s="8" t="s">
        <v>184</v>
      </c>
      <c r="P1715" s="8" t="s">
        <v>195</v>
      </c>
      <c r="Q1715" s="8" t="s">
        <v>196</v>
      </c>
      <c r="R1715" s="8" t="s">
        <v>394</v>
      </c>
      <c r="S1715" s="8" t="s">
        <v>383</v>
      </c>
      <c r="T1715" s="8"/>
      <c r="U1715" s="8" t="s">
        <v>384</v>
      </c>
      <c r="V1715" s="8"/>
      <c r="W1715" s="8" t="s">
        <v>380</v>
      </c>
      <c r="X1715" s="8" t="s">
        <v>99</v>
      </c>
      <c r="Y1715" s="8" t="s">
        <v>23</v>
      </c>
    </row>
    <row r="1716" spans="1:25" s="7" customFormat="1" hidden="1" x14ac:dyDescent="0.25">
      <c r="A1716" s="273" t="s">
        <v>316</v>
      </c>
      <c r="B1716" s="251">
        <v>45834</v>
      </c>
      <c r="C1716" s="252" t="s">
        <v>782</v>
      </c>
      <c r="D1716" s="252" t="s">
        <v>1025</v>
      </c>
      <c r="E1716" s="253">
        <v>2059843.5</v>
      </c>
      <c r="F1716" s="253">
        <v>0</v>
      </c>
      <c r="G1716" s="274">
        <f>Tabla3[[#This Row],[INGRESOS]]-Tabla3[[#This Row],[EGRESOS]]</f>
        <v>-2059843.5</v>
      </c>
      <c r="H1716" s="135">
        <v>2355096.5699999998</v>
      </c>
      <c r="I1716" s="135">
        <v>1170</v>
      </c>
      <c r="J1716" s="136">
        <f>Tabla3[[#This Row],[EGRESOS]]/Tabla3[[#This Row],[TC]]</f>
        <v>1760.55</v>
      </c>
      <c r="K1716" s="136">
        <f>Tabla3[[#This Row],[INGRESOS]]/Tabla3[[#This Row],[TC]]</f>
        <v>0</v>
      </c>
      <c r="L1716" s="8" t="s">
        <v>376</v>
      </c>
      <c r="M1716" s="8" t="s">
        <v>377</v>
      </c>
      <c r="N1716" s="8" t="s">
        <v>20</v>
      </c>
      <c r="O1716" s="8" t="s">
        <v>215</v>
      </c>
      <c r="P1716" s="8" t="s">
        <v>216</v>
      </c>
      <c r="Q1716" s="8" t="s">
        <v>220</v>
      </c>
      <c r="R1716" s="8" t="s">
        <v>291</v>
      </c>
      <c r="S1716" s="8" t="s">
        <v>1026</v>
      </c>
      <c r="T1716" s="8" t="s">
        <v>1027</v>
      </c>
      <c r="U1716" s="8" t="s">
        <v>412</v>
      </c>
      <c r="V1716" s="8"/>
      <c r="W1716" s="8" t="s">
        <v>380</v>
      </c>
      <c r="X1716" s="8" t="s">
        <v>29</v>
      </c>
      <c r="Y1716" s="8" t="s">
        <v>23</v>
      </c>
    </row>
    <row r="1717" spans="1:25" s="7" customFormat="1" hidden="1" x14ac:dyDescent="0.25">
      <c r="A1717" s="273" t="s">
        <v>316</v>
      </c>
      <c r="B1717" s="251">
        <v>45834</v>
      </c>
      <c r="C1717" s="252" t="s">
        <v>800</v>
      </c>
      <c r="D1717" s="252"/>
      <c r="E1717" s="253">
        <v>450000</v>
      </c>
      <c r="F1717" s="253">
        <v>0</v>
      </c>
      <c r="G1717" s="274">
        <f>Tabla3[[#This Row],[INGRESOS]]-Tabla3[[#This Row],[EGRESOS]]</f>
        <v>-450000</v>
      </c>
      <c r="H1717" s="135">
        <v>1905096.57</v>
      </c>
      <c r="I1717" s="135">
        <v>1170</v>
      </c>
      <c r="J1717" s="136">
        <f>Tabla3[[#This Row],[EGRESOS]]/Tabla3[[#This Row],[TC]]</f>
        <v>384.61538461538464</v>
      </c>
      <c r="K1717" s="136">
        <f>Tabla3[[#This Row],[INGRESOS]]/Tabla3[[#This Row],[TC]]</f>
        <v>0</v>
      </c>
      <c r="L1717" s="8" t="s">
        <v>376</v>
      </c>
      <c r="M1717" s="8" t="s">
        <v>377</v>
      </c>
      <c r="N1717" s="8" t="s">
        <v>20</v>
      </c>
      <c r="O1717" s="8" t="s">
        <v>184</v>
      </c>
      <c r="P1717" s="8" t="s">
        <v>203</v>
      </c>
      <c r="Q1717" s="8" t="s">
        <v>208</v>
      </c>
      <c r="R1717" s="8" t="s">
        <v>673</v>
      </c>
      <c r="S1717" s="8" t="s">
        <v>414</v>
      </c>
      <c r="T1717" s="8"/>
      <c r="U1717" s="8" t="s">
        <v>530</v>
      </c>
      <c r="V1717" s="8" t="s">
        <v>415</v>
      </c>
      <c r="W1717" s="8" t="s">
        <v>380</v>
      </c>
      <c r="X1717" s="8" t="s">
        <v>102</v>
      </c>
      <c r="Y1717" s="8" t="s">
        <v>23</v>
      </c>
    </row>
    <row r="1718" spans="1:25" s="7" customFormat="1" hidden="1" x14ac:dyDescent="0.25">
      <c r="A1718" s="273" t="s">
        <v>316</v>
      </c>
      <c r="B1718" s="251">
        <v>45834</v>
      </c>
      <c r="C1718" s="252" t="s">
        <v>828</v>
      </c>
      <c r="D1718" s="252"/>
      <c r="E1718" s="253">
        <v>121</v>
      </c>
      <c r="F1718" s="253">
        <v>0</v>
      </c>
      <c r="G1718" s="274">
        <f>Tabla3[[#This Row],[INGRESOS]]-Tabla3[[#This Row],[EGRESOS]]</f>
        <v>-121</v>
      </c>
      <c r="H1718" s="135">
        <v>1904975.57</v>
      </c>
      <c r="I1718" s="135">
        <v>1170</v>
      </c>
      <c r="J1718" s="136">
        <f>Tabla3[[#This Row],[EGRESOS]]/Tabla3[[#This Row],[TC]]</f>
        <v>0.10341880341880341</v>
      </c>
      <c r="K1718" s="136">
        <f>Tabla3[[#This Row],[INGRESOS]]/Tabla3[[#This Row],[TC]]</f>
        <v>0</v>
      </c>
      <c r="L1718" s="8" t="s">
        <v>376</v>
      </c>
      <c r="M1718" s="8" t="s">
        <v>377</v>
      </c>
      <c r="N1718" s="8" t="s">
        <v>20</v>
      </c>
      <c r="O1718" s="8" t="s">
        <v>184</v>
      </c>
      <c r="P1718" s="8" t="s">
        <v>185</v>
      </c>
      <c r="Q1718" s="8" t="s">
        <v>186</v>
      </c>
      <c r="R1718" s="8" t="s">
        <v>227</v>
      </c>
      <c r="S1718" s="8"/>
      <c r="T1718" s="8"/>
      <c r="U1718" s="8" t="s">
        <v>384</v>
      </c>
      <c r="V1718" s="8"/>
      <c r="W1718" s="8" t="s">
        <v>380</v>
      </c>
      <c r="X1718" s="8" t="s">
        <v>99</v>
      </c>
      <c r="Y1718" s="8" t="s">
        <v>23</v>
      </c>
    </row>
    <row r="1719" spans="1:25" s="7" customFormat="1" hidden="1" x14ac:dyDescent="0.25">
      <c r="A1719" s="273" t="s">
        <v>316</v>
      </c>
      <c r="B1719" s="251">
        <v>45834</v>
      </c>
      <c r="C1719" s="252" t="s">
        <v>800</v>
      </c>
      <c r="D1719" s="252"/>
      <c r="E1719" s="253">
        <v>600000</v>
      </c>
      <c r="F1719" s="253">
        <v>0</v>
      </c>
      <c r="G1719" s="274">
        <f>Tabla3[[#This Row],[INGRESOS]]-Tabla3[[#This Row],[EGRESOS]]</f>
        <v>-600000</v>
      </c>
      <c r="H1719" s="135">
        <v>1304975.57</v>
      </c>
      <c r="I1719" s="135">
        <v>1170</v>
      </c>
      <c r="J1719" s="136">
        <f>Tabla3[[#This Row],[EGRESOS]]/Tabla3[[#This Row],[TC]]</f>
        <v>512.82051282051282</v>
      </c>
      <c r="K1719" s="136">
        <f>Tabla3[[#This Row],[INGRESOS]]/Tabla3[[#This Row],[TC]]</f>
        <v>0</v>
      </c>
      <c r="L1719" s="8" t="s">
        <v>376</v>
      </c>
      <c r="M1719" s="8" t="s">
        <v>377</v>
      </c>
      <c r="N1719" s="8" t="s">
        <v>20</v>
      </c>
      <c r="O1719" s="8" t="s">
        <v>184</v>
      </c>
      <c r="P1719" s="8" t="s">
        <v>199</v>
      </c>
      <c r="Q1719" s="8" t="s">
        <v>201</v>
      </c>
      <c r="R1719" s="8" t="s">
        <v>914</v>
      </c>
      <c r="S1719" s="8" t="s">
        <v>389</v>
      </c>
      <c r="T1719" s="8"/>
      <c r="U1719" s="8" t="s">
        <v>390</v>
      </c>
      <c r="V1719" s="8"/>
      <c r="W1719" s="8" t="s">
        <v>380</v>
      </c>
      <c r="X1719" s="8" t="s">
        <v>99</v>
      </c>
      <c r="Y1719" s="8" t="s">
        <v>23</v>
      </c>
    </row>
    <row r="1720" spans="1:25" s="7" customFormat="1" hidden="1" x14ac:dyDescent="0.25">
      <c r="A1720" s="273" t="s">
        <v>316</v>
      </c>
      <c r="B1720" s="251">
        <v>45834</v>
      </c>
      <c r="C1720" s="252" t="s">
        <v>828</v>
      </c>
      <c r="D1720" s="252"/>
      <c r="E1720" s="253">
        <v>121</v>
      </c>
      <c r="F1720" s="253">
        <v>0</v>
      </c>
      <c r="G1720" s="274">
        <f>Tabla3[[#This Row],[INGRESOS]]-Tabla3[[#This Row],[EGRESOS]]</f>
        <v>-121</v>
      </c>
      <c r="H1720" s="135">
        <v>1304854.57</v>
      </c>
      <c r="I1720" s="135">
        <v>1170</v>
      </c>
      <c r="J1720" s="136">
        <f>Tabla3[[#This Row],[EGRESOS]]/Tabla3[[#This Row],[TC]]</f>
        <v>0.10341880341880341</v>
      </c>
      <c r="K1720" s="136">
        <f>Tabla3[[#This Row],[INGRESOS]]/Tabla3[[#This Row],[TC]]</f>
        <v>0</v>
      </c>
      <c r="L1720" s="8" t="s">
        <v>376</v>
      </c>
      <c r="M1720" s="8" t="s">
        <v>377</v>
      </c>
      <c r="N1720" s="8" t="s">
        <v>20</v>
      </c>
      <c r="O1720" s="8" t="s">
        <v>184</v>
      </c>
      <c r="P1720" s="8" t="s">
        <v>185</v>
      </c>
      <c r="Q1720" s="8" t="s">
        <v>186</v>
      </c>
      <c r="R1720" s="8" t="s">
        <v>227</v>
      </c>
      <c r="S1720" s="8"/>
      <c r="T1720" s="8"/>
      <c r="U1720" s="8" t="s">
        <v>384</v>
      </c>
      <c r="V1720" s="8"/>
      <c r="W1720" s="8" t="s">
        <v>380</v>
      </c>
      <c r="X1720" s="8" t="s">
        <v>99</v>
      </c>
      <c r="Y1720" s="8" t="s">
        <v>23</v>
      </c>
    </row>
    <row r="1721" spans="1:25" s="7" customFormat="1" hidden="1" x14ac:dyDescent="0.25">
      <c r="A1721" s="273" t="s">
        <v>316</v>
      </c>
      <c r="B1721" s="251">
        <v>45834</v>
      </c>
      <c r="C1721" s="252" t="s">
        <v>760</v>
      </c>
      <c r="D1721" s="252"/>
      <c r="E1721" s="253">
        <v>18660.52</v>
      </c>
      <c r="F1721" s="253">
        <v>0</v>
      </c>
      <c r="G1721" s="274">
        <f>Tabla3[[#This Row],[INGRESOS]]-Tabla3[[#This Row],[EGRESOS]]</f>
        <v>-18660.52</v>
      </c>
      <c r="H1721" s="135">
        <v>1286194.05</v>
      </c>
      <c r="I1721" s="135">
        <v>1170</v>
      </c>
      <c r="J1721" s="136">
        <f>Tabla3[[#This Row],[EGRESOS]]/Tabla3[[#This Row],[TC]]</f>
        <v>15.949162393162393</v>
      </c>
      <c r="K1721" s="136">
        <f>Tabla3[[#This Row],[INGRESOS]]/Tabla3[[#This Row],[TC]]</f>
        <v>0</v>
      </c>
      <c r="L1721" s="8" t="s">
        <v>376</v>
      </c>
      <c r="M1721" s="8" t="s">
        <v>377</v>
      </c>
      <c r="N1721" s="8" t="s">
        <v>20</v>
      </c>
      <c r="O1721" s="8" t="s">
        <v>184</v>
      </c>
      <c r="P1721" s="8" t="s">
        <v>195</v>
      </c>
      <c r="Q1721" s="8" t="s">
        <v>196</v>
      </c>
      <c r="R1721" s="8" t="s">
        <v>394</v>
      </c>
      <c r="S1721" s="8" t="s">
        <v>383</v>
      </c>
      <c r="T1721" s="8"/>
      <c r="U1721" s="8" t="s">
        <v>384</v>
      </c>
      <c r="V1721" s="8"/>
      <c r="W1721" s="8" t="s">
        <v>380</v>
      </c>
      <c r="X1721" s="8" t="s">
        <v>99</v>
      </c>
      <c r="Y1721" s="8" t="s">
        <v>23</v>
      </c>
    </row>
    <row r="1722" spans="1:25" s="7" customFormat="1" hidden="1" x14ac:dyDescent="0.25">
      <c r="A1722" s="273" t="s">
        <v>316</v>
      </c>
      <c r="B1722" s="251">
        <v>45835</v>
      </c>
      <c r="C1722" s="252" t="s">
        <v>800</v>
      </c>
      <c r="D1722" s="252"/>
      <c r="E1722" s="253">
        <v>498034.54</v>
      </c>
      <c r="F1722" s="253">
        <v>0</v>
      </c>
      <c r="G1722" s="274">
        <f>Tabla3[[#This Row],[INGRESOS]]-Tabla3[[#This Row],[EGRESOS]]</f>
        <v>-498034.54</v>
      </c>
      <c r="H1722" s="135">
        <v>788159.51</v>
      </c>
      <c r="I1722" s="135">
        <v>1170</v>
      </c>
      <c r="J1722" s="136">
        <f>Tabla3[[#This Row],[EGRESOS]]/Tabla3[[#This Row],[TC]]</f>
        <v>425.67054700854698</v>
      </c>
      <c r="K1722" s="136">
        <f>Tabla3[[#This Row],[INGRESOS]]/Tabla3[[#This Row],[TC]]</f>
        <v>0</v>
      </c>
      <c r="L1722" s="8" t="s">
        <v>376</v>
      </c>
      <c r="M1722" s="8" t="s">
        <v>377</v>
      </c>
      <c r="N1722" s="8" t="s">
        <v>20</v>
      </c>
      <c r="O1722" s="8" t="s">
        <v>286</v>
      </c>
      <c r="P1722" s="8" t="s">
        <v>287</v>
      </c>
      <c r="Q1722" s="8" t="s">
        <v>292</v>
      </c>
      <c r="R1722" s="8" t="s">
        <v>293</v>
      </c>
      <c r="S1722" s="8" t="s">
        <v>740</v>
      </c>
      <c r="T1722" s="8"/>
      <c r="U1722" s="8" t="s">
        <v>412</v>
      </c>
      <c r="V1722" s="8"/>
      <c r="W1722" s="8" t="s">
        <v>380</v>
      </c>
      <c r="X1722" s="8" t="s">
        <v>29</v>
      </c>
      <c r="Y1722" s="8" t="s">
        <v>23</v>
      </c>
    </row>
    <row r="1723" spans="1:25" s="7" customFormat="1" hidden="1" x14ac:dyDescent="0.25">
      <c r="A1723" s="273" t="s">
        <v>316</v>
      </c>
      <c r="B1723" s="251">
        <v>45835</v>
      </c>
      <c r="C1723" s="252" t="s">
        <v>828</v>
      </c>
      <c r="D1723" s="252"/>
      <c r="E1723" s="253">
        <v>121</v>
      </c>
      <c r="F1723" s="253">
        <v>0</v>
      </c>
      <c r="G1723" s="274">
        <f>Tabla3[[#This Row],[INGRESOS]]-Tabla3[[#This Row],[EGRESOS]]</f>
        <v>-121</v>
      </c>
      <c r="H1723" s="135">
        <v>788038.51</v>
      </c>
      <c r="I1723" s="135">
        <v>1170</v>
      </c>
      <c r="J1723" s="136">
        <f>Tabla3[[#This Row],[EGRESOS]]/Tabla3[[#This Row],[TC]]</f>
        <v>0.10341880341880341</v>
      </c>
      <c r="K1723" s="136">
        <f>Tabla3[[#This Row],[INGRESOS]]/Tabla3[[#This Row],[TC]]</f>
        <v>0</v>
      </c>
      <c r="L1723" s="8" t="s">
        <v>376</v>
      </c>
      <c r="M1723" s="8" t="s">
        <v>377</v>
      </c>
      <c r="N1723" s="8" t="s">
        <v>20</v>
      </c>
      <c r="O1723" s="8" t="s">
        <v>184</v>
      </c>
      <c r="P1723" s="8" t="s">
        <v>185</v>
      </c>
      <c r="Q1723" s="8" t="s">
        <v>186</v>
      </c>
      <c r="R1723" s="8" t="s">
        <v>227</v>
      </c>
      <c r="S1723" s="8"/>
      <c r="T1723" s="8"/>
      <c r="U1723" s="8" t="s">
        <v>384</v>
      </c>
      <c r="V1723" s="8"/>
      <c r="W1723" s="8" t="s">
        <v>380</v>
      </c>
      <c r="X1723" s="8" t="s">
        <v>99</v>
      </c>
      <c r="Y1723" s="8" t="s">
        <v>23</v>
      </c>
    </row>
    <row r="1724" spans="1:25" s="7" customFormat="1" hidden="1" x14ac:dyDescent="0.25">
      <c r="A1724" s="273" t="s">
        <v>316</v>
      </c>
      <c r="B1724" s="251">
        <v>45835</v>
      </c>
      <c r="C1724" s="252" t="s">
        <v>762</v>
      </c>
      <c r="D1724" s="252"/>
      <c r="E1724" s="253">
        <v>2614.5</v>
      </c>
      <c r="F1724" s="253">
        <v>0</v>
      </c>
      <c r="G1724" s="274">
        <f>Tabla3[[#This Row],[INGRESOS]]-Tabla3[[#This Row],[EGRESOS]]</f>
        <v>-2614.5</v>
      </c>
      <c r="H1724" s="137">
        <v>785424.01</v>
      </c>
      <c r="I1724" s="135">
        <v>1170</v>
      </c>
      <c r="J1724" s="136">
        <f>Tabla3[[#This Row],[EGRESOS]]/Tabla3[[#This Row],[TC]]</f>
        <v>2.2346153846153847</v>
      </c>
      <c r="K1724" s="136">
        <f>Tabla3[[#This Row],[INGRESOS]]/Tabla3[[#This Row],[TC]]</f>
        <v>0</v>
      </c>
      <c r="L1724" s="8" t="s">
        <v>376</v>
      </c>
      <c r="M1724" s="8" t="s">
        <v>377</v>
      </c>
      <c r="N1724" s="8" t="s">
        <v>20</v>
      </c>
      <c r="O1724" s="8" t="s">
        <v>184</v>
      </c>
      <c r="P1724" s="8" t="s">
        <v>195</v>
      </c>
      <c r="Q1724" s="8" t="s">
        <v>196</v>
      </c>
      <c r="R1724" s="8" t="s">
        <v>382</v>
      </c>
      <c r="S1724" s="8" t="s">
        <v>383</v>
      </c>
      <c r="T1724" s="8"/>
      <c r="U1724" s="8" t="s">
        <v>384</v>
      </c>
      <c r="V1724" s="8"/>
      <c r="W1724" s="8" t="s">
        <v>380</v>
      </c>
      <c r="X1724" s="8" t="s">
        <v>99</v>
      </c>
      <c r="Y1724" s="8" t="s">
        <v>23</v>
      </c>
    </row>
    <row r="1725" spans="1:25" s="7" customFormat="1" hidden="1" x14ac:dyDescent="0.25">
      <c r="A1725" s="273" t="s">
        <v>316</v>
      </c>
      <c r="B1725" s="251">
        <v>45835</v>
      </c>
      <c r="C1725" s="252" t="s">
        <v>763</v>
      </c>
      <c r="D1725" s="252"/>
      <c r="E1725" s="253">
        <v>373.5</v>
      </c>
      <c r="F1725" s="253">
        <v>0</v>
      </c>
      <c r="G1725" s="274">
        <f>Tabla3[[#This Row],[INGRESOS]]-Tabla3[[#This Row],[EGRESOS]]</f>
        <v>-373.5</v>
      </c>
      <c r="H1725" s="137">
        <v>785050.51</v>
      </c>
      <c r="I1725" s="135">
        <v>1170</v>
      </c>
      <c r="J1725" s="136">
        <f>Tabla3[[#This Row],[EGRESOS]]/Tabla3[[#This Row],[TC]]</f>
        <v>0.31923076923076921</v>
      </c>
      <c r="K1725" s="136">
        <f>Tabla3[[#This Row],[INGRESOS]]/Tabla3[[#This Row],[TC]]</f>
        <v>0</v>
      </c>
      <c r="L1725" s="8" t="s">
        <v>376</v>
      </c>
      <c r="M1725" s="8" t="s">
        <v>377</v>
      </c>
      <c r="N1725" s="8" t="s">
        <v>20</v>
      </c>
      <c r="O1725" s="8" t="s">
        <v>184</v>
      </c>
      <c r="P1725" s="8" t="s">
        <v>195</v>
      </c>
      <c r="Q1725" s="8" t="s">
        <v>196</v>
      </c>
      <c r="R1725" s="8" t="s">
        <v>417</v>
      </c>
      <c r="S1725" s="8" t="s">
        <v>383</v>
      </c>
      <c r="T1725" s="8"/>
      <c r="U1725" s="8" t="s">
        <v>384</v>
      </c>
      <c r="V1725" s="8"/>
      <c r="W1725" s="8" t="s">
        <v>380</v>
      </c>
      <c r="X1725" s="8" t="s">
        <v>99</v>
      </c>
      <c r="Y1725" s="8" t="s">
        <v>23</v>
      </c>
    </row>
    <row r="1726" spans="1:25" s="7" customFormat="1" hidden="1" x14ac:dyDescent="0.25">
      <c r="A1726" s="273" t="s">
        <v>316</v>
      </c>
      <c r="B1726" s="251">
        <v>45835</v>
      </c>
      <c r="C1726" s="252" t="s">
        <v>837</v>
      </c>
      <c r="D1726" s="252"/>
      <c r="E1726" s="253">
        <v>12450</v>
      </c>
      <c r="F1726" s="253">
        <v>0</v>
      </c>
      <c r="G1726" s="274">
        <f>Tabla3[[#This Row],[INGRESOS]]-Tabla3[[#This Row],[EGRESOS]]</f>
        <v>-12450</v>
      </c>
      <c r="H1726" s="137">
        <v>772600.51</v>
      </c>
      <c r="I1726" s="135">
        <v>1170</v>
      </c>
      <c r="J1726" s="136">
        <f>Tabla3[[#This Row],[EGRESOS]]/Tabla3[[#This Row],[TC]]</f>
        <v>10.641025641025641</v>
      </c>
      <c r="K1726" s="136">
        <f>Tabla3[[#This Row],[INGRESOS]]/Tabla3[[#This Row],[TC]]</f>
        <v>0</v>
      </c>
      <c r="L1726" s="8" t="s">
        <v>376</v>
      </c>
      <c r="M1726" s="8" t="s">
        <v>377</v>
      </c>
      <c r="N1726" s="8" t="s">
        <v>20</v>
      </c>
      <c r="O1726" s="8" t="s">
        <v>184</v>
      </c>
      <c r="P1726" s="8" t="s">
        <v>185</v>
      </c>
      <c r="Q1726" s="8" t="s">
        <v>186</v>
      </c>
      <c r="R1726" s="8" t="s">
        <v>227</v>
      </c>
      <c r="S1726" s="8"/>
      <c r="T1726" s="8"/>
      <c r="U1726" s="8" t="s">
        <v>384</v>
      </c>
      <c r="V1726" s="8"/>
      <c r="W1726" s="8" t="s">
        <v>380</v>
      </c>
      <c r="X1726" s="8" t="s">
        <v>99</v>
      </c>
      <c r="Y1726" s="8" t="s">
        <v>23</v>
      </c>
    </row>
    <row r="1727" spans="1:25" s="7" customFormat="1" hidden="1" x14ac:dyDescent="0.25">
      <c r="A1727" s="273" t="s">
        <v>316</v>
      </c>
      <c r="B1727" s="251">
        <v>45835</v>
      </c>
      <c r="C1727" s="252" t="s">
        <v>760</v>
      </c>
      <c r="D1727" s="252"/>
      <c r="E1727" s="253">
        <v>3081.57</v>
      </c>
      <c r="F1727" s="253">
        <v>0</v>
      </c>
      <c r="G1727" s="274">
        <f>Tabla3[[#This Row],[INGRESOS]]-Tabla3[[#This Row],[EGRESOS]]</f>
        <v>-3081.57</v>
      </c>
      <c r="H1727" s="137">
        <v>769518.94</v>
      </c>
      <c r="I1727" s="135">
        <v>1170</v>
      </c>
      <c r="J1727" s="136">
        <f>Tabla3[[#This Row],[EGRESOS]]/Tabla3[[#This Row],[TC]]</f>
        <v>2.6338205128205128</v>
      </c>
      <c r="K1727" s="136">
        <f>Tabla3[[#This Row],[INGRESOS]]/Tabla3[[#This Row],[TC]]</f>
        <v>0</v>
      </c>
      <c r="L1727" s="8" t="s">
        <v>376</v>
      </c>
      <c r="M1727" s="8" t="s">
        <v>377</v>
      </c>
      <c r="N1727" s="8" t="s">
        <v>20</v>
      </c>
      <c r="O1727" s="8" t="s">
        <v>184</v>
      </c>
      <c r="P1727" s="8" t="s">
        <v>195</v>
      </c>
      <c r="Q1727" s="8" t="s">
        <v>196</v>
      </c>
      <c r="R1727" s="8" t="s">
        <v>394</v>
      </c>
      <c r="S1727" s="8" t="s">
        <v>383</v>
      </c>
      <c r="T1727" s="8"/>
      <c r="U1727" s="8" t="s">
        <v>384</v>
      </c>
      <c r="V1727" s="8"/>
      <c r="W1727" s="8" t="s">
        <v>380</v>
      </c>
      <c r="X1727" s="8" t="s">
        <v>99</v>
      </c>
      <c r="Y1727" s="8" t="s">
        <v>23</v>
      </c>
    </row>
    <row r="1728" spans="1:25" s="7" customFormat="1" hidden="1" x14ac:dyDescent="0.25">
      <c r="A1728" s="273" t="s">
        <v>316</v>
      </c>
      <c r="B1728" s="251">
        <v>45835</v>
      </c>
      <c r="C1728" s="252" t="s">
        <v>795</v>
      </c>
      <c r="D1728" s="252"/>
      <c r="E1728" s="253">
        <v>57382.239999999998</v>
      </c>
      <c r="F1728" s="253">
        <v>0</v>
      </c>
      <c r="G1728" s="274">
        <f>Tabla3[[#This Row],[INGRESOS]]-Tabla3[[#This Row],[EGRESOS]]</f>
        <v>-57382.239999999998</v>
      </c>
      <c r="H1728" s="137">
        <v>712136.7</v>
      </c>
      <c r="I1728" s="135">
        <v>1170</v>
      </c>
      <c r="J1728" s="136">
        <f>Tabla3[[#This Row],[EGRESOS]]/Tabla3[[#This Row],[TC]]</f>
        <v>49.044649572649568</v>
      </c>
      <c r="K1728" s="136">
        <f>Tabla3[[#This Row],[INGRESOS]]/Tabla3[[#This Row],[TC]]</f>
        <v>0</v>
      </c>
      <c r="L1728" s="8" t="s">
        <v>376</v>
      </c>
      <c r="M1728" s="8" t="s">
        <v>377</v>
      </c>
      <c r="N1728" s="8" t="s">
        <v>20</v>
      </c>
      <c r="O1728" s="8" t="s">
        <v>244</v>
      </c>
      <c r="P1728" s="8" t="s">
        <v>259</v>
      </c>
      <c r="Q1728" s="8" t="s">
        <v>260</v>
      </c>
      <c r="R1728" s="8" t="s">
        <v>804</v>
      </c>
      <c r="S1728" s="8"/>
      <c r="T1728" s="8"/>
      <c r="U1728" s="8" t="s">
        <v>379</v>
      </c>
      <c r="V1728" s="8"/>
      <c r="W1728" s="8"/>
      <c r="X1728" s="8"/>
      <c r="Y1728" s="8"/>
    </row>
    <row r="1729" spans="1:25" s="7" customFormat="1" hidden="1" x14ac:dyDescent="0.25">
      <c r="A1729" s="273" t="s">
        <v>316</v>
      </c>
      <c r="B1729" s="251">
        <v>45838</v>
      </c>
      <c r="C1729" s="252" t="s">
        <v>782</v>
      </c>
      <c r="D1729" s="252" t="s">
        <v>1028</v>
      </c>
      <c r="E1729" s="253">
        <v>2583932</v>
      </c>
      <c r="F1729" s="253">
        <v>0</v>
      </c>
      <c r="G1729" s="274">
        <f>Tabla3[[#This Row],[INGRESOS]]-Tabla3[[#This Row],[EGRESOS]]</f>
        <v>-2583932</v>
      </c>
      <c r="H1729" s="137">
        <v>-1871795.3</v>
      </c>
      <c r="I1729" s="135">
        <v>1170</v>
      </c>
      <c r="J1729" s="136">
        <f>Tabla3[[#This Row],[EGRESOS]]/Tabla3[[#This Row],[TC]]</f>
        <v>2208.4888888888891</v>
      </c>
      <c r="K1729" s="136">
        <f>Tabla3[[#This Row],[INGRESOS]]/Tabla3[[#This Row],[TC]]</f>
        <v>0</v>
      </c>
      <c r="L1729" s="8" t="s">
        <v>376</v>
      </c>
      <c r="M1729" s="8" t="s">
        <v>377</v>
      </c>
      <c r="N1729" s="8" t="s">
        <v>20</v>
      </c>
      <c r="O1729" s="8" t="s">
        <v>215</v>
      </c>
      <c r="P1729" s="8" t="s">
        <v>216</v>
      </c>
      <c r="Q1729" s="8" t="s">
        <v>220</v>
      </c>
      <c r="R1729" s="8" t="s">
        <v>332</v>
      </c>
      <c r="S1729" s="8" t="s">
        <v>1029</v>
      </c>
      <c r="T1729" s="8" t="s">
        <v>833</v>
      </c>
      <c r="U1729" s="8" t="s">
        <v>412</v>
      </c>
      <c r="V1729" s="8"/>
      <c r="W1729" s="8" t="s">
        <v>380</v>
      </c>
      <c r="X1729" s="8" t="s">
        <v>29</v>
      </c>
      <c r="Y1729" s="8" t="s">
        <v>23</v>
      </c>
    </row>
    <row r="1730" spans="1:25" s="7" customFormat="1" hidden="1" x14ac:dyDescent="0.25">
      <c r="A1730" s="273" t="s">
        <v>316</v>
      </c>
      <c r="B1730" s="251">
        <v>45838</v>
      </c>
      <c r="C1730" s="252" t="s">
        <v>1030</v>
      </c>
      <c r="D1730" s="252"/>
      <c r="E1730" s="253">
        <v>0</v>
      </c>
      <c r="F1730" s="253">
        <v>28644071.59</v>
      </c>
      <c r="G1730" s="274">
        <f>Tabla3[[#This Row],[INGRESOS]]-Tabla3[[#This Row],[EGRESOS]]</f>
        <v>28644071.59</v>
      </c>
      <c r="H1730" s="137">
        <v>26772276.289999999</v>
      </c>
      <c r="I1730" s="135">
        <v>1170</v>
      </c>
      <c r="J1730" s="136">
        <f>Tabla3[[#This Row],[EGRESOS]]/Tabla3[[#This Row],[TC]]</f>
        <v>0</v>
      </c>
      <c r="K1730" s="136">
        <f>Tabla3[[#This Row],[INGRESOS]]/Tabla3[[#This Row],[TC]]</f>
        <v>24482.112470085471</v>
      </c>
      <c r="L1730" s="8" t="s">
        <v>376</v>
      </c>
      <c r="M1730" s="8" t="s">
        <v>377</v>
      </c>
      <c r="N1730" s="8" t="s">
        <v>20</v>
      </c>
      <c r="O1730" s="8" t="s">
        <v>215</v>
      </c>
      <c r="P1730" s="8" t="s">
        <v>216</v>
      </c>
      <c r="Q1730" s="8" t="s">
        <v>220</v>
      </c>
      <c r="R1730" s="8" t="s">
        <v>929</v>
      </c>
      <c r="S1730" s="8" t="s">
        <v>706</v>
      </c>
      <c r="T1730" s="8"/>
      <c r="U1730" s="8" t="s">
        <v>516</v>
      </c>
      <c r="V1730" s="8"/>
      <c r="W1730" s="8" t="s">
        <v>380</v>
      </c>
      <c r="X1730" s="8" t="s">
        <v>23</v>
      </c>
      <c r="Y1730" s="8" t="s">
        <v>97</v>
      </c>
    </row>
    <row r="1731" spans="1:25" s="7" customFormat="1" hidden="1" x14ac:dyDescent="0.25">
      <c r="A1731" s="273" t="s">
        <v>316</v>
      </c>
      <c r="B1731" s="251">
        <v>45838</v>
      </c>
      <c r="C1731" s="252" t="s">
        <v>760</v>
      </c>
      <c r="D1731" s="252"/>
      <c r="E1731" s="253">
        <v>171864.43</v>
      </c>
      <c r="F1731" s="253">
        <v>0</v>
      </c>
      <c r="G1731" s="274">
        <f>Tabla3[[#This Row],[INGRESOS]]-Tabla3[[#This Row],[EGRESOS]]</f>
        <v>-171864.43</v>
      </c>
      <c r="H1731" s="137">
        <v>26600411.859999999</v>
      </c>
      <c r="I1731" s="135">
        <v>1170</v>
      </c>
      <c r="J1731" s="136">
        <f>Tabla3[[#This Row],[EGRESOS]]/Tabla3[[#This Row],[TC]]</f>
        <v>146.8926752136752</v>
      </c>
      <c r="K1731" s="136">
        <f>Tabla3[[#This Row],[INGRESOS]]/Tabla3[[#This Row],[TC]]</f>
        <v>0</v>
      </c>
      <c r="L1731" s="8" t="s">
        <v>376</v>
      </c>
      <c r="M1731" s="8" t="s">
        <v>377</v>
      </c>
      <c r="N1731" s="8" t="s">
        <v>20</v>
      </c>
      <c r="O1731" s="8" t="s">
        <v>184</v>
      </c>
      <c r="P1731" s="8" t="s">
        <v>195</v>
      </c>
      <c r="Q1731" s="8" t="s">
        <v>196</v>
      </c>
      <c r="R1731" s="8" t="s">
        <v>394</v>
      </c>
      <c r="S1731" s="8" t="s">
        <v>383</v>
      </c>
      <c r="T1731" s="8"/>
      <c r="U1731" s="8" t="s">
        <v>384</v>
      </c>
      <c r="V1731" s="8"/>
      <c r="W1731" s="8" t="s">
        <v>380</v>
      </c>
      <c r="X1731" s="8" t="s">
        <v>99</v>
      </c>
      <c r="Y1731" s="8" t="s">
        <v>23</v>
      </c>
    </row>
    <row r="1732" spans="1:25" s="7" customFormat="1" hidden="1" x14ac:dyDescent="0.25">
      <c r="A1732" s="273" t="s">
        <v>316</v>
      </c>
      <c r="B1732" s="251">
        <v>45838</v>
      </c>
      <c r="C1732" s="252" t="s">
        <v>773</v>
      </c>
      <c r="D1732" s="252"/>
      <c r="E1732" s="253">
        <v>15503.59</v>
      </c>
      <c r="F1732" s="253">
        <v>0</v>
      </c>
      <c r="G1732" s="274">
        <f>Tabla3[[#This Row],[INGRESOS]]-Tabla3[[#This Row],[EGRESOS]]</f>
        <v>-15503.59</v>
      </c>
      <c r="H1732" s="137">
        <v>26584908.27</v>
      </c>
      <c r="I1732" s="135">
        <v>1170</v>
      </c>
      <c r="J1732" s="136">
        <f>Tabla3[[#This Row],[EGRESOS]]/Tabla3[[#This Row],[TC]]</f>
        <v>13.250931623931624</v>
      </c>
      <c r="K1732" s="136">
        <f>Tabla3[[#This Row],[INGRESOS]]/Tabla3[[#This Row],[TC]]</f>
        <v>0</v>
      </c>
      <c r="L1732" s="8" t="s">
        <v>376</v>
      </c>
      <c r="M1732" s="8" t="s">
        <v>377</v>
      </c>
      <c r="N1732" s="8" t="s">
        <v>20</v>
      </c>
      <c r="O1732" s="8" t="s">
        <v>184</v>
      </c>
      <c r="P1732" s="8" t="s">
        <v>195</v>
      </c>
      <c r="Q1732" s="8" t="s">
        <v>196</v>
      </c>
      <c r="R1732" s="8" t="s">
        <v>394</v>
      </c>
      <c r="S1732" s="8" t="s">
        <v>383</v>
      </c>
      <c r="T1732" s="8"/>
      <c r="U1732" s="8" t="s">
        <v>384</v>
      </c>
      <c r="V1732" s="8"/>
      <c r="W1732" s="8" t="s">
        <v>380</v>
      </c>
      <c r="X1732" s="8" t="s">
        <v>99</v>
      </c>
      <c r="Y1732" s="8" t="s">
        <v>23</v>
      </c>
    </row>
    <row r="1733" spans="1:25" s="7" customFormat="1" hidden="1" x14ac:dyDescent="0.25">
      <c r="A1733" s="273" t="s">
        <v>317</v>
      </c>
      <c r="B1733" s="251">
        <v>45839</v>
      </c>
      <c r="C1733" s="252" t="s">
        <v>762</v>
      </c>
      <c r="D1733" s="252"/>
      <c r="E1733" s="253">
        <v>8758.66</v>
      </c>
      <c r="F1733" s="253">
        <v>0</v>
      </c>
      <c r="G1733" s="274">
        <f>Tabla3[[#This Row],[INGRESOS]]-Tabla3[[#This Row],[EGRESOS]]</f>
        <v>-8758.66</v>
      </c>
      <c r="H1733" s="137">
        <v>26576149.609999999</v>
      </c>
      <c r="I1733" s="135">
        <v>1170</v>
      </c>
      <c r="J1733" s="136">
        <f>Tabla3[[#This Row],[EGRESOS]]/Tabla3[[#This Row],[TC]]</f>
        <v>7.4860341880341883</v>
      </c>
      <c r="K1733" s="136">
        <f>Tabla3[[#This Row],[INGRESOS]]/Tabla3[[#This Row],[TC]]</f>
        <v>0</v>
      </c>
      <c r="L1733" s="8" t="s">
        <v>376</v>
      </c>
      <c r="M1733" s="8" t="s">
        <v>377</v>
      </c>
      <c r="N1733" s="8" t="s">
        <v>20</v>
      </c>
      <c r="O1733" s="8" t="s">
        <v>184</v>
      </c>
      <c r="P1733" s="8" t="s">
        <v>195</v>
      </c>
      <c r="Q1733" s="8" t="s">
        <v>196</v>
      </c>
      <c r="R1733" s="8" t="s">
        <v>382</v>
      </c>
      <c r="S1733" s="8" t="s">
        <v>383</v>
      </c>
      <c r="T1733" s="8"/>
      <c r="U1733" s="8" t="s">
        <v>384</v>
      </c>
      <c r="V1733" s="8"/>
      <c r="W1733" s="8" t="s">
        <v>380</v>
      </c>
      <c r="X1733" s="8" t="s">
        <v>99</v>
      </c>
      <c r="Y1733" s="8" t="s">
        <v>23</v>
      </c>
    </row>
    <row r="1734" spans="1:25" s="7" customFormat="1" hidden="1" x14ac:dyDescent="0.25">
      <c r="A1734" s="273" t="s">
        <v>317</v>
      </c>
      <c r="B1734" s="251">
        <v>45839</v>
      </c>
      <c r="C1734" s="252" t="s">
        <v>763</v>
      </c>
      <c r="D1734" s="252"/>
      <c r="E1734" s="253">
        <v>1251.24</v>
      </c>
      <c r="F1734" s="253">
        <v>0</v>
      </c>
      <c r="G1734" s="274">
        <f>Tabla3[[#This Row],[INGRESOS]]-Tabla3[[#This Row],[EGRESOS]]</f>
        <v>-1251.24</v>
      </c>
      <c r="H1734" s="137">
        <v>26574898.370000001</v>
      </c>
      <c r="I1734" s="135">
        <v>1170</v>
      </c>
      <c r="J1734" s="136">
        <f>Tabla3[[#This Row],[EGRESOS]]/Tabla3[[#This Row],[TC]]</f>
        <v>1.0694358974358975</v>
      </c>
      <c r="K1734" s="136">
        <f>Tabla3[[#This Row],[INGRESOS]]/Tabla3[[#This Row],[TC]]</f>
        <v>0</v>
      </c>
      <c r="L1734" s="8" t="s">
        <v>376</v>
      </c>
      <c r="M1734" s="8" t="s">
        <v>377</v>
      </c>
      <c r="N1734" s="8" t="s">
        <v>20</v>
      </c>
      <c r="O1734" s="8" t="s">
        <v>184</v>
      </c>
      <c r="P1734" s="8" t="s">
        <v>195</v>
      </c>
      <c r="Q1734" s="8" t="s">
        <v>196</v>
      </c>
      <c r="R1734" s="8" t="s">
        <v>417</v>
      </c>
      <c r="S1734" s="8" t="s">
        <v>383</v>
      </c>
      <c r="T1734" s="8"/>
      <c r="U1734" s="8" t="s">
        <v>384</v>
      </c>
      <c r="V1734" s="8"/>
      <c r="W1734" s="8" t="s">
        <v>380</v>
      </c>
      <c r="X1734" s="8" t="s">
        <v>99</v>
      </c>
      <c r="Y1734" s="8" t="s">
        <v>23</v>
      </c>
    </row>
    <row r="1735" spans="1:25" s="7" customFormat="1" hidden="1" x14ac:dyDescent="0.25">
      <c r="A1735" s="273" t="s">
        <v>317</v>
      </c>
      <c r="B1735" s="251">
        <v>45839</v>
      </c>
      <c r="C1735" s="252" t="s">
        <v>780</v>
      </c>
      <c r="D1735" s="252"/>
      <c r="E1735" s="253">
        <v>83415.820000000007</v>
      </c>
      <c r="F1735" s="253">
        <v>0</v>
      </c>
      <c r="G1735" s="274">
        <f>Tabla3[[#This Row],[INGRESOS]]-Tabla3[[#This Row],[EGRESOS]]</f>
        <v>-83415.820000000007</v>
      </c>
      <c r="H1735" s="137">
        <v>26491482.550000001</v>
      </c>
      <c r="I1735" s="135">
        <v>1170</v>
      </c>
      <c r="J1735" s="136">
        <f>Tabla3[[#This Row],[EGRESOS]]/Tabla3[[#This Row],[TC]]</f>
        <v>71.295572649572662</v>
      </c>
      <c r="K1735" s="136">
        <f>Tabla3[[#This Row],[INGRESOS]]/Tabla3[[#This Row],[TC]]</f>
        <v>0</v>
      </c>
      <c r="L1735" s="8" t="s">
        <v>376</v>
      </c>
      <c r="M1735" s="8" t="s">
        <v>377</v>
      </c>
      <c r="N1735" s="8" t="s">
        <v>20</v>
      </c>
      <c r="O1735" s="8" t="s">
        <v>184</v>
      </c>
      <c r="P1735" s="8" t="s">
        <v>197</v>
      </c>
      <c r="Q1735" s="8" t="s">
        <v>198</v>
      </c>
      <c r="R1735" s="8" t="s">
        <v>419</v>
      </c>
      <c r="S1735" s="8"/>
      <c r="T1735" s="8"/>
      <c r="U1735" s="8" t="s">
        <v>384</v>
      </c>
      <c r="V1735" s="8"/>
      <c r="W1735" s="8" t="s">
        <v>380</v>
      </c>
      <c r="X1735" s="8" t="s">
        <v>99</v>
      </c>
      <c r="Y1735" s="8" t="s">
        <v>23</v>
      </c>
    </row>
    <row r="1736" spans="1:25" s="7" customFormat="1" hidden="1" x14ac:dyDescent="0.25">
      <c r="A1736" s="273" t="s">
        <v>317</v>
      </c>
      <c r="B1736" s="251">
        <v>45839</v>
      </c>
      <c r="C1736" s="252" t="s">
        <v>762</v>
      </c>
      <c r="D1736" s="252"/>
      <c r="E1736" s="253">
        <v>3728.43</v>
      </c>
      <c r="F1736" s="253">
        <v>0</v>
      </c>
      <c r="G1736" s="274">
        <f>Tabla3[[#This Row],[INGRESOS]]-Tabla3[[#This Row],[EGRESOS]]</f>
        <v>-3728.43</v>
      </c>
      <c r="H1736" s="137">
        <v>26487754.120000001</v>
      </c>
      <c r="I1736" s="135">
        <v>1170</v>
      </c>
      <c r="J1736" s="136">
        <f>Tabla3[[#This Row],[EGRESOS]]/Tabla3[[#This Row],[TC]]</f>
        <v>3.1866923076923075</v>
      </c>
      <c r="K1736" s="136">
        <f>Tabla3[[#This Row],[INGRESOS]]/Tabla3[[#This Row],[TC]]</f>
        <v>0</v>
      </c>
      <c r="L1736" s="8" t="s">
        <v>376</v>
      </c>
      <c r="M1736" s="8" t="s">
        <v>377</v>
      </c>
      <c r="N1736" s="8" t="s">
        <v>20</v>
      </c>
      <c r="O1736" s="8" t="s">
        <v>184</v>
      </c>
      <c r="P1736" s="8" t="s">
        <v>195</v>
      </c>
      <c r="Q1736" s="8" t="s">
        <v>196</v>
      </c>
      <c r="R1736" s="8" t="s">
        <v>382</v>
      </c>
      <c r="S1736" s="8" t="s">
        <v>383</v>
      </c>
      <c r="T1736" s="8"/>
      <c r="U1736" s="8" t="s">
        <v>384</v>
      </c>
      <c r="V1736" s="8"/>
      <c r="W1736" s="8" t="s">
        <v>380</v>
      </c>
      <c r="X1736" s="8" t="s">
        <v>99</v>
      </c>
      <c r="Y1736" s="8" t="s">
        <v>23</v>
      </c>
    </row>
    <row r="1737" spans="1:25" s="7" customFormat="1" hidden="1" x14ac:dyDescent="0.25">
      <c r="A1737" s="273" t="s">
        <v>317</v>
      </c>
      <c r="B1737" s="251">
        <v>45839</v>
      </c>
      <c r="C1737" s="252" t="s">
        <v>763</v>
      </c>
      <c r="D1737" s="252"/>
      <c r="E1737" s="253">
        <v>532.63</v>
      </c>
      <c r="F1737" s="253">
        <v>0</v>
      </c>
      <c r="G1737" s="274">
        <f>Tabla3[[#This Row],[INGRESOS]]-Tabla3[[#This Row],[EGRESOS]]</f>
        <v>-532.63</v>
      </c>
      <c r="H1737" s="137">
        <v>26487221.489999998</v>
      </c>
      <c r="I1737" s="135">
        <v>1170</v>
      </c>
      <c r="J1737" s="136">
        <f>Tabla3[[#This Row],[EGRESOS]]/Tabla3[[#This Row],[TC]]</f>
        <v>0.45523931623931624</v>
      </c>
      <c r="K1737" s="136">
        <f>Tabla3[[#This Row],[INGRESOS]]/Tabla3[[#This Row],[TC]]</f>
        <v>0</v>
      </c>
      <c r="L1737" s="8" t="s">
        <v>376</v>
      </c>
      <c r="M1737" s="8" t="s">
        <v>377</v>
      </c>
      <c r="N1737" s="8" t="s">
        <v>20</v>
      </c>
      <c r="O1737" s="8" t="s">
        <v>184</v>
      </c>
      <c r="P1737" s="8" t="s">
        <v>195</v>
      </c>
      <c r="Q1737" s="8" t="s">
        <v>196</v>
      </c>
      <c r="R1737" s="8" t="s">
        <v>417</v>
      </c>
      <c r="S1737" s="8" t="s">
        <v>383</v>
      </c>
      <c r="T1737" s="8"/>
      <c r="U1737" s="8" t="s">
        <v>384</v>
      </c>
      <c r="V1737" s="8"/>
      <c r="W1737" s="8" t="s">
        <v>380</v>
      </c>
      <c r="X1737" s="8" t="s">
        <v>99</v>
      </c>
      <c r="Y1737" s="8" t="s">
        <v>23</v>
      </c>
    </row>
    <row r="1738" spans="1:25" s="7" customFormat="1" hidden="1" x14ac:dyDescent="0.25">
      <c r="A1738" s="273" t="s">
        <v>317</v>
      </c>
      <c r="B1738" s="251">
        <v>45839</v>
      </c>
      <c r="C1738" s="252" t="s">
        <v>780</v>
      </c>
      <c r="D1738" s="252"/>
      <c r="E1738" s="253">
        <v>35508.85</v>
      </c>
      <c r="F1738" s="253">
        <v>0</v>
      </c>
      <c r="G1738" s="274">
        <f>Tabla3[[#This Row],[INGRESOS]]-Tabla3[[#This Row],[EGRESOS]]</f>
        <v>-35508.85</v>
      </c>
      <c r="H1738" s="137">
        <v>26451712.640000001</v>
      </c>
      <c r="I1738" s="135">
        <v>1170</v>
      </c>
      <c r="J1738" s="136">
        <f>Tabla3[[#This Row],[EGRESOS]]/Tabla3[[#This Row],[TC]]</f>
        <v>30.349444444444444</v>
      </c>
      <c r="K1738" s="136">
        <f>Tabla3[[#This Row],[INGRESOS]]/Tabla3[[#This Row],[TC]]</f>
        <v>0</v>
      </c>
      <c r="L1738" s="8" t="s">
        <v>376</v>
      </c>
      <c r="M1738" s="8" t="s">
        <v>377</v>
      </c>
      <c r="N1738" s="8" t="s">
        <v>20</v>
      </c>
      <c r="O1738" s="8" t="s">
        <v>184</v>
      </c>
      <c r="P1738" s="8" t="s">
        <v>197</v>
      </c>
      <c r="Q1738" s="8" t="s">
        <v>198</v>
      </c>
      <c r="R1738" s="8" t="s">
        <v>419</v>
      </c>
      <c r="S1738" s="8"/>
      <c r="T1738" s="8"/>
      <c r="U1738" s="8" t="s">
        <v>384</v>
      </c>
      <c r="V1738" s="8"/>
      <c r="W1738" s="8" t="s">
        <v>380</v>
      </c>
      <c r="X1738" s="8" t="s">
        <v>99</v>
      </c>
      <c r="Y1738" s="8" t="s">
        <v>23</v>
      </c>
    </row>
    <row r="1739" spans="1:25" s="7" customFormat="1" hidden="1" x14ac:dyDescent="0.25">
      <c r="A1739" s="273" t="s">
        <v>317</v>
      </c>
      <c r="B1739" s="251">
        <v>45839</v>
      </c>
      <c r="C1739" s="252" t="s">
        <v>782</v>
      </c>
      <c r="D1739" s="252" t="s">
        <v>1031</v>
      </c>
      <c r="E1739" s="253">
        <v>109290</v>
      </c>
      <c r="F1739" s="253">
        <v>0</v>
      </c>
      <c r="G1739" s="274">
        <f>Tabla3[[#This Row],[INGRESOS]]-Tabla3[[#This Row],[EGRESOS]]</f>
        <v>-109290</v>
      </c>
      <c r="H1739" s="137">
        <v>26342422.640000001</v>
      </c>
      <c r="I1739" s="135">
        <v>1170</v>
      </c>
      <c r="J1739" s="136">
        <f>Tabla3[[#This Row],[EGRESOS]]/Tabla3[[#This Row],[TC]]</f>
        <v>93.410256410256409</v>
      </c>
      <c r="K1739" s="136">
        <f>Tabla3[[#This Row],[INGRESOS]]/Tabla3[[#This Row],[TC]]</f>
        <v>0</v>
      </c>
      <c r="L1739" s="8" t="s">
        <v>376</v>
      </c>
      <c r="M1739" s="8" t="s">
        <v>377</v>
      </c>
      <c r="N1739" s="8" t="s">
        <v>20</v>
      </c>
      <c r="O1739" s="8" t="s">
        <v>286</v>
      </c>
      <c r="P1739" s="8" t="s">
        <v>287</v>
      </c>
      <c r="Q1739" s="8" t="s">
        <v>289</v>
      </c>
      <c r="R1739" s="8"/>
      <c r="S1739" s="8" t="s">
        <v>653</v>
      </c>
      <c r="T1739" s="8" t="s">
        <v>1032</v>
      </c>
      <c r="U1739" s="8" t="s">
        <v>412</v>
      </c>
      <c r="V1739" s="8"/>
      <c r="W1739" s="8" t="s">
        <v>380</v>
      </c>
      <c r="X1739" s="8" t="s">
        <v>29</v>
      </c>
      <c r="Y1739" s="8" t="s">
        <v>23</v>
      </c>
    </row>
    <row r="1740" spans="1:25" s="7" customFormat="1" hidden="1" x14ac:dyDescent="0.25">
      <c r="A1740" s="273" t="s">
        <v>317</v>
      </c>
      <c r="B1740" s="251">
        <v>45839</v>
      </c>
      <c r="C1740" s="252" t="s">
        <v>817</v>
      </c>
      <c r="D1740" s="252" t="s">
        <v>1033</v>
      </c>
      <c r="E1740" s="253">
        <v>15000000</v>
      </c>
      <c r="F1740" s="253">
        <v>0</v>
      </c>
      <c r="G1740" s="274">
        <f>Tabla3[[#This Row],[INGRESOS]]-Tabla3[[#This Row],[EGRESOS]]</f>
        <v>-15000000</v>
      </c>
      <c r="H1740" s="137">
        <v>11342422.640000001</v>
      </c>
      <c r="I1740" s="135">
        <v>1170</v>
      </c>
      <c r="J1740" s="136">
        <f>Tabla3[[#This Row],[EGRESOS]]/Tabla3[[#This Row],[TC]]</f>
        <v>12820.51282051282</v>
      </c>
      <c r="K1740" s="136">
        <f>Tabla3[[#This Row],[INGRESOS]]/Tabla3[[#This Row],[TC]]</f>
        <v>0</v>
      </c>
      <c r="L1740" s="8" t="s">
        <v>376</v>
      </c>
      <c r="M1740" s="8" t="s">
        <v>377</v>
      </c>
      <c r="N1740" s="8" t="s">
        <v>20</v>
      </c>
      <c r="O1740" s="8" t="s">
        <v>215</v>
      </c>
      <c r="P1740" s="8" t="s">
        <v>216</v>
      </c>
      <c r="Q1740" s="8" t="s">
        <v>220</v>
      </c>
      <c r="R1740" s="8" t="s">
        <v>722</v>
      </c>
      <c r="S1740" s="8" t="s">
        <v>58</v>
      </c>
      <c r="T1740" s="8"/>
      <c r="U1740" s="8" t="s">
        <v>398</v>
      </c>
      <c r="V1740" s="8"/>
      <c r="W1740" s="8" t="s">
        <v>399</v>
      </c>
      <c r="X1740" s="8" t="s">
        <v>722</v>
      </c>
      <c r="Y1740" s="8" t="s">
        <v>23</v>
      </c>
    </row>
    <row r="1741" spans="1:25" s="7" customFormat="1" hidden="1" x14ac:dyDescent="0.25">
      <c r="A1741" s="273" t="s">
        <v>317</v>
      </c>
      <c r="B1741" s="251">
        <v>45839</v>
      </c>
      <c r="C1741" s="252" t="s">
        <v>800</v>
      </c>
      <c r="D1741" s="252"/>
      <c r="E1741" s="253">
        <v>85232</v>
      </c>
      <c r="F1741" s="253">
        <v>0</v>
      </c>
      <c r="G1741" s="274">
        <f>Tabla3[[#This Row],[INGRESOS]]-Tabla3[[#This Row],[EGRESOS]]</f>
        <v>-85232</v>
      </c>
      <c r="H1741" s="137">
        <v>11257190.640000001</v>
      </c>
      <c r="I1741" s="135">
        <v>1170</v>
      </c>
      <c r="J1741" s="136">
        <f>Tabla3[[#This Row],[EGRESOS]]/Tabla3[[#This Row],[TC]]</f>
        <v>72.847863247863245</v>
      </c>
      <c r="K1741" s="136">
        <f>Tabla3[[#This Row],[INGRESOS]]/Tabla3[[#This Row],[TC]]</f>
        <v>0</v>
      </c>
      <c r="L1741" s="8" t="s">
        <v>376</v>
      </c>
      <c r="M1741" s="8" t="s">
        <v>377</v>
      </c>
      <c r="N1741" s="8" t="s">
        <v>20</v>
      </c>
      <c r="O1741" s="8" t="s">
        <v>225</v>
      </c>
      <c r="P1741" s="8" t="s">
        <v>236</v>
      </c>
      <c r="Q1741" s="8" t="s">
        <v>227</v>
      </c>
      <c r="R1741" s="8"/>
      <c r="S1741" s="8" t="s">
        <v>900</v>
      </c>
      <c r="T1741" s="8" t="s">
        <v>1034</v>
      </c>
      <c r="U1741" s="8" t="s">
        <v>412</v>
      </c>
      <c r="V1741" s="8"/>
      <c r="W1741" s="8" t="s">
        <v>380</v>
      </c>
      <c r="X1741" s="8" t="s">
        <v>29</v>
      </c>
      <c r="Y1741" s="8" t="s">
        <v>23</v>
      </c>
    </row>
    <row r="1742" spans="1:25" s="7" customFormat="1" hidden="1" x14ac:dyDescent="0.25">
      <c r="A1742" s="247" t="s">
        <v>318</v>
      </c>
      <c r="B1742" s="248">
        <v>45875</v>
      </c>
      <c r="C1742" s="244" t="s">
        <v>1338</v>
      </c>
      <c r="D1742" s="244"/>
      <c r="E1742" s="249">
        <v>8000</v>
      </c>
      <c r="F1742" s="249">
        <v>0</v>
      </c>
      <c r="G1742" s="266">
        <f>Tabla3[[#This Row],[INGRESOS]]-Tabla3[[#This Row],[EGRESOS]]</f>
        <v>-8000</v>
      </c>
      <c r="H1742" s="135">
        <v>0</v>
      </c>
      <c r="I1742" s="119">
        <v>1290</v>
      </c>
      <c r="J1742" s="136">
        <f>Tabla3[[#This Row],[EGRESOS]]/Tabla3[[#This Row],[TC]]</f>
        <v>6.2015503875968996</v>
      </c>
      <c r="K1742" s="136">
        <f>Tabla3[[#This Row],[INGRESOS]]/Tabla3[[#This Row],[TC]]</f>
        <v>0</v>
      </c>
      <c r="L1742" s="8" t="s">
        <v>1336</v>
      </c>
      <c r="M1742" s="8" t="s">
        <v>1336</v>
      </c>
      <c r="N1742" s="8" t="s">
        <v>1336</v>
      </c>
      <c r="O1742" s="7" t="s">
        <v>184</v>
      </c>
      <c r="P1742" s="7" t="s">
        <v>203</v>
      </c>
      <c r="Q1742" s="7" t="s">
        <v>205</v>
      </c>
      <c r="R1742" s="7" t="s">
        <v>1354</v>
      </c>
      <c r="S1742" s="7" t="s">
        <v>386</v>
      </c>
      <c r="U1742" s="7" t="s">
        <v>387</v>
      </c>
      <c r="V1742" s="7" t="s">
        <v>386</v>
      </c>
      <c r="W1742" s="7" t="s">
        <v>380</v>
      </c>
      <c r="X1742" s="7" t="s">
        <v>104</v>
      </c>
      <c r="Y1742" s="7" t="s">
        <v>23</v>
      </c>
    </row>
    <row r="1743" spans="1:25" s="7" customFormat="1" hidden="1" x14ac:dyDescent="0.25">
      <c r="A1743" s="273" t="s">
        <v>317</v>
      </c>
      <c r="B1743" s="251">
        <v>45839</v>
      </c>
      <c r="C1743" s="252" t="s">
        <v>404</v>
      </c>
      <c r="D1743" s="252"/>
      <c r="E1743" s="253">
        <v>770000</v>
      </c>
      <c r="F1743" s="253">
        <v>0</v>
      </c>
      <c r="G1743" s="274">
        <f>Tabla3[[#This Row],[INGRESOS]]-Tabla3[[#This Row],[EGRESOS]]</f>
        <v>-770000</v>
      </c>
      <c r="H1743" s="137">
        <v>10390910.640000001</v>
      </c>
      <c r="I1743" s="135">
        <v>1170</v>
      </c>
      <c r="J1743" s="136">
        <f>Tabla3[[#This Row],[EGRESOS]]/Tabla3[[#This Row],[TC]]</f>
        <v>658.11965811965808</v>
      </c>
      <c r="K1743" s="136">
        <f>Tabla3[[#This Row],[INGRESOS]]/Tabla3[[#This Row],[TC]]</f>
        <v>0</v>
      </c>
      <c r="L1743" s="8" t="s">
        <v>376</v>
      </c>
      <c r="M1743" s="8" t="s">
        <v>377</v>
      </c>
      <c r="N1743" s="8" t="s">
        <v>20</v>
      </c>
      <c r="O1743" s="8" t="s">
        <v>244</v>
      </c>
      <c r="P1743" s="8" t="s">
        <v>259</v>
      </c>
      <c r="Q1743" s="8" t="s">
        <v>260</v>
      </c>
      <c r="R1743" s="8" t="s">
        <v>472</v>
      </c>
      <c r="S1743" s="8"/>
      <c r="T1743" s="8"/>
      <c r="U1743" s="8" t="s">
        <v>379</v>
      </c>
      <c r="V1743" s="8"/>
      <c r="W1743" s="8"/>
      <c r="X1743" s="8"/>
      <c r="Y1743" s="8"/>
    </row>
    <row r="1744" spans="1:25" s="7" customFormat="1" hidden="1" x14ac:dyDescent="0.25">
      <c r="A1744" s="273" t="s">
        <v>317</v>
      </c>
      <c r="B1744" s="251">
        <v>45839</v>
      </c>
      <c r="C1744" s="252" t="s">
        <v>828</v>
      </c>
      <c r="D1744" s="252"/>
      <c r="E1744" s="253">
        <v>121</v>
      </c>
      <c r="F1744" s="253">
        <v>0</v>
      </c>
      <c r="G1744" s="274">
        <f>Tabla3[[#This Row],[INGRESOS]]-Tabla3[[#This Row],[EGRESOS]]</f>
        <v>-121</v>
      </c>
      <c r="H1744" s="137">
        <v>10390789.640000001</v>
      </c>
      <c r="I1744" s="135">
        <v>1170</v>
      </c>
      <c r="J1744" s="136">
        <f>Tabla3[[#This Row],[EGRESOS]]/Tabla3[[#This Row],[TC]]</f>
        <v>0.10341880341880341</v>
      </c>
      <c r="K1744" s="136">
        <f>Tabla3[[#This Row],[INGRESOS]]/Tabla3[[#This Row],[TC]]</f>
        <v>0</v>
      </c>
      <c r="L1744" s="8" t="s">
        <v>376</v>
      </c>
      <c r="M1744" s="8" t="s">
        <v>377</v>
      </c>
      <c r="N1744" s="8" t="s">
        <v>20</v>
      </c>
      <c r="O1744" s="8" t="s">
        <v>184</v>
      </c>
      <c r="P1744" s="8" t="s">
        <v>185</v>
      </c>
      <c r="Q1744" s="8" t="s">
        <v>186</v>
      </c>
      <c r="R1744" s="8" t="s">
        <v>227</v>
      </c>
      <c r="S1744" s="8"/>
      <c r="T1744" s="8"/>
      <c r="U1744" s="8" t="s">
        <v>384</v>
      </c>
      <c r="V1744" s="8"/>
      <c r="W1744" s="8" t="s">
        <v>380</v>
      </c>
      <c r="X1744" s="8" t="s">
        <v>99</v>
      </c>
      <c r="Y1744" s="8" t="s">
        <v>23</v>
      </c>
    </row>
    <row r="1745" spans="1:25" s="7" customFormat="1" hidden="1" x14ac:dyDescent="0.25">
      <c r="A1745" s="273" t="s">
        <v>317</v>
      </c>
      <c r="B1745" s="251">
        <v>45839</v>
      </c>
      <c r="C1745" s="252" t="s">
        <v>800</v>
      </c>
      <c r="D1745" s="252"/>
      <c r="E1745" s="253">
        <v>2036480.56</v>
      </c>
      <c r="F1745" s="253">
        <v>0</v>
      </c>
      <c r="G1745" s="274">
        <f>Tabla3[[#This Row],[INGRESOS]]-Tabla3[[#This Row],[EGRESOS]]</f>
        <v>-2036480.56</v>
      </c>
      <c r="H1745" s="137">
        <v>8354309.0800000001</v>
      </c>
      <c r="I1745" s="135">
        <v>1170</v>
      </c>
      <c r="J1745" s="136">
        <f>Tabla3[[#This Row],[EGRESOS]]/Tabla3[[#This Row],[TC]]</f>
        <v>1740.5816752136752</v>
      </c>
      <c r="K1745" s="136">
        <f>Tabla3[[#This Row],[INGRESOS]]/Tabla3[[#This Row],[TC]]</f>
        <v>0</v>
      </c>
      <c r="L1745" s="8" t="s">
        <v>376</v>
      </c>
      <c r="M1745" s="8" t="s">
        <v>377</v>
      </c>
      <c r="N1745" s="8" t="s">
        <v>20</v>
      </c>
      <c r="O1745" s="8" t="s">
        <v>184</v>
      </c>
      <c r="P1745" s="8" t="s">
        <v>185</v>
      </c>
      <c r="Q1745" s="7" t="s">
        <v>191</v>
      </c>
      <c r="R1745" s="8" t="s">
        <v>1035</v>
      </c>
      <c r="S1745" s="8" t="s">
        <v>1036</v>
      </c>
      <c r="T1745" s="8"/>
      <c r="U1745" s="8" t="s">
        <v>384</v>
      </c>
      <c r="V1745" s="8"/>
      <c r="W1745" s="8" t="s">
        <v>380</v>
      </c>
      <c r="X1745" s="8" t="s">
        <v>99</v>
      </c>
      <c r="Y1745" s="8" t="s">
        <v>23</v>
      </c>
    </row>
    <row r="1746" spans="1:25" s="7" customFormat="1" hidden="1" x14ac:dyDescent="0.25">
      <c r="A1746" s="273" t="s">
        <v>317</v>
      </c>
      <c r="B1746" s="251">
        <v>45839</v>
      </c>
      <c r="C1746" s="252" t="s">
        <v>828</v>
      </c>
      <c r="D1746" s="252"/>
      <c r="E1746" s="253">
        <v>121</v>
      </c>
      <c r="F1746" s="253">
        <v>0</v>
      </c>
      <c r="G1746" s="274">
        <f>Tabla3[[#This Row],[INGRESOS]]-Tabla3[[#This Row],[EGRESOS]]</f>
        <v>-121</v>
      </c>
      <c r="H1746" s="137">
        <v>8354188.0800000001</v>
      </c>
      <c r="I1746" s="135">
        <v>1170</v>
      </c>
      <c r="J1746" s="136">
        <f>Tabla3[[#This Row],[EGRESOS]]/Tabla3[[#This Row],[TC]]</f>
        <v>0.10341880341880341</v>
      </c>
      <c r="K1746" s="136">
        <f>Tabla3[[#This Row],[INGRESOS]]/Tabla3[[#This Row],[TC]]</f>
        <v>0</v>
      </c>
      <c r="L1746" s="8" t="s">
        <v>376</v>
      </c>
      <c r="M1746" s="8" t="s">
        <v>377</v>
      </c>
      <c r="N1746" s="8" t="s">
        <v>20</v>
      </c>
      <c r="O1746" s="8" t="s">
        <v>184</v>
      </c>
      <c r="P1746" s="8" t="s">
        <v>185</v>
      </c>
      <c r="Q1746" s="8" t="s">
        <v>186</v>
      </c>
      <c r="R1746" s="8" t="s">
        <v>227</v>
      </c>
      <c r="S1746" s="8"/>
      <c r="T1746" s="8"/>
      <c r="U1746" s="8" t="s">
        <v>384</v>
      </c>
      <c r="V1746" s="8"/>
      <c r="W1746" s="8" t="s">
        <v>380</v>
      </c>
      <c r="X1746" s="8" t="s">
        <v>99</v>
      </c>
      <c r="Y1746" s="8" t="s">
        <v>23</v>
      </c>
    </row>
    <row r="1747" spans="1:25" s="7" customFormat="1" hidden="1" x14ac:dyDescent="0.25">
      <c r="A1747" s="273" t="s">
        <v>317</v>
      </c>
      <c r="B1747" s="251">
        <v>45839</v>
      </c>
      <c r="C1747" s="252" t="s">
        <v>800</v>
      </c>
      <c r="D1747" s="252"/>
      <c r="E1747" s="253">
        <v>1500000</v>
      </c>
      <c r="F1747" s="253">
        <v>0</v>
      </c>
      <c r="G1747" s="274">
        <f>Tabla3[[#This Row],[INGRESOS]]-Tabla3[[#This Row],[EGRESOS]]</f>
        <v>-1500000</v>
      </c>
      <c r="H1747" s="137">
        <v>6854188.0800000001</v>
      </c>
      <c r="I1747" s="135">
        <v>1170</v>
      </c>
      <c r="J1747" s="136">
        <f>Tabla3[[#This Row],[EGRESOS]]/Tabla3[[#This Row],[TC]]</f>
        <v>1282.051282051282</v>
      </c>
      <c r="K1747" s="136">
        <f>Tabla3[[#This Row],[INGRESOS]]/Tabla3[[#This Row],[TC]]</f>
        <v>0</v>
      </c>
      <c r="L1747" s="8" t="s">
        <v>376</v>
      </c>
      <c r="M1747" s="8" t="s">
        <v>377</v>
      </c>
      <c r="N1747" s="8" t="s">
        <v>20</v>
      </c>
      <c r="O1747" s="8" t="s">
        <v>184</v>
      </c>
      <c r="P1747" s="8" t="s">
        <v>210</v>
      </c>
      <c r="Q1747" s="8" t="s">
        <v>212</v>
      </c>
      <c r="R1747" s="8"/>
      <c r="S1747" s="8" t="s">
        <v>524</v>
      </c>
      <c r="T1747" s="8"/>
      <c r="U1747" s="8" t="s">
        <v>453</v>
      </c>
      <c r="V1747" s="8"/>
      <c r="W1747" s="8" t="s">
        <v>380</v>
      </c>
      <c r="X1747" s="8" t="s">
        <v>39</v>
      </c>
      <c r="Y1747" s="8" t="s">
        <v>23</v>
      </c>
    </row>
    <row r="1748" spans="1:25" s="7" customFormat="1" hidden="1" x14ac:dyDescent="0.25">
      <c r="A1748" s="273" t="s">
        <v>317</v>
      </c>
      <c r="B1748" s="251">
        <v>45839</v>
      </c>
      <c r="C1748" s="252" t="s">
        <v>828</v>
      </c>
      <c r="D1748" s="252"/>
      <c r="E1748" s="253">
        <v>121</v>
      </c>
      <c r="F1748" s="253">
        <v>0</v>
      </c>
      <c r="G1748" s="274">
        <f>Tabla3[[#This Row],[INGRESOS]]-Tabla3[[#This Row],[EGRESOS]]</f>
        <v>-121</v>
      </c>
      <c r="H1748" s="137">
        <v>6854067.0800000001</v>
      </c>
      <c r="I1748" s="135">
        <v>1170</v>
      </c>
      <c r="J1748" s="136">
        <f>Tabla3[[#This Row],[EGRESOS]]/Tabla3[[#This Row],[TC]]</f>
        <v>0.10341880341880341</v>
      </c>
      <c r="K1748" s="136">
        <f>Tabla3[[#This Row],[INGRESOS]]/Tabla3[[#This Row],[TC]]</f>
        <v>0</v>
      </c>
      <c r="L1748" s="8" t="s">
        <v>376</v>
      </c>
      <c r="M1748" s="8" t="s">
        <v>377</v>
      </c>
      <c r="N1748" s="8" t="s">
        <v>20</v>
      </c>
      <c r="O1748" s="8" t="s">
        <v>184</v>
      </c>
      <c r="P1748" s="8" t="s">
        <v>185</v>
      </c>
      <c r="Q1748" s="8" t="s">
        <v>186</v>
      </c>
      <c r="R1748" s="8" t="s">
        <v>227</v>
      </c>
      <c r="S1748" s="8"/>
      <c r="T1748" s="8"/>
      <c r="U1748" s="8" t="s">
        <v>384</v>
      </c>
      <c r="V1748" s="8"/>
      <c r="W1748" s="8" t="s">
        <v>380</v>
      </c>
      <c r="X1748" s="8" t="s">
        <v>99</v>
      </c>
      <c r="Y1748" s="8" t="s">
        <v>23</v>
      </c>
    </row>
    <row r="1749" spans="1:25" s="7" customFormat="1" hidden="1" x14ac:dyDescent="0.25">
      <c r="A1749" s="273" t="s">
        <v>317</v>
      </c>
      <c r="B1749" s="251">
        <v>45839</v>
      </c>
      <c r="C1749" s="252" t="s">
        <v>845</v>
      </c>
      <c r="D1749" s="252"/>
      <c r="E1749" s="253">
        <v>2159.8000000000002</v>
      </c>
      <c r="F1749" s="253">
        <v>0</v>
      </c>
      <c r="G1749" s="274">
        <f>Tabla3[[#This Row],[INGRESOS]]-Tabla3[[#This Row],[EGRESOS]]</f>
        <v>-2159.8000000000002</v>
      </c>
      <c r="H1749" s="137">
        <v>6851907.2800000003</v>
      </c>
      <c r="I1749" s="135">
        <v>1170</v>
      </c>
      <c r="J1749" s="136">
        <f>Tabla3[[#This Row],[EGRESOS]]/Tabla3[[#This Row],[TC]]</f>
        <v>1.845982905982906</v>
      </c>
      <c r="K1749" s="136">
        <f>Tabla3[[#This Row],[INGRESOS]]/Tabla3[[#This Row],[TC]]</f>
        <v>0</v>
      </c>
      <c r="L1749" s="8" t="s">
        <v>376</v>
      </c>
      <c r="M1749" s="8" t="s">
        <v>377</v>
      </c>
      <c r="N1749" s="8" t="s">
        <v>20</v>
      </c>
      <c r="O1749" s="8" t="s">
        <v>184</v>
      </c>
      <c r="P1749" s="8" t="s">
        <v>195</v>
      </c>
      <c r="Q1749" s="8" t="s">
        <v>196</v>
      </c>
      <c r="R1749" s="8" t="s">
        <v>423</v>
      </c>
      <c r="S1749" s="8" t="s">
        <v>69</v>
      </c>
      <c r="T1749" s="8"/>
      <c r="U1749" s="8" t="s">
        <v>384</v>
      </c>
      <c r="V1749" s="8"/>
      <c r="W1749" s="8" t="s">
        <v>380</v>
      </c>
      <c r="X1749" s="8" t="s">
        <v>99</v>
      </c>
      <c r="Y1749" s="8" t="s">
        <v>23</v>
      </c>
    </row>
    <row r="1750" spans="1:25" s="7" customFormat="1" hidden="1" x14ac:dyDescent="0.25">
      <c r="A1750" s="273" t="s">
        <v>317</v>
      </c>
      <c r="B1750" s="251">
        <v>45839</v>
      </c>
      <c r="C1750" s="252" t="s">
        <v>845</v>
      </c>
      <c r="D1750" s="252"/>
      <c r="E1750" s="253">
        <v>886.2</v>
      </c>
      <c r="F1750" s="253">
        <v>0</v>
      </c>
      <c r="G1750" s="274">
        <f>Tabla3[[#This Row],[INGRESOS]]-Tabla3[[#This Row],[EGRESOS]]</f>
        <v>-886.2</v>
      </c>
      <c r="H1750" s="137">
        <v>6851021.0800000001</v>
      </c>
      <c r="I1750" s="135">
        <v>1170</v>
      </c>
      <c r="J1750" s="136">
        <f>Tabla3[[#This Row],[EGRESOS]]/Tabla3[[#This Row],[TC]]</f>
        <v>0.75743589743589745</v>
      </c>
      <c r="K1750" s="136">
        <f>Tabla3[[#This Row],[INGRESOS]]/Tabla3[[#This Row],[TC]]</f>
        <v>0</v>
      </c>
      <c r="L1750" s="8" t="s">
        <v>376</v>
      </c>
      <c r="M1750" s="8" t="s">
        <v>377</v>
      </c>
      <c r="N1750" s="8" t="s">
        <v>20</v>
      </c>
      <c r="O1750" s="8" t="s">
        <v>184</v>
      </c>
      <c r="P1750" s="8" t="s">
        <v>195</v>
      </c>
      <c r="Q1750" s="8" t="s">
        <v>196</v>
      </c>
      <c r="R1750" s="8" t="s">
        <v>423</v>
      </c>
      <c r="S1750" s="8" t="s">
        <v>69</v>
      </c>
      <c r="T1750" s="8"/>
      <c r="U1750" s="8" t="s">
        <v>384</v>
      </c>
      <c r="V1750" s="8"/>
      <c r="W1750" s="8" t="s">
        <v>380</v>
      </c>
      <c r="X1750" s="8" t="s">
        <v>99</v>
      </c>
      <c r="Y1750" s="8" t="s">
        <v>23</v>
      </c>
    </row>
    <row r="1751" spans="1:25" s="7" customFormat="1" hidden="1" x14ac:dyDescent="0.25">
      <c r="A1751" s="273" t="s">
        <v>317</v>
      </c>
      <c r="B1751" s="251">
        <v>45839</v>
      </c>
      <c r="C1751" s="252" t="s">
        <v>773</v>
      </c>
      <c r="D1751" s="252"/>
      <c r="E1751" s="253">
        <v>113783.33</v>
      </c>
      <c r="F1751" s="253">
        <v>0</v>
      </c>
      <c r="G1751" s="274">
        <f>Tabla3[[#This Row],[INGRESOS]]-Tabla3[[#This Row],[EGRESOS]]</f>
        <v>-113783.33</v>
      </c>
      <c r="H1751" s="137">
        <v>6737237.75</v>
      </c>
      <c r="I1751" s="135">
        <v>1170</v>
      </c>
      <c r="J1751" s="136">
        <f>Tabla3[[#This Row],[EGRESOS]]/Tabla3[[#This Row],[TC]]</f>
        <v>97.2507094017094</v>
      </c>
      <c r="K1751" s="136">
        <f>Tabla3[[#This Row],[INGRESOS]]/Tabla3[[#This Row],[TC]]</f>
        <v>0</v>
      </c>
      <c r="L1751" s="8" t="s">
        <v>376</v>
      </c>
      <c r="M1751" s="8" t="s">
        <v>377</v>
      </c>
      <c r="N1751" s="8" t="s">
        <v>20</v>
      </c>
      <c r="O1751" s="8" t="s">
        <v>184</v>
      </c>
      <c r="P1751" s="8" t="s">
        <v>195</v>
      </c>
      <c r="Q1751" s="8" t="s">
        <v>196</v>
      </c>
      <c r="R1751" s="8" t="s">
        <v>394</v>
      </c>
      <c r="S1751" s="8" t="s">
        <v>383</v>
      </c>
      <c r="T1751" s="8"/>
      <c r="U1751" s="8" t="s">
        <v>384</v>
      </c>
      <c r="V1751" s="8"/>
      <c r="W1751" s="8" t="s">
        <v>380</v>
      </c>
      <c r="X1751" s="8" t="s">
        <v>99</v>
      </c>
      <c r="Y1751" s="8" t="s">
        <v>23</v>
      </c>
    </row>
    <row r="1752" spans="1:25" s="7" customFormat="1" hidden="1" x14ac:dyDescent="0.25">
      <c r="A1752" s="273" t="s">
        <v>317</v>
      </c>
      <c r="B1752" s="251">
        <v>45839</v>
      </c>
      <c r="C1752" s="252" t="s">
        <v>795</v>
      </c>
      <c r="D1752" s="252"/>
      <c r="E1752" s="253">
        <v>804944.65</v>
      </c>
      <c r="F1752" s="253">
        <v>0</v>
      </c>
      <c r="G1752" s="274">
        <f>Tabla3[[#This Row],[INGRESOS]]-Tabla3[[#This Row],[EGRESOS]]</f>
        <v>-804944.65</v>
      </c>
      <c r="H1752" s="137">
        <v>5932293.0999999996</v>
      </c>
      <c r="I1752" s="135">
        <v>1170</v>
      </c>
      <c r="J1752" s="136">
        <f>Tabla3[[#This Row],[EGRESOS]]/Tabla3[[#This Row],[TC]]</f>
        <v>687.98688034188035</v>
      </c>
      <c r="K1752" s="136">
        <f>Tabla3[[#This Row],[INGRESOS]]/Tabla3[[#This Row],[TC]]</f>
        <v>0</v>
      </c>
      <c r="L1752" s="8" t="s">
        <v>376</v>
      </c>
      <c r="M1752" s="8" t="s">
        <v>377</v>
      </c>
      <c r="N1752" s="8" t="s">
        <v>20</v>
      </c>
      <c r="O1752" s="8" t="s">
        <v>244</v>
      </c>
      <c r="P1752" s="8" t="s">
        <v>259</v>
      </c>
      <c r="Q1752" s="8" t="s">
        <v>260</v>
      </c>
      <c r="R1752" s="8" t="s">
        <v>405</v>
      </c>
      <c r="S1752" s="8"/>
      <c r="T1752" s="8"/>
      <c r="U1752" s="8" t="s">
        <v>379</v>
      </c>
      <c r="V1752" s="8"/>
      <c r="W1752" s="8" t="s">
        <v>380</v>
      </c>
      <c r="X1752" s="8"/>
      <c r="Y1752" s="8"/>
    </row>
    <row r="1753" spans="1:25" s="7" customFormat="1" hidden="1" x14ac:dyDescent="0.25">
      <c r="A1753" s="273" t="s">
        <v>317</v>
      </c>
      <c r="B1753" s="251">
        <v>45840</v>
      </c>
      <c r="C1753" s="252" t="s">
        <v>404</v>
      </c>
      <c r="D1753" s="252"/>
      <c r="E1753" s="253">
        <v>50000</v>
      </c>
      <c r="F1753" s="253">
        <v>0</v>
      </c>
      <c r="G1753" s="274">
        <f>Tabla3[[#This Row],[INGRESOS]]-Tabla3[[#This Row],[EGRESOS]]</f>
        <v>-50000</v>
      </c>
      <c r="H1753" s="274">
        <v>5882293.0999999996</v>
      </c>
      <c r="I1753" s="135">
        <v>1170</v>
      </c>
      <c r="J1753" s="136">
        <f>Tabla3[[#This Row],[EGRESOS]]/Tabla3[[#This Row],[TC]]</f>
        <v>42.735042735042732</v>
      </c>
      <c r="K1753" s="136">
        <f>Tabla3[[#This Row],[INGRESOS]]/Tabla3[[#This Row],[TC]]</f>
        <v>0</v>
      </c>
      <c r="L1753" s="8" t="s">
        <v>376</v>
      </c>
      <c r="M1753" s="8" t="s">
        <v>377</v>
      </c>
      <c r="N1753" s="8" t="s">
        <v>20</v>
      </c>
      <c r="O1753" s="8" t="s">
        <v>244</v>
      </c>
      <c r="P1753" s="8" t="s">
        <v>259</v>
      </c>
      <c r="Q1753" s="8" t="s">
        <v>260</v>
      </c>
      <c r="R1753" s="8" t="s">
        <v>474</v>
      </c>
      <c r="S1753" s="8"/>
      <c r="T1753" s="8"/>
      <c r="U1753" s="8" t="s">
        <v>379</v>
      </c>
      <c r="V1753" s="8"/>
      <c r="W1753" s="8" t="s">
        <v>380</v>
      </c>
      <c r="X1753" s="8"/>
      <c r="Y1753" s="8"/>
    </row>
    <row r="1754" spans="1:25" s="7" customFormat="1" hidden="1" x14ac:dyDescent="0.25">
      <c r="A1754" s="273" t="s">
        <v>317</v>
      </c>
      <c r="B1754" s="251">
        <v>45840</v>
      </c>
      <c r="C1754" s="252" t="s">
        <v>404</v>
      </c>
      <c r="D1754" s="252"/>
      <c r="E1754" s="253">
        <v>2000000</v>
      </c>
      <c r="F1754" s="253">
        <v>0</v>
      </c>
      <c r="G1754" s="274">
        <f>Tabla3[[#This Row],[INGRESOS]]-Tabla3[[#This Row],[EGRESOS]]</f>
        <v>-2000000</v>
      </c>
      <c r="H1754" s="274">
        <v>3882293.1</v>
      </c>
      <c r="I1754" s="135">
        <v>1170</v>
      </c>
      <c r="J1754" s="136">
        <f>Tabla3[[#This Row],[EGRESOS]]/Tabla3[[#This Row],[TC]]</f>
        <v>1709.4017094017095</v>
      </c>
      <c r="K1754" s="136">
        <f>Tabla3[[#This Row],[INGRESOS]]/Tabla3[[#This Row],[TC]]</f>
        <v>0</v>
      </c>
      <c r="L1754" s="8" t="s">
        <v>376</v>
      </c>
      <c r="M1754" s="8" t="s">
        <v>377</v>
      </c>
      <c r="N1754" s="8" t="s">
        <v>20</v>
      </c>
      <c r="O1754" s="8" t="s">
        <v>244</v>
      </c>
      <c r="P1754" s="8" t="s">
        <v>259</v>
      </c>
      <c r="Q1754" s="8" t="s">
        <v>260</v>
      </c>
      <c r="R1754" s="8" t="s">
        <v>447</v>
      </c>
      <c r="S1754" s="8"/>
      <c r="T1754" s="8"/>
      <c r="U1754" s="8" t="s">
        <v>379</v>
      </c>
      <c r="V1754" s="8"/>
      <c r="W1754" s="8" t="s">
        <v>380</v>
      </c>
      <c r="X1754" s="8"/>
      <c r="Y1754" s="8"/>
    </row>
    <row r="1755" spans="1:25" s="7" customFormat="1" hidden="1" x14ac:dyDescent="0.25">
      <c r="A1755" s="273" t="s">
        <v>317</v>
      </c>
      <c r="B1755" s="251">
        <v>45840</v>
      </c>
      <c r="C1755" s="252" t="s">
        <v>828</v>
      </c>
      <c r="D1755" s="252"/>
      <c r="E1755" s="253">
        <v>121</v>
      </c>
      <c r="F1755" s="253">
        <v>0</v>
      </c>
      <c r="G1755" s="274">
        <f>Tabla3[[#This Row],[INGRESOS]]-Tabla3[[#This Row],[EGRESOS]]</f>
        <v>-121</v>
      </c>
      <c r="H1755" s="274">
        <v>3882172.1</v>
      </c>
      <c r="I1755" s="135">
        <v>1170</v>
      </c>
      <c r="J1755" s="136">
        <f>Tabla3[[#This Row],[EGRESOS]]/Tabla3[[#This Row],[TC]]</f>
        <v>0.10341880341880341</v>
      </c>
      <c r="K1755" s="136">
        <f>Tabla3[[#This Row],[INGRESOS]]/Tabla3[[#This Row],[TC]]</f>
        <v>0</v>
      </c>
      <c r="L1755" s="8" t="s">
        <v>376</v>
      </c>
      <c r="M1755" s="8" t="s">
        <v>377</v>
      </c>
      <c r="N1755" s="8" t="s">
        <v>20</v>
      </c>
      <c r="O1755" s="8" t="s">
        <v>184</v>
      </c>
      <c r="P1755" s="8" t="s">
        <v>185</v>
      </c>
      <c r="Q1755" s="8" t="s">
        <v>186</v>
      </c>
      <c r="R1755" s="8" t="s">
        <v>227</v>
      </c>
      <c r="S1755" s="8"/>
      <c r="T1755" s="8"/>
      <c r="U1755" s="8" t="s">
        <v>384</v>
      </c>
      <c r="V1755" s="8"/>
      <c r="W1755" s="8" t="s">
        <v>380</v>
      </c>
      <c r="X1755" s="8" t="s">
        <v>99</v>
      </c>
      <c r="Y1755" s="8" t="s">
        <v>23</v>
      </c>
    </row>
    <row r="1756" spans="1:25" s="7" customFormat="1" hidden="1" x14ac:dyDescent="0.25">
      <c r="A1756" s="273" t="s">
        <v>317</v>
      </c>
      <c r="B1756" s="251">
        <v>45840</v>
      </c>
      <c r="C1756" s="252" t="s">
        <v>800</v>
      </c>
      <c r="D1756" s="252"/>
      <c r="E1756" s="253">
        <v>86000</v>
      </c>
      <c r="F1756" s="253">
        <v>0</v>
      </c>
      <c r="G1756" s="274">
        <f>Tabla3[[#This Row],[INGRESOS]]-Tabla3[[#This Row],[EGRESOS]]</f>
        <v>-86000</v>
      </c>
      <c r="H1756" s="274">
        <v>3796172.1</v>
      </c>
      <c r="I1756" s="135">
        <v>1170</v>
      </c>
      <c r="J1756" s="136">
        <f>Tabla3[[#This Row],[EGRESOS]]/Tabla3[[#This Row],[TC]]</f>
        <v>73.504273504273499</v>
      </c>
      <c r="K1756" s="136">
        <f>Tabla3[[#This Row],[INGRESOS]]/Tabla3[[#This Row],[TC]]</f>
        <v>0</v>
      </c>
      <c r="L1756" s="8" t="s">
        <v>376</v>
      </c>
      <c r="M1756" s="8" t="s">
        <v>377</v>
      </c>
      <c r="N1756" s="8" t="s">
        <v>20</v>
      </c>
      <c r="O1756" s="8" t="s">
        <v>225</v>
      </c>
      <c r="P1756" s="8" t="s">
        <v>236</v>
      </c>
      <c r="Q1756" s="8" t="s">
        <v>33</v>
      </c>
      <c r="R1756" s="8" t="s">
        <v>1037</v>
      </c>
      <c r="S1756" s="8" t="s">
        <v>1038</v>
      </c>
      <c r="T1756" s="8"/>
      <c r="U1756" s="8" t="s">
        <v>412</v>
      </c>
      <c r="V1756" s="8"/>
      <c r="W1756" s="8" t="s">
        <v>380</v>
      </c>
      <c r="X1756" s="8" t="s">
        <v>29</v>
      </c>
      <c r="Y1756" s="8" t="s">
        <v>23</v>
      </c>
    </row>
    <row r="1757" spans="1:25" s="7" customFormat="1" hidden="1" x14ac:dyDescent="0.25">
      <c r="A1757" s="273" t="s">
        <v>317</v>
      </c>
      <c r="B1757" s="251">
        <v>45840</v>
      </c>
      <c r="C1757" s="252" t="s">
        <v>773</v>
      </c>
      <c r="D1757" s="252"/>
      <c r="E1757" s="253">
        <v>516.73</v>
      </c>
      <c r="F1757" s="253">
        <v>0</v>
      </c>
      <c r="G1757" s="274">
        <f>Tabla3[[#This Row],[INGRESOS]]-Tabla3[[#This Row],[EGRESOS]]</f>
        <v>-516.73</v>
      </c>
      <c r="H1757" s="274">
        <v>3795655.37</v>
      </c>
      <c r="I1757" s="135">
        <v>1170</v>
      </c>
      <c r="J1757" s="136">
        <f>Tabla3[[#This Row],[EGRESOS]]/Tabla3[[#This Row],[TC]]</f>
        <v>0.44164957264957266</v>
      </c>
      <c r="K1757" s="136">
        <f>Tabla3[[#This Row],[INGRESOS]]/Tabla3[[#This Row],[TC]]</f>
        <v>0</v>
      </c>
      <c r="L1757" s="8" t="s">
        <v>376</v>
      </c>
      <c r="M1757" s="8" t="s">
        <v>377</v>
      </c>
      <c r="N1757" s="8" t="s">
        <v>20</v>
      </c>
      <c r="O1757" s="8" t="s">
        <v>184</v>
      </c>
      <c r="P1757" s="8" t="s">
        <v>195</v>
      </c>
      <c r="Q1757" s="8" t="s">
        <v>196</v>
      </c>
      <c r="R1757" s="8" t="s">
        <v>394</v>
      </c>
      <c r="S1757" s="8" t="s">
        <v>383</v>
      </c>
      <c r="T1757" s="8"/>
      <c r="U1757" s="8" t="s">
        <v>384</v>
      </c>
      <c r="V1757" s="8"/>
      <c r="W1757" s="8" t="s">
        <v>380</v>
      </c>
      <c r="X1757" s="8" t="s">
        <v>99</v>
      </c>
      <c r="Y1757" s="8" t="s">
        <v>23</v>
      </c>
    </row>
    <row r="1758" spans="1:25" s="7" customFormat="1" hidden="1" x14ac:dyDescent="0.25">
      <c r="A1758" s="273" t="s">
        <v>317</v>
      </c>
      <c r="B1758" s="251">
        <v>45840</v>
      </c>
      <c r="C1758" s="252" t="s">
        <v>773</v>
      </c>
      <c r="D1758" s="252"/>
      <c r="E1758" s="253">
        <v>516.73</v>
      </c>
      <c r="F1758" s="253">
        <v>0</v>
      </c>
      <c r="G1758" s="274">
        <f>Tabla3[[#This Row],[INGRESOS]]-Tabla3[[#This Row],[EGRESOS]]</f>
        <v>-516.73</v>
      </c>
      <c r="H1758" s="274">
        <v>3795655.37</v>
      </c>
      <c r="I1758" s="135">
        <v>1170</v>
      </c>
      <c r="J1758" s="136">
        <f>Tabla3[[#This Row],[EGRESOS]]/Tabla3[[#This Row],[TC]]</f>
        <v>0.44164957264957266</v>
      </c>
      <c r="K1758" s="136">
        <f>Tabla3[[#This Row],[INGRESOS]]/Tabla3[[#This Row],[TC]]</f>
        <v>0</v>
      </c>
      <c r="L1758" s="8" t="s">
        <v>376</v>
      </c>
      <c r="M1758" s="8" t="s">
        <v>377</v>
      </c>
      <c r="N1758" s="8" t="s">
        <v>20</v>
      </c>
      <c r="O1758" s="8" t="s">
        <v>184</v>
      </c>
      <c r="P1758" s="8" t="s">
        <v>195</v>
      </c>
      <c r="Q1758" s="8" t="s">
        <v>196</v>
      </c>
      <c r="R1758" s="8" t="s">
        <v>394</v>
      </c>
      <c r="S1758" s="8" t="s">
        <v>383</v>
      </c>
      <c r="T1758" s="8"/>
      <c r="U1758" s="8" t="s">
        <v>384</v>
      </c>
      <c r="V1758" s="8"/>
      <c r="W1758" s="8" t="s">
        <v>380</v>
      </c>
      <c r="X1758" s="8" t="s">
        <v>99</v>
      </c>
      <c r="Y1758" s="8" t="s">
        <v>23</v>
      </c>
    </row>
    <row r="1759" spans="1:25" s="7" customFormat="1" hidden="1" x14ac:dyDescent="0.25">
      <c r="A1759" s="273" t="s">
        <v>317</v>
      </c>
      <c r="B1759" s="251">
        <v>45841</v>
      </c>
      <c r="C1759" s="252" t="s">
        <v>800</v>
      </c>
      <c r="D1759" s="252"/>
      <c r="E1759" s="253">
        <v>934252</v>
      </c>
      <c r="F1759" s="253">
        <v>0</v>
      </c>
      <c r="G1759" s="274">
        <f>Tabla3[[#This Row],[INGRESOS]]-Tabla3[[#This Row],[EGRESOS]]</f>
        <v>-934252</v>
      </c>
      <c r="H1759" s="274">
        <v>2861403.37</v>
      </c>
      <c r="I1759" s="135">
        <v>1170</v>
      </c>
      <c r="J1759" s="136">
        <f>Tabla3[[#This Row],[EGRESOS]]/Tabla3[[#This Row],[TC]]</f>
        <v>798.50598290598293</v>
      </c>
      <c r="K1759" s="136">
        <f>Tabla3[[#This Row],[INGRESOS]]/Tabla3[[#This Row],[TC]]</f>
        <v>0</v>
      </c>
      <c r="L1759" s="8" t="s">
        <v>376</v>
      </c>
      <c r="M1759" s="8" t="s">
        <v>377</v>
      </c>
      <c r="N1759" s="8" t="s">
        <v>20</v>
      </c>
      <c r="O1759" s="8" t="s">
        <v>215</v>
      </c>
      <c r="P1759" s="8" t="s">
        <v>216</v>
      </c>
      <c r="Q1759" s="8" t="s">
        <v>217</v>
      </c>
      <c r="R1759" s="8" t="s">
        <v>188</v>
      </c>
      <c r="S1759" s="8" t="s">
        <v>396</v>
      </c>
      <c r="T1759" s="8" t="s">
        <v>1039</v>
      </c>
      <c r="U1759" s="8" t="s">
        <v>412</v>
      </c>
      <c r="V1759" s="8"/>
      <c r="W1759" s="8" t="s">
        <v>380</v>
      </c>
      <c r="X1759" s="8" t="s">
        <v>29</v>
      </c>
      <c r="Y1759" s="8" t="s">
        <v>23</v>
      </c>
    </row>
    <row r="1760" spans="1:25" s="7" customFormat="1" hidden="1" x14ac:dyDescent="0.25">
      <c r="A1760" s="273" t="s">
        <v>317</v>
      </c>
      <c r="B1760" s="251">
        <v>45841</v>
      </c>
      <c r="C1760" s="252" t="s">
        <v>828</v>
      </c>
      <c r="D1760" s="252"/>
      <c r="E1760" s="253">
        <v>121</v>
      </c>
      <c r="F1760" s="253">
        <v>0</v>
      </c>
      <c r="G1760" s="274">
        <f>Tabla3[[#This Row],[INGRESOS]]-Tabla3[[#This Row],[EGRESOS]]</f>
        <v>-121</v>
      </c>
      <c r="H1760" s="274">
        <v>2861282.37</v>
      </c>
      <c r="I1760" s="135">
        <v>1170</v>
      </c>
      <c r="J1760" s="136">
        <f>Tabla3[[#This Row],[EGRESOS]]/Tabla3[[#This Row],[TC]]</f>
        <v>0.10341880341880341</v>
      </c>
      <c r="K1760" s="136">
        <f>Tabla3[[#This Row],[INGRESOS]]/Tabla3[[#This Row],[TC]]</f>
        <v>0</v>
      </c>
      <c r="L1760" s="8" t="s">
        <v>376</v>
      </c>
      <c r="M1760" s="8" t="s">
        <v>377</v>
      </c>
      <c r="N1760" s="8" t="s">
        <v>20</v>
      </c>
      <c r="O1760" s="8" t="s">
        <v>184</v>
      </c>
      <c r="P1760" s="8" t="s">
        <v>185</v>
      </c>
      <c r="Q1760" s="8" t="s">
        <v>186</v>
      </c>
      <c r="R1760" s="8" t="s">
        <v>227</v>
      </c>
      <c r="S1760" s="8"/>
      <c r="T1760" s="8"/>
      <c r="U1760" s="8" t="s">
        <v>384</v>
      </c>
      <c r="V1760" s="8"/>
      <c r="W1760" s="8" t="s">
        <v>380</v>
      </c>
      <c r="X1760" s="8" t="s">
        <v>99</v>
      </c>
      <c r="Y1760" s="8" t="s">
        <v>23</v>
      </c>
    </row>
    <row r="1761" spans="1:25" s="7" customFormat="1" hidden="1" x14ac:dyDescent="0.25">
      <c r="A1761" s="273" t="s">
        <v>317</v>
      </c>
      <c r="B1761" s="251">
        <v>45841</v>
      </c>
      <c r="C1761" s="252" t="s">
        <v>945</v>
      </c>
      <c r="D1761" s="252"/>
      <c r="E1761" s="253">
        <v>0</v>
      </c>
      <c r="F1761" s="253">
        <v>63472748.5</v>
      </c>
      <c r="G1761" s="274">
        <f>Tabla3[[#This Row],[INGRESOS]]-Tabla3[[#This Row],[EGRESOS]]</f>
        <v>63472748.5</v>
      </c>
      <c r="H1761" s="274">
        <v>66334030.869999997</v>
      </c>
      <c r="I1761" s="135">
        <v>1170</v>
      </c>
      <c r="J1761" s="136">
        <f>Tabla3[[#This Row],[EGRESOS]]/Tabla3[[#This Row],[TC]]</f>
        <v>0</v>
      </c>
      <c r="K1761" s="136">
        <f>Tabla3[[#This Row],[INGRESOS]]/Tabla3[[#This Row],[TC]]</f>
        <v>54250.212393162394</v>
      </c>
      <c r="L1761" s="8" t="s">
        <v>376</v>
      </c>
      <c r="M1761" s="8" t="s">
        <v>377</v>
      </c>
      <c r="N1761" s="8" t="s">
        <v>20</v>
      </c>
      <c r="O1761" s="8" t="s">
        <v>286</v>
      </c>
      <c r="P1761" s="8" t="s">
        <v>304</v>
      </c>
      <c r="Q1761" s="8" t="s">
        <v>306</v>
      </c>
      <c r="R1761" s="8" t="s">
        <v>1040</v>
      </c>
      <c r="S1761" s="8" t="s">
        <v>947</v>
      </c>
      <c r="T1761" s="8" t="s">
        <v>1041</v>
      </c>
      <c r="U1761" s="8" t="s">
        <v>949</v>
      </c>
      <c r="V1761" s="8"/>
      <c r="W1761" s="8" t="s">
        <v>380</v>
      </c>
      <c r="X1761" s="8" t="s">
        <v>23</v>
      </c>
      <c r="Y1761" s="8" t="s">
        <v>97</v>
      </c>
    </row>
    <row r="1762" spans="1:25" s="7" customFormat="1" hidden="1" x14ac:dyDescent="0.25">
      <c r="A1762" s="273" t="s">
        <v>317</v>
      </c>
      <c r="B1762" s="251">
        <v>45841</v>
      </c>
      <c r="C1762" s="252" t="s">
        <v>760</v>
      </c>
      <c r="D1762" s="252"/>
      <c r="E1762" s="253">
        <v>380836.49</v>
      </c>
      <c r="F1762" s="253">
        <v>0</v>
      </c>
      <c r="G1762" s="274">
        <f>Tabla3[[#This Row],[INGRESOS]]-Tabla3[[#This Row],[EGRESOS]]</f>
        <v>-380836.49</v>
      </c>
      <c r="H1762" s="274">
        <v>65953194.380000003</v>
      </c>
      <c r="I1762" s="135">
        <v>1170</v>
      </c>
      <c r="J1762" s="136">
        <f>Tabla3[[#This Row],[EGRESOS]]/Tabla3[[#This Row],[TC]]</f>
        <v>325.50127350427351</v>
      </c>
      <c r="K1762" s="136">
        <f>Tabla3[[#This Row],[INGRESOS]]/Tabla3[[#This Row],[TC]]</f>
        <v>0</v>
      </c>
      <c r="L1762" s="8" t="s">
        <v>376</v>
      </c>
      <c r="M1762" s="8" t="s">
        <v>377</v>
      </c>
      <c r="N1762" s="8" t="s">
        <v>20</v>
      </c>
      <c r="O1762" s="8" t="s">
        <v>184</v>
      </c>
      <c r="P1762" s="8" t="s">
        <v>195</v>
      </c>
      <c r="Q1762" s="8" t="s">
        <v>196</v>
      </c>
      <c r="R1762" s="8" t="s">
        <v>394</v>
      </c>
      <c r="S1762" s="8" t="s">
        <v>383</v>
      </c>
      <c r="T1762" s="8"/>
      <c r="U1762" s="8" t="s">
        <v>384</v>
      </c>
      <c r="V1762" s="8"/>
      <c r="W1762" s="8" t="s">
        <v>380</v>
      </c>
      <c r="X1762" s="8" t="s">
        <v>99</v>
      </c>
      <c r="Y1762" s="8" t="s">
        <v>23</v>
      </c>
    </row>
    <row r="1763" spans="1:25" s="7" customFormat="1" hidden="1" x14ac:dyDescent="0.25">
      <c r="A1763" s="273" t="s">
        <v>317</v>
      </c>
      <c r="B1763" s="251">
        <v>45841</v>
      </c>
      <c r="C1763" s="252" t="s">
        <v>773</v>
      </c>
      <c r="D1763" s="252"/>
      <c r="E1763" s="253">
        <v>5606.24</v>
      </c>
      <c r="F1763" s="253">
        <v>0</v>
      </c>
      <c r="G1763" s="274">
        <f>Tabla3[[#This Row],[INGRESOS]]-Tabla3[[#This Row],[EGRESOS]]</f>
        <v>-5606.24</v>
      </c>
      <c r="H1763" s="274">
        <v>65947588.140000001</v>
      </c>
      <c r="I1763" s="135">
        <v>1170</v>
      </c>
      <c r="J1763" s="136">
        <f>Tabla3[[#This Row],[EGRESOS]]/Tabla3[[#This Row],[TC]]</f>
        <v>4.7916581196581198</v>
      </c>
      <c r="K1763" s="136">
        <f>Tabla3[[#This Row],[INGRESOS]]/Tabla3[[#This Row],[TC]]</f>
        <v>0</v>
      </c>
      <c r="L1763" s="8" t="s">
        <v>376</v>
      </c>
      <c r="M1763" s="8" t="s">
        <v>377</v>
      </c>
      <c r="N1763" s="8" t="s">
        <v>20</v>
      </c>
      <c r="O1763" s="8" t="s">
        <v>184</v>
      </c>
      <c r="P1763" s="8" t="s">
        <v>195</v>
      </c>
      <c r="Q1763" s="8" t="s">
        <v>196</v>
      </c>
      <c r="R1763" s="8" t="s">
        <v>394</v>
      </c>
      <c r="S1763" s="8" t="s">
        <v>383</v>
      </c>
      <c r="T1763" s="8"/>
      <c r="U1763" s="8" t="s">
        <v>384</v>
      </c>
      <c r="V1763" s="8"/>
      <c r="W1763" s="8" t="s">
        <v>380</v>
      </c>
      <c r="X1763" s="8" t="s">
        <v>99</v>
      </c>
      <c r="Y1763" s="8" t="s">
        <v>23</v>
      </c>
    </row>
    <row r="1764" spans="1:25" s="7" customFormat="1" hidden="1" x14ac:dyDescent="0.25">
      <c r="A1764" s="273" t="s">
        <v>317</v>
      </c>
      <c r="B1764" s="251">
        <v>45845</v>
      </c>
      <c r="C1764" s="252" t="s">
        <v>800</v>
      </c>
      <c r="D1764" s="252"/>
      <c r="E1764" s="253">
        <v>500000</v>
      </c>
      <c r="F1764" s="253">
        <v>0</v>
      </c>
      <c r="G1764" s="274">
        <f>Tabla3[[#This Row],[INGRESOS]]-Tabla3[[#This Row],[EGRESOS]]</f>
        <v>-500000</v>
      </c>
      <c r="H1764" s="274">
        <v>65447588.140000001</v>
      </c>
      <c r="I1764" s="135">
        <v>1170</v>
      </c>
      <c r="J1764" s="136">
        <f>Tabla3[[#This Row],[EGRESOS]]/Tabla3[[#This Row],[TC]]</f>
        <v>427.35042735042737</v>
      </c>
      <c r="K1764" s="136">
        <f>Tabla3[[#This Row],[INGRESOS]]/Tabla3[[#This Row],[TC]]</f>
        <v>0</v>
      </c>
      <c r="L1764" s="8" t="s">
        <v>376</v>
      </c>
      <c r="M1764" s="8" t="s">
        <v>377</v>
      </c>
      <c r="N1764" s="8" t="s">
        <v>20</v>
      </c>
      <c r="O1764" s="8" t="s">
        <v>184</v>
      </c>
      <c r="P1764" s="8" t="s">
        <v>203</v>
      </c>
      <c r="Q1764" s="8" t="s">
        <v>209</v>
      </c>
      <c r="R1764" s="8"/>
      <c r="S1764" s="8" t="s">
        <v>414</v>
      </c>
      <c r="T1764" s="8"/>
      <c r="U1764" s="8" t="s">
        <v>530</v>
      </c>
      <c r="V1764" s="8" t="s">
        <v>415</v>
      </c>
      <c r="W1764" s="8" t="s">
        <v>380</v>
      </c>
      <c r="X1764" s="8" t="s">
        <v>102</v>
      </c>
      <c r="Y1764" s="8" t="s">
        <v>23</v>
      </c>
    </row>
    <row r="1765" spans="1:25" s="7" customFormat="1" hidden="1" x14ac:dyDescent="0.25">
      <c r="A1765" s="273" t="s">
        <v>317</v>
      </c>
      <c r="B1765" s="251">
        <v>45845</v>
      </c>
      <c r="C1765" s="252" t="s">
        <v>828</v>
      </c>
      <c r="D1765" s="252"/>
      <c r="E1765" s="253">
        <v>121</v>
      </c>
      <c r="F1765" s="253">
        <v>0</v>
      </c>
      <c r="G1765" s="274">
        <f>Tabla3[[#This Row],[INGRESOS]]-Tabla3[[#This Row],[EGRESOS]]</f>
        <v>-121</v>
      </c>
      <c r="H1765" s="274">
        <v>65447467.140000001</v>
      </c>
      <c r="I1765" s="135">
        <v>1170</v>
      </c>
      <c r="J1765" s="136">
        <f>Tabla3[[#This Row],[EGRESOS]]/Tabla3[[#This Row],[TC]]</f>
        <v>0.10341880341880341</v>
      </c>
      <c r="K1765" s="136">
        <f>Tabla3[[#This Row],[INGRESOS]]/Tabla3[[#This Row],[TC]]</f>
        <v>0</v>
      </c>
      <c r="L1765" s="8" t="s">
        <v>376</v>
      </c>
      <c r="M1765" s="8" t="s">
        <v>377</v>
      </c>
      <c r="N1765" s="8" t="s">
        <v>20</v>
      </c>
      <c r="O1765" s="8" t="s">
        <v>184</v>
      </c>
      <c r="P1765" s="8" t="s">
        <v>185</v>
      </c>
      <c r="Q1765" s="8" t="s">
        <v>186</v>
      </c>
      <c r="R1765" s="8" t="s">
        <v>227</v>
      </c>
      <c r="S1765" s="8"/>
      <c r="T1765" s="8"/>
      <c r="U1765" s="8" t="s">
        <v>384</v>
      </c>
      <c r="V1765" s="8"/>
      <c r="W1765" s="8" t="s">
        <v>380</v>
      </c>
      <c r="X1765" s="8" t="s">
        <v>99</v>
      </c>
      <c r="Y1765" s="8" t="s">
        <v>23</v>
      </c>
    </row>
    <row r="1766" spans="1:25" s="7" customFormat="1" hidden="1" x14ac:dyDescent="0.25">
      <c r="A1766" s="273" t="s">
        <v>317</v>
      </c>
      <c r="B1766" s="251">
        <v>45845</v>
      </c>
      <c r="C1766" s="252" t="s">
        <v>404</v>
      </c>
      <c r="D1766" s="252"/>
      <c r="E1766" s="253">
        <v>60000000</v>
      </c>
      <c r="F1766" s="253">
        <v>0</v>
      </c>
      <c r="G1766" s="274">
        <f>Tabla3[[#This Row],[INGRESOS]]-Tabla3[[#This Row],[EGRESOS]]</f>
        <v>-60000000</v>
      </c>
      <c r="H1766" s="274">
        <v>5447467.1399999997</v>
      </c>
      <c r="I1766" s="135">
        <v>1170</v>
      </c>
      <c r="J1766" s="136">
        <f>Tabla3[[#This Row],[EGRESOS]]/Tabla3[[#This Row],[TC]]</f>
        <v>51282.051282051281</v>
      </c>
      <c r="K1766" s="136">
        <f>Tabla3[[#This Row],[INGRESOS]]/Tabla3[[#This Row],[TC]]</f>
        <v>0</v>
      </c>
      <c r="L1766" s="8" t="s">
        <v>376</v>
      </c>
      <c r="M1766" s="8" t="s">
        <v>377</v>
      </c>
      <c r="N1766" s="8" t="s">
        <v>20</v>
      </c>
      <c r="O1766" s="8" t="s">
        <v>244</v>
      </c>
      <c r="P1766" s="8" t="s">
        <v>259</v>
      </c>
      <c r="Q1766" s="8" t="s">
        <v>260</v>
      </c>
      <c r="R1766" s="8" t="s">
        <v>466</v>
      </c>
      <c r="S1766" s="8"/>
      <c r="T1766" s="8"/>
      <c r="U1766" s="8" t="s">
        <v>379</v>
      </c>
      <c r="V1766" s="8"/>
      <c r="W1766" s="8" t="s">
        <v>380</v>
      </c>
      <c r="X1766" s="8"/>
      <c r="Y1766" s="8"/>
    </row>
    <row r="1767" spans="1:25" s="7" customFormat="1" hidden="1" x14ac:dyDescent="0.25">
      <c r="A1767" s="273" t="s">
        <v>317</v>
      </c>
      <c r="B1767" s="251">
        <v>45845</v>
      </c>
      <c r="C1767" s="252" t="s">
        <v>828</v>
      </c>
      <c r="D1767" s="252"/>
      <c r="E1767" s="253">
        <v>121</v>
      </c>
      <c r="F1767" s="253">
        <v>0</v>
      </c>
      <c r="G1767" s="274">
        <f>Tabla3[[#This Row],[INGRESOS]]-Tabla3[[#This Row],[EGRESOS]]</f>
        <v>-121</v>
      </c>
      <c r="H1767" s="274">
        <v>5447346.1399999997</v>
      </c>
      <c r="I1767" s="135">
        <v>1170</v>
      </c>
      <c r="J1767" s="136">
        <f>Tabla3[[#This Row],[EGRESOS]]/Tabla3[[#This Row],[TC]]</f>
        <v>0.10341880341880341</v>
      </c>
      <c r="K1767" s="136">
        <f>Tabla3[[#This Row],[INGRESOS]]/Tabla3[[#This Row],[TC]]</f>
        <v>0</v>
      </c>
      <c r="L1767" s="8" t="s">
        <v>376</v>
      </c>
      <c r="M1767" s="8" t="s">
        <v>377</v>
      </c>
      <c r="N1767" s="8" t="s">
        <v>20</v>
      </c>
      <c r="O1767" s="8" t="s">
        <v>184</v>
      </c>
      <c r="P1767" s="8" t="s">
        <v>185</v>
      </c>
      <c r="Q1767" s="8" t="s">
        <v>186</v>
      </c>
      <c r="R1767" s="8" t="s">
        <v>227</v>
      </c>
      <c r="S1767" s="8"/>
      <c r="T1767" s="8"/>
      <c r="U1767" s="8" t="s">
        <v>384</v>
      </c>
      <c r="V1767" s="8"/>
      <c r="W1767" s="8" t="s">
        <v>380</v>
      </c>
      <c r="X1767" s="8" t="s">
        <v>99</v>
      </c>
      <c r="Y1767" s="8" t="s">
        <v>23</v>
      </c>
    </row>
    <row r="1768" spans="1:25" s="7" customFormat="1" hidden="1" x14ac:dyDescent="0.25">
      <c r="A1768" s="273" t="s">
        <v>317</v>
      </c>
      <c r="B1768" s="251">
        <v>45845</v>
      </c>
      <c r="C1768" s="252" t="s">
        <v>773</v>
      </c>
      <c r="D1768" s="252"/>
      <c r="E1768" s="253">
        <v>3001.46</v>
      </c>
      <c r="F1768" s="253">
        <v>0</v>
      </c>
      <c r="G1768" s="274">
        <f>Tabla3[[#This Row],[INGRESOS]]-Tabla3[[#This Row],[EGRESOS]]</f>
        <v>-3001.46</v>
      </c>
      <c r="H1768" s="274">
        <v>5444344.6799999997</v>
      </c>
      <c r="I1768" s="135">
        <v>1170</v>
      </c>
      <c r="J1768" s="136">
        <f>Tabla3[[#This Row],[EGRESOS]]/Tabla3[[#This Row],[TC]]</f>
        <v>2.5653504273504275</v>
      </c>
      <c r="K1768" s="136">
        <f>Tabla3[[#This Row],[INGRESOS]]/Tabla3[[#This Row],[TC]]</f>
        <v>0</v>
      </c>
      <c r="L1768" s="8" t="s">
        <v>376</v>
      </c>
      <c r="M1768" s="8" t="s">
        <v>377</v>
      </c>
      <c r="N1768" s="8" t="s">
        <v>20</v>
      </c>
      <c r="O1768" s="8" t="s">
        <v>184</v>
      </c>
      <c r="P1768" s="8" t="s">
        <v>195</v>
      </c>
      <c r="Q1768" s="8" t="s">
        <v>196</v>
      </c>
      <c r="R1768" s="8" t="s">
        <v>394</v>
      </c>
      <c r="S1768" s="8" t="s">
        <v>383</v>
      </c>
      <c r="T1768" s="8"/>
      <c r="U1768" s="8" t="s">
        <v>384</v>
      </c>
      <c r="V1768" s="8"/>
      <c r="W1768" s="8" t="s">
        <v>380</v>
      </c>
      <c r="X1768" s="8" t="s">
        <v>99</v>
      </c>
      <c r="Y1768" s="8" t="s">
        <v>23</v>
      </c>
    </row>
    <row r="1769" spans="1:25" s="7" customFormat="1" hidden="1" x14ac:dyDescent="0.25">
      <c r="A1769" s="273" t="s">
        <v>317</v>
      </c>
      <c r="B1769" s="251">
        <v>45846</v>
      </c>
      <c r="C1769" s="252" t="s">
        <v>782</v>
      </c>
      <c r="D1769" s="252" t="s">
        <v>1042</v>
      </c>
      <c r="E1769" s="253">
        <v>1050282</v>
      </c>
      <c r="F1769" s="253">
        <v>0</v>
      </c>
      <c r="G1769" s="274">
        <f>Tabla3[[#This Row],[INGRESOS]]-Tabla3[[#This Row],[EGRESOS]]</f>
        <v>-1050282</v>
      </c>
      <c r="H1769" s="274">
        <v>4394062.68</v>
      </c>
      <c r="I1769" s="135">
        <v>1170</v>
      </c>
      <c r="J1769" s="136">
        <f>Tabla3[[#This Row],[EGRESOS]]/Tabla3[[#This Row],[TC]]</f>
        <v>897.67692307692312</v>
      </c>
      <c r="K1769" s="136">
        <f>Tabla3[[#This Row],[INGRESOS]]/Tabla3[[#This Row],[TC]]</f>
        <v>0</v>
      </c>
      <c r="L1769" s="8" t="s">
        <v>376</v>
      </c>
      <c r="M1769" s="8" t="s">
        <v>377</v>
      </c>
      <c r="N1769" s="8" t="s">
        <v>20</v>
      </c>
      <c r="O1769" s="8" t="s">
        <v>215</v>
      </c>
      <c r="P1769" s="8" t="s">
        <v>216</v>
      </c>
      <c r="Q1769" s="8" t="s">
        <v>219</v>
      </c>
      <c r="R1769" s="8" t="s">
        <v>337</v>
      </c>
      <c r="S1769" s="8" t="s">
        <v>1014</v>
      </c>
      <c r="T1769" s="8" t="s">
        <v>1015</v>
      </c>
      <c r="U1769" s="8" t="s">
        <v>412</v>
      </c>
      <c r="V1769" s="8"/>
      <c r="W1769" s="8" t="s">
        <v>380</v>
      </c>
      <c r="X1769" s="8" t="s">
        <v>29</v>
      </c>
      <c r="Y1769" s="8" t="s">
        <v>23</v>
      </c>
    </row>
    <row r="1770" spans="1:25" s="7" customFormat="1" hidden="1" x14ac:dyDescent="0.25">
      <c r="A1770" s="273" t="s">
        <v>317</v>
      </c>
      <c r="B1770" s="251">
        <v>45846</v>
      </c>
      <c r="C1770" s="252" t="s">
        <v>800</v>
      </c>
      <c r="D1770" s="252"/>
      <c r="E1770" s="253">
        <v>374597</v>
      </c>
      <c r="F1770" s="253">
        <v>0</v>
      </c>
      <c r="G1770" s="274">
        <f>Tabla3[[#This Row],[INGRESOS]]-Tabla3[[#This Row],[EGRESOS]]</f>
        <v>-374597</v>
      </c>
      <c r="H1770" s="274">
        <v>4019465.68</v>
      </c>
      <c r="I1770" s="135">
        <v>1170</v>
      </c>
      <c r="J1770" s="136">
        <f>Tabla3[[#This Row],[EGRESOS]]/Tabla3[[#This Row],[TC]]</f>
        <v>320.16837606837606</v>
      </c>
      <c r="K1770" s="136">
        <f>Tabla3[[#This Row],[INGRESOS]]/Tabla3[[#This Row],[TC]]</f>
        <v>0</v>
      </c>
      <c r="L1770" s="8" t="s">
        <v>376</v>
      </c>
      <c r="M1770" s="8" t="s">
        <v>377</v>
      </c>
      <c r="N1770" s="8" t="s">
        <v>20</v>
      </c>
      <c r="O1770" s="8" t="s">
        <v>184</v>
      </c>
      <c r="P1770" s="8" t="s">
        <v>210</v>
      </c>
      <c r="Q1770" s="8" t="s">
        <v>205</v>
      </c>
      <c r="R1770" s="8"/>
      <c r="S1770" s="8" t="s">
        <v>524</v>
      </c>
      <c r="T1770" s="8"/>
      <c r="U1770" s="8" t="s">
        <v>453</v>
      </c>
      <c r="V1770" s="8"/>
      <c r="W1770" s="8" t="s">
        <v>380</v>
      </c>
      <c r="X1770" s="8" t="s">
        <v>39</v>
      </c>
      <c r="Y1770" s="8" t="s">
        <v>23</v>
      </c>
    </row>
    <row r="1771" spans="1:25" s="7" customFormat="1" hidden="1" x14ac:dyDescent="0.25">
      <c r="A1771" s="273" t="s">
        <v>317</v>
      </c>
      <c r="B1771" s="251">
        <v>45846</v>
      </c>
      <c r="C1771" s="252" t="s">
        <v>828</v>
      </c>
      <c r="D1771" s="252"/>
      <c r="E1771" s="253">
        <v>121</v>
      </c>
      <c r="F1771" s="253">
        <v>0</v>
      </c>
      <c r="G1771" s="274">
        <f>Tabla3[[#This Row],[INGRESOS]]-Tabla3[[#This Row],[EGRESOS]]</f>
        <v>-121</v>
      </c>
      <c r="H1771" s="274">
        <v>4019344.68</v>
      </c>
      <c r="I1771" s="135">
        <v>1170</v>
      </c>
      <c r="J1771" s="136">
        <f>Tabla3[[#This Row],[EGRESOS]]/Tabla3[[#This Row],[TC]]</f>
        <v>0.10341880341880341</v>
      </c>
      <c r="K1771" s="136">
        <f>Tabla3[[#This Row],[INGRESOS]]/Tabla3[[#This Row],[TC]]</f>
        <v>0</v>
      </c>
      <c r="L1771" s="8" t="s">
        <v>376</v>
      </c>
      <c r="M1771" s="8" t="s">
        <v>377</v>
      </c>
      <c r="N1771" s="8" t="s">
        <v>20</v>
      </c>
      <c r="O1771" s="8" t="s">
        <v>184</v>
      </c>
      <c r="P1771" s="8" t="s">
        <v>185</v>
      </c>
      <c r="Q1771" s="8" t="s">
        <v>186</v>
      </c>
      <c r="R1771" s="8" t="s">
        <v>227</v>
      </c>
      <c r="S1771" s="8"/>
      <c r="T1771" s="8"/>
      <c r="U1771" s="8" t="s">
        <v>384</v>
      </c>
      <c r="V1771" s="8"/>
      <c r="W1771" s="8" t="s">
        <v>380</v>
      </c>
      <c r="X1771" s="8" t="s">
        <v>99</v>
      </c>
      <c r="Y1771" s="8" t="s">
        <v>23</v>
      </c>
    </row>
    <row r="1772" spans="1:25" s="7" customFormat="1" hidden="1" x14ac:dyDescent="0.25">
      <c r="A1772" s="273" t="s">
        <v>317</v>
      </c>
      <c r="B1772" s="251">
        <v>45846</v>
      </c>
      <c r="C1772" s="252" t="s">
        <v>800</v>
      </c>
      <c r="D1772" s="252"/>
      <c r="E1772" s="253">
        <v>711914</v>
      </c>
      <c r="F1772" s="253">
        <v>0</v>
      </c>
      <c r="G1772" s="274">
        <f>Tabla3[[#This Row],[INGRESOS]]-Tabla3[[#This Row],[EGRESOS]]</f>
        <v>-711914</v>
      </c>
      <c r="H1772" s="274">
        <v>3307430.68</v>
      </c>
      <c r="I1772" s="135">
        <v>1170</v>
      </c>
      <c r="J1772" s="136">
        <f>Tabla3[[#This Row],[EGRESOS]]/Tabla3[[#This Row],[TC]]</f>
        <v>608.47350427350432</v>
      </c>
      <c r="K1772" s="136">
        <f>Tabla3[[#This Row],[INGRESOS]]/Tabla3[[#This Row],[TC]]</f>
        <v>0</v>
      </c>
      <c r="L1772" s="8" t="s">
        <v>376</v>
      </c>
      <c r="M1772" s="8" t="s">
        <v>377</v>
      </c>
      <c r="N1772" s="8" t="s">
        <v>20</v>
      </c>
      <c r="O1772" s="8" t="s">
        <v>184</v>
      </c>
      <c r="P1772" s="8" t="s">
        <v>199</v>
      </c>
      <c r="Q1772" s="8" t="s">
        <v>201</v>
      </c>
      <c r="R1772" s="8" t="s">
        <v>1043</v>
      </c>
      <c r="S1772" s="8" t="s">
        <v>392</v>
      </c>
      <c r="T1772" s="8"/>
      <c r="U1772" s="8" t="s">
        <v>390</v>
      </c>
      <c r="V1772" s="8"/>
      <c r="W1772" s="8" t="s">
        <v>380</v>
      </c>
      <c r="X1772" s="8" t="s">
        <v>99</v>
      </c>
      <c r="Y1772" s="8" t="s">
        <v>23</v>
      </c>
    </row>
    <row r="1773" spans="1:25" s="7" customFormat="1" hidden="1" x14ac:dyDescent="0.25">
      <c r="A1773" s="273" t="s">
        <v>317</v>
      </c>
      <c r="B1773" s="251">
        <v>45846</v>
      </c>
      <c r="C1773" s="252" t="s">
        <v>828</v>
      </c>
      <c r="D1773" s="252"/>
      <c r="E1773" s="253">
        <v>121</v>
      </c>
      <c r="F1773" s="253">
        <v>0</v>
      </c>
      <c r="G1773" s="274">
        <f>Tabla3[[#This Row],[INGRESOS]]-Tabla3[[#This Row],[EGRESOS]]</f>
        <v>-121</v>
      </c>
      <c r="H1773" s="274">
        <v>3307309.68</v>
      </c>
      <c r="I1773" s="135">
        <v>1170</v>
      </c>
      <c r="J1773" s="136">
        <f>Tabla3[[#This Row],[EGRESOS]]/Tabla3[[#This Row],[TC]]</f>
        <v>0.10341880341880341</v>
      </c>
      <c r="K1773" s="136">
        <f>Tabla3[[#This Row],[INGRESOS]]/Tabla3[[#This Row],[TC]]</f>
        <v>0</v>
      </c>
      <c r="L1773" s="8" t="s">
        <v>376</v>
      </c>
      <c r="M1773" s="8" t="s">
        <v>377</v>
      </c>
      <c r="N1773" s="8" t="s">
        <v>20</v>
      </c>
      <c r="O1773" s="8" t="s">
        <v>184</v>
      </c>
      <c r="P1773" s="8" t="s">
        <v>185</v>
      </c>
      <c r="Q1773" s="8" t="s">
        <v>186</v>
      </c>
      <c r="R1773" s="8" t="s">
        <v>227</v>
      </c>
      <c r="S1773" s="8"/>
      <c r="T1773" s="8"/>
      <c r="U1773" s="8" t="s">
        <v>384</v>
      </c>
      <c r="V1773" s="8"/>
      <c r="W1773" s="8" t="s">
        <v>380</v>
      </c>
      <c r="X1773" s="8" t="s">
        <v>99</v>
      </c>
      <c r="Y1773" s="8" t="s">
        <v>23</v>
      </c>
    </row>
    <row r="1774" spans="1:25" s="7" customFormat="1" hidden="1" x14ac:dyDescent="0.25">
      <c r="A1774" s="273" t="s">
        <v>317</v>
      </c>
      <c r="B1774" s="251">
        <v>45846</v>
      </c>
      <c r="C1774" s="252" t="s">
        <v>800</v>
      </c>
      <c r="D1774" s="252"/>
      <c r="E1774" s="253">
        <v>200000</v>
      </c>
      <c r="F1774" s="253">
        <v>0</v>
      </c>
      <c r="G1774" s="274">
        <f>Tabla3[[#This Row],[INGRESOS]]-Tabla3[[#This Row],[EGRESOS]]</f>
        <v>-200000</v>
      </c>
      <c r="H1774" s="274">
        <v>3107309.68</v>
      </c>
      <c r="I1774" s="135">
        <v>1170</v>
      </c>
      <c r="J1774" s="136">
        <f>Tabla3[[#This Row],[EGRESOS]]/Tabla3[[#This Row],[TC]]</f>
        <v>170.94017094017093</v>
      </c>
      <c r="K1774" s="136">
        <f>Tabla3[[#This Row],[INGRESOS]]/Tabla3[[#This Row],[TC]]</f>
        <v>0</v>
      </c>
      <c r="L1774" s="8" t="s">
        <v>376</v>
      </c>
      <c r="M1774" s="8" t="s">
        <v>377</v>
      </c>
      <c r="N1774" s="8" t="s">
        <v>20</v>
      </c>
      <c r="O1774" s="8" t="s">
        <v>184</v>
      </c>
      <c r="P1774" s="8" t="s">
        <v>199</v>
      </c>
      <c r="Q1774" s="8" t="s">
        <v>201</v>
      </c>
      <c r="R1774" s="8" t="s">
        <v>1044</v>
      </c>
      <c r="S1774" s="8" t="s">
        <v>392</v>
      </c>
      <c r="T1774" s="8"/>
      <c r="U1774" s="8" t="s">
        <v>390</v>
      </c>
      <c r="V1774" s="8"/>
      <c r="W1774" s="8" t="s">
        <v>380</v>
      </c>
      <c r="X1774" s="8" t="s">
        <v>99</v>
      </c>
      <c r="Y1774" s="8" t="s">
        <v>23</v>
      </c>
    </row>
    <row r="1775" spans="1:25" s="7" customFormat="1" hidden="1" x14ac:dyDescent="0.25">
      <c r="A1775" s="273" t="s">
        <v>317</v>
      </c>
      <c r="B1775" s="251">
        <v>45846</v>
      </c>
      <c r="C1775" s="252" t="s">
        <v>773</v>
      </c>
      <c r="D1775" s="252"/>
      <c r="E1775" s="253">
        <v>14022.21</v>
      </c>
      <c r="F1775" s="253">
        <v>0</v>
      </c>
      <c r="G1775" s="274">
        <f>Tabla3[[#This Row],[INGRESOS]]-Tabla3[[#This Row],[EGRESOS]]</f>
        <v>-14022.21</v>
      </c>
      <c r="H1775" s="274">
        <v>3093287.47</v>
      </c>
      <c r="I1775" s="135">
        <v>1170</v>
      </c>
      <c r="J1775" s="136">
        <f>Tabla3[[#This Row],[EGRESOS]]/Tabla3[[#This Row],[TC]]</f>
        <v>11.984794871794872</v>
      </c>
      <c r="K1775" s="136">
        <f>Tabla3[[#This Row],[INGRESOS]]/Tabla3[[#This Row],[TC]]</f>
        <v>0</v>
      </c>
      <c r="L1775" s="8" t="s">
        <v>376</v>
      </c>
      <c r="M1775" s="8" t="s">
        <v>377</v>
      </c>
      <c r="N1775" s="8" t="s">
        <v>20</v>
      </c>
      <c r="O1775" s="8" t="s">
        <v>184</v>
      </c>
      <c r="P1775" s="8" t="s">
        <v>195</v>
      </c>
      <c r="Q1775" s="8" t="s">
        <v>196</v>
      </c>
      <c r="R1775" s="8" t="s">
        <v>394</v>
      </c>
      <c r="S1775" s="8"/>
      <c r="T1775" s="8"/>
      <c r="U1775" s="8" t="s">
        <v>384</v>
      </c>
      <c r="V1775" s="8"/>
      <c r="W1775" s="8" t="s">
        <v>380</v>
      </c>
      <c r="X1775" s="8" t="s">
        <v>99</v>
      </c>
      <c r="Y1775" s="8" t="s">
        <v>23</v>
      </c>
    </row>
    <row r="1776" spans="1:25" s="7" customFormat="1" hidden="1" x14ac:dyDescent="0.25">
      <c r="A1776" s="273" t="s">
        <v>317</v>
      </c>
      <c r="B1776" s="251">
        <v>45848</v>
      </c>
      <c r="C1776" s="252" t="s">
        <v>782</v>
      </c>
      <c r="D1776" s="252" t="s">
        <v>1045</v>
      </c>
      <c r="E1776" s="253">
        <v>1975446</v>
      </c>
      <c r="F1776" s="253">
        <v>0</v>
      </c>
      <c r="G1776" s="274">
        <f>Tabla3[[#This Row],[INGRESOS]]-Tabla3[[#This Row],[EGRESOS]]</f>
        <v>-1975446</v>
      </c>
      <c r="H1776" s="274">
        <v>1117841.47</v>
      </c>
      <c r="I1776" s="135">
        <v>1170</v>
      </c>
      <c r="J1776" s="136">
        <f>Tabla3[[#This Row],[EGRESOS]]/Tabla3[[#This Row],[TC]]</f>
        <v>1688.4153846153847</v>
      </c>
      <c r="K1776" s="136">
        <f>Tabla3[[#This Row],[INGRESOS]]/Tabla3[[#This Row],[TC]]</f>
        <v>0</v>
      </c>
      <c r="L1776" s="8" t="s">
        <v>376</v>
      </c>
      <c r="M1776" s="8" t="s">
        <v>377</v>
      </c>
      <c r="N1776" s="8" t="s">
        <v>20</v>
      </c>
      <c r="O1776" s="8" t="s">
        <v>215</v>
      </c>
      <c r="P1776" s="8" t="s">
        <v>216</v>
      </c>
      <c r="Q1776" s="8" t="s">
        <v>220</v>
      </c>
      <c r="R1776" s="8" t="s">
        <v>291</v>
      </c>
      <c r="S1776" s="8" t="s">
        <v>1046</v>
      </c>
      <c r="T1776" s="8"/>
      <c r="U1776" s="8" t="s">
        <v>412</v>
      </c>
      <c r="V1776" s="8"/>
      <c r="W1776" s="8" t="s">
        <v>380</v>
      </c>
      <c r="X1776" s="8" t="s">
        <v>29</v>
      </c>
      <c r="Y1776" s="8" t="s">
        <v>23</v>
      </c>
    </row>
    <row r="1777" spans="1:25" s="7" customFormat="1" hidden="1" x14ac:dyDescent="0.25">
      <c r="A1777" s="273" t="s">
        <v>317</v>
      </c>
      <c r="B1777" s="251">
        <v>45848</v>
      </c>
      <c r="C1777" s="252" t="s">
        <v>800</v>
      </c>
      <c r="D1777" s="252"/>
      <c r="E1777" s="253">
        <v>18745.22</v>
      </c>
      <c r="F1777" s="253">
        <v>0</v>
      </c>
      <c r="G1777" s="274">
        <f>Tabla3[[#This Row],[INGRESOS]]-Tabla3[[#This Row],[EGRESOS]]</f>
        <v>-18745.22</v>
      </c>
      <c r="H1777" s="274">
        <v>1099096.25</v>
      </c>
      <c r="I1777" s="135">
        <v>1170</v>
      </c>
      <c r="J1777" s="136">
        <f>Tabla3[[#This Row],[EGRESOS]]/Tabla3[[#This Row],[TC]]</f>
        <v>16.021555555555558</v>
      </c>
      <c r="K1777" s="136">
        <f>Tabla3[[#This Row],[INGRESOS]]/Tabla3[[#This Row],[TC]]</f>
        <v>0</v>
      </c>
      <c r="L1777" s="8" t="s">
        <v>376</v>
      </c>
      <c r="M1777" s="8" t="s">
        <v>377</v>
      </c>
      <c r="N1777" s="8" t="s">
        <v>20</v>
      </c>
      <c r="O1777" s="8" t="s">
        <v>225</v>
      </c>
      <c r="P1777" s="8" t="s">
        <v>226</v>
      </c>
      <c r="Q1777" s="8"/>
      <c r="R1777" s="8"/>
      <c r="S1777" s="8" t="s">
        <v>1047</v>
      </c>
      <c r="T1777" s="8" t="s">
        <v>1048</v>
      </c>
      <c r="U1777" s="8" t="s">
        <v>412</v>
      </c>
      <c r="V1777" s="8"/>
      <c r="W1777" s="8" t="s">
        <v>380</v>
      </c>
      <c r="X1777" s="8" t="s">
        <v>29</v>
      </c>
      <c r="Y1777" s="8" t="s">
        <v>23</v>
      </c>
    </row>
    <row r="1778" spans="1:25" s="7" customFormat="1" hidden="1" x14ac:dyDescent="0.25">
      <c r="A1778" s="273" t="s">
        <v>317</v>
      </c>
      <c r="B1778" s="251">
        <v>45848</v>
      </c>
      <c r="C1778" s="252" t="s">
        <v>800</v>
      </c>
      <c r="D1778" s="252"/>
      <c r="E1778" s="253">
        <v>350000</v>
      </c>
      <c r="F1778" s="253">
        <v>0</v>
      </c>
      <c r="G1778" s="274">
        <f>Tabla3[[#This Row],[INGRESOS]]-Tabla3[[#This Row],[EGRESOS]]</f>
        <v>-350000</v>
      </c>
      <c r="H1778" s="274">
        <v>749096.25</v>
      </c>
      <c r="I1778" s="135">
        <v>1170</v>
      </c>
      <c r="J1778" s="136">
        <f>Tabla3[[#This Row],[EGRESOS]]/Tabla3[[#This Row],[TC]]</f>
        <v>299.14529914529913</v>
      </c>
      <c r="K1778" s="136">
        <f>Tabla3[[#This Row],[INGRESOS]]/Tabla3[[#This Row],[TC]]</f>
        <v>0</v>
      </c>
      <c r="L1778" s="8" t="s">
        <v>376</v>
      </c>
      <c r="M1778" s="8" t="s">
        <v>377</v>
      </c>
      <c r="N1778" s="8" t="s">
        <v>20</v>
      </c>
      <c r="O1778" s="8" t="s">
        <v>184</v>
      </c>
      <c r="P1778" s="8" t="s">
        <v>203</v>
      </c>
      <c r="Q1778" s="8" t="s">
        <v>208</v>
      </c>
      <c r="R1778" s="8" t="s">
        <v>1049</v>
      </c>
      <c r="S1778" s="8" t="s">
        <v>414</v>
      </c>
      <c r="T1778" s="8"/>
      <c r="U1778" s="8" t="s">
        <v>530</v>
      </c>
      <c r="V1778" s="8" t="s">
        <v>415</v>
      </c>
      <c r="W1778" s="8" t="s">
        <v>380</v>
      </c>
      <c r="X1778" s="8" t="s">
        <v>102</v>
      </c>
      <c r="Y1778" s="8" t="s">
        <v>23</v>
      </c>
    </row>
    <row r="1779" spans="1:25" s="7" customFormat="1" hidden="1" x14ac:dyDescent="0.25">
      <c r="A1779" s="273" t="s">
        <v>317</v>
      </c>
      <c r="B1779" s="251">
        <v>45848</v>
      </c>
      <c r="C1779" s="252" t="s">
        <v>828</v>
      </c>
      <c r="D1779" s="252"/>
      <c r="E1779" s="253">
        <v>121</v>
      </c>
      <c r="F1779" s="253">
        <v>0</v>
      </c>
      <c r="G1779" s="274">
        <f>Tabla3[[#This Row],[INGRESOS]]-Tabla3[[#This Row],[EGRESOS]]</f>
        <v>-121</v>
      </c>
      <c r="H1779" s="274">
        <v>748975.25</v>
      </c>
      <c r="I1779" s="135">
        <v>1170</v>
      </c>
      <c r="J1779" s="136">
        <f>Tabla3[[#This Row],[EGRESOS]]/Tabla3[[#This Row],[TC]]</f>
        <v>0.10341880341880341</v>
      </c>
      <c r="K1779" s="136">
        <f>Tabla3[[#This Row],[INGRESOS]]/Tabla3[[#This Row],[TC]]</f>
        <v>0</v>
      </c>
      <c r="L1779" s="8" t="s">
        <v>376</v>
      </c>
      <c r="M1779" s="8" t="s">
        <v>377</v>
      </c>
      <c r="N1779" s="8" t="s">
        <v>20</v>
      </c>
      <c r="O1779" s="8" t="s">
        <v>184</v>
      </c>
      <c r="P1779" s="8" t="s">
        <v>185</v>
      </c>
      <c r="Q1779" s="8" t="s">
        <v>186</v>
      </c>
      <c r="R1779" s="8" t="s">
        <v>227</v>
      </c>
      <c r="S1779" s="8"/>
      <c r="T1779" s="8"/>
      <c r="U1779" s="8" t="s">
        <v>384</v>
      </c>
      <c r="V1779" s="8"/>
      <c r="W1779" s="8" t="s">
        <v>380</v>
      </c>
      <c r="X1779" s="8" t="s">
        <v>99</v>
      </c>
      <c r="Y1779" s="8" t="s">
        <v>23</v>
      </c>
    </row>
    <row r="1780" spans="1:25" s="7" customFormat="1" hidden="1" x14ac:dyDescent="0.25">
      <c r="A1780" s="273" t="s">
        <v>317</v>
      </c>
      <c r="B1780" s="251">
        <v>45848</v>
      </c>
      <c r="C1780" s="252" t="s">
        <v>773</v>
      </c>
      <c r="D1780" s="252"/>
      <c r="E1780" s="253">
        <v>14065.88</v>
      </c>
      <c r="F1780" s="253">
        <v>0</v>
      </c>
      <c r="G1780" s="274">
        <f>Tabla3[[#This Row],[INGRESOS]]-Tabla3[[#This Row],[EGRESOS]]</f>
        <v>-14065.88</v>
      </c>
      <c r="H1780" s="274">
        <v>734909.37</v>
      </c>
      <c r="I1780" s="135">
        <v>1170</v>
      </c>
      <c r="J1780" s="136">
        <f>Tabla3[[#This Row],[EGRESOS]]/Tabla3[[#This Row],[TC]]</f>
        <v>12.022119658119657</v>
      </c>
      <c r="K1780" s="136">
        <f>Tabla3[[#This Row],[INGRESOS]]/Tabla3[[#This Row],[TC]]</f>
        <v>0</v>
      </c>
      <c r="L1780" s="8" t="s">
        <v>376</v>
      </c>
      <c r="M1780" s="8" t="s">
        <v>377</v>
      </c>
      <c r="N1780" s="8" t="s">
        <v>20</v>
      </c>
      <c r="O1780" s="8" t="s">
        <v>184</v>
      </c>
      <c r="P1780" s="8" t="s">
        <v>195</v>
      </c>
      <c r="Q1780" s="8" t="s">
        <v>196</v>
      </c>
      <c r="R1780" s="8" t="s">
        <v>394</v>
      </c>
      <c r="S1780" s="8" t="s">
        <v>383</v>
      </c>
      <c r="T1780" s="8"/>
      <c r="U1780" s="8" t="s">
        <v>384</v>
      </c>
      <c r="V1780" s="8"/>
      <c r="W1780" s="8" t="s">
        <v>380</v>
      </c>
      <c r="X1780" s="8" t="s">
        <v>99</v>
      </c>
      <c r="Y1780" s="8" t="s">
        <v>23</v>
      </c>
    </row>
    <row r="1781" spans="1:25" s="7" customFormat="1" hidden="1" x14ac:dyDescent="0.25">
      <c r="A1781" s="273" t="s">
        <v>317</v>
      </c>
      <c r="B1781" s="251">
        <v>45852</v>
      </c>
      <c r="C1781" s="252" t="s">
        <v>782</v>
      </c>
      <c r="D1781" s="252" t="s">
        <v>1050</v>
      </c>
      <c r="E1781" s="253">
        <v>1000000</v>
      </c>
      <c r="F1781" s="253">
        <v>0</v>
      </c>
      <c r="G1781" s="274">
        <f>Tabla3[[#This Row],[INGRESOS]]-Tabla3[[#This Row],[EGRESOS]]</f>
        <v>-1000000</v>
      </c>
      <c r="H1781" s="274">
        <v>-265090.63</v>
      </c>
      <c r="I1781" s="135">
        <v>1170</v>
      </c>
      <c r="J1781" s="136">
        <f>Tabla3[[#This Row],[EGRESOS]]/Tabla3[[#This Row],[TC]]</f>
        <v>854.70085470085473</v>
      </c>
      <c r="K1781" s="136">
        <f>Tabla3[[#This Row],[INGRESOS]]/Tabla3[[#This Row],[TC]]</f>
        <v>0</v>
      </c>
      <c r="L1781" s="8" t="s">
        <v>376</v>
      </c>
      <c r="M1781" s="8" t="s">
        <v>377</v>
      </c>
      <c r="N1781" s="8" t="s">
        <v>20</v>
      </c>
      <c r="O1781" s="8" t="s">
        <v>225</v>
      </c>
      <c r="P1781" s="8" t="s">
        <v>236</v>
      </c>
      <c r="Q1781" s="8" t="s">
        <v>239</v>
      </c>
      <c r="R1781" s="8"/>
      <c r="S1781" s="8" t="s">
        <v>597</v>
      </c>
      <c r="T1781" s="8"/>
      <c r="U1781" s="8" t="s">
        <v>412</v>
      </c>
      <c r="V1781" s="8"/>
      <c r="W1781" s="8" t="s">
        <v>380</v>
      </c>
      <c r="X1781" s="8" t="s">
        <v>29</v>
      </c>
      <c r="Y1781" s="8" t="s">
        <v>23</v>
      </c>
    </row>
    <row r="1782" spans="1:25" s="7" customFormat="1" hidden="1" x14ac:dyDescent="0.25">
      <c r="A1782" s="273" t="s">
        <v>317</v>
      </c>
      <c r="B1782" s="251">
        <v>45852</v>
      </c>
      <c r="C1782" s="252" t="s">
        <v>782</v>
      </c>
      <c r="D1782" s="252" t="s">
        <v>1051</v>
      </c>
      <c r="E1782" s="253">
        <v>1600622.81</v>
      </c>
      <c r="F1782" s="253">
        <v>0</v>
      </c>
      <c r="G1782" s="274">
        <f>Tabla3[[#This Row],[INGRESOS]]-Tabla3[[#This Row],[EGRESOS]]</f>
        <v>-1600622.81</v>
      </c>
      <c r="H1782" s="274">
        <v>-1865713.44</v>
      </c>
      <c r="I1782" s="135">
        <v>1170</v>
      </c>
      <c r="J1782" s="136">
        <f>Tabla3[[#This Row],[EGRESOS]]/Tabla3[[#This Row],[TC]]</f>
        <v>1368.0536837606837</v>
      </c>
      <c r="K1782" s="136">
        <f>Tabla3[[#This Row],[INGRESOS]]/Tabla3[[#This Row],[TC]]</f>
        <v>0</v>
      </c>
      <c r="L1782" s="8" t="s">
        <v>376</v>
      </c>
      <c r="M1782" s="8" t="s">
        <v>377</v>
      </c>
      <c r="N1782" s="8" t="s">
        <v>20</v>
      </c>
      <c r="O1782" s="8" t="s">
        <v>215</v>
      </c>
      <c r="P1782" s="8" t="s">
        <v>216</v>
      </c>
      <c r="Q1782" s="8" t="s">
        <v>220</v>
      </c>
      <c r="R1782" s="8" t="s">
        <v>41</v>
      </c>
      <c r="S1782" s="8" t="s">
        <v>339</v>
      </c>
      <c r="T1782" s="8"/>
      <c r="U1782" s="8" t="s">
        <v>412</v>
      </c>
      <c r="V1782" s="8"/>
      <c r="W1782" s="8" t="s">
        <v>380</v>
      </c>
      <c r="X1782" s="8" t="s">
        <v>41</v>
      </c>
      <c r="Y1782" s="8" t="s">
        <v>23</v>
      </c>
    </row>
    <row r="1783" spans="1:25" s="7" customFormat="1" hidden="1" x14ac:dyDescent="0.25">
      <c r="A1783" s="273" t="s">
        <v>317</v>
      </c>
      <c r="B1783" s="251">
        <v>45852</v>
      </c>
      <c r="C1783" s="252" t="s">
        <v>945</v>
      </c>
      <c r="D1783" s="252"/>
      <c r="E1783" s="253">
        <v>0</v>
      </c>
      <c r="F1783" s="253">
        <v>61087561.5</v>
      </c>
      <c r="G1783" s="274">
        <f>Tabla3[[#This Row],[INGRESOS]]-Tabla3[[#This Row],[EGRESOS]]</f>
        <v>61087561.5</v>
      </c>
      <c r="H1783" s="274">
        <v>59221848</v>
      </c>
      <c r="I1783" s="135">
        <v>1170</v>
      </c>
      <c r="J1783" s="136">
        <f>Tabla3[[#This Row],[EGRESOS]]/Tabla3[[#This Row],[TC]]</f>
        <v>0</v>
      </c>
      <c r="K1783" s="136">
        <f>Tabla3[[#This Row],[INGRESOS]]/Tabla3[[#This Row],[TC]]</f>
        <v>52211.591025641028</v>
      </c>
      <c r="L1783" s="8" t="s">
        <v>376</v>
      </c>
      <c r="M1783" s="8" t="s">
        <v>377</v>
      </c>
      <c r="N1783" s="8" t="s">
        <v>20</v>
      </c>
      <c r="O1783" s="8" t="s">
        <v>286</v>
      </c>
      <c r="P1783" s="8" t="s">
        <v>304</v>
      </c>
      <c r="Q1783" s="8" t="s">
        <v>306</v>
      </c>
      <c r="R1783" s="8" t="s">
        <v>1052</v>
      </c>
      <c r="S1783" s="8" t="s">
        <v>947</v>
      </c>
      <c r="T1783" s="8" t="s">
        <v>1053</v>
      </c>
      <c r="U1783" s="8" t="s">
        <v>949</v>
      </c>
      <c r="V1783" s="8"/>
      <c r="W1783" s="8" t="s">
        <v>380</v>
      </c>
      <c r="X1783" s="8" t="s">
        <v>23</v>
      </c>
      <c r="Y1783" s="8" t="s">
        <v>97</v>
      </c>
    </row>
    <row r="1784" spans="1:25" s="7" customFormat="1" hidden="1" x14ac:dyDescent="0.25">
      <c r="A1784" s="273" t="s">
        <v>317</v>
      </c>
      <c r="B1784" s="251">
        <v>45852</v>
      </c>
      <c r="C1784" s="252" t="s">
        <v>987</v>
      </c>
      <c r="D1784" s="252"/>
      <c r="E1784" s="253">
        <v>0</v>
      </c>
      <c r="F1784" s="253">
        <v>1050388.3899999999</v>
      </c>
      <c r="G1784" s="274">
        <f>Tabla3[[#This Row],[INGRESOS]]-Tabla3[[#This Row],[EGRESOS]]</f>
        <v>1050388.3899999999</v>
      </c>
      <c r="H1784" s="274">
        <v>60272236.450000003</v>
      </c>
      <c r="I1784" s="135">
        <v>1170</v>
      </c>
      <c r="J1784" s="136">
        <f>Tabla3[[#This Row],[EGRESOS]]/Tabla3[[#This Row],[TC]]</f>
        <v>0</v>
      </c>
      <c r="K1784" s="136">
        <f>Tabla3[[#This Row],[INGRESOS]]/Tabla3[[#This Row],[TC]]</f>
        <v>897.76785470085463</v>
      </c>
      <c r="L1784" s="8" t="s">
        <v>376</v>
      </c>
      <c r="M1784" s="8" t="s">
        <v>377</v>
      </c>
      <c r="N1784" s="8" t="s">
        <v>20</v>
      </c>
      <c r="O1784" s="8" t="s">
        <v>215</v>
      </c>
      <c r="P1784" s="8" t="s">
        <v>216</v>
      </c>
      <c r="Q1784" s="8" t="s">
        <v>220</v>
      </c>
      <c r="R1784" s="8" t="s">
        <v>705</v>
      </c>
      <c r="S1784" s="8" t="s">
        <v>706</v>
      </c>
      <c r="T1784" s="8"/>
      <c r="U1784" s="8" t="s">
        <v>516</v>
      </c>
      <c r="V1784" s="8"/>
      <c r="W1784" s="8" t="s">
        <v>380</v>
      </c>
      <c r="X1784" s="8" t="s">
        <v>23</v>
      </c>
      <c r="Y1784" s="8" t="s">
        <v>97</v>
      </c>
    </row>
    <row r="1785" spans="1:25" s="7" customFormat="1" hidden="1" x14ac:dyDescent="0.25">
      <c r="A1785" s="273" t="s">
        <v>317</v>
      </c>
      <c r="B1785" s="251">
        <v>45852</v>
      </c>
      <c r="C1785" s="252" t="s">
        <v>760</v>
      </c>
      <c r="D1785" s="252"/>
      <c r="E1785" s="253">
        <v>372827.7</v>
      </c>
      <c r="F1785" s="253">
        <v>0</v>
      </c>
      <c r="G1785" s="274">
        <f>Tabla3[[#This Row],[INGRESOS]]-Tabla3[[#This Row],[EGRESOS]]</f>
        <v>-372827.7</v>
      </c>
      <c r="H1785" s="274">
        <v>59899408.75</v>
      </c>
      <c r="I1785" s="135">
        <v>1170</v>
      </c>
      <c r="J1785" s="136">
        <f>Tabla3[[#This Row],[EGRESOS]]/Tabla3[[#This Row],[TC]]</f>
        <v>318.65615384615387</v>
      </c>
      <c r="K1785" s="136">
        <f>Tabla3[[#This Row],[INGRESOS]]/Tabla3[[#This Row],[TC]]</f>
        <v>0</v>
      </c>
      <c r="L1785" s="8" t="s">
        <v>376</v>
      </c>
      <c r="M1785" s="8" t="s">
        <v>377</v>
      </c>
      <c r="N1785" s="8" t="s">
        <v>20</v>
      </c>
      <c r="O1785" s="8" t="s">
        <v>184</v>
      </c>
      <c r="P1785" s="8" t="s">
        <v>195</v>
      </c>
      <c r="Q1785" s="8" t="s">
        <v>196</v>
      </c>
      <c r="R1785" s="8" t="s">
        <v>394</v>
      </c>
      <c r="S1785" s="8" t="s">
        <v>383</v>
      </c>
      <c r="T1785" s="8"/>
      <c r="U1785" s="8" t="s">
        <v>384</v>
      </c>
      <c r="V1785" s="8"/>
      <c r="W1785" s="8" t="s">
        <v>380</v>
      </c>
      <c r="X1785" s="8" t="s">
        <v>99</v>
      </c>
      <c r="Y1785" s="8" t="s">
        <v>23</v>
      </c>
    </row>
    <row r="1786" spans="1:25" s="7" customFormat="1" hidden="1" x14ac:dyDescent="0.25">
      <c r="A1786" s="273" t="s">
        <v>317</v>
      </c>
      <c r="B1786" s="251">
        <v>45852</v>
      </c>
      <c r="C1786" s="252" t="s">
        <v>773</v>
      </c>
      <c r="D1786" s="252"/>
      <c r="E1786" s="253">
        <v>15603.74</v>
      </c>
      <c r="F1786" s="253">
        <v>0</v>
      </c>
      <c r="G1786" s="274">
        <f>Tabla3[[#This Row],[INGRESOS]]-Tabla3[[#This Row],[EGRESOS]]</f>
        <v>-15603.74</v>
      </c>
      <c r="H1786" s="274">
        <v>59883805.009999998</v>
      </c>
      <c r="I1786" s="135">
        <v>1170</v>
      </c>
      <c r="J1786" s="136">
        <f>Tabla3[[#This Row],[EGRESOS]]/Tabla3[[#This Row],[TC]]</f>
        <v>13.336529914529914</v>
      </c>
      <c r="K1786" s="136">
        <f>Tabla3[[#This Row],[INGRESOS]]/Tabla3[[#This Row],[TC]]</f>
        <v>0</v>
      </c>
      <c r="L1786" s="8" t="s">
        <v>376</v>
      </c>
      <c r="M1786" s="8" t="s">
        <v>377</v>
      </c>
      <c r="N1786" s="8" t="s">
        <v>20</v>
      </c>
      <c r="O1786" s="8" t="s">
        <v>184</v>
      </c>
      <c r="P1786" s="8" t="s">
        <v>195</v>
      </c>
      <c r="Q1786" s="8" t="s">
        <v>196</v>
      </c>
      <c r="R1786" s="8" t="s">
        <v>394</v>
      </c>
      <c r="S1786" s="8" t="s">
        <v>383</v>
      </c>
      <c r="T1786" s="8"/>
      <c r="U1786" s="8" t="s">
        <v>384</v>
      </c>
      <c r="V1786" s="8"/>
      <c r="W1786" s="8" t="s">
        <v>380</v>
      </c>
      <c r="X1786" s="8" t="s">
        <v>99</v>
      </c>
      <c r="Y1786" s="8" t="s">
        <v>23</v>
      </c>
    </row>
    <row r="1787" spans="1:25" s="7" customFormat="1" hidden="1" x14ac:dyDescent="0.25">
      <c r="A1787" s="273" t="s">
        <v>317</v>
      </c>
      <c r="B1787" s="251">
        <v>45853</v>
      </c>
      <c r="C1787" s="252" t="s">
        <v>782</v>
      </c>
      <c r="D1787" s="252" t="s">
        <v>1054</v>
      </c>
      <c r="E1787" s="253">
        <v>1086667</v>
      </c>
      <c r="F1787" s="253">
        <v>0</v>
      </c>
      <c r="G1787" s="274">
        <f>Tabla3[[#This Row],[INGRESOS]]-Tabla3[[#This Row],[EGRESOS]]</f>
        <v>-1086667</v>
      </c>
      <c r="H1787" s="274">
        <v>58797138.009999998</v>
      </c>
      <c r="I1787" s="135">
        <v>1170</v>
      </c>
      <c r="J1787" s="136">
        <f>Tabla3[[#This Row],[EGRESOS]]/Tabla3[[#This Row],[TC]]</f>
        <v>928.77521367521365</v>
      </c>
      <c r="K1787" s="136">
        <f>Tabla3[[#This Row],[INGRESOS]]/Tabla3[[#This Row],[TC]]</f>
        <v>0</v>
      </c>
      <c r="L1787" s="8" t="s">
        <v>376</v>
      </c>
      <c r="M1787" s="8" t="s">
        <v>377</v>
      </c>
      <c r="N1787" s="8" t="s">
        <v>20</v>
      </c>
      <c r="O1787" s="8" t="s">
        <v>286</v>
      </c>
      <c r="P1787" s="8" t="s">
        <v>287</v>
      </c>
      <c r="Q1787" s="8" t="s">
        <v>291</v>
      </c>
      <c r="R1787" s="8" t="s">
        <v>1055</v>
      </c>
      <c r="S1787" s="8" t="s">
        <v>676</v>
      </c>
      <c r="T1787" s="8"/>
      <c r="U1787" s="8" t="s">
        <v>412</v>
      </c>
      <c r="V1787" s="8"/>
      <c r="W1787" s="8" t="s">
        <v>380</v>
      </c>
      <c r="X1787" s="8" t="s">
        <v>29</v>
      </c>
      <c r="Y1787" s="8" t="s">
        <v>23</v>
      </c>
    </row>
    <row r="1788" spans="1:25" s="7" customFormat="1" hidden="1" x14ac:dyDescent="0.25">
      <c r="A1788" s="273" t="s">
        <v>317</v>
      </c>
      <c r="B1788" s="251">
        <v>45853</v>
      </c>
      <c r="C1788" s="252" t="s">
        <v>404</v>
      </c>
      <c r="D1788" s="252"/>
      <c r="E1788" s="253">
        <v>25000000</v>
      </c>
      <c r="F1788" s="253">
        <v>0</v>
      </c>
      <c r="G1788" s="274">
        <f>Tabla3[[#This Row],[INGRESOS]]-Tabla3[[#This Row],[EGRESOS]]</f>
        <v>-25000000</v>
      </c>
      <c r="H1788" s="274">
        <v>33797138.009999998</v>
      </c>
      <c r="I1788" s="135">
        <v>1170</v>
      </c>
      <c r="J1788" s="136">
        <f>Tabla3[[#This Row],[EGRESOS]]/Tabla3[[#This Row],[TC]]</f>
        <v>21367.521367521367</v>
      </c>
      <c r="K1788" s="136">
        <f>Tabla3[[#This Row],[INGRESOS]]/Tabla3[[#This Row],[TC]]</f>
        <v>0</v>
      </c>
      <c r="L1788" s="8" t="s">
        <v>376</v>
      </c>
      <c r="M1788" s="8" t="s">
        <v>377</v>
      </c>
      <c r="N1788" s="8" t="s">
        <v>20</v>
      </c>
      <c r="O1788" s="8" t="s">
        <v>244</v>
      </c>
      <c r="P1788" s="8" t="s">
        <v>259</v>
      </c>
      <c r="Q1788" s="8" t="s">
        <v>260</v>
      </c>
      <c r="R1788" s="8" t="s">
        <v>466</v>
      </c>
      <c r="S1788" s="8"/>
      <c r="T1788" s="8"/>
      <c r="U1788" s="8" t="s">
        <v>379</v>
      </c>
      <c r="V1788" s="8"/>
      <c r="W1788" s="8" t="s">
        <v>380</v>
      </c>
      <c r="X1788" s="8"/>
      <c r="Y1788" s="8"/>
    </row>
    <row r="1789" spans="1:25" s="7" customFormat="1" hidden="1" x14ac:dyDescent="0.25">
      <c r="A1789" s="273" t="s">
        <v>317</v>
      </c>
      <c r="B1789" s="251">
        <v>45853</v>
      </c>
      <c r="C1789" s="252" t="s">
        <v>828</v>
      </c>
      <c r="D1789" s="252"/>
      <c r="E1789" s="253">
        <v>121</v>
      </c>
      <c r="F1789" s="253">
        <v>0</v>
      </c>
      <c r="G1789" s="274">
        <f>Tabla3[[#This Row],[INGRESOS]]-Tabla3[[#This Row],[EGRESOS]]</f>
        <v>-121</v>
      </c>
      <c r="H1789" s="274">
        <v>33797017.009999998</v>
      </c>
      <c r="I1789" s="135">
        <v>1170</v>
      </c>
      <c r="J1789" s="136">
        <f>Tabla3[[#This Row],[EGRESOS]]/Tabla3[[#This Row],[TC]]</f>
        <v>0.10341880341880341</v>
      </c>
      <c r="K1789" s="136">
        <f>Tabla3[[#This Row],[INGRESOS]]/Tabla3[[#This Row],[TC]]</f>
        <v>0</v>
      </c>
      <c r="L1789" s="8" t="s">
        <v>376</v>
      </c>
      <c r="M1789" s="8" t="s">
        <v>377</v>
      </c>
      <c r="N1789" s="8" t="s">
        <v>20</v>
      </c>
      <c r="O1789" s="8" t="s">
        <v>184</v>
      </c>
      <c r="P1789" s="8" t="s">
        <v>185</v>
      </c>
      <c r="Q1789" s="8" t="s">
        <v>186</v>
      </c>
      <c r="R1789" s="8" t="s">
        <v>227</v>
      </c>
      <c r="S1789" s="8"/>
      <c r="T1789" s="8"/>
      <c r="U1789" s="8" t="s">
        <v>384</v>
      </c>
      <c r="V1789" s="8"/>
      <c r="W1789" s="8" t="s">
        <v>380</v>
      </c>
      <c r="X1789" s="8" t="s">
        <v>99</v>
      </c>
      <c r="Y1789" s="8" t="s">
        <v>23</v>
      </c>
    </row>
    <row r="1790" spans="1:25" s="7" customFormat="1" hidden="1" x14ac:dyDescent="0.25">
      <c r="A1790" s="273" t="s">
        <v>317</v>
      </c>
      <c r="B1790" s="251">
        <v>45853</v>
      </c>
      <c r="C1790" s="252" t="s">
        <v>1056</v>
      </c>
      <c r="D1790" s="252"/>
      <c r="E1790" s="253">
        <v>18000</v>
      </c>
      <c r="F1790" s="253">
        <v>0</v>
      </c>
      <c r="G1790" s="274">
        <f>Tabla3[[#This Row],[INGRESOS]]-Tabla3[[#This Row],[EGRESOS]]</f>
        <v>-18000</v>
      </c>
      <c r="H1790" s="274">
        <v>33779017.009999998</v>
      </c>
      <c r="I1790" s="135">
        <v>1170</v>
      </c>
      <c r="J1790" s="136">
        <f>Tabla3[[#This Row],[EGRESOS]]/Tabla3[[#This Row],[TC]]</f>
        <v>15.384615384615385</v>
      </c>
      <c r="K1790" s="136">
        <f>Tabla3[[#This Row],[INGRESOS]]/Tabla3[[#This Row],[TC]]</f>
        <v>0</v>
      </c>
      <c r="L1790" s="8" t="s">
        <v>376</v>
      </c>
      <c r="M1790" s="8" t="s">
        <v>377</v>
      </c>
      <c r="N1790" s="8" t="s">
        <v>20</v>
      </c>
      <c r="O1790" s="8" t="s">
        <v>215</v>
      </c>
      <c r="P1790" s="8" t="s">
        <v>216</v>
      </c>
      <c r="Q1790" s="8" t="s">
        <v>221</v>
      </c>
      <c r="R1790" s="8" t="s">
        <v>1057</v>
      </c>
      <c r="S1790" s="8"/>
      <c r="T1790" s="8"/>
      <c r="U1790" s="8" t="s">
        <v>384</v>
      </c>
      <c r="V1790" s="8"/>
      <c r="W1790" s="8" t="s">
        <v>380</v>
      </c>
      <c r="X1790" s="8" t="s">
        <v>99</v>
      </c>
      <c r="Y1790" s="8" t="s">
        <v>23</v>
      </c>
    </row>
    <row r="1791" spans="1:25" s="7" customFormat="1" hidden="1" x14ac:dyDescent="0.25">
      <c r="A1791" s="273" t="s">
        <v>317</v>
      </c>
      <c r="B1791" s="251">
        <v>45853</v>
      </c>
      <c r="C1791" s="252" t="s">
        <v>800</v>
      </c>
      <c r="D1791" s="252"/>
      <c r="E1791" s="253">
        <v>3000</v>
      </c>
      <c r="F1791" s="253">
        <v>0</v>
      </c>
      <c r="G1791" s="274">
        <f>Tabla3[[#This Row],[INGRESOS]]-Tabla3[[#This Row],[EGRESOS]]</f>
        <v>-3000</v>
      </c>
      <c r="H1791" s="274">
        <v>33776017.009999998</v>
      </c>
      <c r="I1791" s="135">
        <v>1170</v>
      </c>
      <c r="J1791" s="136">
        <f>Tabla3[[#This Row],[EGRESOS]]/Tabla3[[#This Row],[TC]]</f>
        <v>2.5641025641025643</v>
      </c>
      <c r="K1791" s="136">
        <f>Tabla3[[#This Row],[INGRESOS]]/Tabla3[[#This Row],[TC]]</f>
        <v>0</v>
      </c>
      <c r="L1791" s="8" t="s">
        <v>376</v>
      </c>
      <c r="M1791" s="8" t="s">
        <v>377</v>
      </c>
      <c r="N1791" s="8" t="s">
        <v>20</v>
      </c>
      <c r="O1791" s="8" t="s">
        <v>225</v>
      </c>
      <c r="P1791" s="8" t="s">
        <v>236</v>
      </c>
      <c r="Q1791" s="8" t="s">
        <v>214</v>
      </c>
      <c r="R1791" s="8" t="s">
        <v>1058</v>
      </c>
      <c r="S1791" s="8" t="s">
        <v>1059</v>
      </c>
      <c r="T1791" s="8"/>
      <c r="U1791" s="8" t="s">
        <v>403</v>
      </c>
      <c r="V1791" s="8"/>
      <c r="W1791" s="8" t="s">
        <v>380</v>
      </c>
      <c r="X1791" s="8" t="s">
        <v>29</v>
      </c>
      <c r="Y1791" s="8" t="s">
        <v>23</v>
      </c>
    </row>
    <row r="1792" spans="1:25" s="7" customFormat="1" hidden="1" x14ac:dyDescent="0.25">
      <c r="A1792" s="273" t="s">
        <v>317</v>
      </c>
      <c r="B1792" s="251">
        <v>45853</v>
      </c>
      <c r="C1792" s="252" t="s">
        <v>800</v>
      </c>
      <c r="D1792" s="252"/>
      <c r="E1792" s="253">
        <v>16200</v>
      </c>
      <c r="F1792" s="253">
        <v>0</v>
      </c>
      <c r="G1792" s="274">
        <f>Tabla3[[#This Row],[INGRESOS]]-Tabla3[[#This Row],[EGRESOS]]</f>
        <v>-16200</v>
      </c>
      <c r="H1792" s="274">
        <v>33759817.009999998</v>
      </c>
      <c r="I1792" s="135">
        <v>1170</v>
      </c>
      <c r="J1792" s="136">
        <f>Tabla3[[#This Row],[EGRESOS]]/Tabla3[[#This Row],[TC]]</f>
        <v>13.846153846153847</v>
      </c>
      <c r="K1792" s="136">
        <f>Tabla3[[#This Row],[INGRESOS]]/Tabla3[[#This Row],[TC]]</f>
        <v>0</v>
      </c>
      <c r="L1792" s="8" t="s">
        <v>376</v>
      </c>
      <c r="M1792" s="8" t="s">
        <v>377</v>
      </c>
      <c r="N1792" s="8" t="s">
        <v>20</v>
      </c>
      <c r="O1792" s="8" t="s">
        <v>225</v>
      </c>
      <c r="P1792" s="8" t="s">
        <v>236</v>
      </c>
      <c r="Q1792" s="8" t="s">
        <v>33</v>
      </c>
      <c r="R1792" s="8" t="s">
        <v>1060</v>
      </c>
      <c r="S1792" s="8" t="s">
        <v>551</v>
      </c>
      <c r="T1792" s="8"/>
      <c r="U1792" s="8" t="s">
        <v>412</v>
      </c>
      <c r="V1792" s="8"/>
      <c r="W1792" s="8" t="s">
        <v>380</v>
      </c>
      <c r="X1792" s="8" t="s">
        <v>29</v>
      </c>
      <c r="Y1792" s="8" t="s">
        <v>23</v>
      </c>
    </row>
    <row r="1793" spans="1:25" s="7" customFormat="1" hidden="1" x14ac:dyDescent="0.25">
      <c r="A1793" s="273" t="s">
        <v>317</v>
      </c>
      <c r="B1793" s="251">
        <v>45853</v>
      </c>
      <c r="C1793" s="252" t="s">
        <v>800</v>
      </c>
      <c r="D1793" s="252"/>
      <c r="E1793" s="253">
        <v>96930</v>
      </c>
      <c r="F1793" s="253">
        <v>0</v>
      </c>
      <c r="G1793" s="274">
        <f>Tabla3[[#This Row],[INGRESOS]]-Tabla3[[#This Row],[EGRESOS]]</f>
        <v>-96930</v>
      </c>
      <c r="H1793" s="274">
        <v>33662887.009999998</v>
      </c>
      <c r="I1793" s="135">
        <v>1170</v>
      </c>
      <c r="J1793" s="136">
        <f>Tabla3[[#This Row],[EGRESOS]]/Tabla3[[#This Row],[TC]]</f>
        <v>82.84615384615384</v>
      </c>
      <c r="K1793" s="136">
        <f>Tabla3[[#This Row],[INGRESOS]]/Tabla3[[#This Row],[TC]]</f>
        <v>0</v>
      </c>
      <c r="L1793" s="8" t="s">
        <v>376</v>
      </c>
      <c r="M1793" s="8" t="s">
        <v>377</v>
      </c>
      <c r="N1793" s="8" t="s">
        <v>20</v>
      </c>
      <c r="O1793" s="8" t="s">
        <v>225</v>
      </c>
      <c r="P1793" s="8" t="s">
        <v>236</v>
      </c>
      <c r="Q1793" s="8" t="s">
        <v>242</v>
      </c>
      <c r="R1793" s="8" t="s">
        <v>1061</v>
      </c>
      <c r="S1793" s="8" t="s">
        <v>1062</v>
      </c>
      <c r="T1793" s="8"/>
      <c r="U1793" s="8" t="s">
        <v>412</v>
      </c>
      <c r="V1793" s="8"/>
      <c r="W1793" s="8" t="s">
        <v>380</v>
      </c>
      <c r="X1793" s="8" t="s">
        <v>29</v>
      </c>
      <c r="Y1793" s="8" t="s">
        <v>23</v>
      </c>
    </row>
    <row r="1794" spans="1:25" s="7" customFormat="1" hidden="1" x14ac:dyDescent="0.25">
      <c r="A1794" s="273" t="s">
        <v>317</v>
      </c>
      <c r="B1794" s="251">
        <v>45853</v>
      </c>
      <c r="C1794" s="252" t="s">
        <v>800</v>
      </c>
      <c r="D1794" s="252"/>
      <c r="E1794" s="253">
        <v>52519.98</v>
      </c>
      <c r="F1794" s="253">
        <v>0</v>
      </c>
      <c r="G1794" s="274">
        <f>Tabla3[[#This Row],[INGRESOS]]-Tabla3[[#This Row],[EGRESOS]]</f>
        <v>-52519.98</v>
      </c>
      <c r="H1794" s="274">
        <v>33610367.030000001</v>
      </c>
      <c r="I1794" s="135">
        <v>1170</v>
      </c>
      <c r="J1794" s="136">
        <f>Tabla3[[#This Row],[EGRESOS]]/Tabla3[[#This Row],[TC]]</f>
        <v>44.888871794871797</v>
      </c>
      <c r="K1794" s="136">
        <f>Tabla3[[#This Row],[INGRESOS]]/Tabla3[[#This Row],[TC]]</f>
        <v>0</v>
      </c>
      <c r="L1794" s="8" t="s">
        <v>376</v>
      </c>
      <c r="M1794" s="8" t="s">
        <v>377</v>
      </c>
      <c r="N1794" s="8" t="s">
        <v>20</v>
      </c>
      <c r="O1794" s="8" t="s">
        <v>225</v>
      </c>
      <c r="P1794" s="8" t="s">
        <v>236</v>
      </c>
      <c r="Q1794" s="8" t="s">
        <v>33</v>
      </c>
      <c r="R1794" s="8"/>
      <c r="S1794" s="8" t="s">
        <v>815</v>
      </c>
      <c r="T1794" s="8"/>
      <c r="U1794" s="8" t="s">
        <v>412</v>
      </c>
      <c r="V1794" s="8"/>
      <c r="W1794" s="8" t="s">
        <v>380</v>
      </c>
      <c r="X1794" s="8" t="s">
        <v>29</v>
      </c>
      <c r="Y1794" s="8" t="s">
        <v>23</v>
      </c>
    </row>
    <row r="1795" spans="1:25" s="7" customFormat="1" hidden="1" x14ac:dyDescent="0.25">
      <c r="A1795" s="273" t="s">
        <v>317</v>
      </c>
      <c r="B1795" s="251">
        <v>45853</v>
      </c>
      <c r="C1795" s="252" t="s">
        <v>773</v>
      </c>
      <c r="D1795" s="252"/>
      <c r="E1795" s="253">
        <v>7640.63</v>
      </c>
      <c r="F1795" s="253">
        <v>0</v>
      </c>
      <c r="G1795" s="274">
        <f>Tabla3[[#This Row],[INGRESOS]]-Tabla3[[#This Row],[EGRESOS]]</f>
        <v>-7640.63</v>
      </c>
      <c r="H1795" s="274">
        <v>33602726.399999999</v>
      </c>
      <c r="I1795" s="135">
        <v>1170</v>
      </c>
      <c r="J1795" s="136">
        <f>Tabla3[[#This Row],[EGRESOS]]/Tabla3[[#This Row],[TC]]</f>
        <v>6.5304529914529912</v>
      </c>
      <c r="K1795" s="136">
        <f>Tabla3[[#This Row],[INGRESOS]]/Tabla3[[#This Row],[TC]]</f>
        <v>0</v>
      </c>
      <c r="L1795" s="8" t="s">
        <v>376</v>
      </c>
      <c r="M1795" s="8" t="s">
        <v>377</v>
      </c>
      <c r="N1795" s="8" t="s">
        <v>20</v>
      </c>
      <c r="O1795" s="8" t="s">
        <v>184</v>
      </c>
      <c r="P1795" s="8" t="s">
        <v>195</v>
      </c>
      <c r="Q1795" s="8" t="s">
        <v>196</v>
      </c>
      <c r="R1795" s="8" t="s">
        <v>394</v>
      </c>
      <c r="S1795" s="8" t="s">
        <v>383</v>
      </c>
      <c r="T1795" s="8"/>
      <c r="U1795" s="8" t="s">
        <v>384</v>
      </c>
      <c r="V1795" s="8"/>
      <c r="W1795" s="8" t="s">
        <v>380</v>
      </c>
      <c r="X1795" s="8" t="s">
        <v>99</v>
      </c>
      <c r="Y1795" s="8" t="s">
        <v>23</v>
      </c>
    </row>
    <row r="1796" spans="1:25" s="7" customFormat="1" hidden="1" x14ac:dyDescent="0.25">
      <c r="A1796" s="273" t="s">
        <v>317</v>
      </c>
      <c r="B1796" s="251">
        <v>45854</v>
      </c>
      <c r="C1796" s="252" t="s">
        <v>782</v>
      </c>
      <c r="D1796" s="252" t="s">
        <v>1063</v>
      </c>
      <c r="E1796" s="253">
        <v>4200000</v>
      </c>
      <c r="F1796" s="253">
        <v>0</v>
      </c>
      <c r="G1796" s="274">
        <f>Tabla3[[#This Row],[INGRESOS]]-Tabla3[[#This Row],[EGRESOS]]</f>
        <v>-4200000</v>
      </c>
      <c r="H1796" s="274">
        <v>29402726.399999999</v>
      </c>
      <c r="I1796" s="135">
        <v>1170</v>
      </c>
      <c r="J1796" s="136">
        <f>Tabla3[[#This Row],[EGRESOS]]/Tabla3[[#This Row],[TC]]</f>
        <v>3589.7435897435898</v>
      </c>
      <c r="K1796" s="136">
        <f>Tabla3[[#This Row],[INGRESOS]]/Tabla3[[#This Row],[TC]]</f>
        <v>0</v>
      </c>
      <c r="L1796" s="8" t="s">
        <v>376</v>
      </c>
      <c r="M1796" s="8" t="s">
        <v>377</v>
      </c>
      <c r="N1796" s="8" t="s">
        <v>20</v>
      </c>
      <c r="O1796" s="8" t="s">
        <v>215</v>
      </c>
      <c r="P1796" s="8" t="s">
        <v>216</v>
      </c>
      <c r="Q1796" s="8" t="s">
        <v>220</v>
      </c>
      <c r="R1796" s="8" t="s">
        <v>331</v>
      </c>
      <c r="S1796" s="8" t="s">
        <v>721</v>
      </c>
      <c r="T1796" s="8" t="s">
        <v>983</v>
      </c>
      <c r="U1796" s="8" t="s">
        <v>412</v>
      </c>
      <c r="V1796" s="8"/>
      <c r="W1796" s="8" t="s">
        <v>380</v>
      </c>
      <c r="X1796" s="8" t="s">
        <v>29</v>
      </c>
      <c r="Y1796" s="8" t="s">
        <v>23</v>
      </c>
    </row>
    <row r="1797" spans="1:25" s="7" customFormat="1" hidden="1" x14ac:dyDescent="0.25">
      <c r="A1797" s="273" t="s">
        <v>317</v>
      </c>
      <c r="B1797" s="251">
        <v>45854</v>
      </c>
      <c r="C1797" s="252" t="s">
        <v>782</v>
      </c>
      <c r="D1797" s="252" t="s">
        <v>1064</v>
      </c>
      <c r="E1797" s="253">
        <v>5807565</v>
      </c>
      <c r="F1797" s="253">
        <v>0</v>
      </c>
      <c r="G1797" s="274">
        <f>Tabla3[[#This Row],[INGRESOS]]-Tabla3[[#This Row],[EGRESOS]]</f>
        <v>-5807565</v>
      </c>
      <c r="H1797" s="274">
        <v>23595161.399999999</v>
      </c>
      <c r="I1797" s="135">
        <v>1170</v>
      </c>
      <c r="J1797" s="136">
        <f>Tabla3[[#This Row],[EGRESOS]]/Tabla3[[#This Row],[TC]]</f>
        <v>4963.7307692307695</v>
      </c>
      <c r="K1797" s="136">
        <f>Tabla3[[#This Row],[INGRESOS]]/Tabla3[[#This Row],[TC]]</f>
        <v>0</v>
      </c>
      <c r="L1797" s="8" t="s">
        <v>376</v>
      </c>
      <c r="M1797" s="8" t="s">
        <v>377</v>
      </c>
      <c r="N1797" s="8" t="s">
        <v>20</v>
      </c>
      <c r="O1797" s="8" t="s">
        <v>286</v>
      </c>
      <c r="P1797" s="8" t="s">
        <v>287</v>
      </c>
      <c r="Q1797" s="8" t="s">
        <v>293</v>
      </c>
      <c r="R1797" s="8" t="s">
        <v>1065</v>
      </c>
      <c r="S1797" s="8" t="s">
        <v>64</v>
      </c>
      <c r="T1797" s="8" t="s">
        <v>1066</v>
      </c>
      <c r="U1797" s="8" t="s">
        <v>412</v>
      </c>
      <c r="V1797" s="8"/>
      <c r="W1797" s="8" t="s">
        <v>380</v>
      </c>
      <c r="X1797" s="8" t="s">
        <v>41</v>
      </c>
      <c r="Y1797" s="8" t="s">
        <v>23</v>
      </c>
    </row>
    <row r="1798" spans="1:25" s="7" customFormat="1" hidden="1" x14ac:dyDescent="0.25">
      <c r="A1798" s="273" t="s">
        <v>317</v>
      </c>
      <c r="B1798" s="251">
        <v>45854</v>
      </c>
      <c r="C1798" s="252" t="s">
        <v>800</v>
      </c>
      <c r="D1798" s="252"/>
      <c r="E1798" s="253">
        <v>311050</v>
      </c>
      <c r="F1798" s="253">
        <v>0</v>
      </c>
      <c r="G1798" s="274">
        <f>Tabla3[[#This Row],[INGRESOS]]-Tabla3[[#This Row],[EGRESOS]]</f>
        <v>-311050</v>
      </c>
      <c r="H1798" s="274">
        <v>23284111.399999999</v>
      </c>
      <c r="I1798" s="135">
        <v>1170</v>
      </c>
      <c r="J1798" s="136">
        <f>Tabla3[[#This Row],[EGRESOS]]/Tabla3[[#This Row],[TC]]</f>
        <v>265.85470085470087</v>
      </c>
      <c r="K1798" s="136">
        <f>Tabla3[[#This Row],[INGRESOS]]/Tabla3[[#This Row],[TC]]</f>
        <v>0</v>
      </c>
      <c r="L1798" s="8" t="s">
        <v>376</v>
      </c>
      <c r="M1798" s="8" t="s">
        <v>377</v>
      </c>
      <c r="N1798" s="8" t="s">
        <v>20</v>
      </c>
      <c r="O1798" s="8" t="s">
        <v>184</v>
      </c>
      <c r="P1798" s="8" t="s">
        <v>210</v>
      </c>
      <c r="Q1798" s="8" t="s">
        <v>205</v>
      </c>
      <c r="R1798" s="8"/>
      <c r="S1798" s="8" t="s">
        <v>524</v>
      </c>
      <c r="T1798" s="8"/>
      <c r="U1798" s="8" t="s">
        <v>453</v>
      </c>
      <c r="V1798" s="8"/>
      <c r="W1798" s="8" t="s">
        <v>380</v>
      </c>
      <c r="X1798" s="8" t="s">
        <v>39</v>
      </c>
      <c r="Y1798" s="8" t="s">
        <v>23</v>
      </c>
    </row>
    <row r="1799" spans="1:25" s="7" customFormat="1" hidden="1" x14ac:dyDescent="0.25">
      <c r="A1799" s="273" t="s">
        <v>317</v>
      </c>
      <c r="B1799" s="251">
        <v>45854</v>
      </c>
      <c r="C1799" s="252" t="s">
        <v>828</v>
      </c>
      <c r="D1799" s="252"/>
      <c r="E1799" s="253">
        <v>121</v>
      </c>
      <c r="F1799" s="253">
        <v>0</v>
      </c>
      <c r="G1799" s="274">
        <f>Tabla3[[#This Row],[INGRESOS]]-Tabla3[[#This Row],[EGRESOS]]</f>
        <v>-121</v>
      </c>
      <c r="H1799" s="274">
        <v>23283990.399999999</v>
      </c>
      <c r="I1799" s="135">
        <v>1170</v>
      </c>
      <c r="J1799" s="136">
        <f>Tabla3[[#This Row],[EGRESOS]]/Tabla3[[#This Row],[TC]]</f>
        <v>0.10341880341880341</v>
      </c>
      <c r="K1799" s="136">
        <f>Tabla3[[#This Row],[INGRESOS]]/Tabla3[[#This Row],[TC]]</f>
        <v>0</v>
      </c>
      <c r="L1799" s="8" t="s">
        <v>376</v>
      </c>
      <c r="M1799" s="8" t="s">
        <v>377</v>
      </c>
      <c r="N1799" s="8" t="s">
        <v>20</v>
      </c>
      <c r="O1799" s="8" t="s">
        <v>184</v>
      </c>
      <c r="P1799" s="8" t="s">
        <v>195</v>
      </c>
      <c r="Q1799" s="8" t="s">
        <v>196</v>
      </c>
      <c r="R1799" s="8" t="s">
        <v>394</v>
      </c>
      <c r="S1799" s="8" t="s">
        <v>383</v>
      </c>
      <c r="T1799" s="8"/>
      <c r="U1799" s="8" t="s">
        <v>384</v>
      </c>
      <c r="V1799" s="8"/>
      <c r="W1799" s="8" t="s">
        <v>380</v>
      </c>
      <c r="X1799" s="8" t="s">
        <v>99</v>
      </c>
      <c r="Y1799" s="8" t="s">
        <v>23</v>
      </c>
    </row>
    <row r="1800" spans="1:25" s="7" customFormat="1" hidden="1" x14ac:dyDescent="0.25">
      <c r="A1800" s="273" t="s">
        <v>317</v>
      </c>
      <c r="B1800" s="251">
        <v>45854</v>
      </c>
      <c r="C1800" s="252" t="s">
        <v>928</v>
      </c>
      <c r="D1800" s="252"/>
      <c r="E1800" s="253">
        <v>0</v>
      </c>
      <c r="F1800" s="253">
        <v>28022219.68</v>
      </c>
      <c r="G1800" s="274">
        <f>Tabla3[[#This Row],[INGRESOS]]-Tabla3[[#This Row],[EGRESOS]]</f>
        <v>28022219.68</v>
      </c>
      <c r="H1800" s="274">
        <v>51306210.079999998</v>
      </c>
      <c r="I1800" s="135">
        <v>1170</v>
      </c>
      <c r="J1800" s="136">
        <f>Tabla3[[#This Row],[EGRESOS]]/Tabla3[[#This Row],[TC]]</f>
        <v>0</v>
      </c>
      <c r="K1800" s="136">
        <f>Tabla3[[#This Row],[INGRESOS]]/Tabla3[[#This Row],[TC]]</f>
        <v>23950.61511111111</v>
      </c>
      <c r="L1800" s="8" t="s">
        <v>376</v>
      </c>
      <c r="M1800" s="8" t="s">
        <v>377</v>
      </c>
      <c r="N1800" s="8" t="s">
        <v>20</v>
      </c>
      <c r="O1800" s="8" t="s">
        <v>215</v>
      </c>
      <c r="P1800" s="8" t="s">
        <v>216</v>
      </c>
      <c r="Q1800" s="8" t="s">
        <v>220</v>
      </c>
      <c r="R1800" s="8" t="s">
        <v>929</v>
      </c>
      <c r="S1800" s="8" t="s">
        <v>706</v>
      </c>
      <c r="T1800" s="8"/>
      <c r="U1800" s="8" t="s">
        <v>516</v>
      </c>
      <c r="V1800" s="8"/>
      <c r="W1800" s="8" t="s">
        <v>380</v>
      </c>
      <c r="X1800" s="8" t="s">
        <v>23</v>
      </c>
      <c r="Y1800" s="8" t="s">
        <v>97</v>
      </c>
    </row>
    <row r="1801" spans="1:25" s="7" customFormat="1" hidden="1" x14ac:dyDescent="0.25">
      <c r="A1801" s="273" t="s">
        <v>317</v>
      </c>
      <c r="B1801" s="251">
        <v>45854</v>
      </c>
      <c r="C1801" s="252" t="s">
        <v>945</v>
      </c>
      <c r="D1801" s="252"/>
      <c r="E1801" s="253">
        <v>0</v>
      </c>
      <c r="F1801" s="253">
        <v>63031230.5</v>
      </c>
      <c r="G1801" s="274">
        <f>Tabla3[[#This Row],[INGRESOS]]-Tabla3[[#This Row],[EGRESOS]]</f>
        <v>63031230.5</v>
      </c>
      <c r="H1801" s="274">
        <v>114337440.58</v>
      </c>
      <c r="I1801" s="135">
        <v>1170</v>
      </c>
      <c r="J1801" s="136">
        <f>Tabla3[[#This Row],[EGRESOS]]/Tabla3[[#This Row],[TC]]</f>
        <v>0</v>
      </c>
      <c r="K1801" s="136">
        <f>Tabla3[[#This Row],[INGRESOS]]/Tabla3[[#This Row],[TC]]</f>
        <v>53872.84658119658</v>
      </c>
      <c r="L1801" s="8" t="s">
        <v>376</v>
      </c>
      <c r="M1801" s="8" t="s">
        <v>377</v>
      </c>
      <c r="N1801" s="8" t="s">
        <v>20</v>
      </c>
      <c r="O1801" s="8" t="s">
        <v>286</v>
      </c>
      <c r="P1801" s="8" t="s">
        <v>304</v>
      </c>
      <c r="Q1801" s="8" t="s">
        <v>305</v>
      </c>
      <c r="R1801" s="8" t="s">
        <v>1067</v>
      </c>
      <c r="S1801" s="8" t="s">
        <v>947</v>
      </c>
      <c r="T1801" s="8" t="s">
        <v>1068</v>
      </c>
      <c r="U1801" s="8" t="s">
        <v>949</v>
      </c>
      <c r="V1801" s="8"/>
      <c r="W1801" s="8" t="s">
        <v>380</v>
      </c>
      <c r="X1801" s="8" t="s">
        <v>23</v>
      </c>
      <c r="Y1801" s="8" t="s">
        <v>97</v>
      </c>
    </row>
    <row r="1802" spans="1:25" s="7" customFormat="1" hidden="1" x14ac:dyDescent="0.25">
      <c r="A1802" s="273" t="s">
        <v>317</v>
      </c>
      <c r="B1802" s="251">
        <v>45854</v>
      </c>
      <c r="C1802" s="252" t="s">
        <v>760</v>
      </c>
      <c r="D1802" s="252"/>
      <c r="E1802" s="253">
        <v>546320.69999999995</v>
      </c>
      <c r="F1802" s="253">
        <v>0</v>
      </c>
      <c r="G1802" s="274">
        <f>Tabla3[[#This Row],[INGRESOS]]-Tabla3[[#This Row],[EGRESOS]]</f>
        <v>-546320.69999999995</v>
      </c>
      <c r="H1802" s="274">
        <v>113791119.88</v>
      </c>
      <c r="I1802" s="135">
        <v>1170</v>
      </c>
      <c r="J1802" s="136">
        <f>Tabla3[[#This Row],[EGRESOS]]/Tabla3[[#This Row],[TC]]</f>
        <v>466.94076923076921</v>
      </c>
      <c r="K1802" s="136">
        <f>Tabla3[[#This Row],[INGRESOS]]/Tabla3[[#This Row],[TC]]</f>
        <v>0</v>
      </c>
      <c r="L1802" s="8" t="s">
        <v>376</v>
      </c>
      <c r="M1802" s="8" t="s">
        <v>377</v>
      </c>
      <c r="N1802" s="8" t="s">
        <v>20</v>
      </c>
      <c r="O1802" s="8" t="s">
        <v>184</v>
      </c>
      <c r="P1802" s="8" t="s">
        <v>195</v>
      </c>
      <c r="Q1802" s="8" t="s">
        <v>196</v>
      </c>
      <c r="R1802" s="8" t="s">
        <v>394</v>
      </c>
      <c r="S1802" s="8" t="s">
        <v>383</v>
      </c>
      <c r="T1802" s="8"/>
      <c r="U1802" s="8" t="s">
        <v>384</v>
      </c>
      <c r="V1802" s="8"/>
      <c r="W1802" s="8" t="s">
        <v>380</v>
      </c>
      <c r="X1802" s="8" t="s">
        <v>99</v>
      </c>
      <c r="Y1802" s="8" t="s">
        <v>23</v>
      </c>
    </row>
    <row r="1803" spans="1:25" s="7" customFormat="1" hidden="1" x14ac:dyDescent="0.25">
      <c r="A1803" s="273" t="s">
        <v>317</v>
      </c>
      <c r="B1803" s="251">
        <v>45854</v>
      </c>
      <c r="C1803" s="252" t="s">
        <v>773</v>
      </c>
      <c r="D1803" s="252"/>
      <c r="E1803" s="253">
        <v>61912.42</v>
      </c>
      <c r="F1803" s="253">
        <v>0</v>
      </c>
      <c r="G1803" s="274">
        <f>Tabla3[[#This Row],[INGRESOS]]-Tabla3[[#This Row],[EGRESOS]]</f>
        <v>-61912.42</v>
      </c>
      <c r="H1803" s="274">
        <v>113729207.45999999</v>
      </c>
      <c r="I1803" s="135">
        <v>1170</v>
      </c>
      <c r="J1803" s="136">
        <f>Tabla3[[#This Row],[EGRESOS]]/Tabla3[[#This Row],[TC]]</f>
        <v>52.916598290598287</v>
      </c>
      <c r="K1803" s="136">
        <f>Tabla3[[#This Row],[INGRESOS]]/Tabla3[[#This Row],[TC]]</f>
        <v>0</v>
      </c>
      <c r="L1803" s="8" t="s">
        <v>376</v>
      </c>
      <c r="M1803" s="8" t="s">
        <v>377</v>
      </c>
      <c r="N1803" s="8" t="s">
        <v>20</v>
      </c>
      <c r="O1803" s="8" t="s">
        <v>184</v>
      </c>
      <c r="P1803" s="8" t="s">
        <v>195</v>
      </c>
      <c r="Q1803" s="8" t="s">
        <v>196</v>
      </c>
      <c r="R1803" s="8" t="s">
        <v>394</v>
      </c>
      <c r="S1803" s="8" t="s">
        <v>383</v>
      </c>
      <c r="T1803" s="8"/>
      <c r="U1803" s="8" t="s">
        <v>384</v>
      </c>
      <c r="V1803" s="8"/>
      <c r="W1803" s="8" t="s">
        <v>380</v>
      </c>
      <c r="X1803" s="8" t="s">
        <v>99</v>
      </c>
      <c r="Y1803" s="8" t="s">
        <v>23</v>
      </c>
    </row>
    <row r="1804" spans="1:25" s="7" customFormat="1" hidden="1" x14ac:dyDescent="0.25">
      <c r="A1804" s="273" t="s">
        <v>317</v>
      </c>
      <c r="B1804" s="251">
        <v>45855</v>
      </c>
      <c r="C1804" s="252" t="s">
        <v>817</v>
      </c>
      <c r="D1804" s="252" t="s">
        <v>1069</v>
      </c>
      <c r="E1804" s="253">
        <v>440000</v>
      </c>
      <c r="F1804" s="253">
        <v>0</v>
      </c>
      <c r="G1804" s="274">
        <f>Tabla3[[#This Row],[INGRESOS]]-Tabla3[[#This Row],[EGRESOS]]</f>
        <v>-440000</v>
      </c>
      <c r="H1804" s="274">
        <v>113289207.45999999</v>
      </c>
      <c r="I1804" s="135">
        <v>1170</v>
      </c>
      <c r="J1804" s="136">
        <f>Tabla3[[#This Row],[EGRESOS]]/Tabla3[[#This Row],[TC]]</f>
        <v>376.0683760683761</v>
      </c>
      <c r="K1804" s="136">
        <f>Tabla3[[#This Row],[INGRESOS]]/Tabla3[[#This Row],[TC]]</f>
        <v>0</v>
      </c>
      <c r="L1804" s="8" t="s">
        <v>376</v>
      </c>
      <c r="M1804" s="8" t="s">
        <v>377</v>
      </c>
      <c r="N1804" s="8" t="s">
        <v>20</v>
      </c>
      <c r="O1804" s="8" t="s">
        <v>286</v>
      </c>
      <c r="P1804" s="8" t="s">
        <v>287</v>
      </c>
      <c r="Q1804" s="8" t="s">
        <v>217</v>
      </c>
      <c r="R1804" s="8" t="s">
        <v>188</v>
      </c>
      <c r="S1804" s="8" t="s">
        <v>656</v>
      </c>
      <c r="T1804" s="8" t="s">
        <v>1070</v>
      </c>
      <c r="U1804" s="8" t="s">
        <v>412</v>
      </c>
      <c r="V1804" s="8"/>
      <c r="W1804" s="8" t="s">
        <v>380</v>
      </c>
      <c r="X1804" s="8" t="s">
        <v>29</v>
      </c>
      <c r="Y1804" s="8" t="s">
        <v>23</v>
      </c>
    </row>
    <row r="1805" spans="1:25" s="7" customFormat="1" hidden="1" x14ac:dyDescent="0.25">
      <c r="A1805" s="273" t="s">
        <v>317</v>
      </c>
      <c r="B1805" s="251">
        <v>45855</v>
      </c>
      <c r="C1805" s="252" t="s">
        <v>800</v>
      </c>
      <c r="D1805" s="252"/>
      <c r="E1805" s="253">
        <v>4784051.95</v>
      </c>
      <c r="F1805" s="253">
        <v>0</v>
      </c>
      <c r="G1805" s="274">
        <f>Tabla3[[#This Row],[INGRESOS]]-Tabla3[[#This Row],[EGRESOS]]</f>
        <v>-4784051.95</v>
      </c>
      <c r="H1805" s="274">
        <v>108505155.51000001</v>
      </c>
      <c r="I1805" s="135">
        <v>1170</v>
      </c>
      <c r="J1805" s="136">
        <f>Tabla3[[#This Row],[EGRESOS]]/Tabla3[[#This Row],[TC]]</f>
        <v>4088.9332905982906</v>
      </c>
      <c r="K1805" s="136">
        <f>Tabla3[[#This Row],[INGRESOS]]/Tabla3[[#This Row],[TC]]</f>
        <v>0</v>
      </c>
      <c r="L1805" s="8" t="s">
        <v>376</v>
      </c>
      <c r="M1805" s="8" t="s">
        <v>377</v>
      </c>
      <c r="N1805" s="8" t="s">
        <v>20</v>
      </c>
      <c r="O1805" s="8" t="s">
        <v>215</v>
      </c>
      <c r="P1805" s="8" t="s">
        <v>216</v>
      </c>
      <c r="Q1805" s="8" t="s">
        <v>220</v>
      </c>
      <c r="R1805" s="8" t="s">
        <v>41</v>
      </c>
      <c r="S1805" s="8" t="s">
        <v>52</v>
      </c>
      <c r="T1805" s="8"/>
      <c r="U1805" s="8" t="s">
        <v>412</v>
      </c>
      <c r="V1805" s="8"/>
      <c r="W1805" s="8" t="s">
        <v>380</v>
      </c>
      <c r="X1805" s="8" t="s">
        <v>41</v>
      </c>
      <c r="Y1805" s="8" t="s">
        <v>23</v>
      </c>
    </row>
    <row r="1806" spans="1:25" s="7" customFormat="1" hidden="1" x14ac:dyDescent="0.25">
      <c r="A1806" s="273" t="s">
        <v>317</v>
      </c>
      <c r="B1806" s="251">
        <v>45855</v>
      </c>
      <c r="C1806" s="252" t="s">
        <v>828</v>
      </c>
      <c r="D1806" s="252"/>
      <c r="E1806" s="253">
        <v>121</v>
      </c>
      <c r="F1806" s="253">
        <v>0</v>
      </c>
      <c r="G1806" s="274">
        <f>Tabla3[[#This Row],[INGRESOS]]-Tabla3[[#This Row],[EGRESOS]]</f>
        <v>-121</v>
      </c>
      <c r="H1806" s="274">
        <v>108505034.51000001</v>
      </c>
      <c r="I1806" s="135">
        <v>1170</v>
      </c>
      <c r="J1806" s="136">
        <f>Tabla3[[#This Row],[EGRESOS]]/Tabla3[[#This Row],[TC]]</f>
        <v>0.10341880341880341</v>
      </c>
      <c r="K1806" s="136">
        <f>Tabla3[[#This Row],[INGRESOS]]/Tabla3[[#This Row],[TC]]</f>
        <v>0</v>
      </c>
      <c r="L1806" s="8" t="s">
        <v>376</v>
      </c>
      <c r="M1806" s="8" t="s">
        <v>377</v>
      </c>
      <c r="N1806" s="8" t="s">
        <v>20</v>
      </c>
      <c r="O1806" s="8" t="s">
        <v>184</v>
      </c>
      <c r="P1806" s="8" t="s">
        <v>195</v>
      </c>
      <c r="Q1806" s="8" t="s">
        <v>196</v>
      </c>
      <c r="R1806" s="8" t="s">
        <v>394</v>
      </c>
      <c r="S1806" s="8" t="s">
        <v>383</v>
      </c>
      <c r="T1806" s="8"/>
      <c r="U1806" s="8" t="s">
        <v>384</v>
      </c>
      <c r="V1806" s="8"/>
      <c r="W1806" s="8" t="s">
        <v>380</v>
      </c>
      <c r="X1806" s="8" t="s">
        <v>99</v>
      </c>
      <c r="Y1806" s="8" t="s">
        <v>23</v>
      </c>
    </row>
    <row r="1807" spans="1:25" s="7" customFormat="1" hidden="1" x14ac:dyDescent="0.25">
      <c r="A1807" s="247" t="s">
        <v>318</v>
      </c>
      <c r="B1807" s="248">
        <v>45876</v>
      </c>
      <c r="C1807" s="244" t="s">
        <v>1338</v>
      </c>
      <c r="D1807" s="244"/>
      <c r="E1807" s="249">
        <v>202000</v>
      </c>
      <c r="F1807" s="249">
        <v>0</v>
      </c>
      <c r="G1807" s="266">
        <f>Tabla3[[#This Row],[INGRESOS]]-Tabla3[[#This Row],[EGRESOS]]</f>
        <v>-202000</v>
      </c>
      <c r="H1807" s="135">
        <v>0</v>
      </c>
      <c r="I1807" s="119">
        <v>1290</v>
      </c>
      <c r="J1807" s="136">
        <f>Tabla3[[#This Row],[EGRESOS]]/Tabla3[[#This Row],[TC]]</f>
        <v>156.58914728682171</v>
      </c>
      <c r="K1807" s="136">
        <f>Tabla3[[#This Row],[INGRESOS]]/Tabla3[[#This Row],[TC]]</f>
        <v>0</v>
      </c>
      <c r="L1807" s="8" t="s">
        <v>1336</v>
      </c>
      <c r="M1807" s="8" t="s">
        <v>1336</v>
      </c>
      <c r="N1807" s="8" t="s">
        <v>1336</v>
      </c>
      <c r="O1807" s="7" t="s">
        <v>184</v>
      </c>
      <c r="P1807" s="7" t="s">
        <v>203</v>
      </c>
      <c r="Q1807" s="7" t="s">
        <v>205</v>
      </c>
      <c r="R1807" s="7" t="s">
        <v>1359</v>
      </c>
      <c r="S1807" s="7" t="s">
        <v>386</v>
      </c>
      <c r="U1807" s="7" t="s">
        <v>387</v>
      </c>
      <c r="V1807" s="7" t="s">
        <v>386</v>
      </c>
      <c r="W1807" s="7" t="s">
        <v>380</v>
      </c>
      <c r="X1807" s="7" t="s">
        <v>104</v>
      </c>
      <c r="Y1807" s="7" t="s">
        <v>23</v>
      </c>
    </row>
    <row r="1808" spans="1:25" s="7" customFormat="1" hidden="1" x14ac:dyDescent="0.25">
      <c r="A1808" s="273" t="s">
        <v>317</v>
      </c>
      <c r="B1808" s="251">
        <v>45855</v>
      </c>
      <c r="C1808" s="252" t="s">
        <v>828</v>
      </c>
      <c r="D1808" s="252"/>
      <c r="E1808" s="253">
        <v>121</v>
      </c>
      <c r="F1808" s="253">
        <v>0</v>
      </c>
      <c r="G1808" s="274">
        <f>Tabla3[[#This Row],[INGRESOS]]-Tabla3[[#This Row],[EGRESOS]]</f>
        <v>-121</v>
      </c>
      <c r="H1808" s="274">
        <v>107504913.51000001</v>
      </c>
      <c r="I1808" s="135">
        <v>1170</v>
      </c>
      <c r="J1808" s="136">
        <f>Tabla3[[#This Row],[EGRESOS]]/Tabla3[[#This Row],[TC]]</f>
        <v>0.10341880341880341</v>
      </c>
      <c r="K1808" s="136">
        <f>Tabla3[[#This Row],[INGRESOS]]/Tabla3[[#This Row],[TC]]</f>
        <v>0</v>
      </c>
      <c r="L1808" s="8" t="s">
        <v>376</v>
      </c>
      <c r="M1808" s="8" t="s">
        <v>377</v>
      </c>
      <c r="N1808" s="8" t="s">
        <v>20</v>
      </c>
      <c r="O1808" s="8" t="s">
        <v>184</v>
      </c>
      <c r="P1808" s="8" t="s">
        <v>185</v>
      </c>
      <c r="Q1808" s="8" t="s">
        <v>186</v>
      </c>
      <c r="R1808" s="8" t="s">
        <v>227</v>
      </c>
      <c r="S1808" s="8"/>
      <c r="T1808" s="8"/>
      <c r="U1808" s="8" t="s">
        <v>384</v>
      </c>
      <c r="V1808" s="8"/>
      <c r="W1808" s="8" t="s">
        <v>380</v>
      </c>
      <c r="X1808" s="8" t="s">
        <v>99</v>
      </c>
      <c r="Y1808" s="8" t="s">
        <v>23</v>
      </c>
    </row>
    <row r="1809" spans="1:25" s="7" customFormat="1" hidden="1" x14ac:dyDescent="0.25">
      <c r="A1809" s="273" t="s">
        <v>317</v>
      </c>
      <c r="B1809" s="251">
        <v>45855</v>
      </c>
      <c r="C1809" s="252" t="s">
        <v>800</v>
      </c>
      <c r="D1809" s="252"/>
      <c r="E1809" s="253">
        <v>1000000</v>
      </c>
      <c r="F1809" s="253">
        <v>0</v>
      </c>
      <c r="G1809" s="274">
        <f>Tabla3[[#This Row],[INGRESOS]]-Tabla3[[#This Row],[EGRESOS]]</f>
        <v>-1000000</v>
      </c>
      <c r="H1809" s="274">
        <v>106504913.51000001</v>
      </c>
      <c r="I1809" s="135">
        <v>1170</v>
      </c>
      <c r="J1809" s="136">
        <f>Tabla3[[#This Row],[EGRESOS]]/Tabla3[[#This Row],[TC]]</f>
        <v>854.70085470085473</v>
      </c>
      <c r="K1809" s="136">
        <f>Tabla3[[#This Row],[INGRESOS]]/Tabla3[[#This Row],[TC]]</f>
        <v>0</v>
      </c>
      <c r="L1809" s="8" t="s">
        <v>376</v>
      </c>
      <c r="M1809" s="8" t="s">
        <v>377</v>
      </c>
      <c r="N1809" s="8" t="s">
        <v>20</v>
      </c>
      <c r="O1809" s="8" t="s">
        <v>184</v>
      </c>
      <c r="P1809" s="8" t="s">
        <v>203</v>
      </c>
      <c r="Q1809" s="8" t="s">
        <v>206</v>
      </c>
      <c r="R1809" s="8" t="s">
        <v>988</v>
      </c>
      <c r="S1809" s="8" t="s">
        <v>510</v>
      </c>
      <c r="T1809" s="8"/>
      <c r="U1809" s="8" t="s">
        <v>511</v>
      </c>
      <c r="V1809" s="8" t="s">
        <v>512</v>
      </c>
      <c r="W1809" s="8" t="s">
        <v>380</v>
      </c>
      <c r="X1809" s="8" t="s">
        <v>103</v>
      </c>
      <c r="Y1809" s="8" t="s">
        <v>23</v>
      </c>
    </row>
    <row r="1810" spans="1:25" s="7" customFormat="1" hidden="1" x14ac:dyDescent="0.25">
      <c r="A1810" s="273" t="s">
        <v>317</v>
      </c>
      <c r="B1810" s="251">
        <v>45855</v>
      </c>
      <c r="C1810" s="252" t="s">
        <v>828</v>
      </c>
      <c r="D1810" s="252"/>
      <c r="E1810" s="253">
        <v>121</v>
      </c>
      <c r="F1810" s="253">
        <v>0</v>
      </c>
      <c r="G1810" s="274">
        <f>Tabla3[[#This Row],[INGRESOS]]-Tabla3[[#This Row],[EGRESOS]]</f>
        <v>-121</v>
      </c>
      <c r="H1810" s="274">
        <v>106504792.51000001</v>
      </c>
      <c r="I1810" s="135">
        <v>1170</v>
      </c>
      <c r="J1810" s="136">
        <f>Tabla3[[#This Row],[EGRESOS]]/Tabla3[[#This Row],[TC]]</f>
        <v>0.10341880341880341</v>
      </c>
      <c r="K1810" s="136">
        <f>Tabla3[[#This Row],[INGRESOS]]/Tabla3[[#This Row],[TC]]</f>
        <v>0</v>
      </c>
      <c r="L1810" s="8" t="s">
        <v>376</v>
      </c>
      <c r="M1810" s="8" t="s">
        <v>377</v>
      </c>
      <c r="N1810" s="8" t="s">
        <v>20</v>
      </c>
      <c r="O1810" s="8" t="s">
        <v>184</v>
      </c>
      <c r="P1810" s="8" t="s">
        <v>185</v>
      </c>
      <c r="Q1810" s="8" t="s">
        <v>186</v>
      </c>
      <c r="R1810" s="8" t="s">
        <v>227</v>
      </c>
      <c r="S1810" s="8"/>
      <c r="T1810" s="8"/>
      <c r="U1810" s="8" t="s">
        <v>384</v>
      </c>
      <c r="V1810" s="8"/>
      <c r="W1810" s="8" t="s">
        <v>380</v>
      </c>
      <c r="X1810" s="8" t="s">
        <v>99</v>
      </c>
      <c r="Y1810" s="8" t="s">
        <v>23</v>
      </c>
    </row>
    <row r="1811" spans="1:25" s="7" customFormat="1" hidden="1" x14ac:dyDescent="0.25">
      <c r="A1811" s="273" t="s">
        <v>317</v>
      </c>
      <c r="B1811" s="251">
        <v>45855</v>
      </c>
      <c r="C1811" s="252" t="s">
        <v>1056</v>
      </c>
      <c r="D1811" s="252"/>
      <c r="E1811" s="253">
        <v>1000000</v>
      </c>
      <c r="F1811" s="253">
        <v>0</v>
      </c>
      <c r="G1811" s="274">
        <f>Tabla3[[#This Row],[INGRESOS]]-Tabla3[[#This Row],[EGRESOS]]</f>
        <v>-1000000</v>
      </c>
      <c r="H1811" s="274">
        <v>105504792.51000001</v>
      </c>
      <c r="I1811" s="135">
        <v>1170</v>
      </c>
      <c r="J1811" s="136">
        <f>Tabla3[[#This Row],[EGRESOS]]/Tabla3[[#This Row],[TC]]</f>
        <v>854.70085470085473</v>
      </c>
      <c r="K1811" s="136">
        <f>Tabla3[[#This Row],[INGRESOS]]/Tabla3[[#This Row],[TC]]</f>
        <v>0</v>
      </c>
      <c r="L1811" s="8" t="s">
        <v>376</v>
      </c>
      <c r="M1811" s="8" t="s">
        <v>377</v>
      </c>
      <c r="N1811" s="8" t="s">
        <v>20</v>
      </c>
      <c r="O1811" s="8" t="s">
        <v>184</v>
      </c>
      <c r="P1811" s="8" t="s">
        <v>185</v>
      </c>
      <c r="Q1811" s="8" t="s">
        <v>188</v>
      </c>
      <c r="R1811" s="8" t="s">
        <v>187</v>
      </c>
      <c r="S1811" s="8" t="s">
        <v>898</v>
      </c>
      <c r="T1811" s="8"/>
      <c r="U1811" s="8" t="s">
        <v>384</v>
      </c>
      <c r="V1811" s="8"/>
      <c r="W1811" s="8" t="s">
        <v>380</v>
      </c>
      <c r="X1811" s="8" t="s">
        <v>99</v>
      </c>
      <c r="Y1811" s="8" t="s">
        <v>23</v>
      </c>
    </row>
    <row r="1812" spans="1:25" s="7" customFormat="1" hidden="1" x14ac:dyDescent="0.25">
      <c r="A1812" s="273" t="s">
        <v>317</v>
      </c>
      <c r="B1812" s="251">
        <v>45855</v>
      </c>
      <c r="C1812" s="252" t="s">
        <v>1071</v>
      </c>
      <c r="D1812" s="252"/>
      <c r="E1812" s="253">
        <v>121</v>
      </c>
      <c r="F1812" s="253">
        <v>0</v>
      </c>
      <c r="G1812" s="274">
        <f>Tabla3[[#This Row],[INGRESOS]]-Tabla3[[#This Row],[EGRESOS]]</f>
        <v>-121</v>
      </c>
      <c r="H1812" s="274">
        <v>105504671.51000001</v>
      </c>
      <c r="I1812" s="135">
        <v>1170</v>
      </c>
      <c r="J1812" s="136">
        <f>Tabla3[[#This Row],[EGRESOS]]/Tabla3[[#This Row],[TC]]</f>
        <v>0.10341880341880341</v>
      </c>
      <c r="K1812" s="136">
        <f>Tabla3[[#This Row],[INGRESOS]]/Tabla3[[#This Row],[TC]]</f>
        <v>0</v>
      </c>
      <c r="L1812" s="8" t="s">
        <v>376</v>
      </c>
      <c r="M1812" s="8" t="s">
        <v>377</v>
      </c>
      <c r="N1812" s="8" t="s">
        <v>20</v>
      </c>
      <c r="O1812" s="8" t="s">
        <v>184</v>
      </c>
      <c r="P1812" s="8" t="s">
        <v>185</v>
      </c>
      <c r="Q1812" s="8" t="s">
        <v>186</v>
      </c>
      <c r="R1812" s="8" t="s">
        <v>227</v>
      </c>
      <c r="S1812" s="8"/>
      <c r="T1812" s="8"/>
      <c r="U1812" s="8" t="s">
        <v>384</v>
      </c>
      <c r="V1812" s="8"/>
      <c r="W1812" s="8" t="s">
        <v>380</v>
      </c>
      <c r="X1812" s="8" t="s">
        <v>99</v>
      </c>
      <c r="Y1812" s="8" t="s">
        <v>23</v>
      </c>
    </row>
    <row r="1813" spans="1:25" s="7" customFormat="1" hidden="1" x14ac:dyDescent="0.25">
      <c r="A1813" s="273" t="s">
        <v>317</v>
      </c>
      <c r="B1813" s="251">
        <v>45855</v>
      </c>
      <c r="C1813" s="252" t="s">
        <v>998</v>
      </c>
      <c r="D1813" s="252"/>
      <c r="E1813" s="253">
        <v>39491465.219999999</v>
      </c>
      <c r="F1813" s="253">
        <v>0</v>
      </c>
      <c r="G1813" s="274">
        <f>Tabla3[[#This Row],[INGRESOS]]-Tabla3[[#This Row],[EGRESOS]]</f>
        <v>-39491465.219999999</v>
      </c>
      <c r="H1813" s="274">
        <v>66013206.289999999</v>
      </c>
      <c r="I1813" s="135">
        <v>1170</v>
      </c>
      <c r="J1813" s="136">
        <f>Tabla3[[#This Row],[EGRESOS]]/Tabla3[[#This Row],[TC]]</f>
        <v>33753.389076923078</v>
      </c>
      <c r="K1813" s="136">
        <f>Tabla3[[#This Row],[INGRESOS]]/Tabla3[[#This Row],[TC]]</f>
        <v>0</v>
      </c>
      <c r="L1813" s="8" t="s">
        <v>376</v>
      </c>
      <c r="M1813" s="8" t="s">
        <v>377</v>
      </c>
      <c r="N1813" s="8" t="s">
        <v>20</v>
      </c>
      <c r="O1813" s="8" t="s">
        <v>244</v>
      </c>
      <c r="P1813" s="8" t="s">
        <v>38</v>
      </c>
      <c r="Q1813" s="8" t="s">
        <v>251</v>
      </c>
      <c r="R1813" s="8" t="s">
        <v>1072</v>
      </c>
      <c r="S1813" s="8" t="s">
        <v>994</v>
      </c>
      <c r="T1813" s="8"/>
      <c r="U1813" s="8" t="s">
        <v>1073</v>
      </c>
      <c r="V1813" s="8"/>
      <c r="W1813" s="8" t="s">
        <v>380</v>
      </c>
      <c r="X1813" s="8" t="s">
        <v>1074</v>
      </c>
      <c r="Y1813" s="8" t="s">
        <v>23</v>
      </c>
    </row>
    <row r="1814" spans="1:25" s="7" customFormat="1" hidden="1" x14ac:dyDescent="0.25">
      <c r="A1814" s="273" t="s">
        <v>317</v>
      </c>
      <c r="B1814" s="251">
        <v>45855</v>
      </c>
      <c r="C1814" s="252" t="s">
        <v>773</v>
      </c>
      <c r="D1814" s="252"/>
      <c r="E1814" s="253">
        <v>286296.02</v>
      </c>
      <c r="F1814" s="253">
        <v>0</v>
      </c>
      <c r="G1814" s="274">
        <f>Tabla3[[#This Row],[INGRESOS]]-Tabla3[[#This Row],[EGRESOS]]</f>
        <v>-286296.02</v>
      </c>
      <c r="H1814" s="274">
        <v>65726910.270000003</v>
      </c>
      <c r="I1814" s="135">
        <v>1170</v>
      </c>
      <c r="J1814" s="136">
        <f>Tabla3[[#This Row],[EGRESOS]]/Tabla3[[#This Row],[TC]]</f>
        <v>244.69745299145302</v>
      </c>
      <c r="K1814" s="136">
        <f>Tabla3[[#This Row],[INGRESOS]]/Tabla3[[#This Row],[TC]]</f>
        <v>0</v>
      </c>
      <c r="L1814" s="8" t="s">
        <v>376</v>
      </c>
      <c r="M1814" s="8" t="s">
        <v>377</v>
      </c>
      <c r="N1814" s="8" t="s">
        <v>20</v>
      </c>
      <c r="O1814" s="8" t="s">
        <v>184</v>
      </c>
      <c r="P1814" s="8" t="s">
        <v>195</v>
      </c>
      <c r="Q1814" s="8" t="s">
        <v>196</v>
      </c>
      <c r="R1814" s="8" t="s">
        <v>394</v>
      </c>
      <c r="S1814" s="8" t="s">
        <v>383</v>
      </c>
      <c r="T1814" s="8"/>
      <c r="U1814" s="8" t="s">
        <v>384</v>
      </c>
      <c r="V1814" s="8"/>
      <c r="W1814" s="8" t="s">
        <v>380</v>
      </c>
      <c r="X1814" s="8" t="s">
        <v>99</v>
      </c>
      <c r="Y1814" s="8" t="s">
        <v>23</v>
      </c>
    </row>
    <row r="1815" spans="1:25" s="7" customFormat="1" hidden="1" x14ac:dyDescent="0.25">
      <c r="A1815" s="273" t="s">
        <v>317</v>
      </c>
      <c r="B1815" s="251">
        <v>45856</v>
      </c>
      <c r="C1815" s="252" t="s">
        <v>800</v>
      </c>
      <c r="D1815" s="252"/>
      <c r="E1815" s="253">
        <v>2000000</v>
      </c>
      <c r="F1815" s="253">
        <v>0</v>
      </c>
      <c r="G1815" s="274">
        <f>Tabla3[[#This Row],[INGRESOS]]-Tabla3[[#This Row],[EGRESOS]]</f>
        <v>-2000000</v>
      </c>
      <c r="H1815" s="274">
        <v>63726910.270000003</v>
      </c>
      <c r="I1815" s="135">
        <v>1170</v>
      </c>
      <c r="J1815" s="136">
        <f>Tabla3[[#This Row],[EGRESOS]]/Tabla3[[#This Row],[TC]]</f>
        <v>1709.4017094017095</v>
      </c>
      <c r="K1815" s="136">
        <f>Tabla3[[#This Row],[INGRESOS]]/Tabla3[[#This Row],[TC]]</f>
        <v>0</v>
      </c>
      <c r="L1815" s="8" t="s">
        <v>376</v>
      </c>
      <c r="M1815" s="8" t="s">
        <v>377</v>
      </c>
      <c r="N1815" s="8" t="s">
        <v>20</v>
      </c>
      <c r="O1815" s="8" t="s">
        <v>184</v>
      </c>
      <c r="P1815" s="8" t="s">
        <v>210</v>
      </c>
      <c r="Q1815" s="8" t="s">
        <v>212</v>
      </c>
      <c r="R1815" s="8"/>
      <c r="S1815" s="8" t="s">
        <v>524</v>
      </c>
      <c r="T1815" s="8"/>
      <c r="U1815" s="8" t="s">
        <v>453</v>
      </c>
      <c r="V1815" s="8"/>
      <c r="W1815" s="8" t="s">
        <v>380</v>
      </c>
      <c r="X1815" s="8" t="s">
        <v>39</v>
      </c>
      <c r="Y1815" s="8" t="s">
        <v>23</v>
      </c>
    </row>
    <row r="1816" spans="1:25" s="7" customFormat="1" hidden="1" x14ac:dyDescent="0.25">
      <c r="A1816" s="273" t="s">
        <v>317</v>
      </c>
      <c r="B1816" s="251">
        <v>45856</v>
      </c>
      <c r="C1816" s="252" t="s">
        <v>828</v>
      </c>
      <c r="D1816" s="252"/>
      <c r="E1816" s="253">
        <v>121</v>
      </c>
      <c r="F1816" s="253">
        <v>0</v>
      </c>
      <c r="G1816" s="274">
        <f>Tabla3[[#This Row],[INGRESOS]]-Tabla3[[#This Row],[EGRESOS]]</f>
        <v>-121</v>
      </c>
      <c r="H1816" s="274">
        <v>63726789.270000003</v>
      </c>
      <c r="I1816" s="135">
        <v>1170</v>
      </c>
      <c r="J1816" s="136">
        <f>Tabla3[[#This Row],[EGRESOS]]/Tabla3[[#This Row],[TC]]</f>
        <v>0.10341880341880341</v>
      </c>
      <c r="K1816" s="136">
        <f>Tabla3[[#This Row],[INGRESOS]]/Tabla3[[#This Row],[TC]]</f>
        <v>0</v>
      </c>
      <c r="L1816" s="8" t="s">
        <v>376</v>
      </c>
      <c r="M1816" s="8" t="s">
        <v>377</v>
      </c>
      <c r="N1816" s="8" t="s">
        <v>20</v>
      </c>
      <c r="O1816" s="8" t="s">
        <v>184</v>
      </c>
      <c r="P1816" s="8" t="s">
        <v>185</v>
      </c>
      <c r="Q1816" s="8" t="s">
        <v>186</v>
      </c>
      <c r="R1816" s="8" t="s">
        <v>227</v>
      </c>
      <c r="S1816" s="8"/>
      <c r="T1816" s="8"/>
      <c r="U1816" s="8" t="s">
        <v>384</v>
      </c>
      <c r="V1816" s="8"/>
      <c r="W1816" s="8" t="s">
        <v>380</v>
      </c>
      <c r="X1816" s="8" t="s">
        <v>99</v>
      </c>
      <c r="Y1816" s="8" t="s">
        <v>23</v>
      </c>
    </row>
    <row r="1817" spans="1:25" s="7" customFormat="1" hidden="1" x14ac:dyDescent="0.25">
      <c r="A1817" s="273" t="s">
        <v>317</v>
      </c>
      <c r="B1817" s="251">
        <v>45856</v>
      </c>
      <c r="C1817" s="252" t="s">
        <v>773</v>
      </c>
      <c r="D1817" s="252"/>
      <c r="E1817" s="253">
        <v>12000.73</v>
      </c>
      <c r="F1817" s="253">
        <v>0</v>
      </c>
      <c r="G1817" s="274">
        <f>Tabla3[[#This Row],[INGRESOS]]-Tabla3[[#This Row],[EGRESOS]]</f>
        <v>-12000.73</v>
      </c>
      <c r="H1817" s="274">
        <v>63714788.539999999</v>
      </c>
      <c r="I1817" s="135">
        <v>1170</v>
      </c>
      <c r="J1817" s="136">
        <f>Tabla3[[#This Row],[EGRESOS]]/Tabla3[[#This Row],[TC]]</f>
        <v>10.257034188034188</v>
      </c>
      <c r="K1817" s="136">
        <f>Tabla3[[#This Row],[INGRESOS]]/Tabla3[[#This Row],[TC]]</f>
        <v>0</v>
      </c>
      <c r="L1817" s="8" t="s">
        <v>376</v>
      </c>
      <c r="M1817" s="8" t="s">
        <v>377</v>
      </c>
      <c r="N1817" s="8" t="s">
        <v>20</v>
      </c>
      <c r="O1817" s="8" t="s">
        <v>184</v>
      </c>
      <c r="P1817" s="8" t="s">
        <v>195</v>
      </c>
      <c r="Q1817" s="8" t="s">
        <v>196</v>
      </c>
      <c r="R1817" s="8" t="s">
        <v>394</v>
      </c>
      <c r="S1817" s="8" t="s">
        <v>383</v>
      </c>
      <c r="T1817" s="8"/>
      <c r="U1817" s="8" t="s">
        <v>384</v>
      </c>
      <c r="V1817" s="8"/>
      <c r="W1817" s="8" t="s">
        <v>380</v>
      </c>
      <c r="X1817" s="8" t="s">
        <v>99</v>
      </c>
      <c r="Y1817" s="8" t="s">
        <v>23</v>
      </c>
    </row>
    <row r="1818" spans="1:25" s="7" customFormat="1" hidden="1" x14ac:dyDescent="0.25">
      <c r="A1818" s="273" t="s">
        <v>317</v>
      </c>
      <c r="B1818" s="251">
        <v>45856</v>
      </c>
      <c r="C1818" s="252" t="s">
        <v>795</v>
      </c>
      <c r="D1818" s="252"/>
      <c r="E1818" s="253">
        <v>1296573.06</v>
      </c>
      <c r="F1818" s="253">
        <v>0</v>
      </c>
      <c r="G1818" s="274">
        <f>Tabla3[[#This Row],[INGRESOS]]-Tabla3[[#This Row],[EGRESOS]]</f>
        <v>-1296573.06</v>
      </c>
      <c r="H1818" s="274">
        <v>62418215.479999997</v>
      </c>
      <c r="I1818" s="135">
        <v>1170</v>
      </c>
      <c r="J1818" s="136">
        <f>Tabla3[[#This Row],[EGRESOS]]/Tabla3[[#This Row],[TC]]</f>
        <v>1108.1821025641027</v>
      </c>
      <c r="K1818" s="136">
        <f>Tabla3[[#This Row],[INGRESOS]]/Tabla3[[#This Row],[TC]]</f>
        <v>0</v>
      </c>
      <c r="L1818" s="8" t="s">
        <v>376</v>
      </c>
      <c r="M1818" s="8" t="s">
        <v>377</v>
      </c>
      <c r="N1818" s="8" t="s">
        <v>20</v>
      </c>
      <c r="O1818" s="8" t="s">
        <v>244</v>
      </c>
      <c r="P1818" s="8" t="s">
        <v>259</v>
      </c>
      <c r="Q1818" s="8" t="s">
        <v>260</v>
      </c>
      <c r="R1818" s="8" t="s">
        <v>405</v>
      </c>
      <c r="S1818" s="8"/>
      <c r="T1818" s="8"/>
      <c r="U1818" s="8" t="s">
        <v>379</v>
      </c>
      <c r="V1818" s="8"/>
      <c r="W1818" s="8" t="s">
        <v>380</v>
      </c>
      <c r="X1818" s="8"/>
      <c r="Y1818" s="8"/>
    </row>
    <row r="1819" spans="1:25" s="7" customFormat="1" hidden="1" x14ac:dyDescent="0.25">
      <c r="A1819" s="273" t="s">
        <v>317</v>
      </c>
      <c r="B1819" s="251">
        <v>45859</v>
      </c>
      <c r="C1819" s="252" t="s">
        <v>822</v>
      </c>
      <c r="D1819" s="252"/>
      <c r="E1819" s="253">
        <v>8067</v>
      </c>
      <c r="F1819" s="253">
        <v>0</v>
      </c>
      <c r="G1819" s="274">
        <f>Tabla3[[#This Row],[INGRESOS]]-Tabla3[[#This Row],[EGRESOS]]</f>
        <v>-8067</v>
      </c>
      <c r="H1819" s="274">
        <v>62410148.479999997</v>
      </c>
      <c r="I1819" s="135">
        <v>1170</v>
      </c>
      <c r="J1819" s="136">
        <f>Tabla3[[#This Row],[EGRESOS]]/Tabla3[[#This Row],[TC]]</f>
        <v>6.8948717948717952</v>
      </c>
      <c r="K1819" s="136">
        <f>Tabla3[[#This Row],[INGRESOS]]/Tabla3[[#This Row],[TC]]</f>
        <v>0</v>
      </c>
      <c r="L1819" s="8" t="s">
        <v>376</v>
      </c>
      <c r="M1819" s="8" t="s">
        <v>377</v>
      </c>
      <c r="N1819" s="8" t="s">
        <v>20</v>
      </c>
      <c r="O1819" s="8" t="s">
        <v>184</v>
      </c>
      <c r="P1819" s="8" t="s">
        <v>185</v>
      </c>
      <c r="Q1819" s="8" t="s">
        <v>189</v>
      </c>
      <c r="R1819" s="8"/>
      <c r="S1819" s="8"/>
      <c r="T1819" s="8"/>
      <c r="U1819" s="8" t="s">
        <v>384</v>
      </c>
      <c r="V1819" s="8"/>
      <c r="W1819" s="8" t="s">
        <v>380</v>
      </c>
      <c r="X1819" s="8" t="s">
        <v>99</v>
      </c>
      <c r="Y1819" s="8" t="s">
        <v>23</v>
      </c>
    </row>
    <row r="1820" spans="1:25" s="7" customFormat="1" hidden="1" x14ac:dyDescent="0.25">
      <c r="A1820" s="273" t="s">
        <v>317</v>
      </c>
      <c r="B1820" s="251">
        <v>45859</v>
      </c>
      <c r="C1820" s="252" t="s">
        <v>773</v>
      </c>
      <c r="D1820" s="252"/>
      <c r="E1820" s="253">
        <v>48.4</v>
      </c>
      <c r="F1820" s="253">
        <v>0</v>
      </c>
      <c r="G1820" s="274">
        <f>Tabla3[[#This Row],[INGRESOS]]-Tabla3[[#This Row],[EGRESOS]]</f>
        <v>-48.4</v>
      </c>
      <c r="H1820" s="274">
        <v>62410100.079999998</v>
      </c>
      <c r="I1820" s="135">
        <v>1170</v>
      </c>
      <c r="J1820" s="136">
        <f>Tabla3[[#This Row],[EGRESOS]]/Tabla3[[#This Row],[TC]]</f>
        <v>4.1367521367521365E-2</v>
      </c>
      <c r="K1820" s="136">
        <f>Tabla3[[#This Row],[INGRESOS]]/Tabla3[[#This Row],[TC]]</f>
        <v>0</v>
      </c>
      <c r="L1820" s="8" t="s">
        <v>376</v>
      </c>
      <c r="M1820" s="8" t="s">
        <v>377</v>
      </c>
      <c r="N1820" s="8" t="s">
        <v>20</v>
      </c>
      <c r="O1820" s="8" t="s">
        <v>184</v>
      </c>
      <c r="P1820" s="8" t="s">
        <v>195</v>
      </c>
      <c r="Q1820" s="8" t="s">
        <v>196</v>
      </c>
      <c r="R1820" s="8" t="s">
        <v>394</v>
      </c>
      <c r="S1820" s="8" t="s">
        <v>383</v>
      </c>
      <c r="T1820" s="8"/>
      <c r="U1820" s="8" t="s">
        <v>384</v>
      </c>
      <c r="V1820" s="8"/>
      <c r="W1820" s="8" t="s">
        <v>380</v>
      </c>
      <c r="X1820" s="8" t="s">
        <v>99</v>
      </c>
      <c r="Y1820" s="8" t="s">
        <v>23</v>
      </c>
    </row>
    <row r="1821" spans="1:25" s="7" customFormat="1" hidden="1" x14ac:dyDescent="0.25">
      <c r="A1821" s="273" t="s">
        <v>317</v>
      </c>
      <c r="B1821" s="251">
        <v>45860</v>
      </c>
      <c r="C1821" s="252" t="s">
        <v>782</v>
      </c>
      <c r="D1821" s="252" t="s">
        <v>1075</v>
      </c>
      <c r="E1821" s="253">
        <v>357951.31</v>
      </c>
      <c r="F1821" s="253">
        <v>0</v>
      </c>
      <c r="G1821" s="274">
        <f>Tabla3[[#This Row],[INGRESOS]]-Tabla3[[#This Row],[EGRESOS]]</f>
        <v>-357951.31</v>
      </c>
      <c r="H1821" s="274">
        <v>62052148.770000003</v>
      </c>
      <c r="I1821" s="135">
        <v>1170</v>
      </c>
      <c r="J1821" s="136">
        <f>Tabla3[[#This Row],[EGRESOS]]/Tabla3[[#This Row],[TC]]</f>
        <v>305.94129059829061</v>
      </c>
      <c r="K1821" s="136">
        <f>Tabla3[[#This Row],[INGRESOS]]/Tabla3[[#This Row],[TC]]</f>
        <v>0</v>
      </c>
      <c r="L1821" s="8" t="s">
        <v>376</v>
      </c>
      <c r="M1821" s="8" t="s">
        <v>377</v>
      </c>
      <c r="N1821" s="8" t="s">
        <v>20</v>
      </c>
      <c r="O1821" s="8" t="s">
        <v>225</v>
      </c>
      <c r="P1821" s="8" t="s">
        <v>226</v>
      </c>
      <c r="Q1821" s="8"/>
      <c r="R1821" s="8" t="s">
        <v>967</v>
      </c>
      <c r="S1821" s="8" t="s">
        <v>1076</v>
      </c>
      <c r="T1821" s="8" t="s">
        <v>1077</v>
      </c>
      <c r="U1821" s="8" t="s">
        <v>412</v>
      </c>
      <c r="V1821" s="8"/>
      <c r="W1821" s="8" t="s">
        <v>380</v>
      </c>
      <c r="X1821" s="8" t="s">
        <v>29</v>
      </c>
      <c r="Y1821" s="8" t="s">
        <v>23</v>
      </c>
    </row>
    <row r="1822" spans="1:25" s="7" customFormat="1" hidden="1" x14ac:dyDescent="0.25">
      <c r="A1822" s="273" t="s">
        <v>317</v>
      </c>
      <c r="B1822" s="251">
        <v>45860</v>
      </c>
      <c r="C1822" s="252" t="s">
        <v>782</v>
      </c>
      <c r="D1822" s="252" t="s">
        <v>1078</v>
      </c>
      <c r="E1822" s="253">
        <v>2600000</v>
      </c>
      <c r="F1822" s="253">
        <v>0</v>
      </c>
      <c r="G1822" s="274">
        <f>Tabla3[[#This Row],[INGRESOS]]-Tabla3[[#This Row],[EGRESOS]]</f>
        <v>-2600000</v>
      </c>
      <c r="H1822" s="274">
        <v>59452148.770000003</v>
      </c>
      <c r="I1822" s="135">
        <v>1170</v>
      </c>
      <c r="J1822" s="136">
        <f>Tabla3[[#This Row],[EGRESOS]]/Tabla3[[#This Row],[TC]]</f>
        <v>2222.2222222222222</v>
      </c>
      <c r="K1822" s="136">
        <f>Tabla3[[#This Row],[INGRESOS]]/Tabla3[[#This Row],[TC]]</f>
        <v>0</v>
      </c>
      <c r="L1822" s="8" t="s">
        <v>376</v>
      </c>
      <c r="M1822" s="8" t="s">
        <v>377</v>
      </c>
      <c r="N1822" s="8" t="s">
        <v>20</v>
      </c>
      <c r="O1822" s="8" t="s">
        <v>286</v>
      </c>
      <c r="P1822" s="8" t="s">
        <v>287</v>
      </c>
      <c r="Q1822" s="8" t="s">
        <v>291</v>
      </c>
      <c r="R1822" s="8" t="s">
        <v>143</v>
      </c>
      <c r="S1822" s="8" t="s">
        <v>1079</v>
      </c>
      <c r="T1822" s="8" t="s">
        <v>1080</v>
      </c>
      <c r="U1822" s="8" t="s">
        <v>412</v>
      </c>
      <c r="V1822" s="8"/>
      <c r="W1822" s="8" t="s">
        <v>380</v>
      </c>
      <c r="X1822" s="8" t="s">
        <v>29</v>
      </c>
      <c r="Y1822" s="8" t="s">
        <v>23</v>
      </c>
    </row>
    <row r="1823" spans="1:25" s="7" customFormat="1" hidden="1" x14ac:dyDescent="0.25">
      <c r="A1823" s="273" t="s">
        <v>317</v>
      </c>
      <c r="B1823" s="251">
        <v>45860</v>
      </c>
      <c r="C1823" s="252" t="s">
        <v>782</v>
      </c>
      <c r="D1823" s="252" t="s">
        <v>1081</v>
      </c>
      <c r="E1823" s="253">
        <v>685009</v>
      </c>
      <c r="F1823" s="253">
        <v>0</v>
      </c>
      <c r="G1823" s="274">
        <f>Tabla3[[#This Row],[INGRESOS]]-Tabla3[[#This Row],[EGRESOS]]</f>
        <v>-685009</v>
      </c>
      <c r="H1823" s="274">
        <v>58767139.770000003</v>
      </c>
      <c r="I1823" s="135">
        <v>1170</v>
      </c>
      <c r="J1823" s="136">
        <f>Tabla3[[#This Row],[EGRESOS]]/Tabla3[[#This Row],[TC]]</f>
        <v>585.47777777777776</v>
      </c>
      <c r="K1823" s="136">
        <f>Tabla3[[#This Row],[INGRESOS]]/Tabla3[[#This Row],[TC]]</f>
        <v>0</v>
      </c>
      <c r="L1823" s="8" t="s">
        <v>376</v>
      </c>
      <c r="M1823" s="8" t="s">
        <v>377</v>
      </c>
      <c r="N1823" s="8" t="s">
        <v>20</v>
      </c>
      <c r="O1823" s="8" t="s">
        <v>286</v>
      </c>
      <c r="P1823" s="8" t="s">
        <v>287</v>
      </c>
      <c r="Q1823" s="8" t="s">
        <v>291</v>
      </c>
      <c r="R1823" s="8" t="s">
        <v>143</v>
      </c>
      <c r="S1823" s="8" t="s">
        <v>676</v>
      </c>
      <c r="T1823" s="8"/>
      <c r="U1823" s="8" t="s">
        <v>412</v>
      </c>
      <c r="V1823" s="8"/>
      <c r="W1823" s="8" t="s">
        <v>380</v>
      </c>
      <c r="X1823" s="8" t="s">
        <v>29</v>
      </c>
      <c r="Y1823" s="8" t="s">
        <v>23</v>
      </c>
    </row>
    <row r="1824" spans="1:25" s="7" customFormat="1" hidden="1" x14ac:dyDescent="0.25">
      <c r="A1824" s="273" t="s">
        <v>317</v>
      </c>
      <c r="B1824" s="251">
        <v>45860</v>
      </c>
      <c r="C1824" s="252" t="s">
        <v>800</v>
      </c>
      <c r="D1824" s="252"/>
      <c r="E1824" s="253">
        <v>25002223.5</v>
      </c>
      <c r="F1824" s="253">
        <v>0</v>
      </c>
      <c r="G1824" s="274">
        <f>Tabla3[[#This Row],[INGRESOS]]-Tabla3[[#This Row],[EGRESOS]]</f>
        <v>-25002223.5</v>
      </c>
      <c r="H1824" s="274">
        <v>33764916.270000003</v>
      </c>
      <c r="I1824" s="135">
        <v>1170</v>
      </c>
      <c r="J1824" s="136">
        <f>Tabla3[[#This Row],[EGRESOS]]/Tabla3[[#This Row],[TC]]</f>
        <v>21369.421794871796</v>
      </c>
      <c r="K1824" s="136">
        <f>Tabla3[[#This Row],[INGRESOS]]/Tabla3[[#This Row],[TC]]</f>
        <v>0</v>
      </c>
      <c r="L1824" s="8" t="s">
        <v>376</v>
      </c>
      <c r="M1824" s="8" t="s">
        <v>377</v>
      </c>
      <c r="N1824" s="8" t="s">
        <v>20</v>
      </c>
      <c r="O1824" s="8" t="s">
        <v>286</v>
      </c>
      <c r="P1824" s="8" t="s">
        <v>294</v>
      </c>
      <c r="Q1824" s="8" t="s">
        <v>297</v>
      </c>
      <c r="S1824" s="8" t="s">
        <v>689</v>
      </c>
      <c r="T1824" s="8"/>
      <c r="U1824" s="8" t="s">
        <v>690</v>
      </c>
      <c r="V1824" s="8"/>
      <c r="W1824" s="8" t="s">
        <v>380</v>
      </c>
      <c r="X1824" s="8" t="s">
        <v>99</v>
      </c>
      <c r="Y1824" s="8" t="s">
        <v>23</v>
      </c>
    </row>
    <row r="1825" spans="1:25" s="7" customFormat="1" hidden="1" x14ac:dyDescent="0.25">
      <c r="A1825" s="273" t="s">
        <v>317</v>
      </c>
      <c r="B1825" s="251">
        <v>45860</v>
      </c>
      <c r="C1825" s="252" t="s">
        <v>828</v>
      </c>
      <c r="D1825" s="252"/>
      <c r="E1825" s="253">
        <v>121</v>
      </c>
      <c r="F1825" s="253">
        <v>0</v>
      </c>
      <c r="G1825" s="274">
        <f>Tabla3[[#This Row],[INGRESOS]]-Tabla3[[#This Row],[EGRESOS]]</f>
        <v>-121</v>
      </c>
      <c r="H1825" s="274">
        <v>33764795.270000003</v>
      </c>
      <c r="I1825" s="135">
        <v>1170</v>
      </c>
      <c r="J1825" s="136">
        <f>Tabla3[[#This Row],[EGRESOS]]/Tabla3[[#This Row],[TC]]</f>
        <v>0.10341880341880341</v>
      </c>
      <c r="K1825" s="136">
        <f>Tabla3[[#This Row],[INGRESOS]]/Tabla3[[#This Row],[TC]]</f>
        <v>0</v>
      </c>
      <c r="L1825" s="8" t="s">
        <v>376</v>
      </c>
      <c r="M1825" s="8" t="s">
        <v>377</v>
      </c>
      <c r="N1825" s="8" t="s">
        <v>20</v>
      </c>
      <c r="O1825" s="8" t="s">
        <v>184</v>
      </c>
      <c r="P1825" s="8" t="s">
        <v>185</v>
      </c>
      <c r="Q1825" s="8" t="s">
        <v>186</v>
      </c>
      <c r="R1825" s="8" t="s">
        <v>227</v>
      </c>
      <c r="S1825" s="8"/>
      <c r="T1825" s="8"/>
      <c r="U1825" s="8" t="s">
        <v>384</v>
      </c>
      <c r="V1825" s="8"/>
      <c r="W1825" s="8" t="s">
        <v>380</v>
      </c>
      <c r="X1825" s="8" t="s">
        <v>99</v>
      </c>
      <c r="Y1825" s="8" t="s">
        <v>23</v>
      </c>
    </row>
    <row r="1826" spans="1:25" s="7" customFormat="1" hidden="1" x14ac:dyDescent="0.25">
      <c r="A1826" s="273" t="s">
        <v>317</v>
      </c>
      <c r="B1826" s="251">
        <v>45860</v>
      </c>
      <c r="C1826" s="252" t="s">
        <v>800</v>
      </c>
      <c r="D1826" s="252"/>
      <c r="E1826" s="253">
        <v>140000</v>
      </c>
      <c r="F1826" s="253">
        <v>0</v>
      </c>
      <c r="G1826" s="274">
        <f>Tabla3[[#This Row],[INGRESOS]]-Tabla3[[#This Row],[EGRESOS]]</f>
        <v>-140000</v>
      </c>
      <c r="H1826" s="274">
        <v>33624795.270000003</v>
      </c>
      <c r="I1826" s="135">
        <v>1170</v>
      </c>
      <c r="J1826" s="136">
        <f>Tabla3[[#This Row],[EGRESOS]]/Tabla3[[#This Row],[TC]]</f>
        <v>119.65811965811966</v>
      </c>
      <c r="K1826" s="136">
        <f>Tabla3[[#This Row],[INGRESOS]]/Tabla3[[#This Row],[TC]]</f>
        <v>0</v>
      </c>
      <c r="L1826" s="8" t="s">
        <v>376</v>
      </c>
      <c r="M1826" s="8" t="s">
        <v>377</v>
      </c>
      <c r="N1826" s="8" t="s">
        <v>20</v>
      </c>
      <c r="O1826" s="8" t="s">
        <v>215</v>
      </c>
      <c r="P1826" s="8" t="s">
        <v>216</v>
      </c>
      <c r="Q1826" s="8" t="s">
        <v>220</v>
      </c>
      <c r="R1826" s="8" t="s">
        <v>291</v>
      </c>
      <c r="S1826" s="8" t="s">
        <v>634</v>
      </c>
      <c r="T1826" s="8"/>
      <c r="U1826" s="8" t="s">
        <v>403</v>
      </c>
      <c r="V1826" s="8"/>
      <c r="W1826" s="8" t="s">
        <v>380</v>
      </c>
      <c r="X1826" s="8" t="s">
        <v>29</v>
      </c>
      <c r="Y1826" s="8" t="s">
        <v>23</v>
      </c>
    </row>
    <row r="1827" spans="1:25" s="7" customFormat="1" hidden="1" x14ac:dyDescent="0.25">
      <c r="A1827" s="273" t="s">
        <v>317</v>
      </c>
      <c r="B1827" s="251">
        <v>45860</v>
      </c>
      <c r="C1827" s="252" t="s">
        <v>773</v>
      </c>
      <c r="D1827" s="252"/>
      <c r="E1827" s="253">
        <v>172711.83</v>
      </c>
      <c r="F1827" s="253">
        <v>0</v>
      </c>
      <c r="G1827" s="274">
        <f>Tabla3[[#This Row],[INGRESOS]]-Tabla3[[#This Row],[EGRESOS]]</f>
        <v>-172711.83</v>
      </c>
      <c r="H1827" s="274">
        <v>33452083.440000001</v>
      </c>
      <c r="I1827" s="135">
        <v>1170</v>
      </c>
      <c r="J1827" s="136">
        <f>Tabla3[[#This Row],[EGRESOS]]/Tabla3[[#This Row],[TC]]</f>
        <v>147.6169487179487</v>
      </c>
      <c r="K1827" s="136">
        <f>Tabla3[[#This Row],[INGRESOS]]/Tabla3[[#This Row],[TC]]</f>
        <v>0</v>
      </c>
      <c r="L1827" s="8" t="s">
        <v>376</v>
      </c>
      <c r="M1827" s="8" t="s">
        <v>377</v>
      </c>
      <c r="N1827" s="8" t="s">
        <v>20</v>
      </c>
      <c r="O1827" s="8" t="s">
        <v>184</v>
      </c>
      <c r="P1827" s="8" t="s">
        <v>195</v>
      </c>
      <c r="Q1827" s="8" t="s">
        <v>196</v>
      </c>
      <c r="R1827" s="8" t="s">
        <v>394</v>
      </c>
      <c r="S1827" s="8" t="s">
        <v>383</v>
      </c>
      <c r="T1827" s="8"/>
      <c r="U1827" s="8" t="s">
        <v>384</v>
      </c>
      <c r="V1827" s="8"/>
      <c r="W1827" s="8" t="s">
        <v>380</v>
      </c>
      <c r="X1827" s="8" t="s">
        <v>99</v>
      </c>
      <c r="Y1827" s="8" t="s">
        <v>23</v>
      </c>
    </row>
    <row r="1828" spans="1:25" s="7" customFormat="1" hidden="1" x14ac:dyDescent="0.25">
      <c r="A1828" s="273" t="s">
        <v>317</v>
      </c>
      <c r="B1828" s="251">
        <v>45861</v>
      </c>
      <c r="C1828" s="252" t="s">
        <v>782</v>
      </c>
      <c r="D1828" s="252" t="s">
        <v>1082</v>
      </c>
      <c r="E1828" s="253">
        <v>8401937.5</v>
      </c>
      <c r="F1828" s="253">
        <v>0</v>
      </c>
      <c r="G1828" s="274">
        <f>Tabla3[[#This Row],[INGRESOS]]-Tabla3[[#This Row],[EGRESOS]]</f>
        <v>-8401937.5</v>
      </c>
      <c r="H1828" s="274">
        <v>25050145.940000001</v>
      </c>
      <c r="I1828" s="135">
        <v>1170</v>
      </c>
      <c r="J1828" s="136">
        <f>Tabla3[[#This Row],[EGRESOS]]/Tabla3[[#This Row],[TC]]</f>
        <v>7181.1431623931621</v>
      </c>
      <c r="K1828" s="136">
        <f>Tabla3[[#This Row],[INGRESOS]]/Tabla3[[#This Row],[TC]]</f>
        <v>0</v>
      </c>
      <c r="L1828" s="8" t="s">
        <v>376</v>
      </c>
      <c r="M1828" s="8" t="s">
        <v>377</v>
      </c>
      <c r="N1828" s="8" t="s">
        <v>20</v>
      </c>
      <c r="O1828" s="8" t="s">
        <v>215</v>
      </c>
      <c r="P1828" s="8" t="s">
        <v>216</v>
      </c>
      <c r="Q1828" s="8" t="s">
        <v>220</v>
      </c>
      <c r="R1828" s="8" t="s">
        <v>1022</v>
      </c>
      <c r="S1828" s="8" t="s">
        <v>545</v>
      </c>
      <c r="T1828" s="8" t="s">
        <v>616</v>
      </c>
      <c r="U1828" s="8" t="s">
        <v>412</v>
      </c>
      <c r="V1828" s="8"/>
      <c r="W1828" s="8" t="s">
        <v>380</v>
      </c>
      <c r="X1828" s="8" t="s">
        <v>29</v>
      </c>
      <c r="Y1828" s="8" t="s">
        <v>23</v>
      </c>
    </row>
    <row r="1829" spans="1:25" s="7" customFormat="1" hidden="1" x14ac:dyDescent="0.25">
      <c r="A1829" s="273" t="s">
        <v>317</v>
      </c>
      <c r="B1829" s="251">
        <v>45861</v>
      </c>
      <c r="C1829" s="252" t="s">
        <v>404</v>
      </c>
      <c r="D1829" s="252"/>
      <c r="E1829" s="253">
        <v>4100000</v>
      </c>
      <c r="F1829" s="253">
        <v>0</v>
      </c>
      <c r="G1829" s="274">
        <f>Tabla3[[#This Row],[INGRESOS]]-Tabla3[[#This Row],[EGRESOS]]</f>
        <v>-4100000</v>
      </c>
      <c r="H1829" s="274">
        <v>20950145.940000001</v>
      </c>
      <c r="I1829" s="135">
        <v>1170</v>
      </c>
      <c r="J1829" s="136">
        <f>Tabla3[[#This Row],[EGRESOS]]/Tabla3[[#This Row],[TC]]</f>
        <v>3504.2735042735044</v>
      </c>
      <c r="K1829" s="136">
        <f>Tabla3[[#This Row],[INGRESOS]]/Tabla3[[#This Row],[TC]]</f>
        <v>0</v>
      </c>
      <c r="L1829" s="8" t="s">
        <v>376</v>
      </c>
      <c r="M1829" s="8" t="s">
        <v>377</v>
      </c>
      <c r="N1829" s="8" t="s">
        <v>20</v>
      </c>
      <c r="O1829" s="8" t="s">
        <v>244</v>
      </c>
      <c r="P1829" s="8" t="s">
        <v>259</v>
      </c>
      <c r="Q1829" s="8" t="s">
        <v>260</v>
      </c>
      <c r="R1829" s="8" t="s">
        <v>466</v>
      </c>
      <c r="S1829" s="8"/>
      <c r="T1829" s="8"/>
      <c r="U1829" s="8" t="s">
        <v>379</v>
      </c>
      <c r="V1829" s="8"/>
      <c r="W1829" s="8" t="s">
        <v>380</v>
      </c>
      <c r="X1829" s="8"/>
      <c r="Y1829" s="8"/>
    </row>
    <row r="1830" spans="1:25" s="7" customFormat="1" hidden="1" x14ac:dyDescent="0.25">
      <c r="A1830" s="273" t="s">
        <v>317</v>
      </c>
      <c r="B1830" s="251">
        <v>45861</v>
      </c>
      <c r="C1830" s="252" t="s">
        <v>828</v>
      </c>
      <c r="D1830" s="252"/>
      <c r="E1830" s="253">
        <v>121</v>
      </c>
      <c r="F1830" s="253">
        <v>0</v>
      </c>
      <c r="G1830" s="274">
        <f>Tabla3[[#This Row],[INGRESOS]]-Tabla3[[#This Row],[EGRESOS]]</f>
        <v>-121</v>
      </c>
      <c r="H1830" s="274">
        <v>20950024.940000001</v>
      </c>
      <c r="I1830" s="135">
        <v>1170</v>
      </c>
      <c r="J1830" s="136">
        <f>Tabla3[[#This Row],[EGRESOS]]/Tabla3[[#This Row],[TC]]</f>
        <v>0.10341880341880341</v>
      </c>
      <c r="K1830" s="136">
        <f>Tabla3[[#This Row],[INGRESOS]]/Tabla3[[#This Row],[TC]]</f>
        <v>0</v>
      </c>
      <c r="L1830" s="8" t="s">
        <v>376</v>
      </c>
      <c r="M1830" s="8" t="s">
        <v>377</v>
      </c>
      <c r="N1830" s="8" t="s">
        <v>20</v>
      </c>
      <c r="O1830" s="8" t="s">
        <v>184</v>
      </c>
      <c r="P1830" s="8" t="s">
        <v>185</v>
      </c>
      <c r="Q1830" s="8" t="s">
        <v>186</v>
      </c>
      <c r="R1830" s="8" t="s">
        <v>227</v>
      </c>
      <c r="S1830" s="8"/>
      <c r="T1830" s="8"/>
      <c r="U1830" s="8" t="s">
        <v>384</v>
      </c>
      <c r="V1830" s="8"/>
      <c r="W1830" s="8" t="s">
        <v>380</v>
      </c>
      <c r="X1830" s="8" t="s">
        <v>99</v>
      </c>
      <c r="Y1830" s="8" t="s">
        <v>23</v>
      </c>
    </row>
    <row r="1831" spans="1:25" s="7" customFormat="1" hidden="1" x14ac:dyDescent="0.25">
      <c r="A1831" s="273" t="s">
        <v>317</v>
      </c>
      <c r="B1831" s="251">
        <v>45861</v>
      </c>
      <c r="C1831" s="252" t="s">
        <v>800</v>
      </c>
      <c r="D1831" s="252"/>
      <c r="E1831" s="253">
        <v>650000</v>
      </c>
      <c r="F1831" s="253">
        <v>0</v>
      </c>
      <c r="G1831" s="274">
        <f>Tabla3[[#This Row],[INGRESOS]]-Tabla3[[#This Row],[EGRESOS]]</f>
        <v>-650000</v>
      </c>
      <c r="H1831" s="274">
        <v>20300024.940000001</v>
      </c>
      <c r="I1831" s="135">
        <v>1170</v>
      </c>
      <c r="J1831" s="136">
        <f>Tabla3[[#This Row],[EGRESOS]]/Tabla3[[#This Row],[TC]]</f>
        <v>555.55555555555554</v>
      </c>
      <c r="K1831" s="136">
        <f>Tabla3[[#This Row],[INGRESOS]]/Tabla3[[#This Row],[TC]]</f>
        <v>0</v>
      </c>
      <c r="L1831" s="8" t="s">
        <v>376</v>
      </c>
      <c r="M1831" s="8" t="s">
        <v>377</v>
      </c>
      <c r="N1831" s="8" t="s">
        <v>20</v>
      </c>
      <c r="O1831" s="8" t="s">
        <v>184</v>
      </c>
      <c r="P1831" s="8" t="s">
        <v>203</v>
      </c>
      <c r="Q1831" s="8" t="s">
        <v>208</v>
      </c>
      <c r="R1831" s="8" t="s">
        <v>1049</v>
      </c>
      <c r="S1831" s="8" t="s">
        <v>414</v>
      </c>
      <c r="T1831" s="8"/>
      <c r="U1831" s="8" t="s">
        <v>530</v>
      </c>
      <c r="V1831" s="8" t="s">
        <v>415</v>
      </c>
      <c r="W1831" s="8" t="s">
        <v>380</v>
      </c>
      <c r="X1831" s="8" t="s">
        <v>102</v>
      </c>
      <c r="Y1831" s="8" t="s">
        <v>23</v>
      </c>
    </row>
    <row r="1832" spans="1:25" s="7" customFormat="1" hidden="1" x14ac:dyDescent="0.25">
      <c r="A1832" s="273" t="s">
        <v>317</v>
      </c>
      <c r="B1832" s="251">
        <v>45861</v>
      </c>
      <c r="C1832" s="252" t="s">
        <v>828</v>
      </c>
      <c r="D1832" s="252"/>
      <c r="E1832" s="253">
        <v>121</v>
      </c>
      <c r="F1832" s="253">
        <v>0</v>
      </c>
      <c r="G1832" s="274">
        <f>Tabla3[[#This Row],[INGRESOS]]-Tabla3[[#This Row],[EGRESOS]]</f>
        <v>-121</v>
      </c>
      <c r="H1832" s="274">
        <v>20299903.940000001</v>
      </c>
      <c r="I1832" s="135">
        <v>1170</v>
      </c>
      <c r="J1832" s="136">
        <f>Tabla3[[#This Row],[EGRESOS]]/Tabla3[[#This Row],[TC]]</f>
        <v>0.10341880341880341</v>
      </c>
      <c r="K1832" s="136">
        <f>Tabla3[[#This Row],[INGRESOS]]/Tabla3[[#This Row],[TC]]</f>
        <v>0</v>
      </c>
      <c r="L1832" s="8" t="s">
        <v>376</v>
      </c>
      <c r="M1832" s="8" t="s">
        <v>377</v>
      </c>
      <c r="N1832" s="8" t="s">
        <v>20</v>
      </c>
      <c r="O1832" s="8" t="s">
        <v>184</v>
      </c>
      <c r="P1832" s="8" t="s">
        <v>185</v>
      </c>
      <c r="Q1832" s="8" t="s">
        <v>186</v>
      </c>
      <c r="R1832" s="8" t="s">
        <v>227</v>
      </c>
      <c r="S1832" s="8"/>
      <c r="T1832" s="8"/>
      <c r="U1832" s="8" t="s">
        <v>384</v>
      </c>
      <c r="V1832" s="8"/>
      <c r="W1832" s="8" t="s">
        <v>380</v>
      </c>
      <c r="X1832" s="8" t="s">
        <v>99</v>
      </c>
      <c r="Y1832" s="8" t="s">
        <v>23</v>
      </c>
    </row>
    <row r="1833" spans="1:25" s="7" customFormat="1" hidden="1" x14ac:dyDescent="0.25">
      <c r="A1833" s="247" t="s">
        <v>318</v>
      </c>
      <c r="B1833" s="248">
        <v>45880</v>
      </c>
      <c r="C1833" s="244" t="s">
        <v>800</v>
      </c>
      <c r="D1833" s="244"/>
      <c r="E1833" s="249">
        <v>1500000</v>
      </c>
      <c r="F1833" s="249">
        <v>0</v>
      </c>
      <c r="G1833" s="266">
        <f>Tabla3[[#This Row],[INGRESOS]]-Tabla3[[#This Row],[EGRESOS]]</f>
        <v>-1500000</v>
      </c>
      <c r="H1833" s="266">
        <v>-2634484.31</v>
      </c>
      <c r="I1833" s="119">
        <v>1350</v>
      </c>
      <c r="J1833" s="99">
        <f>Tabla3[[#This Row],[EGRESOS]]/Tabla3[[#This Row],[TC]]</f>
        <v>1111.1111111111111</v>
      </c>
      <c r="K1833" s="99">
        <f>Tabla3[[#This Row],[INGRESOS]]/Tabla3[[#This Row],[TC]]</f>
        <v>0</v>
      </c>
      <c r="L1833" s="7" t="s">
        <v>376</v>
      </c>
      <c r="M1833" s="7" t="s">
        <v>377</v>
      </c>
      <c r="N1833" s="7" t="s">
        <v>20</v>
      </c>
      <c r="O1833" s="7" t="s">
        <v>184</v>
      </c>
      <c r="P1833" s="7" t="s">
        <v>203</v>
      </c>
      <c r="Q1833" s="7" t="s">
        <v>208</v>
      </c>
      <c r="R1833" s="7" t="s">
        <v>188</v>
      </c>
      <c r="S1833" s="7" t="s">
        <v>386</v>
      </c>
      <c r="U1833" s="7" t="s">
        <v>387</v>
      </c>
      <c r="V1833" s="7" t="s">
        <v>386</v>
      </c>
      <c r="W1833" s="7" t="s">
        <v>380</v>
      </c>
      <c r="X1833" s="7" t="s">
        <v>104</v>
      </c>
      <c r="Y1833" s="7" t="s">
        <v>23</v>
      </c>
    </row>
    <row r="1834" spans="1:25" s="7" customFormat="1" hidden="1" x14ac:dyDescent="0.25">
      <c r="A1834" s="273" t="s">
        <v>317</v>
      </c>
      <c r="B1834" s="251">
        <v>45861</v>
      </c>
      <c r="C1834" s="252" t="s">
        <v>828</v>
      </c>
      <c r="D1834" s="252"/>
      <c r="E1834" s="253">
        <v>121</v>
      </c>
      <c r="F1834" s="253">
        <v>0</v>
      </c>
      <c r="G1834" s="274">
        <f>Tabla3[[#This Row],[INGRESOS]]-Tabla3[[#This Row],[EGRESOS]]</f>
        <v>-121</v>
      </c>
      <c r="H1834" s="274">
        <v>18299782.940000001</v>
      </c>
      <c r="I1834" s="135">
        <v>1170</v>
      </c>
      <c r="J1834" s="136">
        <f>Tabla3[[#This Row],[EGRESOS]]/Tabla3[[#This Row],[TC]]</f>
        <v>0.10341880341880341</v>
      </c>
      <c r="K1834" s="136">
        <f>Tabla3[[#This Row],[INGRESOS]]/Tabla3[[#This Row],[TC]]</f>
        <v>0</v>
      </c>
      <c r="L1834" s="8" t="s">
        <v>376</v>
      </c>
      <c r="M1834" s="8" t="s">
        <v>377</v>
      </c>
      <c r="N1834" s="8" t="s">
        <v>20</v>
      </c>
      <c r="O1834" s="8" t="s">
        <v>184</v>
      </c>
      <c r="P1834" s="8" t="s">
        <v>185</v>
      </c>
      <c r="Q1834" s="8" t="s">
        <v>186</v>
      </c>
      <c r="R1834" s="8" t="s">
        <v>227</v>
      </c>
      <c r="S1834" s="8"/>
      <c r="T1834" s="8"/>
      <c r="U1834" s="8" t="s">
        <v>384</v>
      </c>
      <c r="V1834" s="8"/>
      <c r="W1834" s="8" t="s">
        <v>380</v>
      </c>
      <c r="X1834" s="8" t="s">
        <v>99</v>
      </c>
      <c r="Y1834" s="8" t="s">
        <v>23</v>
      </c>
    </row>
    <row r="1835" spans="1:25" s="7" customFormat="1" hidden="1" x14ac:dyDescent="0.25">
      <c r="A1835" s="273" t="s">
        <v>317</v>
      </c>
      <c r="B1835" s="251">
        <v>45861</v>
      </c>
      <c r="C1835" s="252" t="s">
        <v>773</v>
      </c>
      <c r="D1835" s="252"/>
      <c r="E1835" s="253">
        <v>66313.820000000007</v>
      </c>
      <c r="F1835" s="253">
        <v>0</v>
      </c>
      <c r="G1835" s="274">
        <f>Tabla3[[#This Row],[INGRESOS]]-Tabla3[[#This Row],[EGRESOS]]</f>
        <v>-66313.820000000007</v>
      </c>
      <c r="H1835" s="274">
        <v>18233469.120000001</v>
      </c>
      <c r="I1835" s="135">
        <v>1170</v>
      </c>
      <c r="J1835" s="136">
        <f>Tabla3[[#This Row],[EGRESOS]]/Tabla3[[#This Row],[TC]]</f>
        <v>56.678478632478637</v>
      </c>
      <c r="K1835" s="136">
        <f>Tabla3[[#This Row],[INGRESOS]]/Tabla3[[#This Row],[TC]]</f>
        <v>0</v>
      </c>
      <c r="L1835" s="8" t="s">
        <v>376</v>
      </c>
      <c r="M1835" s="8" t="s">
        <v>377</v>
      </c>
      <c r="N1835" s="8" t="s">
        <v>20</v>
      </c>
      <c r="O1835" s="8" t="s">
        <v>184</v>
      </c>
      <c r="P1835" s="8" t="s">
        <v>195</v>
      </c>
      <c r="Q1835" s="8" t="s">
        <v>196</v>
      </c>
      <c r="R1835" s="8" t="s">
        <v>394</v>
      </c>
      <c r="S1835" s="8" t="s">
        <v>383</v>
      </c>
      <c r="T1835" s="8"/>
      <c r="U1835" s="8" t="s">
        <v>384</v>
      </c>
      <c r="V1835" s="8"/>
      <c r="W1835" s="8" t="s">
        <v>380</v>
      </c>
      <c r="X1835" s="8" t="s">
        <v>99</v>
      </c>
      <c r="Y1835" s="8" t="s">
        <v>23</v>
      </c>
    </row>
    <row r="1836" spans="1:25" s="7" customFormat="1" hidden="1" x14ac:dyDescent="0.25">
      <c r="A1836" s="273" t="s">
        <v>317</v>
      </c>
      <c r="B1836" s="251">
        <v>45862</v>
      </c>
      <c r="C1836" s="252" t="s">
        <v>782</v>
      </c>
      <c r="D1836" s="252" t="s">
        <v>1083</v>
      </c>
      <c r="E1836" s="253">
        <v>500000</v>
      </c>
      <c r="F1836" s="253">
        <v>0</v>
      </c>
      <c r="G1836" s="274">
        <f>Tabla3[[#This Row],[INGRESOS]]-Tabla3[[#This Row],[EGRESOS]]</f>
        <v>-500000</v>
      </c>
      <c r="H1836" s="274">
        <v>17733469.120000001</v>
      </c>
      <c r="I1836" s="135">
        <v>1170</v>
      </c>
      <c r="J1836" s="136">
        <f>Tabla3[[#This Row],[EGRESOS]]/Tabla3[[#This Row],[TC]]</f>
        <v>427.35042735042737</v>
      </c>
      <c r="K1836" s="136">
        <f>Tabla3[[#This Row],[INGRESOS]]/Tabla3[[#This Row],[TC]]</f>
        <v>0</v>
      </c>
      <c r="L1836" s="8" t="s">
        <v>376</v>
      </c>
      <c r="M1836" s="8" t="s">
        <v>377</v>
      </c>
      <c r="N1836" s="8" t="s">
        <v>20</v>
      </c>
      <c r="O1836" s="8" t="s">
        <v>286</v>
      </c>
      <c r="P1836" s="8" t="s">
        <v>287</v>
      </c>
      <c r="Q1836" s="8" t="s">
        <v>291</v>
      </c>
      <c r="R1836" s="8" t="s">
        <v>143</v>
      </c>
      <c r="S1836" s="8" t="s">
        <v>676</v>
      </c>
      <c r="T1836" s="8"/>
      <c r="U1836" s="8" t="s">
        <v>412</v>
      </c>
      <c r="V1836" s="8"/>
      <c r="W1836" s="8" t="s">
        <v>380</v>
      </c>
      <c r="X1836" s="8" t="s">
        <v>29</v>
      </c>
      <c r="Y1836" s="8" t="s">
        <v>23</v>
      </c>
    </row>
    <row r="1837" spans="1:25" s="7" customFormat="1" hidden="1" x14ac:dyDescent="0.25">
      <c r="A1837" s="273" t="s">
        <v>317</v>
      </c>
      <c r="B1837" s="251">
        <v>45862</v>
      </c>
      <c r="C1837" s="252" t="s">
        <v>782</v>
      </c>
      <c r="D1837" s="252" t="s">
        <v>1084</v>
      </c>
      <c r="E1837" s="253">
        <v>402220</v>
      </c>
      <c r="F1837" s="253">
        <v>0</v>
      </c>
      <c r="G1837" s="274">
        <f>Tabla3[[#This Row],[INGRESOS]]-Tabla3[[#This Row],[EGRESOS]]</f>
        <v>-402220</v>
      </c>
      <c r="H1837" s="274">
        <v>17331249.120000001</v>
      </c>
      <c r="I1837" s="135">
        <v>1170</v>
      </c>
      <c r="J1837" s="136">
        <f>Tabla3[[#This Row],[EGRESOS]]/Tabla3[[#This Row],[TC]]</f>
        <v>343.77777777777777</v>
      </c>
      <c r="K1837" s="136">
        <f>Tabla3[[#This Row],[INGRESOS]]/Tabla3[[#This Row],[TC]]</f>
        <v>0</v>
      </c>
      <c r="L1837" s="8" t="s">
        <v>376</v>
      </c>
      <c r="M1837" s="8" t="s">
        <v>377</v>
      </c>
      <c r="N1837" s="8" t="s">
        <v>20</v>
      </c>
      <c r="O1837" s="8" t="s">
        <v>225</v>
      </c>
      <c r="P1837" s="8" t="s">
        <v>236</v>
      </c>
      <c r="Q1837" s="8" t="s">
        <v>214</v>
      </c>
      <c r="R1837" s="8" t="s">
        <v>582</v>
      </c>
      <c r="S1837" s="8" t="s">
        <v>583</v>
      </c>
      <c r="T1837" s="8"/>
      <c r="U1837" s="8" t="s">
        <v>412</v>
      </c>
      <c r="V1837" s="8"/>
      <c r="W1837" s="8" t="s">
        <v>380</v>
      </c>
      <c r="X1837" s="8" t="s">
        <v>99</v>
      </c>
      <c r="Y1837" s="8" t="s">
        <v>23</v>
      </c>
    </row>
    <row r="1838" spans="1:25" s="7" customFormat="1" hidden="1" x14ac:dyDescent="0.25">
      <c r="A1838" s="273" t="s">
        <v>317</v>
      </c>
      <c r="B1838" s="251">
        <v>45862</v>
      </c>
      <c r="C1838" s="252" t="s">
        <v>1085</v>
      </c>
      <c r="D1838" s="252"/>
      <c r="E1838" s="253">
        <v>17000000</v>
      </c>
      <c r="F1838" s="253">
        <v>0</v>
      </c>
      <c r="G1838" s="274">
        <f>Tabla3[[#This Row],[INGRESOS]]-Tabla3[[#This Row],[EGRESOS]]</f>
        <v>-17000000</v>
      </c>
      <c r="H1838" s="274">
        <v>331249.12</v>
      </c>
      <c r="I1838" s="135">
        <v>1170</v>
      </c>
      <c r="J1838" s="136">
        <f>Tabla3[[#This Row],[EGRESOS]]/Tabla3[[#This Row],[TC]]</f>
        <v>14529.914529914529</v>
      </c>
      <c r="K1838" s="136">
        <f>Tabla3[[#This Row],[INGRESOS]]/Tabla3[[#This Row],[TC]]</f>
        <v>0</v>
      </c>
      <c r="L1838" s="8" t="s">
        <v>376</v>
      </c>
      <c r="M1838" s="8" t="s">
        <v>377</v>
      </c>
      <c r="N1838" s="8" t="s">
        <v>20</v>
      </c>
      <c r="O1838" s="8" t="s">
        <v>244</v>
      </c>
      <c r="P1838" s="8" t="s">
        <v>61</v>
      </c>
      <c r="Q1838" s="7" t="s">
        <v>274</v>
      </c>
      <c r="R1838" s="8" t="s">
        <v>993</v>
      </c>
      <c r="S1838" s="8" t="s">
        <v>994</v>
      </c>
      <c r="T1838" s="8"/>
      <c r="U1838" s="8" t="s">
        <v>995</v>
      </c>
      <c r="V1838" s="8"/>
      <c r="W1838" s="8" t="s">
        <v>380</v>
      </c>
      <c r="X1838" s="8" t="s">
        <v>61</v>
      </c>
      <c r="Y1838" s="8" t="s">
        <v>23</v>
      </c>
    </row>
    <row r="1839" spans="1:25" s="7" customFormat="1" hidden="1" x14ac:dyDescent="0.25">
      <c r="A1839" s="273" t="s">
        <v>317</v>
      </c>
      <c r="B1839" s="251">
        <v>45862</v>
      </c>
      <c r="C1839" s="252" t="s">
        <v>985</v>
      </c>
      <c r="D1839" s="252"/>
      <c r="E1839" s="253">
        <v>0</v>
      </c>
      <c r="F1839" s="253">
        <v>769758.03</v>
      </c>
      <c r="G1839" s="274">
        <f>Tabla3[[#This Row],[INGRESOS]]-Tabla3[[#This Row],[EGRESOS]]</f>
        <v>769758.03</v>
      </c>
      <c r="H1839" s="274">
        <v>1101007.1499999999</v>
      </c>
      <c r="I1839" s="135">
        <v>1170</v>
      </c>
      <c r="J1839" s="136">
        <f>Tabla3[[#This Row],[EGRESOS]]/Tabla3[[#This Row],[TC]]</f>
        <v>0</v>
      </c>
      <c r="K1839" s="136">
        <f>Tabla3[[#This Row],[INGRESOS]]/Tabla3[[#This Row],[TC]]</f>
        <v>657.9128461538462</v>
      </c>
      <c r="L1839" s="8" t="s">
        <v>376</v>
      </c>
      <c r="M1839" s="8" t="s">
        <v>377</v>
      </c>
      <c r="N1839" s="8" t="s">
        <v>20</v>
      </c>
      <c r="O1839" s="8" t="s">
        <v>215</v>
      </c>
      <c r="P1839" s="8" t="s">
        <v>216</v>
      </c>
      <c r="Q1839" s="8" t="s">
        <v>220</v>
      </c>
      <c r="R1839" s="8" t="s">
        <v>705</v>
      </c>
      <c r="S1839" s="8" t="s">
        <v>706</v>
      </c>
      <c r="T1839" s="8"/>
      <c r="U1839" s="8" t="s">
        <v>516</v>
      </c>
      <c r="V1839" s="8"/>
      <c r="W1839" s="8" t="s">
        <v>380</v>
      </c>
      <c r="X1839" s="8" t="s">
        <v>23</v>
      </c>
      <c r="Y1839" s="8" t="s">
        <v>97</v>
      </c>
    </row>
    <row r="1840" spans="1:25" s="7" customFormat="1" hidden="1" x14ac:dyDescent="0.25">
      <c r="A1840" s="273" t="s">
        <v>317</v>
      </c>
      <c r="B1840" s="251">
        <v>45862</v>
      </c>
      <c r="C1840" s="252" t="s">
        <v>760</v>
      </c>
      <c r="D1840" s="252"/>
      <c r="E1840" s="253">
        <v>4618.55</v>
      </c>
      <c r="F1840" s="253">
        <v>0</v>
      </c>
      <c r="G1840" s="274">
        <f>Tabla3[[#This Row],[INGRESOS]]-Tabla3[[#This Row],[EGRESOS]]</f>
        <v>-4618.55</v>
      </c>
      <c r="H1840" s="274">
        <v>1096388.6000000001</v>
      </c>
      <c r="I1840" s="135">
        <v>1170</v>
      </c>
      <c r="J1840" s="136">
        <f>Tabla3[[#This Row],[EGRESOS]]/Tabla3[[#This Row],[TC]]</f>
        <v>3.9474786324786328</v>
      </c>
      <c r="K1840" s="136">
        <f>Tabla3[[#This Row],[INGRESOS]]/Tabla3[[#This Row],[TC]]</f>
        <v>0</v>
      </c>
      <c r="L1840" s="8" t="s">
        <v>376</v>
      </c>
      <c r="M1840" s="8" t="s">
        <v>377</v>
      </c>
      <c r="N1840" s="8" t="s">
        <v>20</v>
      </c>
      <c r="O1840" s="8" t="s">
        <v>184</v>
      </c>
      <c r="P1840" s="8" t="s">
        <v>195</v>
      </c>
      <c r="Q1840" s="8" t="s">
        <v>196</v>
      </c>
      <c r="R1840" s="8" t="s">
        <v>394</v>
      </c>
      <c r="S1840" s="8" t="s">
        <v>383</v>
      </c>
      <c r="T1840" s="8"/>
      <c r="U1840" s="8" t="s">
        <v>384</v>
      </c>
      <c r="V1840" s="8"/>
      <c r="W1840" s="8" t="s">
        <v>380</v>
      </c>
      <c r="X1840" s="8" t="s">
        <v>99</v>
      </c>
      <c r="Y1840" s="8" t="s">
        <v>23</v>
      </c>
    </row>
    <row r="1841" spans="1:25" s="7" customFormat="1" hidden="1" x14ac:dyDescent="0.25">
      <c r="A1841" s="273" t="s">
        <v>317</v>
      </c>
      <c r="B1841" s="251">
        <v>45862</v>
      </c>
      <c r="C1841" s="252" t="s">
        <v>773</v>
      </c>
      <c r="D1841" s="252"/>
      <c r="E1841" s="253">
        <v>5413.32</v>
      </c>
      <c r="F1841" s="253">
        <v>0</v>
      </c>
      <c r="G1841" s="274">
        <f>Tabla3[[#This Row],[INGRESOS]]-Tabla3[[#This Row],[EGRESOS]]</f>
        <v>-5413.32</v>
      </c>
      <c r="H1841" s="274">
        <v>1090975.28</v>
      </c>
      <c r="I1841" s="135">
        <v>1170</v>
      </c>
      <c r="J1841" s="136">
        <f>Tabla3[[#This Row],[EGRESOS]]/Tabla3[[#This Row],[TC]]</f>
        <v>4.6267692307692307</v>
      </c>
      <c r="K1841" s="136">
        <f>Tabla3[[#This Row],[INGRESOS]]/Tabla3[[#This Row],[TC]]</f>
        <v>0</v>
      </c>
      <c r="L1841" s="8" t="s">
        <v>376</v>
      </c>
      <c r="M1841" s="8" t="s">
        <v>377</v>
      </c>
      <c r="N1841" s="8" t="s">
        <v>20</v>
      </c>
      <c r="O1841" s="8" t="s">
        <v>184</v>
      </c>
      <c r="P1841" s="8" t="s">
        <v>195</v>
      </c>
      <c r="Q1841" s="8" t="s">
        <v>196</v>
      </c>
      <c r="R1841" s="8" t="s">
        <v>394</v>
      </c>
      <c r="S1841" s="8" t="s">
        <v>383</v>
      </c>
      <c r="T1841" s="8"/>
      <c r="U1841" s="8" t="s">
        <v>384</v>
      </c>
      <c r="V1841" s="8"/>
      <c r="W1841" s="8" t="s">
        <v>380</v>
      </c>
      <c r="X1841" s="8" t="s">
        <v>99</v>
      </c>
      <c r="Y1841" s="8" t="s">
        <v>23</v>
      </c>
    </row>
    <row r="1842" spans="1:25" s="7" customFormat="1" hidden="1" x14ac:dyDescent="0.25">
      <c r="A1842" s="273" t="s">
        <v>317</v>
      </c>
      <c r="B1842" s="251">
        <v>45863</v>
      </c>
      <c r="C1842" s="252" t="s">
        <v>782</v>
      </c>
      <c r="D1842" s="252" t="s">
        <v>1086</v>
      </c>
      <c r="E1842" s="253">
        <v>560000</v>
      </c>
      <c r="F1842" s="253">
        <v>0</v>
      </c>
      <c r="G1842" s="274">
        <f>Tabla3[[#This Row],[INGRESOS]]-Tabla3[[#This Row],[EGRESOS]]</f>
        <v>-560000</v>
      </c>
      <c r="H1842" s="274">
        <v>530975.28</v>
      </c>
      <c r="I1842" s="135">
        <v>1170</v>
      </c>
      <c r="J1842" s="136">
        <f>Tabla3[[#This Row],[EGRESOS]]/Tabla3[[#This Row],[TC]]</f>
        <v>478.63247863247864</v>
      </c>
      <c r="K1842" s="136">
        <f>Tabla3[[#This Row],[INGRESOS]]/Tabla3[[#This Row],[TC]]</f>
        <v>0</v>
      </c>
      <c r="L1842" s="8" t="s">
        <v>376</v>
      </c>
      <c r="M1842" s="8" t="s">
        <v>377</v>
      </c>
      <c r="N1842" s="8" t="s">
        <v>20</v>
      </c>
      <c r="O1842" s="8" t="s">
        <v>225</v>
      </c>
      <c r="P1842" s="8" t="s">
        <v>236</v>
      </c>
      <c r="Q1842" s="8" t="s">
        <v>241</v>
      </c>
      <c r="R1842" s="8" t="s">
        <v>1087</v>
      </c>
      <c r="S1842" s="8" t="s">
        <v>1088</v>
      </c>
      <c r="T1842" s="8" t="s">
        <v>1089</v>
      </c>
      <c r="U1842" s="8" t="s">
        <v>412</v>
      </c>
      <c r="V1842" s="8"/>
      <c r="W1842" s="8" t="s">
        <v>380</v>
      </c>
      <c r="X1842" s="8" t="s">
        <v>29</v>
      </c>
      <c r="Y1842" s="8" t="s">
        <v>23</v>
      </c>
    </row>
    <row r="1843" spans="1:25" s="7" customFormat="1" hidden="1" x14ac:dyDescent="0.25">
      <c r="A1843" s="273" t="s">
        <v>317</v>
      </c>
      <c r="B1843" s="251">
        <v>45863</v>
      </c>
      <c r="C1843" s="252" t="s">
        <v>782</v>
      </c>
      <c r="D1843" s="252" t="s">
        <v>1090</v>
      </c>
      <c r="E1843" s="253">
        <v>215300</v>
      </c>
      <c r="F1843" s="253">
        <v>0</v>
      </c>
      <c r="G1843" s="274">
        <f>Tabla3[[#This Row],[INGRESOS]]-Tabla3[[#This Row],[EGRESOS]]</f>
        <v>-215300</v>
      </c>
      <c r="H1843" s="274">
        <v>315675.28000000003</v>
      </c>
      <c r="I1843" s="135">
        <v>1170</v>
      </c>
      <c r="J1843" s="136">
        <f>Tabla3[[#This Row],[EGRESOS]]/Tabla3[[#This Row],[TC]]</f>
        <v>184.01709401709402</v>
      </c>
      <c r="K1843" s="136">
        <f>Tabla3[[#This Row],[INGRESOS]]/Tabla3[[#This Row],[TC]]</f>
        <v>0</v>
      </c>
      <c r="L1843" s="8" t="s">
        <v>376</v>
      </c>
      <c r="M1843" s="8" t="s">
        <v>377</v>
      </c>
      <c r="N1843" s="8" t="s">
        <v>20</v>
      </c>
      <c r="O1843" s="8" t="s">
        <v>225</v>
      </c>
      <c r="P1843" s="8" t="s">
        <v>236</v>
      </c>
      <c r="Q1843" s="8" t="s">
        <v>237</v>
      </c>
      <c r="R1843" s="8" t="s">
        <v>1091</v>
      </c>
      <c r="S1843" s="8" t="s">
        <v>572</v>
      </c>
      <c r="T1843" s="8"/>
      <c r="U1843" s="8" t="s">
        <v>403</v>
      </c>
      <c r="V1843" s="8"/>
      <c r="W1843" s="8" t="s">
        <v>380</v>
      </c>
      <c r="X1843" s="8" t="s">
        <v>29</v>
      </c>
      <c r="Y1843" s="8" t="s">
        <v>23</v>
      </c>
    </row>
    <row r="1844" spans="1:25" s="7" customFormat="1" hidden="1" x14ac:dyDescent="0.25">
      <c r="A1844" s="273" t="s">
        <v>317</v>
      </c>
      <c r="B1844" s="251">
        <v>45863</v>
      </c>
      <c r="C1844" s="252" t="s">
        <v>1092</v>
      </c>
      <c r="D1844" s="252"/>
      <c r="E1844" s="253">
        <v>0</v>
      </c>
      <c r="F1844" s="253">
        <v>7800000</v>
      </c>
      <c r="G1844" s="274">
        <f>Tabla3[[#This Row],[INGRESOS]]-Tabla3[[#This Row],[EGRESOS]]</f>
        <v>7800000</v>
      </c>
      <c r="H1844" s="274">
        <v>8115675.2800000003</v>
      </c>
      <c r="I1844" s="135">
        <v>1170</v>
      </c>
      <c r="J1844" s="136">
        <f>Tabla3[[#This Row],[EGRESOS]]/Tabla3[[#This Row],[TC]]</f>
        <v>0</v>
      </c>
      <c r="K1844" s="136">
        <f>Tabla3[[#This Row],[INGRESOS]]/Tabla3[[#This Row],[TC]]</f>
        <v>6666.666666666667</v>
      </c>
      <c r="L1844" s="8" t="s">
        <v>376</v>
      </c>
      <c r="M1844" s="8" t="s">
        <v>377</v>
      </c>
      <c r="N1844" s="8" t="s">
        <v>20</v>
      </c>
      <c r="O1844" s="8" t="s">
        <v>244</v>
      </c>
      <c r="P1844" s="8" t="s">
        <v>61</v>
      </c>
      <c r="Q1844" s="8" t="s">
        <v>275</v>
      </c>
      <c r="R1844" s="8" t="s">
        <v>993</v>
      </c>
      <c r="S1844" s="8" t="s">
        <v>994</v>
      </c>
      <c r="T1844" s="8"/>
      <c r="U1844" s="8" t="s">
        <v>995</v>
      </c>
      <c r="V1844" s="8"/>
      <c r="W1844" s="8" t="s">
        <v>380</v>
      </c>
      <c r="X1844" s="8" t="s">
        <v>23</v>
      </c>
      <c r="Y1844" s="8" t="s">
        <v>61</v>
      </c>
    </row>
    <row r="1845" spans="1:25" s="7" customFormat="1" hidden="1" x14ac:dyDescent="0.25">
      <c r="A1845" s="273" t="s">
        <v>317</v>
      </c>
      <c r="B1845" s="251">
        <v>45863</v>
      </c>
      <c r="C1845" s="252" t="s">
        <v>404</v>
      </c>
      <c r="D1845" s="252"/>
      <c r="E1845" s="253">
        <v>4200000</v>
      </c>
      <c r="F1845" s="253">
        <v>0</v>
      </c>
      <c r="G1845" s="274">
        <f>Tabla3[[#This Row],[INGRESOS]]-Tabla3[[#This Row],[EGRESOS]]</f>
        <v>-4200000</v>
      </c>
      <c r="H1845" s="274">
        <v>3915675.28</v>
      </c>
      <c r="I1845" s="135">
        <v>1170</v>
      </c>
      <c r="J1845" s="136">
        <f>Tabla3[[#This Row],[EGRESOS]]/Tabla3[[#This Row],[TC]]</f>
        <v>3589.7435897435898</v>
      </c>
      <c r="K1845" s="136">
        <f>Tabla3[[#This Row],[INGRESOS]]/Tabla3[[#This Row],[TC]]</f>
        <v>0</v>
      </c>
      <c r="L1845" s="8" t="s">
        <v>376</v>
      </c>
      <c r="M1845" s="8" t="s">
        <v>377</v>
      </c>
      <c r="N1845" s="8" t="s">
        <v>20</v>
      </c>
      <c r="O1845" s="8" t="s">
        <v>244</v>
      </c>
      <c r="P1845" s="8" t="s">
        <v>259</v>
      </c>
      <c r="Q1845" s="8" t="s">
        <v>260</v>
      </c>
      <c r="R1845" s="8" t="s">
        <v>466</v>
      </c>
      <c r="S1845" s="8"/>
      <c r="T1845" s="8"/>
      <c r="U1845" s="8" t="s">
        <v>379</v>
      </c>
      <c r="V1845" s="8"/>
      <c r="W1845" s="8" t="s">
        <v>380</v>
      </c>
      <c r="X1845" s="8"/>
      <c r="Y1845" s="8"/>
    </row>
    <row r="1846" spans="1:25" s="7" customFormat="1" hidden="1" x14ac:dyDescent="0.25">
      <c r="A1846" s="273" t="s">
        <v>317</v>
      </c>
      <c r="B1846" s="251">
        <v>45863</v>
      </c>
      <c r="C1846" s="252" t="s">
        <v>828</v>
      </c>
      <c r="D1846" s="252"/>
      <c r="E1846" s="253">
        <v>121</v>
      </c>
      <c r="F1846" s="253">
        <v>0</v>
      </c>
      <c r="G1846" s="274">
        <f>Tabla3[[#This Row],[INGRESOS]]-Tabla3[[#This Row],[EGRESOS]]</f>
        <v>-121</v>
      </c>
      <c r="H1846" s="274">
        <v>3915554.28</v>
      </c>
      <c r="I1846" s="135">
        <v>1170</v>
      </c>
      <c r="J1846" s="136">
        <f>Tabla3[[#This Row],[EGRESOS]]/Tabla3[[#This Row],[TC]]</f>
        <v>0.10341880341880341</v>
      </c>
      <c r="K1846" s="136">
        <f>Tabla3[[#This Row],[INGRESOS]]/Tabla3[[#This Row],[TC]]</f>
        <v>0</v>
      </c>
      <c r="L1846" s="8" t="s">
        <v>376</v>
      </c>
      <c r="M1846" s="8" t="s">
        <v>377</v>
      </c>
      <c r="N1846" s="8" t="s">
        <v>20</v>
      </c>
      <c r="O1846" s="8" t="s">
        <v>184</v>
      </c>
      <c r="P1846" s="8" t="s">
        <v>185</v>
      </c>
      <c r="Q1846" s="8" t="s">
        <v>186</v>
      </c>
      <c r="R1846" s="8" t="s">
        <v>227</v>
      </c>
      <c r="S1846" s="8"/>
      <c r="T1846" s="8"/>
      <c r="U1846" s="8" t="s">
        <v>384</v>
      </c>
      <c r="V1846" s="8"/>
      <c r="W1846" s="8" t="s">
        <v>380</v>
      </c>
      <c r="X1846" s="8" t="s">
        <v>99</v>
      </c>
      <c r="Y1846" s="8" t="s">
        <v>23</v>
      </c>
    </row>
    <row r="1847" spans="1:25" s="7" customFormat="1" hidden="1" x14ac:dyDescent="0.25">
      <c r="A1847" s="273" t="s">
        <v>317</v>
      </c>
      <c r="B1847" s="251">
        <v>45863</v>
      </c>
      <c r="C1847" s="252" t="s">
        <v>404</v>
      </c>
      <c r="D1847" s="252"/>
      <c r="E1847" s="253">
        <v>3600000</v>
      </c>
      <c r="F1847" s="253">
        <v>0</v>
      </c>
      <c r="G1847" s="274">
        <f>Tabla3[[#This Row],[INGRESOS]]-Tabla3[[#This Row],[EGRESOS]]</f>
        <v>-3600000</v>
      </c>
      <c r="H1847" s="274">
        <v>315554.28000000003</v>
      </c>
      <c r="I1847" s="135">
        <v>1170</v>
      </c>
      <c r="J1847" s="136">
        <f>Tabla3[[#This Row],[EGRESOS]]/Tabla3[[#This Row],[TC]]</f>
        <v>3076.9230769230771</v>
      </c>
      <c r="K1847" s="136">
        <f>Tabla3[[#This Row],[INGRESOS]]/Tabla3[[#This Row],[TC]]</f>
        <v>0</v>
      </c>
      <c r="L1847" s="8" t="s">
        <v>376</v>
      </c>
      <c r="M1847" s="8" t="s">
        <v>377</v>
      </c>
      <c r="N1847" s="8" t="s">
        <v>20</v>
      </c>
      <c r="O1847" s="8" t="s">
        <v>244</v>
      </c>
      <c r="P1847" s="8" t="s">
        <v>259</v>
      </c>
      <c r="Q1847" s="8" t="s">
        <v>260</v>
      </c>
      <c r="R1847" s="8" t="s">
        <v>467</v>
      </c>
      <c r="S1847" s="8"/>
      <c r="T1847" s="8"/>
      <c r="U1847" s="8" t="s">
        <v>379</v>
      </c>
      <c r="V1847" s="8"/>
      <c r="W1847" s="8" t="s">
        <v>380</v>
      </c>
      <c r="X1847" s="8"/>
      <c r="Y1847" s="8"/>
    </row>
    <row r="1848" spans="1:25" s="7" customFormat="1" hidden="1" x14ac:dyDescent="0.25">
      <c r="A1848" s="273" t="s">
        <v>317</v>
      </c>
      <c r="B1848" s="251">
        <v>45863</v>
      </c>
      <c r="C1848" s="252" t="s">
        <v>828</v>
      </c>
      <c r="D1848" s="252"/>
      <c r="E1848" s="253">
        <v>121</v>
      </c>
      <c r="F1848" s="253">
        <v>0</v>
      </c>
      <c r="G1848" s="274">
        <f>Tabla3[[#This Row],[INGRESOS]]-Tabla3[[#This Row],[EGRESOS]]</f>
        <v>-121</v>
      </c>
      <c r="H1848" s="274">
        <v>315433.28000000003</v>
      </c>
      <c r="I1848" s="135">
        <v>1170</v>
      </c>
      <c r="J1848" s="136">
        <f>Tabla3[[#This Row],[EGRESOS]]/Tabla3[[#This Row],[TC]]</f>
        <v>0.10341880341880341</v>
      </c>
      <c r="K1848" s="136">
        <f>Tabla3[[#This Row],[INGRESOS]]/Tabla3[[#This Row],[TC]]</f>
        <v>0</v>
      </c>
      <c r="L1848" s="8" t="s">
        <v>376</v>
      </c>
      <c r="M1848" s="8" t="s">
        <v>377</v>
      </c>
      <c r="N1848" s="8" t="s">
        <v>20</v>
      </c>
      <c r="O1848" s="8" t="s">
        <v>184</v>
      </c>
      <c r="P1848" s="8" t="s">
        <v>185</v>
      </c>
      <c r="Q1848" s="8" t="s">
        <v>186</v>
      </c>
      <c r="R1848" s="8" t="s">
        <v>227</v>
      </c>
      <c r="S1848" s="8"/>
      <c r="T1848" s="8"/>
      <c r="U1848" s="8" t="s">
        <v>384</v>
      </c>
      <c r="V1848" s="8"/>
      <c r="W1848" s="8" t="s">
        <v>380</v>
      </c>
      <c r="X1848" s="8" t="s">
        <v>99</v>
      </c>
      <c r="Y1848" s="8" t="s">
        <v>23</v>
      </c>
    </row>
    <row r="1849" spans="1:25" s="7" customFormat="1" hidden="1" x14ac:dyDescent="0.25">
      <c r="A1849" s="273" t="s">
        <v>317</v>
      </c>
      <c r="B1849" s="251">
        <v>45863</v>
      </c>
      <c r="C1849" s="252" t="s">
        <v>773</v>
      </c>
      <c r="D1849" s="252"/>
      <c r="E1849" s="253">
        <v>4653.26</v>
      </c>
      <c r="F1849" s="253">
        <v>0</v>
      </c>
      <c r="G1849" s="274">
        <f>Tabla3[[#This Row],[INGRESOS]]-Tabla3[[#This Row],[EGRESOS]]</f>
        <v>-4653.26</v>
      </c>
      <c r="H1849" s="274">
        <v>310780.02</v>
      </c>
      <c r="I1849" s="135">
        <v>1170</v>
      </c>
      <c r="J1849" s="136">
        <f>Tabla3[[#This Row],[EGRESOS]]/Tabla3[[#This Row],[TC]]</f>
        <v>3.9771452991452994</v>
      </c>
      <c r="K1849" s="136">
        <f>Tabla3[[#This Row],[INGRESOS]]/Tabla3[[#This Row],[TC]]</f>
        <v>0</v>
      </c>
      <c r="L1849" s="8" t="s">
        <v>376</v>
      </c>
      <c r="M1849" s="8" t="s">
        <v>377</v>
      </c>
      <c r="N1849" s="8" t="s">
        <v>20</v>
      </c>
      <c r="O1849" s="8" t="s">
        <v>184</v>
      </c>
      <c r="P1849" s="8" t="s">
        <v>195</v>
      </c>
      <c r="Q1849" s="8" t="s">
        <v>196</v>
      </c>
      <c r="R1849" s="8" t="s">
        <v>394</v>
      </c>
      <c r="S1849" s="8" t="s">
        <v>383</v>
      </c>
      <c r="T1849" s="8"/>
      <c r="U1849" s="8" t="s">
        <v>384</v>
      </c>
      <c r="V1849" s="8"/>
      <c r="W1849" s="8" t="s">
        <v>380</v>
      </c>
      <c r="X1849" s="8" t="s">
        <v>99</v>
      </c>
      <c r="Y1849" s="8" t="s">
        <v>23</v>
      </c>
    </row>
    <row r="1850" spans="1:25" s="7" customFormat="1" hidden="1" x14ac:dyDescent="0.25">
      <c r="A1850" s="273" t="s">
        <v>317</v>
      </c>
      <c r="B1850" s="251">
        <v>45866</v>
      </c>
      <c r="C1850" s="252" t="s">
        <v>817</v>
      </c>
      <c r="D1850" s="252" t="s">
        <v>1093</v>
      </c>
      <c r="E1850" s="253">
        <v>500000</v>
      </c>
      <c r="F1850" s="253">
        <v>0</v>
      </c>
      <c r="G1850" s="274">
        <f>Tabla3[[#This Row],[INGRESOS]]-Tabla3[[#This Row],[EGRESOS]]</f>
        <v>-500000</v>
      </c>
      <c r="H1850" s="274">
        <v>-189219.98</v>
      </c>
      <c r="I1850" s="135">
        <v>1170</v>
      </c>
      <c r="J1850" s="136">
        <f>Tabla3[[#This Row],[EGRESOS]]/Tabla3[[#This Row],[TC]]</f>
        <v>427.35042735042737</v>
      </c>
      <c r="K1850" s="136">
        <f>Tabla3[[#This Row],[INGRESOS]]/Tabla3[[#This Row],[TC]]</f>
        <v>0</v>
      </c>
      <c r="L1850" s="8" t="s">
        <v>376</v>
      </c>
      <c r="M1850" s="8" t="s">
        <v>377</v>
      </c>
      <c r="N1850" s="8" t="s">
        <v>20</v>
      </c>
      <c r="O1850" s="8" t="s">
        <v>286</v>
      </c>
      <c r="P1850" s="8" t="s">
        <v>287</v>
      </c>
      <c r="Q1850" s="8" t="s">
        <v>291</v>
      </c>
      <c r="R1850" s="8" t="s">
        <v>143</v>
      </c>
      <c r="S1850" s="8" t="s">
        <v>676</v>
      </c>
      <c r="T1850" s="8"/>
      <c r="U1850" s="8" t="s">
        <v>412</v>
      </c>
      <c r="V1850" s="8"/>
      <c r="W1850" s="8" t="s">
        <v>380</v>
      </c>
      <c r="X1850" s="8" t="s">
        <v>29</v>
      </c>
      <c r="Y1850" s="8" t="s">
        <v>23</v>
      </c>
    </row>
    <row r="1851" spans="1:25" s="7" customFormat="1" hidden="1" x14ac:dyDescent="0.25">
      <c r="A1851" s="273" t="s">
        <v>317</v>
      </c>
      <c r="B1851" s="251">
        <v>45866</v>
      </c>
      <c r="C1851" s="252" t="s">
        <v>1094</v>
      </c>
      <c r="D1851" s="252"/>
      <c r="E1851" s="253">
        <v>0</v>
      </c>
      <c r="F1851" s="253">
        <v>200000</v>
      </c>
      <c r="G1851" s="274">
        <f>Tabla3[[#This Row],[INGRESOS]]-Tabla3[[#This Row],[EGRESOS]]</f>
        <v>200000</v>
      </c>
      <c r="H1851" s="274">
        <v>10780.02</v>
      </c>
      <c r="I1851" s="135">
        <v>1170</v>
      </c>
      <c r="J1851" s="136">
        <f>Tabla3[[#This Row],[EGRESOS]]/Tabla3[[#This Row],[TC]]</f>
        <v>0</v>
      </c>
      <c r="K1851" s="136">
        <f>Tabla3[[#This Row],[INGRESOS]]/Tabla3[[#This Row],[TC]]</f>
        <v>170.94017094017093</v>
      </c>
      <c r="L1851" s="8" t="s">
        <v>376</v>
      </c>
      <c r="M1851" s="8" t="s">
        <v>377</v>
      </c>
      <c r="N1851" s="8" t="s">
        <v>20</v>
      </c>
      <c r="O1851" s="8" t="s">
        <v>244</v>
      </c>
      <c r="P1851" s="8" t="s">
        <v>61</v>
      </c>
      <c r="Q1851" s="8" t="s">
        <v>275</v>
      </c>
      <c r="R1851" s="8" t="s">
        <v>993</v>
      </c>
      <c r="S1851" s="8" t="s">
        <v>994</v>
      </c>
      <c r="T1851" s="8"/>
      <c r="U1851" s="8" t="s">
        <v>995</v>
      </c>
      <c r="V1851" s="8"/>
      <c r="W1851" s="8" t="s">
        <v>380</v>
      </c>
      <c r="X1851" s="8" t="s">
        <v>23</v>
      </c>
      <c r="Y1851" s="8" t="s">
        <v>61</v>
      </c>
    </row>
    <row r="1852" spans="1:25" s="7" customFormat="1" hidden="1" x14ac:dyDescent="0.25">
      <c r="A1852" s="273" t="s">
        <v>317</v>
      </c>
      <c r="B1852" s="251">
        <v>45866</v>
      </c>
      <c r="C1852" s="252" t="s">
        <v>1095</v>
      </c>
      <c r="D1852" s="252"/>
      <c r="E1852" s="253">
        <v>0</v>
      </c>
      <c r="F1852" s="253">
        <v>54808000</v>
      </c>
      <c r="G1852" s="274">
        <f>Tabla3[[#This Row],[INGRESOS]]-Tabla3[[#This Row],[EGRESOS]]</f>
        <v>54808000</v>
      </c>
      <c r="H1852" s="274">
        <v>54818780.020000003</v>
      </c>
      <c r="I1852" s="135">
        <v>1170</v>
      </c>
      <c r="J1852" s="136">
        <f>Tabla3[[#This Row],[EGRESOS]]/Tabla3[[#This Row],[TC]]</f>
        <v>0</v>
      </c>
      <c r="K1852" s="136">
        <f>Tabla3[[#This Row],[INGRESOS]]/Tabla3[[#This Row],[TC]]</f>
        <v>46844.444444444445</v>
      </c>
      <c r="L1852" s="8" t="s">
        <v>376</v>
      </c>
      <c r="M1852" s="8" t="s">
        <v>377</v>
      </c>
      <c r="N1852" s="8" t="s">
        <v>20</v>
      </c>
      <c r="O1852" s="8" t="s">
        <v>215</v>
      </c>
      <c r="P1852" s="8" t="s">
        <v>216</v>
      </c>
      <c r="Q1852" s="8" t="s">
        <v>220</v>
      </c>
      <c r="R1852" s="8" t="s">
        <v>929</v>
      </c>
      <c r="S1852" s="8" t="s">
        <v>706</v>
      </c>
      <c r="T1852" s="8"/>
      <c r="U1852" s="8" t="s">
        <v>516</v>
      </c>
      <c r="V1852" s="8"/>
      <c r="W1852" s="8" t="s">
        <v>380</v>
      </c>
      <c r="X1852" s="8" t="s">
        <v>23</v>
      </c>
      <c r="Y1852" s="8" t="s">
        <v>97</v>
      </c>
    </row>
    <row r="1853" spans="1:25" s="7" customFormat="1" hidden="1" x14ac:dyDescent="0.25">
      <c r="A1853" s="273" t="s">
        <v>317</v>
      </c>
      <c r="B1853" s="251">
        <v>45866</v>
      </c>
      <c r="C1853" s="252" t="s">
        <v>762</v>
      </c>
      <c r="D1853" s="252"/>
      <c r="E1853" s="253">
        <v>3213</v>
      </c>
      <c r="F1853" s="253">
        <v>0</v>
      </c>
      <c r="G1853" s="274">
        <f>Tabla3[[#This Row],[INGRESOS]]-Tabla3[[#This Row],[EGRESOS]]</f>
        <v>-3213</v>
      </c>
      <c r="H1853" s="274">
        <v>54815567.020000003</v>
      </c>
      <c r="I1853" s="135">
        <v>1170</v>
      </c>
      <c r="J1853" s="136">
        <f>Tabla3[[#This Row],[EGRESOS]]/Tabla3[[#This Row],[TC]]</f>
        <v>2.7461538461538462</v>
      </c>
      <c r="K1853" s="136">
        <f>Tabla3[[#This Row],[INGRESOS]]/Tabla3[[#This Row],[TC]]</f>
        <v>0</v>
      </c>
      <c r="L1853" s="8" t="s">
        <v>376</v>
      </c>
      <c r="M1853" s="8" t="s">
        <v>377</v>
      </c>
      <c r="N1853" s="8" t="s">
        <v>20</v>
      </c>
      <c r="O1853" s="8" t="s">
        <v>184</v>
      </c>
      <c r="P1853" s="8" t="s">
        <v>195</v>
      </c>
      <c r="Q1853" s="8" t="s">
        <v>196</v>
      </c>
      <c r="R1853" s="8" t="s">
        <v>382</v>
      </c>
      <c r="S1853" s="8" t="s">
        <v>383</v>
      </c>
      <c r="T1853" s="8"/>
      <c r="U1853" s="8" t="s">
        <v>384</v>
      </c>
      <c r="V1853" s="8"/>
      <c r="W1853" s="8" t="s">
        <v>380</v>
      </c>
      <c r="X1853" s="8" t="s">
        <v>99</v>
      </c>
      <c r="Y1853" s="8" t="s">
        <v>23</v>
      </c>
    </row>
    <row r="1854" spans="1:25" s="7" customFormat="1" hidden="1" x14ac:dyDescent="0.25">
      <c r="A1854" s="273" t="s">
        <v>317</v>
      </c>
      <c r="B1854" s="251">
        <v>45866</v>
      </c>
      <c r="C1854" s="252" t="s">
        <v>763</v>
      </c>
      <c r="D1854" s="252"/>
      <c r="E1854" s="253">
        <v>459</v>
      </c>
      <c r="F1854" s="253">
        <v>0</v>
      </c>
      <c r="G1854" s="274">
        <f>Tabla3[[#This Row],[INGRESOS]]-Tabla3[[#This Row],[EGRESOS]]</f>
        <v>-459</v>
      </c>
      <c r="H1854" s="274">
        <v>54815108.020000003</v>
      </c>
      <c r="I1854" s="135">
        <v>1170</v>
      </c>
      <c r="J1854" s="136">
        <f>Tabla3[[#This Row],[EGRESOS]]/Tabla3[[#This Row],[TC]]</f>
        <v>0.3923076923076923</v>
      </c>
      <c r="K1854" s="136">
        <f>Tabla3[[#This Row],[INGRESOS]]/Tabla3[[#This Row],[TC]]</f>
        <v>0</v>
      </c>
      <c r="L1854" s="8" t="s">
        <v>376</v>
      </c>
      <c r="M1854" s="8" t="s">
        <v>377</v>
      </c>
      <c r="N1854" s="8" t="s">
        <v>20</v>
      </c>
      <c r="O1854" s="8" t="s">
        <v>184</v>
      </c>
      <c r="P1854" s="8" t="s">
        <v>195</v>
      </c>
      <c r="Q1854" s="8" t="s">
        <v>196</v>
      </c>
      <c r="R1854" s="8" t="s">
        <v>417</v>
      </c>
      <c r="S1854" s="8" t="s">
        <v>383</v>
      </c>
      <c r="T1854" s="8"/>
      <c r="U1854" s="8" t="s">
        <v>384</v>
      </c>
      <c r="V1854" s="8"/>
      <c r="W1854" s="8" t="s">
        <v>380</v>
      </c>
      <c r="X1854" s="8" t="s">
        <v>99</v>
      </c>
      <c r="Y1854" s="8" t="s">
        <v>23</v>
      </c>
    </row>
    <row r="1855" spans="1:25" s="7" customFormat="1" hidden="1" x14ac:dyDescent="0.25">
      <c r="A1855" s="273" t="s">
        <v>317</v>
      </c>
      <c r="B1855" s="251">
        <v>45866</v>
      </c>
      <c r="C1855" s="252" t="s">
        <v>837</v>
      </c>
      <c r="D1855" s="252"/>
      <c r="E1855" s="253">
        <v>15300</v>
      </c>
      <c r="F1855" s="253">
        <v>0</v>
      </c>
      <c r="G1855" s="274">
        <f>Tabla3[[#This Row],[INGRESOS]]-Tabla3[[#This Row],[EGRESOS]]</f>
        <v>-15300</v>
      </c>
      <c r="H1855" s="274">
        <v>54799808.020000003</v>
      </c>
      <c r="I1855" s="135">
        <v>1170</v>
      </c>
      <c r="J1855" s="136">
        <f>Tabla3[[#This Row],[EGRESOS]]/Tabla3[[#This Row],[TC]]</f>
        <v>13.076923076923077</v>
      </c>
      <c r="K1855" s="136">
        <f>Tabla3[[#This Row],[INGRESOS]]/Tabla3[[#This Row],[TC]]</f>
        <v>0</v>
      </c>
      <c r="L1855" s="8" t="s">
        <v>376</v>
      </c>
      <c r="M1855" s="8" t="s">
        <v>377</v>
      </c>
      <c r="N1855" s="8" t="s">
        <v>20</v>
      </c>
      <c r="O1855" s="8" t="s">
        <v>184</v>
      </c>
      <c r="P1855" s="8" t="s">
        <v>185</v>
      </c>
      <c r="Q1855" s="8" t="s">
        <v>186</v>
      </c>
      <c r="R1855" s="8" t="s">
        <v>227</v>
      </c>
      <c r="S1855" s="8"/>
      <c r="T1855" s="8"/>
      <c r="U1855" s="8" t="s">
        <v>384</v>
      </c>
      <c r="V1855" s="8"/>
      <c r="W1855" s="8" t="s">
        <v>380</v>
      </c>
      <c r="X1855" s="8" t="s">
        <v>99</v>
      </c>
      <c r="Y1855" s="8" t="s">
        <v>23</v>
      </c>
    </row>
    <row r="1856" spans="1:25" s="7" customFormat="1" hidden="1" x14ac:dyDescent="0.25">
      <c r="A1856" s="273" t="s">
        <v>317</v>
      </c>
      <c r="B1856" s="251">
        <v>45866</v>
      </c>
      <c r="C1856" s="252" t="s">
        <v>760</v>
      </c>
      <c r="D1856" s="252"/>
      <c r="E1856" s="253">
        <v>328848</v>
      </c>
      <c r="F1856" s="253">
        <v>0</v>
      </c>
      <c r="G1856" s="274">
        <f>Tabla3[[#This Row],[INGRESOS]]-Tabla3[[#This Row],[EGRESOS]]</f>
        <v>-328848</v>
      </c>
      <c r="H1856" s="274">
        <v>54470960.020000003</v>
      </c>
      <c r="I1856" s="135">
        <v>1170</v>
      </c>
      <c r="J1856" s="136">
        <f>Tabla3[[#This Row],[EGRESOS]]/Tabla3[[#This Row],[TC]]</f>
        <v>281.06666666666666</v>
      </c>
      <c r="K1856" s="136">
        <f>Tabla3[[#This Row],[INGRESOS]]/Tabla3[[#This Row],[TC]]</f>
        <v>0</v>
      </c>
      <c r="L1856" s="8" t="s">
        <v>376</v>
      </c>
      <c r="M1856" s="8" t="s">
        <v>377</v>
      </c>
      <c r="N1856" s="8" t="s">
        <v>20</v>
      </c>
      <c r="O1856" s="8" t="s">
        <v>184</v>
      </c>
      <c r="P1856" s="8" t="s">
        <v>195</v>
      </c>
      <c r="Q1856" s="8" t="s">
        <v>196</v>
      </c>
      <c r="R1856" s="8" t="s">
        <v>394</v>
      </c>
      <c r="S1856" s="8" t="s">
        <v>383</v>
      </c>
      <c r="T1856" s="8"/>
      <c r="U1856" s="8" t="s">
        <v>384</v>
      </c>
      <c r="V1856" s="8"/>
      <c r="W1856" s="8" t="s">
        <v>380</v>
      </c>
      <c r="X1856" s="8" t="s">
        <v>99</v>
      </c>
      <c r="Y1856" s="8" t="s">
        <v>23</v>
      </c>
    </row>
    <row r="1857" spans="1:25" s="7" customFormat="1" hidden="1" x14ac:dyDescent="0.25">
      <c r="A1857" s="273" t="s">
        <v>317</v>
      </c>
      <c r="B1857" s="251">
        <v>45866</v>
      </c>
      <c r="C1857" s="252" t="s">
        <v>773</v>
      </c>
      <c r="D1857" s="252"/>
      <c r="E1857" s="253">
        <v>3113.83</v>
      </c>
      <c r="F1857" s="253">
        <v>0</v>
      </c>
      <c r="G1857" s="274">
        <f>Tabla3[[#This Row],[INGRESOS]]-Tabla3[[#This Row],[EGRESOS]]</f>
        <v>-3113.83</v>
      </c>
      <c r="H1857" s="274">
        <v>54467846.189999998</v>
      </c>
      <c r="I1857" s="135">
        <v>1170</v>
      </c>
      <c r="J1857" s="136">
        <f>Tabla3[[#This Row],[EGRESOS]]/Tabla3[[#This Row],[TC]]</f>
        <v>2.6613931623931624</v>
      </c>
      <c r="K1857" s="136">
        <f>Tabla3[[#This Row],[INGRESOS]]/Tabla3[[#This Row],[TC]]</f>
        <v>0</v>
      </c>
      <c r="L1857" s="8" t="s">
        <v>376</v>
      </c>
      <c r="M1857" s="8" t="s">
        <v>377</v>
      </c>
      <c r="N1857" s="8" t="s">
        <v>20</v>
      </c>
      <c r="O1857" s="8" t="s">
        <v>184</v>
      </c>
      <c r="P1857" s="8" t="s">
        <v>195</v>
      </c>
      <c r="Q1857" s="8" t="s">
        <v>196</v>
      </c>
      <c r="R1857" s="8" t="s">
        <v>394</v>
      </c>
      <c r="S1857" s="8" t="s">
        <v>383</v>
      </c>
      <c r="T1857" s="8"/>
      <c r="U1857" s="8" t="s">
        <v>384</v>
      </c>
      <c r="V1857" s="8"/>
      <c r="W1857" s="8" t="s">
        <v>380</v>
      </c>
      <c r="X1857" s="8" t="s">
        <v>99</v>
      </c>
      <c r="Y1857" s="8" t="s">
        <v>23</v>
      </c>
    </row>
    <row r="1858" spans="1:25" s="7" customFormat="1" hidden="1" x14ac:dyDescent="0.25">
      <c r="A1858" s="273" t="s">
        <v>317</v>
      </c>
      <c r="B1858" s="251">
        <v>45867</v>
      </c>
      <c r="C1858" s="252" t="s">
        <v>782</v>
      </c>
      <c r="D1858" s="252" t="s">
        <v>1096</v>
      </c>
      <c r="E1858" s="253">
        <v>15000000</v>
      </c>
      <c r="F1858" s="253">
        <v>0</v>
      </c>
      <c r="G1858" s="274">
        <f>Tabla3[[#This Row],[INGRESOS]]-Tabla3[[#This Row],[EGRESOS]]</f>
        <v>-15000000</v>
      </c>
      <c r="H1858" s="274">
        <v>39467846.189999998</v>
      </c>
      <c r="I1858" s="135">
        <v>1170</v>
      </c>
      <c r="J1858" s="136">
        <f>Tabla3[[#This Row],[EGRESOS]]/Tabla3[[#This Row],[TC]]</f>
        <v>12820.51282051282</v>
      </c>
      <c r="K1858" s="136">
        <f>Tabla3[[#This Row],[INGRESOS]]/Tabla3[[#This Row],[TC]]</f>
        <v>0</v>
      </c>
      <c r="L1858" s="8" t="s">
        <v>376</v>
      </c>
      <c r="M1858" s="8" t="s">
        <v>377</v>
      </c>
      <c r="N1858" s="8" t="s">
        <v>20</v>
      </c>
      <c r="O1858" s="8" t="s">
        <v>215</v>
      </c>
      <c r="P1858" s="8" t="s">
        <v>216</v>
      </c>
      <c r="Q1858" s="8" t="s">
        <v>220</v>
      </c>
      <c r="R1858" s="8" t="s">
        <v>722</v>
      </c>
      <c r="S1858" s="8" t="s">
        <v>58</v>
      </c>
      <c r="T1858" s="8"/>
      <c r="U1858" s="8" t="s">
        <v>398</v>
      </c>
      <c r="V1858" s="8"/>
      <c r="W1858" s="7" t="s">
        <v>399</v>
      </c>
      <c r="X1858" s="8" t="s">
        <v>722</v>
      </c>
      <c r="Y1858" s="8" t="s">
        <v>23</v>
      </c>
    </row>
    <row r="1859" spans="1:25" s="7" customFormat="1" hidden="1" x14ac:dyDescent="0.25">
      <c r="A1859" s="273" t="s">
        <v>317</v>
      </c>
      <c r="B1859" s="251">
        <v>45867</v>
      </c>
      <c r="C1859" s="252" t="s">
        <v>782</v>
      </c>
      <c r="D1859" s="252" t="s">
        <v>1097</v>
      </c>
      <c r="E1859" s="253">
        <v>1115931.19</v>
      </c>
      <c r="F1859" s="253">
        <v>0</v>
      </c>
      <c r="G1859" s="274">
        <f>Tabla3[[#This Row],[INGRESOS]]-Tabla3[[#This Row],[EGRESOS]]</f>
        <v>-1115931.19</v>
      </c>
      <c r="H1859" s="274">
        <v>38351915</v>
      </c>
      <c r="I1859" s="135">
        <v>1170</v>
      </c>
      <c r="J1859" s="136">
        <f>Tabla3[[#This Row],[EGRESOS]]/Tabla3[[#This Row],[TC]]</f>
        <v>953.78734188034184</v>
      </c>
      <c r="K1859" s="136">
        <f>Tabla3[[#This Row],[INGRESOS]]/Tabla3[[#This Row],[TC]]</f>
        <v>0</v>
      </c>
      <c r="L1859" s="8" t="s">
        <v>376</v>
      </c>
      <c r="M1859" s="8" t="s">
        <v>377</v>
      </c>
      <c r="N1859" s="8" t="s">
        <v>20</v>
      </c>
      <c r="O1859" s="8" t="s">
        <v>225</v>
      </c>
      <c r="P1859" s="8" t="s">
        <v>236</v>
      </c>
      <c r="Q1859" s="8" t="s">
        <v>239</v>
      </c>
      <c r="R1859" s="8"/>
      <c r="S1859" s="8" t="s">
        <v>597</v>
      </c>
      <c r="T1859" s="8"/>
      <c r="U1859" s="8" t="s">
        <v>412</v>
      </c>
      <c r="V1859" s="8"/>
      <c r="W1859" s="8" t="s">
        <v>380</v>
      </c>
      <c r="X1859" s="8" t="s">
        <v>29</v>
      </c>
      <c r="Y1859" s="8" t="s">
        <v>23</v>
      </c>
    </row>
    <row r="1860" spans="1:25" s="7" customFormat="1" hidden="1" x14ac:dyDescent="0.25">
      <c r="A1860" s="273" t="s">
        <v>317</v>
      </c>
      <c r="B1860" s="251">
        <v>45867</v>
      </c>
      <c r="C1860" s="252" t="s">
        <v>782</v>
      </c>
      <c r="D1860" s="252" t="s">
        <v>1098</v>
      </c>
      <c r="E1860" s="253">
        <v>1607364</v>
      </c>
      <c r="F1860" s="253">
        <v>0</v>
      </c>
      <c r="G1860" s="274">
        <f>Tabla3[[#This Row],[INGRESOS]]-Tabla3[[#This Row],[EGRESOS]]</f>
        <v>-1607364</v>
      </c>
      <c r="H1860" s="274">
        <v>36744551</v>
      </c>
      <c r="I1860" s="135">
        <v>1170</v>
      </c>
      <c r="J1860" s="136">
        <f>Tabla3[[#This Row],[EGRESOS]]/Tabla3[[#This Row],[TC]]</f>
        <v>1373.8153846153846</v>
      </c>
      <c r="K1860" s="136">
        <f>Tabla3[[#This Row],[INGRESOS]]/Tabla3[[#This Row],[TC]]</f>
        <v>0</v>
      </c>
      <c r="L1860" s="8" t="s">
        <v>376</v>
      </c>
      <c r="M1860" s="8" t="s">
        <v>377</v>
      </c>
      <c r="N1860" s="8" t="s">
        <v>20</v>
      </c>
      <c r="O1860" s="8" t="s">
        <v>215</v>
      </c>
      <c r="P1860" s="8" t="s">
        <v>216</v>
      </c>
      <c r="Q1860" s="8" t="s">
        <v>220</v>
      </c>
      <c r="R1860" s="8" t="s">
        <v>291</v>
      </c>
      <c r="S1860" s="8" t="s">
        <v>1099</v>
      </c>
      <c r="T1860" s="8" t="s">
        <v>1100</v>
      </c>
      <c r="U1860" s="8" t="s">
        <v>412</v>
      </c>
      <c r="V1860" s="8"/>
      <c r="W1860" s="8" t="s">
        <v>380</v>
      </c>
      <c r="X1860" s="8" t="s">
        <v>29</v>
      </c>
      <c r="Y1860" s="8" t="s">
        <v>23</v>
      </c>
    </row>
    <row r="1861" spans="1:25" s="7" customFormat="1" hidden="1" x14ac:dyDescent="0.25">
      <c r="A1861" s="273" t="s">
        <v>317</v>
      </c>
      <c r="B1861" s="251">
        <v>45867</v>
      </c>
      <c r="C1861" s="252" t="s">
        <v>817</v>
      </c>
      <c r="D1861" s="252" t="s">
        <v>1101</v>
      </c>
      <c r="E1861" s="253">
        <v>498034.54</v>
      </c>
      <c r="F1861" s="253">
        <v>0</v>
      </c>
      <c r="G1861" s="274">
        <f>Tabla3[[#This Row],[INGRESOS]]-Tabla3[[#This Row],[EGRESOS]]</f>
        <v>-498034.54</v>
      </c>
      <c r="H1861" s="274">
        <v>36246516.460000001</v>
      </c>
      <c r="I1861" s="135">
        <v>1170</v>
      </c>
      <c r="J1861" s="136">
        <f>Tabla3[[#This Row],[EGRESOS]]/Tabla3[[#This Row],[TC]]</f>
        <v>425.67054700854698</v>
      </c>
      <c r="K1861" s="136">
        <f>Tabla3[[#This Row],[INGRESOS]]/Tabla3[[#This Row],[TC]]</f>
        <v>0</v>
      </c>
      <c r="L1861" s="8" t="s">
        <v>376</v>
      </c>
      <c r="M1861" s="8" t="s">
        <v>377</v>
      </c>
      <c r="N1861" s="8" t="s">
        <v>20</v>
      </c>
      <c r="O1861" s="8" t="s">
        <v>286</v>
      </c>
      <c r="P1861" s="8" t="s">
        <v>287</v>
      </c>
      <c r="Q1861" s="8" t="s">
        <v>292</v>
      </c>
      <c r="R1861" s="8" t="s">
        <v>293</v>
      </c>
      <c r="S1861" s="8" t="s">
        <v>740</v>
      </c>
      <c r="T1861" s="8"/>
      <c r="U1861" s="8" t="s">
        <v>412</v>
      </c>
      <c r="V1861" s="8"/>
      <c r="W1861" s="8" t="s">
        <v>380</v>
      </c>
      <c r="X1861" s="8" t="s">
        <v>29</v>
      </c>
      <c r="Y1861" s="8" t="s">
        <v>23</v>
      </c>
    </row>
    <row r="1862" spans="1:25" s="7" customFormat="1" hidden="1" x14ac:dyDescent="0.25">
      <c r="A1862" s="273" t="s">
        <v>317</v>
      </c>
      <c r="B1862" s="251">
        <v>45867</v>
      </c>
      <c r="C1862" s="252" t="s">
        <v>1102</v>
      </c>
      <c r="D1862" s="252"/>
      <c r="E1862" s="253">
        <v>0</v>
      </c>
      <c r="F1862" s="253">
        <v>9043719.0899999999</v>
      </c>
      <c r="G1862" s="274">
        <f>Tabla3[[#This Row],[INGRESOS]]-Tabla3[[#This Row],[EGRESOS]]</f>
        <v>9043719.0899999999</v>
      </c>
      <c r="H1862" s="274">
        <v>45290235.549999997</v>
      </c>
      <c r="I1862" s="135">
        <v>1170</v>
      </c>
      <c r="J1862" s="136">
        <f>Tabla3[[#This Row],[EGRESOS]]/Tabla3[[#This Row],[TC]]</f>
        <v>0</v>
      </c>
      <c r="K1862" s="136">
        <f>Tabla3[[#This Row],[INGRESOS]]/Tabla3[[#This Row],[TC]]</f>
        <v>7729.6744358974356</v>
      </c>
      <c r="L1862" s="8" t="s">
        <v>376</v>
      </c>
      <c r="M1862" s="8" t="s">
        <v>377</v>
      </c>
      <c r="N1862" s="8" t="s">
        <v>20</v>
      </c>
      <c r="O1862" s="8" t="s">
        <v>244</v>
      </c>
      <c r="P1862" s="8" t="s">
        <v>61</v>
      </c>
      <c r="Q1862" s="8" t="s">
        <v>275</v>
      </c>
      <c r="R1862" s="8" t="s">
        <v>993</v>
      </c>
      <c r="S1862" s="8" t="s">
        <v>994</v>
      </c>
      <c r="T1862" s="8"/>
      <c r="U1862" s="8" t="s">
        <v>995</v>
      </c>
      <c r="V1862" s="8"/>
      <c r="W1862" s="8" t="s">
        <v>380</v>
      </c>
      <c r="X1862" s="8" t="s">
        <v>23</v>
      </c>
      <c r="Y1862" s="8" t="s">
        <v>61</v>
      </c>
    </row>
    <row r="1863" spans="1:25" s="7" customFormat="1" hidden="1" x14ac:dyDescent="0.25">
      <c r="A1863" s="273" t="s">
        <v>317</v>
      </c>
      <c r="B1863" s="251">
        <v>45867</v>
      </c>
      <c r="C1863" s="252" t="s">
        <v>800</v>
      </c>
      <c r="D1863" s="252"/>
      <c r="E1863" s="253">
        <v>30022519.050000001</v>
      </c>
      <c r="F1863" s="253">
        <v>0</v>
      </c>
      <c r="G1863" s="274">
        <f>Tabla3[[#This Row],[INGRESOS]]-Tabla3[[#This Row],[EGRESOS]]</f>
        <v>-30022519.050000001</v>
      </c>
      <c r="H1863" s="274">
        <v>15267716.5</v>
      </c>
      <c r="I1863" s="135">
        <v>1170</v>
      </c>
      <c r="J1863" s="136">
        <f>Tabla3[[#This Row],[EGRESOS]]/Tabla3[[#This Row],[TC]]</f>
        <v>25660.272692307692</v>
      </c>
      <c r="K1863" s="136">
        <f>Tabla3[[#This Row],[INGRESOS]]/Tabla3[[#This Row],[TC]]</f>
        <v>0</v>
      </c>
      <c r="L1863" s="8" t="s">
        <v>376</v>
      </c>
      <c r="M1863" s="8" t="s">
        <v>377</v>
      </c>
      <c r="N1863" s="8" t="s">
        <v>20</v>
      </c>
      <c r="O1863" s="8" t="s">
        <v>286</v>
      </c>
      <c r="P1863" s="8" t="s">
        <v>294</v>
      </c>
      <c r="Q1863" s="8" t="s">
        <v>299</v>
      </c>
      <c r="S1863" s="8" t="s">
        <v>689</v>
      </c>
      <c r="T1863" s="8"/>
      <c r="U1863" s="8" t="s">
        <v>690</v>
      </c>
      <c r="V1863" s="8"/>
      <c r="W1863" s="8" t="s">
        <v>380</v>
      </c>
      <c r="X1863" s="8" t="s">
        <v>99</v>
      </c>
      <c r="Y1863" s="8" t="s">
        <v>23</v>
      </c>
    </row>
    <row r="1864" spans="1:25" s="7" customFormat="1" hidden="1" x14ac:dyDescent="0.25">
      <c r="A1864" s="273" t="s">
        <v>317</v>
      </c>
      <c r="B1864" s="251">
        <v>45867</v>
      </c>
      <c r="C1864" s="252" t="s">
        <v>828</v>
      </c>
      <c r="D1864" s="252"/>
      <c r="E1864" s="253">
        <v>121</v>
      </c>
      <c r="F1864" s="253">
        <v>0</v>
      </c>
      <c r="G1864" s="274">
        <f>Tabla3[[#This Row],[INGRESOS]]-Tabla3[[#This Row],[EGRESOS]]</f>
        <v>-121</v>
      </c>
      <c r="H1864" s="274">
        <v>15267595.5</v>
      </c>
      <c r="I1864" s="135">
        <v>1170</v>
      </c>
      <c r="J1864" s="136">
        <f>Tabla3[[#This Row],[EGRESOS]]/Tabla3[[#This Row],[TC]]</f>
        <v>0.10341880341880341</v>
      </c>
      <c r="K1864" s="136">
        <f>Tabla3[[#This Row],[INGRESOS]]/Tabla3[[#This Row],[TC]]</f>
        <v>0</v>
      </c>
      <c r="L1864" s="8" t="s">
        <v>376</v>
      </c>
      <c r="M1864" s="8" t="s">
        <v>377</v>
      </c>
      <c r="N1864" s="8" t="s">
        <v>20</v>
      </c>
      <c r="O1864" s="8" t="s">
        <v>184</v>
      </c>
      <c r="P1864" s="8" t="s">
        <v>185</v>
      </c>
      <c r="Q1864" s="8" t="s">
        <v>186</v>
      </c>
      <c r="R1864" s="8" t="s">
        <v>227</v>
      </c>
      <c r="S1864" s="8"/>
      <c r="T1864" s="8"/>
      <c r="U1864" s="8" t="s">
        <v>384</v>
      </c>
      <c r="V1864" s="8"/>
      <c r="W1864" s="8" t="s">
        <v>380</v>
      </c>
      <c r="X1864" s="8" t="s">
        <v>99</v>
      </c>
      <c r="Y1864" s="8" t="s">
        <v>23</v>
      </c>
    </row>
    <row r="1865" spans="1:25" s="7" customFormat="1" hidden="1" x14ac:dyDescent="0.25">
      <c r="A1865" s="273" t="s">
        <v>317</v>
      </c>
      <c r="B1865" s="251">
        <v>45867</v>
      </c>
      <c r="C1865" s="252" t="s">
        <v>810</v>
      </c>
      <c r="D1865" s="252"/>
      <c r="E1865" s="253">
        <v>0</v>
      </c>
      <c r="F1865" s="253">
        <v>4000000</v>
      </c>
      <c r="G1865" s="274">
        <f>Tabla3[[#This Row],[INGRESOS]]-Tabla3[[#This Row],[EGRESOS]]</f>
        <v>4000000</v>
      </c>
      <c r="H1865" s="274">
        <v>19267595.5</v>
      </c>
      <c r="I1865" s="135">
        <v>1170</v>
      </c>
      <c r="J1865" s="136">
        <f>Tabla3[[#This Row],[EGRESOS]]/Tabla3[[#This Row],[TC]]</f>
        <v>0</v>
      </c>
      <c r="K1865" s="136">
        <f>Tabla3[[#This Row],[INGRESOS]]/Tabla3[[#This Row],[TC]]</f>
        <v>3418.8034188034189</v>
      </c>
      <c r="L1865" s="8" t="s">
        <v>376</v>
      </c>
      <c r="M1865" s="8" t="s">
        <v>377</v>
      </c>
      <c r="N1865" s="8" t="s">
        <v>20</v>
      </c>
      <c r="O1865" s="8" t="s">
        <v>244</v>
      </c>
      <c r="P1865" s="8" t="s">
        <v>259</v>
      </c>
      <c r="Q1865" s="8" t="s">
        <v>260</v>
      </c>
      <c r="R1865" s="8" t="s">
        <v>466</v>
      </c>
      <c r="S1865" s="8"/>
      <c r="T1865" s="8"/>
      <c r="U1865" s="8" t="s">
        <v>379</v>
      </c>
      <c r="V1865" s="8"/>
      <c r="W1865" s="8" t="s">
        <v>380</v>
      </c>
      <c r="X1865" s="8"/>
      <c r="Y1865" s="8"/>
    </row>
    <row r="1866" spans="1:25" s="7" customFormat="1" hidden="1" x14ac:dyDescent="0.25">
      <c r="A1866" s="273" t="s">
        <v>317</v>
      </c>
      <c r="B1866" s="251">
        <v>45867</v>
      </c>
      <c r="C1866" s="252" t="s">
        <v>800</v>
      </c>
      <c r="D1866" s="252"/>
      <c r="E1866" s="253">
        <v>24319448.5</v>
      </c>
      <c r="F1866" s="253">
        <v>0</v>
      </c>
      <c r="G1866" s="274">
        <f>Tabla3[[#This Row],[INGRESOS]]-Tabla3[[#This Row],[EGRESOS]]</f>
        <v>-24319448.5</v>
      </c>
      <c r="H1866" s="274">
        <v>-5051853</v>
      </c>
      <c r="I1866" s="135">
        <v>1170</v>
      </c>
      <c r="J1866" s="136">
        <f>Tabla3[[#This Row],[EGRESOS]]/Tabla3[[#This Row],[TC]]</f>
        <v>20785.853418803417</v>
      </c>
      <c r="K1866" s="136">
        <f>Tabla3[[#This Row],[INGRESOS]]/Tabla3[[#This Row],[TC]]</f>
        <v>0</v>
      </c>
      <c r="L1866" s="8" t="s">
        <v>376</v>
      </c>
      <c r="M1866" s="8" t="s">
        <v>377</v>
      </c>
      <c r="N1866" s="8" t="s">
        <v>20</v>
      </c>
      <c r="O1866" s="8" t="s">
        <v>286</v>
      </c>
      <c r="P1866" s="8" t="s">
        <v>294</v>
      </c>
      <c r="Q1866" s="8" t="s">
        <v>298</v>
      </c>
      <c r="R1866" s="8"/>
      <c r="S1866" s="8" t="s">
        <v>689</v>
      </c>
      <c r="T1866" s="8"/>
      <c r="U1866" s="8" t="s">
        <v>690</v>
      </c>
      <c r="V1866" s="8"/>
      <c r="W1866" s="8" t="s">
        <v>380</v>
      </c>
      <c r="X1866" s="8" t="s">
        <v>99</v>
      </c>
      <c r="Y1866" s="8" t="s">
        <v>23</v>
      </c>
    </row>
    <row r="1867" spans="1:25" s="7" customFormat="1" hidden="1" x14ac:dyDescent="0.25">
      <c r="A1867" s="273" t="s">
        <v>317</v>
      </c>
      <c r="B1867" s="251">
        <v>45867</v>
      </c>
      <c r="C1867" s="252" t="s">
        <v>828</v>
      </c>
      <c r="D1867" s="252"/>
      <c r="E1867" s="253">
        <v>121</v>
      </c>
      <c r="F1867" s="253">
        <v>0</v>
      </c>
      <c r="G1867" s="274">
        <f>Tabla3[[#This Row],[INGRESOS]]-Tabla3[[#This Row],[EGRESOS]]</f>
        <v>-121</v>
      </c>
      <c r="H1867" s="274">
        <v>-5051974</v>
      </c>
      <c r="I1867" s="135">
        <v>1170</v>
      </c>
      <c r="J1867" s="136">
        <f>Tabla3[[#This Row],[EGRESOS]]/Tabla3[[#This Row],[TC]]</f>
        <v>0.10341880341880341</v>
      </c>
      <c r="K1867" s="136">
        <f>Tabla3[[#This Row],[INGRESOS]]/Tabla3[[#This Row],[TC]]</f>
        <v>0</v>
      </c>
      <c r="L1867" s="8" t="s">
        <v>376</v>
      </c>
      <c r="M1867" s="8" t="s">
        <v>377</v>
      </c>
      <c r="N1867" s="8" t="s">
        <v>20</v>
      </c>
      <c r="O1867" s="8" t="s">
        <v>184</v>
      </c>
      <c r="P1867" s="8" t="s">
        <v>185</v>
      </c>
      <c r="Q1867" s="8" t="s">
        <v>186</v>
      </c>
      <c r="R1867" s="8" t="s">
        <v>227</v>
      </c>
      <c r="S1867" s="8"/>
      <c r="T1867" s="8"/>
      <c r="U1867" s="8" t="s">
        <v>384</v>
      </c>
      <c r="V1867" s="8"/>
      <c r="W1867" s="8" t="s">
        <v>380</v>
      </c>
      <c r="X1867" s="8" t="s">
        <v>99</v>
      </c>
      <c r="Y1867" s="8" t="s">
        <v>23</v>
      </c>
    </row>
    <row r="1868" spans="1:25" s="7" customFormat="1" hidden="1" x14ac:dyDescent="0.25">
      <c r="A1868" s="273" t="s">
        <v>317</v>
      </c>
      <c r="B1868" s="251">
        <v>45867</v>
      </c>
      <c r="C1868" s="252" t="s">
        <v>800</v>
      </c>
      <c r="D1868" s="252"/>
      <c r="E1868" s="253">
        <v>280000</v>
      </c>
      <c r="F1868" s="253">
        <v>0</v>
      </c>
      <c r="G1868" s="274">
        <f>Tabla3[[#This Row],[INGRESOS]]-Tabla3[[#This Row],[EGRESOS]]</f>
        <v>-280000</v>
      </c>
      <c r="H1868" s="274">
        <v>-5331974</v>
      </c>
      <c r="I1868" s="135">
        <v>1170</v>
      </c>
      <c r="J1868" s="136">
        <f>Tabla3[[#This Row],[EGRESOS]]/Tabla3[[#This Row],[TC]]</f>
        <v>239.31623931623932</v>
      </c>
      <c r="K1868" s="136">
        <f>Tabla3[[#This Row],[INGRESOS]]/Tabla3[[#This Row],[TC]]</f>
        <v>0</v>
      </c>
      <c r="L1868" s="8" t="s">
        <v>376</v>
      </c>
      <c r="M1868" s="8" t="s">
        <v>377</v>
      </c>
      <c r="N1868" s="8" t="s">
        <v>20</v>
      </c>
      <c r="O1868" s="8" t="s">
        <v>184</v>
      </c>
      <c r="P1868" s="8" t="s">
        <v>203</v>
      </c>
      <c r="Q1868" s="8" t="s">
        <v>208</v>
      </c>
      <c r="R1868" s="8" t="s">
        <v>552</v>
      </c>
      <c r="S1868" s="8" t="s">
        <v>414</v>
      </c>
      <c r="T1868" s="8"/>
      <c r="U1868" s="8" t="s">
        <v>530</v>
      </c>
      <c r="V1868" s="8" t="s">
        <v>415</v>
      </c>
      <c r="W1868" s="8" t="s">
        <v>380</v>
      </c>
      <c r="X1868" s="8" t="s">
        <v>102</v>
      </c>
      <c r="Y1868" s="8" t="s">
        <v>23</v>
      </c>
    </row>
    <row r="1869" spans="1:25" s="7" customFormat="1" hidden="1" x14ac:dyDescent="0.25">
      <c r="A1869" s="273" t="s">
        <v>317</v>
      </c>
      <c r="B1869" s="251">
        <v>45867</v>
      </c>
      <c r="C1869" s="252" t="s">
        <v>828</v>
      </c>
      <c r="D1869" s="252"/>
      <c r="E1869" s="253">
        <v>18.149999999999999</v>
      </c>
      <c r="F1869" s="253">
        <v>0</v>
      </c>
      <c r="G1869" s="274">
        <f>Tabla3[[#This Row],[INGRESOS]]-Tabla3[[#This Row],[EGRESOS]]</f>
        <v>-18.149999999999999</v>
      </c>
      <c r="H1869" s="274">
        <v>-5331992.1500000004</v>
      </c>
      <c r="I1869" s="135">
        <v>1170</v>
      </c>
      <c r="J1869" s="136">
        <f>Tabla3[[#This Row],[EGRESOS]]/Tabla3[[#This Row],[TC]]</f>
        <v>1.5512820512820512E-2</v>
      </c>
      <c r="K1869" s="136">
        <f>Tabla3[[#This Row],[INGRESOS]]/Tabla3[[#This Row],[TC]]</f>
        <v>0</v>
      </c>
      <c r="L1869" s="8" t="s">
        <v>376</v>
      </c>
      <c r="M1869" s="8" t="s">
        <v>377</v>
      </c>
      <c r="N1869" s="8" t="s">
        <v>20</v>
      </c>
      <c r="O1869" s="8" t="s">
        <v>184</v>
      </c>
      <c r="P1869" s="8" t="s">
        <v>185</v>
      </c>
      <c r="Q1869" s="8" t="s">
        <v>186</v>
      </c>
      <c r="R1869" s="8" t="s">
        <v>227</v>
      </c>
      <c r="S1869" s="8"/>
      <c r="T1869" s="8"/>
      <c r="U1869" s="8" t="s">
        <v>384</v>
      </c>
      <c r="V1869" s="8"/>
      <c r="W1869" s="8" t="s">
        <v>380</v>
      </c>
      <c r="X1869" s="8" t="s">
        <v>99</v>
      </c>
      <c r="Y1869" s="8" t="s">
        <v>23</v>
      </c>
    </row>
    <row r="1870" spans="1:25" s="7" customFormat="1" hidden="1" x14ac:dyDescent="0.25">
      <c r="A1870" s="273" t="s">
        <v>317</v>
      </c>
      <c r="B1870" s="251">
        <v>45867</v>
      </c>
      <c r="C1870" s="252" t="s">
        <v>773</v>
      </c>
      <c r="D1870" s="252"/>
      <c r="E1870" s="253">
        <v>437061.35</v>
      </c>
      <c r="F1870" s="253">
        <v>0</v>
      </c>
      <c r="G1870" s="274">
        <f>Tabla3[[#This Row],[INGRESOS]]-Tabla3[[#This Row],[EGRESOS]]</f>
        <v>-437061.35</v>
      </c>
      <c r="H1870" s="274">
        <v>-5769053.5</v>
      </c>
      <c r="I1870" s="135">
        <v>1290</v>
      </c>
      <c r="J1870" s="136">
        <f>Tabla3[[#This Row],[EGRESOS]]/Tabla3[[#This Row],[TC]]</f>
        <v>338.8072480620155</v>
      </c>
      <c r="K1870" s="136">
        <f>Tabla3[[#This Row],[INGRESOS]]/Tabla3[[#This Row],[TC]]</f>
        <v>0</v>
      </c>
      <c r="L1870" s="8" t="s">
        <v>376</v>
      </c>
      <c r="M1870" s="8" t="s">
        <v>377</v>
      </c>
      <c r="N1870" s="8" t="s">
        <v>20</v>
      </c>
      <c r="O1870" s="8" t="s">
        <v>184</v>
      </c>
      <c r="P1870" s="8" t="s">
        <v>195</v>
      </c>
      <c r="Q1870" s="8" t="s">
        <v>196</v>
      </c>
      <c r="R1870" s="8" t="s">
        <v>394</v>
      </c>
      <c r="S1870" s="8" t="s">
        <v>383</v>
      </c>
      <c r="T1870" s="8"/>
      <c r="U1870" s="8" t="s">
        <v>384</v>
      </c>
      <c r="V1870" s="8"/>
      <c r="W1870" s="8" t="s">
        <v>380</v>
      </c>
      <c r="X1870" s="8" t="s">
        <v>99</v>
      </c>
      <c r="Y1870" s="8" t="s">
        <v>23</v>
      </c>
    </row>
    <row r="1871" spans="1:25" s="7" customFormat="1" hidden="1" x14ac:dyDescent="0.25">
      <c r="A1871" s="273" t="s">
        <v>317</v>
      </c>
      <c r="B1871" s="251">
        <v>45868</v>
      </c>
      <c r="C1871" s="252" t="s">
        <v>782</v>
      </c>
      <c r="D1871" s="252" t="s">
        <v>1103</v>
      </c>
      <c r="E1871" s="253">
        <v>1692306</v>
      </c>
      <c r="F1871" s="253">
        <v>0</v>
      </c>
      <c r="G1871" s="274">
        <f>Tabla3[[#This Row],[INGRESOS]]-Tabla3[[#This Row],[EGRESOS]]</f>
        <v>-1692306</v>
      </c>
      <c r="H1871" s="274">
        <v>-7461359.5</v>
      </c>
      <c r="I1871" s="135">
        <v>1290</v>
      </c>
      <c r="J1871" s="136">
        <f>Tabla3[[#This Row],[EGRESOS]]/Tabla3[[#This Row],[TC]]</f>
        <v>1311.8651162790698</v>
      </c>
      <c r="K1871" s="136">
        <f>Tabla3[[#This Row],[INGRESOS]]/Tabla3[[#This Row],[TC]]</f>
        <v>0</v>
      </c>
      <c r="L1871" s="8" t="s">
        <v>376</v>
      </c>
      <c r="M1871" s="8" t="s">
        <v>377</v>
      </c>
      <c r="N1871" s="8" t="s">
        <v>20</v>
      </c>
      <c r="O1871" s="8" t="s">
        <v>215</v>
      </c>
      <c r="P1871" s="8" t="s">
        <v>216</v>
      </c>
      <c r="Q1871" s="8" t="s">
        <v>220</v>
      </c>
      <c r="R1871" s="8" t="s">
        <v>291</v>
      </c>
      <c r="S1871" s="8" t="s">
        <v>1104</v>
      </c>
      <c r="T1871" s="8" t="s">
        <v>1105</v>
      </c>
      <c r="U1871" s="8" t="s">
        <v>412</v>
      </c>
      <c r="V1871" s="8"/>
      <c r="W1871" s="8" t="s">
        <v>380</v>
      </c>
      <c r="X1871" s="8" t="s">
        <v>29</v>
      </c>
      <c r="Y1871" s="8" t="s">
        <v>23</v>
      </c>
    </row>
    <row r="1872" spans="1:25" s="7" customFormat="1" hidden="1" x14ac:dyDescent="0.25">
      <c r="A1872" s="273" t="s">
        <v>317</v>
      </c>
      <c r="B1872" s="251">
        <v>45868</v>
      </c>
      <c r="C1872" s="252" t="s">
        <v>810</v>
      </c>
      <c r="D1872" s="252"/>
      <c r="E1872" s="253">
        <v>0</v>
      </c>
      <c r="F1872" s="253">
        <v>1500000</v>
      </c>
      <c r="G1872" s="274">
        <f>Tabla3[[#This Row],[INGRESOS]]-Tabla3[[#This Row],[EGRESOS]]</f>
        <v>1500000</v>
      </c>
      <c r="H1872" s="274">
        <v>-5961359.5</v>
      </c>
      <c r="I1872" s="135">
        <v>1290</v>
      </c>
      <c r="J1872" s="136">
        <f>Tabla3[[#This Row],[EGRESOS]]/Tabla3[[#This Row],[TC]]</f>
        <v>0</v>
      </c>
      <c r="K1872" s="136">
        <f>Tabla3[[#This Row],[INGRESOS]]/Tabla3[[#This Row],[TC]]</f>
        <v>1162.7906976744187</v>
      </c>
      <c r="L1872" s="8" t="s">
        <v>376</v>
      </c>
      <c r="M1872" s="8" t="s">
        <v>377</v>
      </c>
      <c r="N1872" s="8" t="s">
        <v>20</v>
      </c>
      <c r="O1872" s="8" t="s">
        <v>244</v>
      </c>
      <c r="P1872" s="8" t="s">
        <v>259</v>
      </c>
      <c r="Q1872" s="8" t="s">
        <v>260</v>
      </c>
      <c r="R1872" s="8" t="s">
        <v>447</v>
      </c>
      <c r="S1872" s="8"/>
      <c r="T1872" s="8"/>
      <c r="U1872" s="8" t="s">
        <v>379</v>
      </c>
      <c r="V1872" s="8"/>
      <c r="W1872" s="8" t="s">
        <v>380</v>
      </c>
      <c r="X1872" s="8"/>
      <c r="Y1872" s="8"/>
    </row>
    <row r="1873" spans="1:25" s="7" customFormat="1" hidden="1" x14ac:dyDescent="0.25">
      <c r="A1873" s="273" t="s">
        <v>317</v>
      </c>
      <c r="B1873" s="251">
        <v>45868</v>
      </c>
      <c r="C1873" s="252" t="s">
        <v>762</v>
      </c>
      <c r="D1873" s="252"/>
      <c r="E1873" s="253">
        <v>3276</v>
      </c>
      <c r="F1873" s="253">
        <v>0</v>
      </c>
      <c r="G1873" s="274">
        <f>Tabla3[[#This Row],[INGRESOS]]-Tabla3[[#This Row],[EGRESOS]]</f>
        <v>-3276</v>
      </c>
      <c r="H1873" s="274">
        <v>-5964635.5</v>
      </c>
      <c r="I1873" s="135">
        <v>1290</v>
      </c>
      <c r="J1873" s="136">
        <f>Tabla3[[#This Row],[EGRESOS]]/Tabla3[[#This Row],[TC]]</f>
        <v>2.5395348837209304</v>
      </c>
      <c r="K1873" s="136">
        <f>Tabla3[[#This Row],[INGRESOS]]/Tabla3[[#This Row],[TC]]</f>
        <v>0</v>
      </c>
      <c r="L1873" s="8" t="s">
        <v>376</v>
      </c>
      <c r="M1873" s="8" t="s">
        <v>377</v>
      </c>
      <c r="N1873" s="8" t="s">
        <v>20</v>
      </c>
      <c r="O1873" s="8" t="s">
        <v>184</v>
      </c>
      <c r="P1873" s="8" t="s">
        <v>195</v>
      </c>
      <c r="Q1873" s="8" t="s">
        <v>196</v>
      </c>
      <c r="R1873" s="8" t="s">
        <v>382</v>
      </c>
      <c r="S1873" s="8" t="s">
        <v>383</v>
      </c>
      <c r="T1873" s="8"/>
      <c r="U1873" s="8" t="s">
        <v>384</v>
      </c>
      <c r="V1873" s="8"/>
      <c r="W1873" s="8" t="s">
        <v>380</v>
      </c>
      <c r="X1873" s="8" t="s">
        <v>99</v>
      </c>
      <c r="Y1873" s="8" t="s">
        <v>23</v>
      </c>
    </row>
    <row r="1874" spans="1:25" s="7" customFormat="1" hidden="1" x14ac:dyDescent="0.25">
      <c r="A1874" s="273" t="s">
        <v>317</v>
      </c>
      <c r="B1874" s="251">
        <v>45868</v>
      </c>
      <c r="C1874" s="252" t="s">
        <v>763</v>
      </c>
      <c r="D1874" s="252"/>
      <c r="E1874" s="253">
        <v>468</v>
      </c>
      <c r="F1874" s="253">
        <v>0</v>
      </c>
      <c r="G1874" s="274">
        <f>Tabla3[[#This Row],[INGRESOS]]-Tabla3[[#This Row],[EGRESOS]]</f>
        <v>-468</v>
      </c>
      <c r="H1874" s="274">
        <v>-5965103.5</v>
      </c>
      <c r="I1874" s="135">
        <v>1290</v>
      </c>
      <c r="J1874" s="136">
        <f>Tabla3[[#This Row],[EGRESOS]]/Tabla3[[#This Row],[TC]]</f>
        <v>0.36279069767441863</v>
      </c>
      <c r="K1874" s="136">
        <f>Tabla3[[#This Row],[INGRESOS]]/Tabla3[[#This Row],[TC]]</f>
        <v>0</v>
      </c>
      <c r="L1874" s="8" t="s">
        <v>376</v>
      </c>
      <c r="M1874" s="8" t="s">
        <v>377</v>
      </c>
      <c r="N1874" s="8" t="s">
        <v>20</v>
      </c>
      <c r="O1874" s="8" t="s">
        <v>184</v>
      </c>
      <c r="P1874" s="8" t="s">
        <v>195</v>
      </c>
      <c r="Q1874" s="8" t="s">
        <v>196</v>
      </c>
      <c r="R1874" s="8" t="s">
        <v>417</v>
      </c>
      <c r="S1874" s="8" t="s">
        <v>383</v>
      </c>
      <c r="T1874" s="8"/>
      <c r="U1874" s="8" t="s">
        <v>384</v>
      </c>
      <c r="V1874" s="8"/>
      <c r="W1874" s="8" t="s">
        <v>380</v>
      </c>
      <c r="X1874" s="8" t="s">
        <v>99</v>
      </c>
      <c r="Y1874" s="8" t="s">
        <v>23</v>
      </c>
    </row>
    <row r="1875" spans="1:25" s="7" customFormat="1" hidden="1" x14ac:dyDescent="0.25">
      <c r="A1875" s="273" t="s">
        <v>317</v>
      </c>
      <c r="B1875" s="251">
        <v>45868</v>
      </c>
      <c r="C1875" s="252" t="s">
        <v>794</v>
      </c>
      <c r="D1875" s="252"/>
      <c r="E1875" s="253">
        <v>15600</v>
      </c>
      <c r="F1875" s="253">
        <v>0</v>
      </c>
      <c r="G1875" s="274">
        <f>Tabla3[[#This Row],[INGRESOS]]-Tabla3[[#This Row],[EGRESOS]]</f>
        <v>-15600</v>
      </c>
      <c r="H1875" s="274">
        <v>-5980703.5</v>
      </c>
      <c r="I1875" s="135">
        <v>1290</v>
      </c>
      <c r="J1875" s="136">
        <f>Tabla3[[#This Row],[EGRESOS]]/Tabla3[[#This Row],[TC]]</f>
        <v>12.093023255813954</v>
      </c>
      <c r="K1875" s="136">
        <f>Tabla3[[#This Row],[INGRESOS]]/Tabla3[[#This Row],[TC]]</f>
        <v>0</v>
      </c>
      <c r="L1875" s="8" t="s">
        <v>376</v>
      </c>
      <c r="M1875" s="8" t="s">
        <v>377</v>
      </c>
      <c r="N1875" s="8" t="s">
        <v>20</v>
      </c>
      <c r="O1875" s="8" t="s">
        <v>184</v>
      </c>
      <c r="P1875" s="8" t="s">
        <v>185</v>
      </c>
      <c r="Q1875" s="8" t="s">
        <v>186</v>
      </c>
      <c r="R1875" s="8" t="s">
        <v>227</v>
      </c>
      <c r="S1875" s="8"/>
      <c r="T1875" s="8"/>
      <c r="U1875" s="8" t="s">
        <v>384</v>
      </c>
      <c r="V1875" s="8"/>
      <c r="W1875" s="8" t="s">
        <v>380</v>
      </c>
      <c r="X1875" s="8" t="s">
        <v>99</v>
      </c>
      <c r="Y1875" s="8" t="s">
        <v>23</v>
      </c>
    </row>
    <row r="1876" spans="1:25" s="7" customFormat="1" hidden="1" x14ac:dyDescent="0.25">
      <c r="A1876" s="273" t="s">
        <v>317</v>
      </c>
      <c r="B1876" s="251">
        <v>45868</v>
      </c>
      <c r="C1876" s="252" t="s">
        <v>773</v>
      </c>
      <c r="D1876" s="252"/>
      <c r="E1876" s="253">
        <v>10269.9</v>
      </c>
      <c r="F1876" s="253">
        <v>0</v>
      </c>
      <c r="G1876" s="274">
        <f>Tabla3[[#This Row],[INGRESOS]]-Tabla3[[#This Row],[EGRESOS]]</f>
        <v>-10269.9</v>
      </c>
      <c r="H1876" s="274">
        <v>-5990973.4000000004</v>
      </c>
      <c r="I1876" s="135">
        <v>1290</v>
      </c>
      <c r="J1876" s="136">
        <f>Tabla3[[#This Row],[EGRESOS]]/Tabla3[[#This Row],[TC]]</f>
        <v>7.9611627906976743</v>
      </c>
      <c r="K1876" s="136">
        <f>Tabla3[[#This Row],[INGRESOS]]/Tabla3[[#This Row],[TC]]</f>
        <v>0</v>
      </c>
      <c r="L1876" s="8" t="s">
        <v>376</v>
      </c>
      <c r="M1876" s="8" t="s">
        <v>377</v>
      </c>
      <c r="N1876" s="8" t="s">
        <v>20</v>
      </c>
      <c r="O1876" s="8" t="s">
        <v>184</v>
      </c>
      <c r="P1876" s="8" t="s">
        <v>195</v>
      </c>
      <c r="Q1876" s="8" t="s">
        <v>196</v>
      </c>
      <c r="R1876" s="8" t="s">
        <v>394</v>
      </c>
      <c r="S1876" s="8" t="s">
        <v>383</v>
      </c>
      <c r="T1876" s="8"/>
      <c r="U1876" s="8" t="s">
        <v>384</v>
      </c>
      <c r="V1876" s="8"/>
      <c r="W1876" s="8" t="s">
        <v>380</v>
      </c>
      <c r="X1876" s="8" t="s">
        <v>99</v>
      </c>
      <c r="Y1876" s="8" t="s">
        <v>23</v>
      </c>
    </row>
    <row r="1877" spans="1:25" s="7" customFormat="1" hidden="1" x14ac:dyDescent="0.25">
      <c r="A1877" s="273" t="s">
        <v>317</v>
      </c>
      <c r="B1877" s="251">
        <v>45868</v>
      </c>
      <c r="C1877" s="252" t="s">
        <v>795</v>
      </c>
      <c r="D1877" s="252"/>
      <c r="E1877" s="253">
        <v>61628</v>
      </c>
      <c r="F1877" s="253">
        <v>0</v>
      </c>
      <c r="G1877" s="274">
        <f>Tabla3[[#This Row],[INGRESOS]]-Tabla3[[#This Row],[EGRESOS]]</f>
        <v>-61628</v>
      </c>
      <c r="H1877" s="274">
        <v>-6052601.4000000004</v>
      </c>
      <c r="I1877" s="135">
        <v>1290</v>
      </c>
      <c r="J1877" s="136">
        <f>Tabla3[[#This Row],[EGRESOS]]/Tabla3[[#This Row],[TC]]</f>
        <v>47.773643410852713</v>
      </c>
      <c r="K1877" s="136">
        <f>Tabla3[[#This Row],[INGRESOS]]/Tabla3[[#This Row],[TC]]</f>
        <v>0</v>
      </c>
      <c r="L1877" s="8" t="s">
        <v>376</v>
      </c>
      <c r="M1877" s="8" t="s">
        <v>377</v>
      </c>
      <c r="N1877" s="8" t="s">
        <v>20</v>
      </c>
      <c r="O1877" s="8" t="s">
        <v>244</v>
      </c>
      <c r="P1877" s="8" t="s">
        <v>259</v>
      </c>
      <c r="Q1877" s="8" t="s">
        <v>260</v>
      </c>
      <c r="R1877" s="8" t="s">
        <v>378</v>
      </c>
      <c r="S1877" s="8"/>
      <c r="T1877" s="8"/>
      <c r="U1877" s="8" t="s">
        <v>379</v>
      </c>
      <c r="V1877" s="8"/>
      <c r="W1877" s="8" t="s">
        <v>380</v>
      </c>
      <c r="X1877" s="8"/>
      <c r="Y1877" s="8"/>
    </row>
    <row r="1878" spans="1:25" s="7" customFormat="1" hidden="1" x14ac:dyDescent="0.25">
      <c r="A1878" s="273" t="s">
        <v>317</v>
      </c>
      <c r="B1878" s="251">
        <v>45869</v>
      </c>
      <c r="C1878" s="252" t="s">
        <v>782</v>
      </c>
      <c r="D1878" s="252" t="s">
        <v>1106</v>
      </c>
      <c r="E1878" s="253">
        <v>1682505</v>
      </c>
      <c r="F1878" s="253">
        <v>0</v>
      </c>
      <c r="G1878" s="274">
        <f>Tabla3[[#This Row],[INGRESOS]]-Tabla3[[#This Row],[EGRESOS]]</f>
        <v>-1682505</v>
      </c>
      <c r="H1878" s="274">
        <v>-7735106.4000000004</v>
      </c>
      <c r="I1878" s="135">
        <v>1290</v>
      </c>
      <c r="J1878" s="136">
        <f>Tabla3[[#This Row],[EGRESOS]]/Tabla3[[#This Row],[TC]]</f>
        <v>1304.2674418604652</v>
      </c>
      <c r="K1878" s="136">
        <f>Tabla3[[#This Row],[INGRESOS]]/Tabla3[[#This Row],[TC]]</f>
        <v>0</v>
      </c>
      <c r="L1878" s="8" t="s">
        <v>376</v>
      </c>
      <c r="M1878" s="8" t="s">
        <v>377</v>
      </c>
      <c r="N1878" s="8" t="s">
        <v>20</v>
      </c>
      <c r="O1878" s="8" t="s">
        <v>215</v>
      </c>
      <c r="P1878" s="8" t="s">
        <v>216</v>
      </c>
      <c r="Q1878" s="8" t="s">
        <v>220</v>
      </c>
      <c r="R1878" s="8" t="s">
        <v>291</v>
      </c>
      <c r="S1878" s="8" t="s">
        <v>1099</v>
      </c>
      <c r="T1878" s="8" t="s">
        <v>1107</v>
      </c>
      <c r="U1878" s="8" t="s">
        <v>412</v>
      </c>
      <c r="V1878" s="8"/>
      <c r="W1878" s="8" t="s">
        <v>380</v>
      </c>
      <c r="X1878" s="8" t="s">
        <v>29</v>
      </c>
      <c r="Y1878" s="8" t="s">
        <v>23</v>
      </c>
    </row>
    <row r="1879" spans="1:25" s="7" customFormat="1" hidden="1" x14ac:dyDescent="0.25">
      <c r="A1879" s="273" t="s">
        <v>317</v>
      </c>
      <c r="B1879" s="251">
        <v>45869</v>
      </c>
      <c r="C1879" s="252" t="s">
        <v>1108</v>
      </c>
      <c r="D1879" s="252"/>
      <c r="E1879" s="253">
        <v>0</v>
      </c>
      <c r="F1879" s="253">
        <v>8000000</v>
      </c>
      <c r="G1879" s="274">
        <f>Tabla3[[#This Row],[INGRESOS]]-Tabla3[[#This Row],[EGRESOS]]</f>
        <v>8000000</v>
      </c>
      <c r="H1879" s="274">
        <v>264893.59999999998</v>
      </c>
      <c r="I1879" s="135">
        <v>1290</v>
      </c>
      <c r="J1879" s="136">
        <f>Tabla3[[#This Row],[EGRESOS]]/Tabla3[[#This Row],[TC]]</f>
        <v>0</v>
      </c>
      <c r="K1879" s="136">
        <f>Tabla3[[#This Row],[INGRESOS]]/Tabla3[[#This Row],[TC]]</f>
        <v>6201.5503875968989</v>
      </c>
      <c r="L1879" s="8" t="s">
        <v>376</v>
      </c>
      <c r="M1879" s="8" t="s">
        <v>377</v>
      </c>
      <c r="N1879" s="8" t="s">
        <v>20</v>
      </c>
      <c r="O1879" s="8" t="s">
        <v>244</v>
      </c>
      <c r="P1879" s="8" t="s">
        <v>259</v>
      </c>
      <c r="Q1879" s="8" t="s">
        <v>260</v>
      </c>
      <c r="R1879" s="8" t="s">
        <v>554</v>
      </c>
      <c r="S1879" s="8"/>
      <c r="T1879" s="8"/>
      <c r="U1879" s="8" t="s">
        <v>379</v>
      </c>
      <c r="V1879" s="8"/>
      <c r="W1879" s="8" t="s">
        <v>380</v>
      </c>
      <c r="X1879" s="8"/>
      <c r="Y1879" s="8"/>
    </row>
    <row r="1880" spans="1:25" s="7" customFormat="1" hidden="1" x14ac:dyDescent="0.25">
      <c r="A1880" s="273" t="s">
        <v>317</v>
      </c>
      <c r="B1880" s="251">
        <v>45869</v>
      </c>
      <c r="C1880" s="252" t="s">
        <v>945</v>
      </c>
      <c r="D1880" s="252"/>
      <c r="E1880" s="253">
        <v>0</v>
      </c>
      <c r="F1880" s="253">
        <v>80757852</v>
      </c>
      <c r="G1880" s="274">
        <f>Tabla3[[#This Row],[INGRESOS]]-Tabla3[[#This Row],[EGRESOS]]</f>
        <v>80757852</v>
      </c>
      <c r="H1880" s="274">
        <v>81022745.599999994</v>
      </c>
      <c r="I1880" s="135">
        <v>1290</v>
      </c>
      <c r="J1880" s="136">
        <f>Tabla3[[#This Row],[EGRESOS]]/Tabla3[[#This Row],[TC]]</f>
        <v>0</v>
      </c>
      <c r="K1880" s="136">
        <f>Tabla3[[#This Row],[INGRESOS]]/Tabla3[[#This Row],[TC]]</f>
        <v>62602.986046511629</v>
      </c>
      <c r="L1880" s="8" t="s">
        <v>376</v>
      </c>
      <c r="M1880" s="8" t="s">
        <v>377</v>
      </c>
      <c r="N1880" s="8" t="s">
        <v>20</v>
      </c>
      <c r="O1880" s="8" t="s">
        <v>286</v>
      </c>
      <c r="P1880" s="8" t="s">
        <v>304</v>
      </c>
      <c r="Q1880" s="8" t="s">
        <v>307</v>
      </c>
      <c r="R1880" s="8" t="s">
        <v>1109</v>
      </c>
      <c r="S1880" s="8" t="s">
        <v>947</v>
      </c>
      <c r="T1880" s="8" t="s">
        <v>1110</v>
      </c>
      <c r="U1880" s="8" t="s">
        <v>949</v>
      </c>
      <c r="V1880" s="8"/>
      <c r="W1880" s="8" t="s">
        <v>380</v>
      </c>
      <c r="X1880" s="8" t="s">
        <v>23</v>
      </c>
      <c r="Y1880" s="8" t="s">
        <v>97</v>
      </c>
    </row>
    <row r="1881" spans="1:25" s="7" customFormat="1" hidden="1" x14ac:dyDescent="0.25">
      <c r="A1881" s="273" t="s">
        <v>317</v>
      </c>
      <c r="B1881" s="251">
        <v>45869</v>
      </c>
      <c r="C1881" s="252" t="s">
        <v>800</v>
      </c>
      <c r="D1881" s="252"/>
      <c r="E1881" s="253">
        <v>8000000</v>
      </c>
      <c r="F1881" s="253">
        <v>0</v>
      </c>
      <c r="G1881" s="274">
        <f>Tabla3[[#This Row],[INGRESOS]]-Tabla3[[#This Row],[EGRESOS]]</f>
        <v>-8000000</v>
      </c>
      <c r="H1881" s="274">
        <v>73022745.599999994</v>
      </c>
      <c r="I1881" s="135">
        <v>1290</v>
      </c>
      <c r="J1881" s="136">
        <f>Tabla3[[#This Row],[EGRESOS]]/Tabla3[[#This Row],[TC]]</f>
        <v>6201.5503875968989</v>
      </c>
      <c r="K1881" s="136">
        <f>Tabla3[[#This Row],[INGRESOS]]/Tabla3[[#This Row],[TC]]</f>
        <v>0</v>
      </c>
      <c r="L1881" s="8" t="s">
        <v>376</v>
      </c>
      <c r="M1881" s="8" t="s">
        <v>377</v>
      </c>
      <c r="N1881" s="8" t="s">
        <v>20</v>
      </c>
      <c r="O1881" s="8" t="s">
        <v>244</v>
      </c>
      <c r="P1881" s="8" t="s">
        <v>259</v>
      </c>
      <c r="Q1881" s="8" t="s">
        <v>260</v>
      </c>
      <c r="R1881" s="8" t="s">
        <v>467</v>
      </c>
      <c r="S1881" s="8"/>
      <c r="T1881" s="8"/>
      <c r="U1881" s="8" t="s">
        <v>379</v>
      </c>
      <c r="V1881" s="8"/>
      <c r="W1881" s="8" t="s">
        <v>380</v>
      </c>
      <c r="X1881" s="8"/>
      <c r="Y1881" s="8"/>
    </row>
    <row r="1882" spans="1:25" s="7" customFormat="1" hidden="1" x14ac:dyDescent="0.25">
      <c r="A1882" s="273" t="s">
        <v>317</v>
      </c>
      <c r="B1882" s="251">
        <v>45869</v>
      </c>
      <c r="C1882" s="252" t="s">
        <v>828</v>
      </c>
      <c r="D1882" s="252"/>
      <c r="E1882" s="253">
        <v>121</v>
      </c>
      <c r="F1882" s="253">
        <v>0</v>
      </c>
      <c r="G1882" s="274">
        <f>Tabla3[[#This Row],[INGRESOS]]-Tabla3[[#This Row],[EGRESOS]]</f>
        <v>-121</v>
      </c>
      <c r="H1882" s="274">
        <v>73022624.599999994</v>
      </c>
      <c r="I1882" s="135">
        <v>1290</v>
      </c>
      <c r="J1882" s="136">
        <f>Tabla3[[#This Row],[EGRESOS]]/Tabla3[[#This Row],[TC]]</f>
        <v>9.3798449612403106E-2</v>
      </c>
      <c r="K1882" s="136">
        <f>Tabla3[[#This Row],[INGRESOS]]/Tabla3[[#This Row],[TC]]</f>
        <v>0</v>
      </c>
      <c r="L1882" s="8" t="s">
        <v>376</v>
      </c>
      <c r="M1882" s="8" t="s">
        <v>377</v>
      </c>
      <c r="N1882" s="8" t="s">
        <v>20</v>
      </c>
      <c r="O1882" s="8" t="s">
        <v>184</v>
      </c>
      <c r="P1882" s="8" t="s">
        <v>185</v>
      </c>
      <c r="Q1882" s="8" t="s">
        <v>186</v>
      </c>
      <c r="R1882" s="8" t="s">
        <v>227</v>
      </c>
      <c r="S1882" s="8"/>
      <c r="T1882" s="8"/>
      <c r="U1882" s="8" t="s">
        <v>384</v>
      </c>
      <c r="V1882" s="8"/>
      <c r="W1882" s="8" t="s">
        <v>380</v>
      </c>
      <c r="X1882" s="8" t="s">
        <v>99</v>
      </c>
      <c r="Y1882" s="8" t="s">
        <v>23</v>
      </c>
    </row>
    <row r="1883" spans="1:25" s="7" customFormat="1" hidden="1" x14ac:dyDescent="0.25">
      <c r="A1883" s="273" t="s">
        <v>317</v>
      </c>
      <c r="B1883" s="251">
        <v>45869</v>
      </c>
      <c r="C1883" s="252" t="s">
        <v>762</v>
      </c>
      <c r="D1883" s="252"/>
      <c r="E1883" s="253">
        <v>3276</v>
      </c>
      <c r="F1883" s="253">
        <v>0</v>
      </c>
      <c r="G1883" s="274">
        <f>Tabla3[[#This Row],[INGRESOS]]-Tabla3[[#This Row],[EGRESOS]]</f>
        <v>-3276</v>
      </c>
      <c r="H1883" s="274">
        <v>73019348.599999994</v>
      </c>
      <c r="I1883" s="135">
        <v>1290</v>
      </c>
      <c r="J1883" s="136">
        <f>Tabla3[[#This Row],[EGRESOS]]/Tabla3[[#This Row],[TC]]</f>
        <v>2.5395348837209304</v>
      </c>
      <c r="K1883" s="136">
        <f>Tabla3[[#This Row],[INGRESOS]]/Tabla3[[#This Row],[TC]]</f>
        <v>0</v>
      </c>
      <c r="L1883" s="8" t="s">
        <v>376</v>
      </c>
      <c r="M1883" s="8" t="s">
        <v>377</v>
      </c>
      <c r="N1883" s="8" t="s">
        <v>20</v>
      </c>
      <c r="O1883" s="8" t="s">
        <v>184</v>
      </c>
      <c r="P1883" s="8" t="s">
        <v>195</v>
      </c>
      <c r="Q1883" s="8" t="s">
        <v>196</v>
      </c>
      <c r="R1883" s="8" t="s">
        <v>382</v>
      </c>
      <c r="S1883" s="8" t="s">
        <v>383</v>
      </c>
      <c r="T1883" s="8"/>
      <c r="U1883" s="8" t="s">
        <v>384</v>
      </c>
      <c r="V1883" s="8"/>
      <c r="W1883" s="8" t="s">
        <v>380</v>
      </c>
      <c r="X1883" s="8" t="s">
        <v>99</v>
      </c>
      <c r="Y1883" s="8" t="s">
        <v>23</v>
      </c>
    </row>
    <row r="1884" spans="1:25" s="7" customFormat="1" hidden="1" x14ac:dyDescent="0.25">
      <c r="A1884" s="273" t="s">
        <v>317</v>
      </c>
      <c r="B1884" s="251">
        <v>45869</v>
      </c>
      <c r="C1884" s="252" t="s">
        <v>763</v>
      </c>
      <c r="D1884" s="252"/>
      <c r="E1884" s="253">
        <v>468</v>
      </c>
      <c r="F1884" s="253">
        <v>0</v>
      </c>
      <c r="G1884" s="274">
        <f>Tabla3[[#This Row],[INGRESOS]]-Tabla3[[#This Row],[EGRESOS]]</f>
        <v>-468</v>
      </c>
      <c r="H1884" s="274">
        <v>73018880.599999994</v>
      </c>
      <c r="I1884" s="135">
        <v>1290</v>
      </c>
      <c r="J1884" s="136">
        <f>Tabla3[[#This Row],[EGRESOS]]/Tabla3[[#This Row],[TC]]</f>
        <v>0.36279069767441863</v>
      </c>
      <c r="K1884" s="136">
        <f>Tabla3[[#This Row],[INGRESOS]]/Tabla3[[#This Row],[TC]]</f>
        <v>0</v>
      </c>
      <c r="L1884" s="8" t="s">
        <v>376</v>
      </c>
      <c r="M1884" s="8" t="s">
        <v>377</v>
      </c>
      <c r="N1884" s="8" t="s">
        <v>20</v>
      </c>
      <c r="O1884" s="8" t="s">
        <v>184</v>
      </c>
      <c r="P1884" s="8" t="s">
        <v>195</v>
      </c>
      <c r="Q1884" s="8" t="s">
        <v>196</v>
      </c>
      <c r="R1884" s="8" t="s">
        <v>417</v>
      </c>
      <c r="S1884" s="8" t="s">
        <v>383</v>
      </c>
      <c r="T1884" s="8"/>
      <c r="U1884" s="8" t="s">
        <v>384</v>
      </c>
      <c r="V1884" s="8"/>
      <c r="W1884" s="8" t="s">
        <v>380</v>
      </c>
      <c r="X1884" s="8" t="s">
        <v>99</v>
      </c>
      <c r="Y1884" s="8" t="s">
        <v>23</v>
      </c>
    </row>
    <row r="1885" spans="1:25" s="7" customFormat="1" hidden="1" x14ac:dyDescent="0.25">
      <c r="A1885" s="273" t="s">
        <v>317</v>
      </c>
      <c r="B1885" s="251">
        <v>45869</v>
      </c>
      <c r="C1885" s="252" t="s">
        <v>794</v>
      </c>
      <c r="D1885" s="252"/>
      <c r="E1885" s="253">
        <v>15600</v>
      </c>
      <c r="F1885" s="253">
        <v>0</v>
      </c>
      <c r="G1885" s="274">
        <f>Tabla3[[#This Row],[INGRESOS]]-Tabla3[[#This Row],[EGRESOS]]</f>
        <v>-15600</v>
      </c>
      <c r="H1885" s="274">
        <v>73003280.599999994</v>
      </c>
      <c r="I1885" s="135">
        <v>1290</v>
      </c>
      <c r="J1885" s="136">
        <f>Tabla3[[#This Row],[EGRESOS]]/Tabla3[[#This Row],[TC]]</f>
        <v>12.093023255813954</v>
      </c>
      <c r="K1885" s="136">
        <f>Tabla3[[#This Row],[INGRESOS]]/Tabla3[[#This Row],[TC]]</f>
        <v>0</v>
      </c>
      <c r="L1885" s="8" t="s">
        <v>376</v>
      </c>
      <c r="M1885" s="8" t="s">
        <v>377</v>
      </c>
      <c r="N1885" s="8" t="s">
        <v>20</v>
      </c>
      <c r="O1885" s="8" t="s">
        <v>184</v>
      </c>
      <c r="P1885" s="8" t="s">
        <v>185</v>
      </c>
      <c r="Q1885" s="8" t="s">
        <v>186</v>
      </c>
      <c r="R1885" s="8" t="s">
        <v>227</v>
      </c>
      <c r="S1885" s="8"/>
      <c r="T1885" s="8"/>
      <c r="U1885" s="8" t="s">
        <v>384</v>
      </c>
      <c r="V1885" s="8"/>
      <c r="W1885" s="8" t="s">
        <v>380</v>
      </c>
      <c r="X1885" s="8" t="s">
        <v>99</v>
      </c>
      <c r="Y1885" s="8" t="s">
        <v>23</v>
      </c>
    </row>
    <row r="1886" spans="1:25" s="7" customFormat="1" hidden="1" x14ac:dyDescent="0.25">
      <c r="A1886" s="273" t="s">
        <v>317</v>
      </c>
      <c r="B1886" s="251">
        <v>45869</v>
      </c>
      <c r="C1886" s="252" t="s">
        <v>760</v>
      </c>
      <c r="D1886" s="252"/>
      <c r="E1886" s="253">
        <v>484547.11</v>
      </c>
      <c r="F1886" s="253">
        <v>0</v>
      </c>
      <c r="G1886" s="274">
        <f>Tabla3[[#This Row],[INGRESOS]]-Tabla3[[#This Row],[EGRESOS]]</f>
        <v>-484547.11</v>
      </c>
      <c r="H1886" s="274">
        <v>72518733.489999995</v>
      </c>
      <c r="I1886" s="135">
        <v>1290</v>
      </c>
      <c r="J1886" s="136">
        <f>Tabla3[[#This Row],[EGRESOS]]/Tabla3[[#This Row],[TC]]</f>
        <v>375.61791472868214</v>
      </c>
      <c r="K1886" s="136">
        <f>Tabla3[[#This Row],[INGRESOS]]/Tabla3[[#This Row],[TC]]</f>
        <v>0</v>
      </c>
      <c r="L1886" s="8" t="s">
        <v>376</v>
      </c>
      <c r="M1886" s="8" t="s">
        <v>377</v>
      </c>
      <c r="N1886" s="8" t="s">
        <v>20</v>
      </c>
      <c r="O1886" s="8" t="s">
        <v>184</v>
      </c>
      <c r="P1886" s="8" t="s">
        <v>195</v>
      </c>
      <c r="Q1886" s="8" t="s">
        <v>196</v>
      </c>
      <c r="R1886" s="8" t="s">
        <v>394</v>
      </c>
      <c r="S1886" s="8" t="s">
        <v>383</v>
      </c>
      <c r="T1886" s="8"/>
      <c r="U1886" s="8" t="s">
        <v>384</v>
      </c>
      <c r="V1886" s="8"/>
      <c r="W1886" s="8" t="s">
        <v>380</v>
      </c>
      <c r="X1886" s="8" t="s">
        <v>99</v>
      </c>
      <c r="Y1886" s="8" t="s">
        <v>23</v>
      </c>
    </row>
    <row r="1887" spans="1:25" s="7" customFormat="1" hidden="1" x14ac:dyDescent="0.25">
      <c r="A1887" s="273" t="s">
        <v>317</v>
      </c>
      <c r="B1887" s="251">
        <v>45869</v>
      </c>
      <c r="C1887" s="252" t="s">
        <v>773</v>
      </c>
      <c r="D1887" s="252"/>
      <c r="E1887" s="253">
        <v>10211.82</v>
      </c>
      <c r="F1887" s="253">
        <v>0</v>
      </c>
      <c r="G1887" s="274">
        <f>Tabla3[[#This Row],[INGRESOS]]-Tabla3[[#This Row],[EGRESOS]]</f>
        <v>-10211.82</v>
      </c>
      <c r="H1887" s="274">
        <v>72508521.670000002</v>
      </c>
      <c r="I1887" s="135">
        <v>1290</v>
      </c>
      <c r="J1887" s="136">
        <f>Tabla3[[#This Row],[EGRESOS]]/Tabla3[[#This Row],[TC]]</f>
        <v>7.9161395348837207</v>
      </c>
      <c r="K1887" s="136">
        <f>Tabla3[[#This Row],[INGRESOS]]/Tabla3[[#This Row],[TC]]</f>
        <v>0</v>
      </c>
      <c r="L1887" s="8" t="s">
        <v>376</v>
      </c>
      <c r="M1887" s="8" t="s">
        <v>377</v>
      </c>
      <c r="N1887" s="8" t="s">
        <v>20</v>
      </c>
      <c r="O1887" s="8" t="s">
        <v>184</v>
      </c>
      <c r="P1887" s="8" t="s">
        <v>195</v>
      </c>
      <c r="Q1887" s="8" t="s">
        <v>196</v>
      </c>
      <c r="R1887" s="8" t="s">
        <v>394</v>
      </c>
      <c r="S1887" s="8" t="s">
        <v>383</v>
      </c>
      <c r="T1887" s="8"/>
      <c r="U1887" s="8" t="s">
        <v>384</v>
      </c>
      <c r="V1887" s="8"/>
      <c r="W1887" s="8" t="s">
        <v>380</v>
      </c>
      <c r="X1887" s="8" t="s">
        <v>99</v>
      </c>
      <c r="Y1887" s="8" t="s">
        <v>23</v>
      </c>
    </row>
    <row r="1888" spans="1:25" s="7" customFormat="1" hidden="1" x14ac:dyDescent="0.25">
      <c r="A1888" s="273" t="s">
        <v>317</v>
      </c>
      <c r="B1888" s="251">
        <v>45869</v>
      </c>
      <c r="C1888" s="252" t="s">
        <v>795</v>
      </c>
      <c r="D1888" s="252"/>
      <c r="E1888" s="253">
        <v>369.77</v>
      </c>
      <c r="F1888" s="253">
        <v>0</v>
      </c>
      <c r="G1888" s="274">
        <f>Tabla3[[#This Row],[INGRESOS]]-Tabla3[[#This Row],[EGRESOS]]</f>
        <v>-369.77</v>
      </c>
      <c r="H1888" s="274">
        <v>72508151.900000006</v>
      </c>
      <c r="I1888" s="135">
        <v>1290</v>
      </c>
      <c r="J1888" s="136">
        <f>Tabla3[[#This Row],[EGRESOS]]/Tabla3[[#This Row],[TC]]</f>
        <v>0.28664341085271317</v>
      </c>
      <c r="K1888" s="136">
        <f>Tabla3[[#This Row],[INGRESOS]]/Tabla3[[#This Row],[TC]]</f>
        <v>0</v>
      </c>
      <c r="L1888" s="8" t="s">
        <v>376</v>
      </c>
      <c r="M1888" s="8" t="s">
        <v>377</v>
      </c>
      <c r="N1888" s="8" t="s">
        <v>20</v>
      </c>
      <c r="O1888" s="8" t="s">
        <v>244</v>
      </c>
      <c r="P1888" s="8" t="s">
        <v>259</v>
      </c>
      <c r="Q1888" s="8" t="s">
        <v>260</v>
      </c>
      <c r="R1888" s="8" t="s">
        <v>467</v>
      </c>
      <c r="S1888" s="8"/>
      <c r="T1888" s="8"/>
      <c r="U1888" s="8" t="s">
        <v>379</v>
      </c>
      <c r="V1888" s="8"/>
      <c r="W1888" s="8" t="s">
        <v>380</v>
      </c>
      <c r="X1888" s="8"/>
      <c r="Y1888" s="8"/>
    </row>
    <row r="1889" spans="1:25" s="7" customFormat="1" hidden="1" x14ac:dyDescent="0.25">
      <c r="A1889" s="273" t="str">
        <f>"AGOSTO"</f>
        <v>AGOSTO</v>
      </c>
      <c r="B1889" s="251">
        <v>45870</v>
      </c>
      <c r="C1889" s="252" t="s">
        <v>762</v>
      </c>
      <c r="D1889" s="252"/>
      <c r="E1889" s="253">
        <v>1740.76</v>
      </c>
      <c r="F1889" s="253">
        <v>0</v>
      </c>
      <c r="G1889" s="274">
        <f>Tabla3[[#This Row],[INGRESOS]]-Tabla3[[#This Row],[EGRESOS]]</f>
        <v>-1740.76</v>
      </c>
      <c r="H1889" s="274">
        <v>72506411.140000001</v>
      </c>
      <c r="I1889" s="135">
        <v>1290</v>
      </c>
      <c r="J1889" s="136">
        <f>Tabla3[[#This Row],[EGRESOS]]/Tabla3[[#This Row],[TC]]</f>
        <v>1.3494263565891473</v>
      </c>
      <c r="K1889" s="136">
        <f>Tabla3[[#This Row],[INGRESOS]]/Tabla3[[#This Row],[TC]]</f>
        <v>0</v>
      </c>
      <c r="L1889" s="8" t="s">
        <v>376</v>
      </c>
      <c r="M1889" s="8" t="s">
        <v>377</v>
      </c>
      <c r="N1889" s="8" t="s">
        <v>20</v>
      </c>
      <c r="O1889" s="8" t="s">
        <v>184</v>
      </c>
      <c r="P1889" s="8" t="s">
        <v>195</v>
      </c>
      <c r="Q1889" s="8" t="s">
        <v>196</v>
      </c>
      <c r="R1889" s="8" t="s">
        <v>382</v>
      </c>
      <c r="S1889" s="8" t="s">
        <v>383</v>
      </c>
      <c r="T1889" s="8"/>
      <c r="U1889" s="8" t="s">
        <v>384</v>
      </c>
      <c r="V1889" s="8"/>
      <c r="W1889" s="8" t="s">
        <v>380</v>
      </c>
      <c r="X1889" s="8" t="s">
        <v>99</v>
      </c>
      <c r="Y1889" s="8" t="s">
        <v>23</v>
      </c>
    </row>
    <row r="1890" spans="1:25" s="7" customFormat="1" hidden="1" x14ac:dyDescent="0.25">
      <c r="A1890" s="273" t="s">
        <v>318</v>
      </c>
      <c r="B1890" s="251">
        <v>45870</v>
      </c>
      <c r="C1890" s="252" t="s">
        <v>763</v>
      </c>
      <c r="D1890" s="252"/>
      <c r="E1890" s="253">
        <v>248.68</v>
      </c>
      <c r="F1890" s="253">
        <v>0</v>
      </c>
      <c r="G1890" s="274">
        <f>Tabla3[[#This Row],[INGRESOS]]-Tabla3[[#This Row],[EGRESOS]]</f>
        <v>-248.68</v>
      </c>
      <c r="H1890" s="274">
        <v>72506162.459999993</v>
      </c>
      <c r="I1890" s="135">
        <v>1290</v>
      </c>
      <c r="J1890" s="136">
        <f>Tabla3[[#This Row],[EGRESOS]]/Tabla3[[#This Row],[TC]]</f>
        <v>0.19277519379844962</v>
      </c>
      <c r="K1890" s="136">
        <f>Tabla3[[#This Row],[INGRESOS]]/Tabla3[[#This Row],[TC]]</f>
        <v>0</v>
      </c>
      <c r="L1890" s="8" t="s">
        <v>376</v>
      </c>
      <c r="M1890" s="8" t="s">
        <v>377</v>
      </c>
      <c r="N1890" s="8" t="s">
        <v>20</v>
      </c>
      <c r="O1890" s="8" t="s">
        <v>184</v>
      </c>
      <c r="P1890" s="8" t="s">
        <v>195</v>
      </c>
      <c r="Q1890" s="8" t="s">
        <v>196</v>
      </c>
      <c r="R1890" s="8" t="s">
        <v>417</v>
      </c>
      <c r="S1890" s="8" t="s">
        <v>383</v>
      </c>
      <c r="T1890" s="8"/>
      <c r="U1890" s="8" t="s">
        <v>384</v>
      </c>
      <c r="V1890" s="8"/>
      <c r="W1890" s="8" t="s">
        <v>380</v>
      </c>
      <c r="X1890" s="8" t="s">
        <v>99</v>
      </c>
      <c r="Y1890" s="8" t="s">
        <v>23</v>
      </c>
    </row>
    <row r="1891" spans="1:25" s="7" customFormat="1" hidden="1" x14ac:dyDescent="0.25">
      <c r="A1891" s="273" t="s">
        <v>318</v>
      </c>
      <c r="B1891" s="251">
        <v>45870</v>
      </c>
      <c r="C1891" s="252" t="s">
        <v>780</v>
      </c>
      <c r="D1891" s="252"/>
      <c r="E1891" s="253">
        <v>16578.650000000001</v>
      </c>
      <c r="F1891" s="253">
        <v>0</v>
      </c>
      <c r="G1891" s="274">
        <f>Tabla3[[#This Row],[INGRESOS]]-Tabla3[[#This Row],[EGRESOS]]</f>
        <v>-16578.650000000001</v>
      </c>
      <c r="H1891" s="274">
        <v>72489583.810000002</v>
      </c>
      <c r="I1891" s="135">
        <v>1290</v>
      </c>
      <c r="J1891" s="136">
        <f>Tabla3[[#This Row],[EGRESOS]]/Tabla3[[#This Row],[TC]]</f>
        <v>12.851666666666668</v>
      </c>
      <c r="K1891" s="136">
        <f>Tabla3[[#This Row],[INGRESOS]]/Tabla3[[#This Row],[TC]]</f>
        <v>0</v>
      </c>
      <c r="L1891" s="8" t="s">
        <v>376</v>
      </c>
      <c r="M1891" s="8" t="s">
        <v>377</v>
      </c>
      <c r="N1891" s="8" t="s">
        <v>20</v>
      </c>
      <c r="O1891" s="8" t="s">
        <v>184</v>
      </c>
      <c r="P1891" s="8" t="s">
        <v>197</v>
      </c>
      <c r="Q1891" s="8" t="s">
        <v>198</v>
      </c>
      <c r="R1891" s="8" t="s">
        <v>419</v>
      </c>
      <c r="S1891" s="8"/>
      <c r="T1891" s="8"/>
      <c r="U1891" s="8" t="s">
        <v>384</v>
      </c>
      <c r="V1891" s="8"/>
      <c r="W1891" s="8" t="s">
        <v>380</v>
      </c>
      <c r="X1891" s="8" t="s">
        <v>99</v>
      </c>
      <c r="Y1891" s="8" t="s">
        <v>23</v>
      </c>
    </row>
    <row r="1892" spans="1:25" s="7" customFormat="1" hidden="1" x14ac:dyDescent="0.25">
      <c r="A1892" s="273" t="s">
        <v>318</v>
      </c>
      <c r="B1892" s="251">
        <v>45870</v>
      </c>
      <c r="C1892" s="252" t="s">
        <v>762</v>
      </c>
      <c r="D1892" s="252"/>
      <c r="E1892" s="253">
        <v>10.29</v>
      </c>
      <c r="F1892" s="253">
        <v>0</v>
      </c>
      <c r="G1892" s="274">
        <f>Tabla3[[#This Row],[INGRESOS]]-Tabla3[[#This Row],[EGRESOS]]</f>
        <v>-10.29</v>
      </c>
      <c r="H1892" s="274">
        <v>72489573.519999996</v>
      </c>
      <c r="I1892" s="135">
        <v>1290</v>
      </c>
      <c r="J1892" s="136">
        <f>Tabla3[[#This Row],[EGRESOS]]/Tabla3[[#This Row],[TC]]</f>
        <v>7.9767441860465107E-3</v>
      </c>
      <c r="K1892" s="136">
        <f>Tabla3[[#This Row],[INGRESOS]]/Tabla3[[#This Row],[TC]]</f>
        <v>0</v>
      </c>
      <c r="L1892" s="8" t="s">
        <v>376</v>
      </c>
      <c r="M1892" s="8" t="s">
        <v>377</v>
      </c>
      <c r="N1892" s="8" t="s">
        <v>20</v>
      </c>
      <c r="O1892" s="8" t="s">
        <v>184</v>
      </c>
      <c r="P1892" s="8" t="s">
        <v>195</v>
      </c>
      <c r="Q1892" s="8" t="s">
        <v>196</v>
      </c>
      <c r="R1892" s="8" t="s">
        <v>382</v>
      </c>
      <c r="S1892" s="8" t="s">
        <v>383</v>
      </c>
      <c r="T1892" s="8"/>
      <c r="U1892" s="8" t="s">
        <v>384</v>
      </c>
      <c r="V1892" s="8"/>
      <c r="W1892" s="8" t="s">
        <v>380</v>
      </c>
      <c r="X1892" s="8" t="s">
        <v>99</v>
      </c>
      <c r="Y1892" s="8" t="s">
        <v>23</v>
      </c>
    </row>
    <row r="1893" spans="1:25" s="7" customFormat="1" hidden="1" x14ac:dyDescent="0.25">
      <c r="A1893" s="273" t="s">
        <v>318</v>
      </c>
      <c r="B1893" s="251">
        <v>45870</v>
      </c>
      <c r="C1893" s="252" t="s">
        <v>781</v>
      </c>
      <c r="D1893" s="252"/>
      <c r="E1893" s="253">
        <v>98</v>
      </c>
      <c r="F1893" s="253">
        <v>0</v>
      </c>
      <c r="G1893" s="274">
        <f>Tabla3[[#This Row],[INGRESOS]]-Tabla3[[#This Row],[EGRESOS]]</f>
        <v>-98</v>
      </c>
      <c r="H1893" s="274">
        <v>72489475.519999996</v>
      </c>
      <c r="I1893" s="135">
        <v>1290</v>
      </c>
      <c r="J1893" s="136">
        <f>Tabla3[[#This Row],[EGRESOS]]/Tabla3[[#This Row],[TC]]</f>
        <v>7.5968992248062014E-2</v>
      </c>
      <c r="K1893" s="136">
        <f>Tabla3[[#This Row],[INGRESOS]]/Tabla3[[#This Row],[TC]]</f>
        <v>0</v>
      </c>
      <c r="L1893" s="8" t="s">
        <v>376</v>
      </c>
      <c r="M1893" s="8" t="s">
        <v>377</v>
      </c>
      <c r="N1893" s="8" t="s">
        <v>20</v>
      </c>
      <c r="O1893" s="8" t="s">
        <v>184</v>
      </c>
      <c r="P1893" s="8" t="s">
        <v>197</v>
      </c>
      <c r="Q1893" s="8" t="s">
        <v>198</v>
      </c>
      <c r="R1893" s="8" t="s">
        <v>419</v>
      </c>
      <c r="S1893" s="8"/>
      <c r="T1893" s="8"/>
      <c r="U1893" s="8" t="s">
        <v>384</v>
      </c>
      <c r="V1893" s="8"/>
      <c r="W1893" s="8" t="s">
        <v>380</v>
      </c>
      <c r="X1893" s="8" t="s">
        <v>99</v>
      </c>
      <c r="Y1893" s="8" t="s">
        <v>23</v>
      </c>
    </row>
    <row r="1894" spans="1:25" s="7" customFormat="1" hidden="1" x14ac:dyDescent="0.25">
      <c r="A1894" s="273" t="s">
        <v>318</v>
      </c>
      <c r="B1894" s="251">
        <v>45870</v>
      </c>
      <c r="C1894" s="252" t="s">
        <v>782</v>
      </c>
      <c r="D1894" s="252" t="s">
        <v>1111</v>
      </c>
      <c r="E1894" s="253">
        <v>440000</v>
      </c>
      <c r="F1894" s="253">
        <v>0</v>
      </c>
      <c r="G1894" s="274">
        <f>Tabla3[[#This Row],[INGRESOS]]-Tabla3[[#This Row],[EGRESOS]]</f>
        <v>-440000</v>
      </c>
      <c r="H1894" s="274">
        <v>72049475.519999996</v>
      </c>
      <c r="I1894" s="135">
        <v>1290</v>
      </c>
      <c r="J1894" s="136">
        <f>Tabla3[[#This Row],[EGRESOS]]/Tabla3[[#This Row],[TC]]</f>
        <v>341.08527131782944</v>
      </c>
      <c r="K1894" s="136">
        <f>Tabla3[[#This Row],[INGRESOS]]/Tabla3[[#This Row],[TC]]</f>
        <v>0</v>
      </c>
      <c r="L1894" s="8" t="s">
        <v>376</v>
      </c>
      <c r="M1894" s="8" t="s">
        <v>377</v>
      </c>
      <c r="N1894" s="8" t="s">
        <v>20</v>
      </c>
      <c r="O1894" s="8" t="s">
        <v>286</v>
      </c>
      <c r="P1894" s="8" t="s">
        <v>287</v>
      </c>
      <c r="Q1894" s="8" t="s">
        <v>217</v>
      </c>
      <c r="R1894" s="8" t="s">
        <v>188</v>
      </c>
      <c r="S1894" s="8" t="s">
        <v>656</v>
      </c>
      <c r="T1894" s="8"/>
      <c r="U1894" s="8" t="s">
        <v>412</v>
      </c>
      <c r="V1894" s="8"/>
      <c r="W1894" s="8" t="s">
        <v>380</v>
      </c>
      <c r="X1894" s="8" t="s">
        <v>29</v>
      </c>
      <c r="Y1894" s="8" t="s">
        <v>23</v>
      </c>
    </row>
    <row r="1895" spans="1:25" s="7" customFormat="1" hidden="1" x14ac:dyDescent="0.25">
      <c r="A1895" s="273" t="s">
        <v>318</v>
      </c>
      <c r="B1895" s="251">
        <v>45870</v>
      </c>
      <c r="C1895" s="252" t="s">
        <v>782</v>
      </c>
      <c r="D1895" s="252" t="s">
        <v>1112</v>
      </c>
      <c r="E1895" s="253">
        <v>1247120</v>
      </c>
      <c r="F1895" s="253">
        <v>0</v>
      </c>
      <c r="G1895" s="274">
        <f>Tabla3[[#This Row],[INGRESOS]]-Tabla3[[#This Row],[EGRESOS]]</f>
        <v>-1247120</v>
      </c>
      <c r="H1895" s="274">
        <v>70802355.519999996</v>
      </c>
      <c r="I1895" s="135">
        <v>1290</v>
      </c>
      <c r="J1895" s="136">
        <f>Tabla3[[#This Row],[EGRESOS]]/Tabla3[[#This Row],[TC]]</f>
        <v>966.75968992248067</v>
      </c>
      <c r="K1895" s="136">
        <f>Tabla3[[#This Row],[INGRESOS]]/Tabla3[[#This Row],[TC]]</f>
        <v>0</v>
      </c>
      <c r="L1895" s="8" t="s">
        <v>376</v>
      </c>
      <c r="M1895" s="8" t="s">
        <v>377</v>
      </c>
      <c r="N1895" s="8" t="s">
        <v>20</v>
      </c>
      <c r="O1895" s="8" t="s">
        <v>286</v>
      </c>
      <c r="P1895" s="8" t="s">
        <v>287</v>
      </c>
      <c r="Q1895" s="8" t="s">
        <v>289</v>
      </c>
      <c r="R1895" s="8"/>
      <c r="S1895" s="8" t="s">
        <v>653</v>
      </c>
      <c r="T1895" s="8" t="s">
        <v>1113</v>
      </c>
      <c r="U1895" s="8" t="s">
        <v>412</v>
      </c>
      <c r="V1895" s="8"/>
      <c r="W1895" s="8" t="s">
        <v>380</v>
      </c>
      <c r="X1895" s="8" t="s">
        <v>29</v>
      </c>
      <c r="Y1895" s="8" t="s">
        <v>23</v>
      </c>
    </row>
    <row r="1896" spans="1:25" s="7" customFormat="1" hidden="1" x14ac:dyDescent="0.25">
      <c r="A1896" s="273" t="s">
        <v>318</v>
      </c>
      <c r="B1896" s="251">
        <v>45870</v>
      </c>
      <c r="C1896" s="252" t="s">
        <v>782</v>
      </c>
      <c r="D1896" s="252" t="s">
        <v>1114</v>
      </c>
      <c r="E1896" s="253">
        <v>5807565</v>
      </c>
      <c r="F1896" s="253">
        <v>0</v>
      </c>
      <c r="G1896" s="274">
        <f>Tabla3[[#This Row],[INGRESOS]]-Tabla3[[#This Row],[EGRESOS]]</f>
        <v>-5807565</v>
      </c>
      <c r="H1896" s="274">
        <v>64994790.520000003</v>
      </c>
      <c r="I1896" s="135">
        <v>1290</v>
      </c>
      <c r="J1896" s="136">
        <f>Tabla3[[#This Row],[EGRESOS]]/Tabla3[[#This Row],[TC]]</f>
        <v>4501.9883720930229</v>
      </c>
      <c r="K1896" s="136">
        <f>Tabla3[[#This Row],[INGRESOS]]/Tabla3[[#This Row],[TC]]</f>
        <v>0</v>
      </c>
      <c r="L1896" s="8" t="s">
        <v>376</v>
      </c>
      <c r="M1896" s="8" t="s">
        <v>377</v>
      </c>
      <c r="N1896" s="8" t="s">
        <v>20</v>
      </c>
      <c r="O1896" s="8" t="s">
        <v>286</v>
      </c>
      <c r="P1896" s="8" t="s">
        <v>287</v>
      </c>
      <c r="Q1896" s="8" t="s">
        <v>293</v>
      </c>
      <c r="R1896" s="8" t="s">
        <v>1065</v>
      </c>
      <c r="S1896" s="8" t="s">
        <v>64</v>
      </c>
      <c r="T1896" s="8" t="s">
        <v>1066</v>
      </c>
      <c r="U1896" s="8" t="s">
        <v>412</v>
      </c>
      <c r="V1896" s="8"/>
      <c r="W1896" s="8" t="s">
        <v>380</v>
      </c>
      <c r="X1896" s="8" t="s">
        <v>41</v>
      </c>
      <c r="Y1896" s="8" t="s">
        <v>23</v>
      </c>
    </row>
    <row r="1897" spans="1:25" s="7" customFormat="1" hidden="1" x14ac:dyDescent="0.25">
      <c r="A1897" s="273" t="s">
        <v>318</v>
      </c>
      <c r="B1897" s="251">
        <v>45870</v>
      </c>
      <c r="C1897" s="252" t="s">
        <v>404</v>
      </c>
      <c r="D1897" s="252"/>
      <c r="E1897" s="253">
        <v>5500000</v>
      </c>
      <c r="F1897" s="253">
        <v>0</v>
      </c>
      <c r="G1897" s="274">
        <f>Tabla3[[#This Row],[INGRESOS]]-Tabla3[[#This Row],[EGRESOS]]</f>
        <v>-5500000</v>
      </c>
      <c r="H1897" s="274">
        <v>59494790.520000003</v>
      </c>
      <c r="I1897" s="135">
        <v>1290</v>
      </c>
      <c r="J1897" s="136">
        <f>Tabla3[[#This Row],[EGRESOS]]/Tabla3[[#This Row],[TC]]</f>
        <v>4263.5658914728683</v>
      </c>
      <c r="K1897" s="136">
        <f>Tabla3[[#This Row],[INGRESOS]]/Tabla3[[#This Row],[TC]]</f>
        <v>0</v>
      </c>
      <c r="L1897" s="8" t="s">
        <v>376</v>
      </c>
      <c r="M1897" s="8" t="s">
        <v>377</v>
      </c>
      <c r="N1897" s="8" t="s">
        <v>20</v>
      </c>
      <c r="O1897" s="8" t="s">
        <v>244</v>
      </c>
      <c r="P1897" s="8" t="s">
        <v>259</v>
      </c>
      <c r="Q1897" s="8" t="s">
        <v>260</v>
      </c>
      <c r="R1897" s="8" t="s">
        <v>466</v>
      </c>
      <c r="S1897" s="8"/>
      <c r="T1897" s="8"/>
      <c r="U1897" s="8" t="s">
        <v>379</v>
      </c>
      <c r="V1897" s="8"/>
      <c r="W1897" s="8" t="s">
        <v>380</v>
      </c>
      <c r="X1897" s="8"/>
      <c r="Y1897" s="8"/>
    </row>
    <row r="1898" spans="1:25" s="7" customFormat="1" hidden="1" x14ac:dyDescent="0.25">
      <c r="A1898" s="273" t="s">
        <v>318</v>
      </c>
      <c r="B1898" s="251">
        <v>45870</v>
      </c>
      <c r="C1898" s="252" t="s">
        <v>828</v>
      </c>
      <c r="D1898" s="252"/>
      <c r="E1898" s="253">
        <v>121</v>
      </c>
      <c r="F1898" s="253">
        <v>0</v>
      </c>
      <c r="G1898" s="274">
        <f>Tabla3[[#This Row],[INGRESOS]]-Tabla3[[#This Row],[EGRESOS]]</f>
        <v>-121</v>
      </c>
      <c r="H1898" s="274">
        <v>59494669.520000003</v>
      </c>
      <c r="I1898" s="135">
        <v>1290</v>
      </c>
      <c r="J1898" s="136">
        <f>Tabla3[[#This Row],[EGRESOS]]/Tabla3[[#This Row],[TC]]</f>
        <v>9.3798449612403106E-2</v>
      </c>
      <c r="K1898" s="136">
        <f>Tabla3[[#This Row],[INGRESOS]]/Tabla3[[#This Row],[TC]]</f>
        <v>0</v>
      </c>
      <c r="L1898" s="8" t="s">
        <v>376</v>
      </c>
      <c r="M1898" s="8" t="s">
        <v>377</v>
      </c>
      <c r="N1898" s="8" t="s">
        <v>20</v>
      </c>
      <c r="O1898" s="8" t="s">
        <v>184</v>
      </c>
      <c r="P1898" s="8" t="s">
        <v>185</v>
      </c>
      <c r="Q1898" s="8" t="s">
        <v>186</v>
      </c>
      <c r="R1898" s="8" t="s">
        <v>227</v>
      </c>
      <c r="S1898" s="8"/>
      <c r="T1898" s="8"/>
      <c r="U1898" s="8" t="s">
        <v>384</v>
      </c>
      <c r="V1898" s="8"/>
      <c r="W1898" s="8" t="s">
        <v>380</v>
      </c>
      <c r="X1898" s="8" t="s">
        <v>99</v>
      </c>
      <c r="Y1898" s="8" t="s">
        <v>23</v>
      </c>
    </row>
    <row r="1899" spans="1:25" s="7" customFormat="1" hidden="1" x14ac:dyDescent="0.25">
      <c r="A1899" s="273" t="s">
        <v>318</v>
      </c>
      <c r="B1899" s="251">
        <v>45870</v>
      </c>
      <c r="C1899" s="252" t="s">
        <v>987</v>
      </c>
      <c r="D1899" s="252"/>
      <c r="E1899" s="253">
        <v>0</v>
      </c>
      <c r="F1899" s="253">
        <v>1503327.77</v>
      </c>
      <c r="G1899" s="274">
        <f>Tabla3[[#This Row],[INGRESOS]]-Tabla3[[#This Row],[EGRESOS]]</f>
        <v>1503327.77</v>
      </c>
      <c r="H1899" s="274">
        <v>60997997.289999999</v>
      </c>
      <c r="I1899" s="135">
        <v>1290</v>
      </c>
      <c r="J1899" s="136">
        <f>Tabla3[[#This Row],[EGRESOS]]/Tabla3[[#This Row],[TC]]</f>
        <v>0</v>
      </c>
      <c r="K1899" s="136">
        <f>Tabla3[[#This Row],[INGRESOS]]/Tabla3[[#This Row],[TC]]</f>
        <v>1165.3703643410852</v>
      </c>
      <c r="L1899" s="8" t="s">
        <v>376</v>
      </c>
      <c r="M1899" s="8" t="s">
        <v>377</v>
      </c>
      <c r="N1899" s="8" t="s">
        <v>20</v>
      </c>
      <c r="O1899" s="8" t="s">
        <v>215</v>
      </c>
      <c r="P1899" s="8" t="s">
        <v>216</v>
      </c>
      <c r="Q1899" s="8" t="s">
        <v>220</v>
      </c>
      <c r="R1899" s="8" t="s">
        <v>705</v>
      </c>
      <c r="S1899" s="8" t="s">
        <v>706</v>
      </c>
      <c r="T1899" s="8"/>
      <c r="U1899" s="8" t="s">
        <v>516</v>
      </c>
      <c r="V1899" s="8"/>
      <c r="W1899" s="8" t="s">
        <v>380</v>
      </c>
      <c r="X1899" s="8" t="s">
        <v>23</v>
      </c>
      <c r="Y1899" s="8" t="s">
        <v>97</v>
      </c>
    </row>
    <row r="1900" spans="1:25" s="7" customFormat="1" hidden="1" x14ac:dyDescent="0.25">
      <c r="A1900" s="273" t="s">
        <v>318</v>
      </c>
      <c r="B1900" s="251">
        <v>45870</v>
      </c>
      <c r="C1900" s="252" t="s">
        <v>800</v>
      </c>
      <c r="D1900" s="252"/>
      <c r="E1900" s="253">
        <v>135000</v>
      </c>
      <c r="F1900" s="253">
        <v>0</v>
      </c>
      <c r="G1900" s="274">
        <f>Tabla3[[#This Row],[INGRESOS]]-Tabla3[[#This Row],[EGRESOS]]</f>
        <v>-135000</v>
      </c>
      <c r="H1900" s="274">
        <v>60862997.289999999</v>
      </c>
      <c r="I1900" s="135">
        <v>1290</v>
      </c>
      <c r="J1900" s="136">
        <f>Tabla3[[#This Row],[EGRESOS]]/Tabla3[[#This Row],[TC]]</f>
        <v>104.65116279069767</v>
      </c>
      <c r="K1900" s="136">
        <f>Tabla3[[#This Row],[INGRESOS]]/Tabla3[[#This Row],[TC]]</f>
        <v>0</v>
      </c>
      <c r="L1900" s="8" t="s">
        <v>376</v>
      </c>
      <c r="M1900" s="8" t="s">
        <v>377</v>
      </c>
      <c r="N1900" s="8" t="s">
        <v>20</v>
      </c>
      <c r="O1900" s="8" t="s">
        <v>225</v>
      </c>
      <c r="P1900" s="8" t="s">
        <v>233</v>
      </c>
      <c r="Q1900" s="8" t="s">
        <v>235</v>
      </c>
      <c r="R1900" s="8" t="s">
        <v>1115</v>
      </c>
      <c r="S1900" s="8" t="s">
        <v>1116</v>
      </c>
      <c r="T1900" s="8"/>
      <c r="U1900" s="8" t="s">
        <v>403</v>
      </c>
      <c r="V1900" s="8"/>
      <c r="W1900" s="8" t="s">
        <v>380</v>
      </c>
      <c r="X1900" s="8" t="s">
        <v>29</v>
      </c>
      <c r="Y1900" s="8" t="s">
        <v>23</v>
      </c>
    </row>
    <row r="1901" spans="1:25" s="7" customFormat="1" hidden="1" x14ac:dyDescent="0.25">
      <c r="A1901" s="273" t="s">
        <v>318</v>
      </c>
      <c r="B1901" s="251">
        <v>45870</v>
      </c>
      <c r="C1901" s="252" t="s">
        <v>1117</v>
      </c>
      <c r="D1901" s="252"/>
      <c r="E1901" s="253">
        <v>171000</v>
      </c>
      <c r="F1901" s="253">
        <v>0</v>
      </c>
      <c r="G1901" s="274">
        <f>Tabla3[[#This Row],[INGRESOS]]-Tabla3[[#This Row],[EGRESOS]]</f>
        <v>-171000</v>
      </c>
      <c r="H1901" s="274">
        <v>60691997.289999999</v>
      </c>
      <c r="I1901" s="135">
        <v>1290</v>
      </c>
      <c r="J1901" s="136">
        <f>Tabla3[[#This Row],[EGRESOS]]/Tabla3[[#This Row],[TC]]</f>
        <v>132.55813953488371</v>
      </c>
      <c r="K1901" s="136">
        <f>Tabla3[[#This Row],[INGRESOS]]/Tabla3[[#This Row],[TC]]</f>
        <v>0</v>
      </c>
      <c r="L1901" s="8" t="s">
        <v>376</v>
      </c>
      <c r="M1901" s="8" t="s">
        <v>377</v>
      </c>
      <c r="N1901" s="8" t="s">
        <v>20</v>
      </c>
      <c r="O1901" s="8" t="s">
        <v>184</v>
      </c>
      <c r="P1901" s="8" t="s">
        <v>213</v>
      </c>
      <c r="Q1901" s="8" t="s">
        <v>33</v>
      </c>
      <c r="R1901" s="8" t="s">
        <v>1118</v>
      </c>
      <c r="S1901" s="8" t="s">
        <v>726</v>
      </c>
      <c r="T1901" s="8"/>
      <c r="U1901" s="8" t="s">
        <v>403</v>
      </c>
      <c r="V1901" s="8"/>
      <c r="W1901" s="8" t="s">
        <v>380</v>
      </c>
      <c r="X1901" s="8" t="s">
        <v>99</v>
      </c>
      <c r="Y1901" s="8" t="s">
        <v>23</v>
      </c>
    </row>
    <row r="1902" spans="1:25" s="7" customFormat="1" hidden="1" x14ac:dyDescent="0.25">
      <c r="A1902" s="273" t="s">
        <v>318</v>
      </c>
      <c r="B1902" s="251">
        <v>45870</v>
      </c>
      <c r="C1902" s="252" t="s">
        <v>845</v>
      </c>
      <c r="D1902" s="252"/>
      <c r="E1902" s="253">
        <v>392.3</v>
      </c>
      <c r="F1902" s="253">
        <v>0</v>
      </c>
      <c r="G1902" s="274">
        <f>Tabla3[[#This Row],[INGRESOS]]-Tabla3[[#This Row],[EGRESOS]]</f>
        <v>-392.3</v>
      </c>
      <c r="H1902" s="274">
        <v>60691604.990000002</v>
      </c>
      <c r="I1902" s="135">
        <v>1290</v>
      </c>
      <c r="J1902" s="136">
        <f>Tabla3[[#This Row],[EGRESOS]]/Tabla3[[#This Row],[TC]]</f>
        <v>0.30410852713178294</v>
      </c>
      <c r="K1902" s="136">
        <f>Tabla3[[#This Row],[INGRESOS]]/Tabla3[[#This Row],[TC]]</f>
        <v>0</v>
      </c>
      <c r="L1902" s="8" t="s">
        <v>376</v>
      </c>
      <c r="M1902" s="8" t="s">
        <v>377</v>
      </c>
      <c r="N1902" s="8" t="s">
        <v>20</v>
      </c>
      <c r="O1902" s="8" t="s">
        <v>184</v>
      </c>
      <c r="P1902" s="8" t="s">
        <v>195</v>
      </c>
      <c r="Q1902" s="8" t="s">
        <v>196</v>
      </c>
      <c r="R1902" s="8" t="s">
        <v>423</v>
      </c>
      <c r="S1902" s="8" t="s">
        <v>69</v>
      </c>
      <c r="T1902" s="8"/>
      <c r="U1902" s="8" t="s">
        <v>384</v>
      </c>
      <c r="V1902" s="8"/>
      <c r="W1902" s="8" t="s">
        <v>380</v>
      </c>
      <c r="X1902" s="8" t="s">
        <v>99</v>
      </c>
      <c r="Y1902" s="8" t="s">
        <v>23</v>
      </c>
    </row>
    <row r="1903" spans="1:25" s="7" customFormat="1" hidden="1" x14ac:dyDescent="0.25">
      <c r="A1903" s="273" t="s">
        <v>318</v>
      </c>
      <c r="B1903" s="251">
        <v>45870</v>
      </c>
      <c r="C1903" s="252" t="s">
        <v>845</v>
      </c>
      <c r="D1903" s="252"/>
      <c r="E1903" s="253">
        <v>1.75</v>
      </c>
      <c r="F1903" s="253">
        <v>0</v>
      </c>
      <c r="G1903" s="274">
        <f>Tabla3[[#This Row],[INGRESOS]]-Tabla3[[#This Row],[EGRESOS]]</f>
        <v>-1.75</v>
      </c>
      <c r="H1903" s="274">
        <v>60691603.240000002</v>
      </c>
      <c r="I1903" s="135">
        <v>1290</v>
      </c>
      <c r="J1903" s="136">
        <f>Tabla3[[#This Row],[EGRESOS]]/Tabla3[[#This Row],[TC]]</f>
        <v>1.3565891472868217E-3</v>
      </c>
      <c r="K1903" s="136">
        <f>Tabla3[[#This Row],[INGRESOS]]/Tabla3[[#This Row],[TC]]</f>
        <v>0</v>
      </c>
      <c r="L1903" s="8" t="s">
        <v>376</v>
      </c>
      <c r="M1903" s="8" t="s">
        <v>377</v>
      </c>
      <c r="N1903" s="8" t="s">
        <v>20</v>
      </c>
      <c r="O1903" s="8" t="s">
        <v>184</v>
      </c>
      <c r="P1903" s="8" t="s">
        <v>195</v>
      </c>
      <c r="Q1903" s="8" t="s">
        <v>196</v>
      </c>
      <c r="R1903" s="8" t="s">
        <v>423</v>
      </c>
      <c r="S1903" s="8" t="s">
        <v>69</v>
      </c>
      <c r="T1903" s="8"/>
      <c r="U1903" s="8" t="s">
        <v>384</v>
      </c>
      <c r="V1903" s="8"/>
      <c r="W1903" s="8" t="s">
        <v>380</v>
      </c>
      <c r="X1903" s="8" t="s">
        <v>99</v>
      </c>
      <c r="Y1903" s="8" t="s">
        <v>23</v>
      </c>
    </row>
    <row r="1904" spans="1:25" s="7" customFormat="1" hidden="1" x14ac:dyDescent="0.25">
      <c r="A1904" s="273" t="s">
        <v>318</v>
      </c>
      <c r="B1904" s="251">
        <v>45870</v>
      </c>
      <c r="C1904" s="252" t="s">
        <v>760</v>
      </c>
      <c r="D1904" s="252"/>
      <c r="E1904" s="253">
        <v>9019.9699999999993</v>
      </c>
      <c r="F1904" s="253">
        <v>0</v>
      </c>
      <c r="G1904" s="274">
        <f>Tabla3[[#This Row],[INGRESOS]]-Tabla3[[#This Row],[EGRESOS]]</f>
        <v>-9019.9699999999993</v>
      </c>
      <c r="H1904" s="274">
        <v>60682583.270000003</v>
      </c>
      <c r="I1904" s="135">
        <v>1290</v>
      </c>
      <c r="J1904" s="136">
        <f>Tabla3[[#This Row],[EGRESOS]]/Tabla3[[#This Row],[TC]]</f>
        <v>6.9922248062015502</v>
      </c>
      <c r="K1904" s="136">
        <f>Tabla3[[#This Row],[INGRESOS]]/Tabla3[[#This Row],[TC]]</f>
        <v>0</v>
      </c>
      <c r="L1904" s="8" t="s">
        <v>376</v>
      </c>
      <c r="M1904" s="8" t="s">
        <v>377</v>
      </c>
      <c r="N1904" s="8" t="s">
        <v>20</v>
      </c>
      <c r="O1904" s="8" t="s">
        <v>184</v>
      </c>
      <c r="P1904" s="8" t="s">
        <v>195</v>
      </c>
      <c r="Q1904" s="8" t="s">
        <v>196</v>
      </c>
      <c r="R1904" s="8" t="s">
        <v>394</v>
      </c>
      <c r="S1904" s="8" t="s">
        <v>383</v>
      </c>
      <c r="T1904" s="8"/>
      <c r="U1904" s="8" t="s">
        <v>384</v>
      </c>
      <c r="V1904" s="8"/>
      <c r="W1904" s="8" t="s">
        <v>380</v>
      </c>
      <c r="X1904" s="8" t="s">
        <v>99</v>
      </c>
      <c r="Y1904" s="8" t="s">
        <v>23</v>
      </c>
    </row>
    <row r="1905" spans="1:25" s="7" customFormat="1" hidden="1" x14ac:dyDescent="0.25">
      <c r="A1905" s="273" t="s">
        <v>318</v>
      </c>
      <c r="B1905" s="251">
        <v>45870</v>
      </c>
      <c r="C1905" s="252" t="s">
        <v>773</v>
      </c>
      <c r="D1905" s="252"/>
      <c r="E1905" s="253">
        <v>46919.26</v>
      </c>
      <c r="F1905" s="253">
        <v>0</v>
      </c>
      <c r="G1905" s="274">
        <f>Tabla3[[#This Row],[INGRESOS]]-Tabla3[[#This Row],[EGRESOS]]</f>
        <v>-46919.26</v>
      </c>
      <c r="H1905" s="274">
        <v>60635664.009999998</v>
      </c>
      <c r="I1905" s="135">
        <v>1290</v>
      </c>
      <c r="J1905" s="136">
        <f>Tabla3[[#This Row],[EGRESOS]]/Tabla3[[#This Row],[TC]]</f>
        <v>36.371519379844962</v>
      </c>
      <c r="K1905" s="136">
        <f>Tabla3[[#This Row],[INGRESOS]]/Tabla3[[#This Row],[TC]]</f>
        <v>0</v>
      </c>
      <c r="L1905" s="8" t="s">
        <v>376</v>
      </c>
      <c r="M1905" s="8" t="s">
        <v>377</v>
      </c>
      <c r="N1905" s="8" t="s">
        <v>20</v>
      </c>
      <c r="O1905" s="8" t="s">
        <v>184</v>
      </c>
      <c r="P1905" s="8" t="s">
        <v>195</v>
      </c>
      <c r="Q1905" s="8" t="s">
        <v>196</v>
      </c>
      <c r="R1905" s="8" t="s">
        <v>394</v>
      </c>
      <c r="S1905" s="8" t="s">
        <v>383</v>
      </c>
      <c r="T1905" s="8"/>
      <c r="U1905" s="8" t="s">
        <v>384</v>
      </c>
      <c r="V1905" s="8"/>
      <c r="W1905" s="8" t="s">
        <v>380</v>
      </c>
      <c r="X1905" s="8" t="s">
        <v>99</v>
      </c>
      <c r="Y1905" s="8" t="s">
        <v>23</v>
      </c>
    </row>
    <row r="1906" spans="1:25" s="7" customFormat="1" hidden="1" x14ac:dyDescent="0.25">
      <c r="A1906" s="273" t="s">
        <v>318</v>
      </c>
      <c r="B1906" s="251">
        <v>45873</v>
      </c>
      <c r="C1906" s="252" t="s">
        <v>782</v>
      </c>
      <c r="D1906" s="252" t="s">
        <v>1119</v>
      </c>
      <c r="E1906" s="253">
        <v>33068720.620000001</v>
      </c>
      <c r="F1906" s="253">
        <v>0</v>
      </c>
      <c r="G1906" s="274">
        <f>Tabla3[[#This Row],[INGRESOS]]-Tabla3[[#This Row],[EGRESOS]]</f>
        <v>-33068720.620000001</v>
      </c>
      <c r="H1906" s="274">
        <v>27566943.390000001</v>
      </c>
      <c r="I1906" s="135">
        <v>1290</v>
      </c>
      <c r="J1906" s="136">
        <f>Tabla3[[#This Row],[EGRESOS]]/Tabla3[[#This Row],[TC]]</f>
        <v>25634.667147286822</v>
      </c>
      <c r="K1906" s="136">
        <f>Tabla3[[#This Row],[INGRESOS]]/Tabla3[[#This Row],[TC]]</f>
        <v>0</v>
      </c>
      <c r="L1906" s="8" t="s">
        <v>376</v>
      </c>
      <c r="M1906" s="8" t="s">
        <v>377</v>
      </c>
      <c r="N1906" s="8" t="s">
        <v>20</v>
      </c>
      <c r="O1906" s="8" t="s">
        <v>286</v>
      </c>
      <c r="P1906" s="8" t="s">
        <v>294</v>
      </c>
      <c r="Q1906" s="8" t="s">
        <v>300</v>
      </c>
      <c r="R1906" s="8"/>
      <c r="S1906" s="8" t="s">
        <v>689</v>
      </c>
      <c r="T1906" s="8"/>
      <c r="U1906" s="8" t="s">
        <v>690</v>
      </c>
      <c r="V1906" s="8"/>
      <c r="W1906" s="8" t="s">
        <v>380</v>
      </c>
      <c r="X1906" s="8" t="s">
        <v>99</v>
      </c>
      <c r="Y1906" s="8" t="s">
        <v>23</v>
      </c>
    </row>
    <row r="1907" spans="1:25" s="7" customFormat="1" hidden="1" x14ac:dyDescent="0.25">
      <c r="A1907" s="273" t="s">
        <v>318</v>
      </c>
      <c r="B1907" s="251">
        <v>45873</v>
      </c>
      <c r="C1907" s="252" t="s">
        <v>782</v>
      </c>
      <c r="D1907" s="252" t="s">
        <v>1120</v>
      </c>
      <c r="E1907" s="253">
        <v>420100</v>
      </c>
      <c r="F1907" s="253">
        <v>0</v>
      </c>
      <c r="G1907" s="274">
        <f>Tabla3[[#This Row],[INGRESOS]]-Tabla3[[#This Row],[EGRESOS]]</f>
        <v>-420100</v>
      </c>
      <c r="H1907" s="274">
        <v>27146843.390000001</v>
      </c>
      <c r="I1907" s="135">
        <v>1290</v>
      </c>
      <c r="J1907" s="136">
        <f>Tabla3[[#This Row],[EGRESOS]]/Tabla3[[#This Row],[TC]]</f>
        <v>325.65891472868219</v>
      </c>
      <c r="K1907" s="136">
        <f>Tabla3[[#This Row],[INGRESOS]]/Tabla3[[#This Row],[TC]]</f>
        <v>0</v>
      </c>
      <c r="L1907" s="8" t="s">
        <v>376</v>
      </c>
      <c r="M1907" s="8" t="s">
        <v>377</v>
      </c>
      <c r="N1907" s="8" t="s">
        <v>20</v>
      </c>
      <c r="O1907" s="8" t="s">
        <v>286</v>
      </c>
      <c r="P1907" s="8" t="s">
        <v>287</v>
      </c>
      <c r="Q1907" s="8" t="s">
        <v>293</v>
      </c>
      <c r="R1907" s="8" t="s">
        <v>443</v>
      </c>
      <c r="S1907" s="8" t="s">
        <v>64</v>
      </c>
      <c r="T1907" s="8" t="s">
        <v>1066</v>
      </c>
      <c r="U1907" s="8" t="s">
        <v>412</v>
      </c>
      <c r="V1907" s="8"/>
      <c r="W1907" s="8" t="s">
        <v>380</v>
      </c>
      <c r="X1907" s="8" t="s">
        <v>41</v>
      </c>
      <c r="Y1907" s="8" t="s">
        <v>23</v>
      </c>
    </row>
    <row r="1908" spans="1:25" s="7" customFormat="1" hidden="1" x14ac:dyDescent="0.25">
      <c r="A1908" s="273" t="s">
        <v>318</v>
      </c>
      <c r="B1908" s="251">
        <v>45873</v>
      </c>
      <c r="C1908" s="252" t="s">
        <v>800</v>
      </c>
      <c r="D1908" s="252"/>
      <c r="E1908" s="253">
        <v>27200</v>
      </c>
      <c r="F1908" s="253">
        <v>0</v>
      </c>
      <c r="G1908" s="274">
        <f>Tabla3[[#This Row],[INGRESOS]]-Tabla3[[#This Row],[EGRESOS]]</f>
        <v>-27200</v>
      </c>
      <c r="H1908" s="274">
        <v>27119643.390000001</v>
      </c>
      <c r="I1908" s="135">
        <v>1290</v>
      </c>
      <c r="J1908" s="136">
        <f>Tabla3[[#This Row],[EGRESOS]]/Tabla3[[#This Row],[TC]]</f>
        <v>21.085271317829456</v>
      </c>
      <c r="K1908" s="136">
        <f>Tabla3[[#This Row],[INGRESOS]]/Tabla3[[#This Row],[TC]]</f>
        <v>0</v>
      </c>
      <c r="L1908" s="8" t="s">
        <v>376</v>
      </c>
      <c r="M1908" s="8" t="s">
        <v>377</v>
      </c>
      <c r="N1908" s="8" t="s">
        <v>20</v>
      </c>
      <c r="O1908" s="8" t="s">
        <v>225</v>
      </c>
      <c r="P1908" s="8" t="s">
        <v>236</v>
      </c>
      <c r="Q1908" s="8" t="s">
        <v>227</v>
      </c>
      <c r="R1908" s="8"/>
      <c r="S1908" s="8" t="s">
        <v>1121</v>
      </c>
      <c r="T1908" s="8"/>
      <c r="U1908" s="8" t="s">
        <v>412</v>
      </c>
      <c r="V1908" s="8"/>
      <c r="W1908" s="8" t="s">
        <v>380</v>
      </c>
      <c r="X1908" s="8" t="s">
        <v>29</v>
      </c>
      <c r="Y1908" s="8" t="s">
        <v>23</v>
      </c>
    </row>
    <row r="1909" spans="1:25" s="7" customFormat="1" hidden="1" x14ac:dyDescent="0.25">
      <c r="A1909" s="273" t="s">
        <v>318</v>
      </c>
      <c r="B1909" s="251">
        <v>45888</v>
      </c>
      <c r="C1909" s="252" t="s">
        <v>800</v>
      </c>
      <c r="D1909" s="252"/>
      <c r="E1909" s="253">
        <v>160000</v>
      </c>
      <c r="F1909" s="253">
        <v>0</v>
      </c>
      <c r="G1909" s="274">
        <f>Tabla3[[#This Row],[INGRESOS]]-Tabla3[[#This Row],[EGRESOS]]</f>
        <v>-160000</v>
      </c>
      <c r="H1909" s="274">
        <v>32232996.91</v>
      </c>
      <c r="I1909" s="135">
        <v>1350</v>
      </c>
      <c r="J1909" s="136">
        <f>Tabla3[[#This Row],[EGRESOS]]/Tabla3[[#This Row],[TC]]</f>
        <v>118.51851851851852</v>
      </c>
      <c r="K1909" s="136">
        <f>Tabla3[[#This Row],[INGRESOS]]/Tabla3[[#This Row],[TC]]</f>
        <v>0</v>
      </c>
      <c r="L1909" s="8" t="s">
        <v>376</v>
      </c>
      <c r="M1909" s="8" t="s">
        <v>377</v>
      </c>
      <c r="N1909" s="8" t="s">
        <v>20</v>
      </c>
      <c r="O1909" s="8" t="s">
        <v>184</v>
      </c>
      <c r="P1909" s="8" t="s">
        <v>203</v>
      </c>
      <c r="Q1909" s="8" t="s">
        <v>205</v>
      </c>
      <c r="R1909" s="8" t="s">
        <v>619</v>
      </c>
      <c r="S1909" s="8" t="s">
        <v>386</v>
      </c>
      <c r="T1909" s="8"/>
      <c r="U1909" s="8" t="s">
        <v>387</v>
      </c>
      <c r="V1909" s="8" t="s">
        <v>386</v>
      </c>
      <c r="W1909" s="8" t="s">
        <v>380</v>
      </c>
      <c r="X1909" s="8" t="s">
        <v>104</v>
      </c>
      <c r="Y1909" s="8" t="s">
        <v>23</v>
      </c>
    </row>
    <row r="1910" spans="1:25" s="7" customFormat="1" hidden="1" x14ac:dyDescent="0.25">
      <c r="A1910" s="273" t="s">
        <v>318</v>
      </c>
      <c r="B1910" s="251">
        <v>45873</v>
      </c>
      <c r="C1910" s="252" t="s">
        <v>828</v>
      </c>
      <c r="D1910" s="252"/>
      <c r="E1910" s="253">
        <v>121</v>
      </c>
      <c r="F1910" s="253">
        <v>0</v>
      </c>
      <c r="G1910" s="274">
        <f>Tabla3[[#This Row],[INGRESOS]]-Tabla3[[#This Row],[EGRESOS]]</f>
        <v>-121</v>
      </c>
      <c r="H1910" s="274">
        <v>25919522.390000001</v>
      </c>
      <c r="I1910" s="135">
        <v>1290</v>
      </c>
      <c r="J1910" s="136">
        <f>Tabla3[[#This Row],[EGRESOS]]/Tabla3[[#This Row],[TC]]</f>
        <v>9.3798449612403106E-2</v>
      </c>
      <c r="K1910" s="136">
        <f>Tabla3[[#This Row],[INGRESOS]]/Tabla3[[#This Row],[TC]]</f>
        <v>0</v>
      </c>
      <c r="L1910" s="8" t="s">
        <v>376</v>
      </c>
      <c r="M1910" s="8" t="s">
        <v>377</v>
      </c>
      <c r="N1910" s="8" t="s">
        <v>20</v>
      </c>
      <c r="O1910" s="8" t="s">
        <v>184</v>
      </c>
      <c r="P1910" s="8" t="s">
        <v>185</v>
      </c>
      <c r="Q1910" s="8" t="s">
        <v>186</v>
      </c>
      <c r="R1910" s="8" t="s">
        <v>227</v>
      </c>
      <c r="S1910" s="8"/>
      <c r="T1910" s="8"/>
      <c r="U1910" s="8" t="s">
        <v>384</v>
      </c>
      <c r="V1910" s="8"/>
      <c r="W1910" s="8" t="s">
        <v>380</v>
      </c>
      <c r="X1910" s="8" t="s">
        <v>99</v>
      </c>
      <c r="Y1910" s="8" t="s">
        <v>23</v>
      </c>
    </row>
    <row r="1911" spans="1:25" s="7" customFormat="1" hidden="1" x14ac:dyDescent="0.25">
      <c r="A1911" s="273" t="s">
        <v>318</v>
      </c>
      <c r="B1911" s="251">
        <v>45873</v>
      </c>
      <c r="C1911" s="252" t="s">
        <v>987</v>
      </c>
      <c r="D1911" s="252"/>
      <c r="E1911" s="253">
        <v>0</v>
      </c>
      <c r="F1911" s="253">
        <v>2488150.84</v>
      </c>
      <c r="G1911" s="274">
        <f>Tabla3[[#This Row],[INGRESOS]]-Tabla3[[#This Row],[EGRESOS]]</f>
        <v>2488150.84</v>
      </c>
      <c r="H1911" s="274">
        <v>28407673.23</v>
      </c>
      <c r="I1911" s="135">
        <v>1290</v>
      </c>
      <c r="J1911" s="136">
        <f>Tabla3[[#This Row],[EGRESOS]]/Tabla3[[#This Row],[TC]]</f>
        <v>0</v>
      </c>
      <c r="K1911" s="136">
        <f>Tabla3[[#This Row],[INGRESOS]]/Tabla3[[#This Row],[TC]]</f>
        <v>1928.7991007751937</v>
      </c>
      <c r="L1911" s="8" t="s">
        <v>376</v>
      </c>
      <c r="M1911" s="8" t="s">
        <v>377</v>
      </c>
      <c r="N1911" s="8" t="s">
        <v>20</v>
      </c>
      <c r="O1911" s="8" t="s">
        <v>215</v>
      </c>
      <c r="P1911" s="8" t="s">
        <v>216</v>
      </c>
      <c r="Q1911" s="8" t="s">
        <v>220</v>
      </c>
      <c r="R1911" s="8" t="s">
        <v>705</v>
      </c>
      <c r="S1911" s="8" t="s">
        <v>706</v>
      </c>
      <c r="T1911" s="8"/>
      <c r="U1911" s="8" t="s">
        <v>516</v>
      </c>
      <c r="V1911" s="8"/>
      <c r="W1911" s="8" t="s">
        <v>380</v>
      </c>
      <c r="X1911" s="8" t="s">
        <v>23</v>
      </c>
      <c r="Y1911" s="8" t="s">
        <v>97</v>
      </c>
    </row>
    <row r="1912" spans="1:25" s="7" customFormat="1" hidden="1" x14ac:dyDescent="0.25">
      <c r="A1912" s="273" t="s">
        <v>318</v>
      </c>
      <c r="B1912" s="251">
        <v>45873</v>
      </c>
      <c r="C1912" s="252" t="s">
        <v>760</v>
      </c>
      <c r="D1912" s="252"/>
      <c r="E1912" s="253">
        <v>14928.91</v>
      </c>
      <c r="F1912" s="253">
        <v>0</v>
      </c>
      <c r="G1912" s="274">
        <f>Tabla3[[#This Row],[INGRESOS]]-Tabla3[[#This Row],[EGRESOS]]</f>
        <v>-14928.91</v>
      </c>
      <c r="H1912" s="274">
        <v>28392744.32</v>
      </c>
      <c r="I1912" s="135">
        <v>1290</v>
      </c>
      <c r="J1912" s="136">
        <f>Tabla3[[#This Row],[EGRESOS]]/Tabla3[[#This Row],[TC]]</f>
        <v>11.572798449612403</v>
      </c>
      <c r="K1912" s="136">
        <f>Tabla3[[#This Row],[INGRESOS]]/Tabla3[[#This Row],[TC]]</f>
        <v>0</v>
      </c>
      <c r="L1912" s="8" t="s">
        <v>376</v>
      </c>
      <c r="M1912" s="8" t="s">
        <v>377</v>
      </c>
      <c r="N1912" s="8" t="s">
        <v>20</v>
      </c>
      <c r="O1912" s="8" t="s">
        <v>184</v>
      </c>
      <c r="P1912" s="8" t="s">
        <v>195</v>
      </c>
      <c r="Q1912" s="8" t="s">
        <v>196</v>
      </c>
      <c r="R1912" s="8" t="s">
        <v>394</v>
      </c>
      <c r="S1912" s="8" t="s">
        <v>383</v>
      </c>
      <c r="T1912" s="8"/>
      <c r="U1912" s="8" t="s">
        <v>384</v>
      </c>
      <c r="V1912" s="8"/>
      <c r="W1912" s="8" t="s">
        <v>380</v>
      </c>
      <c r="X1912" s="8" t="s">
        <v>99</v>
      </c>
      <c r="Y1912" s="8" t="s">
        <v>23</v>
      </c>
    </row>
    <row r="1913" spans="1:25" s="7" customFormat="1" hidden="1" x14ac:dyDescent="0.25">
      <c r="A1913" s="273" t="s">
        <v>318</v>
      </c>
      <c r="B1913" s="251">
        <v>45873</v>
      </c>
      <c r="C1913" s="252" t="s">
        <v>773</v>
      </c>
      <c r="D1913" s="252"/>
      <c r="E1913" s="253">
        <v>208296.85</v>
      </c>
      <c r="F1913" s="253">
        <v>0</v>
      </c>
      <c r="G1913" s="274">
        <f>Tabla3[[#This Row],[INGRESOS]]-Tabla3[[#This Row],[EGRESOS]]</f>
        <v>-208296.85</v>
      </c>
      <c r="H1913" s="274">
        <v>28184447.469999999</v>
      </c>
      <c r="I1913" s="135">
        <v>1290</v>
      </c>
      <c r="J1913" s="136">
        <f>Tabla3[[#This Row],[EGRESOS]]/Tabla3[[#This Row],[TC]]</f>
        <v>161.47042635658914</v>
      </c>
      <c r="K1913" s="136">
        <f>Tabla3[[#This Row],[INGRESOS]]/Tabla3[[#This Row],[TC]]</f>
        <v>0</v>
      </c>
      <c r="L1913" s="8" t="s">
        <v>376</v>
      </c>
      <c r="M1913" s="8" t="s">
        <v>377</v>
      </c>
      <c r="N1913" s="8" t="s">
        <v>20</v>
      </c>
      <c r="O1913" s="8" t="s">
        <v>184</v>
      </c>
      <c r="P1913" s="8" t="s">
        <v>195</v>
      </c>
      <c r="Q1913" s="8" t="s">
        <v>196</v>
      </c>
      <c r="R1913" s="8" t="s">
        <v>394</v>
      </c>
      <c r="S1913" s="8" t="s">
        <v>383</v>
      </c>
      <c r="T1913" s="8"/>
      <c r="U1913" s="8" t="s">
        <v>384</v>
      </c>
      <c r="V1913" s="8"/>
      <c r="W1913" s="8" t="s">
        <v>380</v>
      </c>
      <c r="X1913" s="8" t="s">
        <v>99</v>
      </c>
      <c r="Y1913" s="8" t="s">
        <v>23</v>
      </c>
    </row>
    <row r="1914" spans="1:25" s="7" customFormat="1" hidden="1" x14ac:dyDescent="0.25">
      <c r="A1914" s="273" t="s">
        <v>318</v>
      </c>
      <c r="B1914" s="251">
        <v>45874</v>
      </c>
      <c r="C1914" s="252" t="s">
        <v>782</v>
      </c>
      <c r="D1914" s="252" t="s">
        <v>1122</v>
      </c>
      <c r="E1914" s="253">
        <v>2615100</v>
      </c>
      <c r="F1914" s="253">
        <v>0</v>
      </c>
      <c r="G1914" s="274">
        <f>Tabla3[[#This Row],[INGRESOS]]-Tabla3[[#This Row],[EGRESOS]]</f>
        <v>-2615100</v>
      </c>
      <c r="H1914" s="274">
        <v>25569347.469999999</v>
      </c>
      <c r="I1914" s="135">
        <v>1290</v>
      </c>
      <c r="J1914" s="136">
        <f>Tabla3[[#This Row],[EGRESOS]]/Tabla3[[#This Row],[TC]]</f>
        <v>2027.2093023255813</v>
      </c>
      <c r="K1914" s="136">
        <f>Tabla3[[#This Row],[INGRESOS]]/Tabla3[[#This Row],[TC]]</f>
        <v>0</v>
      </c>
      <c r="L1914" s="8" t="s">
        <v>376</v>
      </c>
      <c r="M1914" s="8" t="s">
        <v>377</v>
      </c>
      <c r="N1914" s="8" t="s">
        <v>20</v>
      </c>
      <c r="O1914" s="8" t="s">
        <v>286</v>
      </c>
      <c r="P1914" s="8" t="s">
        <v>287</v>
      </c>
      <c r="Q1914" s="8" t="s">
        <v>291</v>
      </c>
      <c r="R1914" s="8" t="s">
        <v>143</v>
      </c>
      <c r="S1914" s="8" t="s">
        <v>1079</v>
      </c>
      <c r="T1914" s="8" t="s">
        <v>1080</v>
      </c>
      <c r="U1914" s="8" t="s">
        <v>412</v>
      </c>
      <c r="V1914" s="8"/>
      <c r="W1914" s="8" t="s">
        <v>380</v>
      </c>
      <c r="X1914" s="8" t="s">
        <v>29</v>
      </c>
      <c r="Y1914" s="8" t="s">
        <v>23</v>
      </c>
    </row>
    <row r="1915" spans="1:25" s="7" customFormat="1" hidden="1" x14ac:dyDescent="0.25">
      <c r="A1915" s="273" t="s">
        <v>318</v>
      </c>
      <c r="B1915" s="251">
        <v>45874</v>
      </c>
      <c r="C1915" s="252" t="s">
        <v>782</v>
      </c>
      <c r="D1915" s="252" t="s">
        <v>1123</v>
      </c>
      <c r="E1915" s="253">
        <v>2300000</v>
      </c>
      <c r="F1915" s="253">
        <v>0</v>
      </c>
      <c r="G1915" s="274">
        <f>Tabla3[[#This Row],[INGRESOS]]-Tabla3[[#This Row],[EGRESOS]]</f>
        <v>-2300000</v>
      </c>
      <c r="H1915" s="274">
        <v>23269347.469999999</v>
      </c>
      <c r="I1915" s="135">
        <v>1290</v>
      </c>
      <c r="J1915" s="136">
        <f>Tabla3[[#This Row],[EGRESOS]]/Tabla3[[#This Row],[TC]]</f>
        <v>1782.9457364341085</v>
      </c>
      <c r="K1915" s="136">
        <f>Tabla3[[#This Row],[INGRESOS]]/Tabla3[[#This Row],[TC]]</f>
        <v>0</v>
      </c>
      <c r="L1915" s="8" t="s">
        <v>376</v>
      </c>
      <c r="M1915" s="8" t="s">
        <v>377</v>
      </c>
      <c r="N1915" s="8" t="s">
        <v>20</v>
      </c>
      <c r="O1915" s="8" t="s">
        <v>286</v>
      </c>
      <c r="P1915" s="8" t="s">
        <v>287</v>
      </c>
      <c r="Q1915" s="8" t="s">
        <v>288</v>
      </c>
      <c r="R1915" s="8" t="s">
        <v>143</v>
      </c>
      <c r="S1915" s="8" t="s">
        <v>665</v>
      </c>
      <c r="T1915" s="8"/>
      <c r="U1915" s="8" t="s">
        <v>412</v>
      </c>
      <c r="V1915" s="8"/>
      <c r="W1915" s="8" t="s">
        <v>380</v>
      </c>
      <c r="X1915" s="8" t="s">
        <v>29</v>
      </c>
      <c r="Y1915" s="8" t="s">
        <v>23</v>
      </c>
    </row>
    <row r="1916" spans="1:25" s="7" customFormat="1" hidden="1" x14ac:dyDescent="0.25">
      <c r="A1916" s="273" t="s">
        <v>318</v>
      </c>
      <c r="B1916" s="251">
        <v>45874</v>
      </c>
      <c r="C1916" s="252" t="s">
        <v>945</v>
      </c>
      <c r="D1916" s="252"/>
      <c r="E1916" s="253">
        <v>0</v>
      </c>
      <c r="F1916" s="253">
        <v>62350099</v>
      </c>
      <c r="G1916" s="274">
        <f>Tabla3[[#This Row],[INGRESOS]]-Tabla3[[#This Row],[EGRESOS]]</f>
        <v>62350099</v>
      </c>
      <c r="H1916" s="274">
        <v>85619446.469999999</v>
      </c>
      <c r="I1916" s="135">
        <v>1290</v>
      </c>
      <c r="J1916" s="136">
        <f>Tabla3[[#This Row],[EGRESOS]]/Tabla3[[#This Row],[TC]]</f>
        <v>0</v>
      </c>
      <c r="K1916" s="136">
        <f>Tabla3[[#This Row],[INGRESOS]]/Tabla3[[#This Row],[TC]]</f>
        <v>48333.41007751938</v>
      </c>
      <c r="L1916" s="8" t="s">
        <v>376</v>
      </c>
      <c r="M1916" s="8" t="s">
        <v>377</v>
      </c>
      <c r="N1916" s="8" t="s">
        <v>20</v>
      </c>
      <c r="O1916" s="8" t="s">
        <v>286</v>
      </c>
      <c r="P1916" s="8" t="s">
        <v>304</v>
      </c>
      <c r="Q1916" s="8" t="s">
        <v>305</v>
      </c>
      <c r="R1916" s="8" t="s">
        <v>1124</v>
      </c>
      <c r="S1916" s="8" t="s">
        <v>947</v>
      </c>
      <c r="T1916" s="8" t="s">
        <v>1125</v>
      </c>
      <c r="U1916" s="8" t="s">
        <v>949</v>
      </c>
      <c r="V1916" s="8"/>
      <c r="W1916" s="8" t="s">
        <v>380</v>
      </c>
      <c r="X1916" s="8" t="s">
        <v>23</v>
      </c>
      <c r="Y1916" s="8" t="s">
        <v>97</v>
      </c>
    </row>
    <row r="1917" spans="1:25" s="7" customFormat="1" hidden="1" x14ac:dyDescent="0.25">
      <c r="A1917" s="273" t="s">
        <v>318</v>
      </c>
      <c r="B1917" s="251">
        <v>45874</v>
      </c>
      <c r="C1917" s="252" t="s">
        <v>760</v>
      </c>
      <c r="D1917" s="252"/>
      <c r="E1917" s="253">
        <v>374100.59</v>
      </c>
      <c r="F1917" s="253">
        <v>0</v>
      </c>
      <c r="G1917" s="274">
        <f>Tabla3[[#This Row],[INGRESOS]]-Tabla3[[#This Row],[EGRESOS]]</f>
        <v>-374100.59</v>
      </c>
      <c r="H1917" s="274">
        <v>85245345.879999995</v>
      </c>
      <c r="I1917" s="135">
        <v>1290</v>
      </c>
      <c r="J1917" s="136">
        <f>Tabla3[[#This Row],[EGRESOS]]/Tabla3[[#This Row],[TC]]</f>
        <v>290.00045736434112</v>
      </c>
      <c r="K1917" s="136">
        <f>Tabla3[[#This Row],[INGRESOS]]/Tabla3[[#This Row],[TC]]</f>
        <v>0</v>
      </c>
      <c r="L1917" s="8" t="s">
        <v>376</v>
      </c>
      <c r="M1917" s="8" t="s">
        <v>377</v>
      </c>
      <c r="N1917" s="8" t="s">
        <v>20</v>
      </c>
      <c r="O1917" s="8" t="s">
        <v>184</v>
      </c>
      <c r="P1917" s="8" t="s">
        <v>195</v>
      </c>
      <c r="Q1917" s="8" t="s">
        <v>196</v>
      </c>
      <c r="R1917" s="8" t="s">
        <v>394</v>
      </c>
      <c r="S1917" s="8" t="s">
        <v>383</v>
      </c>
      <c r="T1917" s="8"/>
      <c r="U1917" s="8" t="s">
        <v>384</v>
      </c>
      <c r="V1917" s="8"/>
      <c r="W1917" s="8" t="s">
        <v>380</v>
      </c>
      <c r="X1917" s="8" t="s">
        <v>99</v>
      </c>
      <c r="Y1917" s="8" t="s">
        <v>23</v>
      </c>
    </row>
    <row r="1918" spans="1:25" s="7" customFormat="1" hidden="1" x14ac:dyDescent="0.25">
      <c r="A1918" s="273" t="s">
        <v>318</v>
      </c>
      <c r="B1918" s="251">
        <v>45874</v>
      </c>
      <c r="C1918" s="252" t="s">
        <v>773</v>
      </c>
      <c r="D1918" s="252"/>
      <c r="E1918" s="253">
        <v>29490.6</v>
      </c>
      <c r="F1918" s="253">
        <v>0</v>
      </c>
      <c r="G1918" s="274">
        <f>Tabla3[[#This Row],[INGRESOS]]-Tabla3[[#This Row],[EGRESOS]]</f>
        <v>-29490.6</v>
      </c>
      <c r="H1918" s="274">
        <v>85215855.280000001</v>
      </c>
      <c r="I1918" s="135">
        <v>1290</v>
      </c>
      <c r="J1918" s="136">
        <f>Tabla3[[#This Row],[EGRESOS]]/Tabla3[[#This Row],[TC]]</f>
        <v>22.86093023255814</v>
      </c>
      <c r="K1918" s="136">
        <f>Tabla3[[#This Row],[INGRESOS]]/Tabla3[[#This Row],[TC]]</f>
        <v>0</v>
      </c>
      <c r="L1918" s="8" t="s">
        <v>376</v>
      </c>
      <c r="M1918" s="8" t="s">
        <v>377</v>
      </c>
      <c r="N1918" s="8" t="s">
        <v>20</v>
      </c>
      <c r="O1918" s="8" t="s">
        <v>184</v>
      </c>
      <c r="P1918" s="8" t="s">
        <v>195</v>
      </c>
      <c r="Q1918" s="8" t="s">
        <v>196</v>
      </c>
      <c r="R1918" s="8" t="s">
        <v>394</v>
      </c>
      <c r="S1918" s="8" t="s">
        <v>383</v>
      </c>
      <c r="T1918" s="8"/>
      <c r="U1918" s="8" t="s">
        <v>384</v>
      </c>
      <c r="V1918" s="8"/>
      <c r="W1918" s="8" t="s">
        <v>380</v>
      </c>
      <c r="X1918" s="8" t="s">
        <v>99</v>
      </c>
      <c r="Y1918" s="8" t="s">
        <v>23</v>
      </c>
    </row>
    <row r="1919" spans="1:25" s="7" customFormat="1" hidden="1" x14ac:dyDescent="0.25">
      <c r="A1919" s="273" t="s">
        <v>318</v>
      </c>
      <c r="B1919" s="251">
        <v>45875</v>
      </c>
      <c r="C1919" s="252" t="s">
        <v>404</v>
      </c>
      <c r="D1919" s="252"/>
      <c r="E1919" s="253">
        <v>100000</v>
      </c>
      <c r="F1919" s="253">
        <v>0</v>
      </c>
      <c r="G1919" s="274">
        <f>Tabla3[[#This Row],[INGRESOS]]-Tabla3[[#This Row],[EGRESOS]]</f>
        <v>-100000</v>
      </c>
      <c r="H1919" s="274">
        <v>85115855.280000001</v>
      </c>
      <c r="I1919" s="135">
        <v>1290</v>
      </c>
      <c r="J1919" s="136">
        <f>Tabla3[[#This Row],[EGRESOS]]/Tabla3[[#This Row],[TC]]</f>
        <v>77.519379844961236</v>
      </c>
      <c r="K1919" s="136">
        <f>Tabla3[[#This Row],[INGRESOS]]/Tabla3[[#This Row],[TC]]</f>
        <v>0</v>
      </c>
      <c r="L1919" s="8" t="s">
        <v>376</v>
      </c>
      <c r="M1919" s="8" t="s">
        <v>377</v>
      </c>
      <c r="N1919" s="8" t="s">
        <v>20</v>
      </c>
      <c r="O1919" s="8" t="s">
        <v>244</v>
      </c>
      <c r="P1919" s="8" t="s">
        <v>259</v>
      </c>
      <c r="Q1919" s="8" t="s">
        <v>260</v>
      </c>
      <c r="R1919" s="8" t="s">
        <v>466</v>
      </c>
      <c r="S1919" s="8"/>
      <c r="T1919" s="8"/>
      <c r="U1919" s="8" t="s">
        <v>379</v>
      </c>
      <c r="V1919" s="8"/>
      <c r="W1919" s="8" t="s">
        <v>380</v>
      </c>
      <c r="X1919" s="8"/>
      <c r="Y1919" s="8"/>
    </row>
    <row r="1920" spans="1:25" s="7" customFormat="1" hidden="1" x14ac:dyDescent="0.25">
      <c r="A1920" s="273" t="s">
        <v>318</v>
      </c>
      <c r="B1920" s="251">
        <v>45875</v>
      </c>
      <c r="C1920" s="252" t="s">
        <v>404</v>
      </c>
      <c r="D1920" s="252"/>
      <c r="E1920" s="253">
        <v>20000</v>
      </c>
      <c r="F1920" s="253">
        <v>0</v>
      </c>
      <c r="G1920" s="274">
        <f>Tabla3[[#This Row],[INGRESOS]]-Tabla3[[#This Row],[EGRESOS]]</f>
        <v>-20000</v>
      </c>
      <c r="H1920" s="274">
        <v>85095855.280000001</v>
      </c>
      <c r="I1920" s="135">
        <v>1290</v>
      </c>
      <c r="J1920" s="136">
        <f>Tabla3[[#This Row],[EGRESOS]]/Tabla3[[#This Row],[TC]]</f>
        <v>15.503875968992247</v>
      </c>
      <c r="K1920" s="136">
        <f>Tabla3[[#This Row],[INGRESOS]]/Tabla3[[#This Row],[TC]]</f>
        <v>0</v>
      </c>
      <c r="L1920" s="8" t="s">
        <v>376</v>
      </c>
      <c r="M1920" s="8" t="s">
        <v>377</v>
      </c>
      <c r="N1920" s="8" t="s">
        <v>20</v>
      </c>
      <c r="O1920" s="8" t="s">
        <v>244</v>
      </c>
      <c r="P1920" s="8" t="s">
        <v>259</v>
      </c>
      <c r="Q1920" s="8" t="s">
        <v>260</v>
      </c>
      <c r="R1920" s="8" t="s">
        <v>467</v>
      </c>
      <c r="S1920" s="8"/>
      <c r="T1920" s="8"/>
      <c r="U1920" s="8" t="s">
        <v>379</v>
      </c>
      <c r="V1920" s="8"/>
      <c r="W1920" s="8" t="s">
        <v>380</v>
      </c>
      <c r="X1920" s="8"/>
      <c r="Y1920" s="8"/>
    </row>
    <row r="1921" spans="1:25" s="7" customFormat="1" hidden="1" x14ac:dyDescent="0.25">
      <c r="A1921" s="273" t="s">
        <v>318</v>
      </c>
      <c r="B1921" s="251">
        <v>45875</v>
      </c>
      <c r="C1921" s="252" t="s">
        <v>404</v>
      </c>
      <c r="D1921" s="252"/>
      <c r="E1921" s="253">
        <v>50000</v>
      </c>
      <c r="F1921" s="253">
        <v>0</v>
      </c>
      <c r="G1921" s="274">
        <f>Tabla3[[#This Row],[INGRESOS]]-Tabla3[[#This Row],[EGRESOS]]</f>
        <v>-50000</v>
      </c>
      <c r="H1921" s="274">
        <v>85045855.280000001</v>
      </c>
      <c r="I1921" s="135">
        <v>1290</v>
      </c>
      <c r="J1921" s="136">
        <f>Tabla3[[#This Row],[EGRESOS]]/Tabla3[[#This Row],[TC]]</f>
        <v>38.759689922480618</v>
      </c>
      <c r="K1921" s="136">
        <f>Tabla3[[#This Row],[INGRESOS]]/Tabla3[[#This Row],[TC]]</f>
        <v>0</v>
      </c>
      <c r="L1921" s="8" t="s">
        <v>376</v>
      </c>
      <c r="M1921" s="8" t="s">
        <v>377</v>
      </c>
      <c r="N1921" s="8" t="s">
        <v>20</v>
      </c>
      <c r="O1921" s="8" t="s">
        <v>244</v>
      </c>
      <c r="P1921" s="8" t="s">
        <v>259</v>
      </c>
      <c r="Q1921" s="8" t="s">
        <v>260</v>
      </c>
      <c r="R1921" s="8" t="s">
        <v>472</v>
      </c>
      <c r="S1921" s="8"/>
      <c r="T1921" s="8"/>
      <c r="U1921" s="8" t="s">
        <v>379</v>
      </c>
      <c r="V1921" s="8"/>
      <c r="W1921" s="8" t="s">
        <v>380</v>
      </c>
      <c r="X1921" s="8"/>
      <c r="Y1921" s="8"/>
    </row>
    <row r="1922" spans="1:25" s="7" customFormat="1" hidden="1" x14ac:dyDescent="0.25">
      <c r="A1922" s="273" t="s">
        <v>318</v>
      </c>
      <c r="B1922" s="251">
        <v>45876</v>
      </c>
      <c r="C1922" s="252" t="s">
        <v>782</v>
      </c>
      <c r="D1922" s="252" t="s">
        <v>1126</v>
      </c>
      <c r="E1922" s="253">
        <v>83285264.400000006</v>
      </c>
      <c r="F1922" s="253">
        <v>0</v>
      </c>
      <c r="G1922" s="274">
        <f>Tabla3[[#This Row],[INGRESOS]]-Tabla3[[#This Row],[EGRESOS]]</f>
        <v>-83285264.400000006</v>
      </c>
      <c r="H1922" s="274">
        <v>1760590.88</v>
      </c>
      <c r="I1922" s="135">
        <v>1290</v>
      </c>
      <c r="J1922" s="136">
        <f>Tabla3[[#This Row],[EGRESOS]]/Tabla3[[#This Row],[TC]]</f>
        <v>64562.220465116283</v>
      </c>
      <c r="K1922" s="136">
        <f>Tabla3[[#This Row],[INGRESOS]]/Tabla3[[#This Row],[TC]]</f>
        <v>0</v>
      </c>
      <c r="L1922" s="8" t="s">
        <v>376</v>
      </c>
      <c r="M1922" s="8" t="s">
        <v>377</v>
      </c>
      <c r="N1922" s="8" t="s">
        <v>20</v>
      </c>
      <c r="O1922" s="8" t="s">
        <v>286</v>
      </c>
      <c r="P1922" s="8" t="s">
        <v>294</v>
      </c>
      <c r="Q1922" s="8" t="s">
        <v>301</v>
      </c>
      <c r="R1922" s="8"/>
      <c r="S1922" s="8" t="s">
        <v>689</v>
      </c>
      <c r="T1922" s="8"/>
      <c r="U1922" s="8" t="s">
        <v>690</v>
      </c>
      <c r="V1922" s="8"/>
      <c r="W1922" s="8" t="s">
        <v>380</v>
      </c>
      <c r="X1922" s="8" t="s">
        <v>99</v>
      </c>
      <c r="Y1922" s="8" t="s">
        <v>23</v>
      </c>
    </row>
    <row r="1923" spans="1:25" s="7" customFormat="1" hidden="1" x14ac:dyDescent="0.25">
      <c r="A1923" s="273" t="s">
        <v>318</v>
      </c>
      <c r="B1923" s="251">
        <v>45876</v>
      </c>
      <c r="C1923" s="252" t="s">
        <v>773</v>
      </c>
      <c r="D1923" s="252"/>
      <c r="E1923" s="253">
        <v>709733.27</v>
      </c>
      <c r="F1923" s="253">
        <v>0</v>
      </c>
      <c r="G1923" s="274">
        <f>Tabla3[[#This Row],[INGRESOS]]-Tabla3[[#This Row],[EGRESOS]]</f>
        <v>-709733.27</v>
      </c>
      <c r="H1923" s="274">
        <v>-33952756.390000001</v>
      </c>
      <c r="I1923" s="135">
        <v>1290</v>
      </c>
      <c r="J1923" s="136">
        <f>Tabla3[[#This Row],[EGRESOS]]/Tabla3[[#This Row],[TC]]</f>
        <v>550.18082945736433</v>
      </c>
      <c r="K1923" s="136">
        <f>Tabla3[[#This Row],[INGRESOS]]/Tabla3[[#This Row],[TC]]</f>
        <v>0</v>
      </c>
      <c r="L1923" s="8" t="s">
        <v>376</v>
      </c>
      <c r="M1923" s="8" t="s">
        <v>377</v>
      </c>
      <c r="N1923" s="8" t="s">
        <v>20</v>
      </c>
      <c r="O1923" s="8" t="s">
        <v>184</v>
      </c>
      <c r="P1923" s="8" t="s">
        <v>195</v>
      </c>
      <c r="Q1923" s="8" t="s">
        <v>196</v>
      </c>
      <c r="R1923" s="8" t="s">
        <v>394</v>
      </c>
      <c r="S1923" s="8" t="s">
        <v>383</v>
      </c>
      <c r="T1923" s="8"/>
      <c r="U1923" s="8" t="s">
        <v>384</v>
      </c>
      <c r="V1923" s="8"/>
      <c r="W1923" s="8" t="s">
        <v>380</v>
      </c>
      <c r="X1923" s="8" t="s">
        <v>99</v>
      </c>
      <c r="Y1923" s="8" t="s">
        <v>23</v>
      </c>
    </row>
    <row r="1924" spans="1:25" s="7" customFormat="1" hidden="1" x14ac:dyDescent="0.25">
      <c r="A1924" s="273" t="s">
        <v>318</v>
      </c>
      <c r="B1924" s="251">
        <v>45876</v>
      </c>
      <c r="C1924" s="252" t="s">
        <v>1127</v>
      </c>
      <c r="D1924" s="252"/>
      <c r="E1924" s="253">
        <v>35003614</v>
      </c>
      <c r="F1924" s="253">
        <v>0</v>
      </c>
      <c r="G1924" s="274">
        <f>Tabla3[[#This Row],[INGRESOS]]-Tabla3[[#This Row],[EGRESOS]]</f>
        <v>-35003614</v>
      </c>
      <c r="H1924" s="274">
        <v>-33243023.120000001</v>
      </c>
      <c r="I1924" s="135">
        <v>1290</v>
      </c>
      <c r="J1924" s="136">
        <f>Tabla3[[#This Row],[EGRESOS]]/Tabla3[[#This Row],[TC]]</f>
        <v>27134.584496124033</v>
      </c>
      <c r="K1924" s="136">
        <f>Tabla3[[#This Row],[INGRESOS]]/Tabla3[[#This Row],[TC]]</f>
        <v>0</v>
      </c>
      <c r="L1924" s="8" t="s">
        <v>376</v>
      </c>
      <c r="M1924" s="8" t="s">
        <v>377</v>
      </c>
      <c r="N1924" s="8" t="s">
        <v>20</v>
      </c>
      <c r="O1924" s="8" t="s">
        <v>244</v>
      </c>
      <c r="P1924" s="8" t="s">
        <v>38</v>
      </c>
      <c r="Q1924" s="8" t="s">
        <v>253</v>
      </c>
      <c r="R1924" s="8" t="s">
        <v>1128</v>
      </c>
      <c r="S1924" s="8" t="s">
        <v>994</v>
      </c>
      <c r="T1924" s="8"/>
      <c r="U1924" s="8" t="s">
        <v>1129</v>
      </c>
      <c r="V1924" s="8"/>
      <c r="W1924" s="8" t="s">
        <v>380</v>
      </c>
      <c r="X1924" s="8" t="s">
        <v>85</v>
      </c>
      <c r="Y1924" s="8" t="s">
        <v>23</v>
      </c>
    </row>
    <row r="1925" spans="1:25" s="7" customFormat="1" hidden="1" x14ac:dyDescent="0.25">
      <c r="A1925" s="273" t="s">
        <v>318</v>
      </c>
      <c r="B1925" s="251">
        <v>45877</v>
      </c>
      <c r="C1925" s="252" t="s">
        <v>985</v>
      </c>
      <c r="D1925" s="252"/>
      <c r="E1925" s="253">
        <v>0</v>
      </c>
      <c r="F1925" s="253">
        <v>35001086.630000003</v>
      </c>
      <c r="G1925" s="274">
        <f>Tabla3[[#This Row],[INGRESOS]]-Tabla3[[#This Row],[EGRESOS]]</f>
        <v>35001086.630000003</v>
      </c>
      <c r="H1925" s="274">
        <v>1048330.24</v>
      </c>
      <c r="I1925" s="135">
        <v>1290</v>
      </c>
      <c r="J1925" s="136">
        <f>Tabla3[[#This Row],[EGRESOS]]/Tabla3[[#This Row],[TC]]</f>
        <v>0</v>
      </c>
      <c r="K1925" s="136">
        <f>Tabla3[[#This Row],[INGRESOS]]/Tabla3[[#This Row],[TC]]</f>
        <v>27132.625294573645</v>
      </c>
      <c r="L1925" s="8" t="s">
        <v>376</v>
      </c>
      <c r="M1925" s="8" t="s">
        <v>377</v>
      </c>
      <c r="N1925" s="8" t="s">
        <v>20</v>
      </c>
      <c r="O1925" s="8" t="s">
        <v>244</v>
      </c>
      <c r="P1925" s="8" t="s">
        <v>261</v>
      </c>
      <c r="Q1925" s="8" t="s">
        <v>253</v>
      </c>
      <c r="R1925" s="8" t="s">
        <v>1130</v>
      </c>
      <c r="S1925" s="7" t="s">
        <v>20</v>
      </c>
      <c r="T1925" s="8"/>
      <c r="U1925" s="8" t="s">
        <v>442</v>
      </c>
      <c r="V1925" s="8"/>
      <c r="W1925" s="8" t="s">
        <v>380</v>
      </c>
      <c r="X1925" s="8" t="s">
        <v>85</v>
      </c>
      <c r="Y1925" s="8" t="s">
        <v>23</v>
      </c>
    </row>
    <row r="1926" spans="1:25" s="7" customFormat="1" hidden="1" x14ac:dyDescent="0.25">
      <c r="A1926" s="273" t="s">
        <v>318</v>
      </c>
      <c r="B1926" s="251">
        <v>45877</v>
      </c>
      <c r="C1926" s="252" t="s">
        <v>1131</v>
      </c>
      <c r="D1926" s="252"/>
      <c r="E1926" s="253">
        <v>0</v>
      </c>
      <c r="F1926" s="253">
        <v>1282318.8799999999</v>
      </c>
      <c r="G1926" s="274">
        <f>Tabla3[[#This Row],[INGRESOS]]-Tabla3[[#This Row],[EGRESOS]]</f>
        <v>1282318.8799999999</v>
      </c>
      <c r="H1926" s="274">
        <v>2330649.12</v>
      </c>
      <c r="I1926" s="135">
        <v>1290</v>
      </c>
      <c r="J1926" s="136">
        <f>Tabla3[[#This Row],[EGRESOS]]/Tabla3[[#This Row],[TC]]</f>
        <v>0</v>
      </c>
      <c r="K1926" s="136">
        <f>Tabla3[[#This Row],[INGRESOS]]/Tabla3[[#This Row],[TC]]</f>
        <v>994.04564341085268</v>
      </c>
      <c r="L1926" s="8" t="s">
        <v>376</v>
      </c>
      <c r="M1926" s="8" t="s">
        <v>377</v>
      </c>
      <c r="N1926" s="8" t="s">
        <v>20</v>
      </c>
      <c r="O1926" s="8" t="s">
        <v>244</v>
      </c>
      <c r="P1926" s="8" t="s">
        <v>261</v>
      </c>
      <c r="Q1926" s="8" t="s">
        <v>253</v>
      </c>
      <c r="R1926" s="8" t="s">
        <v>1130</v>
      </c>
      <c r="S1926" s="7" t="s">
        <v>20</v>
      </c>
      <c r="T1926" s="8"/>
      <c r="U1926" s="8" t="s">
        <v>442</v>
      </c>
      <c r="V1926" s="8"/>
      <c r="W1926" s="8" t="s">
        <v>380</v>
      </c>
      <c r="X1926" s="8" t="s">
        <v>85</v>
      </c>
      <c r="Y1926" s="8" t="s">
        <v>23</v>
      </c>
    </row>
    <row r="1927" spans="1:25" s="7" customFormat="1" hidden="1" x14ac:dyDescent="0.25">
      <c r="A1927" s="273" t="s">
        <v>318</v>
      </c>
      <c r="B1927" s="251">
        <v>45877</v>
      </c>
      <c r="C1927" s="252" t="s">
        <v>760</v>
      </c>
      <c r="D1927" s="252"/>
      <c r="E1927" s="253">
        <v>217700.43</v>
      </c>
      <c r="F1927" s="253">
        <v>0</v>
      </c>
      <c r="G1927" s="274">
        <f>Tabla3[[#This Row],[INGRESOS]]-Tabla3[[#This Row],[EGRESOS]]</f>
        <v>-217700.43</v>
      </c>
      <c r="H1927" s="274">
        <v>2112948.69</v>
      </c>
      <c r="I1927" s="135">
        <v>1290</v>
      </c>
      <c r="J1927" s="136">
        <f>Tabla3[[#This Row],[EGRESOS]]/Tabla3[[#This Row],[TC]]</f>
        <v>168.76002325581393</v>
      </c>
      <c r="K1927" s="136">
        <f>Tabla3[[#This Row],[INGRESOS]]/Tabla3[[#This Row],[TC]]</f>
        <v>0</v>
      </c>
      <c r="L1927" s="8" t="s">
        <v>376</v>
      </c>
      <c r="M1927" s="8" t="s">
        <v>377</v>
      </c>
      <c r="N1927" s="8" t="s">
        <v>20</v>
      </c>
      <c r="O1927" s="8" t="s">
        <v>184</v>
      </c>
      <c r="P1927" s="8" t="s">
        <v>195</v>
      </c>
      <c r="Q1927" s="8" t="s">
        <v>196</v>
      </c>
      <c r="R1927" s="8" t="s">
        <v>394</v>
      </c>
      <c r="S1927" s="8" t="s">
        <v>383</v>
      </c>
      <c r="T1927" s="8"/>
      <c r="U1927" s="8" t="s">
        <v>384</v>
      </c>
      <c r="V1927" s="8"/>
      <c r="W1927" s="8" t="s">
        <v>380</v>
      </c>
      <c r="X1927" s="8" t="s">
        <v>99</v>
      </c>
      <c r="Y1927" s="8" t="s">
        <v>23</v>
      </c>
    </row>
    <row r="1928" spans="1:25" s="7" customFormat="1" hidden="1" x14ac:dyDescent="0.25">
      <c r="A1928" s="273" t="s">
        <v>318</v>
      </c>
      <c r="B1928" s="251">
        <v>45880</v>
      </c>
      <c r="C1928" s="252" t="s">
        <v>782</v>
      </c>
      <c r="D1928" s="252" t="s">
        <v>1132</v>
      </c>
      <c r="E1928" s="253">
        <v>272000</v>
      </c>
      <c r="F1928" s="253">
        <v>0</v>
      </c>
      <c r="G1928" s="274">
        <f>Tabla3[[#This Row],[INGRESOS]]-Tabla3[[#This Row],[EGRESOS]]</f>
        <v>-272000</v>
      </c>
      <c r="H1928" s="274">
        <v>1840948.69</v>
      </c>
      <c r="I1928" s="135">
        <v>1290</v>
      </c>
      <c r="J1928" s="136">
        <f>Tabla3[[#This Row],[EGRESOS]]/Tabla3[[#This Row],[TC]]</f>
        <v>210.85271317829458</v>
      </c>
      <c r="K1928" s="136">
        <f>Tabla3[[#This Row],[INGRESOS]]/Tabla3[[#This Row],[TC]]</f>
        <v>0</v>
      </c>
      <c r="L1928" s="8" t="s">
        <v>376</v>
      </c>
      <c r="M1928" s="8" t="s">
        <v>377</v>
      </c>
      <c r="N1928" s="8" t="s">
        <v>20</v>
      </c>
      <c r="O1928" s="8" t="s">
        <v>225</v>
      </c>
      <c r="P1928" s="8" t="s">
        <v>233</v>
      </c>
      <c r="Q1928" s="8" t="s">
        <v>235</v>
      </c>
      <c r="R1928" s="8" t="s">
        <v>1133</v>
      </c>
      <c r="S1928" s="8" t="s">
        <v>865</v>
      </c>
      <c r="T1928" s="8" t="s">
        <v>1134</v>
      </c>
      <c r="U1928" s="8" t="s">
        <v>412</v>
      </c>
      <c r="V1928" s="8"/>
      <c r="W1928" s="8" t="s">
        <v>380</v>
      </c>
      <c r="X1928" s="8" t="s">
        <v>29</v>
      </c>
      <c r="Y1928" s="8" t="s">
        <v>23</v>
      </c>
    </row>
    <row r="1929" spans="1:25" s="7" customFormat="1" hidden="1" x14ac:dyDescent="0.25">
      <c r="A1929" s="273" t="s">
        <v>318</v>
      </c>
      <c r="B1929" s="251">
        <v>45880</v>
      </c>
      <c r="C1929" s="252" t="s">
        <v>800</v>
      </c>
      <c r="D1929" s="252"/>
      <c r="E1929" s="253">
        <v>871070</v>
      </c>
      <c r="F1929" s="253">
        <v>0</v>
      </c>
      <c r="G1929" s="274">
        <f>Tabla3[[#This Row],[INGRESOS]]-Tabla3[[#This Row],[EGRESOS]]</f>
        <v>-871070</v>
      </c>
      <c r="H1929" s="274">
        <v>969878.69</v>
      </c>
      <c r="I1929" s="135">
        <v>1350</v>
      </c>
      <c r="J1929" s="136">
        <f>Tabla3[[#This Row],[EGRESOS]]/Tabla3[[#This Row],[TC]]</f>
        <v>645.237037037037</v>
      </c>
      <c r="K1929" s="136">
        <f>Tabla3[[#This Row],[INGRESOS]]/Tabla3[[#This Row],[TC]]</f>
        <v>0</v>
      </c>
      <c r="L1929" s="8" t="s">
        <v>376</v>
      </c>
      <c r="M1929" s="8" t="s">
        <v>377</v>
      </c>
      <c r="N1929" s="8" t="s">
        <v>20</v>
      </c>
      <c r="O1929" s="8" t="s">
        <v>184</v>
      </c>
      <c r="P1929" s="8" t="s">
        <v>210</v>
      </c>
      <c r="Q1929" s="8" t="s">
        <v>205</v>
      </c>
      <c r="R1929" s="8"/>
      <c r="S1929" s="8" t="s">
        <v>524</v>
      </c>
      <c r="T1929" s="8"/>
      <c r="U1929" s="8" t="s">
        <v>453</v>
      </c>
      <c r="V1929" s="8"/>
      <c r="W1929" s="8" t="s">
        <v>380</v>
      </c>
      <c r="X1929" s="8" t="s">
        <v>39</v>
      </c>
      <c r="Y1929" s="8" t="s">
        <v>23</v>
      </c>
    </row>
    <row r="1930" spans="1:25" s="7" customFormat="1" hidden="1" x14ac:dyDescent="0.25">
      <c r="A1930" s="273" t="s">
        <v>318</v>
      </c>
      <c r="B1930" s="251">
        <v>45880</v>
      </c>
      <c r="C1930" s="252" t="s">
        <v>828</v>
      </c>
      <c r="D1930" s="252"/>
      <c r="E1930" s="253">
        <v>121</v>
      </c>
      <c r="F1930" s="253">
        <v>0</v>
      </c>
      <c r="G1930" s="274">
        <f>Tabla3[[#This Row],[INGRESOS]]-Tabla3[[#This Row],[EGRESOS]]</f>
        <v>-121</v>
      </c>
      <c r="H1930" s="274">
        <v>969757.69</v>
      </c>
      <c r="I1930" s="135">
        <v>1350</v>
      </c>
      <c r="J1930" s="136">
        <f>Tabla3[[#This Row],[EGRESOS]]/Tabla3[[#This Row],[TC]]</f>
        <v>8.9629629629629629E-2</v>
      </c>
      <c r="K1930" s="136">
        <f>Tabla3[[#This Row],[INGRESOS]]/Tabla3[[#This Row],[TC]]</f>
        <v>0</v>
      </c>
      <c r="L1930" s="8" t="s">
        <v>376</v>
      </c>
      <c r="M1930" s="8" t="s">
        <v>377</v>
      </c>
      <c r="N1930" s="8" t="s">
        <v>20</v>
      </c>
      <c r="O1930" s="8" t="s">
        <v>184</v>
      </c>
      <c r="P1930" s="8" t="s">
        <v>185</v>
      </c>
      <c r="Q1930" s="8" t="s">
        <v>186</v>
      </c>
      <c r="R1930" s="8" t="s">
        <v>227</v>
      </c>
      <c r="S1930" s="8"/>
      <c r="T1930" s="8"/>
      <c r="U1930" s="8" t="s">
        <v>384</v>
      </c>
      <c r="V1930" s="8"/>
      <c r="W1930" s="8" t="s">
        <v>380</v>
      </c>
      <c r="X1930" s="8" t="s">
        <v>99</v>
      </c>
      <c r="Y1930" s="8" t="s">
        <v>23</v>
      </c>
    </row>
    <row r="1931" spans="1:25" s="7" customFormat="1" hidden="1" x14ac:dyDescent="0.25">
      <c r="A1931" s="273" t="s">
        <v>318</v>
      </c>
      <c r="B1931" s="251">
        <v>45880</v>
      </c>
      <c r="C1931" s="252" t="s">
        <v>800</v>
      </c>
      <c r="D1931" s="252"/>
      <c r="E1931" s="253">
        <v>704000</v>
      </c>
      <c r="F1931" s="253">
        <v>0</v>
      </c>
      <c r="G1931" s="274">
        <f>Tabla3[[#This Row],[INGRESOS]]-Tabla3[[#This Row],[EGRESOS]]</f>
        <v>-704000</v>
      </c>
      <c r="H1931" s="274">
        <v>265757.69</v>
      </c>
      <c r="I1931" s="135">
        <v>1350</v>
      </c>
      <c r="J1931" s="136">
        <f>Tabla3[[#This Row],[EGRESOS]]/Tabla3[[#This Row],[TC]]</f>
        <v>521.48148148148152</v>
      </c>
      <c r="K1931" s="136">
        <f>Tabla3[[#This Row],[INGRESOS]]/Tabla3[[#This Row],[TC]]</f>
        <v>0</v>
      </c>
      <c r="L1931" s="8" t="s">
        <v>376</v>
      </c>
      <c r="M1931" s="8" t="s">
        <v>377</v>
      </c>
      <c r="N1931" s="8" t="s">
        <v>20</v>
      </c>
      <c r="O1931" s="8" t="s">
        <v>184</v>
      </c>
      <c r="P1931" s="8" t="s">
        <v>199</v>
      </c>
      <c r="Q1931" s="8" t="s">
        <v>201</v>
      </c>
      <c r="R1931" s="8" t="s">
        <v>1135</v>
      </c>
      <c r="S1931" s="8" t="s">
        <v>392</v>
      </c>
      <c r="T1931" s="8"/>
      <c r="U1931" s="8" t="s">
        <v>390</v>
      </c>
      <c r="V1931" s="8"/>
      <c r="W1931" s="8" t="s">
        <v>380</v>
      </c>
      <c r="X1931" s="8" t="s">
        <v>99</v>
      </c>
      <c r="Y1931" s="8" t="s">
        <v>23</v>
      </c>
    </row>
    <row r="1932" spans="1:25" s="7" customFormat="1" hidden="1" x14ac:dyDescent="0.25">
      <c r="A1932" s="273" t="s">
        <v>318</v>
      </c>
      <c r="B1932" s="251">
        <v>45880</v>
      </c>
      <c r="C1932" s="252" t="s">
        <v>828</v>
      </c>
      <c r="D1932" s="252"/>
      <c r="E1932" s="253">
        <v>121</v>
      </c>
      <c r="F1932" s="253">
        <v>0</v>
      </c>
      <c r="G1932" s="274">
        <f>Tabla3[[#This Row],[INGRESOS]]-Tabla3[[#This Row],[EGRESOS]]</f>
        <v>-121</v>
      </c>
      <c r="H1932" s="274">
        <v>265636.69</v>
      </c>
      <c r="I1932" s="135">
        <v>1350</v>
      </c>
      <c r="J1932" s="136">
        <f>Tabla3[[#This Row],[EGRESOS]]/Tabla3[[#This Row],[TC]]</f>
        <v>8.9629629629629629E-2</v>
      </c>
      <c r="K1932" s="136">
        <f>Tabla3[[#This Row],[INGRESOS]]/Tabla3[[#This Row],[TC]]</f>
        <v>0</v>
      </c>
      <c r="L1932" s="8" t="s">
        <v>376</v>
      </c>
      <c r="M1932" s="8" t="s">
        <v>377</v>
      </c>
      <c r="N1932" s="8" t="s">
        <v>20</v>
      </c>
      <c r="O1932" s="8" t="s">
        <v>184</v>
      </c>
      <c r="P1932" s="8" t="s">
        <v>185</v>
      </c>
      <c r="Q1932" s="8" t="s">
        <v>186</v>
      </c>
      <c r="R1932" s="8" t="s">
        <v>227</v>
      </c>
      <c r="S1932" s="8"/>
      <c r="T1932" s="8"/>
      <c r="U1932" s="8" t="s">
        <v>384</v>
      </c>
      <c r="V1932" s="8"/>
      <c r="W1932" s="8" t="s">
        <v>380</v>
      </c>
      <c r="X1932" s="8" t="s">
        <v>99</v>
      </c>
      <c r="Y1932" s="8" t="s">
        <v>23</v>
      </c>
    </row>
    <row r="1933" spans="1:25" s="7" customFormat="1" hidden="1" x14ac:dyDescent="0.25">
      <c r="A1933" s="273" t="s">
        <v>318</v>
      </c>
      <c r="B1933" s="251">
        <v>45880</v>
      </c>
      <c r="C1933" s="252" t="s">
        <v>800</v>
      </c>
      <c r="D1933" s="252"/>
      <c r="E1933" s="253">
        <v>1400000</v>
      </c>
      <c r="F1933" s="253">
        <v>0</v>
      </c>
      <c r="G1933" s="274">
        <f>Tabla3[[#This Row],[INGRESOS]]-Tabla3[[#This Row],[EGRESOS]]</f>
        <v>-1400000</v>
      </c>
      <c r="H1933" s="274">
        <v>-1134363.31</v>
      </c>
      <c r="I1933" s="135">
        <v>1350</v>
      </c>
      <c r="J1933" s="136">
        <f>Tabla3[[#This Row],[EGRESOS]]/Tabla3[[#This Row],[TC]]</f>
        <v>1037.037037037037</v>
      </c>
      <c r="K1933" s="136">
        <f>Tabla3[[#This Row],[INGRESOS]]/Tabla3[[#This Row],[TC]]</f>
        <v>0</v>
      </c>
      <c r="L1933" s="8" t="s">
        <v>376</v>
      </c>
      <c r="M1933" s="8" t="s">
        <v>377</v>
      </c>
      <c r="N1933" s="8" t="s">
        <v>20</v>
      </c>
      <c r="O1933" s="8" t="s">
        <v>184</v>
      </c>
      <c r="P1933" s="8" t="s">
        <v>203</v>
      </c>
      <c r="Q1933" s="8" t="s">
        <v>208</v>
      </c>
      <c r="R1933" s="8" t="s">
        <v>552</v>
      </c>
      <c r="S1933" s="8" t="s">
        <v>414</v>
      </c>
      <c r="T1933" s="8"/>
      <c r="U1933" s="8" t="s">
        <v>530</v>
      </c>
      <c r="V1933" s="8" t="s">
        <v>415</v>
      </c>
      <c r="W1933" s="8" t="s">
        <v>380</v>
      </c>
      <c r="X1933" s="8" t="s">
        <v>102</v>
      </c>
      <c r="Y1933" s="8" t="s">
        <v>23</v>
      </c>
    </row>
    <row r="1934" spans="1:25" s="7" customFormat="1" hidden="1" x14ac:dyDescent="0.25">
      <c r="A1934" s="247" t="s">
        <v>318</v>
      </c>
      <c r="B1934" s="248">
        <v>45880</v>
      </c>
      <c r="C1934" s="244" t="s">
        <v>828</v>
      </c>
      <c r="D1934" s="244"/>
      <c r="E1934" s="249">
        <v>121</v>
      </c>
      <c r="F1934" s="249">
        <v>0</v>
      </c>
      <c r="G1934" s="266">
        <f>Tabla3[[#This Row],[INGRESOS]]-Tabla3[[#This Row],[EGRESOS]]</f>
        <v>-121</v>
      </c>
      <c r="H1934" s="266">
        <v>-1134484.31</v>
      </c>
      <c r="I1934" s="119">
        <v>1350</v>
      </c>
      <c r="J1934" s="99">
        <f>Tabla3[[#This Row],[EGRESOS]]/Tabla3[[#This Row],[TC]]</f>
        <v>8.9629629629629629E-2</v>
      </c>
      <c r="K1934" s="99">
        <f>Tabla3[[#This Row],[INGRESOS]]/Tabla3[[#This Row],[TC]]</f>
        <v>0</v>
      </c>
      <c r="L1934" s="7" t="s">
        <v>376</v>
      </c>
      <c r="M1934" s="7" t="s">
        <v>377</v>
      </c>
      <c r="N1934" s="7" t="s">
        <v>20</v>
      </c>
      <c r="O1934" s="7" t="s">
        <v>184</v>
      </c>
      <c r="P1934" s="7" t="s">
        <v>185</v>
      </c>
      <c r="Q1934" s="7" t="s">
        <v>186</v>
      </c>
      <c r="R1934" s="7" t="s">
        <v>227</v>
      </c>
      <c r="U1934" s="7" t="s">
        <v>384</v>
      </c>
      <c r="W1934" s="7" t="s">
        <v>380</v>
      </c>
      <c r="X1934" s="7" t="s">
        <v>99</v>
      </c>
      <c r="Y1934" s="7" t="s">
        <v>23</v>
      </c>
    </row>
    <row r="1935" spans="1:25" s="7" customFormat="1" hidden="1" x14ac:dyDescent="0.25">
      <c r="A1935" s="247" t="s">
        <v>319</v>
      </c>
      <c r="B1935" s="248">
        <v>45911</v>
      </c>
      <c r="C1935" s="244" t="s">
        <v>1338</v>
      </c>
      <c r="D1935" s="244"/>
      <c r="E1935" s="249">
        <v>64755</v>
      </c>
      <c r="F1935" s="249">
        <v>0</v>
      </c>
      <c r="G1935" s="266">
        <f>Tabla3[[#This Row],[INGRESOS]]-Tabla3[[#This Row],[EGRESOS]]</f>
        <v>-64755</v>
      </c>
      <c r="H1935" s="135">
        <v>0</v>
      </c>
      <c r="I1935" s="119">
        <v>1350</v>
      </c>
      <c r="J1935" s="136">
        <f>Tabla3[[#This Row],[EGRESOS]]/Tabla3[[#This Row],[TC]]</f>
        <v>47.966666666666669</v>
      </c>
      <c r="K1935" s="136">
        <f>Tabla3[[#This Row],[INGRESOS]]/Tabla3[[#This Row],[TC]]</f>
        <v>0</v>
      </c>
      <c r="L1935" s="8" t="s">
        <v>1336</v>
      </c>
      <c r="M1935" s="8" t="s">
        <v>1336</v>
      </c>
      <c r="N1935" s="8" t="s">
        <v>1336</v>
      </c>
      <c r="O1935" s="7" t="s">
        <v>184</v>
      </c>
      <c r="P1935" s="7" t="s">
        <v>203</v>
      </c>
      <c r="Q1935" s="7" t="s">
        <v>205</v>
      </c>
      <c r="R1935" s="7" t="s">
        <v>1361</v>
      </c>
      <c r="S1935" s="7" t="s">
        <v>386</v>
      </c>
      <c r="U1935" s="7" t="s">
        <v>387</v>
      </c>
      <c r="V1935" s="7" t="s">
        <v>386</v>
      </c>
      <c r="W1935" s="7" t="s">
        <v>475</v>
      </c>
      <c r="X1935" s="7" t="s">
        <v>104</v>
      </c>
      <c r="Y1935" s="7" t="s">
        <v>23</v>
      </c>
    </row>
    <row r="1936" spans="1:25" s="7" customFormat="1" hidden="1" x14ac:dyDescent="0.25">
      <c r="A1936" s="247" t="s">
        <v>318</v>
      </c>
      <c r="B1936" s="248">
        <v>45880</v>
      </c>
      <c r="C1936" s="244" t="s">
        <v>828</v>
      </c>
      <c r="D1936" s="244"/>
      <c r="E1936" s="249">
        <v>121</v>
      </c>
      <c r="F1936" s="249">
        <v>0</v>
      </c>
      <c r="G1936" s="266">
        <f>Tabla3[[#This Row],[INGRESOS]]-Tabla3[[#This Row],[EGRESOS]]</f>
        <v>-121</v>
      </c>
      <c r="H1936" s="266">
        <v>-2634605.31</v>
      </c>
      <c r="I1936" s="119">
        <v>1350</v>
      </c>
      <c r="J1936" s="99">
        <f>Tabla3[[#This Row],[EGRESOS]]/Tabla3[[#This Row],[TC]]</f>
        <v>8.9629629629629629E-2</v>
      </c>
      <c r="K1936" s="99">
        <f>Tabla3[[#This Row],[INGRESOS]]/Tabla3[[#This Row],[TC]]</f>
        <v>0</v>
      </c>
      <c r="L1936" s="7" t="s">
        <v>376</v>
      </c>
      <c r="M1936" s="7" t="s">
        <v>377</v>
      </c>
      <c r="N1936" s="7" t="s">
        <v>20</v>
      </c>
      <c r="O1936" s="7" t="s">
        <v>184</v>
      </c>
      <c r="P1936" s="7" t="s">
        <v>185</v>
      </c>
      <c r="Q1936" s="7" t="s">
        <v>186</v>
      </c>
      <c r="R1936" s="7" t="s">
        <v>227</v>
      </c>
      <c r="U1936" s="7" t="s">
        <v>384</v>
      </c>
      <c r="W1936" s="7" t="s">
        <v>380</v>
      </c>
      <c r="X1936" s="7" t="s">
        <v>99</v>
      </c>
      <c r="Y1936" s="7" t="s">
        <v>23</v>
      </c>
    </row>
    <row r="1937" spans="1:25" s="7" customFormat="1" hidden="1" x14ac:dyDescent="0.25">
      <c r="A1937" s="247" t="s">
        <v>318</v>
      </c>
      <c r="B1937" s="248">
        <v>45880</v>
      </c>
      <c r="C1937" s="244" t="s">
        <v>1131</v>
      </c>
      <c r="D1937" s="244"/>
      <c r="E1937" s="249">
        <v>0</v>
      </c>
      <c r="F1937" s="249">
        <v>341822.32</v>
      </c>
      <c r="G1937" s="266">
        <f>Tabla3[[#This Row],[INGRESOS]]-Tabla3[[#This Row],[EGRESOS]]</f>
        <v>341822.32</v>
      </c>
      <c r="H1937" s="266">
        <v>-2292782.9900000002</v>
      </c>
      <c r="I1937" s="119">
        <v>1350</v>
      </c>
      <c r="J1937" s="99">
        <f>Tabla3[[#This Row],[EGRESOS]]/Tabla3[[#This Row],[TC]]</f>
        <v>0</v>
      </c>
      <c r="K1937" s="99">
        <f>Tabla3[[#This Row],[INGRESOS]]/Tabla3[[#This Row],[TC]]</f>
        <v>253.20171851851853</v>
      </c>
      <c r="L1937" s="7" t="s">
        <v>376</v>
      </c>
      <c r="M1937" s="7" t="s">
        <v>377</v>
      </c>
      <c r="N1937" s="7" t="s">
        <v>20</v>
      </c>
      <c r="O1937" s="7" t="s">
        <v>244</v>
      </c>
      <c r="P1937" s="7" t="s">
        <v>261</v>
      </c>
      <c r="Q1937" s="7" t="s">
        <v>253</v>
      </c>
      <c r="R1937" s="7" t="s">
        <v>1130</v>
      </c>
      <c r="S1937" s="7" t="s">
        <v>20</v>
      </c>
      <c r="U1937" s="7" t="s">
        <v>442</v>
      </c>
      <c r="W1937" s="7" t="s">
        <v>380</v>
      </c>
      <c r="X1937" s="7" t="s">
        <v>85</v>
      </c>
      <c r="Y1937" s="7" t="s">
        <v>23</v>
      </c>
    </row>
    <row r="1938" spans="1:25" s="7" customFormat="1" hidden="1" x14ac:dyDescent="0.25">
      <c r="A1938" s="247" t="s">
        <v>318</v>
      </c>
      <c r="B1938" s="248">
        <v>45880</v>
      </c>
      <c r="C1938" s="244" t="s">
        <v>985</v>
      </c>
      <c r="D1938" s="244"/>
      <c r="E1938" s="249">
        <v>0</v>
      </c>
      <c r="F1938" s="249">
        <v>9329332.3900000006</v>
      </c>
      <c r="G1938" s="266">
        <f>Tabla3[[#This Row],[INGRESOS]]-Tabla3[[#This Row],[EGRESOS]]</f>
        <v>9329332.3900000006</v>
      </c>
      <c r="H1938" s="266">
        <v>7036549.4000000004</v>
      </c>
      <c r="I1938" s="119">
        <v>1350</v>
      </c>
      <c r="J1938" s="99">
        <f>Tabla3[[#This Row],[EGRESOS]]/Tabla3[[#This Row],[TC]]</f>
        <v>0</v>
      </c>
      <c r="K1938" s="99">
        <f>Tabla3[[#This Row],[INGRESOS]]/Tabla3[[#This Row],[TC]]</f>
        <v>6910.6165851851856</v>
      </c>
      <c r="L1938" s="7" t="s">
        <v>376</v>
      </c>
      <c r="M1938" s="7" t="s">
        <v>377</v>
      </c>
      <c r="N1938" s="7" t="s">
        <v>20</v>
      </c>
      <c r="O1938" s="7" t="s">
        <v>244</v>
      </c>
      <c r="P1938" s="7" t="s">
        <v>261</v>
      </c>
      <c r="Q1938" s="7" t="s">
        <v>253</v>
      </c>
      <c r="R1938" s="7" t="s">
        <v>1130</v>
      </c>
      <c r="S1938" s="7" t="s">
        <v>20</v>
      </c>
      <c r="U1938" s="7" t="s">
        <v>442</v>
      </c>
      <c r="W1938" s="7" t="s">
        <v>380</v>
      </c>
      <c r="X1938" s="7" t="s">
        <v>85</v>
      </c>
      <c r="Y1938" s="7" t="s">
        <v>23</v>
      </c>
    </row>
    <row r="1939" spans="1:25" s="7" customFormat="1" hidden="1" x14ac:dyDescent="0.25">
      <c r="A1939" s="247" t="s">
        <v>318</v>
      </c>
      <c r="B1939" s="248">
        <v>45880</v>
      </c>
      <c r="C1939" s="244" t="s">
        <v>760</v>
      </c>
      <c r="D1939" s="244"/>
      <c r="E1939" s="249">
        <v>58026.92</v>
      </c>
      <c r="F1939" s="249">
        <v>0</v>
      </c>
      <c r="G1939" s="266">
        <f>Tabla3[[#This Row],[INGRESOS]]-Tabla3[[#This Row],[EGRESOS]]</f>
        <v>-58026.92</v>
      </c>
      <c r="H1939" s="266">
        <v>6978522.4800000004</v>
      </c>
      <c r="I1939" s="119">
        <v>1350</v>
      </c>
      <c r="J1939" s="99">
        <f>Tabla3[[#This Row],[EGRESOS]]/Tabla3[[#This Row],[TC]]</f>
        <v>42.982903703703705</v>
      </c>
      <c r="K1939" s="99">
        <f>Tabla3[[#This Row],[INGRESOS]]/Tabla3[[#This Row],[TC]]</f>
        <v>0</v>
      </c>
      <c r="L1939" s="7" t="s">
        <v>376</v>
      </c>
      <c r="M1939" s="7" t="s">
        <v>377</v>
      </c>
      <c r="N1939" s="7" t="s">
        <v>20</v>
      </c>
      <c r="O1939" s="7" t="s">
        <v>184</v>
      </c>
      <c r="P1939" s="7" t="s">
        <v>195</v>
      </c>
      <c r="Q1939" s="7" t="s">
        <v>196</v>
      </c>
      <c r="R1939" s="7" t="s">
        <v>394</v>
      </c>
      <c r="S1939" s="7" t="s">
        <v>383</v>
      </c>
      <c r="U1939" s="7" t="s">
        <v>384</v>
      </c>
      <c r="W1939" s="7" t="s">
        <v>380</v>
      </c>
      <c r="X1939" s="7" t="s">
        <v>99</v>
      </c>
      <c r="Y1939" s="7" t="s">
        <v>23</v>
      </c>
    </row>
    <row r="1940" spans="1:25" s="7" customFormat="1" hidden="1" x14ac:dyDescent="0.25">
      <c r="A1940" s="247" t="s">
        <v>318</v>
      </c>
      <c r="B1940" s="248">
        <v>45880</v>
      </c>
      <c r="C1940" s="244" t="s">
        <v>773</v>
      </c>
      <c r="D1940" s="244"/>
      <c r="E1940" s="249">
        <v>28485.34</v>
      </c>
      <c r="F1940" s="249">
        <v>0</v>
      </c>
      <c r="G1940" s="266">
        <f>Tabla3[[#This Row],[INGRESOS]]-Tabla3[[#This Row],[EGRESOS]]</f>
        <v>-28485.34</v>
      </c>
      <c r="H1940" s="266">
        <v>6950037.1399999997</v>
      </c>
      <c r="I1940" s="119">
        <v>1350</v>
      </c>
      <c r="J1940" s="99">
        <f>Tabla3[[#This Row],[EGRESOS]]/Tabla3[[#This Row],[TC]]</f>
        <v>21.100251851851851</v>
      </c>
      <c r="K1940" s="99">
        <f>Tabla3[[#This Row],[INGRESOS]]/Tabla3[[#This Row],[TC]]</f>
        <v>0</v>
      </c>
      <c r="L1940" s="7" t="s">
        <v>376</v>
      </c>
      <c r="M1940" s="7" t="s">
        <v>377</v>
      </c>
      <c r="N1940" s="7" t="s">
        <v>20</v>
      </c>
      <c r="O1940" s="7" t="s">
        <v>184</v>
      </c>
      <c r="P1940" s="7" t="s">
        <v>195</v>
      </c>
      <c r="Q1940" s="7" t="s">
        <v>196</v>
      </c>
      <c r="R1940" s="7" t="s">
        <v>394</v>
      </c>
      <c r="S1940" s="7" t="s">
        <v>383</v>
      </c>
      <c r="U1940" s="7" t="s">
        <v>384</v>
      </c>
      <c r="W1940" s="7" t="s">
        <v>380</v>
      </c>
      <c r="X1940" s="7" t="s">
        <v>99</v>
      </c>
      <c r="Y1940" s="7" t="s">
        <v>23</v>
      </c>
    </row>
    <row r="1941" spans="1:25" s="7" customFormat="1" hidden="1" x14ac:dyDescent="0.25">
      <c r="A1941" s="247" t="s">
        <v>318</v>
      </c>
      <c r="B1941" s="248">
        <v>45882</v>
      </c>
      <c r="C1941" s="244" t="s">
        <v>800</v>
      </c>
      <c r="D1941" s="244"/>
      <c r="E1941" s="249">
        <v>1000000</v>
      </c>
      <c r="F1941" s="249">
        <v>0</v>
      </c>
      <c r="G1941" s="266">
        <f>Tabla3[[#This Row],[INGRESOS]]-Tabla3[[#This Row],[EGRESOS]]</f>
        <v>-1000000</v>
      </c>
      <c r="H1941" s="266">
        <v>5950037.1399999997</v>
      </c>
      <c r="I1941" s="119">
        <v>1350</v>
      </c>
      <c r="J1941" s="99">
        <f>Tabla3[[#This Row],[EGRESOS]]/Tabla3[[#This Row],[TC]]</f>
        <v>740.74074074074076</v>
      </c>
      <c r="K1941" s="99">
        <f>Tabla3[[#This Row],[INGRESOS]]/Tabla3[[#This Row],[TC]]</f>
        <v>0</v>
      </c>
      <c r="L1941" s="7" t="s">
        <v>376</v>
      </c>
      <c r="M1941" s="7" t="s">
        <v>377</v>
      </c>
      <c r="N1941" s="7" t="s">
        <v>20</v>
      </c>
      <c r="O1941" s="7" t="s">
        <v>184</v>
      </c>
      <c r="P1941" s="7" t="s">
        <v>210</v>
      </c>
      <c r="Q1941" s="7" t="s">
        <v>212</v>
      </c>
      <c r="S1941" s="7" t="s">
        <v>524</v>
      </c>
      <c r="U1941" s="7" t="s">
        <v>453</v>
      </c>
      <c r="W1941" s="7" t="s">
        <v>380</v>
      </c>
      <c r="X1941" s="7" t="s">
        <v>39</v>
      </c>
      <c r="Y1941" s="7" t="s">
        <v>23</v>
      </c>
    </row>
    <row r="1942" spans="1:25" s="7" customFormat="1" hidden="1" x14ac:dyDescent="0.25">
      <c r="A1942" s="273" t="s">
        <v>318</v>
      </c>
      <c r="B1942" s="251">
        <v>45882</v>
      </c>
      <c r="C1942" s="252" t="s">
        <v>828</v>
      </c>
      <c r="D1942" s="252"/>
      <c r="E1942" s="253">
        <v>121</v>
      </c>
      <c r="F1942" s="253">
        <v>0</v>
      </c>
      <c r="G1942" s="274">
        <f>Tabla3[[#This Row],[INGRESOS]]-Tabla3[[#This Row],[EGRESOS]]</f>
        <v>-121</v>
      </c>
      <c r="H1942" s="274">
        <v>5949916.1399999997</v>
      </c>
      <c r="I1942" s="135">
        <v>1350</v>
      </c>
      <c r="J1942" s="136">
        <f>Tabla3[[#This Row],[EGRESOS]]/Tabla3[[#This Row],[TC]]</f>
        <v>8.9629629629629629E-2</v>
      </c>
      <c r="K1942" s="136">
        <f>Tabla3[[#This Row],[INGRESOS]]/Tabla3[[#This Row],[TC]]</f>
        <v>0</v>
      </c>
      <c r="L1942" s="8" t="s">
        <v>376</v>
      </c>
      <c r="M1942" s="8" t="s">
        <v>377</v>
      </c>
      <c r="N1942" s="8" t="s">
        <v>20</v>
      </c>
      <c r="O1942" s="8" t="s">
        <v>184</v>
      </c>
      <c r="P1942" s="8" t="s">
        <v>185</v>
      </c>
      <c r="Q1942" s="8" t="s">
        <v>186</v>
      </c>
      <c r="R1942" s="8" t="s">
        <v>227</v>
      </c>
      <c r="S1942" s="8"/>
      <c r="T1942" s="8"/>
      <c r="U1942" s="8" t="s">
        <v>384</v>
      </c>
      <c r="V1942" s="8"/>
      <c r="W1942" s="8" t="s">
        <v>380</v>
      </c>
      <c r="X1942" s="8" t="s">
        <v>99</v>
      </c>
      <c r="Y1942" s="8" t="s">
        <v>23</v>
      </c>
    </row>
    <row r="1943" spans="1:25" s="7" customFormat="1" hidden="1" x14ac:dyDescent="0.25">
      <c r="A1943" s="273" t="s">
        <v>318</v>
      </c>
      <c r="B1943" s="251">
        <v>45882</v>
      </c>
      <c r="C1943" s="252" t="s">
        <v>800</v>
      </c>
      <c r="D1943" s="252"/>
      <c r="E1943" s="253">
        <v>605000</v>
      </c>
      <c r="F1943" s="253">
        <v>0</v>
      </c>
      <c r="G1943" s="274">
        <f>Tabla3[[#This Row],[INGRESOS]]-Tabla3[[#This Row],[EGRESOS]]</f>
        <v>-605000</v>
      </c>
      <c r="H1943" s="274">
        <v>5344916.1399999997</v>
      </c>
      <c r="I1943" s="135">
        <v>1350</v>
      </c>
      <c r="J1943" s="136">
        <f>Tabla3[[#This Row],[EGRESOS]]/Tabla3[[#This Row],[TC]]</f>
        <v>448.14814814814815</v>
      </c>
      <c r="K1943" s="136">
        <f>Tabla3[[#This Row],[INGRESOS]]/Tabla3[[#This Row],[TC]]</f>
        <v>0</v>
      </c>
      <c r="L1943" s="8" t="s">
        <v>376</v>
      </c>
      <c r="M1943" s="8" t="s">
        <v>377</v>
      </c>
      <c r="N1943" s="8" t="s">
        <v>20</v>
      </c>
      <c r="O1943" s="8" t="s">
        <v>215</v>
      </c>
      <c r="P1943" s="8" t="s">
        <v>216</v>
      </c>
      <c r="Q1943" s="8" t="s">
        <v>220</v>
      </c>
      <c r="R1943" s="8" t="s">
        <v>332</v>
      </c>
      <c r="S1943" s="8" t="s">
        <v>1136</v>
      </c>
      <c r="T1943" s="8"/>
      <c r="U1943" s="8" t="s">
        <v>412</v>
      </c>
      <c r="V1943" s="8"/>
      <c r="W1943" s="8" t="s">
        <v>380</v>
      </c>
      <c r="X1943" s="8" t="s">
        <v>29</v>
      </c>
      <c r="Y1943" s="8" t="s">
        <v>23</v>
      </c>
    </row>
    <row r="1944" spans="1:25" s="7" customFormat="1" hidden="1" x14ac:dyDescent="0.25">
      <c r="A1944" s="273" t="s">
        <v>318</v>
      </c>
      <c r="B1944" s="251">
        <v>45882</v>
      </c>
      <c r="C1944" s="252" t="s">
        <v>828</v>
      </c>
      <c r="D1944" s="252"/>
      <c r="E1944" s="253">
        <v>121</v>
      </c>
      <c r="F1944" s="253">
        <v>0</v>
      </c>
      <c r="G1944" s="274">
        <f>Tabla3[[#This Row],[INGRESOS]]-Tabla3[[#This Row],[EGRESOS]]</f>
        <v>-121</v>
      </c>
      <c r="H1944" s="274">
        <v>5344795.1399999997</v>
      </c>
      <c r="I1944" s="135">
        <v>1350</v>
      </c>
      <c r="J1944" s="136">
        <f>Tabla3[[#This Row],[EGRESOS]]/Tabla3[[#This Row],[TC]]</f>
        <v>8.9629629629629629E-2</v>
      </c>
      <c r="K1944" s="136">
        <f>Tabla3[[#This Row],[INGRESOS]]/Tabla3[[#This Row],[TC]]</f>
        <v>0</v>
      </c>
      <c r="L1944" s="8" t="s">
        <v>376</v>
      </c>
      <c r="M1944" s="8" t="s">
        <v>377</v>
      </c>
      <c r="N1944" s="8" t="s">
        <v>20</v>
      </c>
      <c r="O1944" s="8" t="s">
        <v>184</v>
      </c>
      <c r="P1944" s="8" t="s">
        <v>185</v>
      </c>
      <c r="Q1944" s="8" t="s">
        <v>186</v>
      </c>
      <c r="R1944" s="8" t="s">
        <v>227</v>
      </c>
      <c r="S1944" s="8"/>
      <c r="T1944" s="8"/>
      <c r="U1944" s="8" t="s">
        <v>384</v>
      </c>
      <c r="V1944" s="8"/>
      <c r="W1944" s="8" t="s">
        <v>380</v>
      </c>
      <c r="X1944" s="8" t="s">
        <v>99</v>
      </c>
      <c r="Y1944" s="8" t="s">
        <v>23</v>
      </c>
    </row>
    <row r="1945" spans="1:25" s="7" customFormat="1" hidden="1" x14ac:dyDescent="0.25">
      <c r="A1945" s="273" t="s">
        <v>318</v>
      </c>
      <c r="B1945" s="251">
        <v>45882</v>
      </c>
      <c r="C1945" s="252" t="s">
        <v>773</v>
      </c>
      <c r="D1945" s="252"/>
      <c r="E1945" s="253">
        <v>9631.4599999999991</v>
      </c>
      <c r="F1945" s="253">
        <v>0</v>
      </c>
      <c r="G1945" s="274">
        <f>Tabla3[[#This Row],[INGRESOS]]-Tabla3[[#This Row],[EGRESOS]]</f>
        <v>-9631.4599999999991</v>
      </c>
      <c r="H1945" s="274">
        <v>5335163.68</v>
      </c>
      <c r="I1945" s="135">
        <v>1350</v>
      </c>
      <c r="J1945" s="136">
        <f>Tabla3[[#This Row],[EGRESOS]]/Tabla3[[#This Row],[TC]]</f>
        <v>7.1344148148148143</v>
      </c>
      <c r="K1945" s="136">
        <f>Tabla3[[#This Row],[INGRESOS]]/Tabla3[[#This Row],[TC]]</f>
        <v>0</v>
      </c>
      <c r="L1945" s="8" t="s">
        <v>376</v>
      </c>
      <c r="M1945" s="8" t="s">
        <v>377</v>
      </c>
      <c r="N1945" s="8" t="s">
        <v>20</v>
      </c>
      <c r="O1945" s="8" t="s">
        <v>184</v>
      </c>
      <c r="P1945" s="8" t="s">
        <v>195</v>
      </c>
      <c r="Q1945" s="8" t="s">
        <v>196</v>
      </c>
      <c r="R1945" s="8" t="s">
        <v>394</v>
      </c>
      <c r="S1945" s="8" t="s">
        <v>383</v>
      </c>
      <c r="T1945" s="8"/>
      <c r="U1945" s="8" t="s">
        <v>384</v>
      </c>
      <c r="V1945" s="8"/>
      <c r="W1945" s="8" t="s">
        <v>380</v>
      </c>
      <c r="X1945" s="8" t="s">
        <v>99</v>
      </c>
      <c r="Y1945" s="8" t="s">
        <v>23</v>
      </c>
    </row>
    <row r="1946" spans="1:25" s="7" customFormat="1" hidden="1" x14ac:dyDescent="0.25">
      <c r="A1946" s="273" t="s">
        <v>318</v>
      </c>
      <c r="B1946" s="251">
        <v>45883</v>
      </c>
      <c r="C1946" s="252" t="s">
        <v>782</v>
      </c>
      <c r="D1946" s="252" t="s">
        <v>1137</v>
      </c>
      <c r="E1946" s="253">
        <v>146000</v>
      </c>
      <c r="F1946" s="253">
        <v>0</v>
      </c>
      <c r="G1946" s="274">
        <f>Tabla3[[#This Row],[INGRESOS]]-Tabla3[[#This Row],[EGRESOS]]</f>
        <v>-146000</v>
      </c>
      <c r="H1946" s="274">
        <v>5189163.68</v>
      </c>
      <c r="I1946" s="135">
        <v>1350</v>
      </c>
      <c r="J1946" s="136">
        <f>Tabla3[[#This Row],[EGRESOS]]/Tabla3[[#This Row],[TC]]</f>
        <v>108.14814814814815</v>
      </c>
      <c r="K1946" s="136">
        <f>Tabla3[[#This Row],[INGRESOS]]/Tabla3[[#This Row],[TC]]</f>
        <v>0</v>
      </c>
      <c r="L1946" s="8" t="s">
        <v>376</v>
      </c>
      <c r="M1946" s="8" t="s">
        <v>377</v>
      </c>
      <c r="N1946" s="8" t="s">
        <v>20</v>
      </c>
      <c r="O1946" s="8" t="s">
        <v>225</v>
      </c>
      <c r="P1946" s="8" t="s">
        <v>233</v>
      </c>
      <c r="Q1946" s="8" t="s">
        <v>234</v>
      </c>
      <c r="R1946" s="8"/>
      <c r="S1946" s="8" t="s">
        <v>1138</v>
      </c>
      <c r="T1946" s="8"/>
      <c r="U1946" s="8" t="s">
        <v>403</v>
      </c>
      <c r="V1946" s="8"/>
      <c r="W1946" s="8" t="s">
        <v>380</v>
      </c>
      <c r="X1946" s="8" t="s">
        <v>99</v>
      </c>
      <c r="Y1946" s="8" t="s">
        <v>23</v>
      </c>
    </row>
    <row r="1947" spans="1:25" s="7" customFormat="1" hidden="1" x14ac:dyDescent="0.25">
      <c r="A1947" s="247" t="s">
        <v>318</v>
      </c>
      <c r="B1947" s="248">
        <v>45883</v>
      </c>
      <c r="C1947" s="244" t="s">
        <v>782</v>
      </c>
      <c r="D1947" s="244" t="s">
        <v>1139</v>
      </c>
      <c r="E1947" s="249">
        <v>1086667</v>
      </c>
      <c r="F1947" s="249">
        <v>0</v>
      </c>
      <c r="G1947" s="266">
        <f>Tabla3[[#This Row],[INGRESOS]]-Tabla3[[#This Row],[EGRESOS]]</f>
        <v>-1086667</v>
      </c>
      <c r="H1947" s="266">
        <v>4102496.68</v>
      </c>
      <c r="I1947" s="119">
        <v>1350</v>
      </c>
      <c r="J1947" s="99">
        <f>Tabla3[[#This Row],[EGRESOS]]/Tabla3[[#This Row],[TC]]</f>
        <v>804.93851851851855</v>
      </c>
      <c r="K1947" s="99">
        <f>Tabla3[[#This Row],[INGRESOS]]/Tabla3[[#This Row],[TC]]</f>
        <v>0</v>
      </c>
      <c r="L1947" s="7" t="s">
        <v>376</v>
      </c>
      <c r="M1947" s="7" t="s">
        <v>377</v>
      </c>
      <c r="N1947" s="7" t="s">
        <v>20</v>
      </c>
      <c r="O1947" s="7" t="s">
        <v>286</v>
      </c>
      <c r="P1947" s="7" t="s">
        <v>287</v>
      </c>
      <c r="Q1947" s="7" t="s">
        <v>291</v>
      </c>
      <c r="R1947" s="7" t="s">
        <v>1055</v>
      </c>
      <c r="S1947" s="7" t="s">
        <v>676</v>
      </c>
      <c r="U1947" s="7" t="s">
        <v>412</v>
      </c>
      <c r="W1947" s="7" t="s">
        <v>380</v>
      </c>
      <c r="X1947" s="7" t="s">
        <v>29</v>
      </c>
      <c r="Y1947" s="7" t="s">
        <v>23</v>
      </c>
    </row>
    <row r="1948" spans="1:25" s="7" customFormat="1" hidden="1" x14ac:dyDescent="0.25">
      <c r="A1948" s="247" t="s">
        <v>318</v>
      </c>
      <c r="B1948" s="248">
        <v>45883</v>
      </c>
      <c r="C1948" s="244" t="s">
        <v>1140</v>
      </c>
      <c r="D1948" s="244"/>
      <c r="E1948" s="249">
        <v>0</v>
      </c>
      <c r="F1948" s="249">
        <v>58358042.600000001</v>
      </c>
      <c r="G1948" s="266">
        <f>Tabla3[[#This Row],[INGRESOS]]-Tabla3[[#This Row],[EGRESOS]]</f>
        <v>58358042.600000001</v>
      </c>
      <c r="H1948" s="266">
        <v>62460539.280000001</v>
      </c>
      <c r="I1948" s="119">
        <v>1350</v>
      </c>
      <c r="J1948" s="99">
        <f>Tabla3[[#This Row],[EGRESOS]]/Tabla3[[#This Row],[TC]]</f>
        <v>0</v>
      </c>
      <c r="K1948" s="99">
        <f>Tabla3[[#This Row],[INGRESOS]]/Tabla3[[#This Row],[TC]]</f>
        <v>43228.179703703703</v>
      </c>
      <c r="L1948" s="7" t="s">
        <v>376</v>
      </c>
      <c r="M1948" s="7" t="s">
        <v>377</v>
      </c>
      <c r="N1948" s="7" t="s">
        <v>20</v>
      </c>
      <c r="O1948" s="7" t="s">
        <v>215</v>
      </c>
      <c r="P1948" s="7" t="s">
        <v>216</v>
      </c>
      <c r="Q1948" s="7" t="s">
        <v>221</v>
      </c>
      <c r="R1948" s="7" t="s">
        <v>1141</v>
      </c>
      <c r="S1948" s="7" t="s">
        <v>1142</v>
      </c>
      <c r="U1948" s="7" t="s">
        <v>516</v>
      </c>
      <c r="W1948" s="7" t="s">
        <v>380</v>
      </c>
      <c r="X1948" s="7" t="s">
        <v>23</v>
      </c>
      <c r="Y1948" s="7" t="s">
        <v>97</v>
      </c>
    </row>
    <row r="1949" spans="1:25" s="7" customFormat="1" hidden="1" x14ac:dyDescent="0.25">
      <c r="A1949" s="247" t="s">
        <v>318</v>
      </c>
      <c r="B1949" s="248">
        <v>45883</v>
      </c>
      <c r="C1949" s="244" t="s">
        <v>760</v>
      </c>
      <c r="D1949" s="244"/>
      <c r="E1949" s="249">
        <v>350148.26</v>
      </c>
      <c r="F1949" s="249">
        <v>0</v>
      </c>
      <c r="G1949" s="266">
        <f>Tabla3[[#This Row],[INGRESOS]]-Tabla3[[#This Row],[EGRESOS]]</f>
        <v>-350148.26</v>
      </c>
      <c r="H1949" s="266">
        <v>62110391.020000003</v>
      </c>
      <c r="I1949" s="119">
        <v>1350</v>
      </c>
      <c r="J1949" s="99">
        <f>Tabla3[[#This Row],[EGRESOS]]/Tabla3[[#This Row],[TC]]</f>
        <v>259.36908148148149</v>
      </c>
      <c r="K1949" s="99">
        <f>Tabla3[[#This Row],[INGRESOS]]/Tabla3[[#This Row],[TC]]</f>
        <v>0</v>
      </c>
      <c r="L1949" s="7" t="s">
        <v>376</v>
      </c>
      <c r="M1949" s="7" t="s">
        <v>377</v>
      </c>
      <c r="N1949" s="7" t="s">
        <v>20</v>
      </c>
      <c r="O1949" s="7" t="s">
        <v>184</v>
      </c>
      <c r="P1949" s="7" t="s">
        <v>195</v>
      </c>
      <c r="Q1949" s="7" t="s">
        <v>196</v>
      </c>
      <c r="R1949" s="7" t="s">
        <v>394</v>
      </c>
      <c r="S1949" s="7" t="s">
        <v>383</v>
      </c>
      <c r="U1949" s="7" t="s">
        <v>384</v>
      </c>
      <c r="W1949" s="7" t="s">
        <v>380</v>
      </c>
      <c r="X1949" s="7" t="s">
        <v>99</v>
      </c>
      <c r="Y1949" s="7" t="s">
        <v>23</v>
      </c>
    </row>
    <row r="1950" spans="1:25" s="7" customFormat="1" hidden="1" x14ac:dyDescent="0.25">
      <c r="A1950" s="247" t="s">
        <v>318</v>
      </c>
      <c r="B1950" s="248">
        <v>45883</v>
      </c>
      <c r="C1950" s="244" t="s">
        <v>773</v>
      </c>
      <c r="D1950" s="244"/>
      <c r="E1950" s="249">
        <v>7396</v>
      </c>
      <c r="F1950" s="249">
        <v>0</v>
      </c>
      <c r="G1950" s="266">
        <f>Tabla3[[#This Row],[INGRESOS]]-Tabla3[[#This Row],[EGRESOS]]</f>
        <v>-7396</v>
      </c>
      <c r="H1950" s="266">
        <v>62102995.020000003</v>
      </c>
      <c r="I1950" s="119">
        <v>1350</v>
      </c>
      <c r="J1950" s="99">
        <f>Tabla3[[#This Row],[EGRESOS]]/Tabla3[[#This Row],[TC]]</f>
        <v>5.4785185185185181</v>
      </c>
      <c r="K1950" s="99">
        <f>Tabla3[[#This Row],[INGRESOS]]/Tabla3[[#This Row],[TC]]</f>
        <v>0</v>
      </c>
      <c r="L1950" s="7" t="s">
        <v>376</v>
      </c>
      <c r="M1950" s="7" t="s">
        <v>377</v>
      </c>
      <c r="N1950" s="7" t="s">
        <v>20</v>
      </c>
      <c r="O1950" s="7" t="s">
        <v>184</v>
      </c>
      <c r="P1950" s="7" t="s">
        <v>195</v>
      </c>
      <c r="Q1950" s="7" t="s">
        <v>196</v>
      </c>
      <c r="R1950" s="7" t="s">
        <v>394</v>
      </c>
      <c r="S1950" s="7" t="s">
        <v>383</v>
      </c>
      <c r="U1950" s="7" t="s">
        <v>384</v>
      </c>
      <c r="W1950" s="7" t="s">
        <v>380</v>
      </c>
      <c r="X1950" s="7" t="s">
        <v>99</v>
      </c>
      <c r="Y1950" s="7" t="s">
        <v>23</v>
      </c>
    </row>
    <row r="1951" spans="1:25" s="7" customFormat="1" hidden="1" x14ac:dyDescent="0.25">
      <c r="A1951" s="247" t="s">
        <v>318</v>
      </c>
      <c r="B1951" s="248">
        <v>45887</v>
      </c>
      <c r="C1951" s="244" t="s">
        <v>800</v>
      </c>
      <c r="D1951" s="244"/>
      <c r="E1951" s="249">
        <v>16876032.940000001</v>
      </c>
      <c r="F1951" s="249">
        <v>0</v>
      </c>
      <c r="G1951" s="266">
        <f>Tabla3[[#This Row],[INGRESOS]]-Tabla3[[#This Row],[EGRESOS]]</f>
        <v>-16876032.940000001</v>
      </c>
      <c r="H1951" s="266">
        <v>45226962.079999998</v>
      </c>
      <c r="I1951" s="119">
        <v>1350</v>
      </c>
      <c r="J1951" s="99">
        <f>Tabla3[[#This Row],[EGRESOS]]/Tabla3[[#This Row],[TC]]</f>
        <v>12500.765140740741</v>
      </c>
      <c r="K1951" s="99">
        <f>Tabla3[[#This Row],[INGRESOS]]/Tabla3[[#This Row],[TC]]</f>
        <v>0</v>
      </c>
      <c r="L1951" s="7" t="s">
        <v>376</v>
      </c>
      <c r="M1951" s="7" t="s">
        <v>377</v>
      </c>
      <c r="N1951" s="7" t="s">
        <v>20</v>
      </c>
      <c r="O1951" s="7" t="s">
        <v>286</v>
      </c>
      <c r="P1951" s="7" t="s">
        <v>294</v>
      </c>
      <c r="Q1951" s="7" t="s">
        <v>302</v>
      </c>
      <c r="S1951" s="7" t="s">
        <v>689</v>
      </c>
      <c r="U1951" s="7" t="s">
        <v>690</v>
      </c>
      <c r="W1951" s="7" t="s">
        <v>380</v>
      </c>
      <c r="X1951" s="7" t="s">
        <v>99</v>
      </c>
      <c r="Y1951" s="7" t="s">
        <v>23</v>
      </c>
    </row>
    <row r="1952" spans="1:25" s="7" customFormat="1" hidden="1" x14ac:dyDescent="0.25">
      <c r="A1952" s="247" t="s">
        <v>318</v>
      </c>
      <c r="B1952" s="248">
        <v>45887</v>
      </c>
      <c r="C1952" s="244" t="s">
        <v>828</v>
      </c>
      <c r="D1952" s="244"/>
      <c r="E1952" s="249">
        <v>121</v>
      </c>
      <c r="F1952" s="249">
        <v>0</v>
      </c>
      <c r="G1952" s="266">
        <f>Tabla3[[#This Row],[INGRESOS]]-Tabla3[[#This Row],[EGRESOS]]</f>
        <v>-121</v>
      </c>
      <c r="H1952" s="266">
        <v>45226841.079999998</v>
      </c>
      <c r="I1952" s="119">
        <v>1350</v>
      </c>
      <c r="J1952" s="99">
        <f>Tabla3[[#This Row],[EGRESOS]]/Tabla3[[#This Row],[TC]]</f>
        <v>8.9629629629629629E-2</v>
      </c>
      <c r="K1952" s="99">
        <f>Tabla3[[#This Row],[INGRESOS]]/Tabla3[[#This Row],[TC]]</f>
        <v>0</v>
      </c>
      <c r="L1952" s="7" t="s">
        <v>376</v>
      </c>
      <c r="M1952" s="7" t="s">
        <v>377</v>
      </c>
      <c r="N1952" s="7" t="s">
        <v>20</v>
      </c>
      <c r="O1952" s="7" t="s">
        <v>184</v>
      </c>
      <c r="P1952" s="7" t="s">
        <v>185</v>
      </c>
      <c r="Q1952" s="7" t="s">
        <v>186</v>
      </c>
      <c r="R1952" s="7" t="s">
        <v>227</v>
      </c>
      <c r="U1952" s="7" t="s">
        <v>384</v>
      </c>
      <c r="W1952" s="7" t="s">
        <v>380</v>
      </c>
      <c r="X1952" s="7" t="s">
        <v>99</v>
      </c>
      <c r="Y1952" s="7" t="s">
        <v>23</v>
      </c>
    </row>
    <row r="1953" spans="1:25" s="7" customFormat="1" hidden="1" x14ac:dyDescent="0.25">
      <c r="A1953" s="247" t="s">
        <v>318</v>
      </c>
      <c r="B1953" s="248">
        <v>45887</v>
      </c>
      <c r="C1953" s="244" t="s">
        <v>773</v>
      </c>
      <c r="D1953" s="244"/>
      <c r="E1953" s="249">
        <v>101256.93</v>
      </c>
      <c r="F1953" s="249">
        <v>0</v>
      </c>
      <c r="G1953" s="266">
        <f>Tabla3[[#This Row],[INGRESOS]]-Tabla3[[#This Row],[EGRESOS]]</f>
        <v>-101256.93</v>
      </c>
      <c r="H1953" s="266">
        <v>45125584.149999999</v>
      </c>
      <c r="I1953" s="119">
        <v>1350</v>
      </c>
      <c r="J1953" s="99">
        <f>Tabla3[[#This Row],[EGRESOS]]/Tabla3[[#This Row],[TC]]</f>
        <v>75.005133333333333</v>
      </c>
      <c r="K1953" s="99">
        <f>Tabla3[[#This Row],[INGRESOS]]/Tabla3[[#This Row],[TC]]</f>
        <v>0</v>
      </c>
      <c r="L1953" s="7" t="s">
        <v>376</v>
      </c>
      <c r="M1953" s="7" t="s">
        <v>377</v>
      </c>
      <c r="N1953" s="7" t="s">
        <v>20</v>
      </c>
      <c r="O1953" s="7" t="s">
        <v>184</v>
      </c>
      <c r="P1953" s="7" t="s">
        <v>195</v>
      </c>
      <c r="Q1953" s="7" t="s">
        <v>196</v>
      </c>
      <c r="R1953" s="7" t="s">
        <v>394</v>
      </c>
      <c r="S1953" s="7" t="s">
        <v>383</v>
      </c>
      <c r="U1953" s="7" t="s">
        <v>384</v>
      </c>
      <c r="W1953" s="7" t="s">
        <v>380</v>
      </c>
      <c r="X1953" s="7" t="s">
        <v>99</v>
      </c>
      <c r="Y1953" s="7" t="s">
        <v>23</v>
      </c>
    </row>
    <row r="1954" spans="1:25" s="7" customFormat="1" hidden="1" x14ac:dyDescent="0.25">
      <c r="A1954" s="247" t="s">
        <v>318</v>
      </c>
      <c r="B1954" s="248">
        <v>45887</v>
      </c>
      <c r="C1954" s="244" t="s">
        <v>795</v>
      </c>
      <c r="D1954" s="244"/>
      <c r="E1954" s="249">
        <v>841753.52</v>
      </c>
      <c r="F1954" s="249">
        <v>0</v>
      </c>
      <c r="G1954" s="266">
        <f>Tabla3[[#This Row],[INGRESOS]]-Tabla3[[#This Row],[EGRESOS]]</f>
        <v>-841753.52</v>
      </c>
      <c r="H1954" s="266">
        <v>44283830.630000003</v>
      </c>
      <c r="I1954" s="119">
        <v>1350</v>
      </c>
      <c r="J1954" s="99">
        <f>Tabla3[[#This Row],[EGRESOS]]/Tabla3[[#This Row],[TC]]</f>
        <v>623.52112592592596</v>
      </c>
      <c r="K1954" s="99">
        <f>Tabla3[[#This Row],[INGRESOS]]/Tabla3[[#This Row],[TC]]</f>
        <v>0</v>
      </c>
      <c r="L1954" s="7" t="s">
        <v>376</v>
      </c>
      <c r="M1954" s="7" t="s">
        <v>377</v>
      </c>
      <c r="N1954" s="7" t="s">
        <v>20</v>
      </c>
      <c r="O1954" s="7" t="s">
        <v>244</v>
      </c>
      <c r="P1954" s="7" t="s">
        <v>259</v>
      </c>
      <c r="Q1954" s="7" t="s">
        <v>260</v>
      </c>
      <c r="R1954" s="7" t="s">
        <v>804</v>
      </c>
      <c r="U1954" s="7" t="s">
        <v>379</v>
      </c>
    </row>
    <row r="1955" spans="1:25" s="7" customFormat="1" hidden="1" x14ac:dyDescent="0.25">
      <c r="A1955" s="273" t="s">
        <v>318</v>
      </c>
      <c r="B1955" s="251">
        <v>45888</v>
      </c>
      <c r="C1955" s="252" t="s">
        <v>782</v>
      </c>
      <c r="D1955" s="252" t="s">
        <v>1143</v>
      </c>
      <c r="E1955" s="253">
        <v>1999418.67</v>
      </c>
      <c r="F1955" s="253">
        <v>0</v>
      </c>
      <c r="G1955" s="274">
        <f>Tabla3[[#This Row],[INGRESOS]]-Tabla3[[#This Row],[EGRESOS]]</f>
        <v>-1999418.67</v>
      </c>
      <c r="H1955" s="274">
        <v>42284411.960000001</v>
      </c>
      <c r="I1955" s="135">
        <v>1350</v>
      </c>
      <c r="J1955" s="136">
        <f>Tabla3[[#This Row],[EGRESOS]]/Tabla3[[#This Row],[TC]]</f>
        <v>1481.0508666666667</v>
      </c>
      <c r="K1955" s="136">
        <f>Tabla3[[#This Row],[INGRESOS]]/Tabla3[[#This Row],[TC]]</f>
        <v>0</v>
      </c>
      <c r="L1955" s="8" t="s">
        <v>376</v>
      </c>
      <c r="M1955" s="8" t="s">
        <v>377</v>
      </c>
      <c r="N1955" s="8" t="s">
        <v>20</v>
      </c>
      <c r="O1955" s="8" t="s">
        <v>286</v>
      </c>
      <c r="P1955" s="8" t="s">
        <v>287</v>
      </c>
      <c r="Q1955" s="8" t="s">
        <v>288</v>
      </c>
      <c r="R1955" s="8" t="s">
        <v>143</v>
      </c>
      <c r="S1955" s="8" t="s">
        <v>665</v>
      </c>
      <c r="T1955" s="8"/>
      <c r="U1955" s="8" t="s">
        <v>412</v>
      </c>
      <c r="V1955" s="8"/>
      <c r="W1955" s="8" t="s">
        <v>380</v>
      </c>
      <c r="X1955" s="8" t="s">
        <v>29</v>
      </c>
      <c r="Y1955" s="8" t="s">
        <v>23</v>
      </c>
    </row>
    <row r="1956" spans="1:25" s="7" customFormat="1" hidden="1" x14ac:dyDescent="0.25">
      <c r="A1956" s="273" t="s">
        <v>318</v>
      </c>
      <c r="B1956" s="251">
        <v>45888</v>
      </c>
      <c r="C1956" s="252" t="s">
        <v>782</v>
      </c>
      <c r="D1956" s="252" t="s">
        <v>1144</v>
      </c>
      <c r="E1956" s="253">
        <v>735000</v>
      </c>
      <c r="F1956" s="253">
        <v>0</v>
      </c>
      <c r="G1956" s="274">
        <f>Tabla3[[#This Row],[INGRESOS]]-Tabla3[[#This Row],[EGRESOS]]</f>
        <v>-735000</v>
      </c>
      <c r="H1956" s="274">
        <v>41549411.960000001</v>
      </c>
      <c r="I1956" s="135">
        <v>1350</v>
      </c>
      <c r="J1956" s="136">
        <f>Tabla3[[#This Row],[EGRESOS]]/Tabla3[[#This Row],[TC]]</f>
        <v>544.44444444444446</v>
      </c>
      <c r="K1956" s="136">
        <f>Tabla3[[#This Row],[INGRESOS]]/Tabla3[[#This Row],[TC]]</f>
        <v>0</v>
      </c>
      <c r="L1956" s="8" t="s">
        <v>376</v>
      </c>
      <c r="M1956" s="8" t="s">
        <v>377</v>
      </c>
      <c r="N1956" s="8" t="s">
        <v>20</v>
      </c>
      <c r="O1956" s="8" t="s">
        <v>286</v>
      </c>
      <c r="P1956" s="8" t="s">
        <v>287</v>
      </c>
      <c r="Q1956" s="8" t="s">
        <v>290</v>
      </c>
      <c r="R1956" s="8"/>
      <c r="S1956" s="8" t="s">
        <v>1017</v>
      </c>
      <c r="T1956" s="8"/>
      <c r="U1956" s="8" t="s">
        <v>690</v>
      </c>
      <c r="V1956" s="8"/>
      <c r="W1956" s="8" t="s">
        <v>380</v>
      </c>
      <c r="X1956" s="8" t="s">
        <v>99</v>
      </c>
      <c r="Y1956" s="8" t="s">
        <v>23</v>
      </c>
    </row>
    <row r="1957" spans="1:25" s="7" customFormat="1" hidden="1" x14ac:dyDescent="0.25">
      <c r="A1957" s="273" t="s">
        <v>318</v>
      </c>
      <c r="B1957" s="251">
        <v>45888</v>
      </c>
      <c r="C1957" s="252" t="s">
        <v>782</v>
      </c>
      <c r="D1957" s="252" t="s">
        <v>1145</v>
      </c>
      <c r="E1957" s="253">
        <v>363671.37</v>
      </c>
      <c r="F1957" s="253">
        <v>0</v>
      </c>
      <c r="G1957" s="274">
        <f>Tabla3[[#This Row],[INGRESOS]]-Tabla3[[#This Row],[EGRESOS]]</f>
        <v>-363671.37</v>
      </c>
      <c r="H1957" s="274">
        <v>41185740.590000004</v>
      </c>
      <c r="I1957" s="135">
        <v>1350</v>
      </c>
      <c r="J1957" s="136">
        <f>Tabla3[[#This Row],[EGRESOS]]/Tabla3[[#This Row],[TC]]</f>
        <v>269.38619999999997</v>
      </c>
      <c r="K1957" s="136">
        <f>Tabla3[[#This Row],[INGRESOS]]/Tabla3[[#This Row],[TC]]</f>
        <v>0</v>
      </c>
      <c r="L1957" s="8" t="s">
        <v>376</v>
      </c>
      <c r="M1957" s="8" t="s">
        <v>377</v>
      </c>
      <c r="N1957" s="8" t="s">
        <v>20</v>
      </c>
      <c r="O1957" s="8" t="s">
        <v>225</v>
      </c>
      <c r="P1957" s="8" t="s">
        <v>226</v>
      </c>
      <c r="Q1957" s="8" t="s">
        <v>227</v>
      </c>
      <c r="R1957" s="8"/>
      <c r="S1957" s="8" t="s">
        <v>1146</v>
      </c>
      <c r="T1957" s="8" t="s">
        <v>1147</v>
      </c>
      <c r="U1957" s="8" t="s">
        <v>412</v>
      </c>
      <c r="V1957" s="8"/>
      <c r="W1957" s="8" t="s">
        <v>380</v>
      </c>
      <c r="X1957" s="8" t="s">
        <v>50</v>
      </c>
      <c r="Y1957" s="8" t="s">
        <v>23</v>
      </c>
    </row>
    <row r="1958" spans="1:25" s="7" customFormat="1" hidden="1" x14ac:dyDescent="0.25">
      <c r="A1958" s="273" t="s">
        <v>318</v>
      </c>
      <c r="B1958" s="251">
        <v>45888</v>
      </c>
      <c r="C1958" s="252" t="s">
        <v>782</v>
      </c>
      <c r="D1958" s="252" t="s">
        <v>1148</v>
      </c>
      <c r="E1958" s="253">
        <v>2000000</v>
      </c>
      <c r="F1958" s="253">
        <v>0</v>
      </c>
      <c r="G1958" s="274">
        <f>Tabla3[[#This Row],[INGRESOS]]-Tabla3[[#This Row],[EGRESOS]]</f>
        <v>-2000000</v>
      </c>
      <c r="H1958" s="274">
        <v>39185740.590000004</v>
      </c>
      <c r="I1958" s="135">
        <v>1350</v>
      </c>
      <c r="J1958" s="136">
        <f>Tabla3[[#This Row],[EGRESOS]]/Tabla3[[#This Row],[TC]]</f>
        <v>1481.4814814814815</v>
      </c>
      <c r="K1958" s="136">
        <f>Tabla3[[#This Row],[INGRESOS]]/Tabla3[[#This Row],[TC]]</f>
        <v>0</v>
      </c>
      <c r="L1958" s="8" t="s">
        <v>376</v>
      </c>
      <c r="M1958" s="8" t="s">
        <v>377</v>
      </c>
      <c r="N1958" s="8" t="s">
        <v>20</v>
      </c>
      <c r="O1958" s="8" t="s">
        <v>215</v>
      </c>
      <c r="P1958" s="8" t="s">
        <v>216</v>
      </c>
      <c r="Q1958" s="8" t="s">
        <v>220</v>
      </c>
      <c r="R1958" s="8" t="s">
        <v>327</v>
      </c>
      <c r="S1958" s="8" t="s">
        <v>551</v>
      </c>
      <c r="T1958" s="8"/>
      <c r="U1958" s="8" t="s">
        <v>403</v>
      </c>
      <c r="V1958" s="8"/>
      <c r="W1958" s="8" t="s">
        <v>380</v>
      </c>
      <c r="X1958" s="8" t="s">
        <v>29</v>
      </c>
      <c r="Y1958" s="8" t="s">
        <v>23</v>
      </c>
    </row>
    <row r="1959" spans="1:25" s="7" customFormat="1" hidden="1" x14ac:dyDescent="0.25">
      <c r="A1959" s="273" t="s">
        <v>318</v>
      </c>
      <c r="B1959" s="251">
        <v>45888</v>
      </c>
      <c r="C1959" s="252" t="s">
        <v>782</v>
      </c>
      <c r="D1959" s="252" t="s">
        <v>1149</v>
      </c>
      <c r="E1959" s="253">
        <v>1596474</v>
      </c>
      <c r="F1959" s="253">
        <v>0</v>
      </c>
      <c r="G1959" s="274">
        <f>Tabla3[[#This Row],[INGRESOS]]-Tabla3[[#This Row],[EGRESOS]]</f>
        <v>-1596474</v>
      </c>
      <c r="H1959" s="274">
        <v>37589266.590000004</v>
      </c>
      <c r="I1959" s="135">
        <v>1350</v>
      </c>
      <c r="J1959" s="136">
        <f>Tabla3[[#This Row],[EGRESOS]]/Tabla3[[#This Row],[TC]]</f>
        <v>1182.5733333333333</v>
      </c>
      <c r="K1959" s="136">
        <f>Tabla3[[#This Row],[INGRESOS]]/Tabla3[[#This Row],[TC]]</f>
        <v>0</v>
      </c>
      <c r="L1959" s="8" t="s">
        <v>376</v>
      </c>
      <c r="M1959" s="8" t="s">
        <v>377</v>
      </c>
      <c r="N1959" s="8" t="s">
        <v>20</v>
      </c>
      <c r="O1959" s="8" t="s">
        <v>215</v>
      </c>
      <c r="P1959" s="8" t="s">
        <v>216</v>
      </c>
      <c r="Q1959" s="8" t="s">
        <v>220</v>
      </c>
      <c r="R1959" s="8" t="s">
        <v>291</v>
      </c>
      <c r="S1959" s="8" t="s">
        <v>1099</v>
      </c>
      <c r="T1959" s="8" t="s">
        <v>1150</v>
      </c>
      <c r="U1959" s="8" t="s">
        <v>412</v>
      </c>
      <c r="V1959" s="8"/>
      <c r="W1959" s="8" t="s">
        <v>380</v>
      </c>
      <c r="X1959" s="8" t="s">
        <v>29</v>
      </c>
      <c r="Y1959" s="8" t="s">
        <v>23</v>
      </c>
    </row>
    <row r="1960" spans="1:25" s="7" customFormat="1" hidden="1" x14ac:dyDescent="0.25">
      <c r="A1960" s="273" t="s">
        <v>318</v>
      </c>
      <c r="B1960" s="251">
        <v>45888</v>
      </c>
      <c r="C1960" s="252" t="s">
        <v>782</v>
      </c>
      <c r="D1960" s="252" t="s">
        <v>1151</v>
      </c>
      <c r="E1960" s="253">
        <v>246835.95</v>
      </c>
      <c r="F1960" s="253">
        <v>0</v>
      </c>
      <c r="G1960" s="274">
        <f>Tabla3[[#This Row],[INGRESOS]]-Tabla3[[#This Row],[EGRESOS]]</f>
        <v>-246835.95</v>
      </c>
      <c r="H1960" s="274">
        <v>37342430.640000001</v>
      </c>
      <c r="I1960" s="135">
        <v>1350</v>
      </c>
      <c r="J1960" s="136">
        <f>Tabla3[[#This Row],[EGRESOS]]/Tabla3[[#This Row],[TC]]</f>
        <v>182.84144444444445</v>
      </c>
      <c r="K1960" s="136">
        <f>Tabla3[[#This Row],[INGRESOS]]/Tabla3[[#This Row],[TC]]</f>
        <v>0</v>
      </c>
      <c r="L1960" s="8" t="s">
        <v>376</v>
      </c>
      <c r="M1960" s="8" t="s">
        <v>377</v>
      </c>
      <c r="N1960" s="8" t="s">
        <v>20</v>
      </c>
      <c r="O1960" s="8" t="s">
        <v>286</v>
      </c>
      <c r="P1960" s="8" t="s">
        <v>287</v>
      </c>
      <c r="Q1960" s="8" t="s">
        <v>288</v>
      </c>
      <c r="R1960" s="8" t="s">
        <v>143</v>
      </c>
      <c r="S1960" s="8" t="s">
        <v>637</v>
      </c>
      <c r="T1960" s="8" t="s">
        <v>1152</v>
      </c>
      <c r="U1960" s="8" t="s">
        <v>412</v>
      </c>
      <c r="V1960" s="8"/>
      <c r="W1960" s="8" t="s">
        <v>380</v>
      </c>
      <c r="X1960" s="8" t="s">
        <v>29</v>
      </c>
      <c r="Y1960" s="8" t="s">
        <v>23</v>
      </c>
    </row>
    <row r="1961" spans="1:25" s="7" customFormat="1" hidden="1" x14ac:dyDescent="0.25">
      <c r="A1961" s="273" t="s">
        <v>318</v>
      </c>
      <c r="B1961" s="251">
        <v>45888</v>
      </c>
      <c r="C1961" s="252" t="s">
        <v>782</v>
      </c>
      <c r="D1961" s="252" t="s">
        <v>1153</v>
      </c>
      <c r="E1961" s="253">
        <v>2204300</v>
      </c>
      <c r="F1961" s="253">
        <v>0</v>
      </c>
      <c r="G1961" s="274">
        <f>Tabla3[[#This Row],[INGRESOS]]-Tabla3[[#This Row],[EGRESOS]]</f>
        <v>-2204300</v>
      </c>
      <c r="H1961" s="274">
        <v>35138130.640000001</v>
      </c>
      <c r="I1961" s="135">
        <v>1350</v>
      </c>
      <c r="J1961" s="136">
        <f>Tabla3[[#This Row],[EGRESOS]]/Tabla3[[#This Row],[TC]]</f>
        <v>1632.8148148148148</v>
      </c>
      <c r="K1961" s="136">
        <f>Tabla3[[#This Row],[INGRESOS]]/Tabla3[[#This Row],[TC]]</f>
        <v>0</v>
      </c>
      <c r="L1961" s="8" t="s">
        <v>376</v>
      </c>
      <c r="M1961" s="8" t="s">
        <v>377</v>
      </c>
      <c r="N1961" s="8" t="s">
        <v>20</v>
      </c>
      <c r="O1961" s="8" t="s">
        <v>184</v>
      </c>
      <c r="P1961" s="8" t="s">
        <v>185</v>
      </c>
      <c r="Q1961" s="8" t="s">
        <v>186</v>
      </c>
      <c r="R1961" s="8" t="s">
        <v>1154</v>
      </c>
      <c r="S1961" s="8" t="s">
        <v>1155</v>
      </c>
      <c r="T1961" s="8"/>
      <c r="U1961" s="8" t="s">
        <v>384</v>
      </c>
      <c r="V1961" s="8"/>
      <c r="W1961" s="8" t="s">
        <v>380</v>
      </c>
      <c r="X1961" s="8" t="s">
        <v>99</v>
      </c>
      <c r="Y1961" s="8" t="s">
        <v>23</v>
      </c>
    </row>
    <row r="1962" spans="1:25" s="7" customFormat="1" hidden="1" x14ac:dyDescent="0.25">
      <c r="A1962" s="273" t="s">
        <v>318</v>
      </c>
      <c r="B1962" s="251">
        <v>45888</v>
      </c>
      <c r="C1962" s="252" t="s">
        <v>817</v>
      </c>
      <c r="D1962" s="252" t="s">
        <v>1156</v>
      </c>
      <c r="E1962" s="253">
        <v>465081.76</v>
      </c>
      <c r="F1962" s="253">
        <v>0</v>
      </c>
      <c r="G1962" s="274">
        <f>Tabla3[[#This Row],[INGRESOS]]-Tabla3[[#This Row],[EGRESOS]]</f>
        <v>-465081.76</v>
      </c>
      <c r="H1962" s="274">
        <v>34673048.880000003</v>
      </c>
      <c r="I1962" s="135">
        <v>1350</v>
      </c>
      <c r="J1962" s="136">
        <f>Tabla3[[#This Row],[EGRESOS]]/Tabla3[[#This Row],[TC]]</f>
        <v>344.50500740740739</v>
      </c>
      <c r="K1962" s="136">
        <f>Tabla3[[#This Row],[INGRESOS]]/Tabla3[[#This Row],[TC]]</f>
        <v>0</v>
      </c>
      <c r="L1962" s="8" t="s">
        <v>376</v>
      </c>
      <c r="M1962" s="8" t="s">
        <v>377</v>
      </c>
      <c r="N1962" s="8" t="s">
        <v>20</v>
      </c>
      <c r="O1962" s="8" t="s">
        <v>225</v>
      </c>
      <c r="P1962" s="8" t="s">
        <v>226</v>
      </c>
      <c r="Q1962" s="8" t="s">
        <v>230</v>
      </c>
      <c r="R1962" s="8"/>
      <c r="S1962" s="8" t="s">
        <v>1157</v>
      </c>
      <c r="T1962" s="8" t="s">
        <v>1158</v>
      </c>
      <c r="U1962" s="8" t="s">
        <v>412</v>
      </c>
      <c r="V1962" s="8"/>
      <c r="W1962" s="8" t="s">
        <v>380</v>
      </c>
      <c r="X1962" s="8" t="s">
        <v>29</v>
      </c>
      <c r="Y1962" s="8" t="s">
        <v>23</v>
      </c>
    </row>
    <row r="1963" spans="1:25" s="7" customFormat="1" hidden="1" x14ac:dyDescent="0.25">
      <c r="A1963" s="273" t="s">
        <v>318</v>
      </c>
      <c r="B1963" s="251">
        <v>45888</v>
      </c>
      <c r="C1963" s="252" t="s">
        <v>800</v>
      </c>
      <c r="D1963" s="252"/>
      <c r="E1963" s="253">
        <v>79930.97</v>
      </c>
      <c r="F1963" s="253">
        <v>0</v>
      </c>
      <c r="G1963" s="274">
        <f>Tabla3[[#This Row],[INGRESOS]]-Tabla3[[#This Row],[EGRESOS]]</f>
        <v>-79930.97</v>
      </c>
      <c r="H1963" s="274">
        <v>34593117.909999996</v>
      </c>
      <c r="I1963" s="135">
        <v>1350</v>
      </c>
      <c r="J1963" s="136">
        <f>Tabla3[[#This Row],[EGRESOS]]/Tabla3[[#This Row],[TC]]</f>
        <v>59.208125925925927</v>
      </c>
      <c r="K1963" s="136">
        <f>Tabla3[[#This Row],[INGRESOS]]/Tabla3[[#This Row],[TC]]</f>
        <v>0</v>
      </c>
      <c r="L1963" s="8" t="s">
        <v>376</v>
      </c>
      <c r="M1963" s="8" t="s">
        <v>377</v>
      </c>
      <c r="N1963" s="8" t="s">
        <v>20</v>
      </c>
      <c r="O1963" s="8" t="s">
        <v>225</v>
      </c>
      <c r="P1963" s="8" t="s">
        <v>236</v>
      </c>
      <c r="Q1963" s="8" t="s">
        <v>33</v>
      </c>
      <c r="R1963" s="8" t="s">
        <v>1159</v>
      </c>
      <c r="S1963" s="8" t="s">
        <v>407</v>
      </c>
      <c r="T1963" s="8" t="s">
        <v>1160</v>
      </c>
      <c r="U1963" s="8" t="s">
        <v>412</v>
      </c>
      <c r="V1963" s="8"/>
      <c r="W1963" s="8" t="s">
        <v>380</v>
      </c>
      <c r="X1963" s="8" t="s">
        <v>29</v>
      </c>
      <c r="Y1963" s="8" t="s">
        <v>23</v>
      </c>
    </row>
    <row r="1964" spans="1:25" s="7" customFormat="1" hidden="1" x14ac:dyDescent="0.25">
      <c r="A1964" s="273" t="s">
        <v>318</v>
      </c>
      <c r="B1964" s="251">
        <v>45888</v>
      </c>
      <c r="C1964" s="252" t="s">
        <v>404</v>
      </c>
      <c r="D1964" s="252"/>
      <c r="E1964" s="253">
        <v>2200000</v>
      </c>
      <c r="F1964" s="253">
        <v>0</v>
      </c>
      <c r="G1964" s="274">
        <f>Tabla3[[#This Row],[INGRESOS]]-Tabla3[[#This Row],[EGRESOS]]</f>
        <v>-2200000</v>
      </c>
      <c r="H1964" s="274">
        <v>32393117.91</v>
      </c>
      <c r="I1964" s="135">
        <v>1350</v>
      </c>
      <c r="J1964" s="136">
        <f>Tabla3[[#This Row],[EGRESOS]]/Tabla3[[#This Row],[TC]]</f>
        <v>1629.6296296296296</v>
      </c>
      <c r="K1964" s="136">
        <f>Tabla3[[#This Row],[INGRESOS]]/Tabla3[[#This Row],[TC]]</f>
        <v>0</v>
      </c>
      <c r="L1964" s="8" t="s">
        <v>376</v>
      </c>
      <c r="M1964" s="8" t="s">
        <v>377</v>
      </c>
      <c r="N1964" s="8" t="s">
        <v>20</v>
      </c>
      <c r="O1964" s="8" t="s">
        <v>244</v>
      </c>
      <c r="P1964" s="8" t="s">
        <v>259</v>
      </c>
      <c r="Q1964" s="8" t="s">
        <v>260</v>
      </c>
      <c r="R1964" s="8" t="s">
        <v>466</v>
      </c>
      <c r="S1964" s="8"/>
      <c r="T1964" s="8"/>
      <c r="U1964" s="7" t="s">
        <v>379</v>
      </c>
      <c r="V1964" s="8"/>
      <c r="W1964" s="8"/>
      <c r="X1964" s="8"/>
      <c r="Y1964" s="8"/>
    </row>
    <row r="1965" spans="1:25" s="7" customFormat="1" hidden="1" x14ac:dyDescent="0.25">
      <c r="A1965" s="273" t="s">
        <v>318</v>
      </c>
      <c r="B1965" s="251">
        <v>45888</v>
      </c>
      <c r="C1965" s="252" t="s">
        <v>828</v>
      </c>
      <c r="D1965" s="252"/>
      <c r="E1965" s="253">
        <v>121</v>
      </c>
      <c r="F1965" s="253">
        <v>0</v>
      </c>
      <c r="G1965" s="274">
        <f>Tabla3[[#This Row],[INGRESOS]]-Tabla3[[#This Row],[EGRESOS]]</f>
        <v>-121</v>
      </c>
      <c r="H1965" s="274">
        <v>32392996.91</v>
      </c>
      <c r="I1965" s="135">
        <v>1350</v>
      </c>
      <c r="J1965" s="136">
        <f>Tabla3[[#This Row],[EGRESOS]]/Tabla3[[#This Row],[TC]]</f>
        <v>8.9629629629629629E-2</v>
      </c>
      <c r="K1965" s="136">
        <f>Tabla3[[#This Row],[INGRESOS]]/Tabla3[[#This Row],[TC]]</f>
        <v>0</v>
      </c>
      <c r="L1965" s="8" t="s">
        <v>376</v>
      </c>
      <c r="M1965" s="8" t="s">
        <v>377</v>
      </c>
      <c r="N1965" s="8" t="s">
        <v>20</v>
      </c>
      <c r="O1965" s="8" t="s">
        <v>184</v>
      </c>
      <c r="P1965" s="8" t="s">
        <v>185</v>
      </c>
      <c r="Q1965" s="8" t="s">
        <v>186</v>
      </c>
      <c r="R1965" s="8"/>
      <c r="S1965" s="8"/>
      <c r="T1965" s="8"/>
      <c r="U1965" s="8" t="s">
        <v>384</v>
      </c>
      <c r="V1965" s="8"/>
      <c r="W1965" s="8" t="s">
        <v>380</v>
      </c>
      <c r="X1965" s="8" t="s">
        <v>99</v>
      </c>
      <c r="Y1965" s="8" t="s">
        <v>23</v>
      </c>
    </row>
    <row r="1966" spans="1:25" s="7" customFormat="1" hidden="1" x14ac:dyDescent="0.25">
      <c r="A1966" s="247" t="s">
        <v>319</v>
      </c>
      <c r="B1966" s="248">
        <v>45917</v>
      </c>
      <c r="C1966" s="244" t="s">
        <v>800</v>
      </c>
      <c r="D1966" s="244"/>
      <c r="E1966" s="249">
        <v>1200000</v>
      </c>
      <c r="F1966" s="249">
        <v>0</v>
      </c>
      <c r="G1966" s="266">
        <f>Tabla3[[#This Row],[INGRESOS]]-Tabla3[[#This Row],[EGRESOS]]</f>
        <v>-1200000</v>
      </c>
      <c r="H1966" s="266">
        <v>-2187170.4500000002</v>
      </c>
      <c r="I1966" s="119">
        <v>1410</v>
      </c>
      <c r="J1966" s="99">
        <f>Tabla3[[#This Row],[EGRESOS]]/Tabla3[[#This Row],[TC]]</f>
        <v>851.063829787234</v>
      </c>
      <c r="K1966" s="99">
        <f>Tabla3[[#This Row],[INGRESOS]]/Tabla3[[#This Row],[TC]]</f>
        <v>0</v>
      </c>
      <c r="L1966" s="7" t="s">
        <v>376</v>
      </c>
      <c r="M1966" s="7" t="s">
        <v>377</v>
      </c>
      <c r="N1966" s="7" t="s">
        <v>20</v>
      </c>
      <c r="O1966" s="7" t="s">
        <v>184</v>
      </c>
      <c r="P1966" s="7" t="s">
        <v>203</v>
      </c>
      <c r="Q1966" s="7" t="s">
        <v>208</v>
      </c>
      <c r="R1966" s="7" t="s">
        <v>188</v>
      </c>
      <c r="S1966" s="7" t="s">
        <v>386</v>
      </c>
      <c r="U1966" s="7" t="s">
        <v>387</v>
      </c>
      <c r="V1966" s="7" t="s">
        <v>386</v>
      </c>
      <c r="W1966" s="7" t="s">
        <v>475</v>
      </c>
      <c r="X1966" s="7" t="s">
        <v>104</v>
      </c>
      <c r="Y1966" s="7" t="s">
        <v>23</v>
      </c>
    </row>
    <row r="1967" spans="1:25" s="7" customFormat="1" hidden="1" x14ac:dyDescent="0.25">
      <c r="A1967" s="273" t="s">
        <v>318</v>
      </c>
      <c r="B1967" s="251">
        <v>45888</v>
      </c>
      <c r="C1967" s="252" t="s">
        <v>822</v>
      </c>
      <c r="D1967" s="252"/>
      <c r="E1967" s="253">
        <v>8067</v>
      </c>
      <c r="F1967" s="253">
        <v>0</v>
      </c>
      <c r="G1967" s="274">
        <f>Tabla3[[#This Row],[INGRESOS]]-Tabla3[[#This Row],[EGRESOS]]</f>
        <v>-8067</v>
      </c>
      <c r="H1967" s="274">
        <v>32224929.91</v>
      </c>
      <c r="I1967" s="135">
        <v>1350</v>
      </c>
      <c r="J1967" s="136">
        <f>Tabla3[[#This Row],[EGRESOS]]/Tabla3[[#This Row],[TC]]</f>
        <v>5.9755555555555553</v>
      </c>
      <c r="K1967" s="136">
        <f>Tabla3[[#This Row],[INGRESOS]]/Tabla3[[#This Row],[TC]]</f>
        <v>0</v>
      </c>
      <c r="L1967" s="8" t="s">
        <v>376</v>
      </c>
      <c r="M1967" s="8" t="s">
        <v>377</v>
      </c>
      <c r="N1967" s="8" t="s">
        <v>20</v>
      </c>
      <c r="O1967" s="8" t="s">
        <v>184</v>
      </c>
      <c r="P1967" s="8" t="s">
        <v>185</v>
      </c>
      <c r="Q1967" s="8" t="s">
        <v>189</v>
      </c>
      <c r="R1967" s="8"/>
      <c r="S1967" s="8"/>
      <c r="T1967" s="8"/>
      <c r="U1967" s="8" t="s">
        <v>384</v>
      </c>
      <c r="V1967" s="8"/>
      <c r="W1967" s="8" t="s">
        <v>380</v>
      </c>
      <c r="X1967" s="8" t="s">
        <v>99</v>
      </c>
      <c r="Y1967" s="8" t="s">
        <v>23</v>
      </c>
    </row>
    <row r="1968" spans="1:25" s="7" customFormat="1" hidden="1" x14ac:dyDescent="0.25">
      <c r="A1968" s="273" t="s">
        <v>318</v>
      </c>
      <c r="B1968" s="251">
        <v>45888</v>
      </c>
      <c r="C1968" s="252" t="s">
        <v>773</v>
      </c>
      <c r="D1968" s="252"/>
      <c r="E1968" s="253">
        <v>59153.41</v>
      </c>
      <c r="F1968" s="253">
        <v>0</v>
      </c>
      <c r="G1968" s="274">
        <f>Tabla3[[#This Row],[INGRESOS]]-Tabla3[[#This Row],[EGRESOS]]</f>
        <v>-59153.41</v>
      </c>
      <c r="H1968" s="274">
        <v>32165776.5</v>
      </c>
      <c r="I1968" s="135">
        <v>1350</v>
      </c>
      <c r="J1968" s="136">
        <f>Tabla3[[#This Row],[EGRESOS]]/Tabla3[[#This Row],[TC]]</f>
        <v>43.817340740740747</v>
      </c>
      <c r="K1968" s="136">
        <f>Tabla3[[#This Row],[INGRESOS]]/Tabla3[[#This Row],[TC]]</f>
        <v>0</v>
      </c>
      <c r="L1968" s="8" t="s">
        <v>376</v>
      </c>
      <c r="M1968" s="8" t="s">
        <v>377</v>
      </c>
      <c r="N1968" s="8" t="s">
        <v>20</v>
      </c>
      <c r="O1968" s="8" t="s">
        <v>184</v>
      </c>
      <c r="P1968" s="8" t="s">
        <v>195</v>
      </c>
      <c r="Q1968" s="8" t="s">
        <v>196</v>
      </c>
      <c r="R1968" s="8" t="s">
        <v>394</v>
      </c>
      <c r="S1968" s="8" t="s">
        <v>383</v>
      </c>
      <c r="T1968" s="8"/>
      <c r="U1968" s="8" t="s">
        <v>384</v>
      </c>
      <c r="V1968" s="8"/>
      <c r="W1968" s="8" t="s">
        <v>380</v>
      </c>
      <c r="X1968" s="8" t="s">
        <v>99</v>
      </c>
      <c r="Y1968" s="8" t="s">
        <v>23</v>
      </c>
    </row>
    <row r="1969" spans="1:25" s="7" customFormat="1" hidden="1" x14ac:dyDescent="0.25">
      <c r="A1969" s="273" t="s">
        <v>318</v>
      </c>
      <c r="B1969" s="251">
        <v>45889</v>
      </c>
      <c r="C1969" s="252" t="s">
        <v>782</v>
      </c>
      <c r="D1969" s="252" t="s">
        <v>1161</v>
      </c>
      <c r="E1969" s="253">
        <v>685009</v>
      </c>
      <c r="F1969" s="253">
        <v>0</v>
      </c>
      <c r="G1969" s="274">
        <f>Tabla3[[#This Row],[INGRESOS]]-Tabla3[[#This Row],[EGRESOS]]</f>
        <v>-685009</v>
      </c>
      <c r="H1969" s="274">
        <v>31480767.5</v>
      </c>
      <c r="I1969" s="135">
        <v>1350</v>
      </c>
      <c r="J1969" s="136">
        <f>Tabla3[[#This Row],[EGRESOS]]/Tabla3[[#This Row],[TC]]</f>
        <v>507.41407407407405</v>
      </c>
      <c r="K1969" s="136">
        <f>Tabla3[[#This Row],[INGRESOS]]/Tabla3[[#This Row],[TC]]</f>
        <v>0</v>
      </c>
      <c r="L1969" s="8" t="s">
        <v>376</v>
      </c>
      <c r="M1969" s="8" t="s">
        <v>377</v>
      </c>
      <c r="N1969" s="8" t="s">
        <v>20</v>
      </c>
      <c r="O1969" s="8" t="s">
        <v>286</v>
      </c>
      <c r="P1969" s="8" t="s">
        <v>287</v>
      </c>
      <c r="Q1969" s="8" t="s">
        <v>291</v>
      </c>
      <c r="R1969" s="8" t="s">
        <v>1055</v>
      </c>
      <c r="S1969" s="8" t="s">
        <v>676</v>
      </c>
      <c r="T1969" s="8"/>
      <c r="U1969" s="8" t="s">
        <v>412</v>
      </c>
      <c r="V1969" s="8"/>
      <c r="W1969" s="8" t="s">
        <v>380</v>
      </c>
      <c r="X1969" s="8" t="s">
        <v>29</v>
      </c>
      <c r="Y1969" s="8" t="s">
        <v>23</v>
      </c>
    </row>
    <row r="1970" spans="1:25" s="7" customFormat="1" hidden="1" x14ac:dyDescent="0.25">
      <c r="A1970" s="273" t="s">
        <v>318</v>
      </c>
      <c r="B1970" s="251">
        <v>45889</v>
      </c>
      <c r="C1970" s="252" t="s">
        <v>1056</v>
      </c>
      <c r="D1970" s="252"/>
      <c r="E1970" s="253">
        <v>385961.71</v>
      </c>
      <c r="F1970" s="253">
        <v>0</v>
      </c>
      <c r="G1970" s="274">
        <f>Tabla3[[#This Row],[INGRESOS]]-Tabla3[[#This Row],[EGRESOS]]</f>
        <v>-385961.71</v>
      </c>
      <c r="H1970" s="274">
        <v>31094805.789999999</v>
      </c>
      <c r="I1970" s="135">
        <v>1350</v>
      </c>
      <c r="J1970" s="136">
        <f>Tabla3[[#This Row],[EGRESOS]]/Tabla3[[#This Row],[TC]]</f>
        <v>285.89756296296298</v>
      </c>
      <c r="K1970" s="136">
        <f>Tabla3[[#This Row],[INGRESOS]]/Tabla3[[#This Row],[TC]]</f>
        <v>0</v>
      </c>
      <c r="L1970" s="8" t="s">
        <v>376</v>
      </c>
      <c r="M1970" s="8" t="s">
        <v>377</v>
      </c>
      <c r="N1970" s="8" t="s">
        <v>20</v>
      </c>
      <c r="O1970" s="8" t="s">
        <v>225</v>
      </c>
      <c r="P1970" s="8" t="s">
        <v>226</v>
      </c>
      <c r="Q1970" s="8" t="s">
        <v>231</v>
      </c>
      <c r="R1970" s="8"/>
      <c r="S1970" s="8" t="s">
        <v>808</v>
      </c>
      <c r="T1970" s="8"/>
      <c r="U1970" s="8" t="s">
        <v>412</v>
      </c>
      <c r="V1970" s="8"/>
      <c r="W1970" s="8" t="s">
        <v>380</v>
      </c>
      <c r="X1970" s="8" t="s">
        <v>50</v>
      </c>
      <c r="Y1970" s="8" t="s">
        <v>23</v>
      </c>
    </row>
    <row r="1971" spans="1:25" s="7" customFormat="1" hidden="1" x14ac:dyDescent="0.25">
      <c r="A1971" s="273" t="s">
        <v>318</v>
      </c>
      <c r="B1971" s="251">
        <v>45889</v>
      </c>
      <c r="C1971" s="252" t="s">
        <v>1071</v>
      </c>
      <c r="D1971" s="252"/>
      <c r="E1971" s="253">
        <v>121</v>
      </c>
      <c r="F1971" s="253">
        <v>0</v>
      </c>
      <c r="G1971" s="274">
        <f>Tabla3[[#This Row],[INGRESOS]]-Tabla3[[#This Row],[EGRESOS]]</f>
        <v>-121</v>
      </c>
      <c r="H1971" s="274">
        <v>31094684.789999999</v>
      </c>
      <c r="I1971" s="135">
        <v>1350</v>
      </c>
      <c r="J1971" s="136">
        <f>Tabla3[[#This Row],[EGRESOS]]/Tabla3[[#This Row],[TC]]</f>
        <v>8.9629629629629629E-2</v>
      </c>
      <c r="K1971" s="136">
        <f>Tabla3[[#This Row],[INGRESOS]]/Tabla3[[#This Row],[TC]]</f>
        <v>0</v>
      </c>
      <c r="L1971" s="8" t="s">
        <v>376</v>
      </c>
      <c r="M1971" s="8" t="s">
        <v>377</v>
      </c>
      <c r="N1971" s="8" t="s">
        <v>20</v>
      </c>
      <c r="O1971" s="8" t="s">
        <v>184</v>
      </c>
      <c r="P1971" s="8" t="s">
        <v>185</v>
      </c>
      <c r="Q1971" s="8" t="s">
        <v>186</v>
      </c>
      <c r="R1971" s="8" t="s">
        <v>227</v>
      </c>
      <c r="S1971" s="8"/>
      <c r="T1971" s="8"/>
      <c r="U1971" s="8" t="s">
        <v>384</v>
      </c>
      <c r="V1971" s="8"/>
      <c r="W1971" s="8" t="s">
        <v>380</v>
      </c>
      <c r="X1971" s="8" t="s">
        <v>99</v>
      </c>
      <c r="Y1971" s="8" t="s">
        <v>23</v>
      </c>
    </row>
    <row r="1972" spans="1:25" s="7" customFormat="1" hidden="1" x14ac:dyDescent="0.25">
      <c r="A1972" s="273" t="s">
        <v>318</v>
      </c>
      <c r="B1972" s="251">
        <v>45889</v>
      </c>
      <c r="C1972" s="252" t="s">
        <v>404</v>
      </c>
      <c r="D1972" s="252"/>
      <c r="E1972" s="253">
        <v>1000000</v>
      </c>
      <c r="F1972" s="253">
        <v>0</v>
      </c>
      <c r="G1972" s="274">
        <f>Tabla3[[#This Row],[INGRESOS]]-Tabla3[[#This Row],[EGRESOS]]</f>
        <v>-1000000</v>
      </c>
      <c r="H1972" s="274">
        <v>30094684.789999999</v>
      </c>
      <c r="I1972" s="135">
        <v>1350</v>
      </c>
      <c r="J1972" s="136">
        <f>Tabla3[[#This Row],[EGRESOS]]/Tabla3[[#This Row],[TC]]</f>
        <v>740.74074074074076</v>
      </c>
      <c r="K1972" s="136">
        <f>Tabla3[[#This Row],[INGRESOS]]/Tabla3[[#This Row],[TC]]</f>
        <v>0</v>
      </c>
      <c r="L1972" s="8" t="s">
        <v>376</v>
      </c>
      <c r="M1972" s="8" t="s">
        <v>377</v>
      </c>
      <c r="N1972" s="8" t="s">
        <v>20</v>
      </c>
      <c r="O1972" s="8" t="s">
        <v>244</v>
      </c>
      <c r="P1972" s="8" t="s">
        <v>259</v>
      </c>
      <c r="Q1972" s="8" t="s">
        <v>260</v>
      </c>
      <c r="R1972" s="8" t="s">
        <v>466</v>
      </c>
      <c r="S1972" s="8"/>
      <c r="T1972" s="8"/>
      <c r="U1972" s="8" t="s">
        <v>379</v>
      </c>
      <c r="V1972" s="8"/>
      <c r="W1972" s="8"/>
      <c r="X1972" s="8"/>
      <c r="Y1972" s="8"/>
    </row>
    <row r="1973" spans="1:25" s="7" customFormat="1" hidden="1" x14ac:dyDescent="0.25">
      <c r="A1973" s="273" t="s">
        <v>318</v>
      </c>
      <c r="B1973" s="251">
        <v>45889</v>
      </c>
      <c r="C1973" s="252" t="s">
        <v>828</v>
      </c>
      <c r="D1973" s="252"/>
      <c r="E1973" s="253">
        <v>121</v>
      </c>
      <c r="F1973" s="253">
        <v>0</v>
      </c>
      <c r="G1973" s="274">
        <f>Tabla3[[#This Row],[INGRESOS]]-Tabla3[[#This Row],[EGRESOS]]</f>
        <v>-121</v>
      </c>
      <c r="H1973" s="274">
        <v>30094563.789999999</v>
      </c>
      <c r="I1973" s="135">
        <v>1350</v>
      </c>
      <c r="J1973" s="136">
        <f>Tabla3[[#This Row],[EGRESOS]]/Tabla3[[#This Row],[TC]]</f>
        <v>8.9629629629629629E-2</v>
      </c>
      <c r="K1973" s="136">
        <f>Tabla3[[#This Row],[INGRESOS]]/Tabla3[[#This Row],[TC]]</f>
        <v>0</v>
      </c>
      <c r="L1973" s="8" t="s">
        <v>376</v>
      </c>
      <c r="M1973" s="8" t="s">
        <v>377</v>
      </c>
      <c r="N1973" s="8" t="s">
        <v>20</v>
      </c>
      <c r="O1973" s="8" t="s">
        <v>184</v>
      </c>
      <c r="P1973" s="8" t="s">
        <v>185</v>
      </c>
      <c r="Q1973" s="8" t="s">
        <v>186</v>
      </c>
      <c r="R1973" s="8" t="s">
        <v>227</v>
      </c>
      <c r="S1973" s="8"/>
      <c r="T1973" s="8"/>
      <c r="U1973" s="8" t="s">
        <v>384</v>
      </c>
      <c r="V1973" s="8"/>
      <c r="W1973" s="8" t="s">
        <v>380</v>
      </c>
      <c r="X1973" s="8" t="s">
        <v>99</v>
      </c>
      <c r="Y1973" s="8" t="s">
        <v>23</v>
      </c>
    </row>
    <row r="1974" spans="1:25" s="7" customFormat="1" hidden="1" x14ac:dyDescent="0.25">
      <c r="A1974" s="273" t="s">
        <v>318</v>
      </c>
      <c r="B1974" s="251">
        <v>45889</v>
      </c>
      <c r="C1974" s="252" t="s">
        <v>1162</v>
      </c>
      <c r="D1974" s="252"/>
      <c r="E1974" s="253">
        <v>0</v>
      </c>
      <c r="F1974" s="253">
        <v>6000000</v>
      </c>
      <c r="G1974" s="274">
        <f>Tabla3[[#This Row],[INGRESOS]]-Tabla3[[#This Row],[EGRESOS]]</f>
        <v>6000000</v>
      </c>
      <c r="H1974" s="274">
        <v>36094563.789999999</v>
      </c>
      <c r="I1974" s="135">
        <v>1350</v>
      </c>
      <c r="J1974" s="136">
        <f>Tabla3[[#This Row],[EGRESOS]]/Tabla3[[#This Row],[TC]]</f>
        <v>0</v>
      </c>
      <c r="K1974" s="136">
        <f>Tabla3[[#This Row],[INGRESOS]]/Tabla3[[#This Row],[TC]]</f>
        <v>4444.4444444444443</v>
      </c>
      <c r="L1974" s="8" t="s">
        <v>376</v>
      </c>
      <c r="M1974" s="8" t="s">
        <v>377</v>
      </c>
      <c r="N1974" s="8" t="s">
        <v>20</v>
      </c>
      <c r="O1974" s="8" t="s">
        <v>244</v>
      </c>
      <c r="P1974" s="8" t="s">
        <v>259</v>
      </c>
      <c r="Q1974" s="8" t="s">
        <v>260</v>
      </c>
      <c r="R1974" s="8" t="s">
        <v>474</v>
      </c>
      <c r="S1974" s="8"/>
      <c r="T1974" s="8"/>
      <c r="U1974" s="8" t="s">
        <v>379</v>
      </c>
      <c r="V1974" s="8"/>
      <c r="W1974" s="8"/>
      <c r="X1974" s="8"/>
      <c r="Y1974" s="8"/>
    </row>
    <row r="1975" spans="1:25" s="7" customFormat="1" hidden="1" x14ac:dyDescent="0.25">
      <c r="A1975" s="273" t="s">
        <v>318</v>
      </c>
      <c r="B1975" s="251">
        <v>45889</v>
      </c>
      <c r="C1975" s="252" t="s">
        <v>1056</v>
      </c>
      <c r="D1975" s="252"/>
      <c r="E1975" s="253">
        <v>1000000</v>
      </c>
      <c r="F1975" s="253">
        <v>0</v>
      </c>
      <c r="G1975" s="274">
        <f>Tabla3[[#This Row],[INGRESOS]]-Tabla3[[#This Row],[EGRESOS]]</f>
        <v>-1000000</v>
      </c>
      <c r="H1975" s="274">
        <v>35094563.789999999</v>
      </c>
      <c r="I1975" s="135">
        <v>1350</v>
      </c>
      <c r="J1975" s="136">
        <f>Tabla3[[#This Row],[EGRESOS]]/Tabla3[[#This Row],[TC]]</f>
        <v>740.74074074074076</v>
      </c>
      <c r="K1975" s="136">
        <f>Tabla3[[#This Row],[INGRESOS]]/Tabla3[[#This Row],[TC]]</f>
        <v>0</v>
      </c>
      <c r="L1975" s="8" t="s">
        <v>376</v>
      </c>
      <c r="M1975" s="8" t="s">
        <v>377</v>
      </c>
      <c r="N1975" s="8" t="s">
        <v>20</v>
      </c>
      <c r="O1975" s="8" t="s">
        <v>184</v>
      </c>
      <c r="P1975" s="8" t="s">
        <v>185</v>
      </c>
      <c r="Q1975" s="8" t="s">
        <v>188</v>
      </c>
      <c r="R1975" s="8" t="s">
        <v>187</v>
      </c>
      <c r="S1975" s="8" t="s">
        <v>898</v>
      </c>
      <c r="T1975" s="8"/>
      <c r="U1975" s="8" t="s">
        <v>384</v>
      </c>
      <c r="V1975" s="8"/>
      <c r="W1975" s="8" t="s">
        <v>380</v>
      </c>
      <c r="X1975" s="8" t="s">
        <v>99</v>
      </c>
      <c r="Y1975" s="8" t="s">
        <v>23</v>
      </c>
    </row>
    <row r="1976" spans="1:25" s="7" customFormat="1" hidden="1" x14ac:dyDescent="0.25">
      <c r="A1976" s="273" t="s">
        <v>318</v>
      </c>
      <c r="B1976" s="251">
        <v>45889</v>
      </c>
      <c r="C1976" s="252" t="s">
        <v>1071</v>
      </c>
      <c r="D1976" s="252"/>
      <c r="E1976" s="253">
        <v>121</v>
      </c>
      <c r="F1976" s="253">
        <v>0</v>
      </c>
      <c r="G1976" s="274">
        <f>Tabla3[[#This Row],[INGRESOS]]-Tabla3[[#This Row],[EGRESOS]]</f>
        <v>-121</v>
      </c>
      <c r="H1976" s="274">
        <v>35094442.789999999</v>
      </c>
      <c r="I1976" s="135">
        <v>1350</v>
      </c>
      <c r="J1976" s="136">
        <f>Tabla3[[#This Row],[EGRESOS]]/Tabla3[[#This Row],[TC]]</f>
        <v>8.9629629629629629E-2</v>
      </c>
      <c r="K1976" s="136">
        <f>Tabla3[[#This Row],[INGRESOS]]/Tabla3[[#This Row],[TC]]</f>
        <v>0</v>
      </c>
      <c r="L1976" s="8" t="s">
        <v>376</v>
      </c>
      <c r="M1976" s="8" t="s">
        <v>377</v>
      </c>
      <c r="N1976" s="8" t="s">
        <v>20</v>
      </c>
      <c r="O1976" s="8" t="s">
        <v>184</v>
      </c>
      <c r="P1976" s="8" t="s">
        <v>185</v>
      </c>
      <c r="Q1976" s="8" t="s">
        <v>186</v>
      </c>
      <c r="R1976" s="8" t="s">
        <v>227</v>
      </c>
      <c r="S1976" s="8"/>
      <c r="T1976" s="8"/>
      <c r="U1976" s="8" t="s">
        <v>384</v>
      </c>
      <c r="V1976" s="8"/>
      <c r="W1976" s="8" t="s">
        <v>380</v>
      </c>
      <c r="X1976" s="8" t="s">
        <v>99</v>
      </c>
      <c r="Y1976" s="8" t="s">
        <v>23</v>
      </c>
    </row>
    <row r="1977" spans="1:25" s="7" customFormat="1" hidden="1" x14ac:dyDescent="0.25">
      <c r="A1977" s="273" t="s">
        <v>318</v>
      </c>
      <c r="B1977" s="251">
        <v>45889</v>
      </c>
      <c r="C1977" s="252" t="s">
        <v>998</v>
      </c>
      <c r="D1977" s="252"/>
      <c r="E1977" s="253">
        <v>33934206.200000003</v>
      </c>
      <c r="F1977" s="253">
        <v>0</v>
      </c>
      <c r="G1977" s="274">
        <f>Tabla3[[#This Row],[INGRESOS]]-Tabla3[[#This Row],[EGRESOS]]</f>
        <v>-33934206.200000003</v>
      </c>
      <c r="H1977" s="274">
        <v>1160236.5900000001</v>
      </c>
      <c r="I1977" s="135">
        <v>1305</v>
      </c>
      <c r="J1977" s="136">
        <f>Tabla3[[#This Row],[EGRESOS]]/Tabla3[[#This Row],[TC]]</f>
        <v>26003.223141762453</v>
      </c>
      <c r="K1977" s="136">
        <f>Tabla3[[#This Row],[INGRESOS]]/Tabla3[[#This Row],[TC]]</f>
        <v>0</v>
      </c>
      <c r="L1977" s="8" t="s">
        <v>376</v>
      </c>
      <c r="M1977" s="8" t="s">
        <v>377</v>
      </c>
      <c r="N1977" s="8" t="s">
        <v>20</v>
      </c>
      <c r="O1977" s="8" t="s">
        <v>244</v>
      </c>
      <c r="P1977" s="8" t="s">
        <v>38</v>
      </c>
      <c r="Q1977" s="8" t="s">
        <v>251</v>
      </c>
      <c r="R1977" s="8" t="s">
        <v>1163</v>
      </c>
      <c r="S1977" s="8" t="s">
        <v>994</v>
      </c>
      <c r="T1977" s="8"/>
      <c r="U1977" s="8" t="s">
        <v>1073</v>
      </c>
      <c r="V1977" s="8"/>
      <c r="W1977" s="8" t="s">
        <v>380</v>
      </c>
      <c r="X1977" s="8" t="s">
        <v>1074</v>
      </c>
      <c r="Y1977" s="8" t="s">
        <v>23</v>
      </c>
    </row>
    <row r="1978" spans="1:25" s="7" customFormat="1" hidden="1" x14ac:dyDescent="0.25">
      <c r="A1978" s="273" t="s">
        <v>318</v>
      </c>
      <c r="B1978" s="251">
        <v>45889</v>
      </c>
      <c r="C1978" s="252" t="s">
        <v>1164</v>
      </c>
      <c r="D1978" s="252"/>
      <c r="E1978" s="253">
        <v>183353.16</v>
      </c>
      <c r="F1978" s="253">
        <v>0</v>
      </c>
      <c r="G1978" s="274">
        <f>Tabla3[[#This Row],[INGRESOS]]-Tabla3[[#This Row],[EGRESOS]]</f>
        <v>-183353.16</v>
      </c>
      <c r="H1978" s="274">
        <v>976883.43</v>
      </c>
      <c r="I1978" s="135">
        <v>1350</v>
      </c>
      <c r="J1978" s="136">
        <f>Tabla3[[#This Row],[EGRESOS]]/Tabla3[[#This Row],[TC]]</f>
        <v>135.81715555555556</v>
      </c>
      <c r="K1978" s="136">
        <f>Tabla3[[#This Row],[INGRESOS]]/Tabla3[[#This Row],[TC]]</f>
        <v>0</v>
      </c>
      <c r="L1978" s="8" t="s">
        <v>376</v>
      </c>
      <c r="M1978" s="8" t="s">
        <v>377</v>
      </c>
      <c r="N1978" s="8" t="s">
        <v>20</v>
      </c>
      <c r="O1978" s="8" t="s">
        <v>225</v>
      </c>
      <c r="P1978" s="8" t="s">
        <v>236</v>
      </c>
      <c r="Q1978" s="8" t="s">
        <v>241</v>
      </c>
      <c r="R1978" s="8" t="s">
        <v>1165</v>
      </c>
      <c r="S1978" s="8" t="s">
        <v>1166</v>
      </c>
      <c r="T1978" s="8"/>
      <c r="U1978" s="8" t="s">
        <v>412</v>
      </c>
      <c r="V1978" s="8"/>
      <c r="W1978" s="8" t="s">
        <v>380</v>
      </c>
      <c r="X1978" s="8" t="s">
        <v>29</v>
      </c>
      <c r="Y1978" s="8" t="s">
        <v>23</v>
      </c>
    </row>
    <row r="1979" spans="1:25" s="7" customFormat="1" hidden="1" x14ac:dyDescent="0.25">
      <c r="A1979" s="273" t="s">
        <v>318</v>
      </c>
      <c r="B1979" s="251">
        <v>45889</v>
      </c>
      <c r="C1979" s="252" t="s">
        <v>773</v>
      </c>
      <c r="D1979" s="252"/>
      <c r="E1979" s="253">
        <v>217133.37</v>
      </c>
      <c r="F1979" s="253">
        <v>0</v>
      </c>
      <c r="G1979" s="274">
        <f>Tabla3[[#This Row],[INGRESOS]]-Tabla3[[#This Row],[EGRESOS]]</f>
        <v>-217133.37</v>
      </c>
      <c r="H1979" s="274">
        <v>759750.06</v>
      </c>
      <c r="I1979" s="135">
        <v>1350</v>
      </c>
      <c r="J1979" s="136">
        <f>Tabla3[[#This Row],[EGRESOS]]/Tabla3[[#This Row],[TC]]</f>
        <v>160.83953333333332</v>
      </c>
      <c r="K1979" s="136">
        <f>Tabla3[[#This Row],[INGRESOS]]/Tabla3[[#This Row],[TC]]</f>
        <v>0</v>
      </c>
      <c r="L1979" s="8" t="s">
        <v>376</v>
      </c>
      <c r="M1979" s="8" t="s">
        <v>377</v>
      </c>
      <c r="N1979" s="8" t="s">
        <v>20</v>
      </c>
      <c r="O1979" s="8" t="s">
        <v>184</v>
      </c>
      <c r="P1979" s="8" t="s">
        <v>195</v>
      </c>
      <c r="Q1979" s="8" t="s">
        <v>196</v>
      </c>
      <c r="R1979" s="8" t="s">
        <v>394</v>
      </c>
      <c r="S1979" s="8" t="s">
        <v>383</v>
      </c>
      <c r="T1979" s="8"/>
      <c r="U1979" s="8" t="s">
        <v>384</v>
      </c>
      <c r="V1979" s="8"/>
      <c r="W1979" s="8" t="s">
        <v>380</v>
      </c>
      <c r="X1979" s="8" t="s">
        <v>99</v>
      </c>
      <c r="Y1979" s="8" t="s">
        <v>23</v>
      </c>
    </row>
    <row r="1980" spans="1:25" s="7" customFormat="1" hidden="1" x14ac:dyDescent="0.25">
      <c r="A1980" s="273" t="s">
        <v>318</v>
      </c>
      <c r="B1980" s="251">
        <v>45890</v>
      </c>
      <c r="C1980" s="252" t="s">
        <v>782</v>
      </c>
      <c r="D1980" s="252" t="s">
        <v>1167</v>
      </c>
      <c r="E1980" s="253">
        <v>761343.66</v>
      </c>
      <c r="F1980" s="253">
        <v>0</v>
      </c>
      <c r="G1980" s="274">
        <f>Tabla3[[#This Row],[INGRESOS]]-Tabla3[[#This Row],[EGRESOS]]</f>
        <v>-761343.66</v>
      </c>
      <c r="H1980" s="274">
        <v>-1593.6</v>
      </c>
      <c r="I1980" s="135">
        <v>1350</v>
      </c>
      <c r="J1980" s="136">
        <f>Tabla3[[#This Row],[EGRESOS]]/Tabla3[[#This Row],[TC]]</f>
        <v>563.95826666666665</v>
      </c>
      <c r="K1980" s="136">
        <f>Tabla3[[#This Row],[INGRESOS]]/Tabla3[[#This Row],[TC]]</f>
        <v>0</v>
      </c>
      <c r="L1980" s="8" t="s">
        <v>376</v>
      </c>
      <c r="M1980" s="8" t="s">
        <v>377</v>
      </c>
      <c r="N1980" s="8" t="s">
        <v>20</v>
      </c>
      <c r="O1980" s="8" t="s">
        <v>286</v>
      </c>
      <c r="P1980" s="8" t="s">
        <v>287</v>
      </c>
      <c r="Q1980" s="8" t="s">
        <v>289</v>
      </c>
      <c r="R1980" s="8" t="s">
        <v>143</v>
      </c>
      <c r="S1980" s="8" t="s">
        <v>1168</v>
      </c>
      <c r="T1980" s="8" t="s">
        <v>1169</v>
      </c>
      <c r="U1980" s="8" t="s">
        <v>398</v>
      </c>
      <c r="V1980" s="8"/>
      <c r="W1980" s="7" t="s">
        <v>399</v>
      </c>
      <c r="X1980" s="8" t="s">
        <v>29</v>
      </c>
      <c r="Y1980" s="8" t="s">
        <v>23</v>
      </c>
    </row>
    <row r="1981" spans="1:25" s="7" customFormat="1" hidden="1" x14ac:dyDescent="0.25">
      <c r="A1981" s="273" t="s">
        <v>318</v>
      </c>
      <c r="B1981" s="251">
        <v>45890</v>
      </c>
      <c r="C1981" s="252" t="s">
        <v>817</v>
      </c>
      <c r="D1981" s="252" t="s">
        <v>1170</v>
      </c>
      <c r="E1981" s="253">
        <v>2955510</v>
      </c>
      <c r="F1981" s="253">
        <v>0</v>
      </c>
      <c r="G1981" s="274">
        <f>Tabla3[[#This Row],[INGRESOS]]-Tabla3[[#This Row],[EGRESOS]]</f>
        <v>-2955510</v>
      </c>
      <c r="H1981" s="274">
        <v>-2957103.6</v>
      </c>
      <c r="I1981" s="135">
        <v>1350</v>
      </c>
      <c r="J1981" s="136">
        <f>Tabla3[[#This Row],[EGRESOS]]/Tabla3[[#This Row],[TC]]</f>
        <v>2189.2666666666669</v>
      </c>
      <c r="K1981" s="136">
        <f>Tabla3[[#This Row],[INGRESOS]]/Tabla3[[#This Row],[TC]]</f>
        <v>0</v>
      </c>
      <c r="L1981" s="8" t="s">
        <v>376</v>
      </c>
      <c r="M1981" s="8" t="s">
        <v>377</v>
      </c>
      <c r="N1981" s="8" t="s">
        <v>20</v>
      </c>
      <c r="O1981" s="8" t="s">
        <v>215</v>
      </c>
      <c r="P1981" s="8" t="s">
        <v>216</v>
      </c>
      <c r="Q1981" s="8" t="s">
        <v>220</v>
      </c>
      <c r="R1981" s="8" t="s">
        <v>331</v>
      </c>
      <c r="S1981" s="8" t="s">
        <v>721</v>
      </c>
      <c r="T1981" s="8" t="s">
        <v>983</v>
      </c>
      <c r="U1981" s="8" t="s">
        <v>412</v>
      </c>
      <c r="V1981" s="8"/>
      <c r="W1981" s="8" t="s">
        <v>380</v>
      </c>
      <c r="X1981" s="8" t="s">
        <v>29</v>
      </c>
      <c r="Y1981" s="8" t="s">
        <v>23</v>
      </c>
    </row>
    <row r="1982" spans="1:25" s="7" customFormat="1" hidden="1" x14ac:dyDescent="0.25">
      <c r="A1982" s="273" t="s">
        <v>318</v>
      </c>
      <c r="B1982" s="251">
        <v>45890</v>
      </c>
      <c r="C1982" s="252" t="s">
        <v>773</v>
      </c>
      <c r="D1982" s="252"/>
      <c r="E1982" s="253">
        <v>22505.72</v>
      </c>
      <c r="F1982" s="253">
        <v>0</v>
      </c>
      <c r="G1982" s="274">
        <f>Tabla3[[#This Row],[INGRESOS]]-Tabla3[[#This Row],[EGRESOS]]</f>
        <v>-22505.72</v>
      </c>
      <c r="H1982" s="274">
        <v>4986290.68</v>
      </c>
      <c r="I1982" s="135">
        <v>1350</v>
      </c>
      <c r="J1982" s="136">
        <f>Tabla3[[#This Row],[EGRESOS]]/Tabla3[[#This Row],[TC]]</f>
        <v>16.670903703703704</v>
      </c>
      <c r="K1982" s="136">
        <f>Tabla3[[#This Row],[INGRESOS]]/Tabla3[[#This Row],[TC]]</f>
        <v>0</v>
      </c>
      <c r="L1982" s="8" t="s">
        <v>376</v>
      </c>
      <c r="M1982" s="8" t="s">
        <v>377</v>
      </c>
      <c r="N1982" s="8" t="s">
        <v>20</v>
      </c>
      <c r="O1982" s="8" t="s">
        <v>184</v>
      </c>
      <c r="P1982" s="8" t="s">
        <v>195</v>
      </c>
      <c r="Q1982" s="8" t="s">
        <v>196</v>
      </c>
      <c r="R1982" s="8" t="s">
        <v>394</v>
      </c>
      <c r="S1982" s="8" t="s">
        <v>383</v>
      </c>
      <c r="T1982" s="8"/>
      <c r="U1982" s="8" t="s">
        <v>384</v>
      </c>
      <c r="V1982" s="8"/>
      <c r="W1982" s="8" t="s">
        <v>380</v>
      </c>
      <c r="X1982" s="8" t="s">
        <v>99</v>
      </c>
      <c r="Y1982" s="8" t="s">
        <v>23</v>
      </c>
    </row>
    <row r="1983" spans="1:25" s="7" customFormat="1" hidden="1" x14ac:dyDescent="0.25">
      <c r="A1983" s="273" t="s">
        <v>318</v>
      </c>
      <c r="B1983" s="251">
        <v>45890</v>
      </c>
      <c r="C1983" s="252" t="s">
        <v>1171</v>
      </c>
      <c r="D1983" s="252"/>
      <c r="E1983" s="253">
        <v>30000000</v>
      </c>
      <c r="F1983" s="253">
        <v>0</v>
      </c>
      <c r="G1983" s="274">
        <f>Tabla3[[#This Row],[INGRESOS]]-Tabla3[[#This Row],[EGRESOS]]</f>
        <v>-30000000</v>
      </c>
      <c r="H1983" s="274">
        <v>5008796.4000000004</v>
      </c>
      <c r="I1983" s="135">
        <v>1350</v>
      </c>
      <c r="J1983" s="136">
        <f>Tabla3[[#This Row],[EGRESOS]]/Tabla3[[#This Row],[TC]]</f>
        <v>22222.222222222223</v>
      </c>
      <c r="K1983" s="136">
        <f>Tabla3[[#This Row],[INGRESOS]]/Tabla3[[#This Row],[TC]]</f>
        <v>0</v>
      </c>
      <c r="L1983" s="8" t="s">
        <v>376</v>
      </c>
      <c r="M1983" s="8" t="s">
        <v>377</v>
      </c>
      <c r="N1983" s="8" t="s">
        <v>20</v>
      </c>
      <c r="O1983" s="8" t="s">
        <v>244</v>
      </c>
      <c r="P1983" s="8" t="s">
        <v>61</v>
      </c>
      <c r="Q1983" s="8" t="s">
        <v>274</v>
      </c>
      <c r="R1983" s="8" t="s">
        <v>993</v>
      </c>
      <c r="S1983" s="8" t="s">
        <v>994</v>
      </c>
      <c r="T1983" s="8"/>
      <c r="U1983" s="8" t="s">
        <v>995</v>
      </c>
      <c r="V1983" s="8"/>
      <c r="W1983" s="8" t="s">
        <v>380</v>
      </c>
      <c r="X1983" s="8" t="s">
        <v>61</v>
      </c>
      <c r="Y1983" s="8" t="s">
        <v>23</v>
      </c>
    </row>
    <row r="1984" spans="1:25" s="7" customFormat="1" hidden="1" x14ac:dyDescent="0.25">
      <c r="A1984" s="273" t="s">
        <v>318</v>
      </c>
      <c r="B1984" s="251">
        <v>45890</v>
      </c>
      <c r="C1984" s="252" t="s">
        <v>1172</v>
      </c>
      <c r="D1984" s="252"/>
      <c r="E1984" s="253">
        <v>40000000</v>
      </c>
      <c r="F1984" s="253">
        <v>0</v>
      </c>
      <c r="G1984" s="274">
        <f>Tabla3[[#This Row],[INGRESOS]]-Tabla3[[#This Row],[EGRESOS]]</f>
        <v>-40000000</v>
      </c>
      <c r="H1984" s="274">
        <v>35008796.399999999</v>
      </c>
      <c r="I1984" s="135">
        <v>1350</v>
      </c>
      <c r="J1984" s="136">
        <f>Tabla3[[#This Row],[EGRESOS]]/Tabla3[[#This Row],[TC]]</f>
        <v>29629.629629629631</v>
      </c>
      <c r="K1984" s="136">
        <f>Tabla3[[#This Row],[INGRESOS]]/Tabla3[[#This Row],[TC]]</f>
        <v>0</v>
      </c>
      <c r="L1984" s="8" t="s">
        <v>376</v>
      </c>
      <c r="M1984" s="8" t="s">
        <v>377</v>
      </c>
      <c r="N1984" s="8" t="s">
        <v>20</v>
      </c>
      <c r="O1984" s="8" t="s">
        <v>244</v>
      </c>
      <c r="P1984" s="8" t="s">
        <v>61</v>
      </c>
      <c r="Q1984" s="8" t="s">
        <v>274</v>
      </c>
      <c r="R1984" s="8" t="s">
        <v>993</v>
      </c>
      <c r="S1984" s="8" t="s">
        <v>994</v>
      </c>
      <c r="T1984" s="8"/>
      <c r="U1984" s="8" t="s">
        <v>995</v>
      </c>
      <c r="V1984" s="8"/>
      <c r="W1984" s="8" t="s">
        <v>380</v>
      </c>
      <c r="X1984" s="8" t="s">
        <v>61</v>
      </c>
      <c r="Y1984" s="8" t="s">
        <v>23</v>
      </c>
    </row>
    <row r="1985" spans="1:25" s="7" customFormat="1" hidden="1" x14ac:dyDescent="0.25">
      <c r="A1985" s="273" t="s">
        <v>318</v>
      </c>
      <c r="B1985" s="251">
        <v>45890</v>
      </c>
      <c r="C1985" s="252" t="s">
        <v>762</v>
      </c>
      <c r="D1985" s="252"/>
      <c r="E1985" s="253">
        <v>5775</v>
      </c>
      <c r="F1985" s="253">
        <v>0</v>
      </c>
      <c r="G1985" s="274">
        <f>Tabla3[[#This Row],[INGRESOS]]-Tabla3[[#This Row],[EGRESOS]]</f>
        <v>-5775</v>
      </c>
      <c r="H1985" s="337">
        <v>-2962878.6</v>
      </c>
      <c r="I1985" s="135">
        <v>1350</v>
      </c>
      <c r="J1985" s="136">
        <f>Tabla3[[#This Row],[EGRESOS]]/Tabla3[[#This Row],[TC]]</f>
        <v>4.2777777777777777</v>
      </c>
      <c r="K1985" s="136">
        <f>Tabla3[[#This Row],[INGRESOS]]/Tabla3[[#This Row],[TC]]</f>
        <v>0</v>
      </c>
      <c r="L1985" s="8" t="s">
        <v>376</v>
      </c>
      <c r="M1985" s="8" t="s">
        <v>377</v>
      </c>
      <c r="N1985" s="8" t="s">
        <v>20</v>
      </c>
      <c r="O1985" s="8" t="s">
        <v>184</v>
      </c>
      <c r="P1985" s="8" t="s">
        <v>195</v>
      </c>
      <c r="Q1985" s="8" t="s">
        <v>196</v>
      </c>
      <c r="R1985" s="8" t="s">
        <v>382</v>
      </c>
      <c r="S1985" s="8" t="s">
        <v>383</v>
      </c>
      <c r="T1985" s="8"/>
      <c r="U1985" s="8" t="s">
        <v>384</v>
      </c>
      <c r="V1985" s="8"/>
      <c r="W1985" s="8" t="s">
        <v>380</v>
      </c>
      <c r="X1985" s="8" t="s">
        <v>99</v>
      </c>
      <c r="Y1985" s="8" t="s">
        <v>23</v>
      </c>
    </row>
    <row r="1986" spans="1:25" s="7" customFormat="1" hidden="1" x14ac:dyDescent="0.25">
      <c r="A1986" s="273" t="s">
        <v>318</v>
      </c>
      <c r="B1986" s="251">
        <v>45890</v>
      </c>
      <c r="C1986" s="252" t="s">
        <v>936</v>
      </c>
      <c r="D1986" s="252"/>
      <c r="E1986" s="253">
        <v>27500</v>
      </c>
      <c r="F1986" s="253">
        <v>0</v>
      </c>
      <c r="G1986" s="274">
        <f>Tabla3[[#This Row],[INGRESOS]]-Tabla3[[#This Row],[EGRESOS]]</f>
        <v>-27500</v>
      </c>
      <c r="H1986" s="274">
        <v>-2991203.6</v>
      </c>
      <c r="I1986" s="135">
        <v>1350</v>
      </c>
      <c r="J1986" s="136">
        <f>Tabla3[[#This Row],[EGRESOS]]/Tabla3[[#This Row],[TC]]</f>
        <v>20.37037037037037</v>
      </c>
      <c r="K1986" s="136">
        <f>Tabla3[[#This Row],[INGRESOS]]/Tabla3[[#This Row],[TC]]</f>
        <v>0</v>
      </c>
      <c r="L1986" s="8" t="s">
        <v>376</v>
      </c>
      <c r="M1986" s="8" t="s">
        <v>377</v>
      </c>
      <c r="N1986" s="8" t="s">
        <v>20</v>
      </c>
      <c r="O1986" s="8" t="s">
        <v>184</v>
      </c>
      <c r="P1986" s="8" t="s">
        <v>185</v>
      </c>
      <c r="Q1986" s="8" t="s">
        <v>186</v>
      </c>
      <c r="R1986" s="8" t="s">
        <v>486</v>
      </c>
      <c r="S1986" s="8"/>
      <c r="T1986" s="8"/>
      <c r="U1986" s="8" t="s">
        <v>384</v>
      </c>
      <c r="V1986" s="8"/>
      <c r="W1986" s="8" t="s">
        <v>380</v>
      </c>
      <c r="X1986" s="8" t="s">
        <v>99</v>
      </c>
      <c r="Y1986" s="8" t="s">
        <v>23</v>
      </c>
    </row>
    <row r="1987" spans="1:25" s="7" customFormat="1" hidden="1" x14ac:dyDescent="0.25">
      <c r="A1987" s="273" t="s">
        <v>318</v>
      </c>
      <c r="B1987" s="251">
        <v>45890</v>
      </c>
      <c r="C1987" s="252" t="s">
        <v>1162</v>
      </c>
      <c r="D1987" s="252"/>
      <c r="E1987" s="253">
        <v>0</v>
      </c>
      <c r="F1987" s="253">
        <v>78000000</v>
      </c>
      <c r="G1987" s="274">
        <f>Tabla3[[#This Row],[INGRESOS]]-Tabla3[[#This Row],[EGRESOS]]</f>
        <v>78000000</v>
      </c>
      <c r="H1987" s="274">
        <v>75008796.400000006</v>
      </c>
      <c r="I1987" s="135">
        <v>1350</v>
      </c>
      <c r="J1987" s="136">
        <f>Tabla3[[#This Row],[EGRESOS]]/Tabla3[[#This Row],[TC]]</f>
        <v>0</v>
      </c>
      <c r="K1987" s="136">
        <f>Tabla3[[#This Row],[INGRESOS]]/Tabla3[[#This Row],[TC]]</f>
        <v>57777.777777777781</v>
      </c>
      <c r="L1987" s="8" t="s">
        <v>376</v>
      </c>
      <c r="M1987" s="8" t="s">
        <v>377</v>
      </c>
      <c r="N1987" s="8" t="s">
        <v>20</v>
      </c>
      <c r="O1987" s="8" t="s">
        <v>244</v>
      </c>
      <c r="P1987" s="8" t="s">
        <v>259</v>
      </c>
      <c r="Q1987" s="8" t="s">
        <v>260</v>
      </c>
      <c r="R1987" s="8" t="s">
        <v>474</v>
      </c>
      <c r="S1987" s="8"/>
      <c r="T1987" s="8"/>
      <c r="U1987" s="8" t="s">
        <v>379</v>
      </c>
      <c r="V1987" s="8"/>
      <c r="W1987" s="8"/>
      <c r="X1987" s="8"/>
      <c r="Y1987" s="8"/>
    </row>
    <row r="1988" spans="1:25" s="7" customFormat="1" hidden="1" x14ac:dyDescent="0.25">
      <c r="A1988" s="273" t="s">
        <v>318</v>
      </c>
      <c r="B1988" s="251">
        <v>45891</v>
      </c>
      <c r="C1988" s="252" t="s">
        <v>404</v>
      </c>
      <c r="D1988" s="252"/>
      <c r="E1988" s="253">
        <v>400000</v>
      </c>
      <c r="F1988" s="253">
        <v>0</v>
      </c>
      <c r="G1988" s="274">
        <f>Tabla3[[#This Row],[INGRESOS]]-Tabla3[[#This Row],[EGRESOS]]</f>
        <v>-400000</v>
      </c>
      <c r="H1988" s="274">
        <v>4586290.68</v>
      </c>
      <c r="I1988" s="135">
        <v>1350</v>
      </c>
      <c r="J1988" s="136">
        <f>Tabla3[[#This Row],[EGRESOS]]/Tabla3[[#This Row],[TC]]</f>
        <v>296.2962962962963</v>
      </c>
      <c r="K1988" s="136">
        <f>Tabla3[[#This Row],[INGRESOS]]/Tabla3[[#This Row],[TC]]</f>
        <v>0</v>
      </c>
      <c r="L1988" s="8" t="s">
        <v>376</v>
      </c>
      <c r="M1988" s="8" t="s">
        <v>377</v>
      </c>
      <c r="N1988" s="8" t="s">
        <v>20</v>
      </c>
      <c r="O1988" s="8" t="s">
        <v>244</v>
      </c>
      <c r="P1988" s="8" t="s">
        <v>259</v>
      </c>
      <c r="Q1988" s="8" t="s">
        <v>260</v>
      </c>
      <c r="R1988" s="8" t="s">
        <v>466</v>
      </c>
      <c r="S1988" s="8"/>
      <c r="T1988" s="8"/>
      <c r="U1988" s="8" t="s">
        <v>379</v>
      </c>
      <c r="V1988" s="8"/>
      <c r="W1988" s="8"/>
      <c r="X1988" s="8"/>
      <c r="Y1988" s="8"/>
    </row>
    <row r="1989" spans="1:25" s="7" customFormat="1" hidden="1" x14ac:dyDescent="0.25">
      <c r="A1989" s="273" t="s">
        <v>318</v>
      </c>
      <c r="B1989" s="251">
        <v>45891</v>
      </c>
      <c r="C1989" s="252" t="s">
        <v>828</v>
      </c>
      <c r="D1989" s="252"/>
      <c r="E1989" s="253">
        <v>121</v>
      </c>
      <c r="F1989" s="253">
        <v>0</v>
      </c>
      <c r="G1989" s="274">
        <f>Tabla3[[#This Row],[INGRESOS]]-Tabla3[[#This Row],[EGRESOS]]</f>
        <v>-121</v>
      </c>
      <c r="H1989" s="274">
        <v>4586169.68</v>
      </c>
      <c r="I1989" s="135">
        <v>1350</v>
      </c>
      <c r="J1989" s="136">
        <f>Tabla3[[#This Row],[EGRESOS]]/Tabla3[[#This Row],[TC]]</f>
        <v>8.9629629629629629E-2</v>
      </c>
      <c r="K1989" s="136">
        <f>Tabla3[[#This Row],[INGRESOS]]/Tabla3[[#This Row],[TC]]</f>
        <v>0</v>
      </c>
      <c r="L1989" s="8" t="s">
        <v>376</v>
      </c>
      <c r="M1989" s="8" t="s">
        <v>377</v>
      </c>
      <c r="N1989" s="8" t="s">
        <v>20</v>
      </c>
      <c r="O1989" s="8" t="s">
        <v>184</v>
      </c>
      <c r="P1989" s="8" t="s">
        <v>185</v>
      </c>
      <c r="Q1989" s="8" t="s">
        <v>186</v>
      </c>
      <c r="R1989" s="8"/>
      <c r="S1989" s="8"/>
      <c r="T1989" s="8"/>
      <c r="U1989" s="8" t="s">
        <v>384</v>
      </c>
      <c r="V1989" s="8"/>
      <c r="W1989" s="8" t="s">
        <v>380</v>
      </c>
      <c r="X1989" s="8" t="s">
        <v>99</v>
      </c>
      <c r="Y1989" s="8" t="s">
        <v>23</v>
      </c>
    </row>
    <row r="1990" spans="1:25" s="7" customFormat="1" hidden="1" x14ac:dyDescent="0.25">
      <c r="A1990" s="273" t="s">
        <v>318</v>
      </c>
      <c r="B1990" s="251">
        <v>45891</v>
      </c>
      <c r="C1990" s="252" t="s">
        <v>1173</v>
      </c>
      <c r="D1990" s="252"/>
      <c r="E1990" s="253">
        <v>400000</v>
      </c>
      <c r="F1990" s="253">
        <v>0</v>
      </c>
      <c r="G1990" s="274">
        <f>Tabla3[[#This Row],[INGRESOS]]-Tabla3[[#This Row],[EGRESOS]]</f>
        <v>-400000</v>
      </c>
      <c r="H1990" s="274">
        <v>4186169.68</v>
      </c>
      <c r="I1990" s="135">
        <v>1350</v>
      </c>
      <c r="J1990" s="136">
        <f>Tabla3[[#This Row],[EGRESOS]]/Tabla3[[#This Row],[TC]]</f>
        <v>296.2962962962963</v>
      </c>
      <c r="K1990" s="136">
        <f>Tabla3[[#This Row],[INGRESOS]]/Tabla3[[#This Row],[TC]]</f>
        <v>0</v>
      </c>
      <c r="L1990" s="8" t="s">
        <v>376</v>
      </c>
      <c r="M1990" s="8" t="s">
        <v>377</v>
      </c>
      <c r="N1990" s="8" t="s">
        <v>20</v>
      </c>
      <c r="O1990" s="8" t="s">
        <v>244</v>
      </c>
      <c r="P1990" s="8" t="s">
        <v>61</v>
      </c>
      <c r="Q1990" s="8" t="s">
        <v>274</v>
      </c>
      <c r="R1990" s="8" t="s">
        <v>993</v>
      </c>
      <c r="S1990" s="8" t="s">
        <v>994</v>
      </c>
      <c r="T1990" s="8"/>
      <c r="U1990" s="8" t="s">
        <v>995</v>
      </c>
      <c r="V1990" s="8"/>
      <c r="W1990" s="8" t="s">
        <v>380</v>
      </c>
      <c r="X1990" s="8" t="s">
        <v>61</v>
      </c>
      <c r="Y1990" s="8" t="s">
        <v>23</v>
      </c>
    </row>
    <row r="1991" spans="1:25" s="7" customFormat="1" hidden="1" x14ac:dyDescent="0.25">
      <c r="A1991" s="273" t="s">
        <v>318</v>
      </c>
      <c r="B1991" s="251">
        <v>45891</v>
      </c>
      <c r="C1991" s="252" t="s">
        <v>1174</v>
      </c>
      <c r="D1991" s="252"/>
      <c r="E1991" s="253">
        <v>3600000</v>
      </c>
      <c r="F1991" s="253">
        <v>0</v>
      </c>
      <c r="G1991" s="274">
        <f>Tabla3[[#This Row],[INGRESOS]]-Tabla3[[#This Row],[EGRESOS]]</f>
        <v>-3600000</v>
      </c>
      <c r="H1991" s="274">
        <v>586169.68000000005</v>
      </c>
      <c r="I1991" s="135">
        <v>1350</v>
      </c>
      <c r="J1991" s="136">
        <f>Tabla3[[#This Row],[EGRESOS]]/Tabla3[[#This Row],[TC]]</f>
        <v>2666.6666666666665</v>
      </c>
      <c r="K1991" s="136">
        <f>Tabla3[[#This Row],[INGRESOS]]/Tabla3[[#This Row],[TC]]</f>
        <v>0</v>
      </c>
      <c r="L1991" s="8" t="s">
        <v>376</v>
      </c>
      <c r="M1991" s="8" t="s">
        <v>377</v>
      </c>
      <c r="N1991" s="8" t="s">
        <v>20</v>
      </c>
      <c r="O1991" s="8" t="s">
        <v>244</v>
      </c>
      <c r="P1991" s="8" t="s">
        <v>61</v>
      </c>
      <c r="Q1991" s="8" t="s">
        <v>274</v>
      </c>
      <c r="R1991" s="8" t="s">
        <v>993</v>
      </c>
      <c r="S1991" s="8" t="s">
        <v>994</v>
      </c>
      <c r="T1991" s="8"/>
      <c r="U1991" s="8" t="s">
        <v>995</v>
      </c>
      <c r="V1991" s="8"/>
      <c r="W1991" s="8" t="s">
        <v>380</v>
      </c>
      <c r="X1991" s="8" t="s">
        <v>61</v>
      </c>
      <c r="Y1991" s="8" t="s">
        <v>23</v>
      </c>
    </row>
    <row r="1992" spans="1:25" s="7" customFormat="1" hidden="1" x14ac:dyDescent="0.25">
      <c r="A1992" s="273" t="s">
        <v>318</v>
      </c>
      <c r="B1992" s="251">
        <v>45891</v>
      </c>
      <c r="C1992" s="252" t="s">
        <v>773</v>
      </c>
      <c r="D1992" s="252"/>
      <c r="E1992" s="253">
        <v>0.73</v>
      </c>
      <c r="F1992" s="253">
        <v>0</v>
      </c>
      <c r="G1992" s="274">
        <f>Tabla3[[#This Row],[INGRESOS]]-Tabla3[[#This Row],[EGRESOS]]</f>
        <v>-0.73</v>
      </c>
      <c r="H1992" s="274">
        <v>586168.94999999995</v>
      </c>
      <c r="I1992" s="135">
        <v>1350</v>
      </c>
      <c r="J1992" s="136">
        <f>Tabla3[[#This Row],[EGRESOS]]/Tabla3[[#This Row],[TC]]</f>
        <v>5.4074074074074072E-4</v>
      </c>
      <c r="K1992" s="136">
        <f>Tabla3[[#This Row],[INGRESOS]]/Tabla3[[#This Row],[TC]]</f>
        <v>0</v>
      </c>
      <c r="L1992" s="8" t="s">
        <v>376</v>
      </c>
      <c r="M1992" s="8" t="s">
        <v>377</v>
      </c>
      <c r="N1992" s="8" t="s">
        <v>20</v>
      </c>
      <c r="O1992" s="8" t="s">
        <v>184</v>
      </c>
      <c r="P1992" s="8" t="s">
        <v>195</v>
      </c>
      <c r="Q1992" s="8" t="s">
        <v>196</v>
      </c>
      <c r="R1992" s="8" t="s">
        <v>394</v>
      </c>
      <c r="S1992" s="8" t="s">
        <v>383</v>
      </c>
      <c r="T1992" s="8"/>
      <c r="U1992" s="8" t="s">
        <v>384</v>
      </c>
      <c r="V1992" s="8"/>
      <c r="W1992" s="8" t="s">
        <v>380</v>
      </c>
      <c r="X1992" s="8" t="s">
        <v>99</v>
      </c>
      <c r="Y1992" s="8" t="s">
        <v>23</v>
      </c>
    </row>
    <row r="1993" spans="1:25" s="7" customFormat="1" hidden="1" x14ac:dyDescent="0.25">
      <c r="A1993" s="273" t="s">
        <v>318</v>
      </c>
      <c r="B1993" s="251">
        <v>45894</v>
      </c>
      <c r="C1993" s="252" t="s">
        <v>782</v>
      </c>
      <c r="D1993" s="252" t="s">
        <v>1175</v>
      </c>
      <c r="E1993" s="253">
        <v>1051273.08</v>
      </c>
      <c r="F1993" s="253">
        <v>0</v>
      </c>
      <c r="G1993" s="274">
        <f>Tabla3[[#This Row],[INGRESOS]]-Tabla3[[#This Row],[EGRESOS]]</f>
        <v>-1051273.08</v>
      </c>
      <c r="H1993" s="274">
        <v>-465104.13</v>
      </c>
      <c r="I1993" s="135">
        <v>1350</v>
      </c>
      <c r="J1993" s="136">
        <f>Tabla3[[#This Row],[EGRESOS]]/Tabla3[[#This Row],[TC]]</f>
        <v>778.72080000000005</v>
      </c>
      <c r="K1993" s="136">
        <f>Tabla3[[#This Row],[INGRESOS]]/Tabla3[[#This Row],[TC]]</f>
        <v>0</v>
      </c>
      <c r="L1993" s="8" t="s">
        <v>376</v>
      </c>
      <c r="M1993" s="8" t="s">
        <v>377</v>
      </c>
      <c r="N1993" s="8" t="s">
        <v>20</v>
      </c>
      <c r="O1993" s="8" t="s">
        <v>215</v>
      </c>
      <c r="P1993" s="8" t="s">
        <v>216</v>
      </c>
      <c r="Q1993" s="8" t="s">
        <v>220</v>
      </c>
      <c r="R1993" s="8" t="s">
        <v>329</v>
      </c>
      <c r="S1993" s="8" t="s">
        <v>634</v>
      </c>
      <c r="T1993" s="8" t="s">
        <v>1176</v>
      </c>
      <c r="U1993" s="8" t="s">
        <v>412</v>
      </c>
      <c r="V1993" s="8"/>
      <c r="W1993" s="8" t="s">
        <v>380</v>
      </c>
      <c r="X1993" s="8" t="s">
        <v>29</v>
      </c>
      <c r="Y1993" s="8" t="s">
        <v>23</v>
      </c>
    </row>
    <row r="1994" spans="1:25" s="7" customFormat="1" hidden="1" x14ac:dyDescent="0.25">
      <c r="A1994" s="273" t="s">
        <v>318</v>
      </c>
      <c r="B1994" s="251">
        <v>45894</v>
      </c>
      <c r="C1994" s="252" t="s">
        <v>1177</v>
      </c>
      <c r="D1994" s="252"/>
      <c r="E1994" s="253">
        <v>0</v>
      </c>
      <c r="F1994" s="253">
        <v>13000000</v>
      </c>
      <c r="G1994" s="274">
        <f>Tabla3[[#This Row],[INGRESOS]]-Tabla3[[#This Row],[EGRESOS]]</f>
        <v>13000000</v>
      </c>
      <c r="H1994" s="274">
        <v>12534895.869999999</v>
      </c>
      <c r="I1994" s="135">
        <v>1350</v>
      </c>
      <c r="J1994" s="136">
        <f>Tabla3[[#This Row],[EGRESOS]]/Tabla3[[#This Row],[TC]]</f>
        <v>0</v>
      </c>
      <c r="K1994" s="136">
        <f>Tabla3[[#This Row],[INGRESOS]]/Tabla3[[#This Row],[TC]]</f>
        <v>9629.6296296296296</v>
      </c>
      <c r="L1994" s="8" t="s">
        <v>376</v>
      </c>
      <c r="M1994" s="8" t="s">
        <v>377</v>
      </c>
      <c r="N1994" s="8" t="s">
        <v>20</v>
      </c>
      <c r="O1994" s="8" t="s">
        <v>244</v>
      </c>
      <c r="P1994" s="8" t="s">
        <v>61</v>
      </c>
      <c r="Q1994" s="8" t="s">
        <v>275</v>
      </c>
      <c r="R1994" s="8" t="s">
        <v>993</v>
      </c>
      <c r="S1994" s="8" t="s">
        <v>994</v>
      </c>
      <c r="T1994" s="8"/>
      <c r="U1994" s="8" t="s">
        <v>995</v>
      </c>
      <c r="V1994" s="8"/>
      <c r="W1994" s="8" t="s">
        <v>380</v>
      </c>
      <c r="X1994" s="8" t="s">
        <v>23</v>
      </c>
      <c r="Y1994" s="8" t="s">
        <v>61</v>
      </c>
    </row>
    <row r="1995" spans="1:25" s="7" customFormat="1" hidden="1" x14ac:dyDescent="0.25">
      <c r="A1995" s="273" t="s">
        <v>318</v>
      </c>
      <c r="B1995" s="251">
        <v>45894</v>
      </c>
      <c r="C1995" s="252" t="s">
        <v>404</v>
      </c>
      <c r="D1995" s="252"/>
      <c r="E1995" s="253">
        <v>8200000</v>
      </c>
      <c r="F1995" s="253">
        <v>0</v>
      </c>
      <c r="G1995" s="274">
        <f>Tabla3[[#This Row],[INGRESOS]]-Tabla3[[#This Row],[EGRESOS]]</f>
        <v>-8200000</v>
      </c>
      <c r="H1995" s="274">
        <v>4334895.87</v>
      </c>
      <c r="I1995" s="135">
        <v>1350</v>
      </c>
      <c r="J1995" s="136">
        <f>Tabla3[[#This Row],[EGRESOS]]/Tabla3[[#This Row],[TC]]</f>
        <v>6074.0740740740739</v>
      </c>
      <c r="K1995" s="136">
        <f>Tabla3[[#This Row],[INGRESOS]]/Tabla3[[#This Row],[TC]]</f>
        <v>0</v>
      </c>
      <c r="L1995" s="8" t="s">
        <v>376</v>
      </c>
      <c r="M1995" s="8" t="s">
        <v>377</v>
      </c>
      <c r="N1995" s="8" t="s">
        <v>20</v>
      </c>
      <c r="O1995" s="8" t="s">
        <v>244</v>
      </c>
      <c r="P1995" s="8" t="s">
        <v>259</v>
      </c>
      <c r="Q1995" s="8" t="s">
        <v>260</v>
      </c>
      <c r="R1995" s="8" t="s">
        <v>466</v>
      </c>
      <c r="S1995" s="8"/>
      <c r="T1995" s="8"/>
      <c r="U1995" s="8" t="s">
        <v>379</v>
      </c>
      <c r="V1995" s="8"/>
      <c r="W1995" s="8"/>
      <c r="X1995" s="8"/>
      <c r="Y1995" s="8"/>
    </row>
    <row r="1996" spans="1:25" s="7" customFormat="1" hidden="1" x14ac:dyDescent="0.25">
      <c r="A1996" s="273" t="s">
        <v>318</v>
      </c>
      <c r="B1996" s="251">
        <v>45894</v>
      </c>
      <c r="C1996" s="252" t="s">
        <v>828</v>
      </c>
      <c r="D1996" s="252"/>
      <c r="E1996" s="253">
        <v>121</v>
      </c>
      <c r="F1996" s="253">
        <v>0</v>
      </c>
      <c r="G1996" s="274">
        <f>Tabla3[[#This Row],[INGRESOS]]-Tabla3[[#This Row],[EGRESOS]]</f>
        <v>-121</v>
      </c>
      <c r="H1996" s="274">
        <v>4334774.87</v>
      </c>
      <c r="I1996" s="135">
        <v>1350</v>
      </c>
      <c r="J1996" s="136">
        <f>Tabla3[[#This Row],[EGRESOS]]/Tabla3[[#This Row],[TC]]</f>
        <v>8.9629629629629629E-2</v>
      </c>
      <c r="K1996" s="136">
        <f>Tabla3[[#This Row],[INGRESOS]]/Tabla3[[#This Row],[TC]]</f>
        <v>0</v>
      </c>
      <c r="L1996" s="8" t="s">
        <v>376</v>
      </c>
      <c r="M1996" s="8" t="s">
        <v>377</v>
      </c>
      <c r="N1996" s="8" t="s">
        <v>20</v>
      </c>
      <c r="O1996" s="8" t="s">
        <v>184</v>
      </c>
      <c r="P1996" s="8" t="s">
        <v>185</v>
      </c>
      <c r="Q1996" s="8" t="s">
        <v>186</v>
      </c>
      <c r="R1996" s="8"/>
      <c r="S1996" s="8"/>
      <c r="T1996" s="8"/>
      <c r="U1996" s="8" t="s">
        <v>384</v>
      </c>
      <c r="V1996" s="8"/>
      <c r="W1996" s="8" t="s">
        <v>380</v>
      </c>
      <c r="X1996" s="8" t="s">
        <v>99</v>
      </c>
      <c r="Y1996" s="8" t="s">
        <v>23</v>
      </c>
    </row>
    <row r="1997" spans="1:25" s="7" customFormat="1" hidden="1" x14ac:dyDescent="0.25">
      <c r="A1997" s="273" t="s">
        <v>318</v>
      </c>
      <c r="B1997" s="251">
        <v>45894</v>
      </c>
      <c r="C1997" s="252" t="s">
        <v>404</v>
      </c>
      <c r="D1997" s="252"/>
      <c r="E1997" s="253">
        <v>3700000</v>
      </c>
      <c r="F1997" s="253">
        <v>0</v>
      </c>
      <c r="G1997" s="274">
        <f>Tabla3[[#This Row],[INGRESOS]]-Tabla3[[#This Row],[EGRESOS]]</f>
        <v>-3700000</v>
      </c>
      <c r="H1997" s="274">
        <v>634774.87</v>
      </c>
      <c r="I1997" s="135">
        <v>1350</v>
      </c>
      <c r="J1997" s="136">
        <f>Tabla3[[#This Row],[EGRESOS]]/Tabla3[[#This Row],[TC]]</f>
        <v>2740.7407407407409</v>
      </c>
      <c r="K1997" s="136">
        <f>Tabla3[[#This Row],[INGRESOS]]/Tabla3[[#This Row],[TC]]</f>
        <v>0</v>
      </c>
      <c r="L1997" s="8" t="s">
        <v>376</v>
      </c>
      <c r="M1997" s="8" t="s">
        <v>377</v>
      </c>
      <c r="N1997" s="8" t="s">
        <v>20</v>
      </c>
      <c r="O1997" s="8" t="s">
        <v>244</v>
      </c>
      <c r="P1997" s="8" t="s">
        <v>259</v>
      </c>
      <c r="Q1997" s="8" t="s">
        <v>260</v>
      </c>
      <c r="R1997" s="8" t="s">
        <v>467</v>
      </c>
      <c r="S1997" s="8"/>
      <c r="T1997" s="8"/>
      <c r="U1997" s="8" t="s">
        <v>379</v>
      </c>
      <c r="V1997" s="8"/>
      <c r="W1997" s="8"/>
      <c r="X1997" s="8"/>
      <c r="Y1997" s="8"/>
    </row>
    <row r="1998" spans="1:25" s="7" customFormat="1" hidden="1" x14ac:dyDescent="0.25">
      <c r="A1998" s="273" t="s">
        <v>318</v>
      </c>
      <c r="B1998" s="251">
        <v>45894</v>
      </c>
      <c r="C1998" s="252" t="s">
        <v>828</v>
      </c>
      <c r="D1998" s="252"/>
      <c r="E1998" s="253">
        <v>121</v>
      </c>
      <c r="F1998" s="253">
        <v>0</v>
      </c>
      <c r="G1998" s="274">
        <f>Tabla3[[#This Row],[INGRESOS]]-Tabla3[[#This Row],[EGRESOS]]</f>
        <v>-121</v>
      </c>
      <c r="H1998" s="274">
        <v>634653.87</v>
      </c>
      <c r="I1998" s="135">
        <v>1350</v>
      </c>
      <c r="J1998" s="136">
        <f>Tabla3[[#This Row],[EGRESOS]]/Tabla3[[#This Row],[TC]]</f>
        <v>8.9629629629629629E-2</v>
      </c>
      <c r="K1998" s="136">
        <f>Tabla3[[#This Row],[INGRESOS]]/Tabla3[[#This Row],[TC]]</f>
        <v>0</v>
      </c>
      <c r="L1998" s="8" t="s">
        <v>376</v>
      </c>
      <c r="M1998" s="8" t="s">
        <v>377</v>
      </c>
      <c r="N1998" s="8" t="s">
        <v>20</v>
      </c>
      <c r="O1998" s="8" t="s">
        <v>184</v>
      </c>
      <c r="P1998" s="8" t="s">
        <v>185</v>
      </c>
      <c r="Q1998" s="8" t="s">
        <v>186</v>
      </c>
      <c r="R1998" s="8"/>
      <c r="S1998" s="8"/>
      <c r="T1998" s="8"/>
      <c r="U1998" s="8" t="s">
        <v>384</v>
      </c>
      <c r="V1998" s="8"/>
      <c r="W1998" s="8" t="s">
        <v>380</v>
      </c>
      <c r="X1998" s="8" t="s">
        <v>99</v>
      </c>
      <c r="Y1998" s="8" t="s">
        <v>23</v>
      </c>
    </row>
    <row r="1999" spans="1:25" s="7" customFormat="1" hidden="1" x14ac:dyDescent="0.25">
      <c r="A1999" s="273" t="s">
        <v>318</v>
      </c>
      <c r="B1999" s="251">
        <v>45894</v>
      </c>
      <c r="C1999" s="252" t="s">
        <v>800</v>
      </c>
      <c r="D1999" s="252"/>
      <c r="E1999" s="253">
        <v>28900</v>
      </c>
      <c r="F1999" s="253">
        <v>0</v>
      </c>
      <c r="G1999" s="274">
        <f>Tabla3[[#This Row],[INGRESOS]]-Tabla3[[#This Row],[EGRESOS]]</f>
        <v>-28900</v>
      </c>
      <c r="H1999" s="274">
        <v>605753.87</v>
      </c>
      <c r="I1999" s="135">
        <v>1350</v>
      </c>
      <c r="J1999" s="136">
        <f>Tabla3[[#This Row],[EGRESOS]]/Tabla3[[#This Row],[TC]]</f>
        <v>21.407407407407408</v>
      </c>
      <c r="K1999" s="136">
        <f>Tabla3[[#This Row],[INGRESOS]]/Tabla3[[#This Row],[TC]]</f>
        <v>0</v>
      </c>
      <c r="L1999" s="8" t="s">
        <v>376</v>
      </c>
      <c r="M1999" s="8" t="s">
        <v>377</v>
      </c>
      <c r="N1999" s="8" t="s">
        <v>20</v>
      </c>
      <c r="O1999" s="8" t="s">
        <v>225</v>
      </c>
      <c r="P1999" s="8" t="s">
        <v>236</v>
      </c>
      <c r="Q1999" s="8" t="s">
        <v>227</v>
      </c>
      <c r="R1999" s="8" t="s">
        <v>1178</v>
      </c>
      <c r="S1999" s="8" t="s">
        <v>1179</v>
      </c>
      <c r="T1999" s="8"/>
      <c r="U1999" s="8" t="s">
        <v>412</v>
      </c>
      <c r="V1999" s="8"/>
      <c r="W1999" s="8" t="s">
        <v>380</v>
      </c>
      <c r="X1999" s="8" t="s">
        <v>29</v>
      </c>
      <c r="Y1999" s="8" t="s">
        <v>23</v>
      </c>
    </row>
    <row r="2000" spans="1:25" s="7" customFormat="1" hidden="1" x14ac:dyDescent="0.25">
      <c r="A2000" s="273" t="s">
        <v>318</v>
      </c>
      <c r="B2000" s="251">
        <v>45894</v>
      </c>
      <c r="C2000" s="252" t="s">
        <v>773</v>
      </c>
      <c r="D2000" s="252"/>
      <c r="E2000" s="253">
        <v>6482.5</v>
      </c>
      <c r="F2000" s="253">
        <v>0</v>
      </c>
      <c r="G2000" s="274">
        <f>Tabla3[[#This Row],[INGRESOS]]-Tabla3[[#This Row],[EGRESOS]]</f>
        <v>-6482.5</v>
      </c>
      <c r="H2000" s="274">
        <v>599271.37</v>
      </c>
      <c r="I2000" s="135">
        <v>1350</v>
      </c>
      <c r="J2000" s="136">
        <f>Tabla3[[#This Row],[EGRESOS]]/Tabla3[[#This Row],[TC]]</f>
        <v>4.8018518518518523</v>
      </c>
      <c r="K2000" s="136">
        <f>Tabla3[[#This Row],[INGRESOS]]/Tabla3[[#This Row],[TC]]</f>
        <v>0</v>
      </c>
      <c r="L2000" s="8" t="s">
        <v>376</v>
      </c>
      <c r="M2000" s="8" t="s">
        <v>377</v>
      </c>
      <c r="N2000" s="8" t="s">
        <v>20</v>
      </c>
      <c r="O2000" s="8" t="s">
        <v>184</v>
      </c>
      <c r="P2000" s="8" t="s">
        <v>195</v>
      </c>
      <c r="Q2000" s="8" t="s">
        <v>196</v>
      </c>
      <c r="R2000" s="8" t="s">
        <v>394</v>
      </c>
      <c r="S2000" s="8" t="s">
        <v>383</v>
      </c>
      <c r="T2000" s="8"/>
      <c r="U2000" s="8" t="s">
        <v>384</v>
      </c>
      <c r="V2000" s="8"/>
      <c r="W2000" s="8" t="s">
        <v>380</v>
      </c>
      <c r="X2000" s="8" t="s">
        <v>99</v>
      </c>
      <c r="Y2000" s="8" t="s">
        <v>23</v>
      </c>
    </row>
    <row r="2001" spans="1:25" s="7" customFormat="1" hidden="1" x14ac:dyDescent="0.25">
      <c r="A2001" s="273" t="s">
        <v>318</v>
      </c>
      <c r="B2001" s="251">
        <v>45895</v>
      </c>
      <c r="C2001" s="252" t="s">
        <v>782</v>
      </c>
      <c r="D2001" s="252" t="s">
        <v>1180</v>
      </c>
      <c r="E2001" s="253">
        <v>1000000</v>
      </c>
      <c r="F2001" s="253">
        <v>0</v>
      </c>
      <c r="G2001" s="274">
        <f>Tabla3[[#This Row],[INGRESOS]]-Tabla3[[#This Row],[EGRESOS]]</f>
        <v>-1000000</v>
      </c>
      <c r="H2001" s="274">
        <v>-400728.63</v>
      </c>
      <c r="I2001" s="135">
        <v>1350</v>
      </c>
      <c r="J2001" s="136">
        <f>Tabla3[[#This Row],[EGRESOS]]/Tabla3[[#This Row],[TC]]</f>
        <v>740.74074074074076</v>
      </c>
      <c r="K2001" s="136">
        <f>Tabla3[[#This Row],[INGRESOS]]/Tabla3[[#This Row],[TC]]</f>
        <v>0</v>
      </c>
      <c r="L2001" s="8" t="s">
        <v>376</v>
      </c>
      <c r="M2001" s="8" t="s">
        <v>377</v>
      </c>
      <c r="N2001" s="8" t="s">
        <v>20</v>
      </c>
      <c r="O2001" s="8" t="s">
        <v>286</v>
      </c>
      <c r="P2001" s="8" t="s">
        <v>287</v>
      </c>
      <c r="Q2001" s="8" t="s">
        <v>289</v>
      </c>
      <c r="R2001" s="8"/>
      <c r="S2001" s="8" t="s">
        <v>653</v>
      </c>
      <c r="T2001" s="8" t="s">
        <v>1181</v>
      </c>
      <c r="U2001" s="8" t="s">
        <v>412</v>
      </c>
      <c r="V2001" s="8"/>
      <c r="W2001" s="8" t="s">
        <v>380</v>
      </c>
      <c r="X2001" s="8" t="s">
        <v>29</v>
      </c>
      <c r="Y2001" s="8" t="s">
        <v>23</v>
      </c>
    </row>
    <row r="2002" spans="1:25" s="7" customFormat="1" hidden="1" x14ac:dyDescent="0.25">
      <c r="A2002" s="273" t="s">
        <v>318</v>
      </c>
      <c r="B2002" s="251">
        <v>45895</v>
      </c>
      <c r="C2002" s="252" t="s">
        <v>782</v>
      </c>
      <c r="D2002" s="252" t="s">
        <v>1182</v>
      </c>
      <c r="E2002" s="253">
        <v>1973268</v>
      </c>
      <c r="F2002" s="253">
        <v>0</v>
      </c>
      <c r="G2002" s="274">
        <f>Tabla3[[#This Row],[INGRESOS]]-Tabla3[[#This Row],[EGRESOS]]</f>
        <v>-1973268</v>
      </c>
      <c r="H2002" s="274">
        <v>-2373996.63</v>
      </c>
      <c r="I2002" s="135">
        <v>1350</v>
      </c>
      <c r="J2002" s="136">
        <f>Tabla3[[#This Row],[EGRESOS]]/Tabla3[[#This Row],[TC]]</f>
        <v>1461.68</v>
      </c>
      <c r="K2002" s="136">
        <f>Tabla3[[#This Row],[INGRESOS]]/Tabla3[[#This Row],[TC]]</f>
        <v>0</v>
      </c>
      <c r="L2002" s="8" t="s">
        <v>376</v>
      </c>
      <c r="M2002" s="8" t="s">
        <v>377</v>
      </c>
      <c r="N2002" s="8" t="s">
        <v>20</v>
      </c>
      <c r="O2002" s="8" t="s">
        <v>215</v>
      </c>
      <c r="P2002" s="8" t="s">
        <v>216</v>
      </c>
      <c r="Q2002" s="8" t="s">
        <v>220</v>
      </c>
      <c r="R2002" s="8" t="s">
        <v>291</v>
      </c>
      <c r="S2002" s="8" t="s">
        <v>1183</v>
      </c>
      <c r="T2002" s="8" t="s">
        <v>1184</v>
      </c>
      <c r="U2002" s="8" t="s">
        <v>412</v>
      </c>
      <c r="V2002" s="8"/>
      <c r="W2002" s="8" t="s">
        <v>380</v>
      </c>
      <c r="X2002" s="8" t="s">
        <v>29</v>
      </c>
      <c r="Y2002" s="8" t="s">
        <v>23</v>
      </c>
    </row>
    <row r="2003" spans="1:25" s="7" customFormat="1" hidden="1" x14ac:dyDescent="0.25">
      <c r="A2003" s="273" t="s">
        <v>318</v>
      </c>
      <c r="B2003" s="251">
        <v>45895</v>
      </c>
      <c r="C2003" s="252" t="s">
        <v>1185</v>
      </c>
      <c r="D2003" s="252"/>
      <c r="E2003" s="253">
        <v>0</v>
      </c>
      <c r="F2003" s="253">
        <v>3500000</v>
      </c>
      <c r="G2003" s="274">
        <f>Tabla3[[#This Row],[INGRESOS]]-Tabla3[[#This Row],[EGRESOS]]</f>
        <v>3500000</v>
      </c>
      <c r="H2003" s="274">
        <v>1126003.3700000001</v>
      </c>
      <c r="I2003" s="135">
        <v>1350</v>
      </c>
      <c r="J2003" s="136">
        <f>Tabla3[[#This Row],[EGRESOS]]/Tabla3[[#This Row],[TC]]</f>
        <v>0</v>
      </c>
      <c r="K2003" s="136">
        <f>Tabla3[[#This Row],[INGRESOS]]/Tabla3[[#This Row],[TC]]</f>
        <v>2592.5925925925926</v>
      </c>
      <c r="L2003" s="8" t="s">
        <v>376</v>
      </c>
      <c r="M2003" s="8" t="s">
        <v>377</v>
      </c>
      <c r="N2003" s="8" t="s">
        <v>20</v>
      </c>
      <c r="O2003" s="8" t="s">
        <v>244</v>
      </c>
      <c r="P2003" s="8" t="s">
        <v>61</v>
      </c>
      <c r="Q2003" s="8" t="s">
        <v>275</v>
      </c>
      <c r="R2003" s="8" t="s">
        <v>993</v>
      </c>
      <c r="S2003" s="8" t="s">
        <v>994</v>
      </c>
      <c r="T2003" s="8"/>
      <c r="U2003" s="8" t="s">
        <v>995</v>
      </c>
      <c r="V2003" s="8"/>
      <c r="W2003" s="8" t="s">
        <v>380</v>
      </c>
      <c r="X2003" s="8" t="s">
        <v>23</v>
      </c>
      <c r="Y2003" s="8" t="s">
        <v>61</v>
      </c>
    </row>
    <row r="2004" spans="1:25" s="7" customFormat="1" hidden="1" x14ac:dyDescent="0.25">
      <c r="A2004" s="273" t="s">
        <v>318</v>
      </c>
      <c r="B2004" s="251">
        <v>45895</v>
      </c>
      <c r="C2004" s="252" t="s">
        <v>404</v>
      </c>
      <c r="D2004" s="252"/>
      <c r="E2004" s="253">
        <v>1000000</v>
      </c>
      <c r="F2004" s="253">
        <v>0</v>
      </c>
      <c r="G2004" s="274">
        <f>Tabla3[[#This Row],[INGRESOS]]-Tabla3[[#This Row],[EGRESOS]]</f>
        <v>-1000000</v>
      </c>
      <c r="H2004" s="274">
        <v>126003.37</v>
      </c>
      <c r="I2004" s="135">
        <v>1350</v>
      </c>
      <c r="J2004" s="136">
        <f>Tabla3[[#This Row],[EGRESOS]]/Tabla3[[#This Row],[TC]]</f>
        <v>740.74074074074076</v>
      </c>
      <c r="K2004" s="136">
        <f>Tabla3[[#This Row],[INGRESOS]]/Tabla3[[#This Row],[TC]]</f>
        <v>0</v>
      </c>
      <c r="L2004" s="8" t="s">
        <v>376</v>
      </c>
      <c r="M2004" s="8" t="s">
        <v>377</v>
      </c>
      <c r="N2004" s="8" t="s">
        <v>20</v>
      </c>
      <c r="O2004" s="8" t="s">
        <v>244</v>
      </c>
      <c r="P2004" s="8" t="s">
        <v>259</v>
      </c>
      <c r="Q2004" s="8" t="s">
        <v>260</v>
      </c>
      <c r="R2004" s="8" t="s">
        <v>466</v>
      </c>
      <c r="S2004" s="8"/>
      <c r="T2004" s="8"/>
      <c r="U2004" s="8" t="s">
        <v>379</v>
      </c>
      <c r="V2004" s="8"/>
      <c r="W2004" s="8"/>
      <c r="X2004" s="8"/>
      <c r="Y2004" s="8"/>
    </row>
    <row r="2005" spans="1:25" s="7" customFormat="1" hidden="1" x14ac:dyDescent="0.25">
      <c r="A2005" s="273" t="s">
        <v>318</v>
      </c>
      <c r="B2005" s="251">
        <v>45895</v>
      </c>
      <c r="C2005" s="252" t="s">
        <v>828</v>
      </c>
      <c r="D2005" s="252"/>
      <c r="E2005" s="253">
        <v>121</v>
      </c>
      <c r="F2005" s="253">
        <v>0</v>
      </c>
      <c r="G2005" s="274">
        <f>Tabla3[[#This Row],[INGRESOS]]-Tabla3[[#This Row],[EGRESOS]]</f>
        <v>-121</v>
      </c>
      <c r="H2005" s="274">
        <v>125882.37</v>
      </c>
      <c r="I2005" s="135">
        <v>1350</v>
      </c>
      <c r="J2005" s="136">
        <f>Tabla3[[#This Row],[EGRESOS]]/Tabla3[[#This Row],[TC]]</f>
        <v>8.9629629629629629E-2</v>
      </c>
      <c r="K2005" s="136">
        <f>Tabla3[[#This Row],[INGRESOS]]/Tabla3[[#This Row],[TC]]</f>
        <v>0</v>
      </c>
      <c r="L2005" s="8" t="s">
        <v>376</v>
      </c>
      <c r="M2005" s="8" t="s">
        <v>377</v>
      </c>
      <c r="N2005" s="8" t="s">
        <v>20</v>
      </c>
      <c r="O2005" s="8" t="s">
        <v>184</v>
      </c>
      <c r="P2005" s="8" t="s">
        <v>185</v>
      </c>
      <c r="Q2005" s="8" t="s">
        <v>186</v>
      </c>
      <c r="R2005" s="8"/>
      <c r="S2005" s="8"/>
      <c r="T2005" s="8"/>
      <c r="U2005" s="8" t="s">
        <v>384</v>
      </c>
      <c r="V2005" s="8"/>
      <c r="W2005" s="8" t="s">
        <v>380</v>
      </c>
      <c r="X2005" s="8" t="s">
        <v>99</v>
      </c>
      <c r="Y2005" s="8" t="s">
        <v>23</v>
      </c>
    </row>
    <row r="2006" spans="1:25" s="7" customFormat="1" hidden="1" x14ac:dyDescent="0.25">
      <c r="A2006" s="273" t="s">
        <v>318</v>
      </c>
      <c r="B2006" s="251">
        <v>45895</v>
      </c>
      <c r="C2006" s="252" t="s">
        <v>773</v>
      </c>
      <c r="D2006" s="252"/>
      <c r="E2006" s="253">
        <v>17840.34</v>
      </c>
      <c r="F2006" s="253">
        <v>0</v>
      </c>
      <c r="G2006" s="274">
        <f>Tabla3[[#This Row],[INGRESOS]]-Tabla3[[#This Row],[EGRESOS]]</f>
        <v>-17840.34</v>
      </c>
      <c r="H2006" s="274">
        <v>108042.03</v>
      </c>
      <c r="I2006" s="135">
        <v>1350</v>
      </c>
      <c r="J2006" s="136">
        <f>Tabla3[[#This Row],[EGRESOS]]/Tabla3[[#This Row],[TC]]</f>
        <v>13.215066666666667</v>
      </c>
      <c r="K2006" s="136">
        <f>Tabla3[[#This Row],[INGRESOS]]/Tabla3[[#This Row],[TC]]</f>
        <v>0</v>
      </c>
      <c r="L2006" s="8" t="s">
        <v>376</v>
      </c>
      <c r="M2006" s="8" t="s">
        <v>377</v>
      </c>
      <c r="N2006" s="8" t="s">
        <v>20</v>
      </c>
      <c r="O2006" s="8" t="s">
        <v>184</v>
      </c>
      <c r="P2006" s="8" t="s">
        <v>185</v>
      </c>
      <c r="Q2006" s="8" t="s">
        <v>186</v>
      </c>
      <c r="R2006" s="8"/>
      <c r="S2006" s="8"/>
      <c r="T2006" s="8"/>
      <c r="U2006" s="8" t="s">
        <v>384</v>
      </c>
      <c r="V2006" s="8"/>
      <c r="W2006" s="8" t="s">
        <v>380</v>
      </c>
      <c r="X2006" s="8" t="s">
        <v>99</v>
      </c>
      <c r="Y2006" s="8" t="s">
        <v>23</v>
      </c>
    </row>
    <row r="2007" spans="1:25" s="7" customFormat="1" hidden="1" x14ac:dyDescent="0.25">
      <c r="A2007" s="273" t="s">
        <v>318</v>
      </c>
      <c r="B2007" s="251">
        <v>45896</v>
      </c>
      <c r="C2007" s="252" t="s">
        <v>762</v>
      </c>
      <c r="D2007" s="252"/>
      <c r="E2007" s="253">
        <v>5292</v>
      </c>
      <c r="F2007" s="253">
        <v>0</v>
      </c>
      <c r="G2007" s="274">
        <f>Tabla3[[#This Row],[INGRESOS]]-Tabla3[[#This Row],[EGRESOS]]</f>
        <v>-5292</v>
      </c>
      <c r="H2007" s="274">
        <v>102750.03</v>
      </c>
      <c r="I2007" s="135">
        <v>1350</v>
      </c>
      <c r="J2007" s="136">
        <f>Tabla3[[#This Row],[EGRESOS]]/Tabla3[[#This Row],[TC]]</f>
        <v>3.92</v>
      </c>
      <c r="K2007" s="136">
        <f>Tabla3[[#This Row],[INGRESOS]]/Tabla3[[#This Row],[TC]]</f>
        <v>0</v>
      </c>
      <c r="L2007" s="8" t="s">
        <v>376</v>
      </c>
      <c r="M2007" s="8" t="s">
        <v>377</v>
      </c>
      <c r="N2007" s="8" t="s">
        <v>20</v>
      </c>
      <c r="O2007" s="8" t="s">
        <v>184</v>
      </c>
      <c r="P2007" s="8" t="s">
        <v>195</v>
      </c>
      <c r="Q2007" s="8" t="s">
        <v>196</v>
      </c>
      <c r="R2007" s="8" t="s">
        <v>382</v>
      </c>
      <c r="S2007" s="8" t="s">
        <v>383</v>
      </c>
      <c r="T2007" s="8"/>
      <c r="U2007" s="8" t="s">
        <v>384</v>
      </c>
      <c r="V2007" s="8"/>
      <c r="W2007" s="8" t="s">
        <v>380</v>
      </c>
      <c r="X2007" s="8" t="s">
        <v>99</v>
      </c>
      <c r="Y2007" s="8" t="s">
        <v>23</v>
      </c>
    </row>
    <row r="2008" spans="1:25" s="7" customFormat="1" hidden="1" x14ac:dyDescent="0.25">
      <c r="A2008" s="273" t="s">
        <v>318</v>
      </c>
      <c r="B2008" s="251">
        <v>45896</v>
      </c>
      <c r="C2008" s="252" t="s">
        <v>763</v>
      </c>
      <c r="D2008" s="252"/>
      <c r="E2008" s="253">
        <v>756</v>
      </c>
      <c r="F2008" s="253">
        <v>0</v>
      </c>
      <c r="G2008" s="274">
        <f>Tabla3[[#This Row],[INGRESOS]]-Tabla3[[#This Row],[EGRESOS]]</f>
        <v>-756</v>
      </c>
      <c r="H2008" s="274">
        <v>101994.03</v>
      </c>
      <c r="I2008" s="135">
        <v>1350</v>
      </c>
      <c r="J2008" s="136">
        <f>Tabla3[[#This Row],[EGRESOS]]/Tabla3[[#This Row],[TC]]</f>
        <v>0.56000000000000005</v>
      </c>
      <c r="K2008" s="136">
        <f>Tabla3[[#This Row],[INGRESOS]]/Tabla3[[#This Row],[TC]]</f>
        <v>0</v>
      </c>
      <c r="L2008" s="8" t="s">
        <v>376</v>
      </c>
      <c r="M2008" s="8" t="s">
        <v>377</v>
      </c>
      <c r="N2008" s="8" t="s">
        <v>20</v>
      </c>
      <c r="O2008" s="8" t="s">
        <v>184</v>
      </c>
      <c r="P2008" s="8" t="s">
        <v>195</v>
      </c>
      <c r="Q2008" s="8" t="s">
        <v>196</v>
      </c>
      <c r="R2008" s="8" t="s">
        <v>417</v>
      </c>
      <c r="S2008" s="8" t="s">
        <v>383</v>
      </c>
      <c r="T2008" s="8"/>
      <c r="U2008" s="8" t="s">
        <v>384</v>
      </c>
      <c r="V2008" s="8"/>
      <c r="W2008" s="8" t="s">
        <v>380</v>
      </c>
      <c r="X2008" s="8" t="s">
        <v>99</v>
      </c>
      <c r="Y2008" s="8" t="s">
        <v>23</v>
      </c>
    </row>
    <row r="2009" spans="1:25" s="7" customFormat="1" hidden="1" x14ac:dyDescent="0.25">
      <c r="A2009" s="273" t="s">
        <v>318</v>
      </c>
      <c r="B2009" s="251">
        <v>45896</v>
      </c>
      <c r="C2009" s="252" t="s">
        <v>837</v>
      </c>
      <c r="D2009" s="252"/>
      <c r="E2009" s="253">
        <v>25200</v>
      </c>
      <c r="F2009" s="253">
        <v>0</v>
      </c>
      <c r="G2009" s="274">
        <f>Tabla3[[#This Row],[INGRESOS]]-Tabla3[[#This Row],[EGRESOS]]</f>
        <v>-25200</v>
      </c>
      <c r="H2009" s="274">
        <v>76794.03</v>
      </c>
      <c r="I2009" s="135">
        <v>1350</v>
      </c>
      <c r="J2009" s="136">
        <f>Tabla3[[#This Row],[EGRESOS]]/Tabla3[[#This Row],[TC]]</f>
        <v>18.666666666666668</v>
      </c>
      <c r="K2009" s="136">
        <f>Tabla3[[#This Row],[INGRESOS]]/Tabla3[[#This Row],[TC]]</f>
        <v>0</v>
      </c>
      <c r="L2009" s="8" t="s">
        <v>376</v>
      </c>
      <c r="M2009" s="8" t="s">
        <v>377</v>
      </c>
      <c r="N2009" s="8" t="s">
        <v>20</v>
      </c>
      <c r="O2009" s="8" t="s">
        <v>184</v>
      </c>
      <c r="P2009" s="8" t="s">
        <v>185</v>
      </c>
      <c r="Q2009" s="8" t="s">
        <v>186</v>
      </c>
      <c r="R2009" s="8"/>
      <c r="S2009" s="8"/>
      <c r="T2009" s="8"/>
      <c r="U2009" s="8" t="s">
        <v>384</v>
      </c>
      <c r="V2009" s="8"/>
      <c r="W2009" s="8" t="s">
        <v>380</v>
      </c>
      <c r="X2009" s="8" t="s">
        <v>99</v>
      </c>
      <c r="Y2009" s="8" t="s">
        <v>23</v>
      </c>
    </row>
    <row r="2010" spans="1:25" s="7" customFormat="1" hidden="1" x14ac:dyDescent="0.25">
      <c r="A2010" s="273" t="s">
        <v>318</v>
      </c>
      <c r="B2010" s="251">
        <v>45896</v>
      </c>
      <c r="C2010" s="252" t="s">
        <v>773</v>
      </c>
      <c r="D2010" s="252"/>
      <c r="E2010" s="253">
        <v>187.49</v>
      </c>
      <c r="F2010" s="253">
        <v>0</v>
      </c>
      <c r="G2010" s="274">
        <f>Tabla3[[#This Row],[INGRESOS]]-Tabla3[[#This Row],[EGRESOS]]</f>
        <v>-187.49</v>
      </c>
      <c r="H2010" s="274">
        <v>76606.539999999994</v>
      </c>
      <c r="I2010" s="135">
        <v>1350</v>
      </c>
      <c r="J2010" s="136">
        <f>Tabla3[[#This Row],[EGRESOS]]/Tabla3[[#This Row],[TC]]</f>
        <v>0.13888148148148149</v>
      </c>
      <c r="K2010" s="136">
        <f>Tabla3[[#This Row],[INGRESOS]]/Tabla3[[#This Row],[TC]]</f>
        <v>0</v>
      </c>
      <c r="L2010" s="8" t="s">
        <v>376</v>
      </c>
      <c r="M2010" s="8" t="s">
        <v>377</v>
      </c>
      <c r="N2010" s="8" t="s">
        <v>20</v>
      </c>
      <c r="O2010" s="8" t="s">
        <v>184</v>
      </c>
      <c r="P2010" s="8" t="s">
        <v>185</v>
      </c>
      <c r="Q2010" s="8" t="s">
        <v>186</v>
      </c>
      <c r="R2010" s="8"/>
      <c r="S2010" s="8"/>
      <c r="T2010" s="8"/>
      <c r="U2010" s="8" t="s">
        <v>384</v>
      </c>
      <c r="V2010" s="8"/>
      <c r="W2010" s="8" t="s">
        <v>380</v>
      </c>
      <c r="X2010" s="8" t="s">
        <v>99</v>
      </c>
      <c r="Y2010" s="8" t="s">
        <v>23</v>
      </c>
    </row>
    <row r="2011" spans="1:25" s="7" customFormat="1" hidden="1" x14ac:dyDescent="0.25">
      <c r="A2011" s="273" t="s">
        <v>318</v>
      </c>
      <c r="B2011" s="251">
        <v>45897</v>
      </c>
      <c r="C2011" s="252" t="s">
        <v>1186</v>
      </c>
      <c r="D2011" s="252"/>
      <c r="E2011" s="253">
        <v>0</v>
      </c>
      <c r="F2011" s="253">
        <v>23030</v>
      </c>
      <c r="G2011" s="274">
        <f>Tabla3[[#This Row],[INGRESOS]]-Tabla3[[#This Row],[EGRESOS]]</f>
        <v>23030</v>
      </c>
      <c r="H2011" s="274">
        <v>99636.54</v>
      </c>
      <c r="I2011" s="135">
        <v>1350</v>
      </c>
      <c r="J2011" s="136">
        <f>Tabla3[[#This Row],[EGRESOS]]/Tabla3[[#This Row],[TC]]</f>
        <v>0</v>
      </c>
      <c r="K2011" s="136">
        <f>Tabla3[[#This Row],[INGRESOS]]/Tabla3[[#This Row],[TC]]</f>
        <v>17.05925925925926</v>
      </c>
      <c r="L2011" s="8" t="s">
        <v>376</v>
      </c>
      <c r="M2011" s="8" t="s">
        <v>377</v>
      </c>
      <c r="N2011" s="8" t="s">
        <v>20</v>
      </c>
      <c r="O2011" s="8" t="s">
        <v>244</v>
      </c>
      <c r="P2011" s="8" t="s">
        <v>261</v>
      </c>
      <c r="Q2011" s="8" t="s">
        <v>264</v>
      </c>
      <c r="R2011" s="8" t="s">
        <v>548</v>
      </c>
      <c r="S2011" s="8" t="s">
        <v>30</v>
      </c>
      <c r="T2011" s="8"/>
      <c r="U2011" s="8" t="s">
        <v>442</v>
      </c>
      <c r="V2011" s="8"/>
      <c r="W2011" s="8" t="s">
        <v>475</v>
      </c>
      <c r="X2011" s="8" t="s">
        <v>23</v>
      </c>
      <c r="Y2011" s="8" t="s">
        <v>549</v>
      </c>
    </row>
    <row r="2012" spans="1:25" s="7" customFormat="1" hidden="1" x14ac:dyDescent="0.25">
      <c r="A2012" s="273" t="s">
        <v>318</v>
      </c>
      <c r="B2012" s="251">
        <v>45897</v>
      </c>
      <c r="C2012" s="252" t="s">
        <v>760</v>
      </c>
      <c r="D2012" s="252"/>
      <c r="E2012" s="253">
        <v>138.18</v>
      </c>
      <c r="F2012" s="253">
        <v>0</v>
      </c>
      <c r="G2012" s="274">
        <f>Tabla3[[#This Row],[INGRESOS]]-Tabla3[[#This Row],[EGRESOS]]</f>
        <v>-138.18</v>
      </c>
      <c r="H2012" s="274">
        <v>99498.36</v>
      </c>
      <c r="I2012" s="135">
        <v>1350</v>
      </c>
      <c r="J2012" s="136">
        <f>Tabla3[[#This Row],[EGRESOS]]/Tabla3[[#This Row],[TC]]</f>
        <v>0.10235555555555556</v>
      </c>
      <c r="K2012" s="136">
        <f>Tabla3[[#This Row],[INGRESOS]]/Tabla3[[#This Row],[TC]]</f>
        <v>0</v>
      </c>
      <c r="L2012" s="8" t="s">
        <v>376</v>
      </c>
      <c r="M2012" s="8" t="s">
        <v>377</v>
      </c>
      <c r="N2012" s="8" t="s">
        <v>20</v>
      </c>
      <c r="O2012" s="8" t="s">
        <v>184</v>
      </c>
      <c r="P2012" s="8" t="s">
        <v>195</v>
      </c>
      <c r="Q2012" s="8" t="s">
        <v>196</v>
      </c>
      <c r="R2012" s="8" t="s">
        <v>394</v>
      </c>
      <c r="S2012" s="8" t="s">
        <v>383</v>
      </c>
      <c r="T2012" s="8"/>
      <c r="U2012" s="8" t="s">
        <v>384</v>
      </c>
      <c r="V2012" s="8"/>
      <c r="W2012" s="8" t="s">
        <v>380</v>
      </c>
      <c r="X2012" s="8" t="s">
        <v>99</v>
      </c>
      <c r="Y2012" s="8" t="s">
        <v>23</v>
      </c>
    </row>
    <row r="2013" spans="1:25" s="7" customFormat="1" hidden="1" x14ac:dyDescent="0.25">
      <c r="A2013" s="273" t="s">
        <v>318</v>
      </c>
      <c r="B2013" s="251">
        <v>45897</v>
      </c>
      <c r="C2013" s="252" t="s">
        <v>795</v>
      </c>
      <c r="D2013" s="252"/>
      <c r="E2013" s="253">
        <v>61997.77</v>
      </c>
      <c r="F2013" s="253">
        <v>0</v>
      </c>
      <c r="G2013" s="274">
        <f>Tabla3[[#This Row],[INGRESOS]]-Tabla3[[#This Row],[EGRESOS]]</f>
        <v>-61997.77</v>
      </c>
      <c r="H2013" s="274">
        <v>37500.589999999997</v>
      </c>
      <c r="I2013" s="135">
        <v>1350</v>
      </c>
      <c r="J2013" s="136">
        <f>Tabla3[[#This Row],[EGRESOS]]/Tabla3[[#This Row],[TC]]</f>
        <v>45.92427407407407</v>
      </c>
      <c r="K2013" s="136">
        <f>Tabla3[[#This Row],[INGRESOS]]/Tabla3[[#This Row],[TC]]</f>
        <v>0</v>
      </c>
      <c r="L2013" s="8" t="s">
        <v>376</v>
      </c>
      <c r="M2013" s="8" t="s">
        <v>377</v>
      </c>
      <c r="N2013" s="8" t="s">
        <v>20</v>
      </c>
      <c r="O2013" s="8" t="s">
        <v>244</v>
      </c>
      <c r="P2013" s="8" t="s">
        <v>259</v>
      </c>
      <c r="Q2013" s="8" t="s">
        <v>260</v>
      </c>
      <c r="R2013" s="8" t="s">
        <v>804</v>
      </c>
      <c r="S2013" s="8"/>
      <c r="T2013" s="8"/>
      <c r="U2013" s="8" t="s">
        <v>379</v>
      </c>
      <c r="V2013" s="8"/>
      <c r="W2013" s="8"/>
      <c r="X2013" s="8"/>
      <c r="Y2013" s="8"/>
    </row>
    <row r="2014" spans="1:25" s="7" customFormat="1" hidden="1" x14ac:dyDescent="0.25">
      <c r="A2014" s="273" t="s">
        <v>318</v>
      </c>
      <c r="B2014" s="251">
        <v>45898</v>
      </c>
      <c r="C2014" s="252" t="s">
        <v>782</v>
      </c>
      <c r="D2014" s="252" t="s">
        <v>1187</v>
      </c>
      <c r="E2014" s="253">
        <v>500000</v>
      </c>
      <c r="F2014" s="253">
        <v>0</v>
      </c>
      <c r="G2014" s="274">
        <f>Tabla3[[#This Row],[INGRESOS]]-Tabla3[[#This Row],[EGRESOS]]</f>
        <v>-500000</v>
      </c>
      <c r="H2014" s="274">
        <v>-462499.41</v>
      </c>
      <c r="I2014" s="135">
        <v>1350</v>
      </c>
      <c r="J2014" s="136">
        <f>Tabla3[[#This Row],[EGRESOS]]/Tabla3[[#This Row],[TC]]</f>
        <v>370.37037037037038</v>
      </c>
      <c r="K2014" s="136">
        <f>Tabla3[[#This Row],[INGRESOS]]/Tabla3[[#This Row],[TC]]</f>
        <v>0</v>
      </c>
      <c r="L2014" s="8" t="s">
        <v>376</v>
      </c>
      <c r="M2014" s="8" t="s">
        <v>377</v>
      </c>
      <c r="N2014" s="8" t="s">
        <v>20</v>
      </c>
      <c r="O2014" s="8" t="s">
        <v>286</v>
      </c>
      <c r="P2014" s="8" t="s">
        <v>287</v>
      </c>
      <c r="Q2014" s="8" t="s">
        <v>291</v>
      </c>
      <c r="R2014" s="8" t="s">
        <v>143</v>
      </c>
      <c r="S2014" s="8" t="s">
        <v>676</v>
      </c>
      <c r="T2014" s="8"/>
      <c r="U2014" s="8" t="s">
        <v>412</v>
      </c>
      <c r="V2014" s="8"/>
      <c r="W2014" s="8" t="s">
        <v>380</v>
      </c>
      <c r="X2014" s="8" t="s">
        <v>29</v>
      </c>
      <c r="Y2014" s="8" t="s">
        <v>23</v>
      </c>
    </row>
    <row r="2015" spans="1:25" s="7" customFormat="1" hidden="1" x14ac:dyDescent="0.25">
      <c r="A2015" s="273" t="s">
        <v>318</v>
      </c>
      <c r="B2015" s="251">
        <v>45898</v>
      </c>
      <c r="C2015" s="252" t="s">
        <v>782</v>
      </c>
      <c r="D2015" s="252" t="s">
        <v>1188</v>
      </c>
      <c r="E2015" s="253">
        <v>2040786</v>
      </c>
      <c r="F2015" s="253">
        <v>0</v>
      </c>
      <c r="G2015" s="274">
        <f>Tabla3[[#This Row],[INGRESOS]]-Tabla3[[#This Row],[EGRESOS]]</f>
        <v>-2040786</v>
      </c>
      <c r="H2015" s="274">
        <v>-2503285.41</v>
      </c>
      <c r="I2015" s="135">
        <v>1350</v>
      </c>
      <c r="J2015" s="136">
        <f>Tabla3[[#This Row],[EGRESOS]]/Tabla3[[#This Row],[TC]]</f>
        <v>1511.6933333333334</v>
      </c>
      <c r="K2015" s="136">
        <f>Tabla3[[#This Row],[INGRESOS]]/Tabla3[[#This Row],[TC]]</f>
        <v>0</v>
      </c>
      <c r="L2015" s="8" t="s">
        <v>376</v>
      </c>
      <c r="M2015" s="8" t="s">
        <v>377</v>
      </c>
      <c r="N2015" s="8" t="s">
        <v>20</v>
      </c>
      <c r="O2015" s="8" t="s">
        <v>286</v>
      </c>
      <c r="P2015" s="8" t="s">
        <v>287</v>
      </c>
      <c r="Q2015" s="8" t="s">
        <v>291</v>
      </c>
      <c r="R2015" s="8"/>
      <c r="S2015" s="8" t="s">
        <v>1189</v>
      </c>
      <c r="T2015" s="8" t="s">
        <v>1190</v>
      </c>
      <c r="U2015" s="8" t="s">
        <v>384</v>
      </c>
      <c r="V2015" s="8"/>
      <c r="W2015" s="8" t="s">
        <v>380</v>
      </c>
      <c r="X2015" s="8" t="s">
        <v>99</v>
      </c>
      <c r="Y2015" s="8" t="s">
        <v>23</v>
      </c>
    </row>
    <row r="2016" spans="1:25" s="7" customFormat="1" hidden="1" x14ac:dyDescent="0.25">
      <c r="A2016" s="273" t="s">
        <v>318</v>
      </c>
      <c r="B2016" s="251">
        <v>45898</v>
      </c>
      <c r="C2016" s="252" t="s">
        <v>1191</v>
      </c>
      <c r="D2016" s="252"/>
      <c r="E2016" s="253">
        <v>0</v>
      </c>
      <c r="F2016" s="253">
        <v>30299651.059999999</v>
      </c>
      <c r="G2016" s="274">
        <f>Tabla3[[#This Row],[INGRESOS]]-Tabla3[[#This Row],[EGRESOS]]</f>
        <v>30299651.059999999</v>
      </c>
      <c r="H2016" s="274">
        <v>27796365.649999999</v>
      </c>
      <c r="I2016" s="135">
        <v>1350</v>
      </c>
      <c r="J2016" s="136">
        <f>Tabla3[[#This Row],[EGRESOS]]/Tabla3[[#This Row],[TC]]</f>
        <v>0</v>
      </c>
      <c r="K2016" s="136">
        <f>Tabla3[[#This Row],[INGRESOS]]/Tabla3[[#This Row],[TC]]</f>
        <v>22444.18597037037</v>
      </c>
      <c r="L2016" s="8" t="s">
        <v>376</v>
      </c>
      <c r="M2016" s="8" t="s">
        <v>377</v>
      </c>
      <c r="N2016" s="8" t="s">
        <v>20</v>
      </c>
      <c r="O2016" s="8" t="s">
        <v>244</v>
      </c>
      <c r="P2016" s="8" t="s">
        <v>61</v>
      </c>
      <c r="Q2016" s="8" t="s">
        <v>275</v>
      </c>
      <c r="R2016" s="8" t="s">
        <v>993</v>
      </c>
      <c r="S2016" s="8" t="s">
        <v>994</v>
      </c>
      <c r="T2016" s="8"/>
      <c r="U2016" s="8" t="s">
        <v>995</v>
      </c>
      <c r="V2016" s="8"/>
      <c r="W2016" s="8" t="s">
        <v>380</v>
      </c>
      <c r="X2016" s="8" t="s">
        <v>23</v>
      </c>
      <c r="Y2016" s="8" t="s">
        <v>61</v>
      </c>
    </row>
    <row r="2017" spans="1:25" s="7" customFormat="1" hidden="1" x14ac:dyDescent="0.25">
      <c r="A2017" s="273" t="s">
        <v>318</v>
      </c>
      <c r="B2017" s="251">
        <v>45898</v>
      </c>
      <c r="C2017" s="252" t="s">
        <v>1192</v>
      </c>
      <c r="D2017" s="252"/>
      <c r="E2017" s="253">
        <v>0</v>
      </c>
      <c r="F2017" s="253">
        <v>27840183.239999998</v>
      </c>
      <c r="G2017" s="274">
        <f>Tabla3[[#This Row],[INGRESOS]]-Tabla3[[#This Row],[EGRESOS]]</f>
        <v>27840183.239999998</v>
      </c>
      <c r="H2017" s="274">
        <v>55636548.890000001</v>
      </c>
      <c r="I2017" s="135">
        <v>1350</v>
      </c>
      <c r="J2017" s="136">
        <f>Tabla3[[#This Row],[EGRESOS]]/Tabla3[[#This Row],[TC]]</f>
        <v>0</v>
      </c>
      <c r="K2017" s="136">
        <f>Tabla3[[#This Row],[INGRESOS]]/Tabla3[[#This Row],[TC]]</f>
        <v>20622.357955555555</v>
      </c>
      <c r="L2017" s="8" t="s">
        <v>376</v>
      </c>
      <c r="M2017" s="8" t="s">
        <v>377</v>
      </c>
      <c r="N2017" s="8" t="s">
        <v>20</v>
      </c>
      <c r="O2017" s="8" t="s">
        <v>244</v>
      </c>
      <c r="P2017" s="8" t="s">
        <v>61</v>
      </c>
      <c r="Q2017" s="8" t="s">
        <v>275</v>
      </c>
      <c r="R2017" s="8" t="s">
        <v>993</v>
      </c>
      <c r="S2017" s="8" t="s">
        <v>994</v>
      </c>
      <c r="T2017" s="8"/>
      <c r="U2017" s="8" t="s">
        <v>995</v>
      </c>
      <c r="V2017" s="8"/>
      <c r="W2017" s="8" t="s">
        <v>380</v>
      </c>
      <c r="X2017" s="8" t="s">
        <v>23</v>
      </c>
      <c r="Y2017" s="8" t="s">
        <v>61</v>
      </c>
    </row>
    <row r="2018" spans="1:25" s="7" customFormat="1" hidden="1" x14ac:dyDescent="0.25">
      <c r="A2018" s="273" t="s">
        <v>318</v>
      </c>
      <c r="B2018" s="251">
        <v>45898</v>
      </c>
      <c r="C2018" s="252" t="s">
        <v>404</v>
      </c>
      <c r="D2018" s="252"/>
      <c r="E2018" s="253">
        <v>60700000</v>
      </c>
      <c r="F2018" s="253">
        <v>0</v>
      </c>
      <c r="G2018" s="274">
        <f>Tabla3[[#This Row],[INGRESOS]]-Tabla3[[#This Row],[EGRESOS]]</f>
        <v>-60700000</v>
      </c>
      <c r="H2018" s="274">
        <v>-5063451.1100000003</v>
      </c>
      <c r="I2018" s="135">
        <v>1350</v>
      </c>
      <c r="J2018" s="136">
        <f>Tabla3[[#This Row],[EGRESOS]]/Tabla3[[#This Row],[TC]]</f>
        <v>44962.962962962964</v>
      </c>
      <c r="K2018" s="136">
        <f>Tabla3[[#This Row],[INGRESOS]]/Tabla3[[#This Row],[TC]]</f>
        <v>0</v>
      </c>
      <c r="L2018" s="8" t="s">
        <v>376</v>
      </c>
      <c r="M2018" s="8" t="s">
        <v>377</v>
      </c>
      <c r="N2018" s="8" t="s">
        <v>20</v>
      </c>
      <c r="O2018" s="8" t="s">
        <v>244</v>
      </c>
      <c r="P2018" s="8" t="s">
        <v>259</v>
      </c>
      <c r="Q2018" s="8" t="s">
        <v>260</v>
      </c>
      <c r="R2018" s="8" t="s">
        <v>472</v>
      </c>
      <c r="S2018" s="8"/>
      <c r="T2018" s="8"/>
      <c r="U2018" s="8" t="s">
        <v>379</v>
      </c>
      <c r="V2018" s="8"/>
      <c r="W2018" s="8"/>
      <c r="X2018" s="8"/>
      <c r="Y2018" s="8"/>
    </row>
    <row r="2019" spans="1:25" s="7" customFormat="1" hidden="1" x14ac:dyDescent="0.25">
      <c r="A2019" s="273" t="s">
        <v>318</v>
      </c>
      <c r="B2019" s="251">
        <v>45898</v>
      </c>
      <c r="C2019" s="252" t="s">
        <v>828</v>
      </c>
      <c r="D2019" s="252"/>
      <c r="E2019" s="253">
        <v>121</v>
      </c>
      <c r="F2019" s="253">
        <v>0</v>
      </c>
      <c r="G2019" s="274">
        <f>Tabla3[[#This Row],[INGRESOS]]-Tabla3[[#This Row],[EGRESOS]]</f>
        <v>-121</v>
      </c>
      <c r="H2019" s="274">
        <v>-5063572.1100000003</v>
      </c>
      <c r="I2019" s="135">
        <v>1350</v>
      </c>
      <c r="J2019" s="136">
        <f>Tabla3[[#This Row],[EGRESOS]]/Tabla3[[#This Row],[TC]]</f>
        <v>8.9629629629629629E-2</v>
      </c>
      <c r="K2019" s="136">
        <f>Tabla3[[#This Row],[INGRESOS]]/Tabla3[[#This Row],[TC]]</f>
        <v>0</v>
      </c>
      <c r="L2019" s="8" t="s">
        <v>376</v>
      </c>
      <c r="M2019" s="8" t="s">
        <v>377</v>
      </c>
      <c r="N2019" s="8" t="s">
        <v>20</v>
      </c>
      <c r="O2019" s="8" t="s">
        <v>184</v>
      </c>
      <c r="P2019" s="8" t="s">
        <v>185</v>
      </c>
      <c r="Q2019" s="8" t="s">
        <v>186</v>
      </c>
      <c r="R2019" s="8"/>
      <c r="S2019" s="8"/>
      <c r="T2019" s="8"/>
      <c r="U2019" s="8" t="s">
        <v>384</v>
      </c>
      <c r="V2019" s="8"/>
      <c r="W2019" s="8" t="s">
        <v>380</v>
      </c>
      <c r="X2019" s="8" t="s">
        <v>99</v>
      </c>
      <c r="Y2019" s="8" t="s">
        <v>23</v>
      </c>
    </row>
    <row r="2020" spans="1:25" s="7" customFormat="1" hidden="1" x14ac:dyDescent="0.25">
      <c r="A2020" s="273" t="s">
        <v>318</v>
      </c>
      <c r="B2020" s="251">
        <v>45898</v>
      </c>
      <c r="C2020" s="252" t="s">
        <v>773</v>
      </c>
      <c r="D2020" s="252"/>
      <c r="E2020" s="253">
        <v>15245.45</v>
      </c>
      <c r="F2020" s="253">
        <v>0</v>
      </c>
      <c r="G2020" s="274">
        <f>Tabla3[[#This Row],[INGRESOS]]-Tabla3[[#This Row],[EGRESOS]]</f>
        <v>-15245.45</v>
      </c>
      <c r="H2020" s="274">
        <v>-5078817.5599999996</v>
      </c>
      <c r="I2020" s="135">
        <v>1350</v>
      </c>
      <c r="J2020" s="136">
        <f>Tabla3[[#This Row],[EGRESOS]]/Tabla3[[#This Row],[TC]]</f>
        <v>11.292925925925926</v>
      </c>
      <c r="K2020" s="136">
        <f>Tabla3[[#This Row],[INGRESOS]]/Tabla3[[#This Row],[TC]]</f>
        <v>0</v>
      </c>
      <c r="L2020" s="8" t="s">
        <v>376</v>
      </c>
      <c r="M2020" s="8" t="s">
        <v>377</v>
      </c>
      <c r="N2020" s="8" t="s">
        <v>20</v>
      </c>
      <c r="O2020" s="8" t="s">
        <v>184</v>
      </c>
      <c r="P2020" s="8" t="s">
        <v>195</v>
      </c>
      <c r="Q2020" s="8" t="s">
        <v>196</v>
      </c>
      <c r="R2020" s="8" t="s">
        <v>394</v>
      </c>
      <c r="S2020" s="8"/>
      <c r="T2020" s="8"/>
      <c r="U2020" s="8" t="s">
        <v>384</v>
      </c>
      <c r="V2020" s="8"/>
      <c r="W2020" s="8" t="s">
        <v>380</v>
      </c>
      <c r="X2020" s="8" t="s">
        <v>99</v>
      </c>
      <c r="Y2020" s="8" t="s">
        <v>23</v>
      </c>
    </row>
    <row r="2021" spans="1:25" s="7" customFormat="1" hidden="1" x14ac:dyDescent="0.25">
      <c r="A2021" s="273" t="s">
        <v>319</v>
      </c>
      <c r="B2021" s="251">
        <v>45901</v>
      </c>
      <c r="C2021" s="252" t="s">
        <v>762</v>
      </c>
      <c r="D2021" s="252"/>
      <c r="E2021" s="253">
        <v>4463.68</v>
      </c>
      <c r="F2021" s="253">
        <v>0</v>
      </c>
      <c r="G2021" s="274">
        <f>Tabla3[[#This Row],[INGRESOS]]-Tabla3[[#This Row],[EGRESOS]]</f>
        <v>-4463.68</v>
      </c>
      <c r="H2021" s="274">
        <v>-5083281.24</v>
      </c>
      <c r="I2021" s="135">
        <v>1350</v>
      </c>
      <c r="J2021" s="136">
        <f>Tabla3[[#This Row],[EGRESOS]]/Tabla3[[#This Row],[TC]]</f>
        <v>3.3064296296296298</v>
      </c>
      <c r="K2021" s="136">
        <f>Tabla3[[#This Row],[INGRESOS]]/Tabla3[[#This Row],[TC]]</f>
        <v>0</v>
      </c>
      <c r="L2021" s="8" t="s">
        <v>376</v>
      </c>
      <c r="M2021" s="8" t="s">
        <v>377</v>
      </c>
      <c r="N2021" s="8" t="s">
        <v>20</v>
      </c>
      <c r="O2021" s="8" t="s">
        <v>184</v>
      </c>
      <c r="P2021" s="8" t="s">
        <v>195</v>
      </c>
      <c r="Q2021" s="8" t="s">
        <v>196</v>
      </c>
      <c r="R2021" s="8" t="s">
        <v>382</v>
      </c>
      <c r="S2021" s="8"/>
      <c r="T2021" s="8"/>
      <c r="U2021" s="8" t="s">
        <v>384</v>
      </c>
      <c r="V2021" s="8"/>
      <c r="W2021" s="8" t="s">
        <v>475</v>
      </c>
      <c r="X2021" s="8" t="s">
        <v>99</v>
      </c>
      <c r="Y2021" s="8" t="s">
        <v>23</v>
      </c>
    </row>
    <row r="2022" spans="1:25" s="7" customFormat="1" hidden="1" x14ac:dyDescent="0.25">
      <c r="A2022" s="273" t="s">
        <v>319</v>
      </c>
      <c r="B2022" s="251">
        <v>45901</v>
      </c>
      <c r="C2022" s="252" t="s">
        <v>763</v>
      </c>
      <c r="D2022" s="252"/>
      <c r="E2022" s="253">
        <v>637.66999999999996</v>
      </c>
      <c r="F2022" s="253">
        <v>0</v>
      </c>
      <c r="G2022" s="274">
        <f>Tabla3[[#This Row],[INGRESOS]]-Tabla3[[#This Row],[EGRESOS]]</f>
        <v>-637.66999999999996</v>
      </c>
      <c r="H2022" s="274">
        <v>-5083918.91</v>
      </c>
      <c r="I2022" s="135">
        <v>1350</v>
      </c>
      <c r="J2022" s="136">
        <f>Tabla3[[#This Row],[EGRESOS]]/Tabla3[[#This Row],[TC]]</f>
        <v>0.47234814814814813</v>
      </c>
      <c r="K2022" s="136">
        <f>Tabla3[[#This Row],[INGRESOS]]/Tabla3[[#This Row],[TC]]</f>
        <v>0</v>
      </c>
      <c r="L2022" s="8" t="s">
        <v>376</v>
      </c>
      <c r="M2022" s="8" t="s">
        <v>377</v>
      </c>
      <c r="N2022" s="8" t="s">
        <v>20</v>
      </c>
      <c r="O2022" s="8" t="s">
        <v>184</v>
      </c>
      <c r="P2022" s="8" t="s">
        <v>195</v>
      </c>
      <c r="Q2022" s="8" t="s">
        <v>196</v>
      </c>
      <c r="R2022" s="8" t="s">
        <v>417</v>
      </c>
      <c r="S2022" s="8" t="s">
        <v>383</v>
      </c>
      <c r="T2022" s="8"/>
      <c r="U2022" s="8" t="s">
        <v>384</v>
      </c>
      <c r="V2022" s="8"/>
      <c r="W2022" s="8" t="s">
        <v>380</v>
      </c>
      <c r="X2022" s="8" t="s">
        <v>99</v>
      </c>
      <c r="Y2022" s="8" t="s">
        <v>23</v>
      </c>
    </row>
    <row r="2023" spans="1:25" s="7" customFormat="1" hidden="1" x14ac:dyDescent="0.25">
      <c r="A2023" s="273" t="s">
        <v>319</v>
      </c>
      <c r="B2023" s="251">
        <v>45901</v>
      </c>
      <c r="C2023" s="252" t="s">
        <v>780</v>
      </c>
      <c r="D2023" s="252"/>
      <c r="E2023" s="253">
        <v>42511.24</v>
      </c>
      <c r="F2023" s="253">
        <v>0</v>
      </c>
      <c r="G2023" s="274">
        <f>Tabla3[[#This Row],[INGRESOS]]-Tabla3[[#This Row],[EGRESOS]]</f>
        <v>-42511.24</v>
      </c>
      <c r="H2023" s="274">
        <v>-5126430.1500000004</v>
      </c>
      <c r="I2023" s="135">
        <v>1350</v>
      </c>
      <c r="J2023" s="136">
        <f>Tabla3[[#This Row],[EGRESOS]]/Tabla3[[#This Row],[TC]]</f>
        <v>31.489807407407405</v>
      </c>
      <c r="K2023" s="136">
        <f>Tabla3[[#This Row],[INGRESOS]]/Tabla3[[#This Row],[TC]]</f>
        <v>0</v>
      </c>
      <c r="L2023" s="8" t="s">
        <v>376</v>
      </c>
      <c r="M2023" s="8" t="s">
        <v>377</v>
      </c>
      <c r="N2023" s="8" t="s">
        <v>20</v>
      </c>
      <c r="O2023" s="8" t="s">
        <v>184</v>
      </c>
      <c r="P2023" s="8" t="s">
        <v>197</v>
      </c>
      <c r="Q2023" s="8" t="s">
        <v>198</v>
      </c>
      <c r="R2023" s="8" t="s">
        <v>419</v>
      </c>
      <c r="S2023" s="8"/>
      <c r="T2023" s="8"/>
      <c r="U2023" s="8" t="s">
        <v>384</v>
      </c>
      <c r="V2023" s="8"/>
      <c r="W2023" s="8" t="s">
        <v>475</v>
      </c>
      <c r="X2023" s="8" t="s">
        <v>99</v>
      </c>
      <c r="Y2023" s="8" t="s">
        <v>23</v>
      </c>
    </row>
    <row r="2024" spans="1:25" s="7" customFormat="1" hidden="1" x14ac:dyDescent="0.25">
      <c r="A2024" s="273" t="s">
        <v>319</v>
      </c>
      <c r="B2024" s="251">
        <v>45901</v>
      </c>
      <c r="C2024" s="252" t="s">
        <v>762</v>
      </c>
      <c r="D2024" s="252"/>
      <c r="E2024" s="253">
        <v>6593.79</v>
      </c>
      <c r="F2024" s="253">
        <v>0</v>
      </c>
      <c r="G2024" s="274">
        <f>Tabla3[[#This Row],[INGRESOS]]-Tabla3[[#This Row],[EGRESOS]]</f>
        <v>-6593.79</v>
      </c>
      <c r="H2024" s="274">
        <v>-5133023.9400000004</v>
      </c>
      <c r="I2024" s="135">
        <v>1350</v>
      </c>
      <c r="J2024" s="136">
        <f>Tabla3[[#This Row],[EGRESOS]]/Tabla3[[#This Row],[TC]]</f>
        <v>4.8842888888888885</v>
      </c>
      <c r="K2024" s="136">
        <f>Tabla3[[#This Row],[INGRESOS]]/Tabla3[[#This Row],[TC]]</f>
        <v>0</v>
      </c>
      <c r="L2024" s="8" t="s">
        <v>376</v>
      </c>
      <c r="M2024" s="8" t="s">
        <v>377</v>
      </c>
      <c r="N2024" s="8" t="s">
        <v>20</v>
      </c>
      <c r="O2024" s="8" t="s">
        <v>184</v>
      </c>
      <c r="P2024" s="8" t="s">
        <v>195</v>
      </c>
      <c r="Q2024" s="8" t="s">
        <v>196</v>
      </c>
      <c r="R2024" s="8" t="s">
        <v>382</v>
      </c>
      <c r="S2024" s="8"/>
      <c r="T2024" s="8"/>
      <c r="U2024" s="8" t="s">
        <v>384</v>
      </c>
      <c r="V2024" s="8"/>
      <c r="W2024" s="8" t="s">
        <v>475</v>
      </c>
      <c r="X2024" s="8" t="s">
        <v>99</v>
      </c>
      <c r="Y2024" s="8" t="s">
        <v>23</v>
      </c>
    </row>
    <row r="2025" spans="1:25" s="7" customFormat="1" hidden="1" x14ac:dyDescent="0.25">
      <c r="A2025" s="273" t="s">
        <v>319</v>
      </c>
      <c r="B2025" s="251">
        <v>45901</v>
      </c>
      <c r="C2025" s="252" t="s">
        <v>763</v>
      </c>
      <c r="D2025" s="252"/>
      <c r="E2025" s="253">
        <v>941.97</v>
      </c>
      <c r="F2025" s="253">
        <v>0</v>
      </c>
      <c r="G2025" s="274">
        <f>Tabla3[[#This Row],[INGRESOS]]-Tabla3[[#This Row],[EGRESOS]]</f>
        <v>-941.97</v>
      </c>
      <c r="H2025" s="274">
        <v>-5133965.91</v>
      </c>
      <c r="I2025" s="135">
        <v>1350</v>
      </c>
      <c r="J2025" s="136">
        <f>Tabla3[[#This Row],[EGRESOS]]/Tabla3[[#This Row],[TC]]</f>
        <v>0.69775555555555557</v>
      </c>
      <c r="K2025" s="136">
        <f>Tabla3[[#This Row],[INGRESOS]]/Tabla3[[#This Row],[TC]]</f>
        <v>0</v>
      </c>
      <c r="L2025" s="8" t="s">
        <v>376</v>
      </c>
      <c r="M2025" s="8" t="s">
        <v>377</v>
      </c>
      <c r="N2025" s="8" t="s">
        <v>20</v>
      </c>
      <c r="O2025" s="8" t="s">
        <v>184</v>
      </c>
      <c r="P2025" s="8" t="s">
        <v>195</v>
      </c>
      <c r="Q2025" s="8" t="s">
        <v>196</v>
      </c>
      <c r="R2025" s="8" t="s">
        <v>417</v>
      </c>
      <c r="S2025" s="8" t="s">
        <v>383</v>
      </c>
      <c r="T2025" s="8"/>
      <c r="U2025" s="8" t="s">
        <v>384</v>
      </c>
      <c r="V2025" s="8"/>
      <c r="W2025" s="8" t="s">
        <v>380</v>
      </c>
      <c r="X2025" s="8" t="s">
        <v>99</v>
      </c>
      <c r="Y2025" s="8" t="s">
        <v>23</v>
      </c>
    </row>
    <row r="2026" spans="1:25" s="7" customFormat="1" hidden="1" x14ac:dyDescent="0.25">
      <c r="A2026" s="273" t="s">
        <v>319</v>
      </c>
      <c r="B2026" s="251">
        <v>45901</v>
      </c>
      <c r="C2026" s="252" t="s">
        <v>781</v>
      </c>
      <c r="D2026" s="252"/>
      <c r="E2026" s="253">
        <v>62797.97</v>
      </c>
      <c r="F2026" s="253">
        <v>0</v>
      </c>
      <c r="G2026" s="274">
        <f>Tabla3[[#This Row],[INGRESOS]]-Tabla3[[#This Row],[EGRESOS]]</f>
        <v>-62797.97</v>
      </c>
      <c r="H2026" s="274">
        <v>-5196763.88</v>
      </c>
      <c r="I2026" s="135">
        <v>1350</v>
      </c>
      <c r="J2026" s="136">
        <f>Tabla3[[#This Row],[EGRESOS]]/Tabla3[[#This Row],[TC]]</f>
        <v>46.517014814814814</v>
      </c>
      <c r="K2026" s="136">
        <f>Tabla3[[#This Row],[INGRESOS]]/Tabla3[[#This Row],[TC]]</f>
        <v>0</v>
      </c>
      <c r="L2026" s="8" t="s">
        <v>376</v>
      </c>
      <c r="M2026" s="8" t="s">
        <v>377</v>
      </c>
      <c r="N2026" s="8" t="s">
        <v>20</v>
      </c>
      <c r="O2026" s="8" t="s">
        <v>184</v>
      </c>
      <c r="P2026" s="8" t="s">
        <v>197</v>
      </c>
      <c r="Q2026" s="8" t="s">
        <v>198</v>
      </c>
      <c r="R2026" s="8" t="s">
        <v>419</v>
      </c>
      <c r="S2026" s="8"/>
      <c r="T2026" s="8"/>
      <c r="U2026" s="8" t="s">
        <v>384</v>
      </c>
      <c r="V2026" s="8"/>
      <c r="W2026" s="8" t="s">
        <v>475</v>
      </c>
      <c r="X2026" s="8" t="s">
        <v>99</v>
      </c>
      <c r="Y2026" s="8" t="s">
        <v>23</v>
      </c>
    </row>
    <row r="2027" spans="1:25" s="7" customFormat="1" hidden="1" x14ac:dyDescent="0.25">
      <c r="A2027" s="273" t="s">
        <v>319</v>
      </c>
      <c r="B2027" s="251">
        <v>45901</v>
      </c>
      <c r="C2027" s="252" t="s">
        <v>1162</v>
      </c>
      <c r="D2027" s="252"/>
      <c r="E2027" s="253">
        <v>0</v>
      </c>
      <c r="F2027" s="253">
        <v>500000</v>
      </c>
      <c r="G2027" s="274">
        <f>Tabla3[[#This Row],[INGRESOS]]-Tabla3[[#This Row],[EGRESOS]]</f>
        <v>500000</v>
      </c>
      <c r="H2027" s="274">
        <v>-4696763.88</v>
      </c>
      <c r="I2027" s="135">
        <v>1350</v>
      </c>
      <c r="J2027" s="136">
        <f>Tabla3[[#This Row],[EGRESOS]]/Tabla3[[#This Row],[TC]]</f>
        <v>0</v>
      </c>
      <c r="K2027" s="136">
        <f>Tabla3[[#This Row],[INGRESOS]]/Tabla3[[#This Row],[TC]]</f>
        <v>370.37037037037038</v>
      </c>
      <c r="L2027" s="8" t="s">
        <v>376</v>
      </c>
      <c r="M2027" s="8" t="s">
        <v>377</v>
      </c>
      <c r="N2027" s="8" t="s">
        <v>20</v>
      </c>
      <c r="O2027" s="8" t="s">
        <v>244</v>
      </c>
      <c r="P2027" s="8" t="s">
        <v>259</v>
      </c>
      <c r="Q2027" s="8" t="s">
        <v>260</v>
      </c>
      <c r="R2027" s="8" t="s">
        <v>474</v>
      </c>
      <c r="S2027" s="8"/>
      <c r="T2027" s="8"/>
      <c r="U2027" s="8" t="s">
        <v>379</v>
      </c>
      <c r="V2027" s="8"/>
      <c r="W2027" s="8" t="s">
        <v>475</v>
      </c>
      <c r="X2027" s="8"/>
      <c r="Y2027" s="8"/>
    </row>
    <row r="2028" spans="1:25" s="7" customFormat="1" hidden="1" x14ac:dyDescent="0.25">
      <c r="A2028" s="273" t="s">
        <v>319</v>
      </c>
      <c r="B2028" s="251">
        <v>45901</v>
      </c>
      <c r="C2028" s="252" t="s">
        <v>845</v>
      </c>
      <c r="D2028" s="252"/>
      <c r="E2028" s="253">
        <v>707.88</v>
      </c>
      <c r="F2028" s="253">
        <v>0</v>
      </c>
      <c r="G2028" s="274">
        <f>Tabla3[[#This Row],[INGRESOS]]-Tabla3[[#This Row],[EGRESOS]]</f>
        <v>-707.88</v>
      </c>
      <c r="H2028" s="274">
        <v>-4697471.76</v>
      </c>
      <c r="I2028" s="135">
        <v>1350</v>
      </c>
      <c r="J2028" s="136">
        <f>Tabla3[[#This Row],[EGRESOS]]/Tabla3[[#This Row],[TC]]</f>
        <v>0.52435555555555557</v>
      </c>
      <c r="K2028" s="136">
        <f>Tabla3[[#This Row],[INGRESOS]]/Tabla3[[#This Row],[TC]]</f>
        <v>0</v>
      </c>
      <c r="L2028" s="8" t="s">
        <v>376</v>
      </c>
      <c r="M2028" s="8" t="s">
        <v>377</v>
      </c>
      <c r="N2028" s="8" t="s">
        <v>20</v>
      </c>
      <c r="O2028" s="8" t="s">
        <v>184</v>
      </c>
      <c r="P2028" s="8" t="s">
        <v>195</v>
      </c>
      <c r="Q2028" s="8" t="s">
        <v>196</v>
      </c>
      <c r="R2028" s="8" t="s">
        <v>423</v>
      </c>
      <c r="S2028" s="8" t="s">
        <v>69</v>
      </c>
      <c r="T2028" s="8"/>
      <c r="U2028" s="8" t="s">
        <v>384</v>
      </c>
      <c r="V2028" s="8"/>
      <c r="W2028" s="8" t="s">
        <v>475</v>
      </c>
      <c r="X2028" s="8" t="s">
        <v>99</v>
      </c>
      <c r="Y2028" s="8" t="s">
        <v>23</v>
      </c>
    </row>
    <row r="2029" spans="1:25" s="7" customFormat="1" hidden="1" x14ac:dyDescent="0.25">
      <c r="A2029" s="273" t="s">
        <v>319</v>
      </c>
      <c r="B2029" s="251">
        <v>45901</v>
      </c>
      <c r="C2029" s="252" t="s">
        <v>845</v>
      </c>
      <c r="D2029" s="252"/>
      <c r="E2029" s="253">
        <v>931.76</v>
      </c>
      <c r="F2029" s="253">
        <v>0</v>
      </c>
      <c r="G2029" s="274">
        <f>Tabla3[[#This Row],[INGRESOS]]-Tabla3[[#This Row],[EGRESOS]]</f>
        <v>-931.76</v>
      </c>
      <c r="H2029" s="274">
        <v>-4698403.5199999996</v>
      </c>
      <c r="I2029" s="135">
        <v>1350</v>
      </c>
      <c r="J2029" s="136">
        <f>Tabla3[[#This Row],[EGRESOS]]/Tabla3[[#This Row],[TC]]</f>
        <v>0.69019259259259258</v>
      </c>
      <c r="K2029" s="136">
        <f>Tabla3[[#This Row],[INGRESOS]]/Tabla3[[#This Row],[TC]]</f>
        <v>0</v>
      </c>
      <c r="L2029" s="8" t="s">
        <v>376</v>
      </c>
      <c r="M2029" s="8" t="s">
        <v>377</v>
      </c>
      <c r="N2029" s="8" t="s">
        <v>20</v>
      </c>
      <c r="O2029" s="8" t="s">
        <v>184</v>
      </c>
      <c r="P2029" s="8" t="s">
        <v>195</v>
      </c>
      <c r="Q2029" s="8" t="s">
        <v>196</v>
      </c>
      <c r="R2029" s="8" t="s">
        <v>423</v>
      </c>
      <c r="S2029" s="8" t="s">
        <v>69</v>
      </c>
      <c r="T2029" s="8"/>
      <c r="U2029" s="8" t="s">
        <v>384</v>
      </c>
      <c r="V2029" s="8"/>
      <c r="W2029" s="8" t="s">
        <v>475</v>
      </c>
      <c r="X2029" s="8" t="s">
        <v>99</v>
      </c>
      <c r="Y2029" s="8" t="s">
        <v>23</v>
      </c>
    </row>
    <row r="2030" spans="1:25" s="7" customFormat="1" hidden="1" x14ac:dyDescent="0.25">
      <c r="A2030" s="273" t="s">
        <v>319</v>
      </c>
      <c r="B2030" s="251">
        <v>45901</v>
      </c>
      <c r="C2030" s="252" t="s">
        <v>773</v>
      </c>
      <c r="D2030" s="252"/>
      <c r="E2030" s="253">
        <v>717.52</v>
      </c>
      <c r="F2030" s="253">
        <v>0</v>
      </c>
      <c r="G2030" s="274">
        <f>Tabla3[[#This Row],[INGRESOS]]-Tabla3[[#This Row],[EGRESOS]]</f>
        <v>-717.52</v>
      </c>
      <c r="H2030" s="274">
        <v>-4699121.04</v>
      </c>
      <c r="I2030" s="135">
        <v>1350</v>
      </c>
      <c r="J2030" s="136">
        <f>Tabla3[[#This Row],[EGRESOS]]/Tabla3[[#This Row],[TC]]</f>
        <v>0.53149629629629624</v>
      </c>
      <c r="K2030" s="136">
        <f>Tabla3[[#This Row],[INGRESOS]]/Tabla3[[#This Row],[TC]]</f>
        <v>0</v>
      </c>
      <c r="L2030" s="8" t="s">
        <v>376</v>
      </c>
      <c r="M2030" s="8" t="s">
        <v>377</v>
      </c>
      <c r="N2030" s="8" t="s">
        <v>20</v>
      </c>
      <c r="O2030" s="8" t="s">
        <v>184</v>
      </c>
      <c r="P2030" s="8" t="s">
        <v>195</v>
      </c>
      <c r="Q2030" s="8" t="s">
        <v>196</v>
      </c>
      <c r="R2030" s="8" t="s">
        <v>394</v>
      </c>
      <c r="S2030" s="8"/>
      <c r="T2030" s="8"/>
      <c r="U2030" s="8" t="s">
        <v>384</v>
      </c>
      <c r="V2030" s="8"/>
      <c r="W2030" s="8" t="s">
        <v>475</v>
      </c>
      <c r="X2030" s="8" t="s">
        <v>99</v>
      </c>
      <c r="Y2030" s="8" t="s">
        <v>23</v>
      </c>
    </row>
    <row r="2031" spans="1:25" s="7" customFormat="1" hidden="1" x14ac:dyDescent="0.25">
      <c r="A2031" s="273" t="s">
        <v>319</v>
      </c>
      <c r="B2031" s="251">
        <v>45902</v>
      </c>
      <c r="C2031" s="252" t="s">
        <v>782</v>
      </c>
      <c r="D2031" s="252" t="s">
        <v>1193</v>
      </c>
      <c r="E2031" s="253">
        <v>465000</v>
      </c>
      <c r="F2031" s="253">
        <v>0</v>
      </c>
      <c r="G2031" s="274">
        <f>Tabla3[[#This Row],[INGRESOS]]-Tabla3[[#This Row],[EGRESOS]]</f>
        <v>-465000</v>
      </c>
      <c r="H2031" s="274">
        <v>-5164121.04</v>
      </c>
      <c r="I2031" s="135">
        <v>1350</v>
      </c>
      <c r="J2031" s="136">
        <f>Tabla3[[#This Row],[EGRESOS]]/Tabla3[[#This Row],[TC]]</f>
        <v>344.44444444444446</v>
      </c>
      <c r="K2031" s="136">
        <f>Tabla3[[#This Row],[INGRESOS]]/Tabla3[[#This Row],[TC]]</f>
        <v>0</v>
      </c>
      <c r="L2031" s="8" t="s">
        <v>376</v>
      </c>
      <c r="M2031" s="8" t="s">
        <v>377</v>
      </c>
      <c r="N2031" s="8" t="s">
        <v>20</v>
      </c>
      <c r="O2031" s="8" t="s">
        <v>286</v>
      </c>
      <c r="P2031" s="8" t="s">
        <v>287</v>
      </c>
      <c r="Q2031" s="8" t="s">
        <v>217</v>
      </c>
      <c r="R2031" s="8" t="s">
        <v>188</v>
      </c>
      <c r="S2031" s="8" t="s">
        <v>656</v>
      </c>
      <c r="T2031" s="8"/>
      <c r="U2031" s="8" t="s">
        <v>412</v>
      </c>
      <c r="V2031" s="8"/>
      <c r="W2031" s="8" t="s">
        <v>475</v>
      </c>
      <c r="X2031" s="8" t="s">
        <v>29</v>
      </c>
      <c r="Y2031" s="8" t="s">
        <v>23</v>
      </c>
    </row>
    <row r="2032" spans="1:25" s="7" customFormat="1" hidden="1" x14ac:dyDescent="0.25">
      <c r="A2032" s="273" t="s">
        <v>319</v>
      </c>
      <c r="B2032" s="251">
        <v>45902</v>
      </c>
      <c r="C2032" s="252" t="s">
        <v>782</v>
      </c>
      <c r="D2032" s="252" t="s">
        <v>1194</v>
      </c>
      <c r="E2032" s="253">
        <v>325484.46999999997</v>
      </c>
      <c r="F2032" s="253">
        <v>0</v>
      </c>
      <c r="G2032" s="274">
        <f>Tabla3[[#This Row],[INGRESOS]]-Tabla3[[#This Row],[EGRESOS]]</f>
        <v>-325484.46999999997</v>
      </c>
      <c r="H2032" s="274">
        <v>-5489605.5099999998</v>
      </c>
      <c r="I2032" s="135">
        <v>1350</v>
      </c>
      <c r="J2032" s="136">
        <f>Tabla3[[#This Row],[EGRESOS]]/Tabla3[[#This Row],[TC]]</f>
        <v>241.09960740740738</v>
      </c>
      <c r="K2032" s="136">
        <f>Tabla3[[#This Row],[INGRESOS]]/Tabla3[[#This Row],[TC]]</f>
        <v>0</v>
      </c>
      <c r="L2032" s="8" t="s">
        <v>376</v>
      </c>
      <c r="M2032" s="8" t="s">
        <v>377</v>
      </c>
      <c r="N2032" s="8" t="s">
        <v>20</v>
      </c>
      <c r="O2032" s="8" t="s">
        <v>286</v>
      </c>
      <c r="P2032" s="8" t="s">
        <v>287</v>
      </c>
      <c r="Q2032" s="8" t="s">
        <v>289</v>
      </c>
      <c r="R2032" s="8" t="s">
        <v>33</v>
      </c>
      <c r="S2032" s="8" t="s">
        <v>600</v>
      </c>
      <c r="T2032" s="8" t="s">
        <v>1195</v>
      </c>
      <c r="U2032" s="8" t="s">
        <v>412</v>
      </c>
      <c r="V2032" s="8"/>
      <c r="W2032" s="8" t="s">
        <v>475</v>
      </c>
      <c r="X2032" s="8" t="s">
        <v>29</v>
      </c>
      <c r="Y2032" s="8" t="s">
        <v>23</v>
      </c>
    </row>
    <row r="2033" spans="1:25" s="7" customFormat="1" hidden="1" x14ac:dyDescent="0.25">
      <c r="A2033" s="273" t="s">
        <v>319</v>
      </c>
      <c r="B2033" s="251">
        <v>45902</v>
      </c>
      <c r="C2033" s="252" t="s">
        <v>773</v>
      </c>
      <c r="D2033" s="252"/>
      <c r="E2033" s="253">
        <v>4742.91</v>
      </c>
      <c r="F2033" s="253">
        <v>0</v>
      </c>
      <c r="G2033" s="274">
        <f>Tabla3[[#This Row],[INGRESOS]]-Tabla3[[#This Row],[EGRESOS]]</f>
        <v>-4742.91</v>
      </c>
      <c r="H2033" s="274">
        <v>-5494348.4199999999</v>
      </c>
      <c r="I2033" s="135">
        <v>1350</v>
      </c>
      <c r="J2033" s="136">
        <f>Tabla3[[#This Row],[EGRESOS]]/Tabla3[[#This Row],[TC]]</f>
        <v>3.5132666666666665</v>
      </c>
      <c r="K2033" s="136">
        <f>Tabla3[[#This Row],[INGRESOS]]/Tabla3[[#This Row],[TC]]</f>
        <v>0</v>
      </c>
      <c r="L2033" s="8" t="s">
        <v>376</v>
      </c>
      <c r="M2033" s="8" t="s">
        <v>377</v>
      </c>
      <c r="N2033" s="8" t="s">
        <v>20</v>
      </c>
      <c r="O2033" s="8" t="s">
        <v>184</v>
      </c>
      <c r="P2033" s="8" t="s">
        <v>195</v>
      </c>
      <c r="Q2033" s="8" t="s">
        <v>196</v>
      </c>
      <c r="R2033" s="8" t="s">
        <v>394</v>
      </c>
      <c r="S2033" s="8"/>
      <c r="T2033" s="8"/>
      <c r="U2033" s="8" t="s">
        <v>384</v>
      </c>
      <c r="V2033" s="8"/>
      <c r="W2033" s="8" t="s">
        <v>475</v>
      </c>
      <c r="X2033" s="8" t="s">
        <v>99</v>
      </c>
      <c r="Y2033" s="8" t="s">
        <v>23</v>
      </c>
    </row>
    <row r="2034" spans="1:25" s="7" customFormat="1" hidden="1" x14ac:dyDescent="0.25">
      <c r="A2034" s="273" t="s">
        <v>319</v>
      </c>
      <c r="B2034" s="251">
        <v>45903</v>
      </c>
      <c r="C2034" s="252" t="s">
        <v>782</v>
      </c>
      <c r="D2034" s="252" t="s">
        <v>1196</v>
      </c>
      <c r="E2034" s="253">
        <v>1733107.2</v>
      </c>
      <c r="F2034" s="253">
        <v>0</v>
      </c>
      <c r="G2034" s="274">
        <f>Tabla3[[#This Row],[INGRESOS]]-Tabla3[[#This Row],[EGRESOS]]</f>
        <v>-1733107.2</v>
      </c>
      <c r="H2034" s="274">
        <v>-7227455.6200000001</v>
      </c>
      <c r="I2034" s="135">
        <v>1350</v>
      </c>
      <c r="J2034" s="136">
        <f>Tabla3[[#This Row],[EGRESOS]]/Tabla3[[#This Row],[TC]]</f>
        <v>1283.7831111111111</v>
      </c>
      <c r="K2034" s="136">
        <f>Tabla3[[#This Row],[INGRESOS]]/Tabla3[[#This Row],[TC]]</f>
        <v>0</v>
      </c>
      <c r="L2034" s="8" t="s">
        <v>376</v>
      </c>
      <c r="M2034" s="8" t="s">
        <v>377</v>
      </c>
      <c r="N2034" s="8" t="s">
        <v>20</v>
      </c>
      <c r="O2034" s="8" t="s">
        <v>215</v>
      </c>
      <c r="P2034" s="8" t="s">
        <v>216</v>
      </c>
      <c r="Q2034" s="8" t="s">
        <v>220</v>
      </c>
      <c r="R2034" s="8" t="s">
        <v>291</v>
      </c>
      <c r="S2034" s="8" t="s">
        <v>1099</v>
      </c>
      <c r="T2034" s="8" t="s">
        <v>1197</v>
      </c>
      <c r="U2034" s="8" t="s">
        <v>412</v>
      </c>
      <c r="V2034" s="8"/>
      <c r="W2034" s="8" t="s">
        <v>380</v>
      </c>
      <c r="X2034" s="8" t="s">
        <v>29</v>
      </c>
      <c r="Y2034" s="8" t="s">
        <v>23</v>
      </c>
    </row>
    <row r="2035" spans="1:25" s="7" customFormat="1" hidden="1" x14ac:dyDescent="0.25">
      <c r="A2035" s="273" t="s">
        <v>319</v>
      </c>
      <c r="B2035" s="251">
        <v>45903</v>
      </c>
      <c r="C2035" s="252" t="s">
        <v>810</v>
      </c>
      <c r="D2035" s="252"/>
      <c r="E2035" s="253">
        <v>0</v>
      </c>
      <c r="F2035" s="253">
        <v>1000000</v>
      </c>
      <c r="G2035" s="274">
        <f>Tabla3[[#This Row],[INGRESOS]]-Tabla3[[#This Row],[EGRESOS]]</f>
        <v>1000000</v>
      </c>
      <c r="H2035" s="274">
        <v>-6227455.6200000001</v>
      </c>
      <c r="I2035" s="135">
        <v>1350</v>
      </c>
      <c r="J2035" s="136">
        <f>Tabla3[[#This Row],[EGRESOS]]/Tabla3[[#This Row],[TC]]</f>
        <v>0</v>
      </c>
      <c r="K2035" s="136">
        <f>Tabla3[[#This Row],[INGRESOS]]/Tabla3[[#This Row],[TC]]</f>
        <v>740.74074074074076</v>
      </c>
      <c r="L2035" s="8" t="s">
        <v>376</v>
      </c>
      <c r="M2035" s="8" t="s">
        <v>377</v>
      </c>
      <c r="N2035" s="8" t="s">
        <v>20</v>
      </c>
      <c r="O2035" s="8" t="s">
        <v>244</v>
      </c>
      <c r="P2035" s="8" t="s">
        <v>259</v>
      </c>
      <c r="Q2035" s="8" t="s">
        <v>260</v>
      </c>
      <c r="R2035" s="8" t="s">
        <v>447</v>
      </c>
      <c r="S2035" s="8"/>
      <c r="T2035" s="8"/>
      <c r="U2035" s="8" t="s">
        <v>379</v>
      </c>
      <c r="V2035" s="8"/>
      <c r="W2035" s="8" t="s">
        <v>475</v>
      </c>
      <c r="X2035" s="8"/>
      <c r="Y2035" s="8"/>
    </row>
    <row r="2036" spans="1:25" s="7" customFormat="1" hidden="1" x14ac:dyDescent="0.25">
      <c r="A2036" s="273" t="s">
        <v>319</v>
      </c>
      <c r="B2036" s="251">
        <v>45903</v>
      </c>
      <c r="C2036" s="252" t="s">
        <v>1198</v>
      </c>
      <c r="D2036" s="252"/>
      <c r="E2036" s="253">
        <v>0</v>
      </c>
      <c r="F2036" s="253">
        <v>250000</v>
      </c>
      <c r="G2036" s="274">
        <f>Tabla3[[#This Row],[INGRESOS]]-Tabla3[[#This Row],[EGRESOS]]</f>
        <v>250000</v>
      </c>
      <c r="H2036" s="274">
        <v>-5977455.6200000001</v>
      </c>
      <c r="I2036" s="135">
        <v>1350</v>
      </c>
      <c r="J2036" s="136">
        <f>Tabla3[[#This Row],[EGRESOS]]/Tabla3[[#This Row],[TC]]</f>
        <v>0</v>
      </c>
      <c r="K2036" s="136">
        <f>Tabla3[[#This Row],[INGRESOS]]/Tabla3[[#This Row],[TC]]</f>
        <v>185.18518518518519</v>
      </c>
      <c r="L2036" s="8" t="s">
        <v>376</v>
      </c>
      <c r="M2036" s="8" t="s">
        <v>377</v>
      </c>
      <c r="N2036" s="8" t="s">
        <v>20</v>
      </c>
      <c r="O2036" s="8" t="s">
        <v>244</v>
      </c>
      <c r="P2036" s="8" t="s">
        <v>259</v>
      </c>
      <c r="Q2036" s="8" t="s">
        <v>260</v>
      </c>
      <c r="R2036" s="8" t="s">
        <v>554</v>
      </c>
      <c r="S2036" s="8"/>
      <c r="T2036" s="8"/>
      <c r="U2036" s="8" t="s">
        <v>379</v>
      </c>
      <c r="V2036" s="8"/>
      <c r="W2036" s="8" t="s">
        <v>475</v>
      </c>
      <c r="X2036" s="8"/>
      <c r="Y2036" s="8"/>
    </row>
    <row r="2037" spans="1:25" s="7" customFormat="1" hidden="1" x14ac:dyDescent="0.25">
      <c r="A2037" s="273" t="s">
        <v>319</v>
      </c>
      <c r="B2037" s="251">
        <v>45903</v>
      </c>
      <c r="C2037" s="252" t="s">
        <v>762</v>
      </c>
      <c r="D2037" s="252"/>
      <c r="E2037" s="253">
        <v>3276</v>
      </c>
      <c r="F2037" s="253">
        <v>0</v>
      </c>
      <c r="G2037" s="274">
        <f>Tabla3[[#This Row],[INGRESOS]]-Tabla3[[#This Row],[EGRESOS]]</f>
        <v>-3276</v>
      </c>
      <c r="H2037" s="274">
        <v>-5980731.6200000001</v>
      </c>
      <c r="I2037" s="135">
        <v>1350</v>
      </c>
      <c r="J2037" s="136">
        <f>Tabla3[[#This Row],[EGRESOS]]/Tabla3[[#This Row],[TC]]</f>
        <v>2.4266666666666667</v>
      </c>
      <c r="K2037" s="136">
        <f>Tabla3[[#This Row],[INGRESOS]]/Tabla3[[#This Row],[TC]]</f>
        <v>0</v>
      </c>
      <c r="L2037" s="8" t="s">
        <v>376</v>
      </c>
      <c r="M2037" s="8" t="s">
        <v>377</v>
      </c>
      <c r="N2037" s="8" t="s">
        <v>20</v>
      </c>
      <c r="O2037" s="8" t="s">
        <v>184</v>
      </c>
      <c r="P2037" s="8" t="s">
        <v>195</v>
      </c>
      <c r="Q2037" s="8" t="s">
        <v>196</v>
      </c>
      <c r="R2037" s="8" t="s">
        <v>382</v>
      </c>
      <c r="S2037" s="8"/>
      <c r="T2037" s="8"/>
      <c r="U2037" s="8" t="s">
        <v>384</v>
      </c>
      <c r="V2037" s="8"/>
      <c r="W2037" s="8" t="s">
        <v>475</v>
      </c>
      <c r="X2037" s="8" t="s">
        <v>99</v>
      </c>
      <c r="Y2037" s="8" t="s">
        <v>23</v>
      </c>
    </row>
    <row r="2038" spans="1:25" s="7" customFormat="1" hidden="1" x14ac:dyDescent="0.25">
      <c r="A2038" s="273" t="s">
        <v>319</v>
      </c>
      <c r="B2038" s="251">
        <v>45903</v>
      </c>
      <c r="C2038" s="252" t="s">
        <v>763</v>
      </c>
      <c r="D2038" s="252"/>
      <c r="E2038" s="253">
        <v>468</v>
      </c>
      <c r="F2038" s="253">
        <v>0</v>
      </c>
      <c r="G2038" s="274">
        <f>Tabla3[[#This Row],[INGRESOS]]-Tabla3[[#This Row],[EGRESOS]]</f>
        <v>-468</v>
      </c>
      <c r="H2038" s="274">
        <v>-5981199.6200000001</v>
      </c>
      <c r="I2038" s="135">
        <v>1350</v>
      </c>
      <c r="J2038" s="136">
        <f>Tabla3[[#This Row],[EGRESOS]]/Tabla3[[#This Row],[TC]]</f>
        <v>0.34666666666666668</v>
      </c>
      <c r="K2038" s="136">
        <f>Tabla3[[#This Row],[INGRESOS]]/Tabla3[[#This Row],[TC]]</f>
        <v>0</v>
      </c>
      <c r="L2038" s="8" t="s">
        <v>376</v>
      </c>
      <c r="M2038" s="8" t="s">
        <v>377</v>
      </c>
      <c r="N2038" s="8" t="s">
        <v>20</v>
      </c>
      <c r="O2038" s="8" t="s">
        <v>184</v>
      </c>
      <c r="P2038" s="8" t="s">
        <v>195</v>
      </c>
      <c r="Q2038" s="8" t="s">
        <v>196</v>
      </c>
      <c r="R2038" s="8" t="s">
        <v>417</v>
      </c>
      <c r="S2038" s="8" t="s">
        <v>383</v>
      </c>
      <c r="T2038" s="8"/>
      <c r="U2038" s="8" t="s">
        <v>384</v>
      </c>
      <c r="V2038" s="8"/>
      <c r="W2038" s="8" t="s">
        <v>380</v>
      </c>
      <c r="X2038" s="8" t="s">
        <v>99</v>
      </c>
      <c r="Y2038" s="8" t="s">
        <v>23</v>
      </c>
    </row>
    <row r="2039" spans="1:25" s="7" customFormat="1" hidden="1" x14ac:dyDescent="0.25">
      <c r="A2039" s="273" t="s">
        <v>319</v>
      </c>
      <c r="B2039" s="251">
        <v>45903</v>
      </c>
      <c r="C2039" s="252" t="s">
        <v>794</v>
      </c>
      <c r="D2039" s="252"/>
      <c r="E2039" s="253">
        <v>15600</v>
      </c>
      <c r="F2039" s="253">
        <v>0</v>
      </c>
      <c r="G2039" s="274">
        <f>Tabla3[[#This Row],[INGRESOS]]-Tabla3[[#This Row],[EGRESOS]]</f>
        <v>-15600</v>
      </c>
      <c r="H2039" s="274">
        <v>-5996799.6200000001</v>
      </c>
      <c r="I2039" s="135">
        <v>1350</v>
      </c>
      <c r="J2039" s="136">
        <f>Tabla3[[#This Row],[EGRESOS]]/Tabla3[[#This Row],[TC]]</f>
        <v>11.555555555555555</v>
      </c>
      <c r="K2039" s="136">
        <f>Tabla3[[#This Row],[INGRESOS]]/Tabla3[[#This Row],[TC]]</f>
        <v>0</v>
      </c>
      <c r="L2039" s="8" t="s">
        <v>376</v>
      </c>
      <c r="M2039" s="8" t="s">
        <v>377</v>
      </c>
      <c r="N2039" s="8" t="s">
        <v>20</v>
      </c>
      <c r="O2039" s="8" t="s">
        <v>184</v>
      </c>
      <c r="P2039" s="8" t="s">
        <v>185</v>
      </c>
      <c r="Q2039" s="8" t="s">
        <v>186</v>
      </c>
      <c r="R2039" s="8"/>
      <c r="S2039" s="8"/>
      <c r="T2039" s="8"/>
      <c r="U2039" s="8" t="s">
        <v>384</v>
      </c>
      <c r="V2039" s="8"/>
      <c r="W2039" s="8" t="s">
        <v>475</v>
      </c>
      <c r="X2039" s="8" t="s">
        <v>99</v>
      </c>
      <c r="Y2039" s="8" t="s">
        <v>23</v>
      </c>
    </row>
    <row r="2040" spans="1:25" s="7" customFormat="1" hidden="1" x14ac:dyDescent="0.25">
      <c r="A2040" s="273" t="s">
        <v>319</v>
      </c>
      <c r="B2040" s="251">
        <v>45903</v>
      </c>
      <c r="C2040" s="252" t="s">
        <v>773</v>
      </c>
      <c r="D2040" s="252"/>
      <c r="E2040" s="253">
        <v>10514.7</v>
      </c>
      <c r="F2040" s="253">
        <v>0</v>
      </c>
      <c r="G2040" s="274">
        <f>Tabla3[[#This Row],[INGRESOS]]-Tabla3[[#This Row],[EGRESOS]]</f>
        <v>-10514.7</v>
      </c>
      <c r="H2040" s="274">
        <v>-6007314.3200000003</v>
      </c>
      <c r="I2040" s="135">
        <v>1350</v>
      </c>
      <c r="J2040" s="136">
        <f>Tabla3[[#This Row],[EGRESOS]]/Tabla3[[#This Row],[TC]]</f>
        <v>7.7886666666666668</v>
      </c>
      <c r="K2040" s="136">
        <f>Tabla3[[#This Row],[INGRESOS]]/Tabla3[[#This Row],[TC]]</f>
        <v>0</v>
      </c>
      <c r="L2040" s="8" t="s">
        <v>376</v>
      </c>
      <c r="M2040" s="8" t="s">
        <v>377</v>
      </c>
      <c r="N2040" s="8" t="s">
        <v>20</v>
      </c>
      <c r="O2040" s="8" t="s">
        <v>184</v>
      </c>
      <c r="P2040" s="8" t="s">
        <v>195</v>
      </c>
      <c r="Q2040" s="8" t="s">
        <v>196</v>
      </c>
      <c r="R2040" s="8" t="s">
        <v>394</v>
      </c>
      <c r="S2040" s="8"/>
      <c r="T2040" s="8"/>
      <c r="U2040" s="8" t="s">
        <v>384</v>
      </c>
      <c r="V2040" s="8"/>
      <c r="W2040" s="8" t="s">
        <v>475</v>
      </c>
      <c r="X2040" s="8" t="s">
        <v>99</v>
      </c>
      <c r="Y2040" s="8" t="s">
        <v>23</v>
      </c>
    </row>
    <row r="2041" spans="1:25" s="7" customFormat="1" hidden="1" x14ac:dyDescent="0.25">
      <c r="A2041" s="273" t="s">
        <v>319</v>
      </c>
      <c r="B2041" s="251">
        <v>45904</v>
      </c>
      <c r="C2041" s="252" t="s">
        <v>1199</v>
      </c>
      <c r="D2041" s="252"/>
      <c r="E2041" s="253">
        <v>0</v>
      </c>
      <c r="F2041" s="253">
        <v>20000</v>
      </c>
      <c r="G2041" s="274">
        <f>Tabla3[[#This Row],[INGRESOS]]-Tabla3[[#This Row],[EGRESOS]]</f>
        <v>20000</v>
      </c>
      <c r="H2041" s="274">
        <v>-5987314.3200000003</v>
      </c>
      <c r="I2041" s="135">
        <v>1350</v>
      </c>
      <c r="J2041" s="136">
        <f>Tabla3[[#This Row],[EGRESOS]]/Tabla3[[#This Row],[TC]]</f>
        <v>0</v>
      </c>
      <c r="K2041" s="136">
        <f>Tabla3[[#This Row],[INGRESOS]]/Tabla3[[#This Row],[TC]]</f>
        <v>14.814814814814815</v>
      </c>
      <c r="L2041" s="8" t="s">
        <v>376</v>
      </c>
      <c r="M2041" s="8" t="s">
        <v>377</v>
      </c>
      <c r="N2041" s="8" t="s">
        <v>20</v>
      </c>
      <c r="O2041" s="8" t="s">
        <v>244</v>
      </c>
      <c r="P2041" s="8" t="s">
        <v>259</v>
      </c>
      <c r="Q2041" s="8" t="s">
        <v>260</v>
      </c>
      <c r="R2041" s="8" t="s">
        <v>554</v>
      </c>
      <c r="S2041" s="8"/>
      <c r="T2041" s="8"/>
      <c r="U2041" s="8" t="s">
        <v>379</v>
      </c>
      <c r="V2041" s="8"/>
      <c r="W2041" s="8" t="s">
        <v>475</v>
      </c>
      <c r="X2041" s="8"/>
      <c r="Y2041" s="8"/>
    </row>
    <row r="2042" spans="1:25" s="7" customFormat="1" hidden="1" x14ac:dyDescent="0.25">
      <c r="A2042" s="273" t="s">
        <v>319</v>
      </c>
      <c r="B2042" s="251">
        <v>45905</v>
      </c>
      <c r="C2042" s="252" t="s">
        <v>762</v>
      </c>
      <c r="D2042" s="252"/>
      <c r="E2042" s="253">
        <v>2499</v>
      </c>
      <c r="F2042" s="253">
        <v>0</v>
      </c>
      <c r="G2042" s="274">
        <f>Tabla3[[#This Row],[INGRESOS]]-Tabla3[[#This Row],[EGRESOS]]</f>
        <v>-2499</v>
      </c>
      <c r="H2042" s="274">
        <v>-5989813.3200000003</v>
      </c>
      <c r="I2042" s="135">
        <v>1350</v>
      </c>
      <c r="J2042" s="136">
        <f>Tabla3[[#This Row],[EGRESOS]]/Tabla3[[#This Row],[TC]]</f>
        <v>1.8511111111111112</v>
      </c>
      <c r="K2042" s="136">
        <f>Tabla3[[#This Row],[INGRESOS]]/Tabla3[[#This Row],[TC]]</f>
        <v>0</v>
      </c>
      <c r="L2042" s="8" t="s">
        <v>376</v>
      </c>
      <c r="M2042" s="8" t="s">
        <v>377</v>
      </c>
      <c r="N2042" s="8" t="s">
        <v>20</v>
      </c>
      <c r="O2042" s="8" t="s">
        <v>184</v>
      </c>
      <c r="P2042" s="8" t="s">
        <v>195</v>
      </c>
      <c r="Q2042" s="8" t="s">
        <v>196</v>
      </c>
      <c r="R2042" s="8" t="s">
        <v>382</v>
      </c>
      <c r="S2042" s="8"/>
      <c r="T2042" s="8"/>
      <c r="U2042" s="8" t="s">
        <v>384</v>
      </c>
      <c r="V2042" s="8"/>
      <c r="W2042" s="8" t="s">
        <v>475</v>
      </c>
      <c r="X2042" s="8" t="s">
        <v>99</v>
      </c>
      <c r="Y2042" s="8" t="s">
        <v>23</v>
      </c>
    </row>
    <row r="2043" spans="1:25" s="7" customFormat="1" hidden="1" x14ac:dyDescent="0.25">
      <c r="A2043" s="247" t="s">
        <v>319</v>
      </c>
      <c r="B2043" s="248">
        <v>45905</v>
      </c>
      <c r="C2043" s="244" t="s">
        <v>763</v>
      </c>
      <c r="D2043" s="244"/>
      <c r="E2043" s="249">
        <v>357</v>
      </c>
      <c r="F2043" s="249">
        <v>0</v>
      </c>
      <c r="G2043" s="266">
        <f>Tabla3[[#This Row],[INGRESOS]]-Tabla3[[#This Row],[EGRESOS]]</f>
        <v>-357</v>
      </c>
      <c r="H2043" s="266">
        <v>-5990170.3200000003</v>
      </c>
      <c r="I2043" s="119">
        <v>1350</v>
      </c>
      <c r="J2043" s="99">
        <f>Tabla3[[#This Row],[EGRESOS]]/Tabla3[[#This Row],[TC]]</f>
        <v>0.26444444444444443</v>
      </c>
      <c r="K2043" s="99">
        <f>Tabla3[[#This Row],[INGRESOS]]/Tabla3[[#This Row],[TC]]</f>
        <v>0</v>
      </c>
      <c r="L2043" s="7" t="s">
        <v>376</v>
      </c>
      <c r="M2043" s="7" t="s">
        <v>377</v>
      </c>
      <c r="N2043" s="7" t="s">
        <v>20</v>
      </c>
      <c r="O2043" s="7" t="s">
        <v>184</v>
      </c>
      <c r="P2043" s="7" t="s">
        <v>195</v>
      </c>
      <c r="Q2043" s="7" t="s">
        <v>196</v>
      </c>
      <c r="R2043" s="7" t="s">
        <v>417</v>
      </c>
      <c r="S2043" s="7" t="s">
        <v>383</v>
      </c>
      <c r="U2043" s="7" t="s">
        <v>384</v>
      </c>
      <c r="W2043" s="7" t="s">
        <v>380</v>
      </c>
      <c r="X2043" s="7" t="s">
        <v>99</v>
      </c>
      <c r="Y2043" s="7" t="s">
        <v>23</v>
      </c>
    </row>
    <row r="2044" spans="1:25" s="7" customFormat="1" hidden="1" x14ac:dyDescent="0.25">
      <c r="A2044" s="247" t="s">
        <v>319</v>
      </c>
      <c r="B2044" s="248">
        <v>45905</v>
      </c>
      <c r="C2044" s="244" t="s">
        <v>803</v>
      </c>
      <c r="D2044" s="244"/>
      <c r="E2044" s="249">
        <v>11900</v>
      </c>
      <c r="F2044" s="249">
        <v>0</v>
      </c>
      <c r="G2044" s="266">
        <f>Tabla3[[#This Row],[INGRESOS]]-Tabla3[[#This Row],[EGRESOS]]</f>
        <v>-11900</v>
      </c>
      <c r="H2044" s="266">
        <v>-6002070.3200000003</v>
      </c>
      <c r="I2044" s="119">
        <v>1350</v>
      </c>
      <c r="J2044" s="99">
        <f>Tabla3[[#This Row],[EGRESOS]]/Tabla3[[#This Row],[TC]]</f>
        <v>8.8148148148148149</v>
      </c>
      <c r="K2044" s="99">
        <f>Tabla3[[#This Row],[INGRESOS]]/Tabla3[[#This Row],[TC]]</f>
        <v>0</v>
      </c>
      <c r="L2044" s="7" t="s">
        <v>376</v>
      </c>
      <c r="M2044" s="7" t="s">
        <v>377</v>
      </c>
      <c r="N2044" s="7" t="s">
        <v>20</v>
      </c>
      <c r="O2044" s="7" t="s">
        <v>184</v>
      </c>
      <c r="P2044" s="7" t="s">
        <v>185</v>
      </c>
      <c r="Q2044" s="7" t="s">
        <v>186</v>
      </c>
      <c r="U2044" s="7" t="s">
        <v>384</v>
      </c>
      <c r="W2044" s="7" t="s">
        <v>475</v>
      </c>
      <c r="X2044" s="7" t="s">
        <v>99</v>
      </c>
      <c r="Y2044" s="7" t="s">
        <v>23</v>
      </c>
    </row>
    <row r="2045" spans="1:25" s="7" customFormat="1" hidden="1" x14ac:dyDescent="0.25">
      <c r="A2045" s="247" t="s">
        <v>319</v>
      </c>
      <c r="B2045" s="248">
        <v>45905</v>
      </c>
      <c r="C2045" s="244" t="s">
        <v>773</v>
      </c>
      <c r="D2045" s="244"/>
      <c r="E2045" s="249">
        <v>88.54</v>
      </c>
      <c r="F2045" s="249">
        <v>0</v>
      </c>
      <c r="G2045" s="266">
        <f>Tabla3[[#This Row],[INGRESOS]]-Tabla3[[#This Row],[EGRESOS]]</f>
        <v>-88.54</v>
      </c>
      <c r="H2045" s="266">
        <v>-6002158.8600000003</v>
      </c>
      <c r="I2045" s="119">
        <v>1350</v>
      </c>
      <c r="J2045" s="99">
        <f>Tabla3[[#This Row],[EGRESOS]]/Tabla3[[#This Row],[TC]]</f>
        <v>6.5585185185185191E-2</v>
      </c>
      <c r="K2045" s="99">
        <f>Tabla3[[#This Row],[INGRESOS]]/Tabla3[[#This Row],[TC]]</f>
        <v>0</v>
      </c>
      <c r="L2045" s="7" t="s">
        <v>376</v>
      </c>
      <c r="M2045" s="7" t="s">
        <v>377</v>
      </c>
      <c r="N2045" s="7" t="s">
        <v>20</v>
      </c>
      <c r="O2045" s="7" t="s">
        <v>184</v>
      </c>
      <c r="P2045" s="7" t="s">
        <v>195</v>
      </c>
      <c r="Q2045" s="7" t="s">
        <v>196</v>
      </c>
      <c r="R2045" s="7" t="s">
        <v>394</v>
      </c>
      <c r="U2045" s="7" t="s">
        <v>384</v>
      </c>
      <c r="W2045" s="7" t="s">
        <v>475</v>
      </c>
      <c r="X2045" s="7" t="s">
        <v>99</v>
      </c>
      <c r="Y2045" s="7" t="s">
        <v>23</v>
      </c>
    </row>
    <row r="2046" spans="1:25" s="7" customFormat="1" hidden="1" x14ac:dyDescent="0.25">
      <c r="A2046" s="247" t="s">
        <v>319</v>
      </c>
      <c r="B2046" s="248">
        <v>45909</v>
      </c>
      <c r="C2046" s="244" t="s">
        <v>782</v>
      </c>
      <c r="D2046" s="244" t="s">
        <v>1200</v>
      </c>
      <c r="E2046" s="249">
        <v>600000</v>
      </c>
      <c r="F2046" s="249">
        <v>0</v>
      </c>
      <c r="G2046" s="266">
        <f>Tabla3[[#This Row],[INGRESOS]]-Tabla3[[#This Row],[EGRESOS]]</f>
        <v>-600000</v>
      </c>
      <c r="H2046" s="266">
        <v>-6602158.8600000003</v>
      </c>
      <c r="I2046" s="119">
        <v>1350</v>
      </c>
      <c r="J2046" s="99">
        <f>Tabla3[[#This Row],[EGRESOS]]/Tabla3[[#This Row],[TC]]</f>
        <v>444.44444444444446</v>
      </c>
      <c r="K2046" s="99">
        <f>Tabla3[[#This Row],[INGRESOS]]/Tabla3[[#This Row],[TC]]</f>
        <v>0</v>
      </c>
      <c r="L2046" s="7" t="s">
        <v>376</v>
      </c>
      <c r="M2046" s="7" t="s">
        <v>377</v>
      </c>
      <c r="N2046" s="7" t="s">
        <v>20</v>
      </c>
      <c r="O2046" s="7" t="s">
        <v>225</v>
      </c>
      <c r="P2046" s="7" t="s">
        <v>236</v>
      </c>
      <c r="Q2046" s="7" t="s">
        <v>239</v>
      </c>
      <c r="S2046" s="7" t="s">
        <v>597</v>
      </c>
      <c r="U2046" s="7" t="s">
        <v>412</v>
      </c>
      <c r="W2046" s="7" t="s">
        <v>475</v>
      </c>
      <c r="X2046" s="7" t="s">
        <v>29</v>
      </c>
      <c r="Y2046" s="7" t="s">
        <v>23</v>
      </c>
    </row>
    <row r="2047" spans="1:25" s="7" customFormat="1" hidden="1" x14ac:dyDescent="0.25">
      <c r="A2047" s="247" t="s">
        <v>319</v>
      </c>
      <c r="B2047" s="248">
        <v>45909</v>
      </c>
      <c r="C2047" s="244" t="s">
        <v>782</v>
      </c>
      <c r="D2047" s="244" t="s">
        <v>1201</v>
      </c>
      <c r="E2047" s="249">
        <v>1696662</v>
      </c>
      <c r="F2047" s="249">
        <v>0</v>
      </c>
      <c r="G2047" s="266">
        <f>Tabla3[[#This Row],[INGRESOS]]-Tabla3[[#This Row],[EGRESOS]]</f>
        <v>-1696662</v>
      </c>
      <c r="H2047" s="266">
        <v>-8298820.8600000003</v>
      </c>
      <c r="I2047" s="119">
        <v>1350</v>
      </c>
      <c r="J2047" s="99">
        <f>Tabla3[[#This Row],[EGRESOS]]/Tabla3[[#This Row],[TC]]</f>
        <v>1256.7866666666666</v>
      </c>
      <c r="K2047" s="99">
        <f>Tabla3[[#This Row],[INGRESOS]]/Tabla3[[#This Row],[TC]]</f>
        <v>0</v>
      </c>
      <c r="L2047" s="7" t="s">
        <v>376</v>
      </c>
      <c r="M2047" s="7" t="s">
        <v>377</v>
      </c>
      <c r="N2047" s="7" t="s">
        <v>20</v>
      </c>
      <c r="O2047" s="7" t="s">
        <v>286</v>
      </c>
      <c r="P2047" s="7" t="s">
        <v>287</v>
      </c>
      <c r="Q2047" s="7" t="s">
        <v>291</v>
      </c>
      <c r="R2047" s="7" t="s">
        <v>143</v>
      </c>
      <c r="S2047" s="7" t="s">
        <v>1104</v>
      </c>
      <c r="T2047" s="7" t="s">
        <v>1202</v>
      </c>
      <c r="U2047" s="7" t="s">
        <v>412</v>
      </c>
      <c r="W2047" s="7" t="s">
        <v>475</v>
      </c>
      <c r="X2047" s="7" t="s">
        <v>29</v>
      </c>
      <c r="Y2047" s="7" t="s">
        <v>23</v>
      </c>
    </row>
    <row r="2048" spans="1:25" s="7" customFormat="1" hidden="1" x14ac:dyDescent="0.25">
      <c r="A2048" s="247" t="s">
        <v>319</v>
      </c>
      <c r="B2048" s="248">
        <v>45909</v>
      </c>
      <c r="C2048" s="244" t="s">
        <v>1203</v>
      </c>
      <c r="D2048" s="244"/>
      <c r="E2048" s="249">
        <v>0</v>
      </c>
      <c r="F2048" s="249">
        <v>2500000</v>
      </c>
      <c r="G2048" s="266">
        <f>Tabla3[[#This Row],[INGRESOS]]-Tabla3[[#This Row],[EGRESOS]]</f>
        <v>2500000</v>
      </c>
      <c r="H2048" s="266">
        <v>-5798820.8600000003</v>
      </c>
      <c r="I2048" s="119">
        <v>1410</v>
      </c>
      <c r="J2048" s="99">
        <f>Tabla3[[#This Row],[EGRESOS]]/Tabla3[[#This Row],[TC]]</f>
        <v>0</v>
      </c>
      <c r="K2048" s="99">
        <f>Tabla3[[#This Row],[INGRESOS]]/Tabla3[[#This Row],[TC]]</f>
        <v>1773.049645390071</v>
      </c>
      <c r="L2048" s="7" t="s">
        <v>376</v>
      </c>
      <c r="M2048" s="7" t="s">
        <v>377</v>
      </c>
      <c r="N2048" s="7" t="s">
        <v>20</v>
      </c>
      <c r="O2048" s="7" t="s">
        <v>244</v>
      </c>
      <c r="P2048" s="7" t="s">
        <v>259</v>
      </c>
      <c r="Q2048" s="7" t="s">
        <v>260</v>
      </c>
      <c r="R2048" s="7" t="s">
        <v>554</v>
      </c>
      <c r="U2048" s="7" t="s">
        <v>379</v>
      </c>
      <c r="W2048" s="7" t="s">
        <v>475</v>
      </c>
    </row>
    <row r="2049" spans="1:25" s="7" customFormat="1" hidden="1" x14ac:dyDescent="0.25">
      <c r="A2049" s="247" t="s">
        <v>319</v>
      </c>
      <c r="B2049" s="248">
        <v>45909</v>
      </c>
      <c r="C2049" s="244" t="s">
        <v>762</v>
      </c>
      <c r="D2049" s="244"/>
      <c r="E2049" s="249">
        <v>3276</v>
      </c>
      <c r="F2049" s="249">
        <v>0</v>
      </c>
      <c r="G2049" s="266">
        <f>Tabla3[[#This Row],[INGRESOS]]-Tabla3[[#This Row],[EGRESOS]]</f>
        <v>-3276</v>
      </c>
      <c r="H2049" s="266">
        <v>-5802096.8600000003</v>
      </c>
      <c r="I2049" s="119">
        <v>1410</v>
      </c>
      <c r="J2049" s="99">
        <f>Tabla3[[#This Row],[EGRESOS]]/Tabla3[[#This Row],[TC]]</f>
        <v>2.323404255319149</v>
      </c>
      <c r="K2049" s="99">
        <f>Tabla3[[#This Row],[INGRESOS]]/Tabla3[[#This Row],[TC]]</f>
        <v>0</v>
      </c>
      <c r="L2049" s="7" t="s">
        <v>376</v>
      </c>
      <c r="M2049" s="7" t="s">
        <v>377</v>
      </c>
      <c r="N2049" s="7" t="s">
        <v>20</v>
      </c>
      <c r="O2049" s="7" t="s">
        <v>184</v>
      </c>
      <c r="P2049" s="7" t="s">
        <v>195</v>
      </c>
      <c r="Q2049" s="7" t="s">
        <v>196</v>
      </c>
      <c r="R2049" s="7" t="s">
        <v>382</v>
      </c>
      <c r="U2049" s="7" t="s">
        <v>384</v>
      </c>
      <c r="W2049" s="7" t="s">
        <v>475</v>
      </c>
      <c r="X2049" s="7" t="s">
        <v>99</v>
      </c>
      <c r="Y2049" s="7" t="s">
        <v>23</v>
      </c>
    </row>
    <row r="2050" spans="1:25" s="7" customFormat="1" hidden="1" x14ac:dyDescent="0.25">
      <c r="A2050" s="273" t="s">
        <v>319</v>
      </c>
      <c r="B2050" s="251">
        <v>45909</v>
      </c>
      <c r="C2050" s="252" t="s">
        <v>763</v>
      </c>
      <c r="D2050" s="252"/>
      <c r="E2050" s="253">
        <v>468</v>
      </c>
      <c r="F2050" s="253">
        <v>0</v>
      </c>
      <c r="G2050" s="274">
        <f>Tabla3[[#This Row],[INGRESOS]]-Tabla3[[#This Row],[EGRESOS]]</f>
        <v>-468</v>
      </c>
      <c r="H2050" s="274">
        <v>-5802564.8600000003</v>
      </c>
      <c r="I2050" s="135">
        <v>1410</v>
      </c>
      <c r="J2050" s="136">
        <f>Tabla3[[#This Row],[EGRESOS]]/Tabla3[[#This Row],[TC]]</f>
        <v>0.33191489361702126</v>
      </c>
      <c r="K2050" s="136">
        <f>Tabla3[[#This Row],[INGRESOS]]/Tabla3[[#This Row],[TC]]</f>
        <v>0</v>
      </c>
      <c r="L2050" s="8" t="s">
        <v>376</v>
      </c>
      <c r="M2050" s="8" t="s">
        <v>377</v>
      </c>
      <c r="N2050" s="8" t="s">
        <v>20</v>
      </c>
      <c r="O2050" s="8" t="s">
        <v>184</v>
      </c>
      <c r="P2050" s="8" t="s">
        <v>195</v>
      </c>
      <c r="Q2050" s="8" t="s">
        <v>196</v>
      </c>
      <c r="R2050" s="8" t="s">
        <v>417</v>
      </c>
      <c r="S2050" s="8" t="s">
        <v>383</v>
      </c>
      <c r="T2050" s="8"/>
      <c r="U2050" s="8" t="s">
        <v>384</v>
      </c>
      <c r="V2050" s="8"/>
      <c r="W2050" s="8" t="s">
        <v>380</v>
      </c>
      <c r="X2050" s="8" t="s">
        <v>99</v>
      </c>
      <c r="Y2050" s="8" t="s">
        <v>23</v>
      </c>
    </row>
    <row r="2051" spans="1:25" s="7" customFormat="1" hidden="1" x14ac:dyDescent="0.25">
      <c r="A2051" s="273" t="s">
        <v>319</v>
      </c>
      <c r="B2051" s="251">
        <v>45909</v>
      </c>
      <c r="C2051" s="252" t="s">
        <v>794</v>
      </c>
      <c r="D2051" s="252"/>
      <c r="E2051" s="253">
        <v>15600</v>
      </c>
      <c r="F2051" s="253">
        <v>0</v>
      </c>
      <c r="G2051" s="274">
        <f>Tabla3[[#This Row],[INGRESOS]]-Tabla3[[#This Row],[EGRESOS]]</f>
        <v>-15600</v>
      </c>
      <c r="H2051" s="274">
        <v>-5818164.8600000003</v>
      </c>
      <c r="I2051" s="135">
        <v>1410</v>
      </c>
      <c r="J2051" s="136">
        <f>Tabla3[[#This Row],[EGRESOS]]/Tabla3[[#This Row],[TC]]</f>
        <v>11.063829787234043</v>
      </c>
      <c r="K2051" s="136">
        <f>Tabla3[[#This Row],[INGRESOS]]/Tabla3[[#This Row],[TC]]</f>
        <v>0</v>
      </c>
      <c r="L2051" s="8" t="s">
        <v>376</v>
      </c>
      <c r="M2051" s="8" t="s">
        <v>377</v>
      </c>
      <c r="N2051" s="8" t="s">
        <v>20</v>
      </c>
      <c r="O2051" s="8" t="s">
        <v>184</v>
      </c>
      <c r="P2051" s="8" t="s">
        <v>185</v>
      </c>
      <c r="Q2051" s="8" t="s">
        <v>186</v>
      </c>
      <c r="R2051" s="8"/>
      <c r="S2051" s="8"/>
      <c r="T2051" s="8"/>
      <c r="U2051" s="8" t="s">
        <v>384</v>
      </c>
      <c r="V2051" s="8"/>
      <c r="W2051" s="8" t="s">
        <v>475</v>
      </c>
      <c r="X2051" s="8" t="s">
        <v>99</v>
      </c>
      <c r="Y2051" s="8" t="s">
        <v>23</v>
      </c>
    </row>
    <row r="2052" spans="1:25" s="7" customFormat="1" hidden="1" x14ac:dyDescent="0.25">
      <c r="A2052" s="273" t="s">
        <v>319</v>
      </c>
      <c r="B2052" s="251">
        <v>45909</v>
      </c>
      <c r="C2052" s="252" t="s">
        <v>773</v>
      </c>
      <c r="D2052" s="252"/>
      <c r="E2052" s="253">
        <v>13896.03</v>
      </c>
      <c r="F2052" s="253">
        <v>0</v>
      </c>
      <c r="G2052" s="274">
        <f>Tabla3[[#This Row],[INGRESOS]]-Tabla3[[#This Row],[EGRESOS]]</f>
        <v>-13896.03</v>
      </c>
      <c r="H2052" s="274">
        <v>-5832060.8899999997</v>
      </c>
      <c r="I2052" s="135">
        <v>1410</v>
      </c>
      <c r="J2052" s="136">
        <f>Tabla3[[#This Row],[EGRESOS]]/Tabla3[[#This Row],[TC]]</f>
        <v>9.8553404255319155</v>
      </c>
      <c r="K2052" s="136">
        <f>Tabla3[[#This Row],[INGRESOS]]/Tabla3[[#This Row],[TC]]</f>
        <v>0</v>
      </c>
      <c r="L2052" s="8" t="s">
        <v>376</v>
      </c>
      <c r="M2052" s="8" t="s">
        <v>377</v>
      </c>
      <c r="N2052" s="8" t="s">
        <v>20</v>
      </c>
      <c r="O2052" s="8" t="s">
        <v>184</v>
      </c>
      <c r="P2052" s="8" t="s">
        <v>195</v>
      </c>
      <c r="Q2052" s="8" t="s">
        <v>196</v>
      </c>
      <c r="R2052" s="8" t="s">
        <v>394</v>
      </c>
      <c r="S2052" s="8"/>
      <c r="T2052" s="8"/>
      <c r="U2052" s="8" t="s">
        <v>384</v>
      </c>
      <c r="V2052" s="8"/>
      <c r="W2052" s="8" t="s">
        <v>475</v>
      </c>
      <c r="X2052" s="8" t="s">
        <v>99</v>
      </c>
      <c r="Y2052" s="8" t="s">
        <v>23</v>
      </c>
    </row>
    <row r="2053" spans="1:25" s="7" customFormat="1" hidden="1" x14ac:dyDescent="0.25">
      <c r="A2053" s="273" t="s">
        <v>319</v>
      </c>
      <c r="B2053" s="251">
        <v>45910</v>
      </c>
      <c r="C2053" s="252" t="s">
        <v>782</v>
      </c>
      <c r="D2053" s="252" t="s">
        <v>1204</v>
      </c>
      <c r="E2053" s="253">
        <v>2164060.7999999998</v>
      </c>
      <c r="F2053" s="253">
        <v>0</v>
      </c>
      <c r="G2053" s="274">
        <f>Tabla3[[#This Row],[INGRESOS]]-Tabla3[[#This Row],[EGRESOS]]</f>
        <v>-2164060.7999999998</v>
      </c>
      <c r="H2053" s="274">
        <v>-7996121.6900000004</v>
      </c>
      <c r="I2053" s="135">
        <v>1410</v>
      </c>
      <c r="J2053" s="136">
        <f>Tabla3[[#This Row],[EGRESOS]]/Tabla3[[#This Row],[TC]]</f>
        <v>1534.7948936170212</v>
      </c>
      <c r="K2053" s="136">
        <f>Tabla3[[#This Row],[INGRESOS]]/Tabla3[[#This Row],[TC]]</f>
        <v>0</v>
      </c>
      <c r="L2053" s="8" t="s">
        <v>376</v>
      </c>
      <c r="M2053" s="8" t="s">
        <v>377</v>
      </c>
      <c r="N2053" s="8" t="s">
        <v>20</v>
      </c>
      <c r="O2053" s="8" t="s">
        <v>215</v>
      </c>
      <c r="P2053" s="8" t="s">
        <v>216</v>
      </c>
      <c r="Q2053" s="8" t="s">
        <v>220</v>
      </c>
      <c r="R2053" s="8" t="s">
        <v>291</v>
      </c>
      <c r="S2053" s="8" t="s">
        <v>1189</v>
      </c>
      <c r="T2053" s="8"/>
      <c r="U2053" s="8" t="s">
        <v>412</v>
      </c>
      <c r="V2053" s="8"/>
      <c r="W2053" s="8" t="s">
        <v>475</v>
      </c>
      <c r="X2053" s="8" t="s">
        <v>29</v>
      </c>
      <c r="Y2053" s="8" t="s">
        <v>23</v>
      </c>
    </row>
    <row r="2054" spans="1:25" s="7" customFormat="1" hidden="1" x14ac:dyDescent="0.25">
      <c r="A2054" s="273" t="s">
        <v>319</v>
      </c>
      <c r="B2054" s="251">
        <v>45910</v>
      </c>
      <c r="C2054" s="252" t="s">
        <v>782</v>
      </c>
      <c r="D2054" s="252" t="s">
        <v>1205</v>
      </c>
      <c r="E2054" s="253">
        <v>54341967.630000003</v>
      </c>
      <c r="F2054" s="253">
        <v>0</v>
      </c>
      <c r="G2054" s="274">
        <f>Tabla3[[#This Row],[INGRESOS]]-Tabla3[[#This Row],[EGRESOS]]</f>
        <v>-54341967.630000003</v>
      </c>
      <c r="H2054" s="274">
        <v>-62338089.32</v>
      </c>
      <c r="I2054" s="135">
        <v>1410</v>
      </c>
      <c r="J2054" s="136">
        <f>Tabla3[[#This Row],[EGRESOS]]/Tabla3[[#This Row],[TC]]</f>
        <v>38540.402574468084</v>
      </c>
      <c r="K2054" s="136">
        <f>Tabla3[[#This Row],[INGRESOS]]/Tabla3[[#This Row],[TC]]</f>
        <v>0</v>
      </c>
      <c r="L2054" s="8" t="s">
        <v>376</v>
      </c>
      <c r="M2054" s="8" t="s">
        <v>377</v>
      </c>
      <c r="N2054" s="8" t="s">
        <v>20</v>
      </c>
      <c r="O2054" s="8" t="s">
        <v>286</v>
      </c>
      <c r="P2054" s="8" t="s">
        <v>294</v>
      </c>
      <c r="Q2054" s="8" t="s">
        <v>303</v>
      </c>
      <c r="R2054" s="8"/>
      <c r="S2054" s="8" t="s">
        <v>689</v>
      </c>
      <c r="T2054" s="8"/>
      <c r="U2054" s="8" t="s">
        <v>690</v>
      </c>
      <c r="V2054" s="8"/>
      <c r="W2054" s="8" t="s">
        <v>475</v>
      </c>
      <c r="X2054" s="8" t="s">
        <v>99</v>
      </c>
      <c r="Y2054" s="8" t="s">
        <v>23</v>
      </c>
    </row>
    <row r="2055" spans="1:25" s="7" customFormat="1" hidden="1" x14ac:dyDescent="0.25">
      <c r="A2055" s="273" t="s">
        <v>319</v>
      </c>
      <c r="B2055" s="251">
        <v>45910</v>
      </c>
      <c r="C2055" s="252" t="s">
        <v>912</v>
      </c>
      <c r="D2055" s="252"/>
      <c r="E2055" s="253">
        <v>0</v>
      </c>
      <c r="F2055" s="253">
        <v>47800000</v>
      </c>
      <c r="G2055" s="274">
        <f>Tabla3[[#This Row],[INGRESOS]]-Tabla3[[#This Row],[EGRESOS]]</f>
        <v>47800000</v>
      </c>
      <c r="H2055" s="274">
        <v>-14538089.32</v>
      </c>
      <c r="I2055" s="135">
        <v>1410</v>
      </c>
      <c r="J2055" s="136">
        <f>Tabla3[[#This Row],[EGRESOS]]/Tabla3[[#This Row],[TC]]</f>
        <v>0</v>
      </c>
      <c r="K2055" s="136">
        <f>Tabla3[[#This Row],[INGRESOS]]/Tabla3[[#This Row],[TC]]</f>
        <v>33900.709219858159</v>
      </c>
      <c r="L2055" s="8" t="s">
        <v>376</v>
      </c>
      <c r="M2055" s="8" t="s">
        <v>377</v>
      </c>
      <c r="N2055" s="8" t="s">
        <v>20</v>
      </c>
      <c r="O2055" s="8" t="s">
        <v>244</v>
      </c>
      <c r="P2055" s="8" t="s">
        <v>259</v>
      </c>
      <c r="Q2055" s="8" t="s">
        <v>260</v>
      </c>
      <c r="R2055" s="8" t="s">
        <v>474</v>
      </c>
      <c r="S2055" s="8"/>
      <c r="T2055" s="8"/>
      <c r="U2055" s="8" t="s">
        <v>379</v>
      </c>
      <c r="V2055" s="8"/>
      <c r="W2055" s="8" t="s">
        <v>475</v>
      </c>
      <c r="X2055" s="8"/>
      <c r="Y2055" s="8"/>
    </row>
    <row r="2056" spans="1:25" s="7" customFormat="1" hidden="1" x14ac:dyDescent="0.25">
      <c r="A2056" s="273" t="s">
        <v>319</v>
      </c>
      <c r="B2056" s="251">
        <v>45910</v>
      </c>
      <c r="C2056" s="252" t="s">
        <v>810</v>
      </c>
      <c r="D2056" s="252"/>
      <c r="E2056" s="253">
        <v>0</v>
      </c>
      <c r="F2056" s="253">
        <v>15000000</v>
      </c>
      <c r="G2056" s="274">
        <f>Tabla3[[#This Row],[INGRESOS]]-Tabla3[[#This Row],[EGRESOS]]</f>
        <v>15000000</v>
      </c>
      <c r="H2056" s="274">
        <v>461910.68</v>
      </c>
      <c r="I2056" s="135">
        <v>1410</v>
      </c>
      <c r="J2056" s="136">
        <f>Tabla3[[#This Row],[EGRESOS]]/Tabla3[[#This Row],[TC]]</f>
        <v>0</v>
      </c>
      <c r="K2056" s="136">
        <f>Tabla3[[#This Row],[INGRESOS]]/Tabla3[[#This Row],[TC]]</f>
        <v>10638.297872340425</v>
      </c>
      <c r="L2056" s="8" t="s">
        <v>376</v>
      </c>
      <c r="M2056" s="8" t="s">
        <v>377</v>
      </c>
      <c r="N2056" s="8" t="s">
        <v>20</v>
      </c>
      <c r="O2056" s="8" t="s">
        <v>244</v>
      </c>
      <c r="P2056" s="8" t="s">
        <v>259</v>
      </c>
      <c r="Q2056" s="8" t="s">
        <v>260</v>
      </c>
      <c r="R2056" s="8" t="s">
        <v>447</v>
      </c>
      <c r="S2056" s="8"/>
      <c r="T2056" s="8"/>
      <c r="U2056" s="8" t="s">
        <v>379</v>
      </c>
      <c r="V2056" s="8"/>
      <c r="W2056" s="8" t="s">
        <v>475</v>
      </c>
      <c r="X2056" s="8"/>
      <c r="Y2056" s="8"/>
    </row>
    <row r="2057" spans="1:25" s="7" customFormat="1" hidden="1" x14ac:dyDescent="0.25">
      <c r="A2057" s="273" t="s">
        <v>319</v>
      </c>
      <c r="B2057" s="251">
        <v>45910</v>
      </c>
      <c r="C2057" s="252" t="s">
        <v>762</v>
      </c>
      <c r="D2057" s="252"/>
      <c r="E2057" s="253">
        <v>3276</v>
      </c>
      <c r="F2057" s="253">
        <v>0</v>
      </c>
      <c r="G2057" s="274">
        <f>Tabla3[[#This Row],[INGRESOS]]-Tabla3[[#This Row],[EGRESOS]]</f>
        <v>-3276</v>
      </c>
      <c r="H2057" s="274">
        <v>458634.68</v>
      </c>
      <c r="I2057" s="135">
        <v>1410</v>
      </c>
      <c r="J2057" s="136">
        <f>Tabla3[[#This Row],[EGRESOS]]/Tabla3[[#This Row],[TC]]</f>
        <v>2.323404255319149</v>
      </c>
      <c r="K2057" s="136">
        <f>Tabla3[[#This Row],[INGRESOS]]/Tabla3[[#This Row],[TC]]</f>
        <v>0</v>
      </c>
      <c r="L2057" s="8" t="s">
        <v>376</v>
      </c>
      <c r="M2057" s="8" t="s">
        <v>377</v>
      </c>
      <c r="N2057" s="8" t="s">
        <v>20</v>
      </c>
      <c r="O2057" s="8" t="s">
        <v>184</v>
      </c>
      <c r="P2057" s="8" t="s">
        <v>195</v>
      </c>
      <c r="Q2057" s="8" t="s">
        <v>196</v>
      </c>
      <c r="R2057" s="8" t="s">
        <v>382</v>
      </c>
      <c r="S2057" s="8"/>
      <c r="T2057" s="8"/>
      <c r="U2057" s="8" t="s">
        <v>384</v>
      </c>
      <c r="V2057" s="8"/>
      <c r="W2057" s="8" t="s">
        <v>475</v>
      </c>
      <c r="X2057" s="8" t="s">
        <v>99</v>
      </c>
      <c r="Y2057" s="8" t="s">
        <v>23</v>
      </c>
    </row>
    <row r="2058" spans="1:25" s="7" customFormat="1" hidden="1" x14ac:dyDescent="0.25">
      <c r="A2058" s="273" t="s">
        <v>319</v>
      </c>
      <c r="B2058" s="251">
        <v>45910</v>
      </c>
      <c r="C2058" s="252" t="s">
        <v>763</v>
      </c>
      <c r="D2058" s="252"/>
      <c r="E2058" s="253">
        <v>468</v>
      </c>
      <c r="F2058" s="253">
        <v>0</v>
      </c>
      <c r="G2058" s="274">
        <f>Tabla3[[#This Row],[INGRESOS]]-Tabla3[[#This Row],[EGRESOS]]</f>
        <v>-468</v>
      </c>
      <c r="H2058" s="274">
        <v>458166.68</v>
      </c>
      <c r="I2058" s="135">
        <v>1410</v>
      </c>
      <c r="J2058" s="136">
        <f>Tabla3[[#This Row],[EGRESOS]]/Tabla3[[#This Row],[TC]]</f>
        <v>0.33191489361702126</v>
      </c>
      <c r="K2058" s="136">
        <f>Tabla3[[#This Row],[INGRESOS]]/Tabla3[[#This Row],[TC]]</f>
        <v>0</v>
      </c>
      <c r="L2058" s="8" t="s">
        <v>376</v>
      </c>
      <c r="M2058" s="8" t="s">
        <v>377</v>
      </c>
      <c r="N2058" s="8" t="s">
        <v>20</v>
      </c>
      <c r="O2058" s="8" t="s">
        <v>184</v>
      </c>
      <c r="P2058" s="8" t="s">
        <v>195</v>
      </c>
      <c r="Q2058" s="8" t="s">
        <v>196</v>
      </c>
      <c r="R2058" s="8" t="s">
        <v>417</v>
      </c>
      <c r="S2058" s="8" t="s">
        <v>383</v>
      </c>
      <c r="T2058" s="8"/>
      <c r="U2058" s="8" t="s">
        <v>384</v>
      </c>
      <c r="V2058" s="8"/>
      <c r="W2058" s="8" t="s">
        <v>380</v>
      </c>
      <c r="X2058" s="8" t="s">
        <v>99</v>
      </c>
      <c r="Y2058" s="8" t="s">
        <v>23</v>
      </c>
    </row>
    <row r="2059" spans="1:25" s="7" customFormat="1" hidden="1" x14ac:dyDescent="0.25">
      <c r="A2059" s="273" t="s">
        <v>319</v>
      </c>
      <c r="B2059" s="251">
        <v>45910</v>
      </c>
      <c r="C2059" s="252" t="s">
        <v>794</v>
      </c>
      <c r="D2059" s="252"/>
      <c r="E2059" s="253">
        <v>15600</v>
      </c>
      <c r="F2059" s="253">
        <v>0</v>
      </c>
      <c r="G2059" s="274">
        <f>Tabla3[[#This Row],[INGRESOS]]-Tabla3[[#This Row],[EGRESOS]]</f>
        <v>-15600</v>
      </c>
      <c r="H2059" s="274">
        <v>442566.68</v>
      </c>
      <c r="I2059" s="135">
        <v>1410</v>
      </c>
      <c r="J2059" s="136">
        <f>Tabla3[[#This Row],[EGRESOS]]/Tabla3[[#This Row],[TC]]</f>
        <v>11.063829787234043</v>
      </c>
      <c r="K2059" s="136">
        <f>Tabla3[[#This Row],[INGRESOS]]/Tabla3[[#This Row],[TC]]</f>
        <v>0</v>
      </c>
      <c r="L2059" s="8" t="s">
        <v>376</v>
      </c>
      <c r="M2059" s="8" t="s">
        <v>377</v>
      </c>
      <c r="N2059" s="8" t="s">
        <v>20</v>
      </c>
      <c r="O2059" s="8" t="s">
        <v>184</v>
      </c>
      <c r="P2059" s="8" t="s">
        <v>185</v>
      </c>
      <c r="Q2059" s="8" t="s">
        <v>186</v>
      </c>
      <c r="R2059" s="8"/>
      <c r="S2059" s="8"/>
      <c r="T2059" s="8"/>
      <c r="U2059" s="8" t="s">
        <v>384</v>
      </c>
      <c r="V2059" s="8"/>
      <c r="W2059" s="8" t="s">
        <v>475</v>
      </c>
      <c r="X2059" s="8" t="s">
        <v>99</v>
      </c>
      <c r="Y2059" s="8" t="s">
        <v>23</v>
      </c>
    </row>
    <row r="2060" spans="1:25" s="7" customFormat="1" hidden="1" x14ac:dyDescent="0.25">
      <c r="A2060" s="273" t="s">
        <v>319</v>
      </c>
      <c r="B2060" s="251">
        <v>45910</v>
      </c>
      <c r="C2060" s="252" t="s">
        <v>773</v>
      </c>
      <c r="D2060" s="252"/>
      <c r="E2060" s="253">
        <v>339152.23</v>
      </c>
      <c r="F2060" s="253">
        <v>0</v>
      </c>
      <c r="G2060" s="274">
        <f>Tabla3[[#This Row],[INGRESOS]]-Tabla3[[#This Row],[EGRESOS]]</f>
        <v>-339152.23</v>
      </c>
      <c r="H2060" s="274">
        <v>103414.45</v>
      </c>
      <c r="I2060" s="135">
        <v>1410</v>
      </c>
      <c r="J2060" s="136">
        <f>Tabla3[[#This Row],[EGRESOS]]/Tabla3[[#This Row],[TC]]</f>
        <v>240.53349645390068</v>
      </c>
      <c r="K2060" s="136">
        <f>Tabla3[[#This Row],[INGRESOS]]/Tabla3[[#This Row],[TC]]</f>
        <v>0</v>
      </c>
      <c r="L2060" s="8" t="s">
        <v>376</v>
      </c>
      <c r="M2060" s="8" t="s">
        <v>377</v>
      </c>
      <c r="N2060" s="8" t="s">
        <v>20</v>
      </c>
      <c r="O2060" s="8" t="s">
        <v>184</v>
      </c>
      <c r="P2060" s="8" t="s">
        <v>195</v>
      </c>
      <c r="Q2060" s="8" t="s">
        <v>196</v>
      </c>
      <c r="R2060" s="8" t="s">
        <v>394</v>
      </c>
      <c r="S2060" s="8"/>
      <c r="T2060" s="8"/>
      <c r="U2060" s="8" t="s">
        <v>384</v>
      </c>
      <c r="V2060" s="8"/>
      <c r="W2060" s="8" t="s">
        <v>475</v>
      </c>
      <c r="X2060" s="8" t="s">
        <v>99</v>
      </c>
      <c r="Y2060" s="8" t="s">
        <v>23</v>
      </c>
    </row>
    <row r="2061" spans="1:25" s="7" customFormat="1" hidden="1" x14ac:dyDescent="0.25">
      <c r="A2061" s="273" t="s">
        <v>319</v>
      </c>
      <c r="B2061" s="251">
        <v>45916</v>
      </c>
      <c r="C2061" s="252" t="s">
        <v>782</v>
      </c>
      <c r="D2061" s="252" t="s">
        <v>1206</v>
      </c>
      <c r="E2061" s="253">
        <v>1055045</v>
      </c>
      <c r="F2061" s="253">
        <v>0</v>
      </c>
      <c r="G2061" s="274">
        <f>Tabla3[[#This Row],[INGRESOS]]-Tabla3[[#This Row],[EGRESOS]]</f>
        <v>-1055045</v>
      </c>
      <c r="H2061" s="274">
        <v>-951630.55</v>
      </c>
      <c r="I2061" s="135">
        <v>1410</v>
      </c>
      <c r="J2061" s="136">
        <f>Tabla3[[#This Row],[EGRESOS]]/Tabla3[[#This Row],[TC]]</f>
        <v>748.25886524822693</v>
      </c>
      <c r="K2061" s="136">
        <f>Tabla3[[#This Row],[INGRESOS]]/Tabla3[[#This Row],[TC]]</f>
        <v>0</v>
      </c>
      <c r="L2061" s="8" t="s">
        <v>376</v>
      </c>
      <c r="M2061" s="8" t="s">
        <v>377</v>
      </c>
      <c r="N2061" s="8" t="s">
        <v>20</v>
      </c>
      <c r="O2061" s="8" t="s">
        <v>286</v>
      </c>
      <c r="P2061" s="8" t="s">
        <v>287</v>
      </c>
      <c r="Q2061" s="8" t="s">
        <v>289</v>
      </c>
      <c r="R2061" s="8"/>
      <c r="S2061" s="8" t="s">
        <v>653</v>
      </c>
      <c r="T2061" s="8" t="s">
        <v>1207</v>
      </c>
      <c r="U2061" s="8" t="s">
        <v>412</v>
      </c>
      <c r="V2061" s="8"/>
      <c r="W2061" s="8" t="s">
        <v>475</v>
      </c>
      <c r="X2061" s="8" t="s">
        <v>29</v>
      </c>
      <c r="Y2061" s="8" t="s">
        <v>23</v>
      </c>
    </row>
    <row r="2062" spans="1:25" s="7" customFormat="1" hidden="1" x14ac:dyDescent="0.25">
      <c r="A2062" s="273" t="s">
        <v>319</v>
      </c>
      <c r="B2062" s="251">
        <v>45916</v>
      </c>
      <c r="C2062" s="252" t="s">
        <v>782</v>
      </c>
      <c r="D2062" s="252" t="s">
        <v>1208</v>
      </c>
      <c r="E2062" s="253">
        <v>1046988</v>
      </c>
      <c r="F2062" s="253">
        <v>0</v>
      </c>
      <c r="G2062" s="274">
        <f>Tabla3[[#This Row],[INGRESOS]]-Tabla3[[#This Row],[EGRESOS]]</f>
        <v>-1046988</v>
      </c>
      <c r="H2062" s="274">
        <v>-1998618.55</v>
      </c>
      <c r="I2062" s="135">
        <v>1410</v>
      </c>
      <c r="J2062" s="136">
        <f>Tabla3[[#This Row],[EGRESOS]]/Tabla3[[#This Row],[TC]]</f>
        <v>742.54468085106384</v>
      </c>
      <c r="K2062" s="136">
        <f>Tabla3[[#This Row],[INGRESOS]]/Tabla3[[#This Row],[TC]]</f>
        <v>0</v>
      </c>
      <c r="L2062" s="8" t="s">
        <v>376</v>
      </c>
      <c r="M2062" s="8" t="s">
        <v>377</v>
      </c>
      <c r="N2062" s="8" t="s">
        <v>20</v>
      </c>
      <c r="O2062" s="8" t="s">
        <v>286</v>
      </c>
      <c r="P2062" s="8" t="s">
        <v>287</v>
      </c>
      <c r="Q2062" s="8" t="s">
        <v>291</v>
      </c>
      <c r="R2062" s="8" t="s">
        <v>143</v>
      </c>
      <c r="S2062" s="8" t="s">
        <v>676</v>
      </c>
      <c r="T2062" s="8"/>
      <c r="U2062" s="8" t="s">
        <v>412</v>
      </c>
      <c r="V2062" s="8"/>
      <c r="W2062" s="8" t="s">
        <v>475</v>
      </c>
      <c r="X2062" s="8" t="s">
        <v>29</v>
      </c>
      <c r="Y2062" s="8" t="s">
        <v>23</v>
      </c>
    </row>
    <row r="2063" spans="1:25" s="7" customFormat="1" hidden="1" x14ac:dyDescent="0.25">
      <c r="A2063" s="273" t="s">
        <v>319</v>
      </c>
      <c r="B2063" s="251">
        <v>45916</v>
      </c>
      <c r="C2063" s="252" t="s">
        <v>782</v>
      </c>
      <c r="D2063" s="252" t="s">
        <v>1209</v>
      </c>
      <c r="E2063" s="253">
        <v>1302662.3999999999</v>
      </c>
      <c r="F2063" s="253">
        <v>0</v>
      </c>
      <c r="G2063" s="274">
        <f>Tabla3[[#This Row],[INGRESOS]]-Tabla3[[#This Row],[EGRESOS]]</f>
        <v>-1302662.3999999999</v>
      </c>
      <c r="H2063" s="274">
        <v>-3301280.95</v>
      </c>
      <c r="I2063" s="135">
        <v>1410</v>
      </c>
      <c r="J2063" s="136">
        <f>Tabla3[[#This Row],[EGRESOS]]/Tabla3[[#This Row],[TC]]</f>
        <v>923.87404255319143</v>
      </c>
      <c r="K2063" s="136">
        <f>Tabla3[[#This Row],[INGRESOS]]/Tabla3[[#This Row],[TC]]</f>
        <v>0</v>
      </c>
      <c r="L2063" s="8" t="s">
        <v>376</v>
      </c>
      <c r="M2063" s="8" t="s">
        <v>377</v>
      </c>
      <c r="N2063" s="8" t="s">
        <v>20</v>
      </c>
      <c r="O2063" s="8" t="s">
        <v>215</v>
      </c>
      <c r="P2063" s="8" t="s">
        <v>216</v>
      </c>
      <c r="Q2063" s="8" t="s">
        <v>220</v>
      </c>
      <c r="R2063" s="8" t="s">
        <v>332</v>
      </c>
      <c r="S2063" s="8" t="s">
        <v>1029</v>
      </c>
      <c r="T2063" s="8" t="s">
        <v>1210</v>
      </c>
      <c r="U2063" s="8" t="s">
        <v>412</v>
      </c>
      <c r="V2063" s="8"/>
      <c r="W2063" s="8" t="s">
        <v>475</v>
      </c>
      <c r="X2063" s="8" t="s">
        <v>29</v>
      </c>
      <c r="Y2063" s="8" t="s">
        <v>23</v>
      </c>
    </row>
    <row r="2064" spans="1:25" s="7" customFormat="1" hidden="1" x14ac:dyDescent="0.25">
      <c r="A2064" s="273" t="s">
        <v>319</v>
      </c>
      <c r="B2064" s="251">
        <v>45916</v>
      </c>
      <c r="C2064" s="252" t="s">
        <v>1211</v>
      </c>
      <c r="D2064" s="252"/>
      <c r="E2064" s="253">
        <v>0</v>
      </c>
      <c r="F2064" s="253">
        <v>3400000</v>
      </c>
      <c r="G2064" s="274">
        <f>Tabla3[[#This Row],[INGRESOS]]-Tabla3[[#This Row],[EGRESOS]]</f>
        <v>3400000</v>
      </c>
      <c r="H2064" s="274">
        <v>98719.05</v>
      </c>
      <c r="I2064" s="135">
        <v>1410</v>
      </c>
      <c r="J2064" s="136">
        <f>Tabla3[[#This Row],[EGRESOS]]/Tabla3[[#This Row],[TC]]</f>
        <v>0</v>
      </c>
      <c r="K2064" s="136">
        <f>Tabla3[[#This Row],[INGRESOS]]/Tabla3[[#This Row],[TC]]</f>
        <v>2411.3475177304963</v>
      </c>
      <c r="L2064" s="8" t="s">
        <v>376</v>
      </c>
      <c r="M2064" s="8" t="s">
        <v>377</v>
      </c>
      <c r="N2064" s="8" t="s">
        <v>20</v>
      </c>
      <c r="O2064" s="8" t="s">
        <v>244</v>
      </c>
      <c r="P2064" s="8" t="s">
        <v>259</v>
      </c>
      <c r="Q2064" s="8" t="s">
        <v>260</v>
      </c>
      <c r="R2064" s="8" t="s">
        <v>554</v>
      </c>
      <c r="S2064" s="8"/>
      <c r="T2064" s="8"/>
      <c r="U2064" s="8" t="s">
        <v>379</v>
      </c>
      <c r="V2064" s="8"/>
      <c r="W2064" s="8" t="s">
        <v>475</v>
      </c>
      <c r="X2064" s="8"/>
      <c r="Y2064" s="8"/>
    </row>
    <row r="2065" spans="1:25" s="7" customFormat="1" hidden="1" x14ac:dyDescent="0.25">
      <c r="A2065" s="273" t="s">
        <v>319</v>
      </c>
      <c r="B2065" s="251">
        <v>45916</v>
      </c>
      <c r="C2065" s="252" t="s">
        <v>773</v>
      </c>
      <c r="D2065" s="252"/>
      <c r="E2065" s="253">
        <v>20428.169999999998</v>
      </c>
      <c r="F2065" s="253">
        <v>0</v>
      </c>
      <c r="G2065" s="274">
        <f>Tabla3[[#This Row],[INGRESOS]]-Tabla3[[#This Row],[EGRESOS]]</f>
        <v>-20428.169999999998</v>
      </c>
      <c r="H2065" s="274">
        <v>78290.880000000005</v>
      </c>
      <c r="I2065" s="135">
        <v>1410</v>
      </c>
      <c r="J2065" s="136">
        <f>Tabla3[[#This Row],[EGRESOS]]/Tabla3[[#This Row],[TC]]</f>
        <v>14.488063829787233</v>
      </c>
      <c r="K2065" s="136">
        <f>Tabla3[[#This Row],[INGRESOS]]/Tabla3[[#This Row],[TC]]</f>
        <v>0</v>
      </c>
      <c r="L2065" s="8" t="s">
        <v>376</v>
      </c>
      <c r="M2065" s="8" t="s">
        <v>377</v>
      </c>
      <c r="N2065" s="8" t="s">
        <v>20</v>
      </c>
      <c r="O2065" s="8" t="s">
        <v>184</v>
      </c>
      <c r="P2065" s="8" t="s">
        <v>195</v>
      </c>
      <c r="Q2065" s="8" t="s">
        <v>196</v>
      </c>
      <c r="R2065" s="8" t="s">
        <v>394</v>
      </c>
      <c r="S2065" s="8"/>
      <c r="T2065" s="8"/>
      <c r="U2065" s="8" t="s">
        <v>384</v>
      </c>
      <c r="V2065" s="8"/>
      <c r="W2065" s="8" t="s">
        <v>475</v>
      </c>
      <c r="X2065" s="8" t="s">
        <v>99</v>
      </c>
      <c r="Y2065" s="8" t="s">
        <v>23</v>
      </c>
    </row>
    <row r="2066" spans="1:25" s="7" customFormat="1" hidden="1" x14ac:dyDescent="0.25">
      <c r="A2066" s="273" t="s">
        <v>319</v>
      </c>
      <c r="B2066" s="251">
        <v>45917</v>
      </c>
      <c r="C2066" s="252" t="s">
        <v>782</v>
      </c>
      <c r="D2066" s="252" t="s">
        <v>1212</v>
      </c>
      <c r="E2066" s="253">
        <v>735000</v>
      </c>
      <c r="F2066" s="253">
        <v>0</v>
      </c>
      <c r="G2066" s="274">
        <f>Tabla3[[#This Row],[INGRESOS]]-Tabla3[[#This Row],[EGRESOS]]</f>
        <v>-735000</v>
      </c>
      <c r="H2066" s="274">
        <v>-656709.12</v>
      </c>
      <c r="I2066" s="135">
        <v>1410</v>
      </c>
      <c r="J2066" s="136">
        <f>Tabla3[[#This Row],[EGRESOS]]/Tabla3[[#This Row],[TC]]</f>
        <v>521.27659574468089</v>
      </c>
      <c r="K2066" s="136">
        <f>Tabla3[[#This Row],[INGRESOS]]/Tabla3[[#This Row],[TC]]</f>
        <v>0</v>
      </c>
      <c r="L2066" s="8" t="s">
        <v>376</v>
      </c>
      <c r="M2066" s="8" t="s">
        <v>377</v>
      </c>
      <c r="N2066" s="8" t="s">
        <v>20</v>
      </c>
      <c r="O2066" s="8" t="s">
        <v>286</v>
      </c>
      <c r="P2066" s="8" t="s">
        <v>287</v>
      </c>
      <c r="Q2066" s="8" t="s">
        <v>290</v>
      </c>
      <c r="R2066" s="8"/>
      <c r="S2066" s="8" t="s">
        <v>1017</v>
      </c>
      <c r="T2066" s="8"/>
      <c r="U2066" s="8" t="s">
        <v>690</v>
      </c>
      <c r="V2066" s="8"/>
      <c r="W2066" s="8" t="s">
        <v>475</v>
      </c>
      <c r="X2066" s="8" t="s">
        <v>99</v>
      </c>
      <c r="Y2066" s="8" t="s">
        <v>23</v>
      </c>
    </row>
    <row r="2067" spans="1:25" s="7" customFormat="1" hidden="1" x14ac:dyDescent="0.25">
      <c r="A2067" s="247" t="s">
        <v>319</v>
      </c>
      <c r="B2067" s="248">
        <v>45917</v>
      </c>
      <c r="C2067" s="244" t="s">
        <v>782</v>
      </c>
      <c r="D2067" s="244" t="s">
        <v>1213</v>
      </c>
      <c r="E2067" s="249">
        <v>1530461.33</v>
      </c>
      <c r="F2067" s="249">
        <v>0</v>
      </c>
      <c r="G2067" s="266">
        <f>Tabla3[[#This Row],[INGRESOS]]-Tabla3[[#This Row],[EGRESOS]]</f>
        <v>-1530461.33</v>
      </c>
      <c r="H2067" s="266">
        <v>-2187170.4500000002</v>
      </c>
      <c r="I2067" s="119">
        <v>1410</v>
      </c>
      <c r="J2067" s="99">
        <f>Tabla3[[#This Row],[EGRESOS]]/Tabla3[[#This Row],[TC]]</f>
        <v>1085.4335673758865</v>
      </c>
      <c r="K2067" s="99">
        <f>Tabla3[[#This Row],[INGRESOS]]/Tabla3[[#This Row],[TC]]</f>
        <v>0</v>
      </c>
      <c r="L2067" s="7" t="s">
        <v>376</v>
      </c>
      <c r="M2067" s="7" t="s">
        <v>377</v>
      </c>
      <c r="N2067" s="7" t="s">
        <v>20</v>
      </c>
      <c r="O2067" s="7" t="s">
        <v>225</v>
      </c>
      <c r="P2067" s="7" t="s">
        <v>226</v>
      </c>
      <c r="S2067" s="7" t="s">
        <v>808</v>
      </c>
      <c r="U2067" s="7" t="s">
        <v>412</v>
      </c>
      <c r="W2067" s="7" t="s">
        <v>475</v>
      </c>
      <c r="X2067" s="7" t="s">
        <v>50</v>
      </c>
      <c r="Y2067" s="7" t="s">
        <v>23</v>
      </c>
    </row>
    <row r="2068" spans="1:25" s="7" customFormat="1" hidden="1" x14ac:dyDescent="0.25">
      <c r="A2068" s="247" t="s">
        <v>319</v>
      </c>
      <c r="B2068" s="248">
        <v>45917</v>
      </c>
      <c r="C2068" s="244" t="s">
        <v>1214</v>
      </c>
      <c r="D2068" s="244"/>
      <c r="E2068" s="249">
        <v>0</v>
      </c>
      <c r="F2068" s="249">
        <v>1200000</v>
      </c>
      <c r="G2068" s="266">
        <f>Tabla3[[#This Row],[INGRESOS]]-Tabla3[[#This Row],[EGRESOS]]</f>
        <v>1200000</v>
      </c>
      <c r="H2068" s="266">
        <v>-987170.45</v>
      </c>
      <c r="I2068" s="119">
        <v>1410</v>
      </c>
      <c r="J2068" s="99">
        <f>Tabla3[[#This Row],[EGRESOS]]/Tabla3[[#This Row],[TC]]</f>
        <v>0</v>
      </c>
      <c r="K2068" s="99">
        <f>Tabla3[[#This Row],[INGRESOS]]/Tabla3[[#This Row],[TC]]</f>
        <v>851.063829787234</v>
      </c>
      <c r="L2068" s="7" t="s">
        <v>376</v>
      </c>
      <c r="M2068" s="7" t="s">
        <v>377</v>
      </c>
      <c r="N2068" s="7" t="s">
        <v>20</v>
      </c>
      <c r="O2068" s="7" t="s">
        <v>244</v>
      </c>
      <c r="P2068" s="7" t="s">
        <v>259</v>
      </c>
      <c r="Q2068" s="7" t="s">
        <v>260</v>
      </c>
      <c r="R2068" s="7" t="s">
        <v>554</v>
      </c>
      <c r="U2068" s="7" t="s">
        <v>379</v>
      </c>
      <c r="W2068" s="7" t="s">
        <v>475</v>
      </c>
    </row>
    <row r="2069" spans="1:25" s="7" customFormat="1" hidden="1" x14ac:dyDescent="0.25">
      <c r="A2069" s="273" t="s">
        <v>319</v>
      </c>
      <c r="B2069" s="251">
        <v>45918</v>
      </c>
      <c r="C2069" s="252" t="s">
        <v>477</v>
      </c>
      <c r="D2069" s="252"/>
      <c r="E2069" s="253">
        <v>160172</v>
      </c>
      <c r="F2069" s="253">
        <v>0</v>
      </c>
      <c r="G2069" s="274">
        <f>Tabla3[[#This Row],[INGRESOS]]-Tabla3[[#This Row],[EGRESOS]]</f>
        <v>-160172</v>
      </c>
      <c r="H2069" s="137">
        <f>Tabla3[[#This Row],[SALDO]]+H2068</f>
        <v>-1147342.45</v>
      </c>
      <c r="I2069" s="135">
        <v>1488</v>
      </c>
      <c r="J2069" s="136">
        <f>Tabla3[[#This Row],[EGRESOS]]/Tabla3[[#This Row],[TC]]</f>
        <v>107.64247311827957</v>
      </c>
      <c r="K2069" s="136">
        <f>Tabla3[[#This Row],[INGRESOS]]/Tabla3[[#This Row],[TC]]</f>
        <v>0</v>
      </c>
      <c r="L2069" s="8" t="s">
        <v>376</v>
      </c>
      <c r="M2069" s="8" t="s">
        <v>377</v>
      </c>
      <c r="N2069" s="8" t="s">
        <v>25</v>
      </c>
      <c r="O2069" s="8" t="s">
        <v>184</v>
      </c>
      <c r="P2069" s="8" t="s">
        <v>203</v>
      </c>
      <c r="Q2069" s="8" t="s">
        <v>208</v>
      </c>
      <c r="R2069" s="8" t="s">
        <v>401</v>
      </c>
      <c r="S2069" s="8" t="s">
        <v>386</v>
      </c>
      <c r="T2069" s="8"/>
      <c r="U2069" s="8" t="s">
        <v>387</v>
      </c>
      <c r="V2069" s="8" t="s">
        <v>386</v>
      </c>
      <c r="W2069" s="8" t="s">
        <v>380</v>
      </c>
      <c r="X2069" s="8" t="s">
        <v>104</v>
      </c>
      <c r="Y2069" s="8" t="s">
        <v>23</v>
      </c>
    </row>
    <row r="2070" spans="1:25" s="7" customFormat="1" hidden="1" x14ac:dyDescent="0.25">
      <c r="A2070" s="247" t="s">
        <v>319</v>
      </c>
      <c r="B2070" s="248">
        <v>45917</v>
      </c>
      <c r="C2070" s="244" t="s">
        <v>828</v>
      </c>
      <c r="D2070" s="244"/>
      <c r="E2070" s="249">
        <v>121</v>
      </c>
      <c r="F2070" s="249">
        <v>0</v>
      </c>
      <c r="G2070" s="266">
        <f>Tabla3[[#This Row],[INGRESOS]]-Tabla3[[#This Row],[EGRESOS]]</f>
        <v>-121</v>
      </c>
      <c r="H2070" s="266">
        <v>-2187291.4500000002</v>
      </c>
      <c r="I2070" s="119">
        <v>1410</v>
      </c>
      <c r="J2070" s="99">
        <f>Tabla3[[#This Row],[EGRESOS]]/Tabla3[[#This Row],[TC]]</f>
        <v>8.5815602836879432E-2</v>
      </c>
      <c r="K2070" s="99">
        <f>Tabla3[[#This Row],[INGRESOS]]/Tabla3[[#This Row],[TC]]</f>
        <v>0</v>
      </c>
      <c r="L2070" s="7" t="s">
        <v>376</v>
      </c>
      <c r="M2070" s="7" t="s">
        <v>377</v>
      </c>
      <c r="N2070" s="7" t="s">
        <v>20</v>
      </c>
      <c r="O2070" s="7" t="s">
        <v>184</v>
      </c>
      <c r="P2070" s="7" t="s">
        <v>185</v>
      </c>
      <c r="Q2070" s="7" t="s">
        <v>186</v>
      </c>
      <c r="U2070" s="7" t="s">
        <v>384</v>
      </c>
      <c r="W2070" s="7" t="s">
        <v>475</v>
      </c>
      <c r="X2070" s="7" t="s">
        <v>99</v>
      </c>
      <c r="Y2070" s="7" t="s">
        <v>23</v>
      </c>
    </row>
    <row r="2071" spans="1:25" s="7" customFormat="1" hidden="1" x14ac:dyDescent="0.25">
      <c r="A2071" s="247" t="s">
        <v>319</v>
      </c>
      <c r="B2071" s="248">
        <v>45917</v>
      </c>
      <c r="C2071" s="244" t="s">
        <v>773</v>
      </c>
      <c r="D2071" s="244"/>
      <c r="E2071" s="249">
        <v>20793.5</v>
      </c>
      <c r="F2071" s="249">
        <v>0</v>
      </c>
      <c r="G2071" s="266">
        <f>Tabla3[[#This Row],[INGRESOS]]-Tabla3[[#This Row],[EGRESOS]]</f>
        <v>-20793.5</v>
      </c>
      <c r="H2071" s="266">
        <v>-2208084.9500000002</v>
      </c>
      <c r="I2071" s="119">
        <v>1410</v>
      </c>
      <c r="J2071" s="99">
        <f>Tabla3[[#This Row],[EGRESOS]]/Tabla3[[#This Row],[TC]]</f>
        <v>14.747163120567375</v>
      </c>
      <c r="K2071" s="99">
        <f>Tabla3[[#This Row],[INGRESOS]]/Tabla3[[#This Row],[TC]]</f>
        <v>0</v>
      </c>
      <c r="L2071" s="7" t="s">
        <v>376</v>
      </c>
      <c r="M2071" s="7" t="s">
        <v>377</v>
      </c>
      <c r="N2071" s="7" t="s">
        <v>20</v>
      </c>
      <c r="O2071" s="7" t="s">
        <v>184</v>
      </c>
      <c r="P2071" s="7" t="s">
        <v>195</v>
      </c>
      <c r="Q2071" s="7" t="s">
        <v>196</v>
      </c>
      <c r="R2071" s="7" t="s">
        <v>394</v>
      </c>
      <c r="U2071" s="7" t="s">
        <v>384</v>
      </c>
      <c r="W2071" s="7" t="s">
        <v>475</v>
      </c>
      <c r="X2071" s="7" t="s">
        <v>99</v>
      </c>
      <c r="Y2071" s="7" t="s">
        <v>23</v>
      </c>
    </row>
    <row r="2072" spans="1:25" s="7" customFormat="1" hidden="1" x14ac:dyDescent="0.25">
      <c r="A2072" s="273" t="s">
        <v>319</v>
      </c>
      <c r="B2072" s="251">
        <v>45918</v>
      </c>
      <c r="C2072" s="252" t="s">
        <v>782</v>
      </c>
      <c r="D2072" s="252" t="s">
        <v>1215</v>
      </c>
      <c r="E2072" s="253">
        <v>415000</v>
      </c>
      <c r="F2072" s="253">
        <v>0</v>
      </c>
      <c r="G2072" s="274">
        <f>Tabla3[[#This Row],[INGRESOS]]-Tabla3[[#This Row],[EGRESOS]]</f>
        <v>-415000</v>
      </c>
      <c r="H2072" s="274">
        <v>-2623084.9500000002</v>
      </c>
      <c r="I2072" s="135">
        <v>1410</v>
      </c>
      <c r="J2072" s="136">
        <f>Tabla3[[#This Row],[EGRESOS]]/Tabla3[[#This Row],[TC]]</f>
        <v>294.3262411347518</v>
      </c>
      <c r="K2072" s="136">
        <f>Tabla3[[#This Row],[INGRESOS]]/Tabla3[[#This Row],[TC]]</f>
        <v>0</v>
      </c>
      <c r="L2072" s="8" t="s">
        <v>376</v>
      </c>
      <c r="M2072" s="8" t="s">
        <v>377</v>
      </c>
      <c r="N2072" s="8" t="s">
        <v>20</v>
      </c>
      <c r="O2072" s="8" t="s">
        <v>225</v>
      </c>
      <c r="P2072" s="8" t="s">
        <v>226</v>
      </c>
      <c r="Q2072" s="8" t="s">
        <v>228</v>
      </c>
      <c r="R2072" s="8"/>
      <c r="S2072" s="8" t="s">
        <v>1216</v>
      </c>
      <c r="T2072" s="8"/>
      <c r="U2072" s="8" t="s">
        <v>412</v>
      </c>
      <c r="V2072" s="8"/>
      <c r="W2072" s="8" t="s">
        <v>475</v>
      </c>
      <c r="X2072" s="8" t="s">
        <v>29</v>
      </c>
      <c r="Y2072" s="8" t="s">
        <v>23</v>
      </c>
    </row>
    <row r="2073" spans="1:25" s="7" customFormat="1" hidden="1" x14ac:dyDescent="0.25">
      <c r="A2073" s="273" t="s">
        <v>319</v>
      </c>
      <c r="B2073" s="251">
        <v>45918</v>
      </c>
      <c r="C2073" s="252" t="s">
        <v>800</v>
      </c>
      <c r="D2073" s="252"/>
      <c r="E2073" s="253">
        <v>581000</v>
      </c>
      <c r="F2073" s="253">
        <v>0</v>
      </c>
      <c r="G2073" s="274">
        <f>Tabla3[[#This Row],[INGRESOS]]-Tabla3[[#This Row],[EGRESOS]]</f>
        <v>-581000</v>
      </c>
      <c r="H2073" s="274">
        <v>-3204084.95</v>
      </c>
      <c r="I2073" s="135">
        <v>1410</v>
      </c>
      <c r="J2073" s="136">
        <f>Tabla3[[#This Row],[EGRESOS]]/Tabla3[[#This Row],[TC]]</f>
        <v>412.05673758865248</v>
      </c>
      <c r="K2073" s="136">
        <f>Tabla3[[#This Row],[INGRESOS]]/Tabla3[[#This Row],[TC]]</f>
        <v>0</v>
      </c>
      <c r="L2073" s="8" t="s">
        <v>376</v>
      </c>
      <c r="M2073" s="8" t="s">
        <v>377</v>
      </c>
      <c r="N2073" s="8" t="s">
        <v>20</v>
      </c>
      <c r="O2073" s="8" t="s">
        <v>184</v>
      </c>
      <c r="P2073" s="8" t="s">
        <v>203</v>
      </c>
      <c r="Q2073" s="8" t="s">
        <v>208</v>
      </c>
      <c r="R2073" s="8" t="s">
        <v>188</v>
      </c>
      <c r="S2073" s="8" t="s">
        <v>386</v>
      </c>
      <c r="T2073" s="8"/>
      <c r="U2073" s="8" t="s">
        <v>387</v>
      </c>
      <c r="V2073" s="8" t="s">
        <v>386</v>
      </c>
      <c r="W2073" s="8" t="s">
        <v>475</v>
      </c>
      <c r="X2073" s="8" t="s">
        <v>104</v>
      </c>
      <c r="Y2073" s="8" t="s">
        <v>23</v>
      </c>
    </row>
    <row r="2074" spans="1:25" s="7" customFormat="1" hidden="1" x14ac:dyDescent="0.25">
      <c r="A2074" s="273" t="s">
        <v>319</v>
      </c>
      <c r="B2074" s="251">
        <v>45918</v>
      </c>
      <c r="C2074" s="252" t="s">
        <v>828</v>
      </c>
      <c r="D2074" s="252"/>
      <c r="E2074" s="253">
        <v>121</v>
      </c>
      <c r="F2074" s="253">
        <v>0</v>
      </c>
      <c r="G2074" s="274">
        <f>Tabla3[[#This Row],[INGRESOS]]-Tabla3[[#This Row],[EGRESOS]]</f>
        <v>-121</v>
      </c>
      <c r="H2074" s="274">
        <v>-3204205.95</v>
      </c>
      <c r="I2074" s="135">
        <v>1410</v>
      </c>
      <c r="J2074" s="136">
        <f>Tabla3[[#This Row],[EGRESOS]]/Tabla3[[#This Row],[TC]]</f>
        <v>8.5815602836879432E-2</v>
      </c>
      <c r="K2074" s="136">
        <f>Tabla3[[#This Row],[INGRESOS]]/Tabla3[[#This Row],[TC]]</f>
        <v>0</v>
      </c>
      <c r="L2074" s="8" t="s">
        <v>376</v>
      </c>
      <c r="M2074" s="8" t="s">
        <v>377</v>
      </c>
      <c r="N2074" s="8" t="s">
        <v>20</v>
      </c>
      <c r="O2074" s="8" t="s">
        <v>184</v>
      </c>
      <c r="P2074" s="8" t="s">
        <v>185</v>
      </c>
      <c r="Q2074" s="8" t="s">
        <v>186</v>
      </c>
      <c r="R2074" s="8"/>
      <c r="S2074" s="8"/>
      <c r="T2074" s="8"/>
      <c r="U2074" s="8" t="s">
        <v>384</v>
      </c>
      <c r="V2074" s="8"/>
      <c r="W2074" s="8" t="s">
        <v>475</v>
      </c>
      <c r="X2074" s="8" t="s">
        <v>99</v>
      </c>
      <c r="Y2074" s="8" t="s">
        <v>23</v>
      </c>
    </row>
    <row r="2075" spans="1:25" s="7" customFormat="1" hidden="1" x14ac:dyDescent="0.25">
      <c r="A2075" s="273" t="s">
        <v>319</v>
      </c>
      <c r="B2075" s="251">
        <v>45918</v>
      </c>
      <c r="C2075" s="252" t="s">
        <v>800</v>
      </c>
      <c r="D2075" s="252"/>
      <c r="E2075" s="253">
        <v>55000</v>
      </c>
      <c r="F2075" s="253">
        <v>0</v>
      </c>
      <c r="G2075" s="274">
        <f>Tabla3[[#This Row],[INGRESOS]]-Tabla3[[#This Row],[EGRESOS]]</f>
        <v>-55000</v>
      </c>
      <c r="H2075" s="274">
        <v>-3259205.95</v>
      </c>
      <c r="I2075" s="135">
        <v>1410</v>
      </c>
      <c r="J2075" s="136">
        <f>Tabla3[[#This Row],[EGRESOS]]/Tabla3[[#This Row],[TC]]</f>
        <v>39.00709219858156</v>
      </c>
      <c r="K2075" s="136">
        <f>Tabla3[[#This Row],[INGRESOS]]/Tabla3[[#This Row],[TC]]</f>
        <v>0</v>
      </c>
      <c r="L2075" s="8" t="s">
        <v>376</v>
      </c>
      <c r="M2075" s="8" t="s">
        <v>377</v>
      </c>
      <c r="N2075" s="8" t="s">
        <v>20</v>
      </c>
      <c r="O2075" s="8" t="s">
        <v>184</v>
      </c>
      <c r="P2075" s="8" t="s">
        <v>203</v>
      </c>
      <c r="Q2075" s="8" t="s">
        <v>208</v>
      </c>
      <c r="R2075" s="8"/>
      <c r="S2075" s="8" t="s">
        <v>414</v>
      </c>
      <c r="T2075" s="8"/>
      <c r="U2075" s="8" t="s">
        <v>530</v>
      </c>
      <c r="V2075" s="8" t="s">
        <v>415</v>
      </c>
      <c r="W2075" s="8" t="s">
        <v>380</v>
      </c>
      <c r="X2075" s="8" t="s">
        <v>102</v>
      </c>
      <c r="Y2075" s="8" t="s">
        <v>23</v>
      </c>
    </row>
    <row r="2076" spans="1:25" s="7" customFormat="1" hidden="1" x14ac:dyDescent="0.25">
      <c r="A2076" s="273" t="s">
        <v>319</v>
      </c>
      <c r="B2076" s="251">
        <v>45918</v>
      </c>
      <c r="C2076" s="252" t="s">
        <v>773</v>
      </c>
      <c r="D2076" s="252"/>
      <c r="E2076" s="253">
        <v>6306.73</v>
      </c>
      <c r="F2076" s="253">
        <v>0</v>
      </c>
      <c r="G2076" s="274">
        <f>Tabla3[[#This Row],[INGRESOS]]-Tabla3[[#This Row],[EGRESOS]]</f>
        <v>-6306.73</v>
      </c>
      <c r="H2076" s="274">
        <v>-3265512.68</v>
      </c>
      <c r="I2076" s="135">
        <v>1410</v>
      </c>
      <c r="J2076" s="136">
        <f>Tabla3[[#This Row],[EGRESOS]]/Tabla3[[#This Row],[TC]]</f>
        <v>4.4728581560283684</v>
      </c>
      <c r="K2076" s="136">
        <f>Tabla3[[#This Row],[INGRESOS]]/Tabla3[[#This Row],[TC]]</f>
        <v>0</v>
      </c>
      <c r="L2076" s="8" t="s">
        <v>376</v>
      </c>
      <c r="M2076" s="8" t="s">
        <v>377</v>
      </c>
      <c r="N2076" s="8" t="s">
        <v>20</v>
      </c>
      <c r="O2076" s="8" t="s">
        <v>184</v>
      </c>
      <c r="P2076" s="8" t="s">
        <v>195</v>
      </c>
      <c r="Q2076" s="8" t="s">
        <v>196</v>
      </c>
      <c r="R2076" s="8" t="s">
        <v>394</v>
      </c>
      <c r="S2076" s="8"/>
      <c r="T2076" s="8"/>
      <c r="U2076" s="8" t="s">
        <v>384</v>
      </c>
      <c r="V2076" s="8"/>
      <c r="W2076" s="8" t="s">
        <v>475</v>
      </c>
      <c r="X2076" s="8" t="s">
        <v>99</v>
      </c>
      <c r="Y2076" s="8" t="s">
        <v>23</v>
      </c>
    </row>
    <row r="2077" spans="1:25" s="7" customFormat="1" hidden="1" x14ac:dyDescent="0.25">
      <c r="A2077" s="273" t="s">
        <v>319</v>
      </c>
      <c r="B2077" s="251">
        <v>45919</v>
      </c>
      <c r="C2077" s="252" t="s">
        <v>800</v>
      </c>
      <c r="D2077" s="252"/>
      <c r="E2077" s="253">
        <v>555000</v>
      </c>
      <c r="F2077" s="253">
        <v>0</v>
      </c>
      <c r="G2077" s="274">
        <f>Tabla3[[#This Row],[INGRESOS]]-Tabla3[[#This Row],[EGRESOS]]</f>
        <v>-555000</v>
      </c>
      <c r="H2077" s="274">
        <v>-4820512.68</v>
      </c>
      <c r="I2077" s="135">
        <v>1410</v>
      </c>
      <c r="J2077" s="136">
        <f>Tabla3[[#This Row],[EGRESOS]]/Tabla3[[#This Row],[TC]]</f>
        <v>393.61702127659572</v>
      </c>
      <c r="K2077" s="136">
        <f>Tabla3[[#This Row],[INGRESOS]]/Tabla3[[#This Row],[TC]]</f>
        <v>0</v>
      </c>
      <c r="L2077" s="8" t="s">
        <v>376</v>
      </c>
      <c r="M2077" s="8" t="s">
        <v>377</v>
      </c>
      <c r="N2077" s="8" t="s">
        <v>20</v>
      </c>
      <c r="O2077" s="8" t="s">
        <v>184</v>
      </c>
      <c r="P2077" s="8" t="s">
        <v>199</v>
      </c>
      <c r="Q2077" s="8" t="s">
        <v>200</v>
      </c>
      <c r="R2077" s="8"/>
      <c r="S2077" s="8" t="s">
        <v>470</v>
      </c>
      <c r="T2077" s="8"/>
      <c r="U2077" s="8" t="s">
        <v>390</v>
      </c>
      <c r="V2077" s="8"/>
      <c r="W2077" s="8" t="s">
        <v>380</v>
      </c>
      <c r="X2077" s="8" t="s">
        <v>99</v>
      </c>
      <c r="Y2077" s="8" t="s">
        <v>23</v>
      </c>
    </row>
    <row r="2078" spans="1:25" s="7" customFormat="1" hidden="1" x14ac:dyDescent="0.25">
      <c r="A2078" s="273" t="s">
        <v>319</v>
      </c>
      <c r="B2078" s="251">
        <v>45919</v>
      </c>
      <c r="C2078" s="252" t="s">
        <v>800</v>
      </c>
      <c r="D2078" s="252"/>
      <c r="E2078" s="253">
        <v>1000000</v>
      </c>
      <c r="F2078" s="253">
        <v>0</v>
      </c>
      <c r="G2078" s="274">
        <f>Tabla3[[#This Row],[INGRESOS]]-Tabla3[[#This Row],[EGRESOS]]</f>
        <v>-1000000</v>
      </c>
      <c r="H2078" s="274">
        <v>-4820512.68</v>
      </c>
      <c r="I2078" s="135">
        <v>1410</v>
      </c>
      <c r="J2078" s="136">
        <f>Tabla3[[#This Row],[EGRESOS]]/Tabla3[[#This Row],[TC]]</f>
        <v>709.21985815602841</v>
      </c>
      <c r="K2078" s="136">
        <f>Tabla3[[#This Row],[INGRESOS]]/Tabla3[[#This Row],[TC]]</f>
        <v>0</v>
      </c>
      <c r="L2078" s="8" t="s">
        <v>376</v>
      </c>
      <c r="M2078" s="8" t="s">
        <v>377</v>
      </c>
      <c r="N2078" s="8" t="s">
        <v>20</v>
      </c>
      <c r="O2078" s="8" t="s">
        <v>184</v>
      </c>
      <c r="P2078" s="8" t="s">
        <v>210</v>
      </c>
      <c r="Q2078" s="8" t="s">
        <v>212</v>
      </c>
      <c r="R2078" s="8"/>
      <c r="S2078" s="8" t="s">
        <v>524</v>
      </c>
      <c r="T2078" s="8"/>
      <c r="U2078" s="8" t="s">
        <v>453</v>
      </c>
      <c r="V2078" s="8"/>
      <c r="W2078" s="8" t="s">
        <v>380</v>
      </c>
      <c r="X2078" s="8" t="s">
        <v>39</v>
      </c>
      <c r="Y2078" s="8" t="s">
        <v>23</v>
      </c>
    </row>
    <row r="2079" spans="1:25" s="7" customFormat="1" hidden="1" x14ac:dyDescent="0.25">
      <c r="A2079" s="273" t="s">
        <v>319</v>
      </c>
      <c r="B2079" s="251">
        <v>45919</v>
      </c>
      <c r="C2079" s="252" t="s">
        <v>828</v>
      </c>
      <c r="D2079" s="252"/>
      <c r="E2079" s="253">
        <v>121</v>
      </c>
      <c r="F2079" s="253">
        <v>0</v>
      </c>
      <c r="G2079" s="274">
        <f>Tabla3[[#This Row],[INGRESOS]]-Tabla3[[#This Row],[EGRESOS]]</f>
        <v>-121</v>
      </c>
      <c r="H2079" s="274">
        <v>-4820633.68</v>
      </c>
      <c r="I2079" s="135">
        <v>1410</v>
      </c>
      <c r="J2079" s="136">
        <f>Tabla3[[#This Row],[EGRESOS]]/Tabla3[[#This Row],[TC]]</f>
        <v>8.5815602836879432E-2</v>
      </c>
      <c r="K2079" s="136">
        <f>Tabla3[[#This Row],[INGRESOS]]/Tabla3[[#This Row],[TC]]</f>
        <v>0</v>
      </c>
      <c r="L2079" s="8" t="s">
        <v>376</v>
      </c>
      <c r="M2079" s="8" t="s">
        <v>377</v>
      </c>
      <c r="N2079" s="8" t="s">
        <v>20</v>
      </c>
      <c r="O2079" s="8" t="s">
        <v>184</v>
      </c>
      <c r="P2079" s="8" t="s">
        <v>185</v>
      </c>
      <c r="Q2079" s="8" t="s">
        <v>186</v>
      </c>
      <c r="R2079" s="8"/>
      <c r="S2079" s="8"/>
      <c r="T2079" s="8"/>
      <c r="U2079" s="8" t="s">
        <v>384</v>
      </c>
      <c r="V2079" s="8"/>
      <c r="W2079" s="8" t="s">
        <v>475</v>
      </c>
      <c r="X2079" s="8" t="s">
        <v>99</v>
      </c>
      <c r="Y2079" s="8" t="s">
        <v>23</v>
      </c>
    </row>
    <row r="2080" spans="1:25" s="7" customFormat="1" hidden="1" x14ac:dyDescent="0.25">
      <c r="A2080" s="273" t="s">
        <v>319</v>
      </c>
      <c r="B2080" s="251">
        <v>45919</v>
      </c>
      <c r="C2080" s="252" t="s">
        <v>800</v>
      </c>
      <c r="D2080" s="252"/>
      <c r="E2080" s="253">
        <v>500000</v>
      </c>
      <c r="F2080" s="253">
        <v>0</v>
      </c>
      <c r="G2080" s="274">
        <f>Tabla3[[#This Row],[INGRESOS]]-Tabla3[[#This Row],[EGRESOS]]</f>
        <v>-500000</v>
      </c>
      <c r="H2080" s="274">
        <v>-5320633.68</v>
      </c>
      <c r="I2080" s="135">
        <v>1410</v>
      </c>
      <c r="J2080" s="136">
        <f>Tabla3[[#This Row],[EGRESOS]]/Tabla3[[#This Row],[TC]]</f>
        <v>354.6099290780142</v>
      </c>
      <c r="K2080" s="136">
        <f>Tabla3[[#This Row],[INGRESOS]]/Tabla3[[#This Row],[TC]]</f>
        <v>0</v>
      </c>
      <c r="L2080" s="8" t="s">
        <v>376</v>
      </c>
      <c r="M2080" s="8" t="s">
        <v>377</v>
      </c>
      <c r="N2080" s="8" t="s">
        <v>20</v>
      </c>
      <c r="O2080" s="8" t="s">
        <v>184</v>
      </c>
      <c r="P2080" s="8" t="s">
        <v>210</v>
      </c>
      <c r="Q2080" s="8" t="s">
        <v>212</v>
      </c>
      <c r="R2080" s="8"/>
      <c r="S2080" s="8" t="s">
        <v>524</v>
      </c>
      <c r="T2080" s="8"/>
      <c r="U2080" s="8" t="s">
        <v>453</v>
      </c>
      <c r="V2080" s="8"/>
      <c r="W2080" s="8" t="s">
        <v>380</v>
      </c>
      <c r="X2080" s="8" t="s">
        <v>39</v>
      </c>
      <c r="Y2080" s="8" t="s">
        <v>23</v>
      </c>
    </row>
    <row r="2081" spans="1:25" s="7" customFormat="1" hidden="1" x14ac:dyDescent="0.25">
      <c r="A2081" s="273" t="s">
        <v>319</v>
      </c>
      <c r="B2081" s="251">
        <v>45919</v>
      </c>
      <c r="C2081" s="252" t="s">
        <v>828</v>
      </c>
      <c r="D2081" s="252"/>
      <c r="E2081" s="253">
        <v>121</v>
      </c>
      <c r="F2081" s="253">
        <v>0</v>
      </c>
      <c r="G2081" s="274">
        <f>Tabla3[[#This Row],[INGRESOS]]-Tabla3[[#This Row],[EGRESOS]]</f>
        <v>-121</v>
      </c>
      <c r="H2081" s="274">
        <v>-5320754.68</v>
      </c>
      <c r="I2081" s="135">
        <v>1410</v>
      </c>
      <c r="J2081" s="136">
        <f>Tabla3[[#This Row],[EGRESOS]]/Tabla3[[#This Row],[TC]]</f>
        <v>8.5815602836879432E-2</v>
      </c>
      <c r="K2081" s="136">
        <f>Tabla3[[#This Row],[INGRESOS]]/Tabla3[[#This Row],[TC]]</f>
        <v>0</v>
      </c>
      <c r="L2081" s="8" t="s">
        <v>376</v>
      </c>
      <c r="M2081" s="8" t="s">
        <v>377</v>
      </c>
      <c r="N2081" s="8" t="s">
        <v>20</v>
      </c>
      <c r="O2081" s="8" t="s">
        <v>184</v>
      </c>
      <c r="P2081" s="8" t="s">
        <v>185</v>
      </c>
      <c r="Q2081" s="8" t="s">
        <v>186</v>
      </c>
      <c r="R2081" s="8"/>
      <c r="S2081" s="8"/>
      <c r="T2081" s="8"/>
      <c r="U2081" s="8" t="s">
        <v>384</v>
      </c>
      <c r="V2081" s="8"/>
      <c r="W2081" s="8" t="s">
        <v>475</v>
      </c>
      <c r="X2081" s="8" t="s">
        <v>99</v>
      </c>
      <c r="Y2081" s="8" t="s">
        <v>23</v>
      </c>
    </row>
    <row r="2082" spans="1:25" s="7" customFormat="1" hidden="1" x14ac:dyDescent="0.25">
      <c r="A2082" s="273" t="s">
        <v>319</v>
      </c>
      <c r="B2082" s="251">
        <v>45919</v>
      </c>
      <c r="C2082" s="252" t="s">
        <v>822</v>
      </c>
      <c r="D2082" s="252"/>
      <c r="E2082" s="253">
        <v>8067</v>
      </c>
      <c r="F2082" s="253">
        <v>0</v>
      </c>
      <c r="G2082" s="274">
        <f>Tabla3[[#This Row],[INGRESOS]]-Tabla3[[#This Row],[EGRESOS]]</f>
        <v>-8067</v>
      </c>
      <c r="H2082" s="274">
        <v>-5328821.68</v>
      </c>
      <c r="I2082" s="135">
        <v>1410</v>
      </c>
      <c r="J2082" s="136">
        <f>Tabla3[[#This Row],[EGRESOS]]/Tabla3[[#This Row],[TC]]</f>
        <v>5.7212765957446807</v>
      </c>
      <c r="K2082" s="136">
        <f>Tabla3[[#This Row],[INGRESOS]]/Tabla3[[#This Row],[TC]]</f>
        <v>0</v>
      </c>
      <c r="L2082" s="8" t="s">
        <v>376</v>
      </c>
      <c r="M2082" s="8" t="s">
        <v>377</v>
      </c>
      <c r="N2082" s="8" t="s">
        <v>20</v>
      </c>
      <c r="O2082" s="8" t="s">
        <v>184</v>
      </c>
      <c r="P2082" s="8" t="s">
        <v>185</v>
      </c>
      <c r="Q2082" s="8" t="s">
        <v>189</v>
      </c>
      <c r="R2082" s="8"/>
      <c r="S2082" s="8"/>
      <c r="T2082" s="8"/>
      <c r="U2082" s="8" t="s">
        <v>384</v>
      </c>
      <c r="V2082" s="8"/>
      <c r="W2082" s="8" t="s">
        <v>380</v>
      </c>
      <c r="X2082" s="8" t="s">
        <v>99</v>
      </c>
      <c r="Y2082" s="8" t="s">
        <v>23</v>
      </c>
    </row>
    <row r="2083" spans="1:25" s="7" customFormat="1" hidden="1" x14ac:dyDescent="0.25">
      <c r="A2083" s="273" t="s">
        <v>319</v>
      </c>
      <c r="B2083" s="251">
        <v>45919</v>
      </c>
      <c r="C2083" s="252" t="s">
        <v>773</v>
      </c>
      <c r="D2083" s="252"/>
      <c r="E2083" s="253">
        <v>12379.86</v>
      </c>
      <c r="F2083" s="253">
        <v>0</v>
      </c>
      <c r="G2083" s="274">
        <f>Tabla3[[#This Row],[INGRESOS]]-Tabla3[[#This Row],[EGRESOS]]</f>
        <v>-12379.86</v>
      </c>
      <c r="H2083" s="274">
        <v>-5341201.54</v>
      </c>
      <c r="I2083" s="135">
        <v>1410</v>
      </c>
      <c r="J2083" s="136">
        <f>Tabla3[[#This Row],[EGRESOS]]/Tabla3[[#This Row],[TC]]</f>
        <v>8.780042553191489</v>
      </c>
      <c r="K2083" s="136">
        <f>Tabla3[[#This Row],[INGRESOS]]/Tabla3[[#This Row],[TC]]</f>
        <v>0</v>
      </c>
      <c r="L2083" s="8" t="s">
        <v>376</v>
      </c>
      <c r="M2083" s="8" t="s">
        <v>377</v>
      </c>
      <c r="N2083" s="8" t="s">
        <v>20</v>
      </c>
      <c r="O2083" s="8" t="s">
        <v>184</v>
      </c>
      <c r="P2083" s="8" t="s">
        <v>195</v>
      </c>
      <c r="Q2083" s="8" t="s">
        <v>196</v>
      </c>
      <c r="R2083" s="8" t="s">
        <v>394</v>
      </c>
      <c r="S2083" s="8"/>
      <c r="T2083" s="8"/>
      <c r="U2083" s="8" t="s">
        <v>384</v>
      </c>
      <c r="V2083" s="8"/>
      <c r="W2083" s="8" t="s">
        <v>475</v>
      </c>
      <c r="X2083" s="8" t="s">
        <v>99</v>
      </c>
      <c r="Y2083" s="8" t="s">
        <v>23</v>
      </c>
    </row>
    <row r="2084" spans="1:25" s="7" customFormat="1" hidden="1" x14ac:dyDescent="0.25">
      <c r="A2084" s="273" t="s">
        <v>319</v>
      </c>
      <c r="B2084" s="251">
        <v>45923</v>
      </c>
      <c r="C2084" s="252" t="s">
        <v>782</v>
      </c>
      <c r="D2084" s="252" t="s">
        <v>1217</v>
      </c>
      <c r="E2084" s="253">
        <v>2000000</v>
      </c>
      <c r="F2084" s="253">
        <v>0</v>
      </c>
      <c r="G2084" s="274">
        <f>Tabla3[[#This Row],[INGRESOS]]-Tabla3[[#This Row],[EGRESOS]]</f>
        <v>-2000000</v>
      </c>
      <c r="H2084" s="274">
        <v>-7341201.54</v>
      </c>
      <c r="I2084" s="135">
        <v>1410</v>
      </c>
      <c r="J2084" s="136">
        <f>Tabla3[[#This Row],[EGRESOS]]/Tabla3[[#This Row],[TC]]</f>
        <v>1418.4397163120568</v>
      </c>
      <c r="K2084" s="136">
        <f>Tabla3[[#This Row],[INGRESOS]]/Tabla3[[#This Row],[TC]]</f>
        <v>0</v>
      </c>
      <c r="L2084" s="8" t="s">
        <v>376</v>
      </c>
      <c r="M2084" s="8" t="s">
        <v>377</v>
      </c>
      <c r="N2084" s="8" t="s">
        <v>20</v>
      </c>
      <c r="O2084" s="8" t="s">
        <v>215</v>
      </c>
      <c r="P2084" s="8" t="s">
        <v>216</v>
      </c>
      <c r="Q2084" s="8" t="s">
        <v>220</v>
      </c>
      <c r="R2084" s="8" t="s">
        <v>329</v>
      </c>
      <c r="S2084" s="8" t="s">
        <v>634</v>
      </c>
      <c r="T2084" s="8" t="s">
        <v>1218</v>
      </c>
      <c r="U2084" s="8" t="s">
        <v>412</v>
      </c>
      <c r="V2084" s="8"/>
      <c r="W2084" s="8" t="s">
        <v>380</v>
      </c>
      <c r="X2084" s="8" t="s">
        <v>29</v>
      </c>
      <c r="Y2084" s="8" t="s">
        <v>23</v>
      </c>
    </row>
    <row r="2085" spans="1:25" s="7" customFormat="1" hidden="1" x14ac:dyDescent="0.25">
      <c r="A2085" s="273" t="s">
        <v>319</v>
      </c>
      <c r="B2085" s="251">
        <v>45923</v>
      </c>
      <c r="C2085" s="252" t="s">
        <v>782</v>
      </c>
      <c r="D2085" s="252" t="s">
        <v>1219</v>
      </c>
      <c r="E2085" s="253">
        <v>1641123</v>
      </c>
      <c r="F2085" s="253">
        <v>0</v>
      </c>
      <c r="G2085" s="274">
        <f>Tabla3[[#This Row],[INGRESOS]]-Tabla3[[#This Row],[EGRESOS]]</f>
        <v>-1641123</v>
      </c>
      <c r="H2085" s="274">
        <v>-8982324.5399999991</v>
      </c>
      <c r="I2085" s="135">
        <v>1410</v>
      </c>
      <c r="J2085" s="136">
        <f>Tabla3[[#This Row],[EGRESOS]]/Tabla3[[#This Row],[TC]]</f>
        <v>1163.9170212765957</v>
      </c>
      <c r="K2085" s="136">
        <f>Tabla3[[#This Row],[INGRESOS]]/Tabla3[[#This Row],[TC]]</f>
        <v>0</v>
      </c>
      <c r="L2085" s="8" t="s">
        <v>376</v>
      </c>
      <c r="M2085" s="8" t="s">
        <v>377</v>
      </c>
      <c r="N2085" s="8" t="s">
        <v>20</v>
      </c>
      <c r="O2085" s="8" t="s">
        <v>215</v>
      </c>
      <c r="P2085" s="8" t="s">
        <v>216</v>
      </c>
      <c r="Q2085" s="8" t="s">
        <v>220</v>
      </c>
      <c r="R2085" s="8" t="s">
        <v>291</v>
      </c>
      <c r="S2085" s="8" t="s">
        <v>1099</v>
      </c>
      <c r="T2085" s="8" t="s">
        <v>1220</v>
      </c>
      <c r="U2085" s="8" t="s">
        <v>412</v>
      </c>
      <c r="V2085" s="8"/>
      <c r="W2085" s="8" t="s">
        <v>380</v>
      </c>
      <c r="X2085" s="8" t="s">
        <v>29</v>
      </c>
      <c r="Y2085" s="8" t="s">
        <v>23</v>
      </c>
    </row>
    <row r="2086" spans="1:25" s="7" customFormat="1" hidden="1" x14ac:dyDescent="0.25">
      <c r="A2086" s="273" t="s">
        <v>319</v>
      </c>
      <c r="B2086" s="251">
        <v>45923</v>
      </c>
      <c r="C2086" s="252" t="s">
        <v>1221</v>
      </c>
      <c r="D2086" s="252"/>
      <c r="E2086" s="253">
        <v>0</v>
      </c>
      <c r="F2086" s="253">
        <v>3000000</v>
      </c>
      <c r="G2086" s="274">
        <f>Tabla3[[#This Row],[INGRESOS]]-Tabla3[[#This Row],[EGRESOS]]</f>
        <v>3000000</v>
      </c>
      <c r="H2086" s="274">
        <v>-5982324.54</v>
      </c>
      <c r="I2086" s="135">
        <v>1410</v>
      </c>
      <c r="J2086" s="136">
        <f>Tabla3[[#This Row],[EGRESOS]]/Tabla3[[#This Row],[TC]]</f>
        <v>0</v>
      </c>
      <c r="K2086" s="136">
        <f>Tabla3[[#This Row],[INGRESOS]]/Tabla3[[#This Row],[TC]]</f>
        <v>2127.6595744680849</v>
      </c>
      <c r="L2086" s="8" t="s">
        <v>376</v>
      </c>
      <c r="M2086" s="8" t="s">
        <v>377</v>
      </c>
      <c r="N2086" s="8" t="s">
        <v>20</v>
      </c>
      <c r="O2086" s="8" t="s">
        <v>244</v>
      </c>
      <c r="P2086" s="8" t="s">
        <v>259</v>
      </c>
      <c r="Q2086" s="8" t="s">
        <v>260</v>
      </c>
      <c r="R2086" s="8" t="s">
        <v>554</v>
      </c>
      <c r="S2086" s="8"/>
      <c r="T2086" s="8"/>
      <c r="U2086" s="8" t="s">
        <v>379</v>
      </c>
      <c r="V2086" s="8"/>
      <c r="W2086" s="8" t="s">
        <v>380</v>
      </c>
      <c r="X2086" s="8"/>
      <c r="Y2086" s="8"/>
    </row>
    <row r="2087" spans="1:25" s="7" customFormat="1" hidden="1" x14ac:dyDescent="0.25">
      <c r="A2087" s="273" t="s">
        <v>319</v>
      </c>
      <c r="B2087" s="251">
        <v>45923</v>
      </c>
      <c r="C2087" s="252" t="s">
        <v>762</v>
      </c>
      <c r="D2087" s="252"/>
      <c r="E2087" s="253">
        <v>3276</v>
      </c>
      <c r="F2087" s="253">
        <v>0</v>
      </c>
      <c r="G2087" s="274">
        <f>Tabla3[[#This Row],[INGRESOS]]-Tabla3[[#This Row],[EGRESOS]]</f>
        <v>-3276</v>
      </c>
      <c r="H2087" s="274">
        <v>-5985600.54</v>
      </c>
      <c r="I2087" s="135">
        <v>1410</v>
      </c>
      <c r="J2087" s="136">
        <f>Tabla3[[#This Row],[EGRESOS]]/Tabla3[[#This Row],[TC]]</f>
        <v>2.323404255319149</v>
      </c>
      <c r="K2087" s="136">
        <f>Tabla3[[#This Row],[INGRESOS]]/Tabla3[[#This Row],[TC]]</f>
        <v>0</v>
      </c>
      <c r="L2087" s="8" t="s">
        <v>376</v>
      </c>
      <c r="M2087" s="8" t="s">
        <v>377</v>
      </c>
      <c r="N2087" s="8" t="s">
        <v>20</v>
      </c>
      <c r="O2087" s="8" t="s">
        <v>184</v>
      </c>
      <c r="P2087" s="8" t="s">
        <v>195</v>
      </c>
      <c r="Q2087" s="8" t="s">
        <v>196</v>
      </c>
      <c r="R2087" s="8" t="s">
        <v>382</v>
      </c>
      <c r="S2087" s="8"/>
      <c r="T2087" s="8"/>
      <c r="U2087" s="8" t="s">
        <v>384</v>
      </c>
      <c r="V2087" s="8"/>
      <c r="W2087" s="8" t="s">
        <v>475</v>
      </c>
      <c r="X2087" s="8" t="s">
        <v>99</v>
      </c>
      <c r="Y2087" s="8" t="s">
        <v>23</v>
      </c>
    </row>
    <row r="2088" spans="1:25" s="7" customFormat="1" hidden="1" x14ac:dyDescent="0.25">
      <c r="A2088" s="273" t="s">
        <v>319</v>
      </c>
      <c r="B2088" s="251">
        <v>45923</v>
      </c>
      <c r="C2088" s="252" t="s">
        <v>763</v>
      </c>
      <c r="D2088" s="252"/>
      <c r="E2088" s="253">
        <v>468</v>
      </c>
      <c r="F2088" s="253">
        <v>0</v>
      </c>
      <c r="G2088" s="274">
        <f>Tabla3[[#This Row],[INGRESOS]]-Tabla3[[#This Row],[EGRESOS]]</f>
        <v>-468</v>
      </c>
      <c r="H2088" s="274">
        <v>-5986068.54</v>
      </c>
      <c r="I2088" s="135">
        <v>1410</v>
      </c>
      <c r="J2088" s="136">
        <f>Tabla3[[#This Row],[EGRESOS]]/Tabla3[[#This Row],[TC]]</f>
        <v>0.33191489361702126</v>
      </c>
      <c r="K2088" s="136">
        <f>Tabla3[[#This Row],[INGRESOS]]/Tabla3[[#This Row],[TC]]</f>
        <v>0</v>
      </c>
      <c r="L2088" s="8" t="s">
        <v>376</v>
      </c>
      <c r="M2088" s="8" t="s">
        <v>377</v>
      </c>
      <c r="N2088" s="8" t="s">
        <v>20</v>
      </c>
      <c r="O2088" s="8" t="s">
        <v>184</v>
      </c>
      <c r="P2088" s="8" t="s">
        <v>195</v>
      </c>
      <c r="Q2088" s="8" t="s">
        <v>196</v>
      </c>
      <c r="R2088" s="8" t="s">
        <v>417</v>
      </c>
      <c r="S2088" s="8" t="s">
        <v>383</v>
      </c>
      <c r="T2088" s="8"/>
      <c r="U2088" s="8" t="s">
        <v>384</v>
      </c>
      <c r="V2088" s="8"/>
      <c r="W2088" s="8" t="s">
        <v>380</v>
      </c>
      <c r="X2088" s="8" t="s">
        <v>99</v>
      </c>
      <c r="Y2088" s="8" t="s">
        <v>23</v>
      </c>
    </row>
    <row r="2089" spans="1:25" s="7" customFormat="1" hidden="1" x14ac:dyDescent="0.25">
      <c r="A2089" s="273" t="s">
        <v>319</v>
      </c>
      <c r="B2089" s="251">
        <v>45923</v>
      </c>
      <c r="C2089" s="252" t="s">
        <v>794</v>
      </c>
      <c r="D2089" s="252"/>
      <c r="E2089" s="253">
        <v>15600</v>
      </c>
      <c r="F2089" s="253">
        <v>0</v>
      </c>
      <c r="G2089" s="274">
        <f>Tabla3[[#This Row],[INGRESOS]]-Tabla3[[#This Row],[EGRESOS]]</f>
        <v>-15600</v>
      </c>
      <c r="H2089" s="274">
        <v>-6001668.54</v>
      </c>
      <c r="I2089" s="135">
        <v>1410</v>
      </c>
      <c r="J2089" s="136">
        <f>Tabla3[[#This Row],[EGRESOS]]/Tabla3[[#This Row],[TC]]</f>
        <v>11.063829787234043</v>
      </c>
      <c r="K2089" s="136">
        <f>Tabla3[[#This Row],[INGRESOS]]/Tabla3[[#This Row],[TC]]</f>
        <v>0</v>
      </c>
      <c r="L2089" s="8" t="s">
        <v>376</v>
      </c>
      <c r="M2089" s="8" t="s">
        <v>377</v>
      </c>
      <c r="N2089" s="8" t="s">
        <v>20</v>
      </c>
      <c r="O2089" s="8" t="s">
        <v>184</v>
      </c>
      <c r="P2089" s="8" t="s">
        <v>185</v>
      </c>
      <c r="Q2089" s="8" t="s">
        <v>186</v>
      </c>
      <c r="R2089" s="8"/>
      <c r="S2089" s="8"/>
      <c r="T2089" s="8"/>
      <c r="U2089" s="8" t="s">
        <v>384</v>
      </c>
      <c r="V2089" s="8"/>
      <c r="W2089" s="8" t="s">
        <v>380</v>
      </c>
      <c r="X2089" s="8" t="s">
        <v>99</v>
      </c>
      <c r="Y2089" s="8" t="s">
        <v>23</v>
      </c>
    </row>
    <row r="2090" spans="1:25" s="7" customFormat="1" hidden="1" x14ac:dyDescent="0.25">
      <c r="A2090" s="273" t="s">
        <v>319</v>
      </c>
      <c r="B2090" s="251">
        <v>45923</v>
      </c>
      <c r="C2090" s="252" t="s">
        <v>773</v>
      </c>
      <c r="D2090" s="252"/>
      <c r="E2090" s="253">
        <v>21962.799999999999</v>
      </c>
      <c r="F2090" s="253">
        <v>0</v>
      </c>
      <c r="G2090" s="274">
        <f>Tabla3[[#This Row],[INGRESOS]]-Tabla3[[#This Row],[EGRESOS]]</f>
        <v>-21962.799999999999</v>
      </c>
      <c r="H2090" s="274">
        <v>-6023631.3399999999</v>
      </c>
      <c r="I2090" s="135">
        <v>1410</v>
      </c>
      <c r="J2090" s="136">
        <f>Tabla3[[#This Row],[EGRESOS]]/Tabla3[[#This Row],[TC]]</f>
        <v>15.57645390070922</v>
      </c>
      <c r="K2090" s="136">
        <f>Tabla3[[#This Row],[INGRESOS]]/Tabla3[[#This Row],[TC]]</f>
        <v>0</v>
      </c>
      <c r="L2090" s="8" t="s">
        <v>376</v>
      </c>
      <c r="M2090" s="8" t="s">
        <v>377</v>
      </c>
      <c r="N2090" s="8" t="s">
        <v>20</v>
      </c>
      <c r="O2090" s="8" t="s">
        <v>184</v>
      </c>
      <c r="P2090" s="8" t="s">
        <v>195</v>
      </c>
      <c r="Q2090" s="8" t="s">
        <v>196</v>
      </c>
      <c r="R2090" s="8" t="s">
        <v>394</v>
      </c>
      <c r="S2090" s="8"/>
      <c r="T2090" s="8"/>
      <c r="U2090" s="8" t="s">
        <v>384</v>
      </c>
      <c r="V2090" s="8"/>
      <c r="W2090" s="8" t="s">
        <v>380</v>
      </c>
      <c r="X2090" s="8" t="s">
        <v>99</v>
      </c>
      <c r="Y2090" s="8" t="s">
        <v>23</v>
      </c>
    </row>
    <row r="2091" spans="1:25" s="7" customFormat="1" hidden="1" x14ac:dyDescent="0.25">
      <c r="A2091" s="273" t="s">
        <v>319</v>
      </c>
      <c r="B2091" s="251">
        <v>45924</v>
      </c>
      <c r="C2091" s="252" t="s">
        <v>782</v>
      </c>
      <c r="D2091" s="252" t="s">
        <v>1222</v>
      </c>
      <c r="E2091" s="253">
        <v>500000</v>
      </c>
      <c r="F2091" s="253">
        <v>0</v>
      </c>
      <c r="G2091" s="274">
        <f>Tabla3[[#This Row],[INGRESOS]]-Tabla3[[#This Row],[EGRESOS]]</f>
        <v>-500000</v>
      </c>
      <c r="H2091" s="274">
        <v>-6523631.3399999999</v>
      </c>
      <c r="I2091" s="135">
        <v>1410</v>
      </c>
      <c r="J2091" s="136">
        <f>Tabla3[[#This Row],[EGRESOS]]/Tabla3[[#This Row],[TC]]</f>
        <v>354.6099290780142</v>
      </c>
      <c r="K2091" s="136">
        <f>Tabla3[[#This Row],[INGRESOS]]/Tabla3[[#This Row],[TC]]</f>
        <v>0</v>
      </c>
      <c r="L2091" s="8" t="s">
        <v>376</v>
      </c>
      <c r="M2091" s="8" t="s">
        <v>377</v>
      </c>
      <c r="N2091" s="8" t="s">
        <v>20</v>
      </c>
      <c r="O2091" s="8" t="s">
        <v>286</v>
      </c>
      <c r="P2091" s="8" t="s">
        <v>287</v>
      </c>
      <c r="Q2091" s="8" t="s">
        <v>291</v>
      </c>
      <c r="R2091" s="8" t="s">
        <v>143</v>
      </c>
      <c r="S2091" s="8" t="s">
        <v>676</v>
      </c>
      <c r="T2091" s="8"/>
      <c r="U2091" s="8" t="s">
        <v>412</v>
      </c>
      <c r="V2091" s="8"/>
      <c r="W2091" s="8" t="s">
        <v>380</v>
      </c>
      <c r="X2091" s="8" t="s">
        <v>29</v>
      </c>
      <c r="Y2091" s="8" t="s">
        <v>23</v>
      </c>
    </row>
    <row r="2092" spans="1:25" s="7" customFormat="1" hidden="1" x14ac:dyDescent="0.25">
      <c r="A2092" s="273" t="s">
        <v>319</v>
      </c>
      <c r="B2092" s="251">
        <v>45924</v>
      </c>
      <c r="C2092" s="252" t="s">
        <v>782</v>
      </c>
      <c r="D2092" s="252" t="s">
        <v>1223</v>
      </c>
      <c r="E2092" s="253">
        <v>1824873.6</v>
      </c>
      <c r="F2092" s="253">
        <v>0</v>
      </c>
      <c r="G2092" s="274">
        <f>Tabla3[[#This Row],[INGRESOS]]-Tabla3[[#This Row],[EGRESOS]]</f>
        <v>-1824873.6</v>
      </c>
      <c r="H2092" s="274">
        <v>-8348504.9400000004</v>
      </c>
      <c r="I2092" s="135">
        <v>1410</v>
      </c>
      <c r="J2092" s="136">
        <f>Tabla3[[#This Row],[EGRESOS]]/Tabla3[[#This Row],[TC]]</f>
        <v>1294.2365957446809</v>
      </c>
      <c r="K2092" s="136">
        <f>Tabla3[[#This Row],[INGRESOS]]/Tabla3[[#This Row],[TC]]</f>
        <v>0</v>
      </c>
      <c r="L2092" s="8" t="s">
        <v>376</v>
      </c>
      <c r="M2092" s="8" t="s">
        <v>377</v>
      </c>
      <c r="N2092" s="8" t="s">
        <v>20</v>
      </c>
      <c r="O2092" s="8" t="s">
        <v>286</v>
      </c>
      <c r="P2092" s="8" t="s">
        <v>287</v>
      </c>
      <c r="Q2092" s="8" t="s">
        <v>291</v>
      </c>
      <c r="R2092" s="8" t="s">
        <v>143</v>
      </c>
      <c r="S2092" s="8" t="s">
        <v>1104</v>
      </c>
      <c r="T2092" s="8" t="s">
        <v>1224</v>
      </c>
      <c r="U2092" s="8" t="s">
        <v>412</v>
      </c>
      <c r="V2092" s="8"/>
      <c r="W2092" s="8" t="s">
        <v>380</v>
      </c>
      <c r="X2092" s="8" t="s">
        <v>29</v>
      </c>
      <c r="Y2092" s="8" t="s">
        <v>23</v>
      </c>
    </row>
    <row r="2093" spans="1:25" s="7" customFormat="1" hidden="1" x14ac:dyDescent="0.25">
      <c r="A2093" s="273" t="s">
        <v>319</v>
      </c>
      <c r="B2093" s="251">
        <v>45924</v>
      </c>
      <c r="C2093" s="252" t="s">
        <v>1225</v>
      </c>
      <c r="D2093" s="252"/>
      <c r="E2093" s="253">
        <v>0</v>
      </c>
      <c r="F2093" s="253">
        <v>2350000</v>
      </c>
      <c r="G2093" s="274">
        <f>Tabla3[[#This Row],[INGRESOS]]-Tabla3[[#This Row],[EGRESOS]]</f>
        <v>2350000</v>
      </c>
      <c r="H2093" s="274">
        <v>-5998504.9400000004</v>
      </c>
      <c r="I2093" s="135">
        <v>1410</v>
      </c>
      <c r="J2093" s="136">
        <f>Tabla3[[#This Row],[EGRESOS]]/Tabla3[[#This Row],[TC]]</f>
        <v>0</v>
      </c>
      <c r="K2093" s="136">
        <f>Tabla3[[#This Row],[INGRESOS]]/Tabla3[[#This Row],[TC]]</f>
        <v>1666.6666666666667</v>
      </c>
      <c r="L2093" s="8" t="s">
        <v>376</v>
      </c>
      <c r="M2093" s="8" t="s">
        <v>377</v>
      </c>
      <c r="N2093" s="8" t="s">
        <v>20</v>
      </c>
      <c r="O2093" s="8" t="s">
        <v>244</v>
      </c>
      <c r="P2093" s="8" t="s">
        <v>259</v>
      </c>
      <c r="Q2093" s="8" t="s">
        <v>260</v>
      </c>
      <c r="R2093" s="8" t="s">
        <v>554</v>
      </c>
      <c r="S2093" s="8"/>
      <c r="T2093" s="8"/>
      <c r="U2093" s="8" t="s">
        <v>379</v>
      </c>
      <c r="V2093" s="8"/>
      <c r="W2093" s="8" t="s">
        <v>380</v>
      </c>
      <c r="X2093" s="8"/>
      <c r="Y2093" s="8"/>
    </row>
    <row r="2094" spans="1:25" s="7" customFormat="1" hidden="1" x14ac:dyDescent="0.25">
      <c r="A2094" s="273" t="s">
        <v>319</v>
      </c>
      <c r="B2094" s="251">
        <v>45924</v>
      </c>
      <c r="C2094" s="252" t="s">
        <v>762</v>
      </c>
      <c r="D2094" s="252"/>
      <c r="E2094" s="253">
        <v>3276</v>
      </c>
      <c r="F2094" s="253">
        <v>0</v>
      </c>
      <c r="G2094" s="274">
        <f>Tabla3[[#This Row],[INGRESOS]]-Tabla3[[#This Row],[EGRESOS]]</f>
        <v>-3276</v>
      </c>
      <c r="H2094" s="274">
        <v>-6001780.9400000004</v>
      </c>
      <c r="I2094" s="135">
        <v>1410</v>
      </c>
      <c r="J2094" s="136">
        <f>Tabla3[[#This Row],[EGRESOS]]/Tabla3[[#This Row],[TC]]</f>
        <v>2.323404255319149</v>
      </c>
      <c r="K2094" s="136">
        <f>Tabla3[[#This Row],[INGRESOS]]/Tabla3[[#This Row],[TC]]</f>
        <v>0</v>
      </c>
      <c r="L2094" s="8" t="s">
        <v>376</v>
      </c>
      <c r="M2094" s="8" t="s">
        <v>377</v>
      </c>
      <c r="N2094" s="8" t="s">
        <v>20</v>
      </c>
      <c r="O2094" s="8" t="s">
        <v>184</v>
      </c>
      <c r="P2094" s="8" t="s">
        <v>195</v>
      </c>
      <c r="Q2094" s="8" t="s">
        <v>196</v>
      </c>
      <c r="R2094" s="8" t="s">
        <v>382</v>
      </c>
      <c r="S2094" s="8"/>
      <c r="T2094" s="8"/>
      <c r="U2094" s="8" t="s">
        <v>384</v>
      </c>
      <c r="V2094" s="8"/>
      <c r="W2094" s="8" t="s">
        <v>475</v>
      </c>
      <c r="X2094" s="8" t="s">
        <v>99</v>
      </c>
      <c r="Y2094" s="8" t="s">
        <v>23</v>
      </c>
    </row>
    <row r="2095" spans="1:25" s="7" customFormat="1" hidden="1" x14ac:dyDescent="0.25">
      <c r="A2095" s="273" t="s">
        <v>319</v>
      </c>
      <c r="B2095" s="251">
        <v>45924</v>
      </c>
      <c r="C2095" s="252" t="s">
        <v>763</v>
      </c>
      <c r="D2095" s="252"/>
      <c r="E2095" s="253">
        <v>468</v>
      </c>
      <c r="F2095" s="253">
        <v>0</v>
      </c>
      <c r="G2095" s="274">
        <f>Tabla3[[#This Row],[INGRESOS]]-Tabla3[[#This Row],[EGRESOS]]</f>
        <v>-468</v>
      </c>
      <c r="H2095" s="274">
        <v>-6002248.9400000004</v>
      </c>
      <c r="I2095" s="135">
        <v>1410</v>
      </c>
      <c r="J2095" s="136">
        <f>Tabla3[[#This Row],[EGRESOS]]/Tabla3[[#This Row],[TC]]</f>
        <v>0.33191489361702126</v>
      </c>
      <c r="K2095" s="136">
        <f>Tabla3[[#This Row],[INGRESOS]]/Tabla3[[#This Row],[TC]]</f>
        <v>0</v>
      </c>
      <c r="L2095" s="8" t="s">
        <v>376</v>
      </c>
      <c r="M2095" s="8" t="s">
        <v>377</v>
      </c>
      <c r="N2095" s="8" t="s">
        <v>20</v>
      </c>
      <c r="O2095" s="8" t="s">
        <v>184</v>
      </c>
      <c r="P2095" s="8" t="s">
        <v>195</v>
      </c>
      <c r="Q2095" s="8" t="s">
        <v>196</v>
      </c>
      <c r="R2095" s="8" t="s">
        <v>417</v>
      </c>
      <c r="S2095" s="8" t="s">
        <v>383</v>
      </c>
      <c r="T2095" s="8"/>
      <c r="U2095" s="8" t="s">
        <v>384</v>
      </c>
      <c r="V2095" s="8"/>
      <c r="W2095" s="8" t="s">
        <v>380</v>
      </c>
      <c r="X2095" s="8" t="s">
        <v>99</v>
      </c>
      <c r="Y2095" s="8" t="s">
        <v>23</v>
      </c>
    </row>
    <row r="2096" spans="1:25" s="7" customFormat="1" hidden="1" x14ac:dyDescent="0.25">
      <c r="A2096" s="273" t="s">
        <v>319</v>
      </c>
      <c r="B2096" s="251">
        <v>45924</v>
      </c>
      <c r="C2096" s="252" t="s">
        <v>794</v>
      </c>
      <c r="D2096" s="252"/>
      <c r="E2096" s="253">
        <v>15600</v>
      </c>
      <c r="F2096" s="253">
        <v>0</v>
      </c>
      <c r="G2096" s="274">
        <f>Tabla3[[#This Row],[INGRESOS]]-Tabla3[[#This Row],[EGRESOS]]</f>
        <v>-15600</v>
      </c>
      <c r="H2096" s="274">
        <v>-6017848.9400000004</v>
      </c>
      <c r="I2096" s="135">
        <v>1410</v>
      </c>
      <c r="J2096" s="136">
        <f>Tabla3[[#This Row],[EGRESOS]]/Tabla3[[#This Row],[TC]]</f>
        <v>11.063829787234043</v>
      </c>
      <c r="K2096" s="136">
        <f>Tabla3[[#This Row],[INGRESOS]]/Tabla3[[#This Row],[TC]]</f>
        <v>0</v>
      </c>
      <c r="L2096" s="8" t="s">
        <v>376</v>
      </c>
      <c r="M2096" s="8" t="s">
        <v>377</v>
      </c>
      <c r="N2096" s="8" t="s">
        <v>20</v>
      </c>
      <c r="O2096" s="8" t="s">
        <v>184</v>
      </c>
      <c r="P2096" s="8" t="s">
        <v>185</v>
      </c>
      <c r="Q2096" s="8" t="s">
        <v>186</v>
      </c>
      <c r="R2096" s="8"/>
      <c r="S2096" s="8"/>
      <c r="T2096" s="8"/>
      <c r="U2096" s="8" t="s">
        <v>384</v>
      </c>
      <c r="V2096" s="8"/>
      <c r="W2096" s="8" t="s">
        <v>380</v>
      </c>
      <c r="X2096" s="8" t="s">
        <v>99</v>
      </c>
      <c r="Y2096" s="8" t="s">
        <v>23</v>
      </c>
    </row>
    <row r="2097" spans="1:25" s="7" customFormat="1" hidden="1" x14ac:dyDescent="0.25">
      <c r="A2097" s="273" t="s">
        <v>319</v>
      </c>
      <c r="B2097" s="251">
        <v>45924</v>
      </c>
      <c r="C2097" s="252" t="s">
        <v>773</v>
      </c>
      <c r="D2097" s="252"/>
      <c r="E2097" s="253">
        <v>14065.3</v>
      </c>
      <c r="F2097" s="253">
        <v>0</v>
      </c>
      <c r="G2097" s="274">
        <f>Tabla3[[#This Row],[INGRESOS]]-Tabla3[[#This Row],[EGRESOS]]</f>
        <v>-14065.3</v>
      </c>
      <c r="H2097" s="274">
        <v>-6031914.2400000002</v>
      </c>
      <c r="I2097" s="135">
        <v>1410</v>
      </c>
      <c r="J2097" s="136">
        <f>Tabla3[[#This Row],[EGRESOS]]/Tabla3[[#This Row],[TC]]</f>
        <v>9.9753900709219856</v>
      </c>
      <c r="K2097" s="136">
        <f>Tabla3[[#This Row],[INGRESOS]]/Tabla3[[#This Row],[TC]]</f>
        <v>0</v>
      </c>
      <c r="L2097" s="8" t="s">
        <v>376</v>
      </c>
      <c r="M2097" s="8" t="s">
        <v>377</v>
      </c>
      <c r="N2097" s="8" t="s">
        <v>20</v>
      </c>
      <c r="O2097" s="8" t="s">
        <v>184</v>
      </c>
      <c r="P2097" s="8" t="s">
        <v>195</v>
      </c>
      <c r="Q2097" s="8" t="s">
        <v>196</v>
      </c>
      <c r="R2097" s="8" t="s">
        <v>394</v>
      </c>
      <c r="S2097" s="8"/>
      <c r="T2097" s="8"/>
      <c r="U2097" s="8" t="s">
        <v>384</v>
      </c>
      <c r="V2097" s="8"/>
      <c r="W2097" s="8" t="s">
        <v>380</v>
      </c>
      <c r="X2097" s="8" t="s">
        <v>99</v>
      </c>
      <c r="Y2097" s="8" t="s">
        <v>23</v>
      </c>
    </row>
    <row r="2098" spans="1:25" s="7" customFormat="1" hidden="1" x14ac:dyDescent="0.25">
      <c r="A2098" s="273" t="s">
        <v>319</v>
      </c>
      <c r="B2098" s="251">
        <v>45929</v>
      </c>
      <c r="C2098" s="252" t="s">
        <v>782</v>
      </c>
      <c r="D2098" s="252" t="s">
        <v>1226</v>
      </c>
      <c r="E2098" s="253">
        <v>433485</v>
      </c>
      <c r="F2098" s="253">
        <v>0</v>
      </c>
      <c r="G2098" s="274">
        <f>Tabla3[[#This Row],[INGRESOS]]-Tabla3[[#This Row],[EGRESOS]]</f>
        <v>-433485</v>
      </c>
      <c r="H2098" s="274">
        <v>-6465399.2400000002</v>
      </c>
      <c r="I2098" s="135">
        <v>1410</v>
      </c>
      <c r="J2098" s="136">
        <f>Tabla3[[#This Row],[EGRESOS]]/Tabla3[[#This Row],[TC]]</f>
        <v>307.43617021276594</v>
      </c>
      <c r="K2098" s="136">
        <f>Tabla3[[#This Row],[INGRESOS]]/Tabla3[[#This Row],[TC]]</f>
        <v>0</v>
      </c>
      <c r="L2098" s="8" t="s">
        <v>376</v>
      </c>
      <c r="M2098" s="8" t="s">
        <v>377</v>
      </c>
      <c r="N2098" s="8" t="s">
        <v>20</v>
      </c>
      <c r="O2098" s="8" t="s">
        <v>286</v>
      </c>
      <c r="P2098" s="8" t="s">
        <v>287</v>
      </c>
      <c r="Q2098" s="8" t="s">
        <v>288</v>
      </c>
      <c r="R2098" s="8" t="s">
        <v>143</v>
      </c>
      <c r="S2098" s="8" t="s">
        <v>637</v>
      </c>
      <c r="T2098" s="8" t="s">
        <v>1227</v>
      </c>
      <c r="U2098" s="8" t="s">
        <v>412</v>
      </c>
      <c r="V2098" s="8"/>
      <c r="W2098" s="8" t="s">
        <v>380</v>
      </c>
      <c r="X2098" s="8" t="s">
        <v>29</v>
      </c>
      <c r="Y2098" s="8" t="s">
        <v>23</v>
      </c>
    </row>
    <row r="2099" spans="1:25" s="7" customFormat="1" hidden="1" x14ac:dyDescent="0.25">
      <c r="A2099" s="273" t="s">
        <v>319</v>
      </c>
      <c r="B2099" s="251">
        <v>45926</v>
      </c>
      <c r="C2099" s="252" t="s">
        <v>592</v>
      </c>
      <c r="D2099" s="252"/>
      <c r="E2099" s="253">
        <v>0</v>
      </c>
      <c r="F2099" s="253">
        <v>1600000</v>
      </c>
      <c r="G2099" s="274">
        <f>Tabla3[[#This Row],[INGRESOS]]-Tabla3[[#This Row],[EGRESOS]]</f>
        <v>1600000</v>
      </c>
      <c r="H2099" s="274">
        <v>-8702065.9100000001</v>
      </c>
      <c r="I2099" s="135">
        <v>1410</v>
      </c>
      <c r="J2099" s="136">
        <f>Tabla3[[#This Row],[EGRESOS]]/Tabla3[[#This Row],[TC]]</f>
        <v>0</v>
      </c>
      <c r="K2099" s="136">
        <v>0</v>
      </c>
      <c r="L2099" s="8" t="s">
        <v>376</v>
      </c>
      <c r="M2099" s="8" t="s">
        <v>377</v>
      </c>
      <c r="N2099" s="8" t="s">
        <v>28</v>
      </c>
      <c r="O2099" s="8" t="s">
        <v>184</v>
      </c>
      <c r="P2099" s="8" t="s">
        <v>203</v>
      </c>
      <c r="Q2099" s="8" t="s">
        <v>204</v>
      </c>
      <c r="R2099" s="8"/>
      <c r="S2099" s="8" t="s">
        <v>386</v>
      </c>
      <c r="T2099" s="8"/>
      <c r="U2099" s="8" t="s">
        <v>439</v>
      </c>
      <c r="V2099" s="8" t="s">
        <v>386</v>
      </c>
      <c r="W2099" s="7" t="s">
        <v>380</v>
      </c>
      <c r="X2099" s="8" t="s">
        <v>23</v>
      </c>
      <c r="Y2099" s="8" t="s">
        <v>98</v>
      </c>
    </row>
    <row r="2100" spans="1:25" s="7" customFormat="1" hidden="1" x14ac:dyDescent="0.25">
      <c r="A2100" s="273" t="s">
        <v>319</v>
      </c>
      <c r="B2100" s="251">
        <v>45929</v>
      </c>
      <c r="C2100" s="252" t="s">
        <v>762</v>
      </c>
      <c r="D2100" s="252"/>
      <c r="E2100" s="253">
        <v>3591</v>
      </c>
      <c r="F2100" s="253">
        <v>0</v>
      </c>
      <c r="G2100" s="274">
        <f>Tabla3[[#This Row],[INGRESOS]]-Tabla3[[#This Row],[EGRESOS]]</f>
        <v>-3591</v>
      </c>
      <c r="H2100" s="274">
        <v>-5968990.2400000002</v>
      </c>
      <c r="I2100" s="135">
        <v>1410</v>
      </c>
      <c r="J2100" s="136">
        <f>Tabla3[[#This Row],[EGRESOS]]/Tabla3[[#This Row],[TC]]</f>
        <v>2.5468085106382978</v>
      </c>
      <c r="K2100" s="136">
        <f>Tabla3[[#This Row],[INGRESOS]]/Tabla3[[#This Row],[TC]]</f>
        <v>0</v>
      </c>
      <c r="L2100" s="8" t="s">
        <v>376</v>
      </c>
      <c r="M2100" s="8" t="s">
        <v>377</v>
      </c>
      <c r="N2100" s="8" t="s">
        <v>20</v>
      </c>
      <c r="O2100" s="8" t="s">
        <v>184</v>
      </c>
      <c r="P2100" s="8" t="s">
        <v>195</v>
      </c>
      <c r="Q2100" s="8" t="s">
        <v>196</v>
      </c>
      <c r="R2100" s="8" t="s">
        <v>382</v>
      </c>
      <c r="S2100" s="8"/>
      <c r="T2100" s="8"/>
      <c r="U2100" s="8" t="s">
        <v>384</v>
      </c>
      <c r="V2100" s="8"/>
      <c r="W2100" s="8" t="s">
        <v>380</v>
      </c>
      <c r="X2100" s="8" t="s">
        <v>99</v>
      </c>
      <c r="Y2100" s="8" t="s">
        <v>23</v>
      </c>
    </row>
    <row r="2101" spans="1:25" s="7" customFormat="1" hidden="1" x14ac:dyDescent="0.25">
      <c r="A2101" s="273" t="s">
        <v>319</v>
      </c>
      <c r="B2101" s="251">
        <v>45929</v>
      </c>
      <c r="C2101" s="252" t="s">
        <v>763</v>
      </c>
      <c r="D2101" s="252"/>
      <c r="E2101" s="253">
        <v>513</v>
      </c>
      <c r="F2101" s="253">
        <v>0</v>
      </c>
      <c r="G2101" s="274">
        <f>Tabla3[[#This Row],[INGRESOS]]-Tabla3[[#This Row],[EGRESOS]]</f>
        <v>-513</v>
      </c>
      <c r="H2101" s="274">
        <v>-5969503.2400000002</v>
      </c>
      <c r="I2101" s="135">
        <v>1410</v>
      </c>
      <c r="J2101" s="136">
        <f>Tabla3[[#This Row],[EGRESOS]]/Tabla3[[#This Row],[TC]]</f>
        <v>0.36382978723404258</v>
      </c>
      <c r="K2101" s="136">
        <f>Tabla3[[#This Row],[INGRESOS]]/Tabla3[[#This Row],[TC]]</f>
        <v>0</v>
      </c>
      <c r="L2101" s="8" t="s">
        <v>376</v>
      </c>
      <c r="M2101" s="8" t="s">
        <v>377</v>
      </c>
      <c r="N2101" s="8" t="s">
        <v>20</v>
      </c>
      <c r="O2101" s="8" t="s">
        <v>184</v>
      </c>
      <c r="P2101" s="8" t="s">
        <v>195</v>
      </c>
      <c r="Q2101" s="8" t="s">
        <v>196</v>
      </c>
      <c r="R2101" s="8" t="s">
        <v>417</v>
      </c>
      <c r="S2101" s="8" t="s">
        <v>383</v>
      </c>
      <c r="T2101" s="8"/>
      <c r="U2101" s="8" t="s">
        <v>384</v>
      </c>
      <c r="V2101" s="8"/>
      <c r="W2101" s="8" t="s">
        <v>380</v>
      </c>
      <c r="X2101" s="8" t="s">
        <v>99</v>
      </c>
      <c r="Y2101" s="8" t="s">
        <v>23</v>
      </c>
    </row>
    <row r="2102" spans="1:25" s="7" customFormat="1" hidden="1" x14ac:dyDescent="0.25">
      <c r="A2102" s="273" t="s">
        <v>319</v>
      </c>
      <c r="B2102" s="251">
        <v>45929</v>
      </c>
      <c r="C2102" s="252" t="s">
        <v>837</v>
      </c>
      <c r="D2102" s="252"/>
      <c r="E2102" s="253">
        <v>17100</v>
      </c>
      <c r="F2102" s="253">
        <v>0</v>
      </c>
      <c r="G2102" s="274">
        <f>Tabla3[[#This Row],[INGRESOS]]-Tabla3[[#This Row],[EGRESOS]]</f>
        <v>-17100</v>
      </c>
      <c r="H2102" s="274">
        <v>-5986603.2400000002</v>
      </c>
      <c r="I2102" s="135">
        <v>1410</v>
      </c>
      <c r="J2102" s="136">
        <f>Tabla3[[#This Row],[EGRESOS]]/Tabla3[[#This Row],[TC]]</f>
        <v>12.127659574468085</v>
      </c>
      <c r="K2102" s="136">
        <f>Tabla3[[#This Row],[INGRESOS]]/Tabla3[[#This Row],[TC]]</f>
        <v>0</v>
      </c>
      <c r="L2102" s="8" t="s">
        <v>376</v>
      </c>
      <c r="M2102" s="8" t="s">
        <v>377</v>
      </c>
      <c r="N2102" s="8" t="s">
        <v>20</v>
      </c>
      <c r="O2102" s="8" t="s">
        <v>184</v>
      </c>
      <c r="P2102" s="8" t="s">
        <v>185</v>
      </c>
      <c r="Q2102" s="8" t="s">
        <v>186</v>
      </c>
      <c r="R2102" s="8"/>
      <c r="S2102" s="8"/>
      <c r="T2102" s="8"/>
      <c r="U2102" s="8" t="s">
        <v>384</v>
      </c>
      <c r="V2102" s="8"/>
      <c r="W2102" s="8" t="s">
        <v>380</v>
      </c>
      <c r="X2102" s="8" t="s">
        <v>99</v>
      </c>
      <c r="Y2102" s="8" t="s">
        <v>23</v>
      </c>
    </row>
    <row r="2103" spans="1:25" s="7" customFormat="1" hidden="1" x14ac:dyDescent="0.25">
      <c r="A2103" s="273" t="s">
        <v>319</v>
      </c>
      <c r="B2103" s="251">
        <v>45929</v>
      </c>
      <c r="C2103" s="252" t="s">
        <v>762</v>
      </c>
      <c r="D2103" s="252"/>
      <c r="E2103" s="253">
        <v>3276</v>
      </c>
      <c r="F2103" s="253">
        <v>0</v>
      </c>
      <c r="G2103" s="274">
        <f>Tabla3[[#This Row],[INGRESOS]]-Tabla3[[#This Row],[EGRESOS]]</f>
        <v>-3276</v>
      </c>
      <c r="H2103" s="274">
        <v>-5989879.2400000002</v>
      </c>
      <c r="I2103" s="135">
        <v>1410</v>
      </c>
      <c r="J2103" s="136">
        <f>Tabla3[[#This Row],[EGRESOS]]/Tabla3[[#This Row],[TC]]</f>
        <v>2.323404255319149</v>
      </c>
      <c r="K2103" s="136">
        <f>Tabla3[[#This Row],[INGRESOS]]/Tabla3[[#This Row],[TC]]</f>
        <v>0</v>
      </c>
      <c r="L2103" s="8" t="s">
        <v>376</v>
      </c>
      <c r="M2103" s="8" t="s">
        <v>377</v>
      </c>
      <c r="N2103" s="8" t="s">
        <v>20</v>
      </c>
      <c r="O2103" s="8" t="s">
        <v>184</v>
      </c>
      <c r="P2103" s="8" t="s">
        <v>195</v>
      </c>
      <c r="Q2103" s="8" t="s">
        <v>196</v>
      </c>
      <c r="R2103" s="8" t="s">
        <v>382</v>
      </c>
      <c r="S2103" s="8"/>
      <c r="T2103" s="8"/>
      <c r="U2103" s="8" t="s">
        <v>384</v>
      </c>
      <c r="V2103" s="8"/>
      <c r="W2103" s="8" t="s">
        <v>380</v>
      </c>
      <c r="X2103" s="8" t="s">
        <v>99</v>
      </c>
      <c r="Y2103" s="8" t="s">
        <v>23</v>
      </c>
    </row>
    <row r="2104" spans="1:25" s="7" customFormat="1" hidden="1" x14ac:dyDescent="0.25">
      <c r="A2104" s="273" t="s">
        <v>319</v>
      </c>
      <c r="B2104" s="251">
        <v>45929</v>
      </c>
      <c r="C2104" s="252" t="s">
        <v>763</v>
      </c>
      <c r="D2104" s="252"/>
      <c r="E2104" s="253">
        <v>468</v>
      </c>
      <c r="F2104" s="253">
        <v>0</v>
      </c>
      <c r="G2104" s="274">
        <f>Tabla3[[#This Row],[INGRESOS]]-Tabla3[[#This Row],[EGRESOS]]</f>
        <v>-468</v>
      </c>
      <c r="H2104" s="274">
        <v>-5990347.2400000002</v>
      </c>
      <c r="I2104" s="135">
        <v>1410</v>
      </c>
      <c r="J2104" s="136">
        <f>Tabla3[[#This Row],[EGRESOS]]/Tabla3[[#This Row],[TC]]</f>
        <v>0.33191489361702126</v>
      </c>
      <c r="K2104" s="136">
        <f>Tabla3[[#This Row],[INGRESOS]]/Tabla3[[#This Row],[TC]]</f>
        <v>0</v>
      </c>
      <c r="L2104" s="8" t="s">
        <v>376</v>
      </c>
      <c r="M2104" s="8" t="s">
        <v>377</v>
      </c>
      <c r="N2104" s="8" t="s">
        <v>20</v>
      </c>
      <c r="O2104" s="8" t="s">
        <v>184</v>
      </c>
      <c r="P2104" s="8" t="s">
        <v>195</v>
      </c>
      <c r="Q2104" s="8" t="s">
        <v>196</v>
      </c>
      <c r="R2104" s="8" t="s">
        <v>417</v>
      </c>
      <c r="S2104" s="8" t="s">
        <v>383</v>
      </c>
      <c r="T2104" s="8"/>
      <c r="U2104" s="8" t="s">
        <v>384</v>
      </c>
      <c r="V2104" s="8"/>
      <c r="W2104" s="8" t="s">
        <v>380</v>
      </c>
      <c r="X2104" s="8" t="s">
        <v>99</v>
      </c>
      <c r="Y2104" s="8" t="s">
        <v>23</v>
      </c>
    </row>
    <row r="2105" spans="1:25" s="7" customFormat="1" hidden="1" x14ac:dyDescent="0.25">
      <c r="A2105" s="273" t="s">
        <v>319</v>
      </c>
      <c r="B2105" s="251">
        <v>45929</v>
      </c>
      <c r="C2105" s="252" t="s">
        <v>794</v>
      </c>
      <c r="D2105" s="252"/>
      <c r="E2105" s="253">
        <v>15600</v>
      </c>
      <c r="F2105" s="253">
        <v>0</v>
      </c>
      <c r="G2105" s="274">
        <f>Tabla3[[#This Row],[INGRESOS]]-Tabla3[[#This Row],[EGRESOS]]</f>
        <v>-15600</v>
      </c>
      <c r="H2105" s="274">
        <v>-6005947.2400000002</v>
      </c>
      <c r="I2105" s="135">
        <v>1410</v>
      </c>
      <c r="J2105" s="136">
        <f>Tabla3[[#This Row],[EGRESOS]]/Tabla3[[#This Row],[TC]]</f>
        <v>11.063829787234043</v>
      </c>
      <c r="K2105" s="136">
        <f>Tabla3[[#This Row],[INGRESOS]]/Tabla3[[#This Row],[TC]]</f>
        <v>0</v>
      </c>
      <c r="L2105" s="8" t="s">
        <v>376</v>
      </c>
      <c r="M2105" s="8" t="s">
        <v>377</v>
      </c>
      <c r="N2105" s="8" t="s">
        <v>20</v>
      </c>
      <c r="O2105" s="8" t="s">
        <v>184</v>
      </c>
      <c r="P2105" s="8" t="s">
        <v>185</v>
      </c>
      <c r="Q2105" s="8" t="s">
        <v>186</v>
      </c>
      <c r="R2105" s="8"/>
      <c r="S2105" s="8"/>
      <c r="T2105" s="8"/>
      <c r="U2105" s="8" t="s">
        <v>384</v>
      </c>
      <c r="V2105" s="8"/>
      <c r="W2105" s="8" t="s">
        <v>380</v>
      </c>
      <c r="X2105" s="8" t="s">
        <v>99</v>
      </c>
      <c r="Y2105" s="8" t="s">
        <v>23</v>
      </c>
    </row>
    <row r="2106" spans="1:25" s="7" customFormat="1" hidden="1" x14ac:dyDescent="0.25">
      <c r="A2106" s="273" t="s">
        <v>319</v>
      </c>
      <c r="B2106" s="251">
        <v>45929</v>
      </c>
      <c r="C2106" s="252" t="s">
        <v>760</v>
      </c>
      <c r="D2106" s="252"/>
      <c r="E2106" s="253">
        <v>3000</v>
      </c>
      <c r="F2106" s="253">
        <v>0</v>
      </c>
      <c r="G2106" s="274">
        <f>Tabla3[[#This Row],[INGRESOS]]-Tabla3[[#This Row],[EGRESOS]]</f>
        <v>-3000</v>
      </c>
      <c r="H2106" s="274">
        <v>-6008947.2400000002</v>
      </c>
      <c r="I2106" s="135">
        <v>1410</v>
      </c>
      <c r="J2106" s="136">
        <f>Tabla3[[#This Row],[EGRESOS]]/Tabla3[[#This Row],[TC]]</f>
        <v>2.1276595744680851</v>
      </c>
      <c r="K2106" s="136">
        <f>Tabla3[[#This Row],[INGRESOS]]/Tabla3[[#This Row],[TC]]</f>
        <v>0</v>
      </c>
      <c r="L2106" s="8" t="s">
        <v>376</v>
      </c>
      <c r="M2106" s="8" t="s">
        <v>377</v>
      </c>
      <c r="N2106" s="8" t="s">
        <v>20</v>
      </c>
      <c r="O2106" s="8" t="s">
        <v>184</v>
      </c>
      <c r="P2106" s="8" t="s">
        <v>195</v>
      </c>
      <c r="Q2106" s="8" t="s">
        <v>196</v>
      </c>
      <c r="R2106" s="8" t="s">
        <v>394</v>
      </c>
      <c r="S2106" s="8"/>
      <c r="T2106" s="8"/>
      <c r="U2106" s="8" t="s">
        <v>384</v>
      </c>
      <c r="V2106" s="8"/>
      <c r="W2106" s="8" t="s">
        <v>380</v>
      </c>
      <c r="X2106" s="8" t="s">
        <v>99</v>
      </c>
      <c r="Y2106" s="8" t="s">
        <v>23</v>
      </c>
    </row>
    <row r="2107" spans="1:25" s="7" customFormat="1" hidden="1" x14ac:dyDescent="0.25">
      <c r="A2107" s="273" t="s">
        <v>319</v>
      </c>
      <c r="B2107" s="251">
        <v>45929</v>
      </c>
      <c r="C2107" s="252" t="s">
        <v>773</v>
      </c>
      <c r="D2107" s="252"/>
      <c r="E2107" s="253">
        <v>2844.19</v>
      </c>
      <c r="F2107" s="253">
        <v>0</v>
      </c>
      <c r="G2107" s="274">
        <f>Tabla3[[#This Row],[INGRESOS]]-Tabla3[[#This Row],[EGRESOS]]</f>
        <v>-2844.19</v>
      </c>
      <c r="H2107" s="274">
        <v>-6011791.4299999997</v>
      </c>
      <c r="I2107" s="135">
        <v>1410</v>
      </c>
      <c r="J2107" s="136">
        <f>Tabla3[[#This Row],[EGRESOS]]/Tabla3[[#This Row],[TC]]</f>
        <v>2.0171560283687944</v>
      </c>
      <c r="K2107" s="136">
        <f>Tabla3[[#This Row],[INGRESOS]]/Tabla3[[#This Row],[TC]]</f>
        <v>0</v>
      </c>
      <c r="L2107" s="8" t="s">
        <v>376</v>
      </c>
      <c r="M2107" s="8" t="s">
        <v>377</v>
      </c>
      <c r="N2107" s="8" t="s">
        <v>20</v>
      </c>
      <c r="O2107" s="8" t="s">
        <v>184</v>
      </c>
      <c r="P2107" s="8" t="s">
        <v>195</v>
      </c>
      <c r="Q2107" s="8" t="s">
        <v>196</v>
      </c>
      <c r="R2107" s="8" t="s">
        <v>394</v>
      </c>
      <c r="S2107" s="8"/>
      <c r="T2107" s="8"/>
      <c r="U2107" s="8" t="s">
        <v>384</v>
      </c>
      <c r="V2107" s="8"/>
      <c r="W2107" s="8" t="s">
        <v>380</v>
      </c>
      <c r="X2107" s="8" t="s">
        <v>99</v>
      </c>
      <c r="Y2107" s="8" t="s">
        <v>23</v>
      </c>
    </row>
    <row r="2108" spans="1:25" s="7" customFormat="1" hidden="1" x14ac:dyDescent="0.25">
      <c r="A2108" s="273" t="s">
        <v>319</v>
      </c>
      <c r="B2108" s="251">
        <v>45929</v>
      </c>
      <c r="C2108" s="252" t="s">
        <v>795</v>
      </c>
      <c r="D2108" s="252"/>
      <c r="E2108" s="253">
        <v>61628</v>
      </c>
      <c r="F2108" s="253">
        <v>0</v>
      </c>
      <c r="G2108" s="274">
        <f>Tabla3[[#This Row],[INGRESOS]]-Tabla3[[#This Row],[EGRESOS]]</f>
        <v>-61628</v>
      </c>
      <c r="H2108" s="274">
        <v>-6073419.4299999997</v>
      </c>
      <c r="I2108" s="135">
        <v>1410</v>
      </c>
      <c r="J2108" s="136">
        <f>Tabla3[[#This Row],[EGRESOS]]/Tabla3[[#This Row],[TC]]</f>
        <v>43.707801418439715</v>
      </c>
      <c r="K2108" s="136">
        <f>Tabla3[[#This Row],[INGRESOS]]/Tabla3[[#This Row],[TC]]</f>
        <v>0</v>
      </c>
      <c r="L2108" s="8" t="s">
        <v>376</v>
      </c>
      <c r="M2108" s="8" t="s">
        <v>377</v>
      </c>
      <c r="N2108" s="8" t="s">
        <v>20</v>
      </c>
      <c r="O2108" s="8" t="s">
        <v>244</v>
      </c>
      <c r="P2108" s="8" t="s">
        <v>259</v>
      </c>
      <c r="Q2108" s="8" t="s">
        <v>260</v>
      </c>
      <c r="R2108" s="8" t="s">
        <v>804</v>
      </c>
      <c r="S2108" s="8"/>
      <c r="T2108" s="8"/>
      <c r="U2108" s="8" t="s">
        <v>379</v>
      </c>
      <c r="V2108" s="8"/>
      <c r="W2108" s="8" t="s">
        <v>380</v>
      </c>
      <c r="X2108" s="8"/>
      <c r="Y2108" s="8"/>
    </row>
    <row r="2109" spans="1:25" s="7" customFormat="1" hidden="1" x14ac:dyDescent="0.25">
      <c r="A2109" s="273" t="s">
        <v>319</v>
      </c>
      <c r="B2109" s="251">
        <v>45930</v>
      </c>
      <c r="C2109" s="252" t="s">
        <v>795</v>
      </c>
      <c r="D2109" s="252"/>
      <c r="E2109" s="253">
        <v>369.77</v>
      </c>
      <c r="F2109" s="253">
        <v>0</v>
      </c>
      <c r="G2109" s="274">
        <f>Tabla3[[#This Row],[INGRESOS]]-Tabla3[[#This Row],[EGRESOS]]</f>
        <v>-369.77</v>
      </c>
      <c r="H2109" s="274">
        <v>-6073789.2000000002</v>
      </c>
      <c r="I2109" s="135">
        <v>1410</v>
      </c>
      <c r="J2109" s="136">
        <f>Tabla3[[#This Row],[EGRESOS]]/Tabla3[[#This Row],[TC]]</f>
        <v>0.2622482269503546</v>
      </c>
      <c r="K2109" s="136">
        <f>Tabla3[[#This Row],[INGRESOS]]/Tabla3[[#This Row],[TC]]</f>
        <v>0</v>
      </c>
      <c r="L2109" s="8" t="s">
        <v>376</v>
      </c>
      <c r="M2109" s="8" t="s">
        <v>377</v>
      </c>
      <c r="N2109" s="8" t="s">
        <v>20</v>
      </c>
      <c r="O2109" s="8" t="s">
        <v>244</v>
      </c>
      <c r="P2109" s="8" t="s">
        <v>259</v>
      </c>
      <c r="Q2109" s="8" t="s">
        <v>260</v>
      </c>
      <c r="R2109" s="8" t="s">
        <v>804</v>
      </c>
      <c r="S2109" s="8"/>
      <c r="T2109" s="8"/>
      <c r="U2109" s="8" t="s">
        <v>379</v>
      </c>
      <c r="V2109" s="8"/>
      <c r="W2109" s="8" t="s">
        <v>380</v>
      </c>
      <c r="X2109" s="8"/>
      <c r="Y2109" s="8"/>
    </row>
    <row r="2110" spans="1:25" s="7" customFormat="1" hidden="1" x14ac:dyDescent="0.25">
      <c r="A2110" s="273" t="str">
        <f>"OCTUBRE"</f>
        <v>OCTUBRE</v>
      </c>
      <c r="B2110" s="251">
        <v>45931</v>
      </c>
      <c r="C2110" s="252" t="s">
        <v>762</v>
      </c>
      <c r="D2110" s="252"/>
      <c r="E2110" s="253">
        <v>25567.279999999999</v>
      </c>
      <c r="F2110" s="253">
        <v>0</v>
      </c>
      <c r="G2110" s="274">
        <f>Tabla3[[#This Row],[INGRESOS]]-Tabla3[[#This Row],[EGRESOS]]</f>
        <v>-25567.279999999999</v>
      </c>
      <c r="H2110" s="274">
        <v>-6099356.4800000004</v>
      </c>
      <c r="I2110" s="135">
        <v>1410</v>
      </c>
      <c r="J2110" s="136">
        <f>Tabla3[[#This Row],[EGRESOS]]/Tabla3[[#This Row],[TC]]</f>
        <v>18.132822695035461</v>
      </c>
      <c r="K2110" s="136">
        <f>Tabla3[[#This Row],[INGRESOS]]/Tabla3[[#This Row],[TC]]</f>
        <v>0</v>
      </c>
      <c r="L2110" s="8" t="s">
        <v>376</v>
      </c>
      <c r="M2110" s="8" t="s">
        <v>377</v>
      </c>
      <c r="N2110" s="8" t="s">
        <v>20</v>
      </c>
      <c r="O2110" s="8" t="s">
        <v>184</v>
      </c>
      <c r="P2110" s="8" t="s">
        <v>195</v>
      </c>
      <c r="Q2110" s="8" t="s">
        <v>196</v>
      </c>
      <c r="R2110" s="8" t="s">
        <v>382</v>
      </c>
      <c r="S2110" s="8"/>
      <c r="T2110" s="8"/>
      <c r="U2110" s="8" t="s">
        <v>384</v>
      </c>
      <c r="V2110" s="8"/>
      <c r="W2110" s="8" t="s">
        <v>380</v>
      </c>
      <c r="X2110" s="8" t="s">
        <v>99</v>
      </c>
      <c r="Y2110" s="8" t="s">
        <v>23</v>
      </c>
    </row>
    <row r="2111" spans="1:25" s="7" customFormat="1" hidden="1" x14ac:dyDescent="0.25">
      <c r="A2111" s="273" t="s">
        <v>320</v>
      </c>
      <c r="B2111" s="251">
        <v>45931</v>
      </c>
      <c r="C2111" s="252" t="s">
        <v>763</v>
      </c>
      <c r="D2111" s="252"/>
      <c r="E2111" s="253">
        <v>3652.47</v>
      </c>
      <c r="F2111" s="253">
        <v>0</v>
      </c>
      <c r="G2111" s="274">
        <f>Tabla3[[#This Row],[INGRESOS]]-Tabla3[[#This Row],[EGRESOS]]</f>
        <v>-3652.47</v>
      </c>
      <c r="H2111" s="274">
        <v>-6103008.9500000002</v>
      </c>
      <c r="I2111" s="135">
        <v>1410</v>
      </c>
      <c r="J2111" s="136">
        <f>Tabla3[[#This Row],[EGRESOS]]/Tabla3[[#This Row],[TC]]</f>
        <v>2.5904042553191489</v>
      </c>
      <c r="K2111" s="136">
        <f>Tabla3[[#This Row],[INGRESOS]]/Tabla3[[#This Row],[TC]]</f>
        <v>0</v>
      </c>
      <c r="L2111" s="8" t="s">
        <v>376</v>
      </c>
      <c r="M2111" s="8" t="s">
        <v>377</v>
      </c>
      <c r="N2111" s="8" t="s">
        <v>20</v>
      </c>
      <c r="O2111" s="8" t="s">
        <v>184</v>
      </c>
      <c r="P2111" s="8" t="s">
        <v>195</v>
      </c>
      <c r="Q2111" s="8" t="s">
        <v>196</v>
      </c>
      <c r="R2111" s="8" t="s">
        <v>417</v>
      </c>
      <c r="S2111" s="8" t="s">
        <v>383</v>
      </c>
      <c r="T2111" s="8"/>
      <c r="U2111" s="8" t="s">
        <v>384</v>
      </c>
      <c r="V2111" s="8"/>
      <c r="W2111" s="8" t="s">
        <v>380</v>
      </c>
      <c r="X2111" s="8" t="s">
        <v>99</v>
      </c>
      <c r="Y2111" s="8" t="s">
        <v>23</v>
      </c>
    </row>
    <row r="2112" spans="1:25" s="7" customFormat="1" hidden="1" x14ac:dyDescent="0.25">
      <c r="A2112" s="273" t="s">
        <v>320</v>
      </c>
      <c r="B2112" s="251">
        <v>45931</v>
      </c>
      <c r="C2112" s="252" t="s">
        <v>780</v>
      </c>
      <c r="D2112" s="252"/>
      <c r="E2112" s="253">
        <v>243497.91</v>
      </c>
      <c r="F2112" s="253">
        <v>0</v>
      </c>
      <c r="G2112" s="274">
        <f>Tabla3[[#This Row],[INGRESOS]]-Tabla3[[#This Row],[EGRESOS]]</f>
        <v>-243497.91</v>
      </c>
      <c r="H2112" s="274">
        <v>-6346506.8600000003</v>
      </c>
      <c r="I2112" s="135">
        <v>1410</v>
      </c>
      <c r="J2112" s="136">
        <f>Tabla3[[#This Row],[EGRESOS]]/Tabla3[[#This Row],[TC]]</f>
        <v>172.69355319148937</v>
      </c>
      <c r="K2112" s="136">
        <f>Tabla3[[#This Row],[INGRESOS]]/Tabla3[[#This Row],[TC]]</f>
        <v>0</v>
      </c>
      <c r="L2112" s="8" t="s">
        <v>376</v>
      </c>
      <c r="M2112" s="8" t="s">
        <v>377</v>
      </c>
      <c r="N2112" s="8" t="s">
        <v>20</v>
      </c>
      <c r="O2112" s="8" t="s">
        <v>184</v>
      </c>
      <c r="P2112" s="8" t="s">
        <v>197</v>
      </c>
      <c r="Q2112" s="8" t="s">
        <v>198</v>
      </c>
      <c r="R2112" s="8" t="s">
        <v>419</v>
      </c>
      <c r="S2112" s="8"/>
      <c r="T2112" s="8"/>
      <c r="U2112" s="8" t="s">
        <v>384</v>
      </c>
      <c r="V2112" s="8"/>
      <c r="W2112" s="8" t="s">
        <v>475</v>
      </c>
      <c r="X2112" s="8" t="s">
        <v>99</v>
      </c>
      <c r="Y2112" s="8" t="s">
        <v>23</v>
      </c>
    </row>
    <row r="2113" spans="1:25" s="7" customFormat="1" hidden="1" x14ac:dyDescent="0.25">
      <c r="A2113" s="273" t="s">
        <v>320</v>
      </c>
      <c r="B2113" s="251">
        <v>45931</v>
      </c>
      <c r="C2113" s="252" t="s">
        <v>762</v>
      </c>
      <c r="D2113" s="252"/>
      <c r="E2113" s="253">
        <v>80.13</v>
      </c>
      <c r="F2113" s="253">
        <v>0</v>
      </c>
      <c r="G2113" s="274">
        <f>Tabla3[[#This Row],[INGRESOS]]-Tabla3[[#This Row],[EGRESOS]]</f>
        <v>-80.13</v>
      </c>
      <c r="H2113" s="274">
        <v>-6346586.9900000002</v>
      </c>
      <c r="I2113" s="135">
        <v>1410</v>
      </c>
      <c r="J2113" s="136">
        <f>Tabla3[[#This Row],[EGRESOS]]/Tabla3[[#This Row],[TC]]</f>
        <v>5.6829787234042549E-2</v>
      </c>
      <c r="K2113" s="136">
        <f>Tabla3[[#This Row],[INGRESOS]]/Tabla3[[#This Row],[TC]]</f>
        <v>0</v>
      </c>
      <c r="L2113" s="8" t="s">
        <v>376</v>
      </c>
      <c r="M2113" s="8" t="s">
        <v>377</v>
      </c>
      <c r="N2113" s="8" t="s">
        <v>20</v>
      </c>
      <c r="O2113" s="8" t="s">
        <v>184</v>
      </c>
      <c r="P2113" s="8" t="s">
        <v>195</v>
      </c>
      <c r="Q2113" s="8" t="s">
        <v>196</v>
      </c>
      <c r="R2113" s="8" t="s">
        <v>382</v>
      </c>
      <c r="S2113" s="8"/>
      <c r="T2113" s="8"/>
      <c r="U2113" s="8" t="s">
        <v>384</v>
      </c>
      <c r="V2113" s="8"/>
      <c r="W2113" s="8" t="s">
        <v>380</v>
      </c>
      <c r="X2113" s="8" t="s">
        <v>99</v>
      </c>
      <c r="Y2113" s="8" t="s">
        <v>23</v>
      </c>
    </row>
    <row r="2114" spans="1:25" s="7" customFormat="1" hidden="1" x14ac:dyDescent="0.25">
      <c r="A2114" s="273" t="s">
        <v>320</v>
      </c>
      <c r="B2114" s="251">
        <v>45931</v>
      </c>
      <c r="C2114" s="252" t="s">
        <v>781</v>
      </c>
      <c r="D2114" s="252"/>
      <c r="E2114" s="253">
        <v>763.13</v>
      </c>
      <c r="F2114" s="253">
        <v>0</v>
      </c>
      <c r="G2114" s="274">
        <f>Tabla3[[#This Row],[INGRESOS]]-Tabla3[[#This Row],[EGRESOS]]</f>
        <v>-763.13</v>
      </c>
      <c r="H2114" s="274">
        <v>-6347350.1200000001</v>
      </c>
      <c r="I2114" s="135">
        <v>1410</v>
      </c>
      <c r="J2114" s="136">
        <f>Tabla3[[#This Row],[EGRESOS]]/Tabla3[[#This Row],[TC]]</f>
        <v>0.54122695035460988</v>
      </c>
      <c r="K2114" s="136">
        <f>Tabla3[[#This Row],[INGRESOS]]/Tabla3[[#This Row],[TC]]</f>
        <v>0</v>
      </c>
      <c r="L2114" s="8" t="s">
        <v>376</v>
      </c>
      <c r="M2114" s="8" t="s">
        <v>377</v>
      </c>
      <c r="N2114" s="8" t="s">
        <v>20</v>
      </c>
      <c r="O2114" s="8" t="s">
        <v>184</v>
      </c>
      <c r="P2114" s="8" t="s">
        <v>197</v>
      </c>
      <c r="Q2114" s="8" t="s">
        <v>198</v>
      </c>
      <c r="R2114" s="8" t="s">
        <v>419</v>
      </c>
      <c r="S2114" s="8"/>
      <c r="T2114" s="8"/>
      <c r="U2114" s="8" t="s">
        <v>384</v>
      </c>
      <c r="V2114" s="8"/>
      <c r="W2114" s="8" t="s">
        <v>475</v>
      </c>
      <c r="X2114" s="8" t="s">
        <v>99</v>
      </c>
      <c r="Y2114" s="8" t="s">
        <v>23</v>
      </c>
    </row>
    <row r="2115" spans="1:25" s="7" customFormat="1" hidden="1" x14ac:dyDescent="0.25">
      <c r="A2115" s="273" t="s">
        <v>320</v>
      </c>
      <c r="B2115" s="251">
        <v>45931</v>
      </c>
      <c r="C2115" s="252" t="s">
        <v>782</v>
      </c>
      <c r="D2115" s="252" t="s">
        <v>1229</v>
      </c>
      <c r="E2115" s="253">
        <v>1620432</v>
      </c>
      <c r="F2115" s="253">
        <v>0</v>
      </c>
      <c r="G2115" s="274">
        <f>Tabla3[[#This Row],[INGRESOS]]-Tabla3[[#This Row],[EGRESOS]]</f>
        <v>-1620432</v>
      </c>
      <c r="H2115" s="274">
        <v>-7967782.1200000001</v>
      </c>
      <c r="I2115" s="135">
        <v>1410</v>
      </c>
      <c r="J2115" s="136">
        <f>Tabla3[[#This Row],[EGRESOS]]/Tabla3[[#This Row],[TC]]</f>
        <v>1149.2425531914894</v>
      </c>
      <c r="K2115" s="136">
        <f>Tabla3[[#This Row],[INGRESOS]]/Tabla3[[#This Row],[TC]]</f>
        <v>0</v>
      </c>
      <c r="L2115" s="8" t="s">
        <v>376</v>
      </c>
      <c r="M2115" s="8" t="s">
        <v>377</v>
      </c>
      <c r="N2115" s="8" t="s">
        <v>20</v>
      </c>
      <c r="O2115" s="8" t="s">
        <v>215</v>
      </c>
      <c r="P2115" s="8" t="s">
        <v>216</v>
      </c>
      <c r="Q2115" s="8" t="s">
        <v>220</v>
      </c>
      <c r="R2115" s="8" t="s">
        <v>291</v>
      </c>
      <c r="S2115" s="8" t="s">
        <v>1099</v>
      </c>
      <c r="T2115" s="8" t="s">
        <v>1220</v>
      </c>
      <c r="U2115" s="8" t="s">
        <v>412</v>
      </c>
      <c r="V2115" s="8"/>
      <c r="W2115" s="8" t="s">
        <v>380</v>
      </c>
      <c r="X2115" s="8" t="s">
        <v>29</v>
      </c>
      <c r="Y2115" s="8" t="s">
        <v>23</v>
      </c>
    </row>
    <row r="2116" spans="1:25" s="7" customFormat="1" hidden="1" x14ac:dyDescent="0.25">
      <c r="A2116" s="273" t="s">
        <v>320</v>
      </c>
      <c r="B2116" s="251">
        <v>45931</v>
      </c>
      <c r="C2116" s="252" t="s">
        <v>782</v>
      </c>
      <c r="D2116" s="252" t="s">
        <v>1230</v>
      </c>
      <c r="E2116" s="253">
        <v>1600000</v>
      </c>
      <c r="F2116" s="253">
        <v>0</v>
      </c>
      <c r="G2116" s="274">
        <f>Tabla3[[#This Row],[INGRESOS]]-Tabla3[[#This Row],[EGRESOS]]</f>
        <v>-1600000</v>
      </c>
      <c r="H2116" s="274">
        <v>-9567782.1199999992</v>
      </c>
      <c r="I2116" s="135">
        <v>1410</v>
      </c>
      <c r="J2116" s="136">
        <f>Tabla3[[#This Row],[EGRESOS]]/Tabla3[[#This Row],[TC]]</f>
        <v>1134.7517730496454</v>
      </c>
      <c r="K2116" s="136">
        <f>Tabla3[[#This Row],[INGRESOS]]/Tabla3[[#This Row],[TC]]</f>
        <v>0</v>
      </c>
      <c r="L2116" s="8" t="s">
        <v>376</v>
      </c>
      <c r="M2116" s="8" t="s">
        <v>377</v>
      </c>
      <c r="N2116" s="8" t="s">
        <v>20</v>
      </c>
      <c r="O2116" s="8" t="s">
        <v>286</v>
      </c>
      <c r="P2116" s="8" t="s">
        <v>287</v>
      </c>
      <c r="Q2116" s="8" t="s">
        <v>288</v>
      </c>
      <c r="R2116" s="8" t="s">
        <v>143</v>
      </c>
      <c r="S2116" s="8" t="s">
        <v>665</v>
      </c>
      <c r="T2116" s="8" t="s">
        <v>1231</v>
      </c>
      <c r="U2116" s="8" t="s">
        <v>412</v>
      </c>
      <c r="V2116" s="8"/>
      <c r="W2116" s="8" t="s">
        <v>380</v>
      </c>
      <c r="X2116" s="8" t="s">
        <v>29</v>
      </c>
      <c r="Y2116" s="8" t="s">
        <v>23</v>
      </c>
    </row>
    <row r="2117" spans="1:25" s="7" customFormat="1" hidden="1" x14ac:dyDescent="0.25">
      <c r="A2117" s="273" t="s">
        <v>319</v>
      </c>
      <c r="B2117" s="251">
        <v>45929</v>
      </c>
      <c r="C2117" s="252" t="s">
        <v>1228</v>
      </c>
      <c r="D2117" s="252"/>
      <c r="E2117" s="253">
        <v>0</v>
      </c>
      <c r="F2117" s="253">
        <v>500000</v>
      </c>
      <c r="G2117" s="274">
        <f>Tabla3[[#This Row],[INGRESOS]]-Tabla3[[#This Row],[EGRESOS]]</f>
        <v>500000</v>
      </c>
      <c r="H2117" s="274">
        <v>-5965399.2400000002</v>
      </c>
      <c r="I2117" s="135">
        <v>1410</v>
      </c>
      <c r="J2117" s="136">
        <f>Tabla3[[#This Row],[EGRESOS]]/Tabla3[[#This Row],[TC]]</f>
        <v>0</v>
      </c>
      <c r="K2117" s="136">
        <f>Tabla3[[#This Row],[INGRESOS]]/Tabla3[[#This Row],[TC]]</f>
        <v>354.6099290780142</v>
      </c>
      <c r="L2117" s="8" t="s">
        <v>376</v>
      </c>
      <c r="M2117" s="8" t="s">
        <v>377</v>
      </c>
      <c r="N2117" s="8" t="s">
        <v>20</v>
      </c>
      <c r="O2117" s="8" t="s">
        <v>184</v>
      </c>
      <c r="P2117" s="8" t="s">
        <v>203</v>
      </c>
      <c r="Q2117" s="8" t="s">
        <v>204</v>
      </c>
      <c r="R2117" s="8"/>
      <c r="S2117" s="8" t="s">
        <v>386</v>
      </c>
      <c r="T2117" s="8"/>
      <c r="U2117" s="8" t="s">
        <v>439</v>
      </c>
      <c r="V2117" s="8" t="s">
        <v>386</v>
      </c>
      <c r="W2117" s="8" t="s">
        <v>380</v>
      </c>
      <c r="X2117" s="8" t="s">
        <v>23</v>
      </c>
      <c r="Y2117" s="8" t="s">
        <v>98</v>
      </c>
    </row>
    <row r="2118" spans="1:25" s="7" customFormat="1" hidden="1" x14ac:dyDescent="0.25">
      <c r="A2118" s="273" t="s">
        <v>320</v>
      </c>
      <c r="B2118" s="251">
        <v>45931</v>
      </c>
      <c r="C2118" s="252" t="s">
        <v>762</v>
      </c>
      <c r="D2118" s="252"/>
      <c r="E2118" s="253">
        <v>3549</v>
      </c>
      <c r="F2118" s="253">
        <v>0</v>
      </c>
      <c r="G2118" s="274">
        <f>Tabla3[[#This Row],[INGRESOS]]-Tabla3[[#This Row],[EGRESOS]]</f>
        <v>-3549</v>
      </c>
      <c r="H2118" s="274">
        <v>-7571331.1200000001</v>
      </c>
      <c r="I2118" s="135">
        <v>1410</v>
      </c>
      <c r="J2118" s="136">
        <f>Tabla3[[#This Row],[EGRESOS]]/Tabla3[[#This Row],[TC]]</f>
        <v>2.5170212765957447</v>
      </c>
      <c r="K2118" s="136">
        <f>Tabla3[[#This Row],[INGRESOS]]/Tabla3[[#This Row],[TC]]</f>
        <v>0</v>
      </c>
      <c r="L2118" s="8" t="s">
        <v>376</v>
      </c>
      <c r="M2118" s="8" t="s">
        <v>377</v>
      </c>
      <c r="N2118" s="8" t="s">
        <v>20</v>
      </c>
      <c r="O2118" s="8" t="s">
        <v>184</v>
      </c>
      <c r="P2118" s="8" t="s">
        <v>195</v>
      </c>
      <c r="Q2118" s="8" t="s">
        <v>196</v>
      </c>
      <c r="R2118" s="8" t="s">
        <v>382</v>
      </c>
      <c r="S2118" s="8"/>
      <c r="T2118" s="8"/>
      <c r="U2118" s="8" t="s">
        <v>384</v>
      </c>
      <c r="V2118" s="8"/>
      <c r="W2118" s="8" t="s">
        <v>380</v>
      </c>
      <c r="X2118" s="8" t="s">
        <v>99</v>
      </c>
      <c r="Y2118" s="8" t="s">
        <v>23</v>
      </c>
    </row>
    <row r="2119" spans="1:25" s="7" customFormat="1" hidden="1" x14ac:dyDescent="0.25">
      <c r="A2119" s="273" t="s">
        <v>320</v>
      </c>
      <c r="B2119" s="251">
        <v>45931</v>
      </c>
      <c r="C2119" s="252" t="s">
        <v>763</v>
      </c>
      <c r="D2119" s="252"/>
      <c r="E2119" s="253">
        <v>507</v>
      </c>
      <c r="F2119" s="253">
        <v>0</v>
      </c>
      <c r="G2119" s="274">
        <f>Tabla3[[#This Row],[INGRESOS]]-Tabla3[[#This Row],[EGRESOS]]</f>
        <v>-507</v>
      </c>
      <c r="H2119" s="274">
        <v>-7571838.1200000001</v>
      </c>
      <c r="I2119" s="135">
        <v>1410</v>
      </c>
      <c r="J2119" s="136">
        <f>Tabla3[[#This Row],[EGRESOS]]/Tabla3[[#This Row],[TC]]</f>
        <v>0.3595744680851064</v>
      </c>
      <c r="K2119" s="136">
        <f>Tabla3[[#This Row],[INGRESOS]]/Tabla3[[#This Row],[TC]]</f>
        <v>0</v>
      </c>
      <c r="L2119" s="8" t="s">
        <v>376</v>
      </c>
      <c r="M2119" s="8" t="s">
        <v>377</v>
      </c>
      <c r="N2119" s="8" t="s">
        <v>20</v>
      </c>
      <c r="O2119" s="8" t="s">
        <v>184</v>
      </c>
      <c r="P2119" s="8" t="s">
        <v>195</v>
      </c>
      <c r="Q2119" s="8" t="s">
        <v>196</v>
      </c>
      <c r="R2119" s="8" t="s">
        <v>417</v>
      </c>
      <c r="S2119" s="8" t="s">
        <v>383</v>
      </c>
      <c r="T2119" s="8"/>
      <c r="U2119" s="8" t="s">
        <v>384</v>
      </c>
      <c r="V2119" s="8"/>
      <c r="W2119" s="8" t="s">
        <v>380</v>
      </c>
      <c r="X2119" s="8" t="s">
        <v>99</v>
      </c>
      <c r="Y2119" s="8" t="s">
        <v>23</v>
      </c>
    </row>
    <row r="2120" spans="1:25" s="7" customFormat="1" hidden="1" x14ac:dyDescent="0.25">
      <c r="A2120" s="273" t="s">
        <v>320</v>
      </c>
      <c r="B2120" s="251">
        <v>45931</v>
      </c>
      <c r="C2120" s="252" t="s">
        <v>794</v>
      </c>
      <c r="D2120" s="252"/>
      <c r="E2120" s="253">
        <v>16900</v>
      </c>
      <c r="F2120" s="253">
        <v>0</v>
      </c>
      <c r="G2120" s="274">
        <f>Tabla3[[#This Row],[INGRESOS]]-Tabla3[[#This Row],[EGRESOS]]</f>
        <v>-16900</v>
      </c>
      <c r="H2120" s="274">
        <v>-7588738.1200000001</v>
      </c>
      <c r="I2120" s="135">
        <v>1410</v>
      </c>
      <c r="J2120" s="136">
        <f>Tabla3[[#This Row],[EGRESOS]]/Tabla3[[#This Row],[TC]]</f>
        <v>11.98581560283688</v>
      </c>
      <c r="K2120" s="136">
        <f>Tabla3[[#This Row],[INGRESOS]]/Tabla3[[#This Row],[TC]]</f>
        <v>0</v>
      </c>
      <c r="L2120" s="8" t="s">
        <v>376</v>
      </c>
      <c r="M2120" s="8" t="s">
        <v>377</v>
      </c>
      <c r="N2120" s="8" t="s">
        <v>20</v>
      </c>
      <c r="O2120" s="8" t="s">
        <v>184</v>
      </c>
      <c r="P2120" s="8" t="s">
        <v>185</v>
      </c>
      <c r="Q2120" s="8" t="s">
        <v>186</v>
      </c>
      <c r="R2120" s="8"/>
      <c r="S2120" s="8"/>
      <c r="T2120" s="8"/>
      <c r="U2120" s="8" t="s">
        <v>384</v>
      </c>
      <c r="V2120" s="8"/>
      <c r="W2120" s="8" t="s">
        <v>380</v>
      </c>
      <c r="X2120" s="8" t="s">
        <v>99</v>
      </c>
      <c r="Y2120" s="8" t="s">
        <v>23</v>
      </c>
    </row>
    <row r="2121" spans="1:25" s="7" customFormat="1" hidden="1" x14ac:dyDescent="0.25">
      <c r="A2121" s="273" t="s">
        <v>320</v>
      </c>
      <c r="B2121" s="251">
        <v>45931</v>
      </c>
      <c r="C2121" s="252" t="s">
        <v>845</v>
      </c>
      <c r="D2121" s="252"/>
      <c r="E2121" s="253">
        <v>4228.37</v>
      </c>
      <c r="F2121" s="253">
        <v>0</v>
      </c>
      <c r="G2121" s="274">
        <f>Tabla3[[#This Row],[INGRESOS]]-Tabla3[[#This Row],[EGRESOS]]</f>
        <v>-4228.37</v>
      </c>
      <c r="H2121" s="274">
        <v>-7592966.4900000002</v>
      </c>
      <c r="I2121" s="135">
        <v>1410</v>
      </c>
      <c r="J2121" s="136">
        <f>Tabla3[[#This Row],[EGRESOS]]/Tabla3[[#This Row],[TC]]</f>
        <v>2.9988439716312056</v>
      </c>
      <c r="K2121" s="136">
        <f>Tabla3[[#This Row],[INGRESOS]]/Tabla3[[#This Row],[TC]]</f>
        <v>0</v>
      </c>
      <c r="L2121" s="8" t="s">
        <v>376</v>
      </c>
      <c r="M2121" s="8" t="s">
        <v>377</v>
      </c>
      <c r="N2121" s="8" t="s">
        <v>20</v>
      </c>
      <c r="O2121" s="8" t="s">
        <v>184</v>
      </c>
      <c r="P2121" s="8" t="s">
        <v>195</v>
      </c>
      <c r="Q2121" s="8" t="s">
        <v>196</v>
      </c>
      <c r="R2121" s="8" t="s">
        <v>423</v>
      </c>
      <c r="S2121" s="8" t="s">
        <v>69</v>
      </c>
      <c r="T2121" s="8"/>
      <c r="U2121" s="8" t="s">
        <v>384</v>
      </c>
      <c r="V2121" s="8"/>
      <c r="W2121" s="8" t="s">
        <v>475</v>
      </c>
      <c r="X2121" s="8" t="s">
        <v>99</v>
      </c>
      <c r="Y2121" s="8" t="s">
        <v>23</v>
      </c>
    </row>
    <row r="2122" spans="1:25" s="7" customFormat="1" hidden="1" x14ac:dyDescent="0.25">
      <c r="A2122" s="273" t="s">
        <v>320</v>
      </c>
      <c r="B2122" s="251">
        <v>45931</v>
      </c>
      <c r="C2122" s="252" t="s">
        <v>845</v>
      </c>
      <c r="D2122" s="252"/>
      <c r="E2122" s="253">
        <v>11.55</v>
      </c>
      <c r="F2122" s="253">
        <v>0</v>
      </c>
      <c r="G2122" s="274">
        <f>Tabla3[[#This Row],[INGRESOS]]-Tabla3[[#This Row],[EGRESOS]]</f>
        <v>-11.55</v>
      </c>
      <c r="H2122" s="274">
        <v>-7592978.04</v>
      </c>
      <c r="I2122" s="135">
        <v>1410</v>
      </c>
      <c r="J2122" s="136">
        <f>Tabla3[[#This Row],[EGRESOS]]/Tabla3[[#This Row],[TC]]</f>
        <v>8.191489361702128E-3</v>
      </c>
      <c r="K2122" s="136">
        <f>Tabla3[[#This Row],[INGRESOS]]/Tabla3[[#This Row],[TC]]</f>
        <v>0</v>
      </c>
      <c r="L2122" s="8" t="s">
        <v>376</v>
      </c>
      <c r="M2122" s="8" t="s">
        <v>377</v>
      </c>
      <c r="N2122" s="8" t="s">
        <v>20</v>
      </c>
      <c r="O2122" s="8" t="s">
        <v>184</v>
      </c>
      <c r="P2122" s="8" t="s">
        <v>195</v>
      </c>
      <c r="Q2122" s="8" t="s">
        <v>196</v>
      </c>
      <c r="R2122" s="8" t="s">
        <v>423</v>
      </c>
      <c r="S2122" s="8" t="s">
        <v>69</v>
      </c>
      <c r="T2122" s="8"/>
      <c r="U2122" s="8" t="s">
        <v>384</v>
      </c>
      <c r="V2122" s="8"/>
      <c r="W2122" s="8" t="s">
        <v>475</v>
      </c>
      <c r="X2122" s="8" t="s">
        <v>99</v>
      </c>
      <c r="Y2122" s="8" t="s">
        <v>23</v>
      </c>
    </row>
    <row r="2123" spans="1:25" s="7" customFormat="1" hidden="1" x14ac:dyDescent="0.25">
      <c r="A2123" s="273" t="s">
        <v>320</v>
      </c>
      <c r="B2123" s="251">
        <v>45931</v>
      </c>
      <c r="C2123" s="252" t="s">
        <v>760</v>
      </c>
      <c r="D2123" s="252"/>
      <c r="E2123" s="253">
        <v>12000</v>
      </c>
      <c r="F2123" s="253">
        <v>0</v>
      </c>
      <c r="G2123" s="274">
        <f>Tabla3[[#This Row],[INGRESOS]]-Tabla3[[#This Row],[EGRESOS]]</f>
        <v>-12000</v>
      </c>
      <c r="H2123" s="274">
        <v>-7604978.04</v>
      </c>
      <c r="I2123" s="135">
        <v>1410</v>
      </c>
      <c r="J2123" s="136">
        <f>Tabla3[[#This Row],[EGRESOS]]/Tabla3[[#This Row],[TC]]</f>
        <v>8.5106382978723403</v>
      </c>
      <c r="K2123" s="136">
        <f>Tabla3[[#This Row],[INGRESOS]]/Tabla3[[#This Row],[TC]]</f>
        <v>0</v>
      </c>
      <c r="L2123" s="8" t="s">
        <v>376</v>
      </c>
      <c r="M2123" s="8" t="s">
        <v>377</v>
      </c>
      <c r="N2123" s="8" t="s">
        <v>20</v>
      </c>
      <c r="O2123" s="8" t="s">
        <v>184</v>
      </c>
      <c r="P2123" s="8" t="s">
        <v>195</v>
      </c>
      <c r="Q2123" s="8" t="s">
        <v>196</v>
      </c>
      <c r="R2123" s="8" t="s">
        <v>394</v>
      </c>
      <c r="S2123" s="8"/>
      <c r="T2123" s="8"/>
      <c r="U2123" s="8" t="s">
        <v>384</v>
      </c>
      <c r="V2123" s="8"/>
      <c r="W2123" s="8" t="s">
        <v>380</v>
      </c>
      <c r="X2123" s="8" t="s">
        <v>99</v>
      </c>
      <c r="Y2123" s="8" t="s">
        <v>23</v>
      </c>
    </row>
    <row r="2124" spans="1:25" s="7" customFormat="1" hidden="1" x14ac:dyDescent="0.25">
      <c r="A2124" s="273" t="s">
        <v>320</v>
      </c>
      <c r="B2124" s="251">
        <v>45931</v>
      </c>
      <c r="C2124" s="252" t="s">
        <v>773</v>
      </c>
      <c r="D2124" s="252"/>
      <c r="E2124" s="253">
        <v>21115.14</v>
      </c>
      <c r="F2124" s="253">
        <v>0</v>
      </c>
      <c r="G2124" s="274">
        <f>Tabla3[[#This Row],[INGRESOS]]-Tabla3[[#This Row],[EGRESOS]]</f>
        <v>-21115.14</v>
      </c>
      <c r="H2124" s="274">
        <v>-7626093.1799999997</v>
      </c>
      <c r="I2124" s="135">
        <v>1410</v>
      </c>
      <c r="J2124" s="136">
        <f>Tabla3[[#This Row],[EGRESOS]]/Tabla3[[#This Row],[TC]]</f>
        <v>14.975276595744681</v>
      </c>
      <c r="K2124" s="136">
        <f>Tabla3[[#This Row],[INGRESOS]]/Tabla3[[#This Row],[TC]]</f>
        <v>0</v>
      </c>
      <c r="L2124" s="8" t="s">
        <v>376</v>
      </c>
      <c r="M2124" s="8" t="s">
        <v>377</v>
      </c>
      <c r="N2124" s="8" t="s">
        <v>20</v>
      </c>
      <c r="O2124" s="8" t="s">
        <v>184</v>
      </c>
      <c r="P2124" s="8" t="s">
        <v>195</v>
      </c>
      <c r="Q2124" s="8" t="s">
        <v>196</v>
      </c>
      <c r="R2124" s="8" t="s">
        <v>394</v>
      </c>
      <c r="S2124" s="8"/>
      <c r="T2124" s="8"/>
      <c r="U2124" s="8" t="s">
        <v>384</v>
      </c>
      <c r="V2124" s="8"/>
      <c r="W2124" s="8" t="s">
        <v>380</v>
      </c>
      <c r="X2124" s="8" t="s">
        <v>99</v>
      </c>
      <c r="Y2124" s="8" t="s">
        <v>23</v>
      </c>
    </row>
    <row r="2125" spans="1:25" s="7" customFormat="1" hidden="1" x14ac:dyDescent="0.25">
      <c r="A2125" s="273" t="s">
        <v>320</v>
      </c>
      <c r="B2125" s="251">
        <v>45932</v>
      </c>
      <c r="C2125" s="252" t="s">
        <v>782</v>
      </c>
      <c r="D2125" s="252" t="s">
        <v>1232</v>
      </c>
      <c r="E2125" s="253">
        <v>1000000</v>
      </c>
      <c r="F2125" s="253">
        <v>0</v>
      </c>
      <c r="G2125" s="274">
        <f>Tabla3[[#This Row],[INGRESOS]]-Tabla3[[#This Row],[EGRESOS]]</f>
        <v>-1000000</v>
      </c>
      <c r="H2125" s="274">
        <v>-8626093.1799999997</v>
      </c>
      <c r="I2125" s="135">
        <v>1410</v>
      </c>
      <c r="J2125" s="136">
        <f>Tabla3[[#This Row],[EGRESOS]]/Tabla3[[#This Row],[TC]]</f>
        <v>709.21985815602841</v>
      </c>
      <c r="K2125" s="136">
        <f>Tabla3[[#This Row],[INGRESOS]]/Tabla3[[#This Row],[TC]]</f>
        <v>0</v>
      </c>
      <c r="L2125" s="8" t="s">
        <v>376</v>
      </c>
      <c r="M2125" s="8" t="s">
        <v>377</v>
      </c>
      <c r="N2125" s="8" t="s">
        <v>20</v>
      </c>
      <c r="O2125" s="8" t="s">
        <v>286</v>
      </c>
      <c r="P2125" s="8" t="s">
        <v>287</v>
      </c>
      <c r="Q2125" s="8" t="s">
        <v>291</v>
      </c>
      <c r="R2125" s="8" t="s">
        <v>143</v>
      </c>
      <c r="S2125" s="8" t="s">
        <v>676</v>
      </c>
      <c r="T2125" s="8" t="s">
        <v>1233</v>
      </c>
      <c r="U2125" s="8" t="s">
        <v>412</v>
      </c>
      <c r="V2125" s="8"/>
      <c r="W2125" s="8" t="s">
        <v>380</v>
      </c>
      <c r="X2125" s="8" t="s">
        <v>29</v>
      </c>
      <c r="Y2125" s="8" t="s">
        <v>23</v>
      </c>
    </row>
    <row r="2126" spans="1:25" s="7" customFormat="1" hidden="1" x14ac:dyDescent="0.25">
      <c r="A2126" s="273" t="s">
        <v>320</v>
      </c>
      <c r="B2126" s="251">
        <v>45932</v>
      </c>
      <c r="C2126" s="252" t="s">
        <v>782</v>
      </c>
      <c r="D2126" s="252" t="s">
        <v>1234</v>
      </c>
      <c r="E2126" s="253">
        <v>250000</v>
      </c>
      <c r="F2126" s="253">
        <v>0</v>
      </c>
      <c r="G2126" s="274">
        <f>Tabla3[[#This Row],[INGRESOS]]-Tabla3[[#This Row],[EGRESOS]]</f>
        <v>-250000</v>
      </c>
      <c r="H2126" s="274">
        <v>-8876093.1799999997</v>
      </c>
      <c r="I2126" s="135">
        <v>1410</v>
      </c>
      <c r="J2126" s="136">
        <f>Tabla3[[#This Row],[EGRESOS]]/Tabla3[[#This Row],[TC]]</f>
        <v>177.3049645390071</v>
      </c>
      <c r="K2126" s="136">
        <f>Tabla3[[#This Row],[INGRESOS]]/Tabla3[[#This Row],[TC]]</f>
        <v>0</v>
      </c>
      <c r="L2126" s="8" t="s">
        <v>376</v>
      </c>
      <c r="M2126" s="8" t="s">
        <v>377</v>
      </c>
      <c r="N2126" s="8" t="s">
        <v>20</v>
      </c>
      <c r="O2126" s="8" t="s">
        <v>184</v>
      </c>
      <c r="P2126" s="8" t="s">
        <v>199</v>
      </c>
      <c r="Q2126" s="8" t="s">
        <v>201</v>
      </c>
      <c r="R2126" s="8" t="s">
        <v>1235</v>
      </c>
      <c r="S2126" s="8" t="s">
        <v>389</v>
      </c>
      <c r="T2126" s="8"/>
      <c r="U2126" s="8" t="s">
        <v>390</v>
      </c>
      <c r="V2126" s="8"/>
      <c r="W2126" s="8" t="s">
        <v>380</v>
      </c>
      <c r="X2126" s="8" t="s">
        <v>99</v>
      </c>
      <c r="Y2126" s="8" t="s">
        <v>23</v>
      </c>
    </row>
    <row r="2127" spans="1:25" s="7" customFormat="1" hidden="1" x14ac:dyDescent="0.25">
      <c r="A2127" s="273" t="s">
        <v>320</v>
      </c>
      <c r="B2127" s="251">
        <v>45931</v>
      </c>
      <c r="C2127" s="252" t="s">
        <v>1228</v>
      </c>
      <c r="D2127" s="252"/>
      <c r="E2127" s="253">
        <v>0</v>
      </c>
      <c r="F2127" s="253">
        <v>2000000</v>
      </c>
      <c r="G2127" s="274">
        <f>Tabla3[[#This Row],[INGRESOS]]-Tabla3[[#This Row],[EGRESOS]]</f>
        <v>2000000</v>
      </c>
      <c r="H2127" s="274">
        <v>-7567782.1200000001</v>
      </c>
      <c r="I2127" s="135">
        <v>1410</v>
      </c>
      <c r="J2127" s="136">
        <f>Tabla3[[#This Row],[EGRESOS]]/Tabla3[[#This Row],[TC]]</f>
        <v>0</v>
      </c>
      <c r="K2127" s="136">
        <f>Tabla3[[#This Row],[INGRESOS]]/Tabla3[[#This Row],[TC]]</f>
        <v>1418.4397163120568</v>
      </c>
      <c r="L2127" s="8" t="s">
        <v>376</v>
      </c>
      <c r="M2127" s="8" t="s">
        <v>377</v>
      </c>
      <c r="N2127" s="8" t="s">
        <v>20</v>
      </c>
      <c r="O2127" s="8" t="s">
        <v>184</v>
      </c>
      <c r="P2127" s="8" t="s">
        <v>203</v>
      </c>
      <c r="Q2127" s="8" t="s">
        <v>204</v>
      </c>
      <c r="R2127" s="8"/>
      <c r="S2127" s="8" t="s">
        <v>386</v>
      </c>
      <c r="T2127" s="8"/>
      <c r="U2127" s="8" t="s">
        <v>439</v>
      </c>
      <c r="V2127" s="8" t="s">
        <v>386</v>
      </c>
      <c r="W2127" s="8" t="s">
        <v>380</v>
      </c>
      <c r="X2127" s="8" t="s">
        <v>23</v>
      </c>
      <c r="Y2127" s="8" t="s">
        <v>98</v>
      </c>
    </row>
    <row r="2128" spans="1:25" s="7" customFormat="1" hidden="1" x14ac:dyDescent="0.25">
      <c r="A2128" s="273" t="s">
        <v>320</v>
      </c>
      <c r="B2128" s="251">
        <v>45932</v>
      </c>
      <c r="C2128" s="252" t="s">
        <v>828</v>
      </c>
      <c r="D2128" s="252"/>
      <c r="E2128" s="253">
        <v>121</v>
      </c>
      <c r="F2128" s="253">
        <v>0</v>
      </c>
      <c r="G2128" s="274">
        <f>Tabla3[[#This Row],[INGRESOS]]-Tabla3[[#This Row],[EGRESOS]]</f>
        <v>-121</v>
      </c>
      <c r="H2128" s="274">
        <v>-9876214.1799999997</v>
      </c>
      <c r="I2128" s="135">
        <v>1410</v>
      </c>
      <c r="J2128" s="136">
        <f>Tabla3[[#This Row],[EGRESOS]]/Tabla3[[#This Row],[TC]]</f>
        <v>8.5815602836879432E-2</v>
      </c>
      <c r="K2128" s="136">
        <f>Tabla3[[#This Row],[INGRESOS]]/Tabla3[[#This Row],[TC]]</f>
        <v>0</v>
      </c>
      <c r="L2128" s="8" t="s">
        <v>376</v>
      </c>
      <c r="M2128" s="8" t="s">
        <v>377</v>
      </c>
      <c r="N2128" s="8" t="s">
        <v>20</v>
      </c>
      <c r="O2128" s="8" t="s">
        <v>184</v>
      </c>
      <c r="P2128" s="8" t="s">
        <v>185</v>
      </c>
      <c r="Q2128" s="8" t="s">
        <v>186</v>
      </c>
      <c r="R2128" s="8"/>
      <c r="S2128" s="8"/>
      <c r="T2128" s="8"/>
      <c r="U2128" s="8" t="s">
        <v>384</v>
      </c>
      <c r="V2128" s="8"/>
      <c r="W2128" s="8" t="s">
        <v>380</v>
      </c>
      <c r="X2128" s="8" t="s">
        <v>99</v>
      </c>
      <c r="Y2128" s="8" t="s">
        <v>23</v>
      </c>
    </row>
    <row r="2129" spans="1:25" s="7" customFormat="1" hidden="1" x14ac:dyDescent="0.25">
      <c r="A2129" s="273" t="s">
        <v>320</v>
      </c>
      <c r="B2129" s="251">
        <v>45932</v>
      </c>
      <c r="C2129" s="252" t="s">
        <v>773</v>
      </c>
      <c r="D2129" s="252"/>
      <c r="E2129" s="253">
        <v>13500.73</v>
      </c>
      <c r="F2129" s="253">
        <v>0</v>
      </c>
      <c r="G2129" s="274">
        <f>Tabla3[[#This Row],[INGRESOS]]-Tabla3[[#This Row],[EGRESOS]]</f>
        <v>-13500.73</v>
      </c>
      <c r="H2129" s="274">
        <v>-9889714.9100000001</v>
      </c>
      <c r="I2129" s="135">
        <v>1410</v>
      </c>
      <c r="J2129" s="136">
        <f>Tabla3[[#This Row],[EGRESOS]]/Tabla3[[#This Row],[TC]]</f>
        <v>9.5749858156028367</v>
      </c>
      <c r="K2129" s="136">
        <f>Tabla3[[#This Row],[INGRESOS]]/Tabla3[[#This Row],[TC]]</f>
        <v>0</v>
      </c>
      <c r="L2129" s="8" t="s">
        <v>376</v>
      </c>
      <c r="M2129" s="8" t="s">
        <v>377</v>
      </c>
      <c r="N2129" s="8" t="s">
        <v>20</v>
      </c>
      <c r="O2129" s="8" t="s">
        <v>184</v>
      </c>
      <c r="P2129" s="8" t="s">
        <v>195</v>
      </c>
      <c r="Q2129" s="8" t="s">
        <v>196</v>
      </c>
      <c r="R2129" s="8" t="s">
        <v>394</v>
      </c>
      <c r="S2129" s="8"/>
      <c r="T2129" s="8"/>
      <c r="U2129" s="8" t="s">
        <v>384</v>
      </c>
      <c r="V2129" s="8"/>
      <c r="W2129" s="8" t="s">
        <v>380</v>
      </c>
      <c r="X2129" s="8" t="s">
        <v>99</v>
      </c>
      <c r="Y2129" s="8" t="s">
        <v>23</v>
      </c>
    </row>
    <row r="2130" spans="1:25" s="7" customFormat="1" hidden="1" x14ac:dyDescent="0.25">
      <c r="A2130" s="273" t="s">
        <v>320</v>
      </c>
      <c r="B2130" s="251">
        <v>45936</v>
      </c>
      <c r="C2130" s="252" t="s">
        <v>782</v>
      </c>
      <c r="D2130" s="252" t="s">
        <v>1236</v>
      </c>
      <c r="E2130" s="253">
        <v>490000</v>
      </c>
      <c r="F2130" s="253">
        <v>0</v>
      </c>
      <c r="G2130" s="274">
        <f>Tabla3[[#This Row],[INGRESOS]]-Tabla3[[#This Row],[EGRESOS]]</f>
        <v>-490000</v>
      </c>
      <c r="H2130" s="274">
        <v>-10379714.91</v>
      </c>
      <c r="I2130" s="135">
        <v>1410</v>
      </c>
      <c r="J2130" s="136">
        <f>Tabla3[[#This Row],[EGRESOS]]/Tabla3[[#This Row],[TC]]</f>
        <v>347.51773049645391</v>
      </c>
      <c r="K2130" s="136">
        <f>Tabla3[[#This Row],[INGRESOS]]/Tabla3[[#This Row],[TC]]</f>
        <v>0</v>
      </c>
      <c r="L2130" s="8" t="s">
        <v>376</v>
      </c>
      <c r="M2130" s="8" t="s">
        <v>377</v>
      </c>
      <c r="N2130" s="8" t="s">
        <v>20</v>
      </c>
      <c r="O2130" s="8" t="s">
        <v>286</v>
      </c>
      <c r="P2130" s="8" t="s">
        <v>287</v>
      </c>
      <c r="Q2130" s="8" t="s">
        <v>217</v>
      </c>
      <c r="R2130" s="8" t="s">
        <v>188</v>
      </c>
      <c r="S2130" s="8" t="s">
        <v>656</v>
      </c>
      <c r="T2130" s="8" t="s">
        <v>1237</v>
      </c>
      <c r="U2130" s="8" t="s">
        <v>412</v>
      </c>
      <c r="V2130" s="8"/>
      <c r="W2130" s="8" t="s">
        <v>475</v>
      </c>
      <c r="X2130" s="8" t="s">
        <v>29</v>
      </c>
      <c r="Y2130" s="8" t="s">
        <v>23</v>
      </c>
    </row>
    <row r="2131" spans="1:25" s="7" customFormat="1" hidden="1" x14ac:dyDescent="0.25">
      <c r="A2131" s="273" t="s">
        <v>320</v>
      </c>
      <c r="B2131" s="251">
        <v>45936</v>
      </c>
      <c r="C2131" s="252" t="s">
        <v>782</v>
      </c>
      <c r="D2131" s="252" t="s">
        <v>1238</v>
      </c>
      <c r="E2131" s="253">
        <v>84137.35</v>
      </c>
      <c r="F2131" s="253">
        <v>0</v>
      </c>
      <c r="G2131" s="274">
        <f>Tabla3[[#This Row],[INGRESOS]]-Tabla3[[#This Row],[EGRESOS]]</f>
        <v>-84137.35</v>
      </c>
      <c r="H2131" s="274">
        <v>-10463852.26</v>
      </c>
      <c r="I2131" s="135">
        <v>1410</v>
      </c>
      <c r="J2131" s="136">
        <f>Tabla3[[#This Row],[EGRESOS]]/Tabla3[[#This Row],[TC]]</f>
        <v>59.671879432624117</v>
      </c>
      <c r="K2131" s="136">
        <f>Tabla3[[#This Row],[INGRESOS]]/Tabla3[[#This Row],[TC]]</f>
        <v>0</v>
      </c>
      <c r="L2131" s="8" t="s">
        <v>376</v>
      </c>
      <c r="M2131" s="8" t="s">
        <v>377</v>
      </c>
      <c r="N2131" s="8" t="s">
        <v>20</v>
      </c>
      <c r="O2131" s="8" t="s">
        <v>286</v>
      </c>
      <c r="P2131" s="8" t="s">
        <v>287</v>
      </c>
      <c r="Q2131" s="8" t="s">
        <v>289</v>
      </c>
      <c r="R2131" s="8"/>
      <c r="S2131" s="8" t="s">
        <v>653</v>
      </c>
      <c r="T2131" s="8" t="s">
        <v>1239</v>
      </c>
      <c r="U2131" s="8" t="s">
        <v>412</v>
      </c>
      <c r="V2131" s="8"/>
      <c r="W2131" s="8" t="s">
        <v>475</v>
      </c>
      <c r="X2131" s="8" t="s">
        <v>29</v>
      </c>
      <c r="Y2131" s="8" t="s">
        <v>23</v>
      </c>
    </row>
    <row r="2132" spans="1:25" s="7" customFormat="1" hidden="1" x14ac:dyDescent="0.25">
      <c r="A2132" s="273" t="s">
        <v>320</v>
      </c>
      <c r="B2132" s="251">
        <v>45936</v>
      </c>
      <c r="C2132" s="252" t="s">
        <v>762</v>
      </c>
      <c r="D2132" s="252"/>
      <c r="E2132" s="253">
        <v>3549</v>
      </c>
      <c r="F2132" s="253">
        <v>0</v>
      </c>
      <c r="G2132" s="274">
        <f>Tabla3[[#This Row],[INGRESOS]]-Tabla3[[#This Row],[EGRESOS]]</f>
        <v>-3549</v>
      </c>
      <c r="H2132" s="274">
        <v>-10467401.26</v>
      </c>
      <c r="I2132" s="135">
        <v>1410</v>
      </c>
      <c r="J2132" s="136">
        <f>Tabla3[[#This Row],[EGRESOS]]/Tabla3[[#This Row],[TC]]</f>
        <v>2.5170212765957447</v>
      </c>
      <c r="K2132" s="136">
        <f>Tabla3[[#This Row],[INGRESOS]]/Tabla3[[#This Row],[TC]]</f>
        <v>0</v>
      </c>
      <c r="L2132" s="8" t="s">
        <v>376</v>
      </c>
      <c r="M2132" s="8" t="s">
        <v>377</v>
      </c>
      <c r="N2132" s="8" t="s">
        <v>20</v>
      </c>
      <c r="O2132" s="8" t="s">
        <v>184</v>
      </c>
      <c r="P2132" s="8" t="s">
        <v>195</v>
      </c>
      <c r="Q2132" s="8" t="s">
        <v>196</v>
      </c>
      <c r="R2132" s="8" t="s">
        <v>382</v>
      </c>
      <c r="S2132" s="8"/>
      <c r="T2132" s="8"/>
      <c r="U2132" s="8" t="s">
        <v>384</v>
      </c>
      <c r="V2132" s="8"/>
      <c r="W2132" s="8" t="s">
        <v>380</v>
      </c>
      <c r="X2132" s="8" t="s">
        <v>99</v>
      </c>
      <c r="Y2132" s="8" t="s">
        <v>23</v>
      </c>
    </row>
    <row r="2133" spans="1:25" s="7" customFormat="1" hidden="1" x14ac:dyDescent="0.25">
      <c r="A2133" s="273" t="s">
        <v>320</v>
      </c>
      <c r="B2133" s="251">
        <v>45936</v>
      </c>
      <c r="C2133" s="252" t="s">
        <v>763</v>
      </c>
      <c r="D2133" s="252"/>
      <c r="E2133" s="253">
        <v>507</v>
      </c>
      <c r="F2133" s="253">
        <v>0</v>
      </c>
      <c r="G2133" s="274">
        <f>Tabla3[[#This Row],[INGRESOS]]-Tabla3[[#This Row],[EGRESOS]]</f>
        <v>-507</v>
      </c>
      <c r="H2133" s="274">
        <v>-10467908.26</v>
      </c>
      <c r="I2133" s="135">
        <v>1410</v>
      </c>
      <c r="J2133" s="136">
        <f>Tabla3[[#This Row],[EGRESOS]]/Tabla3[[#This Row],[TC]]</f>
        <v>0.3595744680851064</v>
      </c>
      <c r="K2133" s="136">
        <f>Tabla3[[#This Row],[INGRESOS]]/Tabla3[[#This Row],[TC]]</f>
        <v>0</v>
      </c>
      <c r="L2133" s="8" t="s">
        <v>376</v>
      </c>
      <c r="M2133" s="8" t="s">
        <v>377</v>
      </c>
      <c r="N2133" s="8" t="s">
        <v>20</v>
      </c>
      <c r="O2133" s="8" t="s">
        <v>184</v>
      </c>
      <c r="P2133" s="8" t="s">
        <v>195</v>
      </c>
      <c r="Q2133" s="8" t="s">
        <v>196</v>
      </c>
      <c r="R2133" s="8" t="s">
        <v>417</v>
      </c>
      <c r="S2133" s="8" t="s">
        <v>383</v>
      </c>
      <c r="T2133" s="8"/>
      <c r="U2133" s="8" t="s">
        <v>384</v>
      </c>
      <c r="V2133" s="8"/>
      <c r="W2133" s="8" t="s">
        <v>380</v>
      </c>
      <c r="X2133" s="8" t="s">
        <v>99</v>
      </c>
      <c r="Y2133" s="8" t="s">
        <v>23</v>
      </c>
    </row>
    <row r="2134" spans="1:25" s="7" customFormat="1" hidden="1" x14ac:dyDescent="0.25">
      <c r="A2134" s="273" t="s">
        <v>320</v>
      </c>
      <c r="B2134" s="251">
        <v>45936</v>
      </c>
      <c r="C2134" s="252" t="s">
        <v>794</v>
      </c>
      <c r="D2134" s="252"/>
      <c r="E2134" s="253">
        <v>16900</v>
      </c>
      <c r="F2134" s="253">
        <v>0</v>
      </c>
      <c r="G2134" s="274">
        <f>Tabla3[[#This Row],[INGRESOS]]-Tabla3[[#This Row],[EGRESOS]]</f>
        <v>-16900</v>
      </c>
      <c r="H2134" s="274">
        <v>-10484808.26</v>
      </c>
      <c r="I2134" s="135">
        <v>1410</v>
      </c>
      <c r="J2134" s="136">
        <f>Tabla3[[#This Row],[EGRESOS]]/Tabla3[[#This Row],[TC]]</f>
        <v>11.98581560283688</v>
      </c>
      <c r="K2134" s="136">
        <f>Tabla3[[#This Row],[INGRESOS]]/Tabla3[[#This Row],[TC]]</f>
        <v>0</v>
      </c>
      <c r="L2134" s="8" t="s">
        <v>376</v>
      </c>
      <c r="M2134" s="8" t="s">
        <v>377</v>
      </c>
      <c r="N2134" s="8" t="s">
        <v>20</v>
      </c>
      <c r="O2134" s="8" t="s">
        <v>184</v>
      </c>
      <c r="P2134" s="8" t="s">
        <v>185</v>
      </c>
      <c r="Q2134" s="8" t="s">
        <v>186</v>
      </c>
      <c r="R2134" s="8"/>
      <c r="S2134" s="8"/>
      <c r="T2134" s="8"/>
      <c r="U2134" s="8" t="s">
        <v>384</v>
      </c>
      <c r="V2134" s="8"/>
      <c r="W2134" s="8" t="s">
        <v>380</v>
      </c>
      <c r="X2134" s="8" t="s">
        <v>99</v>
      </c>
      <c r="Y2134" s="8" t="s">
        <v>23</v>
      </c>
    </row>
    <row r="2135" spans="1:25" s="7" customFormat="1" hidden="1" x14ac:dyDescent="0.25">
      <c r="A2135" s="273" t="s">
        <v>320</v>
      </c>
      <c r="B2135" s="251">
        <v>45936</v>
      </c>
      <c r="C2135" s="252" t="s">
        <v>773</v>
      </c>
      <c r="D2135" s="252"/>
      <c r="E2135" s="253">
        <v>3570.56</v>
      </c>
      <c r="F2135" s="253">
        <v>0</v>
      </c>
      <c r="G2135" s="274">
        <f>Tabla3[[#This Row],[INGRESOS]]-Tabla3[[#This Row],[EGRESOS]]</f>
        <v>-3570.56</v>
      </c>
      <c r="H2135" s="274">
        <v>-10488378.82</v>
      </c>
      <c r="I2135" s="135">
        <v>1410</v>
      </c>
      <c r="J2135" s="136">
        <f>Tabla3[[#This Row],[EGRESOS]]/Tabla3[[#This Row],[TC]]</f>
        <v>2.5323120567375885</v>
      </c>
      <c r="K2135" s="136">
        <f>Tabla3[[#This Row],[INGRESOS]]/Tabla3[[#This Row],[TC]]</f>
        <v>0</v>
      </c>
      <c r="L2135" s="8" t="s">
        <v>376</v>
      </c>
      <c r="M2135" s="8" t="s">
        <v>377</v>
      </c>
      <c r="N2135" s="8" t="s">
        <v>20</v>
      </c>
      <c r="O2135" s="8" t="s">
        <v>184</v>
      </c>
      <c r="P2135" s="8" t="s">
        <v>195</v>
      </c>
      <c r="Q2135" s="8" t="s">
        <v>196</v>
      </c>
      <c r="R2135" s="8" t="s">
        <v>394</v>
      </c>
      <c r="S2135" s="8"/>
      <c r="T2135" s="8"/>
      <c r="U2135" s="8" t="s">
        <v>384</v>
      </c>
      <c r="V2135" s="8"/>
      <c r="W2135" s="8" t="s">
        <v>380</v>
      </c>
      <c r="X2135" s="8" t="s">
        <v>99</v>
      </c>
      <c r="Y2135" s="8" t="s">
        <v>23</v>
      </c>
    </row>
    <row r="2136" spans="1:25" s="7" customFormat="1" hidden="1" x14ac:dyDescent="0.25">
      <c r="A2136" s="273" t="s">
        <v>320</v>
      </c>
      <c r="B2136" s="251">
        <v>45937</v>
      </c>
      <c r="C2136" s="252" t="s">
        <v>782</v>
      </c>
      <c r="D2136" s="252" t="s">
        <v>1240</v>
      </c>
      <c r="E2136" s="253">
        <v>600000</v>
      </c>
      <c r="F2136" s="253">
        <v>0</v>
      </c>
      <c r="G2136" s="274">
        <f>Tabla3[[#This Row],[INGRESOS]]-Tabla3[[#This Row],[EGRESOS]]</f>
        <v>-600000</v>
      </c>
      <c r="H2136" s="274">
        <v>-11088378.82</v>
      </c>
      <c r="I2136" s="135">
        <v>1410</v>
      </c>
      <c r="J2136" s="136">
        <f>Tabla3[[#This Row],[EGRESOS]]/Tabla3[[#This Row],[TC]]</f>
        <v>425.531914893617</v>
      </c>
      <c r="K2136" s="136">
        <f>Tabla3[[#This Row],[INGRESOS]]/Tabla3[[#This Row],[TC]]</f>
        <v>0</v>
      </c>
      <c r="L2136" s="8" t="s">
        <v>376</v>
      </c>
      <c r="M2136" s="8" t="s">
        <v>377</v>
      </c>
      <c r="N2136" s="8" t="s">
        <v>20</v>
      </c>
      <c r="O2136" s="8" t="s">
        <v>225</v>
      </c>
      <c r="P2136" s="8" t="s">
        <v>236</v>
      </c>
      <c r="Q2136" s="8" t="s">
        <v>239</v>
      </c>
      <c r="R2136" s="8"/>
      <c r="S2136" s="8" t="s">
        <v>597</v>
      </c>
      <c r="T2136" s="8"/>
      <c r="U2136" s="8" t="s">
        <v>412</v>
      </c>
      <c r="V2136" s="8"/>
      <c r="W2136" s="8" t="s">
        <v>475</v>
      </c>
      <c r="X2136" s="8" t="s">
        <v>29</v>
      </c>
      <c r="Y2136" s="8" t="s">
        <v>23</v>
      </c>
    </row>
    <row r="2137" spans="1:25" s="7" customFormat="1" hidden="1" x14ac:dyDescent="0.25">
      <c r="A2137" s="247" t="s">
        <v>320</v>
      </c>
      <c r="B2137" s="248">
        <v>45937</v>
      </c>
      <c r="C2137" s="244" t="s">
        <v>762</v>
      </c>
      <c r="D2137" s="244"/>
      <c r="E2137" s="249">
        <v>3549</v>
      </c>
      <c r="F2137" s="249">
        <v>0</v>
      </c>
      <c r="G2137" s="266">
        <f>Tabla3[[#This Row],[INGRESOS]]-Tabla3[[#This Row],[EGRESOS]]</f>
        <v>-3549</v>
      </c>
      <c r="H2137" s="266">
        <v>-11091927.82</v>
      </c>
      <c r="I2137" s="119">
        <v>1410</v>
      </c>
      <c r="J2137" s="99">
        <f>Tabla3[[#This Row],[EGRESOS]]/Tabla3[[#This Row],[TC]]</f>
        <v>2.5170212765957447</v>
      </c>
      <c r="K2137" s="99">
        <f>Tabla3[[#This Row],[INGRESOS]]/Tabla3[[#This Row],[TC]]</f>
        <v>0</v>
      </c>
      <c r="L2137" s="7" t="s">
        <v>376</v>
      </c>
      <c r="M2137" s="7" t="s">
        <v>377</v>
      </c>
      <c r="N2137" s="7" t="s">
        <v>20</v>
      </c>
      <c r="O2137" s="7" t="s">
        <v>184</v>
      </c>
      <c r="P2137" s="7" t="s">
        <v>195</v>
      </c>
      <c r="Q2137" s="7" t="s">
        <v>196</v>
      </c>
      <c r="R2137" s="7" t="s">
        <v>382</v>
      </c>
      <c r="U2137" s="7" t="s">
        <v>384</v>
      </c>
      <c r="W2137" s="7" t="s">
        <v>380</v>
      </c>
      <c r="X2137" s="7" t="s">
        <v>99</v>
      </c>
      <c r="Y2137" s="7" t="s">
        <v>23</v>
      </c>
    </row>
    <row r="2138" spans="1:25" s="7" customFormat="1" hidden="1" x14ac:dyDescent="0.25">
      <c r="A2138" s="247" t="s">
        <v>320</v>
      </c>
      <c r="B2138" s="248">
        <v>45937</v>
      </c>
      <c r="C2138" s="244" t="s">
        <v>763</v>
      </c>
      <c r="D2138" s="244"/>
      <c r="E2138" s="249">
        <v>507</v>
      </c>
      <c r="F2138" s="249">
        <v>0</v>
      </c>
      <c r="G2138" s="266">
        <f>Tabla3[[#This Row],[INGRESOS]]-Tabla3[[#This Row],[EGRESOS]]</f>
        <v>-507</v>
      </c>
      <c r="H2138" s="266">
        <v>-11092434.82</v>
      </c>
      <c r="I2138" s="119">
        <v>1410</v>
      </c>
      <c r="J2138" s="99">
        <f>Tabla3[[#This Row],[EGRESOS]]/Tabla3[[#This Row],[TC]]</f>
        <v>0.3595744680851064</v>
      </c>
      <c r="K2138" s="99">
        <f>Tabla3[[#This Row],[INGRESOS]]/Tabla3[[#This Row],[TC]]</f>
        <v>0</v>
      </c>
      <c r="L2138" s="7" t="s">
        <v>376</v>
      </c>
      <c r="M2138" s="7" t="s">
        <v>377</v>
      </c>
      <c r="N2138" s="7" t="s">
        <v>20</v>
      </c>
      <c r="O2138" s="7" t="s">
        <v>184</v>
      </c>
      <c r="P2138" s="7" t="s">
        <v>195</v>
      </c>
      <c r="Q2138" s="7" t="s">
        <v>196</v>
      </c>
      <c r="R2138" s="7" t="s">
        <v>417</v>
      </c>
      <c r="S2138" s="7" t="s">
        <v>383</v>
      </c>
      <c r="U2138" s="7" t="s">
        <v>384</v>
      </c>
      <c r="W2138" s="7" t="s">
        <v>380</v>
      </c>
      <c r="X2138" s="7" t="s">
        <v>99</v>
      </c>
      <c r="Y2138" s="7" t="s">
        <v>23</v>
      </c>
    </row>
    <row r="2139" spans="1:25" s="7" customFormat="1" hidden="1" x14ac:dyDescent="0.25">
      <c r="A2139" s="247" t="s">
        <v>320</v>
      </c>
      <c r="B2139" s="248">
        <v>45937</v>
      </c>
      <c r="C2139" s="244" t="s">
        <v>794</v>
      </c>
      <c r="D2139" s="244"/>
      <c r="E2139" s="249">
        <v>16900</v>
      </c>
      <c r="F2139" s="249">
        <v>0</v>
      </c>
      <c r="G2139" s="266">
        <f>Tabla3[[#This Row],[INGRESOS]]-Tabla3[[#This Row],[EGRESOS]]</f>
        <v>-16900</v>
      </c>
      <c r="H2139" s="266">
        <v>-11109334.82</v>
      </c>
      <c r="I2139" s="119">
        <v>1410</v>
      </c>
      <c r="J2139" s="99">
        <f>Tabla3[[#This Row],[EGRESOS]]/Tabla3[[#This Row],[TC]]</f>
        <v>11.98581560283688</v>
      </c>
      <c r="K2139" s="99">
        <f>Tabla3[[#This Row],[INGRESOS]]/Tabla3[[#This Row],[TC]]</f>
        <v>0</v>
      </c>
      <c r="L2139" s="7" t="s">
        <v>376</v>
      </c>
      <c r="M2139" s="7" t="s">
        <v>377</v>
      </c>
      <c r="N2139" s="7" t="s">
        <v>20</v>
      </c>
      <c r="O2139" s="7" t="s">
        <v>184</v>
      </c>
      <c r="P2139" s="7" t="s">
        <v>185</v>
      </c>
      <c r="Q2139" s="7" t="s">
        <v>186</v>
      </c>
      <c r="U2139" s="7" t="s">
        <v>384</v>
      </c>
      <c r="W2139" s="7" t="s">
        <v>380</v>
      </c>
      <c r="X2139" s="7" t="s">
        <v>99</v>
      </c>
      <c r="Y2139" s="7" t="s">
        <v>23</v>
      </c>
    </row>
    <row r="2140" spans="1:25" s="7" customFormat="1" hidden="1" x14ac:dyDescent="0.25">
      <c r="A2140" s="247" t="s">
        <v>320</v>
      </c>
      <c r="B2140" s="248">
        <v>45937</v>
      </c>
      <c r="C2140" s="244" t="s">
        <v>773</v>
      </c>
      <c r="D2140" s="244"/>
      <c r="E2140" s="249">
        <v>3725.74</v>
      </c>
      <c r="F2140" s="249">
        <v>0</v>
      </c>
      <c r="G2140" s="266">
        <f>Tabla3[[#This Row],[INGRESOS]]-Tabla3[[#This Row],[EGRESOS]]</f>
        <v>-3725.74</v>
      </c>
      <c r="H2140" s="266">
        <v>-11113060.560000001</v>
      </c>
      <c r="I2140" s="119">
        <v>1410</v>
      </c>
      <c r="J2140" s="99">
        <f>Tabla3[[#This Row],[EGRESOS]]/Tabla3[[#This Row],[TC]]</f>
        <v>2.6423687943262411</v>
      </c>
      <c r="K2140" s="99">
        <f>Tabla3[[#This Row],[INGRESOS]]/Tabla3[[#This Row],[TC]]</f>
        <v>0</v>
      </c>
      <c r="L2140" s="7" t="s">
        <v>376</v>
      </c>
      <c r="M2140" s="7" t="s">
        <v>377</v>
      </c>
      <c r="N2140" s="7" t="s">
        <v>20</v>
      </c>
      <c r="O2140" s="7" t="s">
        <v>184</v>
      </c>
      <c r="P2140" s="7" t="s">
        <v>195</v>
      </c>
      <c r="Q2140" s="7" t="s">
        <v>196</v>
      </c>
      <c r="R2140" s="7" t="s">
        <v>394</v>
      </c>
      <c r="U2140" s="7" t="s">
        <v>384</v>
      </c>
      <c r="W2140" s="7" t="s">
        <v>380</v>
      </c>
      <c r="X2140" s="7" t="s">
        <v>99</v>
      </c>
      <c r="Y2140" s="7" t="s">
        <v>23</v>
      </c>
    </row>
    <row r="2141" spans="1:25" s="7" customFormat="1" hidden="1" x14ac:dyDescent="0.25">
      <c r="A2141" s="247" t="s">
        <v>320</v>
      </c>
      <c r="B2141" s="248">
        <v>45938</v>
      </c>
      <c r="C2141" s="244" t="s">
        <v>782</v>
      </c>
      <c r="D2141" s="244">
        <v>61672519</v>
      </c>
      <c r="E2141" s="249">
        <v>500000</v>
      </c>
      <c r="F2141" s="249">
        <v>0</v>
      </c>
      <c r="G2141" s="266">
        <f>Tabla3[[#This Row],[INGRESOS]]-Tabla3[[#This Row],[EGRESOS]]</f>
        <v>-500000</v>
      </c>
      <c r="H2141" s="266">
        <v>-11613060.560000001</v>
      </c>
      <c r="I2141" s="119">
        <v>1410</v>
      </c>
      <c r="J2141" s="99">
        <f>Tabla3[[#This Row],[EGRESOS]]/Tabla3[[#This Row],[TC]]</f>
        <v>354.6099290780142</v>
      </c>
      <c r="K2141" s="99">
        <f>Tabla3[[#This Row],[INGRESOS]]/Tabla3[[#This Row],[TC]]</f>
        <v>0</v>
      </c>
      <c r="L2141" s="7" t="s">
        <v>376</v>
      </c>
      <c r="M2141" s="7" t="s">
        <v>377</v>
      </c>
      <c r="N2141" s="7" t="s">
        <v>20</v>
      </c>
      <c r="O2141" s="7" t="s">
        <v>215</v>
      </c>
      <c r="P2141" s="7" t="s">
        <v>223</v>
      </c>
      <c r="Q2141" s="7" t="s">
        <v>224</v>
      </c>
      <c r="R2141" s="7" t="s">
        <v>328</v>
      </c>
      <c r="S2141" s="7" t="s">
        <v>631</v>
      </c>
      <c r="T2141" s="7" t="s">
        <v>663</v>
      </c>
      <c r="U2141" s="7" t="s">
        <v>412</v>
      </c>
      <c r="W2141" s="7" t="s">
        <v>380</v>
      </c>
      <c r="X2141" s="7" t="s">
        <v>41</v>
      </c>
      <c r="Y2141" s="7" t="s">
        <v>23</v>
      </c>
    </row>
    <row r="2142" spans="1:25" s="7" customFormat="1" hidden="1" x14ac:dyDescent="0.25">
      <c r="A2142" s="247" t="s">
        <v>320</v>
      </c>
      <c r="B2142" s="248">
        <v>45938</v>
      </c>
      <c r="C2142" s="244" t="s">
        <v>1241</v>
      </c>
      <c r="D2142" s="244"/>
      <c r="E2142" s="249">
        <v>0</v>
      </c>
      <c r="F2142" s="249">
        <v>42184113</v>
      </c>
      <c r="G2142" s="266">
        <f>Tabla3[[#This Row],[INGRESOS]]-Tabla3[[#This Row],[EGRESOS]]</f>
        <v>42184113</v>
      </c>
      <c r="H2142" s="266">
        <v>30571052.440000001</v>
      </c>
      <c r="I2142" s="119">
        <v>1410</v>
      </c>
      <c r="J2142" s="99">
        <f>Tabla3[[#This Row],[EGRESOS]]/Tabla3[[#This Row],[TC]]</f>
        <v>0</v>
      </c>
      <c r="K2142" s="99">
        <f>Tabla3[[#This Row],[INGRESOS]]/Tabla3[[#This Row],[TC]]</f>
        <v>29917.810638297873</v>
      </c>
      <c r="L2142" s="7" t="s">
        <v>376</v>
      </c>
      <c r="M2142" s="7" t="s">
        <v>377</v>
      </c>
      <c r="N2142" s="7" t="s">
        <v>20</v>
      </c>
      <c r="O2142" s="7" t="s">
        <v>244</v>
      </c>
      <c r="P2142" s="7" t="s">
        <v>261</v>
      </c>
      <c r="Q2142" s="7" t="s">
        <v>267</v>
      </c>
      <c r="R2142" s="7" t="s">
        <v>1242</v>
      </c>
      <c r="S2142" s="7" t="s">
        <v>20</v>
      </c>
      <c r="U2142" s="8" t="s">
        <v>442</v>
      </c>
      <c r="W2142" s="7" t="s">
        <v>380</v>
      </c>
      <c r="X2142" s="7" t="s">
        <v>23</v>
      </c>
      <c r="Y2142" s="7" t="s">
        <v>91</v>
      </c>
    </row>
    <row r="2143" spans="1:25" s="7" customFormat="1" hidden="1" x14ac:dyDescent="0.25">
      <c r="A2143" s="247" t="s">
        <v>320</v>
      </c>
      <c r="B2143" s="248">
        <v>45938</v>
      </c>
      <c r="C2143" s="244" t="s">
        <v>404</v>
      </c>
      <c r="D2143" s="244"/>
      <c r="E2143" s="249">
        <v>22700000</v>
      </c>
      <c r="F2143" s="249">
        <v>0</v>
      </c>
      <c r="G2143" s="266">
        <f>Tabla3[[#This Row],[INGRESOS]]-Tabla3[[#This Row],[EGRESOS]]</f>
        <v>-22700000</v>
      </c>
      <c r="H2143" s="266">
        <v>7871052.4400000004</v>
      </c>
      <c r="I2143" s="119">
        <v>1410</v>
      </c>
      <c r="J2143" s="99">
        <f>Tabla3[[#This Row],[EGRESOS]]/Tabla3[[#This Row],[TC]]</f>
        <v>16099.290780141844</v>
      </c>
      <c r="K2143" s="99">
        <f>Tabla3[[#This Row],[INGRESOS]]/Tabla3[[#This Row],[TC]]</f>
        <v>0</v>
      </c>
      <c r="L2143" s="7" t="s">
        <v>376</v>
      </c>
      <c r="M2143" s="7" t="s">
        <v>377</v>
      </c>
      <c r="N2143" s="7" t="s">
        <v>20</v>
      </c>
      <c r="O2143" s="7" t="s">
        <v>244</v>
      </c>
      <c r="P2143" s="7" t="s">
        <v>259</v>
      </c>
      <c r="Q2143" s="7" t="s">
        <v>260</v>
      </c>
      <c r="R2143" s="7" t="s">
        <v>466</v>
      </c>
      <c r="U2143" s="7" t="s">
        <v>379</v>
      </c>
      <c r="W2143" s="7" t="s">
        <v>380</v>
      </c>
    </row>
    <row r="2144" spans="1:25" s="7" customFormat="1" hidden="1" x14ac:dyDescent="0.25">
      <c r="A2144" s="247" t="s">
        <v>320</v>
      </c>
      <c r="B2144" s="248">
        <v>45938</v>
      </c>
      <c r="C2144" s="244" t="s">
        <v>828</v>
      </c>
      <c r="D2144" s="244"/>
      <c r="E2144" s="249">
        <v>121</v>
      </c>
      <c r="F2144" s="249">
        <v>0</v>
      </c>
      <c r="G2144" s="266">
        <f>Tabla3[[#This Row],[INGRESOS]]-Tabla3[[#This Row],[EGRESOS]]</f>
        <v>-121</v>
      </c>
      <c r="H2144" s="266">
        <v>7870931.4400000004</v>
      </c>
      <c r="I2144" s="119">
        <v>1410</v>
      </c>
      <c r="J2144" s="99">
        <f>Tabla3[[#This Row],[EGRESOS]]/Tabla3[[#This Row],[TC]]</f>
        <v>8.5815602836879432E-2</v>
      </c>
      <c r="K2144" s="99">
        <f>Tabla3[[#This Row],[INGRESOS]]/Tabla3[[#This Row],[TC]]</f>
        <v>0</v>
      </c>
      <c r="L2144" s="7" t="s">
        <v>376</v>
      </c>
      <c r="M2144" s="7" t="s">
        <v>377</v>
      </c>
      <c r="N2144" s="7" t="s">
        <v>20</v>
      </c>
      <c r="O2144" s="7" t="s">
        <v>184</v>
      </c>
      <c r="P2144" s="7" t="s">
        <v>185</v>
      </c>
      <c r="Q2144" s="7" t="s">
        <v>186</v>
      </c>
      <c r="U2144" s="7" t="s">
        <v>384</v>
      </c>
      <c r="W2144" s="7" t="s">
        <v>380</v>
      </c>
      <c r="X2144" s="7" t="s">
        <v>99</v>
      </c>
      <c r="Y2144" s="7" t="s">
        <v>23</v>
      </c>
    </row>
    <row r="2145" spans="1:25" s="7" customFormat="1" hidden="1" x14ac:dyDescent="0.25">
      <c r="A2145" s="247" t="s">
        <v>320</v>
      </c>
      <c r="B2145" s="248">
        <v>45938</v>
      </c>
      <c r="C2145" s="244" t="s">
        <v>404</v>
      </c>
      <c r="D2145" s="244"/>
      <c r="E2145" s="249">
        <v>3200000</v>
      </c>
      <c r="F2145" s="249">
        <v>0</v>
      </c>
      <c r="G2145" s="266">
        <f>Tabla3[[#This Row],[INGRESOS]]-Tabla3[[#This Row],[EGRESOS]]</f>
        <v>-3200000</v>
      </c>
      <c r="H2145" s="266">
        <v>4670931.4400000004</v>
      </c>
      <c r="I2145" s="119">
        <v>1410</v>
      </c>
      <c r="J2145" s="99">
        <f>Tabla3[[#This Row],[EGRESOS]]/Tabla3[[#This Row],[TC]]</f>
        <v>2269.5035460992908</v>
      </c>
      <c r="K2145" s="99">
        <f>Tabla3[[#This Row],[INGRESOS]]/Tabla3[[#This Row],[TC]]</f>
        <v>0</v>
      </c>
      <c r="L2145" s="7" t="s">
        <v>376</v>
      </c>
      <c r="M2145" s="7" t="s">
        <v>377</v>
      </c>
      <c r="N2145" s="7" t="s">
        <v>20</v>
      </c>
      <c r="O2145" s="7" t="s">
        <v>244</v>
      </c>
      <c r="P2145" s="7" t="s">
        <v>259</v>
      </c>
      <c r="Q2145" s="7" t="s">
        <v>260</v>
      </c>
      <c r="R2145" s="7" t="s">
        <v>467</v>
      </c>
      <c r="U2145" s="7" t="s">
        <v>379</v>
      </c>
      <c r="W2145" s="7" t="s">
        <v>380</v>
      </c>
    </row>
    <row r="2146" spans="1:25" s="7" customFormat="1" hidden="1" x14ac:dyDescent="0.25">
      <c r="A2146" s="273" t="s">
        <v>320</v>
      </c>
      <c r="B2146" s="251">
        <v>45938</v>
      </c>
      <c r="C2146" s="252" t="s">
        <v>828</v>
      </c>
      <c r="D2146" s="252"/>
      <c r="E2146" s="253">
        <v>121</v>
      </c>
      <c r="F2146" s="253">
        <v>0</v>
      </c>
      <c r="G2146" s="274">
        <f>Tabla3[[#This Row],[INGRESOS]]-Tabla3[[#This Row],[EGRESOS]]</f>
        <v>-121</v>
      </c>
      <c r="H2146" s="274">
        <v>4670810.4400000004</v>
      </c>
      <c r="I2146" s="135">
        <v>1410</v>
      </c>
      <c r="J2146" s="136">
        <f>Tabla3[[#This Row],[EGRESOS]]/Tabla3[[#This Row],[TC]]</f>
        <v>8.5815602836879432E-2</v>
      </c>
      <c r="K2146" s="136">
        <f>Tabla3[[#This Row],[INGRESOS]]/Tabla3[[#This Row],[TC]]</f>
        <v>0</v>
      </c>
      <c r="L2146" s="8" t="s">
        <v>376</v>
      </c>
      <c r="M2146" s="8" t="s">
        <v>377</v>
      </c>
      <c r="N2146" s="8" t="s">
        <v>20</v>
      </c>
      <c r="O2146" s="8" t="s">
        <v>184</v>
      </c>
      <c r="P2146" s="8" t="s">
        <v>185</v>
      </c>
      <c r="Q2146" s="8" t="s">
        <v>186</v>
      </c>
      <c r="R2146" s="8"/>
      <c r="S2146" s="8"/>
      <c r="T2146" s="8"/>
      <c r="U2146" s="8" t="s">
        <v>384</v>
      </c>
      <c r="V2146" s="8"/>
      <c r="W2146" s="8" t="s">
        <v>380</v>
      </c>
      <c r="X2146" s="8" t="s">
        <v>99</v>
      </c>
      <c r="Y2146" s="8" t="s">
        <v>23</v>
      </c>
    </row>
    <row r="2147" spans="1:25" s="7" customFormat="1" hidden="1" x14ac:dyDescent="0.25">
      <c r="A2147" s="273" t="s">
        <v>320</v>
      </c>
      <c r="B2147" s="251">
        <v>45932</v>
      </c>
      <c r="C2147" s="252" t="s">
        <v>800</v>
      </c>
      <c r="D2147" s="252"/>
      <c r="E2147" s="253">
        <v>1000000</v>
      </c>
      <c r="F2147" s="253">
        <v>0</v>
      </c>
      <c r="G2147" s="274">
        <f>Tabla3[[#This Row],[INGRESOS]]-Tabla3[[#This Row],[EGRESOS]]</f>
        <v>-1000000</v>
      </c>
      <c r="H2147" s="274">
        <v>-9876093.1799999997</v>
      </c>
      <c r="I2147" s="135">
        <v>1410</v>
      </c>
      <c r="J2147" s="136">
        <f>Tabla3[[#This Row],[EGRESOS]]/Tabla3[[#This Row],[TC]]</f>
        <v>709.21985815602841</v>
      </c>
      <c r="K2147" s="136">
        <f>Tabla3[[#This Row],[INGRESOS]]/Tabla3[[#This Row],[TC]]</f>
        <v>0</v>
      </c>
      <c r="L2147" s="8" t="s">
        <v>376</v>
      </c>
      <c r="M2147" s="8" t="s">
        <v>377</v>
      </c>
      <c r="N2147" s="8" t="s">
        <v>20</v>
      </c>
      <c r="O2147" s="8" t="s">
        <v>184</v>
      </c>
      <c r="P2147" s="8" t="s">
        <v>203</v>
      </c>
      <c r="Q2147" s="8" t="s">
        <v>205</v>
      </c>
      <c r="R2147" s="8"/>
      <c r="S2147" s="8" t="s">
        <v>386</v>
      </c>
      <c r="T2147" s="8"/>
      <c r="U2147" s="8" t="s">
        <v>387</v>
      </c>
      <c r="V2147" s="8" t="s">
        <v>386</v>
      </c>
      <c r="W2147" s="8" t="s">
        <v>380</v>
      </c>
      <c r="X2147" s="8" t="s">
        <v>104</v>
      </c>
      <c r="Y2147" s="8" t="s">
        <v>23</v>
      </c>
    </row>
    <row r="2148" spans="1:25" s="7" customFormat="1" hidden="1" x14ac:dyDescent="0.25">
      <c r="A2148" s="273" t="s">
        <v>320</v>
      </c>
      <c r="B2148" s="251">
        <v>45938</v>
      </c>
      <c r="C2148" s="252" t="s">
        <v>828</v>
      </c>
      <c r="D2148" s="252"/>
      <c r="E2148" s="253">
        <v>121</v>
      </c>
      <c r="F2148" s="253">
        <v>0</v>
      </c>
      <c r="G2148" s="274">
        <f>Tabla3[[#This Row],[INGRESOS]]-Tabla3[[#This Row],[EGRESOS]]</f>
        <v>-121</v>
      </c>
      <c r="H2148" s="274">
        <v>3670689.44</v>
      </c>
      <c r="I2148" s="135">
        <v>1410</v>
      </c>
      <c r="J2148" s="136">
        <f>Tabla3[[#This Row],[EGRESOS]]/Tabla3[[#This Row],[TC]]</f>
        <v>8.5815602836879432E-2</v>
      </c>
      <c r="K2148" s="136">
        <f>Tabla3[[#This Row],[INGRESOS]]/Tabla3[[#This Row],[TC]]</f>
        <v>0</v>
      </c>
      <c r="L2148" s="8" t="s">
        <v>376</v>
      </c>
      <c r="M2148" s="8" t="s">
        <v>377</v>
      </c>
      <c r="N2148" s="8" t="s">
        <v>20</v>
      </c>
      <c r="O2148" s="8" t="s">
        <v>184</v>
      </c>
      <c r="P2148" s="8" t="s">
        <v>185</v>
      </c>
      <c r="Q2148" s="8" t="s">
        <v>186</v>
      </c>
      <c r="R2148" s="8"/>
      <c r="S2148" s="8"/>
      <c r="T2148" s="8"/>
      <c r="U2148" s="8" t="s">
        <v>384</v>
      </c>
      <c r="V2148" s="8"/>
      <c r="W2148" s="8" t="s">
        <v>380</v>
      </c>
      <c r="X2148" s="8" t="s">
        <v>99</v>
      </c>
      <c r="Y2148" s="8" t="s">
        <v>23</v>
      </c>
    </row>
    <row r="2149" spans="1:25" s="7" customFormat="1" hidden="1" x14ac:dyDescent="0.25">
      <c r="A2149" s="273" t="s">
        <v>320</v>
      </c>
      <c r="B2149" s="251">
        <v>45938</v>
      </c>
      <c r="C2149" s="252" t="s">
        <v>800</v>
      </c>
      <c r="D2149" s="252"/>
      <c r="E2149" s="253">
        <v>142000</v>
      </c>
      <c r="F2149" s="253">
        <v>0</v>
      </c>
      <c r="G2149" s="274">
        <f>Tabla3[[#This Row],[INGRESOS]]-Tabla3[[#This Row],[EGRESOS]]</f>
        <v>-142000</v>
      </c>
      <c r="H2149" s="274">
        <v>3528689.44</v>
      </c>
      <c r="I2149" s="135">
        <v>1410</v>
      </c>
      <c r="J2149" s="136">
        <f>Tabla3[[#This Row],[EGRESOS]]/Tabla3[[#This Row],[TC]]</f>
        <v>100.70921985815603</v>
      </c>
      <c r="K2149" s="136">
        <f>Tabla3[[#This Row],[INGRESOS]]/Tabla3[[#This Row],[TC]]</f>
        <v>0</v>
      </c>
      <c r="L2149" s="8" t="s">
        <v>376</v>
      </c>
      <c r="M2149" s="8" t="s">
        <v>377</v>
      </c>
      <c r="N2149" s="8" t="s">
        <v>20</v>
      </c>
      <c r="O2149" s="8" t="s">
        <v>225</v>
      </c>
      <c r="P2149" s="8" t="s">
        <v>226</v>
      </c>
      <c r="Q2149" s="8" t="s">
        <v>228</v>
      </c>
      <c r="R2149" s="8"/>
      <c r="S2149" s="8" t="s">
        <v>1243</v>
      </c>
      <c r="T2149" s="8"/>
      <c r="U2149" s="8" t="s">
        <v>412</v>
      </c>
      <c r="V2149" s="8"/>
      <c r="W2149" s="8" t="s">
        <v>475</v>
      </c>
      <c r="X2149" s="8" t="s">
        <v>29</v>
      </c>
      <c r="Y2149" s="8" t="s">
        <v>23</v>
      </c>
    </row>
    <row r="2150" spans="1:25" s="7" customFormat="1" hidden="1" x14ac:dyDescent="0.25">
      <c r="A2150" s="273" t="s">
        <v>320</v>
      </c>
      <c r="B2150" s="251">
        <v>45938</v>
      </c>
      <c r="C2150" s="252" t="s">
        <v>762</v>
      </c>
      <c r="D2150" s="252"/>
      <c r="E2150" s="253">
        <v>3549</v>
      </c>
      <c r="F2150" s="253">
        <v>0</v>
      </c>
      <c r="G2150" s="274">
        <f>Tabla3[[#This Row],[INGRESOS]]-Tabla3[[#This Row],[EGRESOS]]</f>
        <v>-3549</v>
      </c>
      <c r="H2150" s="274">
        <v>3525140.44</v>
      </c>
      <c r="I2150" s="135">
        <v>1410</v>
      </c>
      <c r="J2150" s="136">
        <f>Tabla3[[#This Row],[EGRESOS]]/Tabla3[[#This Row],[TC]]</f>
        <v>2.5170212765957447</v>
      </c>
      <c r="K2150" s="136">
        <f>Tabla3[[#This Row],[INGRESOS]]/Tabla3[[#This Row],[TC]]</f>
        <v>0</v>
      </c>
      <c r="L2150" s="8" t="s">
        <v>376</v>
      </c>
      <c r="M2150" s="8" t="s">
        <v>377</v>
      </c>
      <c r="N2150" s="8" t="s">
        <v>20</v>
      </c>
      <c r="O2150" s="8" t="s">
        <v>184</v>
      </c>
      <c r="P2150" s="8" t="s">
        <v>195</v>
      </c>
      <c r="Q2150" s="8" t="s">
        <v>196</v>
      </c>
      <c r="R2150" s="8" t="s">
        <v>382</v>
      </c>
      <c r="S2150" s="8"/>
      <c r="T2150" s="8"/>
      <c r="U2150" s="8" t="s">
        <v>384</v>
      </c>
      <c r="V2150" s="8"/>
      <c r="W2150" s="8" t="s">
        <v>380</v>
      </c>
      <c r="X2150" s="8" t="s">
        <v>99</v>
      </c>
      <c r="Y2150" s="8" t="s">
        <v>23</v>
      </c>
    </row>
    <row r="2151" spans="1:25" s="7" customFormat="1" hidden="1" x14ac:dyDescent="0.25">
      <c r="A2151" s="273" t="s">
        <v>320</v>
      </c>
      <c r="B2151" s="251">
        <v>45938</v>
      </c>
      <c r="C2151" s="252" t="s">
        <v>763</v>
      </c>
      <c r="D2151" s="252"/>
      <c r="E2151" s="253">
        <v>507</v>
      </c>
      <c r="F2151" s="253">
        <v>0</v>
      </c>
      <c r="G2151" s="274">
        <f>Tabla3[[#This Row],[INGRESOS]]-Tabla3[[#This Row],[EGRESOS]]</f>
        <v>-507</v>
      </c>
      <c r="H2151" s="274">
        <v>3524633.44</v>
      </c>
      <c r="I2151" s="135">
        <v>1410</v>
      </c>
      <c r="J2151" s="136">
        <f>Tabla3[[#This Row],[EGRESOS]]/Tabla3[[#This Row],[TC]]</f>
        <v>0.3595744680851064</v>
      </c>
      <c r="K2151" s="136">
        <f>Tabla3[[#This Row],[INGRESOS]]/Tabla3[[#This Row],[TC]]</f>
        <v>0</v>
      </c>
      <c r="L2151" s="8" t="s">
        <v>376</v>
      </c>
      <c r="M2151" s="8" t="s">
        <v>377</v>
      </c>
      <c r="N2151" s="8" t="s">
        <v>20</v>
      </c>
      <c r="O2151" s="8" t="s">
        <v>184</v>
      </c>
      <c r="P2151" s="8" t="s">
        <v>195</v>
      </c>
      <c r="Q2151" s="8" t="s">
        <v>196</v>
      </c>
      <c r="R2151" s="8" t="s">
        <v>417</v>
      </c>
      <c r="S2151" s="8" t="s">
        <v>383</v>
      </c>
      <c r="T2151" s="8"/>
      <c r="U2151" s="8" t="s">
        <v>384</v>
      </c>
      <c r="V2151" s="8"/>
      <c r="W2151" s="8" t="s">
        <v>380</v>
      </c>
      <c r="X2151" s="8" t="s">
        <v>99</v>
      </c>
      <c r="Y2151" s="8" t="s">
        <v>23</v>
      </c>
    </row>
    <row r="2152" spans="1:25" s="7" customFormat="1" hidden="1" x14ac:dyDescent="0.25">
      <c r="A2152" s="273" t="s">
        <v>320</v>
      </c>
      <c r="B2152" s="251">
        <v>45938</v>
      </c>
      <c r="C2152" s="252" t="s">
        <v>794</v>
      </c>
      <c r="D2152" s="252"/>
      <c r="E2152" s="253">
        <v>16900</v>
      </c>
      <c r="F2152" s="253">
        <v>0</v>
      </c>
      <c r="G2152" s="274">
        <f>Tabla3[[#This Row],[INGRESOS]]-Tabla3[[#This Row],[EGRESOS]]</f>
        <v>-16900</v>
      </c>
      <c r="H2152" s="274">
        <v>3507733.44</v>
      </c>
      <c r="I2152" s="135">
        <v>1410</v>
      </c>
      <c r="J2152" s="136">
        <f>Tabla3[[#This Row],[EGRESOS]]/Tabla3[[#This Row],[TC]]</f>
        <v>11.98581560283688</v>
      </c>
      <c r="K2152" s="136">
        <f>Tabla3[[#This Row],[INGRESOS]]/Tabla3[[#This Row],[TC]]</f>
        <v>0</v>
      </c>
      <c r="L2152" s="8" t="s">
        <v>376</v>
      </c>
      <c r="M2152" s="8" t="s">
        <v>377</v>
      </c>
      <c r="N2152" s="8" t="s">
        <v>20</v>
      </c>
      <c r="O2152" s="8" t="s">
        <v>184</v>
      </c>
      <c r="P2152" s="8" t="s">
        <v>185</v>
      </c>
      <c r="Q2152" s="8" t="s">
        <v>186</v>
      </c>
      <c r="R2152" s="8"/>
      <c r="S2152" s="8"/>
      <c r="T2152" s="8"/>
      <c r="U2152" s="8" t="s">
        <v>384</v>
      </c>
      <c r="V2152" s="8"/>
      <c r="W2152" s="8" t="s">
        <v>380</v>
      </c>
      <c r="X2152" s="8" t="s">
        <v>99</v>
      </c>
      <c r="Y2152" s="8" t="s">
        <v>23</v>
      </c>
    </row>
    <row r="2153" spans="1:25" s="7" customFormat="1" hidden="1" x14ac:dyDescent="0.25">
      <c r="A2153" s="273" t="s">
        <v>320</v>
      </c>
      <c r="B2153" s="251">
        <v>45938</v>
      </c>
      <c r="C2153" s="252" t="s">
        <v>773</v>
      </c>
      <c r="D2153" s="252"/>
      <c r="E2153" s="253">
        <v>9979.93</v>
      </c>
      <c r="F2153" s="253">
        <v>0</v>
      </c>
      <c r="G2153" s="274">
        <f>Tabla3[[#This Row],[INGRESOS]]-Tabla3[[#This Row],[EGRESOS]]</f>
        <v>-9979.93</v>
      </c>
      <c r="H2153" s="274">
        <v>3497753.51</v>
      </c>
      <c r="I2153" s="135">
        <v>1410</v>
      </c>
      <c r="J2153" s="136">
        <f>Tabla3[[#This Row],[EGRESOS]]/Tabla3[[#This Row],[TC]]</f>
        <v>7.077964539007092</v>
      </c>
      <c r="K2153" s="136">
        <f>Tabla3[[#This Row],[INGRESOS]]/Tabla3[[#This Row],[TC]]</f>
        <v>0</v>
      </c>
      <c r="L2153" s="8" t="s">
        <v>376</v>
      </c>
      <c r="M2153" s="8" t="s">
        <v>377</v>
      </c>
      <c r="N2153" s="8" t="s">
        <v>20</v>
      </c>
      <c r="O2153" s="8" t="s">
        <v>184</v>
      </c>
      <c r="P2153" s="8" t="s">
        <v>195</v>
      </c>
      <c r="Q2153" s="8" t="s">
        <v>196</v>
      </c>
      <c r="R2153" s="8" t="s">
        <v>394</v>
      </c>
      <c r="S2153" s="8"/>
      <c r="T2153" s="8"/>
      <c r="U2153" s="8" t="s">
        <v>384</v>
      </c>
      <c r="V2153" s="8"/>
      <c r="W2153" s="8" t="s">
        <v>380</v>
      </c>
      <c r="X2153" s="8" t="s">
        <v>99</v>
      </c>
      <c r="Y2153" s="8" t="s">
        <v>23</v>
      </c>
    </row>
    <row r="2154" spans="1:25" s="7" customFormat="1" hidden="1" x14ac:dyDescent="0.25">
      <c r="A2154" s="273" t="s">
        <v>320</v>
      </c>
      <c r="B2154" s="251">
        <v>45939</v>
      </c>
      <c r="C2154" s="252" t="s">
        <v>404</v>
      </c>
      <c r="D2154" s="252"/>
      <c r="E2154" s="253">
        <v>717043.72</v>
      </c>
      <c r="F2154" s="253">
        <v>0</v>
      </c>
      <c r="G2154" s="274">
        <f>Tabla3[[#This Row],[INGRESOS]]-Tabla3[[#This Row],[EGRESOS]]</f>
        <v>-717043.72</v>
      </c>
      <c r="H2154" s="274">
        <v>2780709.79</v>
      </c>
      <c r="I2154" s="135">
        <v>1410</v>
      </c>
      <c r="J2154" s="136">
        <f>Tabla3[[#This Row],[EGRESOS]]/Tabla3[[#This Row],[TC]]</f>
        <v>508.54164539007093</v>
      </c>
      <c r="K2154" s="136">
        <f>Tabla3[[#This Row],[INGRESOS]]/Tabla3[[#This Row],[TC]]</f>
        <v>0</v>
      </c>
      <c r="L2154" s="8" t="s">
        <v>376</v>
      </c>
      <c r="M2154" s="8" t="s">
        <v>377</v>
      </c>
      <c r="N2154" s="8" t="s">
        <v>20</v>
      </c>
      <c r="O2154" s="8" t="s">
        <v>244</v>
      </c>
      <c r="P2154" s="8" t="s">
        <v>259</v>
      </c>
      <c r="Q2154" s="8" t="s">
        <v>260</v>
      </c>
      <c r="R2154" s="8" t="s">
        <v>466</v>
      </c>
      <c r="S2154" s="8"/>
      <c r="T2154" s="8"/>
      <c r="U2154" s="8" t="s">
        <v>379</v>
      </c>
      <c r="V2154" s="8"/>
      <c r="W2154" s="8" t="s">
        <v>380</v>
      </c>
      <c r="X2154" s="8"/>
      <c r="Y2154" s="8"/>
    </row>
    <row r="2155" spans="1:25" s="7" customFormat="1" hidden="1" x14ac:dyDescent="0.25">
      <c r="A2155" s="273" t="s">
        <v>320</v>
      </c>
      <c r="B2155" s="251">
        <v>45939</v>
      </c>
      <c r="C2155" s="252" t="s">
        <v>828</v>
      </c>
      <c r="D2155" s="252"/>
      <c r="E2155" s="253">
        <v>121</v>
      </c>
      <c r="F2155" s="253">
        <v>0</v>
      </c>
      <c r="G2155" s="274">
        <f>Tabla3[[#This Row],[INGRESOS]]-Tabla3[[#This Row],[EGRESOS]]</f>
        <v>-121</v>
      </c>
      <c r="H2155" s="274">
        <v>2780588.79</v>
      </c>
      <c r="I2155" s="135">
        <v>1410</v>
      </c>
      <c r="J2155" s="136">
        <f>Tabla3[[#This Row],[EGRESOS]]/Tabla3[[#This Row],[TC]]</f>
        <v>8.5815602836879432E-2</v>
      </c>
      <c r="K2155" s="136">
        <f>Tabla3[[#This Row],[INGRESOS]]/Tabla3[[#This Row],[TC]]</f>
        <v>0</v>
      </c>
      <c r="L2155" s="8" t="s">
        <v>376</v>
      </c>
      <c r="M2155" s="8" t="s">
        <v>377</v>
      </c>
      <c r="N2155" s="8" t="s">
        <v>20</v>
      </c>
      <c r="O2155" s="8" t="s">
        <v>184</v>
      </c>
      <c r="P2155" s="8" t="s">
        <v>185</v>
      </c>
      <c r="Q2155" s="8" t="s">
        <v>186</v>
      </c>
      <c r="R2155" s="8"/>
      <c r="S2155" s="8"/>
      <c r="T2155" s="8"/>
      <c r="U2155" s="8" t="s">
        <v>384</v>
      </c>
      <c r="V2155" s="8"/>
      <c r="W2155" s="8" t="s">
        <v>380</v>
      </c>
      <c r="X2155" s="8" t="s">
        <v>99</v>
      </c>
      <c r="Y2155" s="8" t="s">
        <v>23</v>
      </c>
    </row>
    <row r="2156" spans="1:25" s="7" customFormat="1" hidden="1" x14ac:dyDescent="0.25">
      <c r="A2156" s="273" t="s">
        <v>320</v>
      </c>
      <c r="B2156" s="251">
        <v>45939</v>
      </c>
      <c r="C2156" s="252" t="s">
        <v>773</v>
      </c>
      <c r="D2156" s="252"/>
      <c r="E2156" s="253">
        <v>0.73</v>
      </c>
      <c r="F2156" s="253">
        <v>0</v>
      </c>
      <c r="G2156" s="274">
        <f>Tabla3[[#This Row],[INGRESOS]]-Tabla3[[#This Row],[EGRESOS]]</f>
        <v>-0.73</v>
      </c>
      <c r="H2156" s="274">
        <v>2780588.06</v>
      </c>
      <c r="I2156" s="135">
        <v>1410</v>
      </c>
      <c r="J2156" s="136">
        <f>Tabla3[[#This Row],[EGRESOS]]/Tabla3[[#This Row],[TC]]</f>
        <v>5.1773049645390066E-4</v>
      </c>
      <c r="K2156" s="136">
        <f>Tabla3[[#This Row],[INGRESOS]]/Tabla3[[#This Row],[TC]]</f>
        <v>0</v>
      </c>
      <c r="L2156" s="8" t="s">
        <v>376</v>
      </c>
      <c r="M2156" s="8" t="s">
        <v>377</v>
      </c>
      <c r="N2156" s="8" t="s">
        <v>20</v>
      </c>
      <c r="O2156" s="8" t="s">
        <v>184</v>
      </c>
      <c r="P2156" s="8" t="s">
        <v>195</v>
      </c>
      <c r="Q2156" s="8" t="s">
        <v>196</v>
      </c>
      <c r="R2156" s="8" t="s">
        <v>394</v>
      </c>
      <c r="S2156" s="8"/>
      <c r="T2156" s="8"/>
      <c r="U2156" s="8" t="s">
        <v>384</v>
      </c>
      <c r="V2156" s="8"/>
      <c r="W2156" s="8" t="s">
        <v>380</v>
      </c>
      <c r="X2156" s="8" t="s">
        <v>99</v>
      </c>
      <c r="Y2156" s="8" t="s">
        <v>23</v>
      </c>
    </row>
    <row r="2157" spans="1:25" s="7" customFormat="1" hidden="1" x14ac:dyDescent="0.25">
      <c r="A2157" s="273" t="s">
        <v>320</v>
      </c>
      <c r="B2157" s="251">
        <v>45943</v>
      </c>
      <c r="C2157" s="252" t="s">
        <v>404</v>
      </c>
      <c r="D2157" s="252"/>
      <c r="E2157" s="253">
        <v>8700000</v>
      </c>
      <c r="F2157" s="253">
        <v>0</v>
      </c>
      <c r="G2157" s="274">
        <f>Tabla3[[#This Row],[INGRESOS]]-Tabla3[[#This Row],[EGRESOS]]</f>
        <v>-8700000</v>
      </c>
      <c r="H2157" s="274">
        <v>-5919411.9400000004</v>
      </c>
      <c r="I2157" s="135">
        <v>1410</v>
      </c>
      <c r="J2157" s="136">
        <f>Tabla3[[#This Row],[EGRESOS]]/Tabla3[[#This Row],[TC]]</f>
        <v>6170.2127659574471</v>
      </c>
      <c r="K2157" s="136">
        <f>Tabla3[[#This Row],[INGRESOS]]/Tabla3[[#This Row],[TC]]</f>
        <v>0</v>
      </c>
      <c r="L2157" s="8" t="s">
        <v>376</v>
      </c>
      <c r="M2157" s="8" t="s">
        <v>377</v>
      </c>
      <c r="N2157" s="8" t="s">
        <v>20</v>
      </c>
      <c r="O2157" s="8" t="s">
        <v>244</v>
      </c>
      <c r="P2157" s="8" t="s">
        <v>259</v>
      </c>
      <c r="Q2157" s="8" t="s">
        <v>260</v>
      </c>
      <c r="R2157" s="8" t="s">
        <v>466</v>
      </c>
      <c r="S2157" s="8"/>
      <c r="T2157" s="8"/>
      <c r="U2157" s="8" t="s">
        <v>379</v>
      </c>
      <c r="V2157" s="8"/>
      <c r="W2157" s="8" t="s">
        <v>380</v>
      </c>
      <c r="X2157" s="8"/>
      <c r="Y2157" s="8"/>
    </row>
    <row r="2158" spans="1:25" s="7" customFormat="1" hidden="1" x14ac:dyDescent="0.25">
      <c r="A2158" s="273" t="s">
        <v>320</v>
      </c>
      <c r="B2158" s="251">
        <v>45943</v>
      </c>
      <c r="C2158" s="252" t="s">
        <v>828</v>
      </c>
      <c r="D2158" s="252"/>
      <c r="E2158" s="253">
        <v>121</v>
      </c>
      <c r="F2158" s="253">
        <v>0</v>
      </c>
      <c r="G2158" s="274">
        <f>Tabla3[[#This Row],[INGRESOS]]-Tabla3[[#This Row],[EGRESOS]]</f>
        <v>-121</v>
      </c>
      <c r="H2158" s="274">
        <v>-5919532.9400000004</v>
      </c>
      <c r="I2158" s="135">
        <v>1410</v>
      </c>
      <c r="J2158" s="136">
        <f>Tabla3[[#This Row],[EGRESOS]]/Tabla3[[#This Row],[TC]]</f>
        <v>8.5815602836879432E-2</v>
      </c>
      <c r="K2158" s="136">
        <f>Tabla3[[#This Row],[INGRESOS]]/Tabla3[[#This Row],[TC]]</f>
        <v>0</v>
      </c>
      <c r="L2158" s="8" t="s">
        <v>376</v>
      </c>
      <c r="M2158" s="8" t="s">
        <v>377</v>
      </c>
      <c r="N2158" s="8" t="s">
        <v>20</v>
      </c>
      <c r="O2158" s="8" t="s">
        <v>184</v>
      </c>
      <c r="P2158" s="8" t="s">
        <v>185</v>
      </c>
      <c r="Q2158" s="8" t="s">
        <v>186</v>
      </c>
      <c r="R2158" s="8"/>
      <c r="S2158" s="8"/>
      <c r="T2158" s="8"/>
      <c r="U2158" s="8" t="s">
        <v>384</v>
      </c>
      <c r="V2158" s="8"/>
      <c r="W2158" s="8" t="s">
        <v>380</v>
      </c>
      <c r="X2158" s="8" t="s">
        <v>99</v>
      </c>
      <c r="Y2158" s="8" t="s">
        <v>23</v>
      </c>
    </row>
    <row r="2159" spans="1:25" s="7" customFormat="1" hidden="1" x14ac:dyDescent="0.25">
      <c r="A2159" s="273" t="s">
        <v>320</v>
      </c>
      <c r="B2159" s="251">
        <v>45938</v>
      </c>
      <c r="C2159" s="252" t="s">
        <v>800</v>
      </c>
      <c r="D2159" s="252"/>
      <c r="E2159" s="253">
        <v>1000000</v>
      </c>
      <c r="F2159" s="253">
        <v>0</v>
      </c>
      <c r="G2159" s="274">
        <f>Tabla3[[#This Row],[INGRESOS]]-Tabla3[[#This Row],[EGRESOS]]</f>
        <v>-1000000</v>
      </c>
      <c r="H2159" s="274">
        <v>3670810.44</v>
      </c>
      <c r="I2159" s="135">
        <v>1410</v>
      </c>
      <c r="J2159" s="136">
        <f>Tabla3[[#This Row],[EGRESOS]]/Tabla3[[#This Row],[TC]]</f>
        <v>709.21985815602841</v>
      </c>
      <c r="K2159" s="136">
        <f>Tabla3[[#This Row],[INGRESOS]]/Tabla3[[#This Row],[TC]]</f>
        <v>0</v>
      </c>
      <c r="L2159" s="8" t="s">
        <v>376</v>
      </c>
      <c r="M2159" s="8" t="s">
        <v>377</v>
      </c>
      <c r="N2159" s="8" t="s">
        <v>20</v>
      </c>
      <c r="O2159" s="8" t="s">
        <v>184</v>
      </c>
      <c r="P2159" s="8" t="s">
        <v>203</v>
      </c>
      <c r="Q2159" s="8" t="s">
        <v>205</v>
      </c>
      <c r="R2159" s="8"/>
      <c r="S2159" s="8" t="s">
        <v>386</v>
      </c>
      <c r="T2159" s="8"/>
      <c r="U2159" s="8" t="s">
        <v>387</v>
      </c>
      <c r="V2159" s="8" t="s">
        <v>386</v>
      </c>
      <c r="W2159" s="8" t="s">
        <v>380</v>
      </c>
      <c r="X2159" s="8" t="s">
        <v>104</v>
      </c>
      <c r="Y2159" s="8" t="s">
        <v>23</v>
      </c>
    </row>
    <row r="2160" spans="1:25" s="7" customFormat="1" hidden="1" x14ac:dyDescent="0.25">
      <c r="A2160" s="273" t="s">
        <v>320</v>
      </c>
      <c r="B2160" s="251">
        <v>45943</v>
      </c>
      <c r="C2160" s="252" t="s">
        <v>828</v>
      </c>
      <c r="D2160" s="252"/>
      <c r="E2160" s="253">
        <v>121</v>
      </c>
      <c r="F2160" s="253">
        <v>0</v>
      </c>
      <c r="G2160" s="274">
        <f>Tabla3[[#This Row],[INGRESOS]]-Tabla3[[#This Row],[EGRESOS]]</f>
        <v>-121</v>
      </c>
      <c r="H2160" s="274">
        <v>-7249553.9400000004</v>
      </c>
      <c r="I2160" s="135">
        <v>1410</v>
      </c>
      <c r="J2160" s="136">
        <f>Tabla3[[#This Row],[EGRESOS]]/Tabla3[[#This Row],[TC]]</f>
        <v>8.5815602836879432E-2</v>
      </c>
      <c r="K2160" s="136">
        <f>Tabla3[[#This Row],[INGRESOS]]/Tabla3[[#This Row],[TC]]</f>
        <v>0</v>
      </c>
      <c r="L2160" s="8" t="s">
        <v>376</v>
      </c>
      <c r="M2160" s="8" t="s">
        <v>377</v>
      </c>
      <c r="N2160" s="8" t="s">
        <v>20</v>
      </c>
      <c r="O2160" s="8" t="s">
        <v>184</v>
      </c>
      <c r="P2160" s="8" t="s">
        <v>185</v>
      </c>
      <c r="Q2160" s="8" t="s">
        <v>186</v>
      </c>
      <c r="R2160" s="8"/>
      <c r="S2160" s="8"/>
      <c r="T2160" s="8"/>
      <c r="U2160" s="8" t="s">
        <v>384</v>
      </c>
      <c r="V2160" s="8"/>
      <c r="W2160" s="8" t="s">
        <v>380</v>
      </c>
      <c r="X2160" s="8" t="s">
        <v>99</v>
      </c>
      <c r="Y2160" s="8" t="s">
        <v>23</v>
      </c>
    </row>
    <row r="2161" spans="1:25" s="7" customFormat="1" hidden="1" x14ac:dyDescent="0.25">
      <c r="A2161" s="273" t="s">
        <v>320</v>
      </c>
      <c r="B2161" s="251">
        <v>45943</v>
      </c>
      <c r="C2161" s="252" t="s">
        <v>1245</v>
      </c>
      <c r="D2161" s="252"/>
      <c r="E2161" s="253">
        <v>121</v>
      </c>
      <c r="F2161" s="253">
        <v>0</v>
      </c>
      <c r="G2161" s="274">
        <f>Tabla3[[#This Row],[INGRESOS]]-Tabla3[[#This Row],[EGRESOS]]</f>
        <v>-121</v>
      </c>
      <c r="H2161" s="274">
        <v>-7249674.9400000004</v>
      </c>
      <c r="I2161" s="135">
        <v>1410</v>
      </c>
      <c r="J2161" s="136">
        <f>Tabla3[[#This Row],[EGRESOS]]/Tabla3[[#This Row],[TC]]</f>
        <v>8.5815602836879432E-2</v>
      </c>
      <c r="K2161" s="136">
        <f>Tabla3[[#This Row],[INGRESOS]]/Tabla3[[#This Row],[TC]]</f>
        <v>0</v>
      </c>
      <c r="L2161" s="8" t="s">
        <v>376</v>
      </c>
      <c r="M2161" s="8" t="s">
        <v>377</v>
      </c>
      <c r="N2161" s="8" t="s">
        <v>20</v>
      </c>
      <c r="O2161" s="8" t="s">
        <v>184</v>
      </c>
      <c r="P2161" s="8" t="s">
        <v>185</v>
      </c>
      <c r="Q2161" s="8" t="s">
        <v>186</v>
      </c>
      <c r="R2161" s="8"/>
      <c r="S2161" s="8"/>
      <c r="T2161" s="8"/>
      <c r="U2161" s="8" t="s">
        <v>384</v>
      </c>
      <c r="V2161" s="8"/>
      <c r="W2161" s="8" t="s">
        <v>380</v>
      </c>
      <c r="X2161" s="8" t="s">
        <v>99</v>
      </c>
      <c r="Y2161" s="8" t="s">
        <v>23</v>
      </c>
    </row>
    <row r="2162" spans="1:25" s="7" customFormat="1" hidden="1" x14ac:dyDescent="0.25">
      <c r="A2162" s="273" t="s">
        <v>320</v>
      </c>
      <c r="B2162" s="251">
        <v>45943</v>
      </c>
      <c r="C2162" s="252" t="s">
        <v>1246</v>
      </c>
      <c r="D2162" s="252"/>
      <c r="E2162" s="253">
        <v>880000</v>
      </c>
      <c r="F2162" s="253">
        <v>0</v>
      </c>
      <c r="G2162" s="274">
        <f>Tabla3[[#This Row],[INGRESOS]]-Tabla3[[#This Row],[EGRESOS]]</f>
        <v>-880000</v>
      </c>
      <c r="H2162" s="274">
        <v>-8129674.9400000004</v>
      </c>
      <c r="I2162" s="135">
        <v>1410</v>
      </c>
      <c r="J2162" s="136">
        <f>Tabla3[[#This Row],[EGRESOS]]/Tabla3[[#This Row],[TC]]</f>
        <v>624.11347517730496</v>
      </c>
      <c r="K2162" s="136">
        <f>Tabla3[[#This Row],[INGRESOS]]/Tabla3[[#This Row],[TC]]</f>
        <v>0</v>
      </c>
      <c r="L2162" s="8" t="s">
        <v>376</v>
      </c>
      <c r="M2162" s="8" t="s">
        <v>377</v>
      </c>
      <c r="N2162" s="8" t="s">
        <v>20</v>
      </c>
      <c r="O2162" s="8" t="s">
        <v>184</v>
      </c>
      <c r="P2162" s="8" t="s">
        <v>210</v>
      </c>
      <c r="Q2162" s="8" t="s">
        <v>205</v>
      </c>
      <c r="R2162" s="8" t="s">
        <v>1247</v>
      </c>
      <c r="S2162" s="8" t="s">
        <v>452</v>
      </c>
      <c r="T2162" s="8"/>
      <c r="U2162" s="8" t="s">
        <v>453</v>
      </c>
      <c r="V2162" s="8"/>
      <c r="W2162" s="8" t="s">
        <v>380</v>
      </c>
      <c r="X2162" s="8" t="s">
        <v>45</v>
      </c>
      <c r="Y2162" s="8" t="s">
        <v>23</v>
      </c>
    </row>
    <row r="2163" spans="1:25" s="7" customFormat="1" hidden="1" x14ac:dyDescent="0.25">
      <c r="A2163" s="273" t="s">
        <v>320</v>
      </c>
      <c r="B2163" s="251">
        <v>45943</v>
      </c>
      <c r="C2163" s="252" t="s">
        <v>404</v>
      </c>
      <c r="D2163" s="252"/>
      <c r="E2163" s="253">
        <v>500000</v>
      </c>
      <c r="F2163" s="253">
        <v>0</v>
      </c>
      <c r="G2163" s="274">
        <f>Tabla3[[#This Row],[INGRESOS]]-Tabla3[[#This Row],[EGRESOS]]</f>
        <v>-500000</v>
      </c>
      <c r="H2163" s="274">
        <v>-8629674.9399999995</v>
      </c>
      <c r="I2163" s="135">
        <v>1410</v>
      </c>
      <c r="J2163" s="136">
        <f>Tabla3[[#This Row],[EGRESOS]]/Tabla3[[#This Row],[TC]]</f>
        <v>354.6099290780142</v>
      </c>
      <c r="K2163" s="136">
        <f>Tabla3[[#This Row],[INGRESOS]]/Tabla3[[#This Row],[TC]]</f>
        <v>0</v>
      </c>
      <c r="L2163" s="8" t="s">
        <v>376</v>
      </c>
      <c r="M2163" s="8" t="s">
        <v>377</v>
      </c>
      <c r="N2163" s="8" t="s">
        <v>20</v>
      </c>
      <c r="O2163" s="8" t="s">
        <v>244</v>
      </c>
      <c r="P2163" s="8" t="s">
        <v>259</v>
      </c>
      <c r="Q2163" s="8" t="s">
        <v>260</v>
      </c>
      <c r="R2163" s="8" t="s">
        <v>466</v>
      </c>
      <c r="S2163" s="8"/>
      <c r="T2163" s="8"/>
      <c r="U2163" s="8" t="s">
        <v>379</v>
      </c>
      <c r="V2163" s="8"/>
      <c r="W2163" s="8" t="s">
        <v>380</v>
      </c>
      <c r="X2163" s="8"/>
      <c r="Y2163" s="8"/>
    </row>
    <row r="2164" spans="1:25" s="7" customFormat="1" hidden="1" x14ac:dyDescent="0.25">
      <c r="A2164" s="273" t="s">
        <v>320</v>
      </c>
      <c r="B2164" s="251">
        <v>45943</v>
      </c>
      <c r="C2164" s="252" t="s">
        <v>828</v>
      </c>
      <c r="D2164" s="252"/>
      <c r="E2164" s="253">
        <v>121</v>
      </c>
      <c r="F2164" s="253">
        <v>0</v>
      </c>
      <c r="G2164" s="274">
        <f>Tabla3[[#This Row],[INGRESOS]]-Tabla3[[#This Row],[EGRESOS]]</f>
        <v>-121</v>
      </c>
      <c r="H2164" s="274">
        <v>-8629795.9399999995</v>
      </c>
      <c r="I2164" s="135">
        <v>1410</v>
      </c>
      <c r="J2164" s="136">
        <f>Tabla3[[#This Row],[EGRESOS]]/Tabla3[[#This Row],[TC]]</f>
        <v>8.5815602836879432E-2</v>
      </c>
      <c r="K2164" s="136">
        <f>Tabla3[[#This Row],[INGRESOS]]/Tabla3[[#This Row],[TC]]</f>
        <v>0</v>
      </c>
      <c r="L2164" s="8" t="s">
        <v>376</v>
      </c>
      <c r="M2164" s="8" t="s">
        <v>377</v>
      </c>
      <c r="N2164" s="8" t="s">
        <v>20</v>
      </c>
      <c r="O2164" s="8" t="s">
        <v>184</v>
      </c>
      <c r="P2164" s="8" t="s">
        <v>185</v>
      </c>
      <c r="Q2164" s="8" t="s">
        <v>186</v>
      </c>
      <c r="R2164" s="8"/>
      <c r="S2164" s="8"/>
      <c r="T2164" s="8"/>
      <c r="U2164" s="8" t="s">
        <v>384</v>
      </c>
      <c r="V2164" s="8"/>
      <c r="W2164" s="8" t="s">
        <v>380</v>
      </c>
      <c r="X2164" s="8" t="s">
        <v>99</v>
      </c>
      <c r="Y2164" s="8" t="s">
        <v>23</v>
      </c>
    </row>
    <row r="2165" spans="1:25" s="7" customFormat="1" hidden="1" x14ac:dyDescent="0.25">
      <c r="A2165" s="247" t="s">
        <v>320</v>
      </c>
      <c r="B2165" s="248">
        <v>45943</v>
      </c>
      <c r="C2165" s="244" t="s">
        <v>550</v>
      </c>
      <c r="D2165" s="244"/>
      <c r="E2165" s="249">
        <v>2600000</v>
      </c>
      <c r="F2165" s="249">
        <v>0</v>
      </c>
      <c r="G2165" s="266">
        <f>Tabla3[[#This Row],[INGRESOS]]-Tabla3[[#This Row],[EGRESOS]]</f>
        <v>-2600000</v>
      </c>
      <c r="H2165" s="266"/>
      <c r="I2165" s="119">
        <v>1360</v>
      </c>
      <c r="J2165" s="99">
        <f>Tabla3[[#This Row],[EGRESOS]]/Tabla3[[#This Row],[TC]]</f>
        <v>1911.7647058823529</v>
      </c>
      <c r="K2165" s="99">
        <f>Tabla3[[#This Row],[INGRESOS]]/Tabla3[[#This Row],[TC]]</f>
        <v>0</v>
      </c>
      <c r="L2165" s="7" t="s">
        <v>376</v>
      </c>
      <c r="M2165" s="7" t="s">
        <v>377</v>
      </c>
      <c r="N2165" s="7" t="s">
        <v>30</v>
      </c>
      <c r="O2165" s="7" t="s">
        <v>184</v>
      </c>
      <c r="P2165" s="7" t="s">
        <v>203</v>
      </c>
      <c r="Q2165" s="7" t="s">
        <v>208</v>
      </c>
      <c r="S2165" s="7" t="s">
        <v>386</v>
      </c>
      <c r="U2165" s="7" t="s">
        <v>387</v>
      </c>
      <c r="V2165" s="7" t="s">
        <v>386</v>
      </c>
      <c r="W2165" s="7" t="s">
        <v>380</v>
      </c>
      <c r="X2165" s="7" t="s">
        <v>104</v>
      </c>
      <c r="Y2165" s="7" t="s">
        <v>23</v>
      </c>
    </row>
    <row r="2166" spans="1:25" s="7" customFormat="1" hidden="1" x14ac:dyDescent="0.25">
      <c r="A2166" s="273" t="s">
        <v>320</v>
      </c>
      <c r="B2166" s="251">
        <v>45943</v>
      </c>
      <c r="C2166" s="252" t="s">
        <v>828</v>
      </c>
      <c r="D2166" s="252"/>
      <c r="E2166" s="253">
        <v>121</v>
      </c>
      <c r="F2166" s="253">
        <v>0</v>
      </c>
      <c r="G2166" s="274">
        <f>Tabla3[[#This Row],[INGRESOS]]-Tabla3[[#This Row],[EGRESOS]]</f>
        <v>-121</v>
      </c>
      <c r="H2166" s="274">
        <v>-9629916.9399999995</v>
      </c>
      <c r="I2166" s="135">
        <v>1410</v>
      </c>
      <c r="J2166" s="136">
        <f>Tabla3[[#This Row],[EGRESOS]]/Tabla3[[#This Row],[TC]]</f>
        <v>8.5815602836879432E-2</v>
      </c>
      <c r="K2166" s="136">
        <f>Tabla3[[#This Row],[INGRESOS]]/Tabla3[[#This Row],[TC]]</f>
        <v>0</v>
      </c>
      <c r="L2166" s="8" t="s">
        <v>376</v>
      </c>
      <c r="M2166" s="8" t="s">
        <v>377</v>
      </c>
      <c r="N2166" s="8" t="s">
        <v>20</v>
      </c>
      <c r="O2166" s="8" t="s">
        <v>184</v>
      </c>
      <c r="P2166" s="8" t="s">
        <v>185</v>
      </c>
      <c r="Q2166" s="8" t="s">
        <v>186</v>
      </c>
      <c r="R2166" s="8"/>
      <c r="S2166" s="8"/>
      <c r="T2166" s="8"/>
      <c r="U2166" s="8" t="s">
        <v>384</v>
      </c>
      <c r="V2166" s="8"/>
      <c r="W2166" s="8" t="s">
        <v>380</v>
      </c>
      <c r="X2166" s="8" t="s">
        <v>99</v>
      </c>
      <c r="Y2166" s="8" t="s">
        <v>23</v>
      </c>
    </row>
    <row r="2167" spans="1:25" s="7" customFormat="1" hidden="1" x14ac:dyDescent="0.25">
      <c r="A2167" s="273" t="s">
        <v>320</v>
      </c>
      <c r="B2167" s="251">
        <v>45943</v>
      </c>
      <c r="C2167" s="252" t="s">
        <v>773</v>
      </c>
      <c r="D2167" s="252"/>
      <c r="E2167" s="253">
        <v>19263.05</v>
      </c>
      <c r="F2167" s="253">
        <v>0</v>
      </c>
      <c r="G2167" s="274">
        <f>Tabla3[[#This Row],[INGRESOS]]-Tabla3[[#This Row],[EGRESOS]]</f>
        <v>-19263.05</v>
      </c>
      <c r="H2167" s="274">
        <v>-9649179.9900000002</v>
      </c>
      <c r="I2167" s="135">
        <v>1410</v>
      </c>
      <c r="J2167" s="136">
        <f>Tabla3[[#This Row],[EGRESOS]]/Tabla3[[#This Row],[TC]]</f>
        <v>13.661737588652482</v>
      </c>
      <c r="K2167" s="136">
        <f>Tabla3[[#This Row],[INGRESOS]]/Tabla3[[#This Row],[TC]]</f>
        <v>0</v>
      </c>
      <c r="L2167" s="8" t="s">
        <v>376</v>
      </c>
      <c r="M2167" s="8" t="s">
        <v>377</v>
      </c>
      <c r="N2167" s="8" t="s">
        <v>20</v>
      </c>
      <c r="O2167" s="8" t="s">
        <v>184</v>
      </c>
      <c r="P2167" s="8" t="s">
        <v>195</v>
      </c>
      <c r="Q2167" s="8" t="s">
        <v>196</v>
      </c>
      <c r="R2167" s="8" t="s">
        <v>394</v>
      </c>
      <c r="S2167" s="8"/>
      <c r="T2167" s="8"/>
      <c r="U2167" s="8" t="s">
        <v>384</v>
      </c>
      <c r="V2167" s="8"/>
      <c r="W2167" s="8" t="s">
        <v>380</v>
      </c>
      <c r="X2167" s="8" t="s">
        <v>99</v>
      </c>
      <c r="Y2167" s="8" t="s">
        <v>23</v>
      </c>
    </row>
    <row r="2168" spans="1:25" s="7" customFormat="1" hidden="1" x14ac:dyDescent="0.25">
      <c r="A2168" s="273" t="s">
        <v>320</v>
      </c>
      <c r="B2168" s="251">
        <v>45944</v>
      </c>
      <c r="C2168" s="252" t="s">
        <v>985</v>
      </c>
      <c r="D2168" s="252"/>
      <c r="E2168" s="253">
        <v>0</v>
      </c>
      <c r="F2168" s="253">
        <v>1071916.6200000001</v>
      </c>
      <c r="G2168" s="274">
        <f>Tabla3[[#This Row],[INGRESOS]]-Tabla3[[#This Row],[EGRESOS]]</f>
        <v>1071916.6200000001</v>
      </c>
      <c r="H2168" s="274">
        <v>-8577263.3699999992</v>
      </c>
      <c r="I2168" s="135">
        <v>1410</v>
      </c>
      <c r="J2168" s="136">
        <f>Tabla3[[#This Row],[EGRESOS]]/Tabla3[[#This Row],[TC]]</f>
        <v>0</v>
      </c>
      <c r="K2168" s="136">
        <f>Tabla3[[#This Row],[INGRESOS]]/Tabla3[[#This Row],[TC]]</f>
        <v>760.22455319148946</v>
      </c>
      <c r="L2168" s="8" t="s">
        <v>376</v>
      </c>
      <c r="M2168" s="8" t="s">
        <v>377</v>
      </c>
      <c r="N2168" s="8" t="s">
        <v>20</v>
      </c>
      <c r="O2168" s="8" t="s">
        <v>244</v>
      </c>
      <c r="P2168" s="8" t="s">
        <v>261</v>
      </c>
      <c r="Q2168" s="8" t="s">
        <v>253</v>
      </c>
      <c r="R2168" s="8" t="s">
        <v>1130</v>
      </c>
      <c r="S2168" s="8" t="s">
        <v>20</v>
      </c>
      <c r="T2168" s="8"/>
      <c r="U2168" s="8" t="s">
        <v>442</v>
      </c>
      <c r="V2168" s="8"/>
      <c r="W2168" s="8" t="s">
        <v>380</v>
      </c>
      <c r="X2168" s="8" t="s">
        <v>85</v>
      </c>
      <c r="Y2168" s="8" t="s">
        <v>23</v>
      </c>
    </row>
    <row r="2169" spans="1:25" s="7" customFormat="1" hidden="1" x14ac:dyDescent="0.25">
      <c r="A2169" s="273" t="s">
        <v>320</v>
      </c>
      <c r="B2169" s="251">
        <v>45944</v>
      </c>
      <c r="C2169" s="252" t="s">
        <v>760</v>
      </c>
      <c r="D2169" s="252"/>
      <c r="E2169" s="253">
        <v>6431.5</v>
      </c>
      <c r="F2169" s="253">
        <v>0</v>
      </c>
      <c r="G2169" s="274">
        <f>Tabla3[[#This Row],[INGRESOS]]-Tabla3[[#This Row],[EGRESOS]]</f>
        <v>-6431.5</v>
      </c>
      <c r="H2169" s="135">
        <v>-8583694.8699999992</v>
      </c>
      <c r="I2169" s="135">
        <v>1410</v>
      </c>
      <c r="J2169" s="136">
        <f>Tabla3[[#This Row],[EGRESOS]]/Tabla3[[#This Row],[TC]]</f>
        <v>4.5613475177304963</v>
      </c>
      <c r="K2169" s="136">
        <f>Tabla3[[#This Row],[INGRESOS]]/Tabla3[[#This Row],[TC]]</f>
        <v>0</v>
      </c>
      <c r="L2169" s="8" t="s">
        <v>376</v>
      </c>
      <c r="M2169" s="8" t="s">
        <v>377</v>
      </c>
      <c r="N2169" s="8" t="s">
        <v>20</v>
      </c>
      <c r="O2169" s="8" t="s">
        <v>184</v>
      </c>
      <c r="P2169" s="8" t="s">
        <v>195</v>
      </c>
      <c r="Q2169" s="8" t="s">
        <v>196</v>
      </c>
      <c r="R2169" s="8" t="s">
        <v>394</v>
      </c>
      <c r="S2169" s="8"/>
      <c r="T2169" s="8"/>
      <c r="U2169" s="8" t="s">
        <v>384</v>
      </c>
      <c r="V2169" s="8"/>
      <c r="W2169" s="8" t="s">
        <v>380</v>
      </c>
      <c r="X2169" s="8" t="s">
        <v>99</v>
      </c>
      <c r="Y2169" s="8" t="s">
        <v>23</v>
      </c>
    </row>
    <row r="2170" spans="1:25" s="7" customFormat="1" hidden="1" x14ac:dyDescent="0.25">
      <c r="A2170" s="273" t="s">
        <v>320</v>
      </c>
      <c r="B2170" s="251">
        <v>45945</v>
      </c>
      <c r="C2170" s="252" t="s">
        <v>782</v>
      </c>
      <c r="D2170" s="252" t="s">
        <v>1248</v>
      </c>
      <c r="E2170" s="253">
        <v>400000</v>
      </c>
      <c r="F2170" s="253">
        <v>0</v>
      </c>
      <c r="G2170" s="274">
        <f>Tabla3[[#This Row],[INGRESOS]]-Tabla3[[#This Row],[EGRESOS]]</f>
        <v>-400000</v>
      </c>
      <c r="H2170" s="135">
        <v>-8983694.8699999992</v>
      </c>
      <c r="I2170" s="135">
        <v>1410</v>
      </c>
      <c r="J2170" s="136">
        <f>Tabla3[[#This Row],[EGRESOS]]/Tabla3[[#This Row],[TC]]</f>
        <v>283.68794326241135</v>
      </c>
      <c r="K2170" s="136">
        <f>Tabla3[[#This Row],[INGRESOS]]/Tabla3[[#This Row],[TC]]</f>
        <v>0</v>
      </c>
      <c r="L2170" s="8" t="s">
        <v>376</v>
      </c>
      <c r="M2170" s="8" t="s">
        <v>377</v>
      </c>
      <c r="N2170" s="8" t="s">
        <v>20</v>
      </c>
      <c r="O2170" s="8" t="s">
        <v>215</v>
      </c>
      <c r="P2170" s="8" t="s">
        <v>216</v>
      </c>
      <c r="Q2170" s="8" t="s">
        <v>220</v>
      </c>
      <c r="R2170" s="8" t="s">
        <v>332</v>
      </c>
      <c r="S2170" s="8" t="s">
        <v>1136</v>
      </c>
      <c r="T2170" s="8"/>
      <c r="U2170" s="8" t="s">
        <v>412</v>
      </c>
      <c r="V2170" s="8"/>
      <c r="W2170" s="8" t="s">
        <v>380</v>
      </c>
      <c r="X2170" s="8" t="s">
        <v>29</v>
      </c>
      <c r="Y2170" s="8" t="s">
        <v>23</v>
      </c>
    </row>
    <row r="2171" spans="1:25" s="7" customFormat="1" hidden="1" x14ac:dyDescent="0.25">
      <c r="A2171" s="273" t="s">
        <v>320</v>
      </c>
      <c r="B2171" s="251">
        <v>45945</v>
      </c>
      <c r="C2171" s="252" t="s">
        <v>773</v>
      </c>
      <c r="D2171" s="252"/>
      <c r="E2171" s="253">
        <v>2400</v>
      </c>
      <c r="F2171" s="253">
        <v>0</v>
      </c>
      <c r="G2171" s="274">
        <f>Tabla3[[#This Row],[INGRESOS]]-Tabla3[[#This Row],[EGRESOS]]</f>
        <v>-2400</v>
      </c>
      <c r="H2171" s="135">
        <v>-8986094.8699999992</v>
      </c>
      <c r="I2171" s="135">
        <v>1410</v>
      </c>
      <c r="J2171" s="136">
        <f>Tabla3[[#This Row],[EGRESOS]]/Tabla3[[#This Row],[TC]]</f>
        <v>1.7021276595744681</v>
      </c>
      <c r="K2171" s="136">
        <f>Tabla3[[#This Row],[INGRESOS]]/Tabla3[[#This Row],[TC]]</f>
        <v>0</v>
      </c>
      <c r="L2171" s="8" t="s">
        <v>376</v>
      </c>
      <c r="M2171" s="8" t="s">
        <v>377</v>
      </c>
      <c r="N2171" s="8" t="s">
        <v>20</v>
      </c>
      <c r="O2171" s="8" t="s">
        <v>184</v>
      </c>
      <c r="P2171" s="8" t="s">
        <v>195</v>
      </c>
      <c r="Q2171" s="8" t="s">
        <v>196</v>
      </c>
      <c r="R2171" s="8" t="s">
        <v>394</v>
      </c>
      <c r="S2171" s="8"/>
      <c r="T2171" s="8"/>
      <c r="U2171" s="8" t="s">
        <v>384</v>
      </c>
      <c r="V2171" s="8"/>
      <c r="W2171" s="8" t="s">
        <v>380</v>
      </c>
      <c r="X2171" s="8" t="s">
        <v>99</v>
      </c>
      <c r="Y2171" s="8" t="s">
        <v>23</v>
      </c>
    </row>
    <row r="2172" spans="1:25" s="7" customFormat="1" hidden="1" x14ac:dyDescent="0.25">
      <c r="A2172" s="273" t="s">
        <v>320</v>
      </c>
      <c r="B2172" s="251">
        <v>45946</v>
      </c>
      <c r="C2172" s="252" t="s">
        <v>782</v>
      </c>
      <c r="D2172" s="252" t="s">
        <v>1249</v>
      </c>
      <c r="E2172" s="253">
        <v>521226</v>
      </c>
      <c r="F2172" s="253">
        <v>0</v>
      </c>
      <c r="G2172" s="274">
        <f>Tabla3[[#This Row],[INGRESOS]]-Tabla3[[#This Row],[EGRESOS]]</f>
        <v>-521226</v>
      </c>
      <c r="H2172" s="135">
        <v>-9507320.8699999992</v>
      </c>
      <c r="I2172" s="135">
        <v>1410</v>
      </c>
      <c r="J2172" s="136">
        <f>Tabla3[[#This Row],[EGRESOS]]/Tabla3[[#This Row],[TC]]</f>
        <v>369.66382978723402</v>
      </c>
      <c r="K2172" s="136">
        <f>Tabla3[[#This Row],[INGRESOS]]/Tabla3[[#This Row],[TC]]</f>
        <v>0</v>
      </c>
      <c r="L2172" s="8" t="s">
        <v>376</v>
      </c>
      <c r="M2172" s="8" t="s">
        <v>377</v>
      </c>
      <c r="N2172" s="8" t="s">
        <v>20</v>
      </c>
      <c r="O2172" s="8" t="s">
        <v>215</v>
      </c>
      <c r="P2172" s="8" t="s">
        <v>216</v>
      </c>
      <c r="Q2172" s="8" t="s">
        <v>220</v>
      </c>
      <c r="R2172" s="8" t="s">
        <v>332</v>
      </c>
      <c r="S2172" s="8" t="s">
        <v>1136</v>
      </c>
      <c r="T2172" s="8"/>
      <c r="U2172" s="8" t="s">
        <v>412</v>
      </c>
      <c r="V2172" s="8"/>
      <c r="W2172" s="8" t="s">
        <v>380</v>
      </c>
      <c r="X2172" s="8" t="s">
        <v>29</v>
      </c>
      <c r="Y2172" s="8" t="s">
        <v>23</v>
      </c>
    </row>
    <row r="2173" spans="1:25" s="7" customFormat="1" hidden="1" x14ac:dyDescent="0.25">
      <c r="A2173" s="273" t="s">
        <v>320</v>
      </c>
      <c r="B2173" s="251">
        <v>45946</v>
      </c>
      <c r="C2173" s="252" t="s">
        <v>773</v>
      </c>
      <c r="D2173" s="252"/>
      <c r="E2173" s="253">
        <v>3127.36</v>
      </c>
      <c r="F2173" s="253">
        <v>0</v>
      </c>
      <c r="G2173" s="274">
        <f>Tabla3[[#This Row],[INGRESOS]]-Tabla3[[#This Row],[EGRESOS]]</f>
        <v>-3127.36</v>
      </c>
      <c r="H2173" s="135">
        <v>-9510448.2300000004</v>
      </c>
      <c r="I2173" s="135">
        <v>1410</v>
      </c>
      <c r="J2173" s="136">
        <f>Tabla3[[#This Row],[EGRESOS]]/Tabla3[[#This Row],[TC]]</f>
        <v>2.2179858156028369</v>
      </c>
      <c r="K2173" s="136">
        <f>Tabla3[[#This Row],[INGRESOS]]/Tabla3[[#This Row],[TC]]</f>
        <v>0</v>
      </c>
      <c r="L2173" s="8" t="s">
        <v>376</v>
      </c>
      <c r="M2173" s="8" t="s">
        <v>377</v>
      </c>
      <c r="N2173" s="8" t="s">
        <v>20</v>
      </c>
      <c r="O2173" s="8" t="s">
        <v>184</v>
      </c>
      <c r="P2173" s="8" t="s">
        <v>195</v>
      </c>
      <c r="Q2173" s="8" t="s">
        <v>196</v>
      </c>
      <c r="R2173" s="8" t="s">
        <v>394</v>
      </c>
      <c r="S2173" s="8"/>
      <c r="T2173" s="8"/>
      <c r="U2173" s="8" t="s">
        <v>384</v>
      </c>
      <c r="V2173" s="8"/>
      <c r="W2173" s="8" t="s">
        <v>380</v>
      </c>
      <c r="X2173" s="8" t="s">
        <v>99</v>
      </c>
      <c r="Y2173" s="8" t="s">
        <v>23</v>
      </c>
    </row>
    <row r="2174" spans="1:25" s="7" customFormat="1" hidden="1" x14ac:dyDescent="0.25">
      <c r="A2174" s="273" t="s">
        <v>320</v>
      </c>
      <c r="B2174" s="251">
        <v>45947</v>
      </c>
      <c r="C2174" s="252" t="s">
        <v>1140</v>
      </c>
      <c r="D2174" s="252"/>
      <c r="E2174" s="253">
        <v>0</v>
      </c>
      <c r="F2174" s="253">
        <v>25194488</v>
      </c>
      <c r="G2174" s="274">
        <f>Tabla3[[#This Row],[INGRESOS]]-Tabla3[[#This Row],[EGRESOS]]</f>
        <v>25194488</v>
      </c>
      <c r="H2174" s="135">
        <v>15684039.77</v>
      </c>
      <c r="I2174" s="135">
        <v>1410</v>
      </c>
      <c r="J2174" s="136">
        <f>Tabla3[[#This Row],[EGRESOS]]/Tabla3[[#This Row],[TC]]</f>
        <v>0</v>
      </c>
      <c r="K2174" s="136">
        <f>Tabla3[[#This Row],[INGRESOS]]/Tabla3[[#This Row],[TC]]</f>
        <v>17868.431205673758</v>
      </c>
      <c r="L2174" s="8" t="s">
        <v>376</v>
      </c>
      <c r="M2174" s="8" t="s">
        <v>377</v>
      </c>
      <c r="N2174" s="8" t="s">
        <v>20</v>
      </c>
      <c r="O2174" s="8" t="s">
        <v>215</v>
      </c>
      <c r="P2174" s="8" t="s">
        <v>216</v>
      </c>
      <c r="Q2174" s="8" t="s">
        <v>221</v>
      </c>
      <c r="R2174" s="8" t="s">
        <v>1250</v>
      </c>
      <c r="S2174" s="8" t="s">
        <v>1142</v>
      </c>
      <c r="T2174" s="8"/>
      <c r="U2174" s="8" t="s">
        <v>516</v>
      </c>
      <c r="V2174" s="8"/>
      <c r="W2174" s="8" t="s">
        <v>380</v>
      </c>
      <c r="X2174" s="8" t="s">
        <v>23</v>
      </c>
      <c r="Y2174" s="8" t="s">
        <v>97</v>
      </c>
    </row>
    <row r="2175" spans="1:25" s="7" customFormat="1" hidden="1" x14ac:dyDescent="0.25">
      <c r="A2175" s="273" t="s">
        <v>320</v>
      </c>
      <c r="B2175" s="251">
        <v>45947</v>
      </c>
      <c r="C2175" s="252" t="s">
        <v>404</v>
      </c>
      <c r="D2175" s="252"/>
      <c r="E2175" s="253">
        <v>2600000</v>
      </c>
      <c r="F2175" s="253">
        <v>0</v>
      </c>
      <c r="G2175" s="274">
        <f>Tabla3[[#This Row],[INGRESOS]]-Tabla3[[#This Row],[EGRESOS]]</f>
        <v>-2600000</v>
      </c>
      <c r="H2175" s="135">
        <v>13084039.77</v>
      </c>
      <c r="I2175" s="135">
        <v>1410</v>
      </c>
      <c r="J2175" s="136">
        <f>Tabla3[[#This Row],[EGRESOS]]/Tabla3[[#This Row],[TC]]</f>
        <v>1843.9716312056737</v>
      </c>
      <c r="K2175" s="136">
        <f>Tabla3[[#This Row],[INGRESOS]]/Tabla3[[#This Row],[TC]]</f>
        <v>0</v>
      </c>
      <c r="L2175" s="8" t="s">
        <v>376</v>
      </c>
      <c r="M2175" s="8" t="s">
        <v>377</v>
      </c>
      <c r="N2175" s="8" t="s">
        <v>20</v>
      </c>
      <c r="O2175" s="8" t="s">
        <v>244</v>
      </c>
      <c r="P2175" s="8" t="s">
        <v>259</v>
      </c>
      <c r="Q2175" s="8" t="s">
        <v>260</v>
      </c>
      <c r="R2175" s="8" t="s">
        <v>472</v>
      </c>
      <c r="S2175" s="8"/>
      <c r="T2175" s="8"/>
      <c r="U2175" s="8" t="s">
        <v>379</v>
      </c>
      <c r="V2175" s="8"/>
      <c r="W2175" s="8" t="s">
        <v>380</v>
      </c>
      <c r="X2175" s="8"/>
      <c r="Y2175" s="8"/>
    </row>
    <row r="2176" spans="1:25" s="7" customFormat="1" hidden="1" x14ac:dyDescent="0.25">
      <c r="A2176" s="273" t="s">
        <v>320</v>
      </c>
      <c r="B2176" s="251">
        <v>45947</v>
      </c>
      <c r="C2176" s="252" t="s">
        <v>828</v>
      </c>
      <c r="D2176" s="252"/>
      <c r="E2176" s="253">
        <v>121</v>
      </c>
      <c r="F2176" s="253">
        <v>0</v>
      </c>
      <c r="G2176" s="274">
        <f>Tabla3[[#This Row],[INGRESOS]]-Tabla3[[#This Row],[EGRESOS]]</f>
        <v>-121</v>
      </c>
      <c r="H2176" s="135">
        <v>13083918.77</v>
      </c>
      <c r="I2176" s="135">
        <v>1410</v>
      </c>
      <c r="J2176" s="136">
        <f>Tabla3[[#This Row],[EGRESOS]]/Tabla3[[#This Row],[TC]]</f>
        <v>8.5815602836879432E-2</v>
      </c>
      <c r="K2176" s="136">
        <f>Tabla3[[#This Row],[INGRESOS]]/Tabla3[[#This Row],[TC]]</f>
        <v>0</v>
      </c>
      <c r="L2176" s="8" t="s">
        <v>376</v>
      </c>
      <c r="M2176" s="8" t="s">
        <v>377</v>
      </c>
      <c r="N2176" s="8" t="s">
        <v>20</v>
      </c>
      <c r="O2176" s="8" t="s">
        <v>184</v>
      </c>
      <c r="P2176" s="8" t="s">
        <v>185</v>
      </c>
      <c r="Q2176" s="8" t="s">
        <v>186</v>
      </c>
      <c r="R2176" s="8"/>
      <c r="S2176" s="8"/>
      <c r="T2176" s="8"/>
      <c r="U2176" s="8" t="s">
        <v>384</v>
      </c>
      <c r="V2176" s="8"/>
      <c r="W2176" s="8" t="s">
        <v>380</v>
      </c>
      <c r="X2176" s="8" t="s">
        <v>99</v>
      </c>
      <c r="Y2176" s="8" t="s">
        <v>23</v>
      </c>
    </row>
    <row r="2177" spans="1:25" s="7" customFormat="1" hidden="1" x14ac:dyDescent="0.25">
      <c r="A2177" s="273" t="s">
        <v>320</v>
      </c>
      <c r="B2177" s="251">
        <v>45947</v>
      </c>
      <c r="C2177" s="252" t="s">
        <v>404</v>
      </c>
      <c r="D2177" s="252"/>
      <c r="E2177" s="253">
        <v>4000000</v>
      </c>
      <c r="F2177" s="253">
        <v>0</v>
      </c>
      <c r="G2177" s="274">
        <f>Tabla3[[#This Row],[INGRESOS]]-Tabla3[[#This Row],[EGRESOS]]</f>
        <v>-4000000</v>
      </c>
      <c r="H2177" s="135">
        <v>9083918.7699999996</v>
      </c>
      <c r="I2177" s="135">
        <v>1410</v>
      </c>
      <c r="J2177" s="136">
        <f>Tabla3[[#This Row],[EGRESOS]]/Tabla3[[#This Row],[TC]]</f>
        <v>2836.8794326241136</v>
      </c>
      <c r="K2177" s="136">
        <f>Tabla3[[#This Row],[INGRESOS]]/Tabla3[[#This Row],[TC]]</f>
        <v>0</v>
      </c>
      <c r="L2177" s="8" t="s">
        <v>376</v>
      </c>
      <c r="M2177" s="8" t="s">
        <v>377</v>
      </c>
      <c r="N2177" s="8" t="s">
        <v>20</v>
      </c>
      <c r="O2177" s="8" t="s">
        <v>244</v>
      </c>
      <c r="P2177" s="8" t="s">
        <v>259</v>
      </c>
      <c r="Q2177" s="8" t="s">
        <v>260</v>
      </c>
      <c r="R2177" s="8" t="s">
        <v>466</v>
      </c>
      <c r="S2177" s="8"/>
      <c r="T2177" s="8"/>
      <c r="U2177" s="8" t="s">
        <v>379</v>
      </c>
      <c r="V2177" s="8"/>
      <c r="W2177" s="8" t="s">
        <v>380</v>
      </c>
      <c r="X2177" s="8"/>
      <c r="Y2177" s="8"/>
    </row>
    <row r="2178" spans="1:25" s="7" customFormat="1" hidden="1" x14ac:dyDescent="0.25">
      <c r="A2178" s="273" t="s">
        <v>320</v>
      </c>
      <c r="B2178" s="251">
        <v>45947</v>
      </c>
      <c r="C2178" s="252" t="s">
        <v>828</v>
      </c>
      <c r="D2178" s="252"/>
      <c r="E2178" s="253">
        <v>121</v>
      </c>
      <c r="F2178" s="253">
        <v>0</v>
      </c>
      <c r="G2178" s="274">
        <f>Tabla3[[#This Row],[INGRESOS]]-Tabla3[[#This Row],[EGRESOS]]</f>
        <v>-121</v>
      </c>
      <c r="H2178" s="135">
        <v>9083797.7699999996</v>
      </c>
      <c r="I2178" s="135">
        <v>1410</v>
      </c>
      <c r="J2178" s="136">
        <f>Tabla3[[#This Row],[EGRESOS]]/Tabla3[[#This Row],[TC]]</f>
        <v>8.5815602836879432E-2</v>
      </c>
      <c r="K2178" s="136">
        <f>Tabla3[[#This Row],[INGRESOS]]/Tabla3[[#This Row],[TC]]</f>
        <v>0</v>
      </c>
      <c r="L2178" s="8" t="s">
        <v>376</v>
      </c>
      <c r="M2178" s="8" t="s">
        <v>377</v>
      </c>
      <c r="N2178" s="8" t="s">
        <v>20</v>
      </c>
      <c r="O2178" s="8" t="s">
        <v>184</v>
      </c>
      <c r="P2178" s="8" t="s">
        <v>185</v>
      </c>
      <c r="Q2178" s="8" t="s">
        <v>186</v>
      </c>
      <c r="R2178" s="8"/>
      <c r="S2178" s="8"/>
      <c r="T2178" s="8"/>
      <c r="U2178" s="8" t="s">
        <v>384</v>
      </c>
      <c r="V2178" s="8"/>
      <c r="W2178" s="8" t="s">
        <v>380</v>
      </c>
      <c r="X2178" s="8" t="s">
        <v>99</v>
      </c>
      <c r="Y2178" s="8" t="s">
        <v>23</v>
      </c>
    </row>
    <row r="2179" spans="1:25" s="7" customFormat="1" hidden="1" x14ac:dyDescent="0.25">
      <c r="A2179" s="273" t="s">
        <v>320</v>
      </c>
      <c r="B2179" s="251">
        <v>45947</v>
      </c>
      <c r="C2179" s="252" t="s">
        <v>404</v>
      </c>
      <c r="D2179" s="252"/>
      <c r="E2179" s="253">
        <v>9000000</v>
      </c>
      <c r="F2179" s="253">
        <v>0</v>
      </c>
      <c r="G2179" s="274">
        <f>Tabla3[[#This Row],[INGRESOS]]-Tabla3[[#This Row],[EGRESOS]]</f>
        <v>-9000000</v>
      </c>
      <c r="H2179" s="135">
        <v>83797.77</v>
      </c>
      <c r="I2179" s="135">
        <v>1410</v>
      </c>
      <c r="J2179" s="136">
        <f>Tabla3[[#This Row],[EGRESOS]]/Tabla3[[#This Row],[TC]]</f>
        <v>6382.9787234042551</v>
      </c>
      <c r="K2179" s="136">
        <f>Tabla3[[#This Row],[INGRESOS]]/Tabla3[[#This Row],[TC]]</f>
        <v>0</v>
      </c>
      <c r="L2179" s="8" t="s">
        <v>376</v>
      </c>
      <c r="M2179" s="8" t="s">
        <v>377</v>
      </c>
      <c r="N2179" s="8" t="s">
        <v>20</v>
      </c>
      <c r="O2179" s="8" t="s">
        <v>244</v>
      </c>
      <c r="P2179" s="8" t="s">
        <v>259</v>
      </c>
      <c r="Q2179" s="8" t="s">
        <v>260</v>
      </c>
      <c r="R2179" s="8" t="s">
        <v>467</v>
      </c>
      <c r="S2179" s="8"/>
      <c r="T2179" s="8"/>
      <c r="U2179" s="8" t="s">
        <v>379</v>
      </c>
      <c r="V2179" s="8"/>
      <c r="W2179" s="8" t="s">
        <v>380</v>
      </c>
      <c r="X2179" s="8"/>
      <c r="Y2179" s="8"/>
    </row>
    <row r="2180" spans="1:25" s="7" customFormat="1" hidden="1" x14ac:dyDescent="0.25">
      <c r="A2180" s="273" t="s">
        <v>320</v>
      </c>
      <c r="B2180" s="251">
        <v>45947</v>
      </c>
      <c r="C2180" s="252" t="s">
        <v>828</v>
      </c>
      <c r="D2180" s="252"/>
      <c r="E2180" s="253">
        <v>121</v>
      </c>
      <c r="F2180" s="253">
        <v>0</v>
      </c>
      <c r="G2180" s="274">
        <f>Tabla3[[#This Row],[INGRESOS]]-Tabla3[[#This Row],[EGRESOS]]</f>
        <v>-121</v>
      </c>
      <c r="H2180" s="135">
        <v>83676.77</v>
      </c>
      <c r="I2180" s="135">
        <v>1410</v>
      </c>
      <c r="J2180" s="136">
        <f>Tabla3[[#This Row],[EGRESOS]]/Tabla3[[#This Row],[TC]]</f>
        <v>8.5815602836879432E-2</v>
      </c>
      <c r="K2180" s="136">
        <f>Tabla3[[#This Row],[INGRESOS]]/Tabla3[[#This Row],[TC]]</f>
        <v>0</v>
      </c>
      <c r="L2180" s="8" t="s">
        <v>376</v>
      </c>
      <c r="M2180" s="8" t="s">
        <v>377</v>
      </c>
      <c r="N2180" s="8" t="s">
        <v>20</v>
      </c>
      <c r="O2180" s="8" t="s">
        <v>184</v>
      </c>
      <c r="P2180" s="8" t="s">
        <v>185</v>
      </c>
      <c r="Q2180" s="8" t="s">
        <v>186</v>
      </c>
      <c r="R2180" s="8"/>
      <c r="S2180" s="8"/>
      <c r="T2180" s="8"/>
      <c r="U2180" s="8" t="s">
        <v>384</v>
      </c>
      <c r="V2180" s="8"/>
      <c r="W2180" s="8" t="s">
        <v>380</v>
      </c>
      <c r="X2180" s="8" t="s">
        <v>99</v>
      </c>
      <c r="Y2180" s="8" t="s">
        <v>23</v>
      </c>
    </row>
    <row r="2181" spans="1:25" s="7" customFormat="1" hidden="1" x14ac:dyDescent="0.25">
      <c r="A2181" s="273" t="s">
        <v>320</v>
      </c>
      <c r="B2181" s="251">
        <v>45947</v>
      </c>
      <c r="C2181" s="252" t="s">
        <v>760</v>
      </c>
      <c r="D2181" s="252"/>
      <c r="E2181" s="253">
        <v>151166.93</v>
      </c>
      <c r="F2181" s="253">
        <v>0</v>
      </c>
      <c r="G2181" s="274">
        <f>Tabla3[[#This Row],[INGRESOS]]-Tabla3[[#This Row],[EGRESOS]]</f>
        <v>-151166.93</v>
      </c>
      <c r="H2181" s="135">
        <v>-67490.16</v>
      </c>
      <c r="I2181" s="135">
        <v>1410</v>
      </c>
      <c r="J2181" s="136">
        <f>Tabla3[[#This Row],[EGRESOS]]/Tabla3[[#This Row],[TC]]</f>
        <v>107.21058865248226</v>
      </c>
      <c r="K2181" s="136">
        <f>Tabla3[[#This Row],[INGRESOS]]/Tabla3[[#This Row],[TC]]</f>
        <v>0</v>
      </c>
      <c r="L2181" s="8" t="s">
        <v>376</v>
      </c>
      <c r="M2181" s="8" t="s">
        <v>377</v>
      </c>
      <c r="N2181" s="8" t="s">
        <v>20</v>
      </c>
      <c r="O2181" s="8" t="s">
        <v>184</v>
      </c>
      <c r="P2181" s="8" t="s">
        <v>195</v>
      </c>
      <c r="Q2181" s="8" t="s">
        <v>196</v>
      </c>
      <c r="R2181" s="8" t="s">
        <v>394</v>
      </c>
      <c r="S2181" s="8"/>
      <c r="T2181" s="8"/>
      <c r="U2181" s="8" t="s">
        <v>384</v>
      </c>
      <c r="V2181" s="8"/>
      <c r="W2181" s="8" t="s">
        <v>380</v>
      </c>
      <c r="X2181" s="8" t="s">
        <v>99</v>
      </c>
      <c r="Y2181" s="8" t="s">
        <v>23</v>
      </c>
    </row>
    <row r="2182" spans="1:25" s="7" customFormat="1" hidden="1" x14ac:dyDescent="0.25">
      <c r="A2182" s="273" t="s">
        <v>320</v>
      </c>
      <c r="B2182" s="251">
        <v>45947</v>
      </c>
      <c r="C2182" s="252" t="s">
        <v>773</v>
      </c>
      <c r="D2182" s="252"/>
      <c r="E2182" s="253">
        <v>2.19</v>
      </c>
      <c r="F2182" s="253">
        <v>0</v>
      </c>
      <c r="G2182" s="274">
        <f>Tabla3[[#This Row],[INGRESOS]]-Tabla3[[#This Row],[EGRESOS]]</f>
        <v>-2.19</v>
      </c>
      <c r="H2182" s="135">
        <v>-67492.350000000006</v>
      </c>
      <c r="I2182" s="135">
        <v>1410</v>
      </c>
      <c r="J2182" s="136">
        <f>Tabla3[[#This Row],[EGRESOS]]/Tabla3[[#This Row],[TC]]</f>
        <v>1.5531914893617022E-3</v>
      </c>
      <c r="K2182" s="136">
        <f>Tabla3[[#This Row],[INGRESOS]]/Tabla3[[#This Row],[TC]]</f>
        <v>0</v>
      </c>
      <c r="L2182" s="8" t="s">
        <v>376</v>
      </c>
      <c r="M2182" s="8" t="s">
        <v>377</v>
      </c>
      <c r="N2182" s="8" t="s">
        <v>20</v>
      </c>
      <c r="O2182" s="8" t="s">
        <v>184</v>
      </c>
      <c r="P2182" s="8" t="s">
        <v>195</v>
      </c>
      <c r="Q2182" s="8" t="s">
        <v>196</v>
      </c>
      <c r="R2182" s="8" t="s">
        <v>394</v>
      </c>
      <c r="S2182" s="8"/>
      <c r="T2182" s="8"/>
      <c r="U2182" s="8" t="s">
        <v>384</v>
      </c>
      <c r="V2182" s="8"/>
      <c r="W2182" s="8" t="s">
        <v>380</v>
      </c>
      <c r="X2182" s="8" t="s">
        <v>99</v>
      </c>
      <c r="Y2182" s="8" t="s">
        <v>23</v>
      </c>
    </row>
    <row r="2183" spans="1:25" s="7" customFormat="1" hidden="1" x14ac:dyDescent="0.25">
      <c r="A2183" s="273" t="s">
        <v>320</v>
      </c>
      <c r="B2183" s="251">
        <v>45950</v>
      </c>
      <c r="C2183" s="252" t="s">
        <v>822</v>
      </c>
      <c r="D2183" s="252"/>
      <c r="E2183" s="253">
        <v>8067</v>
      </c>
      <c r="F2183" s="253">
        <v>0</v>
      </c>
      <c r="G2183" s="274">
        <f>Tabla3[[#This Row],[INGRESOS]]-Tabla3[[#This Row],[EGRESOS]]</f>
        <v>-8067</v>
      </c>
      <c r="H2183" s="274">
        <v>-75559.350000000006</v>
      </c>
      <c r="I2183" s="135">
        <v>1410</v>
      </c>
      <c r="J2183" s="136">
        <f>Tabla3[[#This Row],[EGRESOS]]/Tabla3[[#This Row],[TC]]</f>
        <v>5.7212765957446807</v>
      </c>
      <c r="K2183" s="136">
        <f>Tabla3[[#This Row],[INGRESOS]]/Tabla3[[#This Row],[TC]]</f>
        <v>0</v>
      </c>
      <c r="L2183" s="8" t="s">
        <v>376</v>
      </c>
      <c r="M2183" s="8" t="s">
        <v>377</v>
      </c>
      <c r="N2183" s="8" t="s">
        <v>20</v>
      </c>
      <c r="O2183" s="8" t="s">
        <v>184</v>
      </c>
      <c r="P2183" s="8" t="s">
        <v>185</v>
      </c>
      <c r="Q2183" s="8" t="s">
        <v>189</v>
      </c>
      <c r="R2183" s="8"/>
      <c r="S2183" s="8"/>
      <c r="T2183" s="8"/>
      <c r="U2183" s="8" t="s">
        <v>384</v>
      </c>
      <c r="V2183" s="8"/>
      <c r="W2183" s="8" t="s">
        <v>380</v>
      </c>
      <c r="X2183" s="8" t="s">
        <v>99</v>
      </c>
      <c r="Y2183" s="8" t="s">
        <v>23</v>
      </c>
    </row>
    <row r="2184" spans="1:25" s="7" customFormat="1" hidden="1" x14ac:dyDescent="0.25">
      <c r="A2184" s="273" t="s">
        <v>320</v>
      </c>
      <c r="B2184" s="251">
        <v>45950</v>
      </c>
      <c r="C2184" s="252" t="s">
        <v>773</v>
      </c>
      <c r="D2184" s="252"/>
      <c r="E2184" s="253">
        <v>48.4</v>
      </c>
      <c r="F2184" s="253">
        <v>0</v>
      </c>
      <c r="G2184" s="274">
        <f>Tabla3[[#This Row],[INGRESOS]]-Tabla3[[#This Row],[EGRESOS]]</f>
        <v>-48.4</v>
      </c>
      <c r="H2184" s="274">
        <v>-75607.75</v>
      </c>
      <c r="I2184" s="135">
        <v>1410</v>
      </c>
      <c r="J2184" s="136">
        <f>Tabla3[[#This Row],[EGRESOS]]/Tabla3[[#This Row],[TC]]</f>
        <v>3.4326241134751773E-2</v>
      </c>
      <c r="K2184" s="136">
        <f>Tabla3[[#This Row],[INGRESOS]]/Tabla3[[#This Row],[TC]]</f>
        <v>0</v>
      </c>
      <c r="L2184" s="8" t="s">
        <v>376</v>
      </c>
      <c r="M2184" s="8" t="s">
        <v>377</v>
      </c>
      <c r="N2184" s="8" t="s">
        <v>20</v>
      </c>
      <c r="O2184" s="8" t="s">
        <v>184</v>
      </c>
      <c r="P2184" s="8" t="s">
        <v>195</v>
      </c>
      <c r="Q2184" s="8" t="s">
        <v>196</v>
      </c>
      <c r="R2184" s="8" t="s">
        <v>394</v>
      </c>
      <c r="S2184" s="8"/>
      <c r="T2184" s="8"/>
      <c r="U2184" s="8" t="s">
        <v>384</v>
      </c>
      <c r="V2184" s="8"/>
      <c r="W2184" s="8" t="s">
        <v>380</v>
      </c>
      <c r="X2184" s="8" t="s">
        <v>99</v>
      </c>
      <c r="Y2184" s="8" t="s">
        <v>23</v>
      </c>
    </row>
    <row r="2185" spans="1:25" s="7" customFormat="1" hidden="1" x14ac:dyDescent="0.25">
      <c r="A2185" s="273" t="s">
        <v>320</v>
      </c>
      <c r="B2185" s="251">
        <v>45951</v>
      </c>
      <c r="C2185" s="252" t="s">
        <v>782</v>
      </c>
      <c r="D2185" s="252" t="s">
        <v>1251</v>
      </c>
      <c r="E2185" s="253">
        <v>700000</v>
      </c>
      <c r="F2185" s="253">
        <v>0</v>
      </c>
      <c r="G2185" s="274">
        <f>Tabla3[[#This Row],[INGRESOS]]-Tabla3[[#This Row],[EGRESOS]]</f>
        <v>-700000</v>
      </c>
      <c r="H2185" s="274">
        <v>-775607.75</v>
      </c>
      <c r="I2185" s="135">
        <v>1410</v>
      </c>
      <c r="J2185" s="136">
        <f>Tabla3[[#This Row],[EGRESOS]]/Tabla3[[#This Row],[TC]]</f>
        <v>496.45390070921985</v>
      </c>
      <c r="K2185" s="136">
        <f>Tabla3[[#This Row],[INGRESOS]]/Tabla3[[#This Row],[TC]]</f>
        <v>0</v>
      </c>
      <c r="L2185" s="8" t="s">
        <v>376</v>
      </c>
      <c r="M2185" s="8" t="s">
        <v>377</v>
      </c>
      <c r="N2185" s="8" t="s">
        <v>20</v>
      </c>
      <c r="O2185" s="8" t="s">
        <v>225</v>
      </c>
      <c r="P2185" s="8" t="s">
        <v>236</v>
      </c>
      <c r="Q2185" s="8" t="s">
        <v>239</v>
      </c>
      <c r="R2185" s="8"/>
      <c r="S2185" s="8" t="s">
        <v>597</v>
      </c>
      <c r="T2185" s="8"/>
      <c r="U2185" s="8" t="s">
        <v>412</v>
      </c>
      <c r="V2185" s="8"/>
      <c r="W2185" s="8" t="s">
        <v>475</v>
      </c>
      <c r="X2185" s="8" t="s">
        <v>29</v>
      </c>
      <c r="Y2185" s="8" t="s">
        <v>23</v>
      </c>
    </row>
    <row r="2186" spans="1:25" s="7" customFormat="1" hidden="1" x14ac:dyDescent="0.25">
      <c r="A2186" s="247" t="s">
        <v>320</v>
      </c>
      <c r="B2186" s="248">
        <v>45951</v>
      </c>
      <c r="C2186" s="244" t="s">
        <v>773</v>
      </c>
      <c r="D2186" s="244"/>
      <c r="E2186" s="249">
        <v>4200</v>
      </c>
      <c r="F2186" s="249">
        <v>0</v>
      </c>
      <c r="G2186" s="266">
        <f>Tabla3[[#This Row],[INGRESOS]]-Tabla3[[#This Row],[EGRESOS]]</f>
        <v>-4200</v>
      </c>
      <c r="H2186" s="266">
        <v>-779807.75</v>
      </c>
      <c r="I2186" s="119">
        <v>1410</v>
      </c>
      <c r="J2186" s="99">
        <f>Tabla3[[#This Row],[EGRESOS]]/Tabla3[[#This Row],[TC]]</f>
        <v>2.978723404255319</v>
      </c>
      <c r="K2186" s="99">
        <f>Tabla3[[#This Row],[INGRESOS]]/Tabla3[[#This Row],[TC]]</f>
        <v>0</v>
      </c>
      <c r="L2186" s="7" t="s">
        <v>376</v>
      </c>
      <c r="M2186" s="7" t="s">
        <v>377</v>
      </c>
      <c r="N2186" s="7" t="s">
        <v>20</v>
      </c>
      <c r="O2186" s="7" t="s">
        <v>184</v>
      </c>
      <c r="P2186" s="7" t="s">
        <v>195</v>
      </c>
      <c r="Q2186" s="7" t="s">
        <v>196</v>
      </c>
      <c r="R2186" s="7" t="s">
        <v>394</v>
      </c>
      <c r="U2186" s="7" t="s">
        <v>384</v>
      </c>
      <c r="W2186" s="7" t="s">
        <v>380</v>
      </c>
      <c r="X2186" s="7" t="s">
        <v>99</v>
      </c>
      <c r="Y2186" s="7" t="s">
        <v>23</v>
      </c>
    </row>
    <row r="2187" spans="1:25" s="7" customFormat="1" hidden="1" x14ac:dyDescent="0.25">
      <c r="A2187" s="247" t="s">
        <v>320</v>
      </c>
      <c r="B2187" s="248">
        <v>45952</v>
      </c>
      <c r="C2187" s="244" t="s">
        <v>782</v>
      </c>
      <c r="D2187" s="244" t="s">
        <v>1252</v>
      </c>
      <c r="E2187" s="249">
        <v>500000</v>
      </c>
      <c r="F2187" s="249">
        <v>0</v>
      </c>
      <c r="G2187" s="266">
        <f>Tabla3[[#This Row],[INGRESOS]]-Tabla3[[#This Row],[EGRESOS]]</f>
        <v>-500000</v>
      </c>
      <c r="H2187" s="266">
        <v>-1279807.75</v>
      </c>
      <c r="I2187" s="119">
        <v>1410</v>
      </c>
      <c r="J2187" s="99">
        <f>Tabla3[[#This Row],[EGRESOS]]/Tabla3[[#This Row],[TC]]</f>
        <v>354.6099290780142</v>
      </c>
      <c r="K2187" s="99">
        <f>Tabla3[[#This Row],[INGRESOS]]/Tabla3[[#This Row],[TC]]</f>
        <v>0</v>
      </c>
      <c r="L2187" s="7" t="s">
        <v>376</v>
      </c>
      <c r="M2187" s="7" t="s">
        <v>377</v>
      </c>
      <c r="N2187" s="7" t="s">
        <v>20</v>
      </c>
      <c r="O2187" s="7" t="s">
        <v>215</v>
      </c>
      <c r="P2187" s="7" t="s">
        <v>223</v>
      </c>
      <c r="Q2187" s="7" t="s">
        <v>224</v>
      </c>
      <c r="R2187" s="7" t="s">
        <v>328</v>
      </c>
      <c r="S2187" s="7" t="s">
        <v>631</v>
      </c>
      <c r="U2187" s="7" t="s">
        <v>412</v>
      </c>
      <c r="W2187" s="7" t="s">
        <v>380</v>
      </c>
      <c r="X2187" s="7" t="s">
        <v>41</v>
      </c>
      <c r="Y2187" s="7" t="s">
        <v>23</v>
      </c>
    </row>
    <row r="2188" spans="1:25" s="7" customFormat="1" hidden="1" x14ac:dyDescent="0.25">
      <c r="A2188" s="247" t="s">
        <v>320</v>
      </c>
      <c r="B2188" s="248">
        <v>45952</v>
      </c>
      <c r="C2188" s="244" t="s">
        <v>1140</v>
      </c>
      <c r="D2188" s="244"/>
      <c r="E2188" s="249">
        <v>0</v>
      </c>
      <c r="F2188" s="249">
        <v>32811228.789999999</v>
      </c>
      <c r="G2188" s="266">
        <f>Tabla3[[#This Row],[INGRESOS]]-Tabla3[[#This Row],[EGRESOS]]</f>
        <v>32811228.789999999</v>
      </c>
      <c r="H2188" s="266">
        <v>31531421.039999999</v>
      </c>
      <c r="I2188" s="119">
        <v>1410</v>
      </c>
      <c r="J2188" s="99">
        <f>Tabla3[[#This Row],[EGRESOS]]/Tabla3[[#This Row],[TC]]</f>
        <v>0</v>
      </c>
      <c r="K2188" s="99">
        <f>Tabla3[[#This Row],[INGRESOS]]/Tabla3[[#This Row],[TC]]</f>
        <v>23270.375028368795</v>
      </c>
      <c r="L2188" s="7" t="s">
        <v>376</v>
      </c>
      <c r="M2188" s="7" t="s">
        <v>377</v>
      </c>
      <c r="N2188" s="7" t="s">
        <v>20</v>
      </c>
      <c r="O2188" s="7" t="s">
        <v>215</v>
      </c>
      <c r="P2188" s="7" t="s">
        <v>216</v>
      </c>
      <c r="Q2188" s="7" t="s">
        <v>221</v>
      </c>
      <c r="R2188" s="7" t="s">
        <v>1250</v>
      </c>
      <c r="S2188" s="7" t="s">
        <v>1142</v>
      </c>
      <c r="U2188" s="7" t="s">
        <v>516</v>
      </c>
      <c r="W2188" s="7" t="s">
        <v>380</v>
      </c>
      <c r="X2188" s="7" t="s">
        <v>23</v>
      </c>
      <c r="Y2188" s="7" t="s">
        <v>97</v>
      </c>
    </row>
    <row r="2189" spans="1:25" s="7" customFormat="1" hidden="1" x14ac:dyDescent="0.25">
      <c r="A2189" s="273" t="s">
        <v>320</v>
      </c>
      <c r="B2189" s="251">
        <v>45943</v>
      </c>
      <c r="C2189" s="252" t="s">
        <v>732</v>
      </c>
      <c r="D2189" s="252"/>
      <c r="E2189" s="253">
        <v>2000000</v>
      </c>
      <c r="F2189" s="253">
        <v>0</v>
      </c>
      <c r="G2189" s="274">
        <f>Tabla3[[#This Row],[INGRESOS]]-Tabla3[[#This Row],[EGRESOS]]</f>
        <v>-2000000</v>
      </c>
      <c r="H2189" s="137">
        <v>7546435.8899999997</v>
      </c>
      <c r="I2189" s="135">
        <v>1410</v>
      </c>
      <c r="J2189" s="136">
        <f>Tabla3[[#This Row],[EGRESOS]]/Tabla3[[#This Row],[TC]]</f>
        <v>1418.4397163120568</v>
      </c>
      <c r="K2189" s="136">
        <v>0</v>
      </c>
      <c r="L2189" s="8" t="s">
        <v>376</v>
      </c>
      <c r="M2189" s="8" t="s">
        <v>377</v>
      </c>
      <c r="N2189" s="8" t="s">
        <v>28</v>
      </c>
      <c r="O2189" s="8" t="s">
        <v>184</v>
      </c>
      <c r="P2189" s="8" t="s">
        <v>203</v>
      </c>
      <c r="Q2189" s="8" t="s">
        <v>208</v>
      </c>
      <c r="R2189" s="8"/>
      <c r="S2189" s="8" t="s">
        <v>386</v>
      </c>
      <c r="T2189" s="8"/>
      <c r="U2189" s="8" t="s">
        <v>387</v>
      </c>
      <c r="V2189" s="8" t="s">
        <v>386</v>
      </c>
      <c r="W2189" s="7" t="s">
        <v>380</v>
      </c>
      <c r="X2189" s="8" t="s">
        <v>104</v>
      </c>
      <c r="Y2189" s="8" t="s">
        <v>23</v>
      </c>
    </row>
    <row r="2190" spans="1:25" s="7" customFormat="1" hidden="1" x14ac:dyDescent="0.25">
      <c r="A2190" s="273" t="s">
        <v>320</v>
      </c>
      <c r="B2190" s="251">
        <v>45952</v>
      </c>
      <c r="C2190" s="252" t="s">
        <v>828</v>
      </c>
      <c r="D2190" s="252"/>
      <c r="E2190" s="253">
        <v>121</v>
      </c>
      <c r="F2190" s="253">
        <v>0</v>
      </c>
      <c r="G2190" s="274">
        <f>Tabla3[[#This Row],[INGRESOS]]-Tabla3[[#This Row],[EGRESOS]]</f>
        <v>-121</v>
      </c>
      <c r="H2190" s="274">
        <v>31031300.039999999</v>
      </c>
      <c r="I2190" s="135">
        <v>1410</v>
      </c>
      <c r="J2190" s="136">
        <f>Tabla3[[#This Row],[EGRESOS]]/Tabla3[[#This Row],[TC]]</f>
        <v>8.5815602836879432E-2</v>
      </c>
      <c r="K2190" s="136">
        <f>Tabla3[[#This Row],[INGRESOS]]/Tabla3[[#This Row],[TC]]</f>
        <v>0</v>
      </c>
      <c r="L2190" s="8" t="s">
        <v>376</v>
      </c>
      <c r="M2190" s="8" t="s">
        <v>377</v>
      </c>
      <c r="N2190" s="8" t="s">
        <v>20</v>
      </c>
      <c r="O2190" s="8" t="s">
        <v>184</v>
      </c>
      <c r="P2190" s="8" t="s">
        <v>185</v>
      </c>
      <c r="Q2190" s="8" t="s">
        <v>186</v>
      </c>
      <c r="R2190" s="8"/>
      <c r="S2190" s="8"/>
      <c r="T2190" s="8"/>
      <c r="U2190" s="8" t="s">
        <v>384</v>
      </c>
      <c r="V2190" s="8"/>
      <c r="W2190" s="8" t="s">
        <v>380</v>
      </c>
      <c r="X2190" s="8" t="s">
        <v>99</v>
      </c>
      <c r="Y2190" s="8" t="s">
        <v>23</v>
      </c>
    </row>
    <row r="2191" spans="1:25" s="7" customFormat="1" hidden="1" x14ac:dyDescent="0.25">
      <c r="A2191" s="273" t="s">
        <v>320</v>
      </c>
      <c r="B2191" s="251">
        <v>45943</v>
      </c>
      <c r="C2191" s="252" t="s">
        <v>800</v>
      </c>
      <c r="D2191" s="252"/>
      <c r="E2191" s="253">
        <v>1329900</v>
      </c>
      <c r="F2191" s="253">
        <v>0</v>
      </c>
      <c r="G2191" s="274">
        <f>Tabla3[[#This Row],[INGRESOS]]-Tabla3[[#This Row],[EGRESOS]]</f>
        <v>-1329900</v>
      </c>
      <c r="H2191" s="274">
        <v>-7249432.9400000004</v>
      </c>
      <c r="I2191" s="135">
        <v>1410</v>
      </c>
      <c r="J2191" s="136">
        <f>Tabla3[[#This Row],[EGRESOS]]/Tabla3[[#This Row],[TC]]</f>
        <v>943.19148936170211</v>
      </c>
      <c r="K2191" s="136">
        <f>Tabla3[[#This Row],[INGRESOS]]/Tabla3[[#This Row],[TC]]</f>
        <v>0</v>
      </c>
      <c r="L2191" s="8" t="s">
        <v>376</v>
      </c>
      <c r="M2191" s="8" t="s">
        <v>377</v>
      </c>
      <c r="N2191" s="8" t="s">
        <v>20</v>
      </c>
      <c r="O2191" s="8" t="s">
        <v>184</v>
      </c>
      <c r="P2191" s="8" t="s">
        <v>203</v>
      </c>
      <c r="Q2191" s="8" t="s">
        <v>205</v>
      </c>
      <c r="R2191" s="8"/>
      <c r="S2191" s="8" t="s">
        <v>1244</v>
      </c>
      <c r="T2191" s="8"/>
      <c r="U2191" s="8" t="s">
        <v>387</v>
      </c>
      <c r="V2191" s="8" t="s">
        <v>386</v>
      </c>
      <c r="W2191" s="8" t="s">
        <v>380</v>
      </c>
      <c r="X2191" s="8" t="s">
        <v>104</v>
      </c>
      <c r="Y2191" s="8" t="s">
        <v>23</v>
      </c>
    </row>
    <row r="2192" spans="1:25" s="7" customFormat="1" hidden="1" x14ac:dyDescent="0.25">
      <c r="A2192" s="273" t="s">
        <v>320</v>
      </c>
      <c r="B2192" s="251">
        <v>45952</v>
      </c>
      <c r="C2192" s="252" t="s">
        <v>760</v>
      </c>
      <c r="D2192" s="252"/>
      <c r="E2192" s="253">
        <v>196867.37</v>
      </c>
      <c r="F2192" s="253">
        <v>0</v>
      </c>
      <c r="G2192" s="274">
        <f>Tabla3[[#This Row],[INGRESOS]]-Tabla3[[#This Row],[EGRESOS]]</f>
        <v>-196867.37</v>
      </c>
      <c r="H2192" s="274">
        <v>30793736.670000002</v>
      </c>
      <c r="I2192" s="135">
        <v>1410</v>
      </c>
      <c r="J2192" s="136">
        <f>Tabla3[[#This Row],[EGRESOS]]/Tabla3[[#This Row],[TC]]</f>
        <v>139.62224822695035</v>
      </c>
      <c r="K2192" s="136">
        <f>Tabla3[[#This Row],[INGRESOS]]/Tabla3[[#This Row],[TC]]</f>
        <v>0</v>
      </c>
      <c r="L2192" s="8" t="s">
        <v>376</v>
      </c>
      <c r="M2192" s="8" t="s">
        <v>377</v>
      </c>
      <c r="N2192" s="8" t="s">
        <v>20</v>
      </c>
      <c r="O2192" s="8" t="s">
        <v>184</v>
      </c>
      <c r="P2192" s="8" t="s">
        <v>195</v>
      </c>
      <c r="Q2192" s="8" t="s">
        <v>196</v>
      </c>
      <c r="R2192" s="8" t="s">
        <v>394</v>
      </c>
      <c r="S2192" s="8"/>
      <c r="T2192" s="8"/>
      <c r="U2192" s="8" t="s">
        <v>384</v>
      </c>
      <c r="V2192" s="8"/>
      <c r="W2192" s="8" t="s">
        <v>380</v>
      </c>
      <c r="X2192" s="8" t="s">
        <v>99</v>
      </c>
      <c r="Y2192" s="8" t="s">
        <v>23</v>
      </c>
    </row>
    <row r="2193" spans="1:25" s="7" customFormat="1" hidden="1" x14ac:dyDescent="0.25">
      <c r="A2193" s="273" t="s">
        <v>320</v>
      </c>
      <c r="B2193" s="251">
        <v>45952</v>
      </c>
      <c r="C2193" s="252" t="s">
        <v>773</v>
      </c>
      <c r="D2193" s="252"/>
      <c r="E2193" s="253">
        <v>6244.91</v>
      </c>
      <c r="F2193" s="253">
        <v>0</v>
      </c>
      <c r="G2193" s="274">
        <f>Tabla3[[#This Row],[INGRESOS]]-Tabla3[[#This Row],[EGRESOS]]</f>
        <v>-6244.91</v>
      </c>
      <c r="H2193" s="274">
        <v>30787491.760000002</v>
      </c>
      <c r="I2193" s="135">
        <v>1410</v>
      </c>
      <c r="J2193" s="136">
        <f>Tabla3[[#This Row],[EGRESOS]]/Tabla3[[#This Row],[TC]]</f>
        <v>4.4290141843971629</v>
      </c>
      <c r="K2193" s="136">
        <f>Tabla3[[#This Row],[INGRESOS]]/Tabla3[[#This Row],[TC]]</f>
        <v>0</v>
      </c>
      <c r="L2193" s="8" t="s">
        <v>376</v>
      </c>
      <c r="M2193" s="8" t="s">
        <v>377</v>
      </c>
      <c r="N2193" s="8" t="s">
        <v>20</v>
      </c>
      <c r="O2193" s="8" t="s">
        <v>184</v>
      </c>
      <c r="P2193" s="8" t="s">
        <v>195</v>
      </c>
      <c r="Q2193" s="8" t="s">
        <v>196</v>
      </c>
      <c r="R2193" s="8" t="s">
        <v>394</v>
      </c>
      <c r="S2193" s="8"/>
      <c r="T2193" s="8"/>
      <c r="U2193" s="8" t="s">
        <v>384</v>
      </c>
      <c r="V2193" s="8"/>
      <c r="W2193" s="8" t="s">
        <v>380</v>
      </c>
      <c r="X2193" s="8" t="s">
        <v>99</v>
      </c>
      <c r="Y2193" s="8" t="s">
        <v>23</v>
      </c>
    </row>
    <row r="2194" spans="1:25" s="7" customFormat="1" hidden="1" x14ac:dyDescent="0.25">
      <c r="A2194" s="273" t="s">
        <v>320</v>
      </c>
      <c r="B2194" s="251">
        <v>45953</v>
      </c>
      <c r="C2194" s="252" t="s">
        <v>782</v>
      </c>
      <c r="D2194" s="252" t="s">
        <v>1254</v>
      </c>
      <c r="E2194" s="253">
        <v>2268840.0699999998</v>
      </c>
      <c r="F2194" s="253">
        <v>0</v>
      </c>
      <c r="G2194" s="274">
        <f>Tabla3[[#This Row],[INGRESOS]]-Tabla3[[#This Row],[EGRESOS]]</f>
        <v>-2268840.0699999998</v>
      </c>
      <c r="H2194" s="274">
        <v>28518651.690000001</v>
      </c>
      <c r="I2194" s="135">
        <v>1410</v>
      </c>
      <c r="J2194" s="136">
        <f>Tabla3[[#This Row],[EGRESOS]]/Tabla3[[#This Row],[TC]]</f>
        <v>1609.1064326241133</v>
      </c>
      <c r="K2194" s="136">
        <f>Tabla3[[#This Row],[INGRESOS]]/Tabla3[[#This Row],[TC]]</f>
        <v>0</v>
      </c>
      <c r="L2194" s="8" t="s">
        <v>376</v>
      </c>
      <c r="M2194" s="8" t="s">
        <v>377</v>
      </c>
      <c r="N2194" s="8" t="s">
        <v>20</v>
      </c>
      <c r="O2194" s="8" t="s">
        <v>215</v>
      </c>
      <c r="P2194" s="8" t="s">
        <v>216</v>
      </c>
      <c r="Q2194" s="8" t="s">
        <v>220</v>
      </c>
      <c r="R2194" s="8" t="s">
        <v>329</v>
      </c>
      <c r="S2194" s="8" t="s">
        <v>634</v>
      </c>
      <c r="T2194" s="8" t="s">
        <v>1218</v>
      </c>
      <c r="U2194" s="8" t="s">
        <v>412</v>
      </c>
      <c r="V2194" s="8"/>
      <c r="W2194" s="8" t="s">
        <v>380</v>
      </c>
      <c r="X2194" s="8" t="s">
        <v>29</v>
      </c>
      <c r="Y2194" s="8" t="s">
        <v>23</v>
      </c>
    </row>
    <row r="2195" spans="1:25" s="7" customFormat="1" hidden="1" x14ac:dyDescent="0.25">
      <c r="A2195" s="273" t="s">
        <v>320</v>
      </c>
      <c r="B2195" s="251">
        <v>45953</v>
      </c>
      <c r="C2195" s="252" t="s">
        <v>782</v>
      </c>
      <c r="D2195" s="252" t="s">
        <v>1255</v>
      </c>
      <c r="E2195" s="253">
        <v>14490496.34</v>
      </c>
      <c r="F2195" s="253">
        <v>0</v>
      </c>
      <c r="G2195" s="274">
        <f>Tabla3[[#This Row],[INGRESOS]]-Tabla3[[#This Row],[EGRESOS]]</f>
        <v>-14490496.34</v>
      </c>
      <c r="H2195" s="274">
        <v>14028155.35</v>
      </c>
      <c r="I2195" s="135">
        <v>1410</v>
      </c>
      <c r="J2195" s="136">
        <f>Tabla3[[#This Row],[EGRESOS]]/Tabla3[[#This Row],[TC]]</f>
        <v>10276.947758865248</v>
      </c>
      <c r="K2195" s="136">
        <f>Tabla3[[#This Row],[INGRESOS]]/Tabla3[[#This Row],[TC]]</f>
        <v>0</v>
      </c>
      <c r="L2195" s="8" t="s">
        <v>376</v>
      </c>
      <c r="M2195" s="8" t="s">
        <v>377</v>
      </c>
      <c r="N2195" s="8" t="s">
        <v>20</v>
      </c>
      <c r="O2195" s="8" t="s">
        <v>215</v>
      </c>
      <c r="P2195" s="8" t="s">
        <v>216</v>
      </c>
      <c r="Q2195" s="8" t="s">
        <v>219</v>
      </c>
      <c r="R2195" s="8" t="s">
        <v>41</v>
      </c>
      <c r="S2195" s="8" t="s">
        <v>1256</v>
      </c>
      <c r="T2195" s="8"/>
      <c r="U2195" s="8" t="s">
        <v>412</v>
      </c>
      <c r="V2195" s="8"/>
      <c r="W2195" s="8" t="s">
        <v>380</v>
      </c>
      <c r="X2195" s="8" t="s">
        <v>29</v>
      </c>
      <c r="Y2195" s="8" t="s">
        <v>23</v>
      </c>
    </row>
    <row r="2196" spans="1:25" s="7" customFormat="1" hidden="1" x14ac:dyDescent="0.25">
      <c r="A2196" s="273" t="s">
        <v>320</v>
      </c>
      <c r="B2196" s="251">
        <v>45953</v>
      </c>
      <c r="C2196" s="252" t="s">
        <v>404</v>
      </c>
      <c r="D2196" s="252"/>
      <c r="E2196" s="253">
        <v>1400000</v>
      </c>
      <c r="F2196" s="253">
        <v>0</v>
      </c>
      <c r="G2196" s="274">
        <f>Tabla3[[#This Row],[INGRESOS]]-Tabla3[[#This Row],[EGRESOS]]</f>
        <v>-1400000</v>
      </c>
      <c r="H2196" s="274">
        <v>12628155.35</v>
      </c>
      <c r="I2196" s="135">
        <v>1410</v>
      </c>
      <c r="J2196" s="136">
        <f>Tabla3[[#This Row],[EGRESOS]]/Tabla3[[#This Row],[TC]]</f>
        <v>992.9078014184397</v>
      </c>
      <c r="K2196" s="136">
        <f>Tabla3[[#This Row],[INGRESOS]]/Tabla3[[#This Row],[TC]]</f>
        <v>0</v>
      </c>
      <c r="L2196" s="8" t="s">
        <v>376</v>
      </c>
      <c r="M2196" s="8" t="s">
        <v>377</v>
      </c>
      <c r="N2196" s="8" t="s">
        <v>20</v>
      </c>
      <c r="O2196" s="8" t="s">
        <v>244</v>
      </c>
      <c r="P2196" s="8" t="s">
        <v>259</v>
      </c>
      <c r="Q2196" s="8" t="s">
        <v>260</v>
      </c>
      <c r="R2196" s="8" t="s">
        <v>467</v>
      </c>
      <c r="S2196" s="8"/>
      <c r="T2196" s="8"/>
      <c r="U2196" s="8" t="s">
        <v>379</v>
      </c>
      <c r="V2196" s="8"/>
      <c r="W2196" s="8" t="s">
        <v>380</v>
      </c>
      <c r="X2196" s="8"/>
      <c r="Y2196" s="8"/>
    </row>
    <row r="2197" spans="1:25" s="7" customFormat="1" hidden="1" x14ac:dyDescent="0.25">
      <c r="A2197" s="273" t="s">
        <v>320</v>
      </c>
      <c r="B2197" s="251">
        <v>45953</v>
      </c>
      <c r="C2197" s="252" t="s">
        <v>828</v>
      </c>
      <c r="D2197" s="252"/>
      <c r="E2197" s="253">
        <v>121</v>
      </c>
      <c r="F2197" s="253">
        <v>0</v>
      </c>
      <c r="G2197" s="274">
        <f>Tabla3[[#This Row],[INGRESOS]]-Tabla3[[#This Row],[EGRESOS]]</f>
        <v>-121</v>
      </c>
      <c r="H2197" s="274">
        <v>12628034.35</v>
      </c>
      <c r="I2197" s="135">
        <v>1410</v>
      </c>
      <c r="J2197" s="136">
        <f>Tabla3[[#This Row],[EGRESOS]]/Tabla3[[#This Row],[TC]]</f>
        <v>8.5815602836879432E-2</v>
      </c>
      <c r="K2197" s="136">
        <f>Tabla3[[#This Row],[INGRESOS]]/Tabla3[[#This Row],[TC]]</f>
        <v>0</v>
      </c>
      <c r="L2197" s="8" t="s">
        <v>376</v>
      </c>
      <c r="M2197" s="8" t="s">
        <v>377</v>
      </c>
      <c r="N2197" s="8" t="s">
        <v>20</v>
      </c>
      <c r="O2197" s="8" t="s">
        <v>184</v>
      </c>
      <c r="P2197" s="8" t="s">
        <v>185</v>
      </c>
      <c r="Q2197" s="8" t="s">
        <v>186</v>
      </c>
      <c r="R2197" s="8"/>
      <c r="S2197" s="8"/>
      <c r="T2197" s="8"/>
      <c r="U2197" s="8" t="s">
        <v>384</v>
      </c>
      <c r="V2197" s="8"/>
      <c r="W2197" s="8" t="s">
        <v>380</v>
      </c>
      <c r="X2197" s="8" t="s">
        <v>99</v>
      </c>
      <c r="Y2197" s="8" t="s">
        <v>23</v>
      </c>
    </row>
    <row r="2198" spans="1:25" s="7" customFormat="1" hidden="1" x14ac:dyDescent="0.25">
      <c r="A2198" s="273" t="s">
        <v>320</v>
      </c>
      <c r="B2198" s="251">
        <v>45943</v>
      </c>
      <c r="C2198" s="252" t="s">
        <v>800</v>
      </c>
      <c r="D2198" s="252"/>
      <c r="E2198" s="253">
        <v>1000000</v>
      </c>
      <c r="F2198" s="253">
        <v>0</v>
      </c>
      <c r="G2198" s="274">
        <f>Tabla3[[#This Row],[INGRESOS]]-Tabla3[[#This Row],[EGRESOS]]</f>
        <v>-1000000</v>
      </c>
      <c r="H2198" s="274">
        <v>-9629795.9399999995</v>
      </c>
      <c r="I2198" s="135">
        <v>1410</v>
      </c>
      <c r="J2198" s="136">
        <f>Tabla3[[#This Row],[EGRESOS]]/Tabla3[[#This Row],[TC]]</f>
        <v>709.21985815602841</v>
      </c>
      <c r="K2198" s="136">
        <f>Tabla3[[#This Row],[INGRESOS]]/Tabla3[[#This Row],[TC]]</f>
        <v>0</v>
      </c>
      <c r="L2198" s="8" t="s">
        <v>376</v>
      </c>
      <c r="M2198" s="8" t="s">
        <v>377</v>
      </c>
      <c r="N2198" s="8" t="s">
        <v>20</v>
      </c>
      <c r="O2198" s="8" t="s">
        <v>184</v>
      </c>
      <c r="P2198" s="8" t="s">
        <v>203</v>
      </c>
      <c r="Q2198" s="8" t="s">
        <v>205</v>
      </c>
      <c r="R2198" s="8"/>
      <c r="S2198" s="8" t="s">
        <v>386</v>
      </c>
      <c r="T2198" s="8"/>
      <c r="U2198" s="8" t="s">
        <v>387</v>
      </c>
      <c r="V2198" s="8" t="s">
        <v>386</v>
      </c>
      <c r="W2198" s="8" t="s">
        <v>380</v>
      </c>
      <c r="X2198" s="8" t="s">
        <v>104</v>
      </c>
      <c r="Y2198" s="8" t="s">
        <v>23</v>
      </c>
    </row>
    <row r="2199" spans="1:25" s="7" customFormat="1" hidden="1" x14ac:dyDescent="0.25">
      <c r="A2199" s="273" t="s">
        <v>320</v>
      </c>
      <c r="B2199" s="251">
        <v>45953</v>
      </c>
      <c r="C2199" s="252" t="s">
        <v>800</v>
      </c>
      <c r="D2199" s="252"/>
      <c r="E2199" s="253">
        <v>700000</v>
      </c>
      <c r="F2199" s="253">
        <v>0</v>
      </c>
      <c r="G2199" s="274">
        <f>Tabla3[[#This Row],[INGRESOS]]-Tabla3[[#This Row],[EGRESOS]]</f>
        <v>-700000</v>
      </c>
      <c r="H2199" s="274">
        <v>11773166.380000001</v>
      </c>
      <c r="I2199" s="135">
        <v>1410</v>
      </c>
      <c r="J2199" s="136">
        <f>Tabla3[[#This Row],[EGRESOS]]/Tabla3[[#This Row],[TC]]</f>
        <v>496.45390070921985</v>
      </c>
      <c r="K2199" s="136">
        <f>Tabla3[[#This Row],[INGRESOS]]/Tabla3[[#This Row],[TC]]</f>
        <v>0</v>
      </c>
      <c r="L2199" s="8" t="s">
        <v>376</v>
      </c>
      <c r="M2199" s="8" t="s">
        <v>377</v>
      </c>
      <c r="N2199" s="8" t="s">
        <v>20</v>
      </c>
      <c r="O2199" s="8" t="s">
        <v>184</v>
      </c>
      <c r="P2199" s="8" t="s">
        <v>203</v>
      </c>
      <c r="Q2199" s="8" t="s">
        <v>208</v>
      </c>
      <c r="R2199" s="8"/>
      <c r="S2199" s="8" t="s">
        <v>414</v>
      </c>
      <c r="T2199" s="8"/>
      <c r="U2199" s="8" t="s">
        <v>530</v>
      </c>
      <c r="V2199" s="8" t="s">
        <v>415</v>
      </c>
      <c r="W2199" s="8" t="s">
        <v>380</v>
      </c>
      <c r="X2199" s="8" t="s">
        <v>102</v>
      </c>
      <c r="Y2199" s="8" t="s">
        <v>23</v>
      </c>
    </row>
    <row r="2200" spans="1:25" s="7" customFormat="1" hidden="1" x14ac:dyDescent="0.25">
      <c r="A2200" s="273" t="s">
        <v>320</v>
      </c>
      <c r="B2200" s="251">
        <v>45953</v>
      </c>
      <c r="C2200" s="252" t="s">
        <v>828</v>
      </c>
      <c r="D2200" s="252"/>
      <c r="E2200" s="253">
        <v>121</v>
      </c>
      <c r="F2200" s="253">
        <v>0</v>
      </c>
      <c r="G2200" s="274">
        <f>Tabla3[[#This Row],[INGRESOS]]-Tabla3[[#This Row],[EGRESOS]]</f>
        <v>-121</v>
      </c>
      <c r="H2200" s="274">
        <v>11773045.380000001</v>
      </c>
      <c r="I2200" s="135">
        <v>1410</v>
      </c>
      <c r="J2200" s="136">
        <f>Tabla3[[#This Row],[EGRESOS]]/Tabla3[[#This Row],[TC]]</f>
        <v>8.5815602836879432E-2</v>
      </c>
      <c r="K2200" s="136">
        <f>Tabla3[[#This Row],[INGRESOS]]/Tabla3[[#This Row],[TC]]</f>
        <v>0</v>
      </c>
      <c r="L2200" s="8" t="s">
        <v>376</v>
      </c>
      <c r="M2200" s="8" t="s">
        <v>377</v>
      </c>
      <c r="N2200" s="8" t="s">
        <v>20</v>
      </c>
      <c r="O2200" s="8" t="s">
        <v>184</v>
      </c>
      <c r="P2200" s="8" t="s">
        <v>185</v>
      </c>
      <c r="Q2200" s="8" t="s">
        <v>186</v>
      </c>
      <c r="R2200" s="8"/>
      <c r="S2200" s="8"/>
      <c r="T2200" s="8"/>
      <c r="U2200" s="8" t="s">
        <v>384</v>
      </c>
      <c r="V2200" s="8"/>
      <c r="W2200" s="8" t="s">
        <v>380</v>
      </c>
      <c r="X2200" s="8" t="s">
        <v>99</v>
      </c>
      <c r="Y2200" s="8" t="s">
        <v>23</v>
      </c>
    </row>
    <row r="2201" spans="1:25" s="7" customFormat="1" hidden="1" x14ac:dyDescent="0.25">
      <c r="A2201" s="273" t="s">
        <v>320</v>
      </c>
      <c r="B2201" s="251">
        <v>45953</v>
      </c>
      <c r="C2201" s="252" t="s">
        <v>773</v>
      </c>
      <c r="D2201" s="252"/>
      <c r="E2201" s="253">
        <v>105686.69</v>
      </c>
      <c r="F2201" s="253">
        <v>0</v>
      </c>
      <c r="G2201" s="274">
        <f>Tabla3[[#This Row],[INGRESOS]]-Tabla3[[#This Row],[EGRESOS]]</f>
        <v>-105686.69</v>
      </c>
      <c r="H2201" s="274">
        <v>11667358.689999999</v>
      </c>
      <c r="I2201" s="135">
        <v>1410</v>
      </c>
      <c r="J2201" s="136">
        <f>Tabla3[[#This Row],[EGRESOS]]/Tabla3[[#This Row],[TC]]</f>
        <v>74.95509929078014</v>
      </c>
      <c r="K2201" s="136">
        <f>Tabla3[[#This Row],[INGRESOS]]/Tabla3[[#This Row],[TC]]</f>
        <v>0</v>
      </c>
      <c r="L2201" s="8" t="s">
        <v>376</v>
      </c>
      <c r="M2201" s="8" t="s">
        <v>377</v>
      </c>
      <c r="N2201" s="8" t="s">
        <v>20</v>
      </c>
      <c r="O2201" s="8" t="s">
        <v>184</v>
      </c>
      <c r="P2201" s="8" t="s">
        <v>195</v>
      </c>
      <c r="Q2201" s="8" t="s">
        <v>196</v>
      </c>
      <c r="R2201" s="8" t="s">
        <v>394</v>
      </c>
      <c r="S2201" s="8"/>
      <c r="T2201" s="8"/>
      <c r="U2201" s="8" t="s">
        <v>384</v>
      </c>
      <c r="V2201" s="8"/>
      <c r="W2201" s="8" t="s">
        <v>380</v>
      </c>
      <c r="X2201" s="8" t="s">
        <v>99</v>
      </c>
      <c r="Y2201" s="8" t="s">
        <v>23</v>
      </c>
    </row>
    <row r="2202" spans="1:25" s="7" customFormat="1" hidden="1" x14ac:dyDescent="0.25">
      <c r="A2202" s="273" t="s">
        <v>320</v>
      </c>
      <c r="B2202" s="251">
        <v>45954</v>
      </c>
      <c r="C2202" s="252" t="s">
        <v>782</v>
      </c>
      <c r="D2202" s="252" t="s">
        <v>1258</v>
      </c>
      <c r="E2202" s="253">
        <v>34348253.549999997</v>
      </c>
      <c r="F2202" s="253">
        <v>0</v>
      </c>
      <c r="G2202" s="274">
        <f>Tabla3[[#This Row],[INGRESOS]]-Tabla3[[#This Row],[EGRESOS]]</f>
        <v>-34348253.549999997</v>
      </c>
      <c r="H2202" s="274">
        <v>-22680894.859999999</v>
      </c>
      <c r="I2202" s="135">
        <v>1410</v>
      </c>
      <c r="J2202" s="136">
        <f>Tabla3[[#This Row],[EGRESOS]]/Tabla3[[#This Row],[TC]]</f>
        <v>24360.463510638296</v>
      </c>
      <c r="K2202" s="136">
        <f>Tabla3[[#This Row],[INGRESOS]]/Tabla3[[#This Row],[TC]]</f>
        <v>0</v>
      </c>
      <c r="L2202" s="8" t="s">
        <v>376</v>
      </c>
      <c r="M2202" s="8" t="s">
        <v>377</v>
      </c>
      <c r="N2202" s="8" t="s">
        <v>20</v>
      </c>
      <c r="O2202" s="8" t="s">
        <v>215</v>
      </c>
      <c r="P2202" s="8" t="s">
        <v>216</v>
      </c>
      <c r="Q2202" s="8" t="s">
        <v>219</v>
      </c>
      <c r="R2202" s="8" t="s">
        <v>328</v>
      </c>
      <c r="S2202" s="8" t="s">
        <v>1259</v>
      </c>
      <c r="T2202" s="8"/>
      <c r="U2202" s="8" t="s">
        <v>398</v>
      </c>
      <c r="V2202" s="8"/>
      <c r="W2202" s="7" t="s">
        <v>399</v>
      </c>
      <c r="X2202" s="8" t="s">
        <v>29</v>
      </c>
      <c r="Y2202" s="8" t="s">
        <v>23</v>
      </c>
    </row>
    <row r="2203" spans="1:25" s="7" customFormat="1" hidden="1" x14ac:dyDescent="0.25">
      <c r="A2203" s="273" t="s">
        <v>320</v>
      </c>
      <c r="B2203" s="251">
        <v>45954</v>
      </c>
      <c r="C2203" s="252" t="s">
        <v>1260</v>
      </c>
      <c r="D2203" s="252"/>
      <c r="E2203" s="253">
        <v>0</v>
      </c>
      <c r="F2203" s="253">
        <v>14000000</v>
      </c>
      <c r="G2203" s="274">
        <f>Tabla3[[#This Row],[INGRESOS]]-Tabla3[[#This Row],[EGRESOS]]</f>
        <v>14000000</v>
      </c>
      <c r="H2203" s="274">
        <v>-8680894.8599999994</v>
      </c>
      <c r="I2203" s="135">
        <v>1410</v>
      </c>
      <c r="J2203" s="136">
        <f>Tabla3[[#This Row],[EGRESOS]]/Tabla3[[#This Row],[TC]]</f>
        <v>0</v>
      </c>
      <c r="K2203" s="136">
        <f>Tabla3[[#This Row],[INGRESOS]]/Tabla3[[#This Row],[TC]]</f>
        <v>9929.078014184397</v>
      </c>
      <c r="L2203" s="8" t="s">
        <v>376</v>
      </c>
      <c r="M2203" s="8" t="s">
        <v>377</v>
      </c>
      <c r="N2203" s="8" t="s">
        <v>20</v>
      </c>
      <c r="O2203" s="8" t="s">
        <v>244</v>
      </c>
      <c r="P2203" s="8" t="s">
        <v>259</v>
      </c>
      <c r="Q2203" s="8" t="s">
        <v>260</v>
      </c>
      <c r="R2203" s="8" t="s">
        <v>554</v>
      </c>
      <c r="S2203" s="8"/>
      <c r="T2203" s="8"/>
      <c r="U2203" s="8" t="s">
        <v>379</v>
      </c>
      <c r="V2203" s="8"/>
      <c r="W2203" s="8" t="s">
        <v>380</v>
      </c>
      <c r="X2203" s="8"/>
      <c r="Y2203" s="8"/>
    </row>
    <row r="2204" spans="1:25" s="7" customFormat="1" hidden="1" x14ac:dyDescent="0.25">
      <c r="A2204" s="273" t="s">
        <v>320</v>
      </c>
      <c r="B2204" s="251">
        <v>45954</v>
      </c>
      <c r="C2204" s="252" t="s">
        <v>762</v>
      </c>
      <c r="D2204" s="252"/>
      <c r="E2204" s="253">
        <v>3549</v>
      </c>
      <c r="F2204" s="253">
        <v>0</v>
      </c>
      <c r="G2204" s="274">
        <f>Tabla3[[#This Row],[INGRESOS]]-Tabla3[[#This Row],[EGRESOS]]</f>
        <v>-3549</v>
      </c>
      <c r="H2204" s="274">
        <v>-8684443.8599999994</v>
      </c>
      <c r="I2204" s="135">
        <v>1410</v>
      </c>
      <c r="J2204" s="136">
        <f>Tabla3[[#This Row],[EGRESOS]]/Tabla3[[#This Row],[TC]]</f>
        <v>2.5170212765957447</v>
      </c>
      <c r="K2204" s="136">
        <f>Tabla3[[#This Row],[INGRESOS]]/Tabla3[[#This Row],[TC]]</f>
        <v>0</v>
      </c>
      <c r="L2204" s="8" t="s">
        <v>376</v>
      </c>
      <c r="M2204" s="8" t="s">
        <v>377</v>
      </c>
      <c r="N2204" s="8" t="s">
        <v>20</v>
      </c>
      <c r="O2204" s="8" t="s">
        <v>184</v>
      </c>
      <c r="P2204" s="8" t="s">
        <v>195</v>
      </c>
      <c r="Q2204" s="8" t="s">
        <v>196</v>
      </c>
      <c r="R2204" s="8" t="s">
        <v>382</v>
      </c>
      <c r="S2204" s="8"/>
      <c r="T2204" s="8"/>
      <c r="U2204" s="8" t="s">
        <v>384</v>
      </c>
      <c r="V2204" s="8"/>
      <c r="W2204" s="8" t="s">
        <v>380</v>
      </c>
      <c r="X2204" s="8" t="s">
        <v>99</v>
      </c>
      <c r="Y2204" s="8" t="s">
        <v>23</v>
      </c>
    </row>
    <row r="2205" spans="1:25" s="7" customFormat="1" hidden="1" x14ac:dyDescent="0.25">
      <c r="A2205" s="273" t="s">
        <v>320</v>
      </c>
      <c r="B2205" s="251">
        <v>45954</v>
      </c>
      <c r="C2205" s="252" t="s">
        <v>763</v>
      </c>
      <c r="D2205" s="252"/>
      <c r="E2205" s="253">
        <v>507</v>
      </c>
      <c r="F2205" s="253">
        <v>0</v>
      </c>
      <c r="G2205" s="274">
        <f>Tabla3[[#This Row],[INGRESOS]]-Tabla3[[#This Row],[EGRESOS]]</f>
        <v>-507</v>
      </c>
      <c r="H2205" s="274">
        <v>-8684950.8599999994</v>
      </c>
      <c r="I2205" s="135">
        <v>1410</v>
      </c>
      <c r="J2205" s="136">
        <f>Tabla3[[#This Row],[EGRESOS]]/Tabla3[[#This Row],[TC]]</f>
        <v>0.3595744680851064</v>
      </c>
      <c r="K2205" s="136">
        <f>Tabla3[[#This Row],[INGRESOS]]/Tabla3[[#This Row],[TC]]</f>
        <v>0</v>
      </c>
      <c r="L2205" s="8" t="s">
        <v>376</v>
      </c>
      <c r="M2205" s="8" t="s">
        <v>377</v>
      </c>
      <c r="N2205" s="8" t="s">
        <v>20</v>
      </c>
      <c r="O2205" s="8" t="s">
        <v>184</v>
      </c>
      <c r="P2205" s="8" t="s">
        <v>195</v>
      </c>
      <c r="Q2205" s="8" t="s">
        <v>196</v>
      </c>
      <c r="R2205" s="8" t="s">
        <v>417</v>
      </c>
      <c r="S2205" s="8" t="s">
        <v>383</v>
      </c>
      <c r="T2205" s="8"/>
      <c r="U2205" s="8" t="s">
        <v>384</v>
      </c>
      <c r="V2205" s="8"/>
      <c r="W2205" s="8" t="s">
        <v>380</v>
      </c>
      <c r="X2205" s="8" t="s">
        <v>99</v>
      </c>
      <c r="Y2205" s="8" t="s">
        <v>23</v>
      </c>
    </row>
    <row r="2206" spans="1:25" s="7" customFormat="1" hidden="1" x14ac:dyDescent="0.25">
      <c r="A2206" s="273" t="s">
        <v>320</v>
      </c>
      <c r="B2206" s="251">
        <v>45954</v>
      </c>
      <c r="C2206" s="252" t="s">
        <v>794</v>
      </c>
      <c r="D2206" s="252"/>
      <c r="E2206" s="253">
        <v>16900</v>
      </c>
      <c r="F2206" s="253">
        <v>0</v>
      </c>
      <c r="G2206" s="274">
        <f>Tabla3[[#This Row],[INGRESOS]]-Tabla3[[#This Row],[EGRESOS]]</f>
        <v>-16900</v>
      </c>
      <c r="H2206" s="274">
        <v>-8701850.8599999994</v>
      </c>
      <c r="I2206" s="135">
        <v>1410</v>
      </c>
      <c r="J2206" s="136">
        <f>Tabla3[[#This Row],[EGRESOS]]/Tabla3[[#This Row],[TC]]</f>
        <v>11.98581560283688</v>
      </c>
      <c r="K2206" s="136">
        <f>Tabla3[[#This Row],[INGRESOS]]/Tabla3[[#This Row],[TC]]</f>
        <v>0</v>
      </c>
      <c r="L2206" s="8" t="s">
        <v>376</v>
      </c>
      <c r="M2206" s="8" t="s">
        <v>377</v>
      </c>
      <c r="N2206" s="8" t="s">
        <v>20</v>
      </c>
      <c r="O2206" s="8" t="s">
        <v>184</v>
      </c>
      <c r="P2206" s="8" t="s">
        <v>185</v>
      </c>
      <c r="Q2206" s="8" t="s">
        <v>186</v>
      </c>
      <c r="R2206" s="8"/>
      <c r="S2206" s="8"/>
      <c r="T2206" s="8"/>
      <c r="U2206" s="8" t="s">
        <v>384</v>
      </c>
      <c r="V2206" s="8"/>
      <c r="W2206" s="8" t="s">
        <v>380</v>
      </c>
      <c r="X2206" s="8" t="s">
        <v>99</v>
      </c>
      <c r="Y2206" s="8" t="s">
        <v>23</v>
      </c>
    </row>
    <row r="2207" spans="1:25" s="7" customFormat="1" hidden="1" x14ac:dyDescent="0.25">
      <c r="A2207" s="273" t="s">
        <v>320</v>
      </c>
      <c r="B2207" s="251">
        <v>45954</v>
      </c>
      <c r="C2207" s="252" t="s">
        <v>773</v>
      </c>
      <c r="D2207" s="252"/>
      <c r="E2207" s="253">
        <v>206215.26</v>
      </c>
      <c r="F2207" s="253">
        <v>0</v>
      </c>
      <c r="G2207" s="274">
        <f>Tabla3[[#This Row],[INGRESOS]]-Tabla3[[#This Row],[EGRESOS]]</f>
        <v>-206215.26</v>
      </c>
      <c r="H2207" s="274">
        <v>-8908066.1199999992</v>
      </c>
      <c r="I2207" s="135">
        <v>1410</v>
      </c>
      <c r="J2207" s="136">
        <f>Tabla3[[#This Row],[EGRESOS]]/Tabla3[[#This Row],[TC]]</f>
        <v>146.25195744680852</v>
      </c>
      <c r="K2207" s="136">
        <f>Tabla3[[#This Row],[INGRESOS]]/Tabla3[[#This Row],[TC]]</f>
        <v>0</v>
      </c>
      <c r="L2207" s="8" t="s">
        <v>376</v>
      </c>
      <c r="M2207" s="8" t="s">
        <v>377</v>
      </c>
      <c r="N2207" s="8" t="s">
        <v>20</v>
      </c>
      <c r="O2207" s="8" t="s">
        <v>184</v>
      </c>
      <c r="P2207" s="8" t="s">
        <v>195</v>
      </c>
      <c r="Q2207" s="8" t="s">
        <v>196</v>
      </c>
      <c r="R2207" s="8" t="s">
        <v>394</v>
      </c>
      <c r="S2207" s="8"/>
      <c r="T2207" s="8"/>
      <c r="U2207" s="8" t="s">
        <v>384</v>
      </c>
      <c r="V2207" s="8"/>
      <c r="W2207" s="8" t="s">
        <v>380</v>
      </c>
      <c r="X2207" s="8" t="s">
        <v>99</v>
      </c>
      <c r="Y2207" s="8" t="s">
        <v>23</v>
      </c>
    </row>
    <row r="2208" spans="1:25" s="7" customFormat="1" hidden="1" x14ac:dyDescent="0.25">
      <c r="A2208" s="273" t="s">
        <v>320</v>
      </c>
      <c r="B2208" s="251">
        <v>45957</v>
      </c>
      <c r="C2208" s="252" t="s">
        <v>800</v>
      </c>
      <c r="D2208" s="252"/>
      <c r="E2208" s="253">
        <v>300000</v>
      </c>
      <c r="F2208" s="253">
        <v>0</v>
      </c>
      <c r="G2208" s="274">
        <f>Tabla3[[#This Row],[INGRESOS]]-Tabla3[[#This Row],[EGRESOS]]</f>
        <v>-300000</v>
      </c>
      <c r="H2208" s="274">
        <v>-9208066.1199999992</v>
      </c>
      <c r="I2208" s="135">
        <v>1410</v>
      </c>
      <c r="J2208" s="136">
        <f>Tabla3[[#This Row],[EGRESOS]]/Tabla3[[#This Row],[TC]]</f>
        <v>212.7659574468085</v>
      </c>
      <c r="K2208" s="136">
        <f>Tabla3[[#This Row],[INGRESOS]]/Tabla3[[#This Row],[TC]]</f>
        <v>0</v>
      </c>
      <c r="L2208" s="8" t="s">
        <v>376</v>
      </c>
      <c r="M2208" s="8" t="s">
        <v>377</v>
      </c>
      <c r="N2208" s="8" t="s">
        <v>20</v>
      </c>
      <c r="O2208" s="7" t="s">
        <v>184</v>
      </c>
      <c r="P2208" s="7" t="s">
        <v>199</v>
      </c>
      <c r="Q2208" s="7" t="s">
        <v>200</v>
      </c>
      <c r="S2208" s="7" t="s">
        <v>736</v>
      </c>
      <c r="U2208" s="7" t="s">
        <v>390</v>
      </c>
      <c r="W2208" s="7" t="s">
        <v>475</v>
      </c>
      <c r="X2208" s="7" t="s">
        <v>99</v>
      </c>
      <c r="Y2208" s="7" t="s">
        <v>23</v>
      </c>
    </row>
    <row r="2209" spans="1:25" s="7" customFormat="1" hidden="1" x14ac:dyDescent="0.25">
      <c r="A2209" s="273" t="s">
        <v>320</v>
      </c>
      <c r="B2209" s="251">
        <v>45957</v>
      </c>
      <c r="C2209" s="252" t="s">
        <v>828</v>
      </c>
      <c r="D2209" s="252"/>
      <c r="E2209" s="253">
        <v>18.149999999999999</v>
      </c>
      <c r="F2209" s="253">
        <v>0</v>
      </c>
      <c r="G2209" s="274">
        <f>Tabla3[[#This Row],[INGRESOS]]-Tabla3[[#This Row],[EGRESOS]]</f>
        <v>-18.149999999999999</v>
      </c>
      <c r="H2209" s="274">
        <v>-9208084.2699999996</v>
      </c>
      <c r="I2209" s="135">
        <v>1410</v>
      </c>
      <c r="J2209" s="136">
        <f>Tabla3[[#This Row],[EGRESOS]]/Tabla3[[#This Row],[TC]]</f>
        <v>1.2872340425531915E-2</v>
      </c>
      <c r="K2209" s="136">
        <f>Tabla3[[#This Row],[INGRESOS]]/Tabla3[[#This Row],[TC]]</f>
        <v>0</v>
      </c>
      <c r="L2209" s="8" t="s">
        <v>376</v>
      </c>
      <c r="M2209" s="8" t="s">
        <v>377</v>
      </c>
      <c r="N2209" s="8" t="s">
        <v>20</v>
      </c>
      <c r="O2209" s="8" t="s">
        <v>184</v>
      </c>
      <c r="P2209" s="8" t="s">
        <v>185</v>
      </c>
      <c r="Q2209" s="8" t="s">
        <v>186</v>
      </c>
      <c r="R2209" s="8"/>
      <c r="S2209" s="8"/>
      <c r="T2209" s="8"/>
      <c r="U2209" s="8" t="s">
        <v>384</v>
      </c>
      <c r="V2209" s="8"/>
      <c r="W2209" s="8" t="s">
        <v>380</v>
      </c>
      <c r="X2209" s="8" t="s">
        <v>99</v>
      </c>
      <c r="Y2209" s="8" t="s">
        <v>23</v>
      </c>
    </row>
    <row r="2210" spans="1:25" s="7" customFormat="1" hidden="1" x14ac:dyDescent="0.25">
      <c r="A2210" s="273" t="s">
        <v>320</v>
      </c>
      <c r="B2210" s="251">
        <v>45957</v>
      </c>
      <c r="C2210" s="252" t="s">
        <v>1261</v>
      </c>
      <c r="D2210" s="252"/>
      <c r="E2210" s="253">
        <v>0</v>
      </c>
      <c r="F2210" s="253">
        <v>3570000</v>
      </c>
      <c r="G2210" s="274">
        <f>Tabla3[[#This Row],[INGRESOS]]-Tabla3[[#This Row],[EGRESOS]]</f>
        <v>3570000</v>
      </c>
      <c r="H2210" s="274">
        <v>-5638084.2699999996</v>
      </c>
      <c r="I2210" s="135">
        <v>1410</v>
      </c>
      <c r="J2210" s="136">
        <f>Tabla3[[#This Row],[EGRESOS]]/Tabla3[[#This Row],[TC]]</f>
        <v>0</v>
      </c>
      <c r="K2210" s="136">
        <f>Tabla3[[#This Row],[INGRESOS]]/Tabla3[[#This Row],[TC]]</f>
        <v>2531.9148936170213</v>
      </c>
      <c r="L2210" s="8" t="s">
        <v>376</v>
      </c>
      <c r="M2210" s="8" t="s">
        <v>377</v>
      </c>
      <c r="N2210" s="8" t="s">
        <v>20</v>
      </c>
      <c r="O2210" s="8" t="s">
        <v>184</v>
      </c>
      <c r="P2210" s="8" t="s">
        <v>185</v>
      </c>
      <c r="Q2210" s="8" t="s">
        <v>187</v>
      </c>
      <c r="R2210" s="8"/>
      <c r="S2210" s="8" t="s">
        <v>898</v>
      </c>
      <c r="T2210" s="8"/>
      <c r="U2210" s="8" t="s">
        <v>384</v>
      </c>
      <c r="V2210" s="8"/>
      <c r="W2210" s="8" t="s">
        <v>380</v>
      </c>
      <c r="X2210" s="8" t="s">
        <v>99</v>
      </c>
      <c r="Y2210" s="8" t="s">
        <v>23</v>
      </c>
    </row>
    <row r="2211" spans="1:25" s="7" customFormat="1" hidden="1" x14ac:dyDescent="0.25">
      <c r="A2211" s="273" t="s">
        <v>320</v>
      </c>
      <c r="B2211" s="251">
        <v>45957</v>
      </c>
      <c r="C2211" s="252" t="s">
        <v>762</v>
      </c>
      <c r="D2211" s="252"/>
      <c r="E2211" s="253">
        <v>3276</v>
      </c>
      <c r="F2211" s="253">
        <v>0</v>
      </c>
      <c r="G2211" s="274">
        <f>Tabla3[[#This Row],[INGRESOS]]-Tabla3[[#This Row],[EGRESOS]]</f>
        <v>-3276</v>
      </c>
      <c r="H2211" s="274">
        <v>-5641360.2699999996</v>
      </c>
      <c r="I2211" s="135">
        <v>1410</v>
      </c>
      <c r="J2211" s="136">
        <f>Tabla3[[#This Row],[EGRESOS]]/Tabla3[[#This Row],[TC]]</f>
        <v>2.323404255319149</v>
      </c>
      <c r="K2211" s="136">
        <f>Tabla3[[#This Row],[INGRESOS]]/Tabla3[[#This Row],[TC]]</f>
        <v>0</v>
      </c>
      <c r="L2211" s="8" t="s">
        <v>376</v>
      </c>
      <c r="M2211" s="8" t="s">
        <v>377</v>
      </c>
      <c r="N2211" s="8" t="s">
        <v>20</v>
      </c>
      <c r="O2211" s="8" t="s">
        <v>184</v>
      </c>
      <c r="P2211" s="8" t="s">
        <v>195</v>
      </c>
      <c r="Q2211" s="8" t="s">
        <v>196</v>
      </c>
      <c r="R2211" s="8" t="s">
        <v>382</v>
      </c>
      <c r="S2211" s="8"/>
      <c r="T2211" s="8"/>
      <c r="U2211" s="8" t="s">
        <v>384</v>
      </c>
      <c r="V2211" s="8"/>
      <c r="W2211" s="8" t="s">
        <v>380</v>
      </c>
      <c r="X2211" s="8" t="s">
        <v>99</v>
      </c>
      <c r="Y2211" s="8" t="s">
        <v>23</v>
      </c>
    </row>
    <row r="2212" spans="1:25" s="7" customFormat="1" hidden="1" x14ac:dyDescent="0.25">
      <c r="A2212" s="273" t="s">
        <v>320</v>
      </c>
      <c r="B2212" s="251">
        <v>45957</v>
      </c>
      <c r="C2212" s="252" t="s">
        <v>763</v>
      </c>
      <c r="D2212" s="252"/>
      <c r="E2212" s="253">
        <v>468</v>
      </c>
      <c r="F2212" s="253">
        <v>0</v>
      </c>
      <c r="G2212" s="274">
        <f>Tabla3[[#This Row],[INGRESOS]]-Tabla3[[#This Row],[EGRESOS]]</f>
        <v>-468</v>
      </c>
      <c r="H2212" s="274">
        <v>-5641828.2699999996</v>
      </c>
      <c r="I2212" s="135">
        <v>1410</v>
      </c>
      <c r="J2212" s="136">
        <f>Tabla3[[#This Row],[EGRESOS]]/Tabla3[[#This Row],[TC]]</f>
        <v>0.33191489361702126</v>
      </c>
      <c r="K2212" s="136">
        <f>Tabla3[[#This Row],[INGRESOS]]/Tabla3[[#This Row],[TC]]</f>
        <v>0</v>
      </c>
      <c r="L2212" s="8" t="s">
        <v>376</v>
      </c>
      <c r="M2212" s="8" t="s">
        <v>377</v>
      </c>
      <c r="N2212" s="8" t="s">
        <v>20</v>
      </c>
      <c r="O2212" s="8" t="s">
        <v>184</v>
      </c>
      <c r="P2212" s="8" t="s">
        <v>195</v>
      </c>
      <c r="Q2212" s="8" t="s">
        <v>196</v>
      </c>
      <c r="R2212" s="8" t="s">
        <v>417</v>
      </c>
      <c r="S2212" s="8" t="s">
        <v>383</v>
      </c>
      <c r="T2212" s="8"/>
      <c r="U2212" s="8" t="s">
        <v>384</v>
      </c>
      <c r="V2212" s="8"/>
      <c r="W2212" s="8" t="s">
        <v>380</v>
      </c>
      <c r="X2212" s="8" t="s">
        <v>99</v>
      </c>
      <c r="Y2212" s="8" t="s">
        <v>23</v>
      </c>
    </row>
    <row r="2213" spans="1:25" s="7" customFormat="1" hidden="1" x14ac:dyDescent="0.25">
      <c r="A2213" s="273" t="s">
        <v>320</v>
      </c>
      <c r="B2213" s="251">
        <v>45957</v>
      </c>
      <c r="C2213" s="252" t="s">
        <v>837</v>
      </c>
      <c r="D2213" s="252"/>
      <c r="E2213" s="253">
        <v>15600</v>
      </c>
      <c r="F2213" s="253">
        <v>0</v>
      </c>
      <c r="G2213" s="274">
        <f>Tabla3[[#This Row],[INGRESOS]]-Tabla3[[#This Row],[EGRESOS]]</f>
        <v>-15600</v>
      </c>
      <c r="H2213" s="274">
        <v>-5657428.2699999996</v>
      </c>
      <c r="I2213" s="135">
        <v>1410</v>
      </c>
      <c r="J2213" s="136">
        <f>Tabla3[[#This Row],[EGRESOS]]/Tabla3[[#This Row],[TC]]</f>
        <v>11.063829787234043</v>
      </c>
      <c r="K2213" s="136">
        <f>Tabla3[[#This Row],[INGRESOS]]/Tabla3[[#This Row],[TC]]</f>
        <v>0</v>
      </c>
      <c r="L2213" s="8" t="s">
        <v>376</v>
      </c>
      <c r="M2213" s="8" t="s">
        <v>377</v>
      </c>
      <c r="N2213" s="8" t="s">
        <v>20</v>
      </c>
      <c r="O2213" s="8" t="s">
        <v>184</v>
      </c>
      <c r="P2213" s="8" t="s">
        <v>185</v>
      </c>
      <c r="Q2213" s="8" t="s">
        <v>186</v>
      </c>
      <c r="R2213" s="8"/>
      <c r="S2213" s="8"/>
      <c r="T2213" s="8"/>
      <c r="U2213" s="8" t="s">
        <v>384</v>
      </c>
      <c r="V2213" s="8"/>
      <c r="W2213" s="8" t="s">
        <v>380</v>
      </c>
      <c r="X2213" s="8" t="s">
        <v>99</v>
      </c>
      <c r="Y2213" s="8" t="s">
        <v>23</v>
      </c>
    </row>
    <row r="2214" spans="1:25" s="7" customFormat="1" hidden="1" x14ac:dyDescent="0.25">
      <c r="A2214" s="273" t="s">
        <v>320</v>
      </c>
      <c r="B2214" s="251">
        <v>45957</v>
      </c>
      <c r="C2214" s="252" t="s">
        <v>817</v>
      </c>
      <c r="D2214" s="252"/>
      <c r="E2214" s="253">
        <v>4300000</v>
      </c>
      <c r="F2214" s="253">
        <v>0</v>
      </c>
      <c r="G2214" s="274">
        <f>Tabla3[[#This Row],[INGRESOS]]-Tabla3[[#This Row],[EGRESOS]]</f>
        <v>-4300000</v>
      </c>
      <c r="H2214" s="274">
        <v>-9957428.2699999996</v>
      </c>
      <c r="I2214" s="135">
        <v>1410</v>
      </c>
      <c r="J2214" s="136">
        <f>Tabla3[[#This Row],[EGRESOS]]/Tabla3[[#This Row],[TC]]</f>
        <v>3049.6453900709221</v>
      </c>
      <c r="K2214" s="136">
        <f>Tabla3[[#This Row],[INGRESOS]]/Tabla3[[#This Row],[TC]]</f>
        <v>0</v>
      </c>
      <c r="L2214" s="8" t="s">
        <v>376</v>
      </c>
      <c r="M2214" s="8" t="s">
        <v>377</v>
      </c>
      <c r="N2214" s="8" t="s">
        <v>20</v>
      </c>
      <c r="O2214" s="8" t="s">
        <v>184</v>
      </c>
      <c r="P2214" s="8" t="s">
        <v>185</v>
      </c>
      <c r="Q2214" s="8" t="s">
        <v>187</v>
      </c>
      <c r="R2214" s="8"/>
      <c r="S2214" s="8" t="s">
        <v>898</v>
      </c>
      <c r="T2214" s="8"/>
      <c r="U2214" s="8" t="s">
        <v>384</v>
      </c>
      <c r="V2214" s="8"/>
      <c r="W2214" s="8" t="s">
        <v>380</v>
      </c>
      <c r="X2214" s="8" t="s">
        <v>99</v>
      </c>
      <c r="Y2214" s="8" t="s">
        <v>23</v>
      </c>
    </row>
    <row r="2215" spans="1:25" s="7" customFormat="1" hidden="1" x14ac:dyDescent="0.25">
      <c r="A2215" s="273" t="s">
        <v>320</v>
      </c>
      <c r="B2215" s="251">
        <v>45957</v>
      </c>
      <c r="C2215" s="252" t="s">
        <v>760</v>
      </c>
      <c r="D2215" s="252"/>
      <c r="E2215" s="253">
        <v>21420</v>
      </c>
      <c r="F2215" s="253">
        <v>0</v>
      </c>
      <c r="G2215" s="274">
        <f>Tabla3[[#This Row],[INGRESOS]]-Tabla3[[#This Row],[EGRESOS]]</f>
        <v>-21420</v>
      </c>
      <c r="H2215" s="274">
        <v>-9978848.2699999996</v>
      </c>
      <c r="I2215" s="135">
        <v>1410</v>
      </c>
      <c r="J2215" s="136">
        <f>Tabla3[[#This Row],[EGRESOS]]/Tabla3[[#This Row],[TC]]</f>
        <v>15.191489361702128</v>
      </c>
      <c r="K2215" s="136">
        <f>Tabla3[[#This Row],[INGRESOS]]/Tabla3[[#This Row],[TC]]</f>
        <v>0</v>
      </c>
      <c r="L2215" s="8" t="s">
        <v>376</v>
      </c>
      <c r="M2215" s="8" t="s">
        <v>377</v>
      </c>
      <c r="N2215" s="8" t="s">
        <v>20</v>
      </c>
      <c r="O2215" s="8" t="s">
        <v>184</v>
      </c>
      <c r="P2215" s="8" t="s">
        <v>195</v>
      </c>
      <c r="Q2215" s="8" t="s">
        <v>196</v>
      </c>
      <c r="R2215" s="8" t="s">
        <v>394</v>
      </c>
      <c r="S2215" s="8"/>
      <c r="T2215" s="8"/>
      <c r="U2215" s="8" t="s">
        <v>384</v>
      </c>
      <c r="V2215" s="8"/>
      <c r="W2215" s="8" t="s">
        <v>380</v>
      </c>
      <c r="X2215" s="8" t="s">
        <v>99</v>
      </c>
      <c r="Y2215" s="8" t="s">
        <v>23</v>
      </c>
    </row>
    <row r="2216" spans="1:25" s="7" customFormat="1" hidden="1" x14ac:dyDescent="0.25">
      <c r="A2216" s="273" t="s">
        <v>320</v>
      </c>
      <c r="B2216" s="251">
        <v>45957</v>
      </c>
      <c r="C2216" s="252" t="s">
        <v>773</v>
      </c>
      <c r="D2216" s="252"/>
      <c r="E2216" s="253">
        <v>27716.17</v>
      </c>
      <c r="F2216" s="253">
        <v>0</v>
      </c>
      <c r="G2216" s="274">
        <f>Tabla3[[#This Row],[INGRESOS]]-Tabla3[[#This Row],[EGRESOS]]</f>
        <v>-27716.17</v>
      </c>
      <c r="H2216" s="274">
        <v>-10006564.439999999</v>
      </c>
      <c r="I2216" s="135">
        <v>1410</v>
      </c>
      <c r="J2216" s="136">
        <f>Tabla3[[#This Row],[EGRESOS]]/Tabla3[[#This Row],[TC]]</f>
        <v>19.656858156028367</v>
      </c>
      <c r="K2216" s="136">
        <f>Tabla3[[#This Row],[INGRESOS]]/Tabla3[[#This Row],[TC]]</f>
        <v>0</v>
      </c>
      <c r="L2216" s="8" t="s">
        <v>376</v>
      </c>
      <c r="M2216" s="8" t="s">
        <v>377</v>
      </c>
      <c r="N2216" s="8" t="s">
        <v>20</v>
      </c>
      <c r="O2216" s="8" t="s">
        <v>184</v>
      </c>
      <c r="P2216" s="8" t="s">
        <v>195</v>
      </c>
      <c r="Q2216" s="8" t="s">
        <v>196</v>
      </c>
      <c r="R2216" s="8" t="s">
        <v>394</v>
      </c>
      <c r="S2216" s="8"/>
      <c r="T2216" s="8"/>
      <c r="U2216" s="8" t="s">
        <v>384</v>
      </c>
      <c r="V2216" s="8"/>
      <c r="W2216" s="8" t="s">
        <v>380</v>
      </c>
      <c r="X2216" s="8" t="s">
        <v>99</v>
      </c>
      <c r="Y2216" s="8" t="s">
        <v>23</v>
      </c>
    </row>
    <row r="2217" spans="1:25" s="7" customFormat="1" hidden="1" x14ac:dyDescent="0.25">
      <c r="A2217" s="273" t="s">
        <v>320</v>
      </c>
      <c r="B2217" s="251">
        <v>45958</v>
      </c>
      <c r="C2217" s="252" t="s">
        <v>782</v>
      </c>
      <c r="D2217" s="252" t="s">
        <v>1262</v>
      </c>
      <c r="E2217" s="253">
        <v>230100</v>
      </c>
      <c r="F2217" s="253">
        <v>0</v>
      </c>
      <c r="G2217" s="274">
        <f>Tabla3[[#This Row],[INGRESOS]]-Tabla3[[#This Row],[EGRESOS]]</f>
        <v>-230100</v>
      </c>
      <c r="H2217" s="274">
        <v>-10236664.439999999</v>
      </c>
      <c r="I2217" s="135">
        <v>1410</v>
      </c>
      <c r="J2217" s="136">
        <f>Tabla3[[#This Row],[EGRESOS]]/Tabla3[[#This Row],[TC]]</f>
        <v>163.19148936170214</v>
      </c>
      <c r="K2217" s="136">
        <f>Tabla3[[#This Row],[INGRESOS]]/Tabla3[[#This Row],[TC]]</f>
        <v>0</v>
      </c>
      <c r="L2217" s="8" t="s">
        <v>376</v>
      </c>
      <c r="M2217" s="8" t="s">
        <v>377</v>
      </c>
      <c r="N2217" s="8" t="s">
        <v>20</v>
      </c>
      <c r="O2217" s="8" t="s">
        <v>225</v>
      </c>
      <c r="P2217" s="8" t="s">
        <v>236</v>
      </c>
      <c r="Q2217" s="8" t="s">
        <v>237</v>
      </c>
      <c r="R2217" s="8" t="s">
        <v>1263</v>
      </c>
      <c r="S2217" s="8" t="s">
        <v>572</v>
      </c>
      <c r="T2217" s="8"/>
      <c r="U2217" s="8" t="s">
        <v>403</v>
      </c>
      <c r="V2217" s="8"/>
      <c r="W2217" s="8" t="s">
        <v>380</v>
      </c>
      <c r="X2217" s="8" t="s">
        <v>29</v>
      </c>
      <c r="Y2217" s="8" t="s">
        <v>23</v>
      </c>
    </row>
    <row r="2218" spans="1:25" s="7" customFormat="1" hidden="1" x14ac:dyDescent="0.25">
      <c r="A2218" s="273" t="s">
        <v>320</v>
      </c>
      <c r="B2218" s="251">
        <v>45958</v>
      </c>
      <c r="C2218" s="252" t="s">
        <v>782</v>
      </c>
      <c r="D2218" s="252" t="s">
        <v>1264</v>
      </c>
      <c r="E2218" s="253">
        <v>398000</v>
      </c>
      <c r="F2218" s="253">
        <v>0</v>
      </c>
      <c r="G2218" s="274">
        <f>Tabla3[[#This Row],[INGRESOS]]-Tabla3[[#This Row],[EGRESOS]]</f>
        <v>-398000</v>
      </c>
      <c r="H2218" s="274">
        <v>-10634664.439999999</v>
      </c>
      <c r="I2218" s="135">
        <v>1410</v>
      </c>
      <c r="J2218" s="136">
        <f>Tabla3[[#This Row],[EGRESOS]]/Tabla3[[#This Row],[TC]]</f>
        <v>282.26950354609932</v>
      </c>
      <c r="K2218" s="136">
        <f>Tabla3[[#This Row],[INGRESOS]]/Tabla3[[#This Row],[TC]]</f>
        <v>0</v>
      </c>
      <c r="L2218" s="8" t="s">
        <v>376</v>
      </c>
      <c r="M2218" s="8" t="s">
        <v>377</v>
      </c>
      <c r="N2218" s="8" t="s">
        <v>20</v>
      </c>
      <c r="O2218" s="8" t="s">
        <v>225</v>
      </c>
      <c r="P2218" s="8" t="s">
        <v>233</v>
      </c>
      <c r="Q2218" s="8" t="s">
        <v>234</v>
      </c>
      <c r="R2218" s="8"/>
      <c r="S2218" s="8" t="s">
        <v>865</v>
      </c>
      <c r="T2218" s="8"/>
      <c r="U2218" s="8" t="s">
        <v>412</v>
      </c>
      <c r="V2218" s="8"/>
      <c r="W2218" s="8" t="s">
        <v>380</v>
      </c>
      <c r="X2218" s="8" t="s">
        <v>29</v>
      </c>
      <c r="Y2218" s="8" t="s">
        <v>23</v>
      </c>
    </row>
    <row r="2219" spans="1:25" s="7" customFormat="1" hidden="1" x14ac:dyDescent="0.25">
      <c r="A2219" s="273" t="s">
        <v>320</v>
      </c>
      <c r="B2219" s="251">
        <v>45958</v>
      </c>
      <c r="C2219" s="252" t="s">
        <v>782</v>
      </c>
      <c r="D2219" s="252" t="s">
        <v>1265</v>
      </c>
      <c r="E2219" s="253">
        <v>202141</v>
      </c>
      <c r="F2219" s="253">
        <v>0</v>
      </c>
      <c r="G2219" s="274">
        <f>Tabla3[[#This Row],[INGRESOS]]-Tabla3[[#This Row],[EGRESOS]]</f>
        <v>-202141</v>
      </c>
      <c r="H2219" s="274">
        <v>-10836805.439999999</v>
      </c>
      <c r="I2219" s="135">
        <v>1410</v>
      </c>
      <c r="J2219" s="136">
        <f>Tabla3[[#This Row],[EGRESOS]]/Tabla3[[#This Row],[TC]]</f>
        <v>143.36241134751774</v>
      </c>
      <c r="K2219" s="136">
        <f>Tabla3[[#This Row],[INGRESOS]]/Tabla3[[#This Row],[TC]]</f>
        <v>0</v>
      </c>
      <c r="L2219" s="8" t="s">
        <v>376</v>
      </c>
      <c r="M2219" s="8" t="s">
        <v>377</v>
      </c>
      <c r="N2219" s="8" t="s">
        <v>20</v>
      </c>
      <c r="O2219" s="8" t="s">
        <v>286</v>
      </c>
      <c r="P2219" s="8" t="s">
        <v>287</v>
      </c>
      <c r="Q2219" s="8" t="s">
        <v>288</v>
      </c>
      <c r="R2219" s="8" t="s">
        <v>143</v>
      </c>
      <c r="S2219" s="8" t="s">
        <v>637</v>
      </c>
      <c r="T2219" s="8" t="s">
        <v>1266</v>
      </c>
      <c r="U2219" s="8" t="s">
        <v>412</v>
      </c>
      <c r="V2219" s="8"/>
      <c r="W2219" s="8" t="s">
        <v>380</v>
      </c>
      <c r="X2219" s="8" t="s">
        <v>29</v>
      </c>
      <c r="Y2219" s="8" t="s">
        <v>23</v>
      </c>
    </row>
    <row r="2220" spans="1:25" s="7" customFormat="1" hidden="1" x14ac:dyDescent="0.25">
      <c r="A2220" s="273" t="s">
        <v>320</v>
      </c>
      <c r="B2220" s="251">
        <v>45958</v>
      </c>
      <c r="C2220" s="252" t="s">
        <v>782</v>
      </c>
      <c r="D2220" s="252" t="s">
        <v>1267</v>
      </c>
      <c r="E2220" s="253">
        <v>339289.81</v>
      </c>
      <c r="F2220" s="253">
        <v>0</v>
      </c>
      <c r="G2220" s="274">
        <f>Tabla3[[#This Row],[INGRESOS]]-Tabla3[[#This Row],[EGRESOS]]</f>
        <v>-339289.81</v>
      </c>
      <c r="H2220" s="274">
        <v>-11176095.25</v>
      </c>
      <c r="I2220" s="135">
        <v>1410</v>
      </c>
      <c r="J2220" s="136">
        <f>Tabla3[[#This Row],[EGRESOS]]/Tabla3[[#This Row],[TC]]</f>
        <v>240.63107092198581</v>
      </c>
      <c r="K2220" s="136">
        <f>Tabla3[[#This Row],[INGRESOS]]/Tabla3[[#This Row],[TC]]</f>
        <v>0</v>
      </c>
      <c r="L2220" s="8" t="s">
        <v>376</v>
      </c>
      <c r="M2220" s="8" t="s">
        <v>377</v>
      </c>
      <c r="N2220" s="8" t="s">
        <v>20</v>
      </c>
      <c r="O2220" s="8" t="s">
        <v>215</v>
      </c>
      <c r="P2220" s="8" t="s">
        <v>216</v>
      </c>
      <c r="Q2220" s="8" t="s">
        <v>220</v>
      </c>
      <c r="R2220" s="8" t="s">
        <v>329</v>
      </c>
      <c r="S2220" s="8" t="s">
        <v>634</v>
      </c>
      <c r="T2220" s="8" t="s">
        <v>1268</v>
      </c>
      <c r="U2220" s="8" t="s">
        <v>412</v>
      </c>
      <c r="V2220" s="8"/>
      <c r="W2220" s="8" t="s">
        <v>380</v>
      </c>
      <c r="X2220" s="8" t="s">
        <v>29</v>
      </c>
      <c r="Y2220" s="8" t="s">
        <v>23</v>
      </c>
    </row>
    <row r="2221" spans="1:25" s="7" customFormat="1" hidden="1" x14ac:dyDescent="0.25">
      <c r="A2221" s="273" t="s">
        <v>320</v>
      </c>
      <c r="B2221" s="251">
        <v>45958</v>
      </c>
      <c r="C2221" s="252" t="s">
        <v>810</v>
      </c>
      <c r="D2221" s="252"/>
      <c r="E2221" s="253">
        <v>0</v>
      </c>
      <c r="F2221" s="253">
        <v>1190000</v>
      </c>
      <c r="G2221" s="274">
        <f>Tabla3[[#This Row],[INGRESOS]]-Tabla3[[#This Row],[EGRESOS]]</f>
        <v>1190000</v>
      </c>
      <c r="H2221" s="274">
        <v>-9986095.25</v>
      </c>
      <c r="I2221" s="135">
        <v>1410</v>
      </c>
      <c r="J2221" s="136">
        <f>Tabla3[[#This Row],[EGRESOS]]/Tabla3[[#This Row],[TC]]</f>
        <v>0</v>
      </c>
      <c r="K2221" s="136">
        <f>Tabla3[[#This Row],[INGRESOS]]/Tabla3[[#This Row],[TC]]</f>
        <v>843.9716312056737</v>
      </c>
      <c r="L2221" s="8" t="s">
        <v>376</v>
      </c>
      <c r="M2221" s="8" t="s">
        <v>377</v>
      </c>
      <c r="N2221" s="8" t="s">
        <v>20</v>
      </c>
      <c r="O2221" s="8" t="s">
        <v>244</v>
      </c>
      <c r="P2221" s="8" t="s">
        <v>259</v>
      </c>
      <c r="Q2221" s="8" t="s">
        <v>260</v>
      </c>
      <c r="R2221" s="8" t="s">
        <v>447</v>
      </c>
      <c r="S2221" s="8"/>
      <c r="T2221" s="8"/>
      <c r="U2221" s="8" t="s">
        <v>379</v>
      </c>
      <c r="V2221" s="8"/>
      <c r="W2221" s="8" t="s">
        <v>380</v>
      </c>
      <c r="X2221" s="8"/>
      <c r="Y2221" s="8"/>
    </row>
    <row r="2222" spans="1:25" s="7" customFormat="1" hidden="1" x14ac:dyDescent="0.25">
      <c r="A2222" s="273" t="s">
        <v>320</v>
      </c>
      <c r="B2222" s="251">
        <v>45958</v>
      </c>
      <c r="C2222" s="252" t="s">
        <v>1261</v>
      </c>
      <c r="D2222" s="252"/>
      <c r="E2222" s="253">
        <v>0</v>
      </c>
      <c r="F2222" s="253">
        <v>730000</v>
      </c>
      <c r="G2222" s="274">
        <f>Tabla3[[#This Row],[INGRESOS]]-Tabla3[[#This Row],[EGRESOS]]</f>
        <v>730000</v>
      </c>
      <c r="H2222" s="274">
        <v>-9256095.25</v>
      </c>
      <c r="I2222" s="135">
        <v>1410</v>
      </c>
      <c r="J2222" s="136">
        <f>Tabla3[[#This Row],[EGRESOS]]/Tabla3[[#This Row],[TC]]</f>
        <v>0</v>
      </c>
      <c r="K2222" s="136">
        <f>Tabla3[[#This Row],[INGRESOS]]/Tabla3[[#This Row],[TC]]</f>
        <v>517.73049645390074</v>
      </c>
      <c r="L2222" s="8" t="s">
        <v>376</v>
      </c>
      <c r="M2222" s="8" t="s">
        <v>377</v>
      </c>
      <c r="N2222" s="8" t="s">
        <v>20</v>
      </c>
      <c r="O2222" s="8" t="s">
        <v>184</v>
      </c>
      <c r="P2222" s="8" t="s">
        <v>185</v>
      </c>
      <c r="Q2222" s="8" t="s">
        <v>187</v>
      </c>
      <c r="R2222" s="8"/>
      <c r="S2222" s="8" t="s">
        <v>898</v>
      </c>
      <c r="T2222" s="8"/>
      <c r="U2222" s="8" t="s">
        <v>384</v>
      </c>
      <c r="V2222" s="8"/>
      <c r="W2222" s="8" t="s">
        <v>380</v>
      </c>
      <c r="X2222" s="8" t="s">
        <v>99</v>
      </c>
      <c r="Y2222" s="8" t="s">
        <v>23</v>
      </c>
    </row>
    <row r="2223" spans="1:25" s="7" customFormat="1" hidden="1" x14ac:dyDescent="0.25">
      <c r="A2223" s="273" t="s">
        <v>320</v>
      </c>
      <c r="B2223" s="251">
        <v>45958</v>
      </c>
      <c r="C2223" s="252" t="s">
        <v>762</v>
      </c>
      <c r="D2223" s="252"/>
      <c r="E2223" s="253">
        <v>3549</v>
      </c>
      <c r="F2223" s="253">
        <v>0</v>
      </c>
      <c r="G2223" s="274">
        <f>Tabla3[[#This Row],[INGRESOS]]-Tabla3[[#This Row],[EGRESOS]]</f>
        <v>-3549</v>
      </c>
      <c r="H2223" s="274">
        <v>-9259644.25</v>
      </c>
      <c r="I2223" s="135">
        <v>1410</v>
      </c>
      <c r="J2223" s="136">
        <f>Tabla3[[#This Row],[EGRESOS]]/Tabla3[[#This Row],[TC]]</f>
        <v>2.5170212765957447</v>
      </c>
      <c r="K2223" s="136">
        <f>Tabla3[[#This Row],[INGRESOS]]/Tabla3[[#This Row],[TC]]</f>
        <v>0</v>
      </c>
      <c r="L2223" s="8" t="s">
        <v>376</v>
      </c>
      <c r="M2223" s="8" t="s">
        <v>377</v>
      </c>
      <c r="N2223" s="8" t="s">
        <v>20</v>
      </c>
      <c r="O2223" s="8" t="s">
        <v>184</v>
      </c>
      <c r="P2223" s="8" t="s">
        <v>195</v>
      </c>
      <c r="Q2223" s="8" t="s">
        <v>196</v>
      </c>
      <c r="R2223" s="8" t="s">
        <v>382</v>
      </c>
      <c r="S2223" s="8"/>
      <c r="T2223" s="8"/>
      <c r="U2223" s="8" t="s">
        <v>384</v>
      </c>
      <c r="V2223" s="8"/>
      <c r="W2223" s="8" t="s">
        <v>380</v>
      </c>
      <c r="X2223" s="8" t="s">
        <v>99</v>
      </c>
      <c r="Y2223" s="8" t="s">
        <v>23</v>
      </c>
    </row>
    <row r="2224" spans="1:25" s="7" customFormat="1" hidden="1" x14ac:dyDescent="0.25">
      <c r="A2224" s="273" t="s">
        <v>320</v>
      </c>
      <c r="B2224" s="251">
        <v>45958</v>
      </c>
      <c r="C2224" s="252" t="s">
        <v>763</v>
      </c>
      <c r="D2224" s="252"/>
      <c r="E2224" s="253">
        <v>507</v>
      </c>
      <c r="F2224" s="253">
        <v>0</v>
      </c>
      <c r="G2224" s="274">
        <f>Tabla3[[#This Row],[INGRESOS]]-Tabla3[[#This Row],[EGRESOS]]</f>
        <v>-507</v>
      </c>
      <c r="H2224" s="274">
        <v>-9260151.25</v>
      </c>
      <c r="I2224" s="135">
        <v>1410</v>
      </c>
      <c r="J2224" s="136">
        <f>Tabla3[[#This Row],[EGRESOS]]/Tabla3[[#This Row],[TC]]</f>
        <v>0.3595744680851064</v>
      </c>
      <c r="K2224" s="136">
        <f>Tabla3[[#This Row],[INGRESOS]]/Tabla3[[#This Row],[TC]]</f>
        <v>0</v>
      </c>
      <c r="L2224" s="8" t="s">
        <v>376</v>
      </c>
      <c r="M2224" s="8" t="s">
        <v>377</v>
      </c>
      <c r="N2224" s="8" t="s">
        <v>20</v>
      </c>
      <c r="O2224" s="8" t="s">
        <v>184</v>
      </c>
      <c r="P2224" s="8" t="s">
        <v>195</v>
      </c>
      <c r="Q2224" s="8" t="s">
        <v>196</v>
      </c>
      <c r="R2224" s="8" t="s">
        <v>417</v>
      </c>
      <c r="S2224" s="8" t="s">
        <v>383</v>
      </c>
      <c r="T2224" s="8"/>
      <c r="U2224" s="8" t="s">
        <v>384</v>
      </c>
      <c r="V2224" s="8"/>
      <c r="W2224" s="8" t="s">
        <v>380</v>
      </c>
      <c r="X2224" s="8" t="s">
        <v>99</v>
      </c>
      <c r="Y2224" s="8" t="s">
        <v>23</v>
      </c>
    </row>
    <row r="2225" spans="1:25" s="7" customFormat="1" hidden="1" x14ac:dyDescent="0.25">
      <c r="A2225" s="273" t="s">
        <v>320</v>
      </c>
      <c r="B2225" s="251">
        <v>45958</v>
      </c>
      <c r="C2225" s="252" t="s">
        <v>794</v>
      </c>
      <c r="D2225" s="252"/>
      <c r="E2225" s="253">
        <v>16900</v>
      </c>
      <c r="F2225" s="253">
        <v>0</v>
      </c>
      <c r="G2225" s="274">
        <f>Tabla3[[#This Row],[INGRESOS]]-Tabla3[[#This Row],[EGRESOS]]</f>
        <v>-16900</v>
      </c>
      <c r="H2225" s="274">
        <v>-9277051.25</v>
      </c>
      <c r="I2225" s="135">
        <v>1410</v>
      </c>
      <c r="J2225" s="136">
        <f>Tabla3[[#This Row],[EGRESOS]]/Tabla3[[#This Row],[TC]]</f>
        <v>11.98581560283688</v>
      </c>
      <c r="K2225" s="136">
        <f>Tabla3[[#This Row],[INGRESOS]]/Tabla3[[#This Row],[TC]]</f>
        <v>0</v>
      </c>
      <c r="L2225" s="8" t="s">
        <v>376</v>
      </c>
      <c r="M2225" s="8" t="s">
        <v>377</v>
      </c>
      <c r="N2225" s="8" t="s">
        <v>20</v>
      </c>
      <c r="O2225" s="8" t="s">
        <v>184</v>
      </c>
      <c r="P2225" s="8" t="s">
        <v>185</v>
      </c>
      <c r="Q2225" s="8" t="s">
        <v>186</v>
      </c>
      <c r="R2225" s="8"/>
      <c r="S2225" s="8"/>
      <c r="T2225" s="8"/>
      <c r="U2225" s="8" t="s">
        <v>384</v>
      </c>
      <c r="V2225" s="8"/>
      <c r="W2225" s="8" t="s">
        <v>380</v>
      </c>
      <c r="X2225" s="8" t="s">
        <v>99</v>
      </c>
      <c r="Y2225" s="8" t="s">
        <v>23</v>
      </c>
    </row>
    <row r="2226" spans="1:25" s="7" customFormat="1" hidden="1" x14ac:dyDescent="0.25">
      <c r="A2226" s="273" t="s">
        <v>320</v>
      </c>
      <c r="B2226" s="251">
        <v>45958</v>
      </c>
      <c r="C2226" s="252" t="s">
        <v>760</v>
      </c>
      <c r="D2226" s="252"/>
      <c r="E2226" s="253">
        <v>4380</v>
      </c>
      <c r="F2226" s="253">
        <v>0</v>
      </c>
      <c r="G2226" s="274">
        <f>Tabla3[[#This Row],[INGRESOS]]-Tabla3[[#This Row],[EGRESOS]]</f>
        <v>-4380</v>
      </c>
      <c r="H2226" s="274">
        <v>-9281431.25</v>
      </c>
      <c r="I2226" s="135">
        <v>1410</v>
      </c>
      <c r="J2226" s="136">
        <f>Tabla3[[#This Row],[EGRESOS]]/Tabla3[[#This Row],[TC]]</f>
        <v>3.1063829787234041</v>
      </c>
      <c r="K2226" s="136">
        <f>Tabla3[[#This Row],[INGRESOS]]/Tabla3[[#This Row],[TC]]</f>
        <v>0</v>
      </c>
      <c r="L2226" s="8" t="s">
        <v>376</v>
      </c>
      <c r="M2226" s="8" t="s">
        <v>377</v>
      </c>
      <c r="N2226" s="8" t="s">
        <v>20</v>
      </c>
      <c r="O2226" s="8" t="s">
        <v>184</v>
      </c>
      <c r="P2226" s="8" t="s">
        <v>195</v>
      </c>
      <c r="Q2226" s="8" t="s">
        <v>196</v>
      </c>
      <c r="R2226" s="8" t="s">
        <v>394</v>
      </c>
      <c r="S2226" s="8"/>
      <c r="T2226" s="8"/>
      <c r="U2226" s="8" t="s">
        <v>384</v>
      </c>
      <c r="V2226" s="8"/>
      <c r="W2226" s="8" t="s">
        <v>380</v>
      </c>
      <c r="X2226" s="8" t="s">
        <v>99</v>
      </c>
      <c r="Y2226" s="8" t="s">
        <v>23</v>
      </c>
    </row>
    <row r="2227" spans="1:25" s="7" customFormat="1" hidden="1" x14ac:dyDescent="0.25">
      <c r="A2227" s="273" t="s">
        <v>320</v>
      </c>
      <c r="B2227" s="251">
        <v>45958</v>
      </c>
      <c r="C2227" s="252" t="s">
        <v>773</v>
      </c>
      <c r="D2227" s="252"/>
      <c r="E2227" s="253">
        <v>7142.93</v>
      </c>
      <c r="F2227" s="253">
        <v>0</v>
      </c>
      <c r="G2227" s="274">
        <f>Tabla3[[#This Row],[INGRESOS]]-Tabla3[[#This Row],[EGRESOS]]</f>
        <v>-7142.93</v>
      </c>
      <c r="H2227" s="274">
        <v>-9288574.1799999997</v>
      </c>
      <c r="I2227" s="135">
        <v>1410</v>
      </c>
      <c r="J2227" s="136">
        <f>Tabla3[[#This Row],[EGRESOS]]/Tabla3[[#This Row],[TC]]</f>
        <v>5.0659078014184402</v>
      </c>
      <c r="K2227" s="136">
        <f>Tabla3[[#This Row],[INGRESOS]]/Tabla3[[#This Row],[TC]]</f>
        <v>0</v>
      </c>
      <c r="L2227" s="8" t="s">
        <v>376</v>
      </c>
      <c r="M2227" s="8" t="s">
        <v>377</v>
      </c>
      <c r="N2227" s="8" t="s">
        <v>20</v>
      </c>
      <c r="O2227" s="8" t="s">
        <v>184</v>
      </c>
      <c r="P2227" s="8" t="s">
        <v>195</v>
      </c>
      <c r="Q2227" s="8" t="s">
        <v>196</v>
      </c>
      <c r="R2227" s="8" t="s">
        <v>394</v>
      </c>
      <c r="S2227" s="8"/>
      <c r="T2227" s="8"/>
      <c r="U2227" s="8" t="s">
        <v>384</v>
      </c>
      <c r="V2227" s="8"/>
      <c r="W2227" s="8" t="s">
        <v>380</v>
      </c>
      <c r="X2227" s="8" t="s">
        <v>99</v>
      </c>
      <c r="Y2227" s="8" t="s">
        <v>23</v>
      </c>
    </row>
    <row r="2228" spans="1:25" s="7" customFormat="1" hidden="1" x14ac:dyDescent="0.25">
      <c r="A2228" s="273" t="s">
        <v>320</v>
      </c>
      <c r="B2228" s="251">
        <v>45959</v>
      </c>
      <c r="C2228" s="252" t="s">
        <v>782</v>
      </c>
      <c r="D2228" s="252" t="s">
        <v>1269</v>
      </c>
      <c r="E2228" s="253">
        <v>1695573</v>
      </c>
      <c r="F2228" s="253">
        <v>0</v>
      </c>
      <c r="G2228" s="274">
        <f>Tabla3[[#This Row],[INGRESOS]]-Tabla3[[#This Row],[EGRESOS]]</f>
        <v>-1695573</v>
      </c>
      <c r="H2228" s="274">
        <v>-10984147.18</v>
      </c>
      <c r="I2228" s="135">
        <v>1410</v>
      </c>
      <c r="J2228" s="136">
        <f>Tabla3[[#This Row],[EGRESOS]]/Tabla3[[#This Row],[TC]]</f>
        <v>1202.5340425531915</v>
      </c>
      <c r="K2228" s="136">
        <f>Tabla3[[#This Row],[INGRESOS]]/Tabla3[[#This Row],[TC]]</f>
        <v>0</v>
      </c>
      <c r="L2228" s="8" t="s">
        <v>376</v>
      </c>
      <c r="M2228" s="8" t="s">
        <v>377</v>
      </c>
      <c r="N2228" s="8" t="s">
        <v>20</v>
      </c>
      <c r="O2228" s="8" t="s">
        <v>215</v>
      </c>
      <c r="P2228" s="8" t="s">
        <v>216</v>
      </c>
      <c r="Q2228" s="8" t="s">
        <v>220</v>
      </c>
      <c r="R2228" s="8" t="s">
        <v>291</v>
      </c>
      <c r="S2228" s="8" t="s">
        <v>1099</v>
      </c>
      <c r="T2228" s="8" t="s">
        <v>1270</v>
      </c>
      <c r="U2228" s="8" t="s">
        <v>412</v>
      </c>
      <c r="V2228" s="8"/>
      <c r="W2228" s="8" t="s">
        <v>380</v>
      </c>
      <c r="X2228" s="8" t="s">
        <v>29</v>
      </c>
      <c r="Y2228" s="8" t="s">
        <v>23</v>
      </c>
    </row>
    <row r="2229" spans="1:25" s="7" customFormat="1" hidden="1" x14ac:dyDescent="0.25">
      <c r="A2229" s="273" t="s">
        <v>320</v>
      </c>
      <c r="B2229" s="251">
        <v>45952</v>
      </c>
      <c r="C2229" s="252" t="s">
        <v>800</v>
      </c>
      <c r="D2229" s="252"/>
      <c r="E2229" s="253">
        <v>500000</v>
      </c>
      <c r="F2229" s="253">
        <v>0</v>
      </c>
      <c r="G2229" s="274">
        <f>Tabla3[[#This Row],[INGRESOS]]-Tabla3[[#This Row],[EGRESOS]]</f>
        <v>-500000</v>
      </c>
      <c r="H2229" s="274">
        <v>31031421.039999999</v>
      </c>
      <c r="I2229" s="135">
        <v>1410</v>
      </c>
      <c r="J2229" s="136">
        <f>Tabla3[[#This Row],[EGRESOS]]/Tabla3[[#This Row],[TC]]</f>
        <v>354.6099290780142</v>
      </c>
      <c r="K2229" s="136">
        <f>Tabla3[[#This Row],[INGRESOS]]/Tabla3[[#This Row],[TC]]</f>
        <v>0</v>
      </c>
      <c r="L2229" s="8" t="s">
        <v>376</v>
      </c>
      <c r="M2229" s="8" t="s">
        <v>377</v>
      </c>
      <c r="N2229" s="8" t="s">
        <v>20</v>
      </c>
      <c r="O2229" s="8" t="s">
        <v>184</v>
      </c>
      <c r="P2229" s="8" t="s">
        <v>203</v>
      </c>
      <c r="Q2229" s="8" t="s">
        <v>205</v>
      </c>
      <c r="R2229" s="8"/>
      <c r="S2229" s="8" t="s">
        <v>386</v>
      </c>
      <c r="T2229" s="8"/>
      <c r="U2229" s="8" t="s">
        <v>387</v>
      </c>
      <c r="V2229" s="8" t="s">
        <v>386</v>
      </c>
      <c r="W2229" s="8" t="s">
        <v>380</v>
      </c>
      <c r="X2229" s="8" t="s">
        <v>104</v>
      </c>
      <c r="Y2229" s="8" t="s">
        <v>23</v>
      </c>
    </row>
    <row r="2230" spans="1:25" s="7" customFormat="1" hidden="1" x14ac:dyDescent="0.25">
      <c r="A2230" s="273" t="s">
        <v>320</v>
      </c>
      <c r="B2230" s="251">
        <v>45959</v>
      </c>
      <c r="C2230" s="252" t="s">
        <v>762</v>
      </c>
      <c r="D2230" s="252"/>
      <c r="E2230" s="253">
        <v>3549</v>
      </c>
      <c r="F2230" s="253">
        <v>0</v>
      </c>
      <c r="G2230" s="274">
        <f>Tabla3[[#This Row],[INGRESOS]]-Tabla3[[#This Row],[EGRESOS]]</f>
        <v>-3549</v>
      </c>
      <c r="H2230" s="274">
        <v>-9987696.1799999997</v>
      </c>
      <c r="I2230" s="135">
        <v>1410</v>
      </c>
      <c r="J2230" s="136">
        <f>Tabla3[[#This Row],[EGRESOS]]/Tabla3[[#This Row],[TC]]</f>
        <v>2.5170212765957447</v>
      </c>
      <c r="K2230" s="136">
        <f>Tabla3[[#This Row],[INGRESOS]]/Tabla3[[#This Row],[TC]]</f>
        <v>0</v>
      </c>
      <c r="L2230" s="8" t="s">
        <v>376</v>
      </c>
      <c r="M2230" s="8" t="s">
        <v>377</v>
      </c>
      <c r="N2230" s="8" t="s">
        <v>20</v>
      </c>
      <c r="O2230" s="8" t="s">
        <v>184</v>
      </c>
      <c r="P2230" s="8" t="s">
        <v>195</v>
      </c>
      <c r="Q2230" s="8" t="s">
        <v>196</v>
      </c>
      <c r="R2230" s="8" t="s">
        <v>382</v>
      </c>
      <c r="S2230" s="8"/>
      <c r="T2230" s="8"/>
      <c r="U2230" s="8" t="s">
        <v>384</v>
      </c>
      <c r="V2230" s="8"/>
      <c r="W2230" s="8" t="s">
        <v>380</v>
      </c>
      <c r="X2230" s="8" t="s">
        <v>99</v>
      </c>
      <c r="Y2230" s="8" t="s">
        <v>23</v>
      </c>
    </row>
    <row r="2231" spans="1:25" s="7" customFormat="1" hidden="1" x14ac:dyDescent="0.25">
      <c r="A2231" s="273" t="s">
        <v>320</v>
      </c>
      <c r="B2231" s="251">
        <v>45959</v>
      </c>
      <c r="C2231" s="252" t="s">
        <v>763</v>
      </c>
      <c r="D2231" s="252"/>
      <c r="E2231" s="253">
        <v>507</v>
      </c>
      <c r="F2231" s="253">
        <v>0</v>
      </c>
      <c r="G2231" s="274">
        <f>Tabla3[[#This Row],[INGRESOS]]-Tabla3[[#This Row],[EGRESOS]]</f>
        <v>-507</v>
      </c>
      <c r="H2231" s="274">
        <v>-9988203.1799999997</v>
      </c>
      <c r="I2231" s="135">
        <v>1410</v>
      </c>
      <c r="J2231" s="136">
        <f>Tabla3[[#This Row],[EGRESOS]]/Tabla3[[#This Row],[TC]]</f>
        <v>0.3595744680851064</v>
      </c>
      <c r="K2231" s="136">
        <f>Tabla3[[#This Row],[INGRESOS]]/Tabla3[[#This Row],[TC]]</f>
        <v>0</v>
      </c>
      <c r="L2231" s="8" t="s">
        <v>376</v>
      </c>
      <c r="M2231" s="8" t="s">
        <v>377</v>
      </c>
      <c r="N2231" s="8" t="s">
        <v>20</v>
      </c>
      <c r="O2231" s="8" t="s">
        <v>184</v>
      </c>
      <c r="P2231" s="8" t="s">
        <v>195</v>
      </c>
      <c r="Q2231" s="8" t="s">
        <v>196</v>
      </c>
      <c r="R2231" s="8" t="s">
        <v>417</v>
      </c>
      <c r="S2231" s="8" t="s">
        <v>383</v>
      </c>
      <c r="T2231" s="8"/>
      <c r="U2231" s="8" t="s">
        <v>384</v>
      </c>
      <c r="V2231" s="8"/>
      <c r="W2231" s="8" t="s">
        <v>380</v>
      </c>
      <c r="X2231" s="8" t="s">
        <v>99</v>
      </c>
      <c r="Y2231" s="8" t="s">
        <v>23</v>
      </c>
    </row>
    <row r="2232" spans="1:25" s="7" customFormat="1" hidden="1" x14ac:dyDescent="0.25">
      <c r="A2232" s="273" t="s">
        <v>320</v>
      </c>
      <c r="B2232" s="251">
        <v>45959</v>
      </c>
      <c r="C2232" s="252" t="s">
        <v>794</v>
      </c>
      <c r="D2232" s="252"/>
      <c r="E2232" s="253">
        <v>16900</v>
      </c>
      <c r="F2232" s="253">
        <v>0</v>
      </c>
      <c r="G2232" s="274">
        <f>Tabla3[[#This Row],[INGRESOS]]-Tabla3[[#This Row],[EGRESOS]]</f>
        <v>-16900</v>
      </c>
      <c r="H2232" s="274">
        <v>-10005103.18</v>
      </c>
      <c r="I2232" s="135">
        <v>1410</v>
      </c>
      <c r="J2232" s="136">
        <f>Tabla3[[#This Row],[EGRESOS]]/Tabla3[[#This Row],[TC]]</f>
        <v>11.98581560283688</v>
      </c>
      <c r="K2232" s="136">
        <f>Tabla3[[#This Row],[INGRESOS]]/Tabla3[[#This Row],[TC]]</f>
        <v>0</v>
      </c>
      <c r="L2232" s="8" t="s">
        <v>376</v>
      </c>
      <c r="M2232" s="8" t="s">
        <v>377</v>
      </c>
      <c r="N2232" s="8" t="s">
        <v>20</v>
      </c>
      <c r="O2232" s="8" t="s">
        <v>184</v>
      </c>
      <c r="P2232" s="8" t="s">
        <v>185</v>
      </c>
      <c r="Q2232" s="8" t="s">
        <v>186</v>
      </c>
      <c r="R2232" s="8"/>
      <c r="S2232" s="8"/>
      <c r="T2232" s="8"/>
      <c r="U2232" s="8" t="s">
        <v>384</v>
      </c>
      <c r="V2232" s="8"/>
      <c r="W2232" s="8" t="s">
        <v>380</v>
      </c>
      <c r="X2232" s="8" t="s">
        <v>99</v>
      </c>
      <c r="Y2232" s="8" t="s">
        <v>23</v>
      </c>
    </row>
    <row r="2233" spans="1:25" s="7" customFormat="1" hidden="1" x14ac:dyDescent="0.25">
      <c r="A2233" s="273" t="s">
        <v>320</v>
      </c>
      <c r="B2233" s="251">
        <v>45959</v>
      </c>
      <c r="C2233" s="252" t="s">
        <v>760</v>
      </c>
      <c r="D2233" s="252"/>
      <c r="E2233" s="253">
        <v>6000</v>
      </c>
      <c r="F2233" s="253">
        <v>0</v>
      </c>
      <c r="G2233" s="274">
        <f>Tabla3[[#This Row],[INGRESOS]]-Tabla3[[#This Row],[EGRESOS]]</f>
        <v>-6000</v>
      </c>
      <c r="H2233" s="274">
        <v>-10011103.18</v>
      </c>
      <c r="I2233" s="135">
        <v>1410</v>
      </c>
      <c r="J2233" s="136">
        <f>Tabla3[[#This Row],[EGRESOS]]/Tabla3[[#This Row],[TC]]</f>
        <v>4.2553191489361701</v>
      </c>
      <c r="K2233" s="136">
        <f>Tabla3[[#This Row],[INGRESOS]]/Tabla3[[#This Row],[TC]]</f>
        <v>0</v>
      </c>
      <c r="L2233" s="8" t="s">
        <v>376</v>
      </c>
      <c r="M2233" s="8" t="s">
        <v>377</v>
      </c>
      <c r="N2233" s="8" t="s">
        <v>20</v>
      </c>
      <c r="O2233" s="8" t="s">
        <v>184</v>
      </c>
      <c r="P2233" s="8" t="s">
        <v>195</v>
      </c>
      <c r="Q2233" s="8" t="s">
        <v>196</v>
      </c>
      <c r="R2233" s="8" t="s">
        <v>394</v>
      </c>
      <c r="S2233" s="8"/>
      <c r="T2233" s="8"/>
      <c r="U2233" s="8" t="s">
        <v>384</v>
      </c>
      <c r="V2233" s="8"/>
      <c r="W2233" s="8" t="s">
        <v>380</v>
      </c>
      <c r="X2233" s="8" t="s">
        <v>99</v>
      </c>
      <c r="Y2233" s="8" t="s">
        <v>23</v>
      </c>
    </row>
    <row r="2234" spans="1:25" s="7" customFormat="1" hidden="1" x14ac:dyDescent="0.25">
      <c r="A2234" s="273" t="s">
        <v>320</v>
      </c>
      <c r="B2234" s="251">
        <v>45959</v>
      </c>
      <c r="C2234" s="252" t="s">
        <v>773</v>
      </c>
      <c r="D2234" s="252"/>
      <c r="E2234" s="253">
        <v>10299.18</v>
      </c>
      <c r="F2234" s="253">
        <v>0</v>
      </c>
      <c r="G2234" s="274">
        <f>Tabla3[[#This Row],[INGRESOS]]-Tabla3[[#This Row],[EGRESOS]]</f>
        <v>-10299.18</v>
      </c>
      <c r="H2234" s="274">
        <v>-10021402.359999999</v>
      </c>
      <c r="I2234" s="135">
        <v>1410</v>
      </c>
      <c r="J2234" s="136">
        <f>Tabla3[[#This Row],[EGRESOS]]/Tabla3[[#This Row],[TC]]</f>
        <v>7.304382978723404</v>
      </c>
      <c r="K2234" s="136">
        <f>Tabla3[[#This Row],[INGRESOS]]/Tabla3[[#This Row],[TC]]</f>
        <v>0</v>
      </c>
      <c r="L2234" s="8" t="s">
        <v>376</v>
      </c>
      <c r="M2234" s="8" t="s">
        <v>377</v>
      </c>
      <c r="N2234" s="8" t="s">
        <v>20</v>
      </c>
      <c r="O2234" s="8" t="s">
        <v>184</v>
      </c>
      <c r="P2234" s="8" t="s">
        <v>195</v>
      </c>
      <c r="Q2234" s="8" t="s">
        <v>196</v>
      </c>
      <c r="R2234" s="8" t="s">
        <v>394</v>
      </c>
      <c r="S2234" s="8"/>
      <c r="T2234" s="8"/>
      <c r="U2234" s="8" t="s">
        <v>384</v>
      </c>
      <c r="V2234" s="8"/>
      <c r="W2234" s="8" t="s">
        <v>380</v>
      </c>
      <c r="X2234" s="8" t="s">
        <v>99</v>
      </c>
      <c r="Y2234" s="8" t="s">
        <v>23</v>
      </c>
    </row>
    <row r="2235" spans="1:25" s="7" customFormat="1" hidden="1" x14ac:dyDescent="0.25">
      <c r="A2235" s="273" t="s">
        <v>320</v>
      </c>
      <c r="B2235" s="251">
        <v>45960</v>
      </c>
      <c r="C2235" s="252" t="s">
        <v>795</v>
      </c>
      <c r="D2235" s="252"/>
      <c r="E2235" s="253">
        <v>66588</v>
      </c>
      <c r="F2235" s="253">
        <v>0</v>
      </c>
      <c r="G2235" s="274">
        <f>Tabla3[[#This Row],[INGRESOS]]-Tabla3[[#This Row],[EGRESOS]]</f>
        <v>-66588</v>
      </c>
      <c r="H2235" s="274">
        <v>-10087990.359999999</v>
      </c>
      <c r="I2235" s="135">
        <v>1410</v>
      </c>
      <c r="J2235" s="136">
        <f>Tabla3[[#This Row],[EGRESOS]]/Tabla3[[#This Row],[TC]]</f>
        <v>47.225531914893615</v>
      </c>
      <c r="K2235" s="136">
        <f>Tabla3[[#This Row],[INGRESOS]]/Tabla3[[#This Row],[TC]]</f>
        <v>0</v>
      </c>
      <c r="L2235" s="8" t="s">
        <v>376</v>
      </c>
      <c r="M2235" s="8" t="s">
        <v>377</v>
      </c>
      <c r="N2235" s="8" t="s">
        <v>20</v>
      </c>
      <c r="O2235" s="8" t="s">
        <v>244</v>
      </c>
      <c r="P2235" s="8" t="s">
        <v>259</v>
      </c>
      <c r="Q2235" s="8" t="s">
        <v>260</v>
      </c>
      <c r="R2235" s="8" t="s">
        <v>804</v>
      </c>
      <c r="S2235" s="8"/>
      <c r="T2235" s="8"/>
      <c r="U2235" s="8" t="s">
        <v>379</v>
      </c>
      <c r="V2235" s="8"/>
      <c r="W2235" s="8" t="s">
        <v>380</v>
      </c>
      <c r="X2235" s="8"/>
      <c r="Y2235" s="8"/>
    </row>
    <row r="2236" spans="1:25" s="7" customFormat="1" hidden="1" x14ac:dyDescent="0.25">
      <c r="A2236" s="273" t="s">
        <v>320</v>
      </c>
      <c r="B2236" s="251">
        <v>45961</v>
      </c>
      <c r="C2236" s="252" t="s">
        <v>782</v>
      </c>
      <c r="D2236" s="252" t="s">
        <v>1271</v>
      </c>
      <c r="E2236" s="253">
        <v>250000</v>
      </c>
      <c r="F2236" s="253">
        <v>0</v>
      </c>
      <c r="G2236" s="274">
        <f>Tabla3[[#This Row],[INGRESOS]]-Tabla3[[#This Row],[EGRESOS]]</f>
        <v>-250000</v>
      </c>
      <c r="H2236" s="274">
        <v>-10337990.359999999</v>
      </c>
      <c r="I2236" s="135">
        <v>1410</v>
      </c>
      <c r="J2236" s="136">
        <f>Tabla3[[#This Row],[EGRESOS]]/Tabla3[[#This Row],[TC]]</f>
        <v>177.3049645390071</v>
      </c>
      <c r="K2236" s="136">
        <f>Tabla3[[#This Row],[INGRESOS]]/Tabla3[[#This Row],[TC]]</f>
        <v>0</v>
      </c>
      <c r="L2236" s="8" t="s">
        <v>376</v>
      </c>
      <c r="M2236" s="8" t="s">
        <v>377</v>
      </c>
      <c r="N2236" s="8" t="s">
        <v>20</v>
      </c>
      <c r="O2236" s="8" t="s">
        <v>184</v>
      </c>
      <c r="P2236" s="8" t="s">
        <v>199</v>
      </c>
      <c r="Q2236" s="8" t="s">
        <v>201</v>
      </c>
      <c r="R2236" s="8" t="s">
        <v>1235</v>
      </c>
      <c r="S2236" s="8" t="s">
        <v>389</v>
      </c>
      <c r="T2236" s="8"/>
      <c r="U2236" s="8" t="s">
        <v>390</v>
      </c>
      <c r="V2236" s="8"/>
      <c r="W2236" s="8" t="s">
        <v>380</v>
      </c>
      <c r="X2236" s="8" t="s">
        <v>99</v>
      </c>
      <c r="Y2236" s="8" t="s">
        <v>23</v>
      </c>
    </row>
    <row r="2237" spans="1:25" s="7" customFormat="1" hidden="1" x14ac:dyDescent="0.25">
      <c r="A2237" s="273" t="s">
        <v>320</v>
      </c>
      <c r="B2237" s="251">
        <v>45961</v>
      </c>
      <c r="C2237" s="252" t="s">
        <v>1272</v>
      </c>
      <c r="D2237" s="252"/>
      <c r="E2237" s="253">
        <v>0</v>
      </c>
      <c r="F2237" s="253">
        <v>350000</v>
      </c>
      <c r="G2237" s="274">
        <f>Tabla3[[#This Row],[INGRESOS]]-Tabla3[[#This Row],[EGRESOS]]</f>
        <v>350000</v>
      </c>
      <c r="H2237" s="274">
        <v>-9987990.3599999994</v>
      </c>
      <c r="I2237" s="135">
        <v>1410</v>
      </c>
      <c r="J2237" s="136">
        <f>Tabla3[[#This Row],[EGRESOS]]/Tabla3[[#This Row],[TC]]</f>
        <v>0</v>
      </c>
      <c r="K2237" s="136">
        <f>Tabla3[[#This Row],[INGRESOS]]/Tabla3[[#This Row],[TC]]</f>
        <v>248.22695035460993</v>
      </c>
      <c r="L2237" s="8" t="s">
        <v>376</v>
      </c>
      <c r="M2237" s="8" t="s">
        <v>377</v>
      </c>
      <c r="N2237" s="8" t="s">
        <v>20</v>
      </c>
      <c r="O2237" s="8" t="s">
        <v>184</v>
      </c>
      <c r="P2237" s="8" t="s">
        <v>210</v>
      </c>
      <c r="Q2237" s="8" t="s">
        <v>205</v>
      </c>
      <c r="R2237" s="8"/>
      <c r="S2237" s="8" t="s">
        <v>524</v>
      </c>
      <c r="T2237" s="8"/>
      <c r="U2237" s="8" t="s">
        <v>453</v>
      </c>
      <c r="V2237" s="8"/>
      <c r="W2237" s="8" t="s">
        <v>380</v>
      </c>
      <c r="X2237" s="8" t="s">
        <v>23</v>
      </c>
      <c r="Y2237" s="8" t="s">
        <v>39</v>
      </c>
    </row>
    <row r="2238" spans="1:25" s="7" customFormat="1" hidden="1" x14ac:dyDescent="0.25">
      <c r="A2238" s="273" t="s">
        <v>320</v>
      </c>
      <c r="B2238" s="251">
        <v>45961</v>
      </c>
      <c r="C2238" s="252" t="s">
        <v>762</v>
      </c>
      <c r="D2238" s="252"/>
      <c r="E2238" s="253">
        <v>3549</v>
      </c>
      <c r="F2238" s="253">
        <v>0</v>
      </c>
      <c r="G2238" s="274">
        <f>Tabla3[[#This Row],[INGRESOS]]-Tabla3[[#This Row],[EGRESOS]]</f>
        <v>-3549</v>
      </c>
      <c r="H2238" s="274">
        <v>-9991539.3599999994</v>
      </c>
      <c r="I2238" s="135">
        <v>1410</v>
      </c>
      <c r="J2238" s="136">
        <f>Tabla3[[#This Row],[EGRESOS]]/Tabla3[[#This Row],[TC]]</f>
        <v>2.5170212765957447</v>
      </c>
      <c r="K2238" s="136">
        <f>Tabla3[[#This Row],[INGRESOS]]/Tabla3[[#This Row],[TC]]</f>
        <v>0</v>
      </c>
      <c r="L2238" s="8" t="s">
        <v>376</v>
      </c>
      <c r="M2238" s="8" t="s">
        <v>377</v>
      </c>
      <c r="N2238" s="8" t="s">
        <v>20</v>
      </c>
      <c r="O2238" s="8" t="s">
        <v>184</v>
      </c>
      <c r="P2238" s="8" t="s">
        <v>195</v>
      </c>
      <c r="Q2238" s="8" t="s">
        <v>196</v>
      </c>
      <c r="R2238" s="8" t="s">
        <v>382</v>
      </c>
      <c r="S2238" s="8"/>
      <c r="T2238" s="8"/>
      <c r="U2238" s="8" t="s">
        <v>384</v>
      </c>
      <c r="V2238" s="8"/>
      <c r="W2238" s="8" t="s">
        <v>380</v>
      </c>
      <c r="X2238" s="8" t="s">
        <v>99</v>
      </c>
      <c r="Y2238" s="8" t="s">
        <v>23</v>
      </c>
    </row>
    <row r="2239" spans="1:25" s="7" customFormat="1" hidden="1" x14ac:dyDescent="0.25">
      <c r="A2239" s="273" t="s">
        <v>320</v>
      </c>
      <c r="B2239" s="251">
        <v>45961</v>
      </c>
      <c r="C2239" s="252" t="s">
        <v>763</v>
      </c>
      <c r="D2239" s="252"/>
      <c r="E2239" s="253">
        <v>507</v>
      </c>
      <c r="F2239" s="253">
        <v>0</v>
      </c>
      <c r="G2239" s="274">
        <f>Tabla3[[#This Row],[INGRESOS]]-Tabla3[[#This Row],[EGRESOS]]</f>
        <v>-507</v>
      </c>
      <c r="H2239" s="274">
        <v>-9992046.3599999994</v>
      </c>
      <c r="I2239" s="135">
        <v>1410</v>
      </c>
      <c r="J2239" s="136">
        <f>Tabla3[[#This Row],[EGRESOS]]/Tabla3[[#This Row],[TC]]</f>
        <v>0.3595744680851064</v>
      </c>
      <c r="K2239" s="136">
        <f>Tabla3[[#This Row],[INGRESOS]]/Tabla3[[#This Row],[TC]]</f>
        <v>0</v>
      </c>
      <c r="L2239" s="8" t="s">
        <v>376</v>
      </c>
      <c r="M2239" s="8" t="s">
        <v>377</v>
      </c>
      <c r="N2239" s="8" t="s">
        <v>20</v>
      </c>
      <c r="O2239" s="8" t="s">
        <v>184</v>
      </c>
      <c r="P2239" s="8" t="s">
        <v>195</v>
      </c>
      <c r="Q2239" s="8" t="s">
        <v>196</v>
      </c>
      <c r="R2239" s="8" t="s">
        <v>417</v>
      </c>
      <c r="S2239" s="8" t="s">
        <v>383</v>
      </c>
      <c r="T2239" s="8"/>
      <c r="U2239" s="8" t="s">
        <v>384</v>
      </c>
      <c r="V2239" s="8"/>
      <c r="W2239" s="8" t="s">
        <v>380</v>
      </c>
      <c r="X2239" s="8" t="s">
        <v>99</v>
      </c>
      <c r="Y2239" s="8" t="s">
        <v>23</v>
      </c>
    </row>
    <row r="2240" spans="1:25" s="7" customFormat="1" hidden="1" x14ac:dyDescent="0.25">
      <c r="A2240" s="273" t="s">
        <v>320</v>
      </c>
      <c r="B2240" s="251">
        <v>45961</v>
      </c>
      <c r="C2240" s="252" t="s">
        <v>794</v>
      </c>
      <c r="D2240" s="252"/>
      <c r="E2240" s="253">
        <v>16900</v>
      </c>
      <c r="F2240" s="253">
        <v>0</v>
      </c>
      <c r="G2240" s="274">
        <f>Tabla3[[#This Row],[INGRESOS]]-Tabla3[[#This Row],[EGRESOS]]</f>
        <v>-16900</v>
      </c>
      <c r="H2240" s="274">
        <v>-10008946.359999999</v>
      </c>
      <c r="I2240" s="135">
        <v>1410</v>
      </c>
      <c r="J2240" s="136">
        <f>Tabla3[[#This Row],[EGRESOS]]/Tabla3[[#This Row],[TC]]</f>
        <v>11.98581560283688</v>
      </c>
      <c r="K2240" s="136">
        <f>Tabla3[[#This Row],[INGRESOS]]/Tabla3[[#This Row],[TC]]</f>
        <v>0</v>
      </c>
      <c r="L2240" s="8" t="s">
        <v>376</v>
      </c>
      <c r="M2240" s="8" t="s">
        <v>377</v>
      </c>
      <c r="N2240" s="8" t="s">
        <v>20</v>
      </c>
      <c r="O2240" s="8" t="s">
        <v>184</v>
      </c>
      <c r="P2240" s="8" t="s">
        <v>185</v>
      </c>
      <c r="Q2240" s="8" t="s">
        <v>186</v>
      </c>
      <c r="R2240" s="8"/>
      <c r="S2240" s="8"/>
      <c r="T2240" s="8"/>
      <c r="U2240" s="8" t="s">
        <v>384</v>
      </c>
      <c r="V2240" s="8"/>
      <c r="W2240" s="8" t="s">
        <v>380</v>
      </c>
      <c r="X2240" s="8" t="s">
        <v>99</v>
      </c>
      <c r="Y2240" s="8" t="s">
        <v>23</v>
      </c>
    </row>
    <row r="2241" spans="1:25" s="7" customFormat="1" hidden="1" x14ac:dyDescent="0.25">
      <c r="A2241" s="273" t="s">
        <v>320</v>
      </c>
      <c r="B2241" s="251">
        <v>45961</v>
      </c>
      <c r="C2241" s="252" t="s">
        <v>760</v>
      </c>
      <c r="D2241" s="252"/>
      <c r="E2241" s="253">
        <v>2100</v>
      </c>
      <c r="F2241" s="253">
        <v>0</v>
      </c>
      <c r="G2241" s="274">
        <f>Tabla3[[#This Row],[INGRESOS]]-Tabla3[[#This Row],[EGRESOS]]</f>
        <v>-2100</v>
      </c>
      <c r="H2241" s="274">
        <v>-10011046.359999999</v>
      </c>
      <c r="I2241" s="135">
        <v>1410</v>
      </c>
      <c r="J2241" s="136">
        <f>Tabla3[[#This Row],[EGRESOS]]/Tabla3[[#This Row],[TC]]</f>
        <v>1.4893617021276595</v>
      </c>
      <c r="K2241" s="136">
        <f>Tabla3[[#This Row],[INGRESOS]]/Tabla3[[#This Row],[TC]]</f>
        <v>0</v>
      </c>
      <c r="L2241" s="8" t="s">
        <v>376</v>
      </c>
      <c r="M2241" s="8" t="s">
        <v>377</v>
      </c>
      <c r="N2241" s="8" t="s">
        <v>20</v>
      </c>
      <c r="O2241" s="8" t="s">
        <v>184</v>
      </c>
      <c r="P2241" s="8" t="s">
        <v>195</v>
      </c>
      <c r="Q2241" s="8" t="s">
        <v>196</v>
      </c>
      <c r="R2241" s="8" t="s">
        <v>394</v>
      </c>
      <c r="S2241" s="8"/>
      <c r="T2241" s="8"/>
      <c r="U2241" s="8" t="s">
        <v>384</v>
      </c>
      <c r="V2241" s="8"/>
      <c r="W2241" s="8" t="s">
        <v>380</v>
      </c>
      <c r="X2241" s="8" t="s">
        <v>99</v>
      </c>
      <c r="Y2241" s="8" t="s">
        <v>23</v>
      </c>
    </row>
    <row r="2242" spans="1:25" s="7" customFormat="1" hidden="1" x14ac:dyDescent="0.25">
      <c r="A2242" s="273" t="s">
        <v>320</v>
      </c>
      <c r="B2242" s="251">
        <v>45961</v>
      </c>
      <c r="C2242" s="252" t="s">
        <v>773</v>
      </c>
      <c r="D2242" s="252"/>
      <c r="E2242" s="253">
        <v>1625.74</v>
      </c>
      <c r="F2242" s="253">
        <v>0</v>
      </c>
      <c r="G2242" s="274">
        <f>Tabla3[[#This Row],[INGRESOS]]-Tabla3[[#This Row],[EGRESOS]]</f>
        <v>-1625.74</v>
      </c>
      <c r="H2242" s="274">
        <v>-10012672.1</v>
      </c>
      <c r="I2242" s="135">
        <v>1410</v>
      </c>
      <c r="J2242" s="136">
        <f>Tabla3[[#This Row],[EGRESOS]]/Tabla3[[#This Row],[TC]]</f>
        <v>1.1530070921985816</v>
      </c>
      <c r="K2242" s="136">
        <f>Tabla3[[#This Row],[INGRESOS]]/Tabla3[[#This Row],[TC]]</f>
        <v>0</v>
      </c>
      <c r="L2242" s="8" t="s">
        <v>376</v>
      </c>
      <c r="M2242" s="8" t="s">
        <v>377</v>
      </c>
      <c r="N2242" s="8" t="s">
        <v>20</v>
      </c>
      <c r="O2242" s="8" t="s">
        <v>184</v>
      </c>
      <c r="P2242" s="8" t="s">
        <v>195</v>
      </c>
      <c r="Q2242" s="8" t="s">
        <v>196</v>
      </c>
      <c r="R2242" s="8" t="s">
        <v>394</v>
      </c>
      <c r="S2242" s="8"/>
      <c r="T2242" s="8"/>
      <c r="U2242" s="8" t="s">
        <v>384</v>
      </c>
      <c r="V2242" s="8"/>
      <c r="W2242" s="8" t="s">
        <v>380</v>
      </c>
      <c r="X2242" s="8" t="s">
        <v>99</v>
      </c>
      <c r="Y2242" s="8" t="s">
        <v>23</v>
      </c>
    </row>
    <row r="2243" spans="1:25" s="7" customFormat="1" hidden="1" x14ac:dyDescent="0.25">
      <c r="A2243" s="273" t="s">
        <v>320</v>
      </c>
      <c r="B2243" s="251">
        <v>45961</v>
      </c>
      <c r="C2243" s="252" t="s">
        <v>795</v>
      </c>
      <c r="D2243" s="252"/>
      <c r="E2243" s="253">
        <v>399.53</v>
      </c>
      <c r="F2243" s="253">
        <v>0</v>
      </c>
      <c r="G2243" s="274">
        <f>Tabla3[[#This Row],[INGRESOS]]-Tabla3[[#This Row],[EGRESOS]]</f>
        <v>-399.53</v>
      </c>
      <c r="H2243" s="274">
        <v>-10013071.630000001</v>
      </c>
      <c r="I2243" s="135">
        <v>1410</v>
      </c>
      <c r="J2243" s="136">
        <f>Tabla3[[#This Row],[EGRESOS]]/Tabla3[[#This Row],[TC]]</f>
        <v>0.28335460992907802</v>
      </c>
      <c r="K2243" s="136">
        <f>Tabla3[[#This Row],[INGRESOS]]/Tabla3[[#This Row],[TC]]</f>
        <v>0</v>
      </c>
      <c r="L2243" s="8" t="s">
        <v>376</v>
      </c>
      <c r="M2243" s="8" t="s">
        <v>377</v>
      </c>
      <c r="N2243" s="8" t="s">
        <v>20</v>
      </c>
      <c r="O2243" s="8" t="s">
        <v>244</v>
      </c>
      <c r="P2243" s="8" t="s">
        <v>259</v>
      </c>
      <c r="Q2243" s="8" t="s">
        <v>260</v>
      </c>
      <c r="R2243" s="8" t="s">
        <v>804</v>
      </c>
      <c r="S2243" s="8"/>
      <c r="T2243" s="8"/>
      <c r="U2243" s="8" t="s">
        <v>379</v>
      </c>
      <c r="V2243" s="8"/>
      <c r="W2243" s="8" t="s">
        <v>380</v>
      </c>
      <c r="X2243" s="8"/>
      <c r="Y2243" s="8"/>
    </row>
    <row r="2244" spans="1:25" s="7" customFormat="1" hidden="1" x14ac:dyDescent="0.25">
      <c r="A2244" s="273" t="str">
        <f>"NOVIEMBRE"</f>
        <v>NOVIEMBRE</v>
      </c>
      <c r="B2244" s="251">
        <v>45964</v>
      </c>
      <c r="C2244" s="252" t="s">
        <v>762</v>
      </c>
      <c r="D2244" s="252"/>
      <c r="E2244" s="253">
        <v>21697.279999999999</v>
      </c>
      <c r="F2244" s="253">
        <v>0</v>
      </c>
      <c r="G2244" s="274">
        <f>Tabla3[[#This Row],[INGRESOS]]-Tabla3[[#This Row],[EGRESOS]]</f>
        <v>-21697.279999999999</v>
      </c>
      <c r="H2244" s="274">
        <v>-10034768.91</v>
      </c>
      <c r="I2244" s="135">
        <v>1410</v>
      </c>
      <c r="J2244" s="136">
        <f>Tabla3[[#This Row],[EGRESOS]]/Tabla3[[#This Row],[TC]]</f>
        <v>15.38814184397163</v>
      </c>
      <c r="K2244" s="136">
        <f>Tabla3[[#This Row],[INGRESOS]]/Tabla3[[#This Row],[TC]]</f>
        <v>0</v>
      </c>
      <c r="L2244" s="8" t="s">
        <v>376</v>
      </c>
      <c r="M2244" s="8" t="s">
        <v>377</v>
      </c>
      <c r="N2244" s="8" t="s">
        <v>20</v>
      </c>
      <c r="O2244" s="8" t="s">
        <v>184</v>
      </c>
      <c r="P2244" s="8" t="s">
        <v>195</v>
      </c>
      <c r="Q2244" s="8" t="s">
        <v>196</v>
      </c>
      <c r="R2244" s="8" t="s">
        <v>382</v>
      </c>
      <c r="S2244" s="8"/>
      <c r="T2244" s="8"/>
      <c r="U2244" s="8" t="s">
        <v>384</v>
      </c>
      <c r="V2244" s="8"/>
      <c r="W2244" s="8" t="s">
        <v>380</v>
      </c>
      <c r="X2244" s="8" t="s">
        <v>99</v>
      </c>
      <c r="Y2244" s="8" t="s">
        <v>23</v>
      </c>
    </row>
    <row r="2245" spans="1:25" s="7" customFormat="1" hidden="1" x14ac:dyDescent="0.25">
      <c r="A2245" s="273" t="s">
        <v>321</v>
      </c>
      <c r="B2245" s="251">
        <v>45964</v>
      </c>
      <c r="C2245" s="252" t="s">
        <v>763</v>
      </c>
      <c r="D2245" s="252"/>
      <c r="E2245" s="253">
        <v>3099.61</v>
      </c>
      <c r="F2245" s="253">
        <v>0</v>
      </c>
      <c r="G2245" s="274">
        <f>Tabla3[[#This Row],[INGRESOS]]-Tabla3[[#This Row],[EGRESOS]]</f>
        <v>-3099.61</v>
      </c>
      <c r="H2245" s="274">
        <v>-10037868.52</v>
      </c>
      <c r="I2245" s="135">
        <v>1410</v>
      </c>
      <c r="J2245" s="136">
        <f>Tabla3[[#This Row],[EGRESOS]]/Tabla3[[#This Row],[TC]]</f>
        <v>2.1983049645390071</v>
      </c>
      <c r="K2245" s="136">
        <f>Tabla3[[#This Row],[INGRESOS]]/Tabla3[[#This Row],[TC]]</f>
        <v>0</v>
      </c>
      <c r="L2245" s="8" t="s">
        <v>376</v>
      </c>
      <c r="M2245" s="8" t="s">
        <v>377</v>
      </c>
      <c r="N2245" s="8" t="s">
        <v>20</v>
      </c>
      <c r="O2245" s="8" t="s">
        <v>184</v>
      </c>
      <c r="P2245" s="8" t="s">
        <v>195</v>
      </c>
      <c r="Q2245" s="8" t="s">
        <v>196</v>
      </c>
      <c r="R2245" s="8" t="s">
        <v>417</v>
      </c>
      <c r="S2245" s="8" t="s">
        <v>383</v>
      </c>
      <c r="T2245" s="8"/>
      <c r="U2245" s="8" t="s">
        <v>384</v>
      </c>
      <c r="V2245" s="8"/>
      <c r="W2245" s="8" t="s">
        <v>380</v>
      </c>
      <c r="X2245" s="8" t="s">
        <v>99</v>
      </c>
      <c r="Y2245" s="8" t="s">
        <v>23</v>
      </c>
    </row>
    <row r="2246" spans="1:25" s="7" customFormat="1" hidden="1" x14ac:dyDescent="0.25">
      <c r="A2246" s="273" t="s">
        <v>321</v>
      </c>
      <c r="B2246" s="251">
        <v>45964</v>
      </c>
      <c r="C2246" s="252" t="s">
        <v>780</v>
      </c>
      <c r="D2246" s="252"/>
      <c r="E2246" s="253">
        <v>206640.8</v>
      </c>
      <c r="F2246" s="253">
        <v>0</v>
      </c>
      <c r="G2246" s="274">
        <f>Tabla3[[#This Row],[INGRESOS]]-Tabla3[[#This Row],[EGRESOS]]</f>
        <v>-206640.8</v>
      </c>
      <c r="H2246" s="274">
        <v>-10244509.32</v>
      </c>
      <c r="I2246" s="135">
        <v>1410</v>
      </c>
      <c r="J2246" s="136">
        <f>Tabla3[[#This Row],[EGRESOS]]/Tabla3[[#This Row],[TC]]</f>
        <v>146.55375886524823</v>
      </c>
      <c r="K2246" s="136">
        <f>Tabla3[[#This Row],[INGRESOS]]/Tabla3[[#This Row],[TC]]</f>
        <v>0</v>
      </c>
      <c r="L2246" s="8" t="s">
        <v>376</v>
      </c>
      <c r="M2246" s="8" t="s">
        <v>377</v>
      </c>
      <c r="N2246" s="8" t="s">
        <v>20</v>
      </c>
      <c r="O2246" s="8" t="s">
        <v>184</v>
      </c>
      <c r="P2246" s="8" t="s">
        <v>197</v>
      </c>
      <c r="Q2246" s="8" t="s">
        <v>198</v>
      </c>
      <c r="R2246" s="8" t="s">
        <v>419</v>
      </c>
      <c r="S2246" s="8"/>
      <c r="T2246" s="8"/>
      <c r="U2246" s="8" t="s">
        <v>384</v>
      </c>
      <c r="V2246" s="8"/>
      <c r="W2246" s="8" t="s">
        <v>475</v>
      </c>
      <c r="X2246" s="8" t="s">
        <v>99</v>
      </c>
      <c r="Y2246" s="8" t="s">
        <v>23</v>
      </c>
    </row>
    <row r="2247" spans="1:25" s="7" customFormat="1" hidden="1" x14ac:dyDescent="0.25">
      <c r="A2247" s="273" t="s">
        <v>321</v>
      </c>
      <c r="B2247" s="251">
        <v>45964</v>
      </c>
      <c r="C2247" s="252" t="s">
        <v>762</v>
      </c>
      <c r="D2247" s="252"/>
      <c r="E2247" s="253">
        <v>13503.22</v>
      </c>
      <c r="F2247" s="253">
        <v>0</v>
      </c>
      <c r="G2247" s="274">
        <f>Tabla3[[#This Row],[INGRESOS]]-Tabla3[[#This Row],[EGRESOS]]</f>
        <v>-13503.22</v>
      </c>
      <c r="H2247" s="274">
        <v>-10258012.539999999</v>
      </c>
      <c r="I2247" s="135">
        <v>1410</v>
      </c>
      <c r="J2247" s="136">
        <f>Tabla3[[#This Row],[EGRESOS]]/Tabla3[[#This Row],[TC]]</f>
        <v>9.5767517730496454</v>
      </c>
      <c r="K2247" s="136">
        <f>Tabla3[[#This Row],[INGRESOS]]/Tabla3[[#This Row],[TC]]</f>
        <v>0</v>
      </c>
      <c r="L2247" s="8" t="s">
        <v>376</v>
      </c>
      <c r="M2247" s="8" t="s">
        <v>377</v>
      </c>
      <c r="N2247" s="8" t="s">
        <v>20</v>
      </c>
      <c r="O2247" s="8" t="s">
        <v>184</v>
      </c>
      <c r="P2247" s="8" t="s">
        <v>195</v>
      </c>
      <c r="Q2247" s="8" t="s">
        <v>196</v>
      </c>
      <c r="R2247" s="8" t="s">
        <v>382</v>
      </c>
      <c r="S2247" s="8"/>
      <c r="T2247" s="8"/>
      <c r="U2247" s="8" t="s">
        <v>384</v>
      </c>
      <c r="V2247" s="8"/>
      <c r="W2247" s="8" t="s">
        <v>380</v>
      </c>
      <c r="X2247" s="8" t="s">
        <v>99</v>
      </c>
      <c r="Y2247" s="8" t="s">
        <v>23</v>
      </c>
    </row>
    <row r="2248" spans="1:25" s="7" customFormat="1" hidden="1" x14ac:dyDescent="0.25">
      <c r="A2248" s="273" t="s">
        <v>321</v>
      </c>
      <c r="B2248" s="251">
        <v>45964</v>
      </c>
      <c r="C2248" s="252" t="s">
        <v>763</v>
      </c>
      <c r="D2248" s="252"/>
      <c r="E2248" s="253">
        <v>1929.03</v>
      </c>
      <c r="F2248" s="253">
        <v>0</v>
      </c>
      <c r="G2248" s="274">
        <f>Tabla3[[#This Row],[INGRESOS]]-Tabla3[[#This Row],[EGRESOS]]</f>
        <v>-1929.03</v>
      </c>
      <c r="H2248" s="274">
        <v>-10259941.57</v>
      </c>
      <c r="I2248" s="135">
        <v>1410</v>
      </c>
      <c r="J2248" s="136">
        <f>Tabla3[[#This Row],[EGRESOS]]/Tabla3[[#This Row],[TC]]</f>
        <v>1.3681063829787234</v>
      </c>
      <c r="K2248" s="136">
        <f>Tabla3[[#This Row],[INGRESOS]]/Tabla3[[#This Row],[TC]]</f>
        <v>0</v>
      </c>
      <c r="L2248" s="8" t="s">
        <v>376</v>
      </c>
      <c r="M2248" s="8" t="s">
        <v>377</v>
      </c>
      <c r="N2248" s="8" t="s">
        <v>20</v>
      </c>
      <c r="O2248" s="8" t="s">
        <v>184</v>
      </c>
      <c r="P2248" s="8" t="s">
        <v>195</v>
      </c>
      <c r="Q2248" s="8" t="s">
        <v>196</v>
      </c>
      <c r="R2248" s="8" t="s">
        <v>417</v>
      </c>
      <c r="S2248" s="8" t="s">
        <v>383</v>
      </c>
      <c r="T2248" s="8"/>
      <c r="U2248" s="8" t="s">
        <v>384</v>
      </c>
      <c r="V2248" s="8"/>
      <c r="W2248" s="8" t="s">
        <v>380</v>
      </c>
      <c r="X2248" s="8" t="s">
        <v>99</v>
      </c>
      <c r="Y2248" s="8" t="s">
        <v>23</v>
      </c>
    </row>
    <row r="2249" spans="1:25" s="7" customFormat="1" hidden="1" x14ac:dyDescent="0.25">
      <c r="A2249" s="273" t="s">
        <v>321</v>
      </c>
      <c r="B2249" s="251">
        <v>45964</v>
      </c>
      <c r="C2249" s="252" t="s">
        <v>780</v>
      </c>
      <c r="D2249" s="252"/>
      <c r="E2249" s="253">
        <v>128602.11</v>
      </c>
      <c r="F2249" s="253">
        <v>0</v>
      </c>
      <c r="G2249" s="274">
        <f>Tabla3[[#This Row],[INGRESOS]]-Tabla3[[#This Row],[EGRESOS]]</f>
        <v>-128602.11</v>
      </c>
      <c r="H2249" s="274">
        <v>-10388543.68</v>
      </c>
      <c r="I2249" s="135">
        <v>1410</v>
      </c>
      <c r="J2249" s="136">
        <f>Tabla3[[#This Row],[EGRESOS]]/Tabla3[[#This Row],[TC]]</f>
        <v>91.207170212765959</v>
      </c>
      <c r="K2249" s="136">
        <f>Tabla3[[#This Row],[INGRESOS]]/Tabla3[[#This Row],[TC]]</f>
        <v>0</v>
      </c>
      <c r="L2249" s="8" t="s">
        <v>376</v>
      </c>
      <c r="M2249" s="8" t="s">
        <v>377</v>
      </c>
      <c r="N2249" s="8" t="s">
        <v>20</v>
      </c>
      <c r="O2249" s="8" t="s">
        <v>184</v>
      </c>
      <c r="P2249" s="8" t="s">
        <v>197</v>
      </c>
      <c r="Q2249" s="8" t="s">
        <v>198</v>
      </c>
      <c r="R2249" s="8" t="s">
        <v>419</v>
      </c>
      <c r="S2249" s="8"/>
      <c r="T2249" s="8"/>
      <c r="U2249" s="8" t="s">
        <v>384</v>
      </c>
      <c r="V2249" s="8"/>
      <c r="W2249" s="8" t="s">
        <v>475</v>
      </c>
      <c r="X2249" s="8" t="s">
        <v>99</v>
      </c>
      <c r="Y2249" s="8" t="s">
        <v>23</v>
      </c>
    </row>
    <row r="2250" spans="1:25" s="7" customFormat="1" hidden="1" x14ac:dyDescent="0.25">
      <c r="A2250" s="273" t="s">
        <v>321</v>
      </c>
      <c r="B2250" s="251">
        <v>45964</v>
      </c>
      <c r="C2250" s="252" t="s">
        <v>762</v>
      </c>
      <c r="D2250" s="252"/>
      <c r="E2250" s="253">
        <v>815.91</v>
      </c>
      <c r="F2250" s="253">
        <v>0</v>
      </c>
      <c r="G2250" s="274">
        <f>Tabla3[[#This Row],[INGRESOS]]-Tabla3[[#This Row],[EGRESOS]]</f>
        <v>-815.91</v>
      </c>
      <c r="H2250" s="274">
        <v>-10389359.59</v>
      </c>
      <c r="I2250" s="135">
        <v>1410</v>
      </c>
      <c r="J2250" s="136">
        <f>Tabla3[[#This Row],[EGRESOS]]/Tabla3[[#This Row],[TC]]</f>
        <v>0.57865957446808514</v>
      </c>
      <c r="K2250" s="136">
        <f>Tabla3[[#This Row],[INGRESOS]]/Tabla3[[#This Row],[TC]]</f>
        <v>0</v>
      </c>
      <c r="L2250" s="8" t="s">
        <v>376</v>
      </c>
      <c r="M2250" s="8" t="s">
        <v>377</v>
      </c>
      <c r="N2250" s="8" t="s">
        <v>20</v>
      </c>
      <c r="O2250" s="8" t="s">
        <v>184</v>
      </c>
      <c r="P2250" s="8" t="s">
        <v>195</v>
      </c>
      <c r="Q2250" s="8" t="s">
        <v>196</v>
      </c>
      <c r="R2250" s="8" t="s">
        <v>382</v>
      </c>
      <c r="S2250" s="8"/>
      <c r="T2250" s="8"/>
      <c r="U2250" s="8" t="s">
        <v>384</v>
      </c>
      <c r="V2250" s="8"/>
      <c r="W2250" s="8" t="s">
        <v>380</v>
      </c>
      <c r="X2250" s="8" t="s">
        <v>99</v>
      </c>
      <c r="Y2250" s="8" t="s">
        <v>23</v>
      </c>
    </row>
    <row r="2251" spans="1:25" s="7" customFormat="1" hidden="1" x14ac:dyDescent="0.25">
      <c r="A2251" s="273" t="s">
        <v>321</v>
      </c>
      <c r="B2251" s="251">
        <v>45964</v>
      </c>
      <c r="C2251" s="252" t="s">
        <v>763</v>
      </c>
      <c r="D2251" s="252"/>
      <c r="E2251" s="253">
        <v>116.56</v>
      </c>
      <c r="F2251" s="253">
        <v>0</v>
      </c>
      <c r="G2251" s="274">
        <f>Tabla3[[#This Row],[INGRESOS]]-Tabla3[[#This Row],[EGRESOS]]</f>
        <v>-116.56</v>
      </c>
      <c r="H2251" s="274">
        <v>-10389476.15</v>
      </c>
      <c r="I2251" s="135">
        <v>1410</v>
      </c>
      <c r="J2251" s="136">
        <f>Tabla3[[#This Row],[EGRESOS]]/Tabla3[[#This Row],[TC]]</f>
        <v>8.2666666666666666E-2</v>
      </c>
      <c r="K2251" s="136">
        <f>Tabla3[[#This Row],[INGRESOS]]/Tabla3[[#This Row],[TC]]</f>
        <v>0</v>
      </c>
      <c r="L2251" s="8" t="s">
        <v>376</v>
      </c>
      <c r="M2251" s="8" t="s">
        <v>377</v>
      </c>
      <c r="N2251" s="8" t="s">
        <v>20</v>
      </c>
      <c r="O2251" s="8" t="s">
        <v>184</v>
      </c>
      <c r="P2251" s="8" t="s">
        <v>195</v>
      </c>
      <c r="Q2251" s="8" t="s">
        <v>196</v>
      </c>
      <c r="R2251" s="8" t="s">
        <v>417</v>
      </c>
      <c r="S2251" s="8" t="s">
        <v>383</v>
      </c>
      <c r="T2251" s="8"/>
      <c r="U2251" s="8" t="s">
        <v>384</v>
      </c>
      <c r="V2251" s="8"/>
      <c r="W2251" s="8" t="s">
        <v>380</v>
      </c>
      <c r="X2251" s="8" t="s">
        <v>99</v>
      </c>
      <c r="Y2251" s="8" t="s">
        <v>23</v>
      </c>
    </row>
    <row r="2252" spans="1:25" s="7" customFormat="1" hidden="1" x14ac:dyDescent="0.25">
      <c r="A2252" s="273" t="s">
        <v>321</v>
      </c>
      <c r="B2252" s="251">
        <v>45964</v>
      </c>
      <c r="C2252" s="252" t="s">
        <v>781</v>
      </c>
      <c r="D2252" s="252"/>
      <c r="E2252" s="253">
        <v>7770.54</v>
      </c>
      <c r="F2252" s="253">
        <v>0</v>
      </c>
      <c r="G2252" s="274">
        <f>Tabla3[[#This Row],[INGRESOS]]-Tabla3[[#This Row],[EGRESOS]]</f>
        <v>-7770.54</v>
      </c>
      <c r="H2252" s="274">
        <v>-10397246.689999999</v>
      </c>
      <c r="I2252" s="135">
        <v>1410</v>
      </c>
      <c r="J2252" s="136">
        <f>Tabla3[[#This Row],[EGRESOS]]/Tabla3[[#This Row],[TC]]</f>
        <v>5.5110212765957449</v>
      </c>
      <c r="K2252" s="136">
        <f>Tabla3[[#This Row],[INGRESOS]]/Tabla3[[#This Row],[TC]]</f>
        <v>0</v>
      </c>
      <c r="L2252" s="8" t="s">
        <v>376</v>
      </c>
      <c r="M2252" s="8" t="s">
        <v>377</v>
      </c>
      <c r="N2252" s="8" t="s">
        <v>20</v>
      </c>
      <c r="O2252" s="8" t="s">
        <v>184</v>
      </c>
      <c r="P2252" s="8" t="s">
        <v>197</v>
      </c>
      <c r="Q2252" s="8" t="s">
        <v>198</v>
      </c>
      <c r="R2252" s="8" t="s">
        <v>419</v>
      </c>
      <c r="S2252" s="8"/>
      <c r="T2252" s="8"/>
      <c r="U2252" s="8" t="s">
        <v>384</v>
      </c>
      <c r="V2252" s="8"/>
      <c r="W2252" s="8" t="s">
        <v>475</v>
      </c>
      <c r="X2252" s="8" t="s">
        <v>99</v>
      </c>
      <c r="Y2252" s="8" t="s">
        <v>23</v>
      </c>
    </row>
    <row r="2253" spans="1:25" s="7" customFormat="1" hidden="1" x14ac:dyDescent="0.25">
      <c r="A2253" s="273" t="s">
        <v>321</v>
      </c>
      <c r="B2253" s="251">
        <v>45964</v>
      </c>
      <c r="C2253" s="252" t="s">
        <v>782</v>
      </c>
      <c r="D2253" s="252" t="s">
        <v>1273</v>
      </c>
      <c r="E2253" s="253">
        <v>1671347.45</v>
      </c>
      <c r="F2253" s="253">
        <v>0</v>
      </c>
      <c r="G2253" s="274">
        <f>Tabla3[[#This Row],[INGRESOS]]-Tabla3[[#This Row],[EGRESOS]]</f>
        <v>-1671347.45</v>
      </c>
      <c r="H2253" s="274">
        <v>-12068594.140000001</v>
      </c>
      <c r="I2253" s="135">
        <v>1410</v>
      </c>
      <c r="J2253" s="136">
        <f>Tabla3[[#This Row],[EGRESOS]]/Tabla3[[#This Row],[TC]]</f>
        <v>1185.3528014184396</v>
      </c>
      <c r="K2253" s="136">
        <f>Tabla3[[#This Row],[INGRESOS]]/Tabla3[[#This Row],[TC]]</f>
        <v>0</v>
      </c>
      <c r="L2253" s="8" t="s">
        <v>376</v>
      </c>
      <c r="M2253" s="8" t="s">
        <v>377</v>
      </c>
      <c r="N2253" s="8" t="s">
        <v>20</v>
      </c>
      <c r="O2253" s="8" t="s">
        <v>286</v>
      </c>
      <c r="P2253" s="8" t="s">
        <v>287</v>
      </c>
      <c r="Q2253" s="8" t="s">
        <v>288</v>
      </c>
      <c r="R2253" s="8" t="s">
        <v>143</v>
      </c>
      <c r="S2253" s="8" t="s">
        <v>665</v>
      </c>
      <c r="T2253" s="8" t="s">
        <v>1274</v>
      </c>
      <c r="U2253" s="8" t="s">
        <v>412</v>
      </c>
      <c r="V2253" s="8"/>
      <c r="W2253" s="8" t="s">
        <v>380</v>
      </c>
      <c r="X2253" s="8" t="s">
        <v>29</v>
      </c>
      <c r="Y2253" s="8" t="s">
        <v>23</v>
      </c>
    </row>
    <row r="2254" spans="1:25" s="7" customFormat="1" hidden="1" x14ac:dyDescent="0.25">
      <c r="A2254" s="273" t="s">
        <v>321</v>
      </c>
      <c r="B2254" s="251">
        <v>45964</v>
      </c>
      <c r="C2254" s="252" t="s">
        <v>782</v>
      </c>
      <c r="D2254" s="252" t="s">
        <v>1275</v>
      </c>
      <c r="E2254" s="253">
        <v>591600.02</v>
      </c>
      <c r="F2254" s="253">
        <v>0</v>
      </c>
      <c r="G2254" s="274">
        <f>Tabla3[[#This Row],[INGRESOS]]-Tabla3[[#This Row],[EGRESOS]]</f>
        <v>-591600.02</v>
      </c>
      <c r="H2254" s="274">
        <v>-12660194.16</v>
      </c>
      <c r="I2254" s="135">
        <v>1410</v>
      </c>
      <c r="J2254" s="136">
        <f>Tabla3[[#This Row],[EGRESOS]]/Tabla3[[#This Row],[TC]]</f>
        <v>419.57448226950356</v>
      </c>
      <c r="K2254" s="136">
        <f>Tabla3[[#This Row],[INGRESOS]]/Tabla3[[#This Row],[TC]]</f>
        <v>0</v>
      </c>
      <c r="L2254" s="8" t="s">
        <v>376</v>
      </c>
      <c r="M2254" s="8" t="s">
        <v>377</v>
      </c>
      <c r="N2254" s="8" t="s">
        <v>20</v>
      </c>
      <c r="O2254" s="8" t="s">
        <v>286</v>
      </c>
      <c r="P2254" s="8" t="s">
        <v>287</v>
      </c>
      <c r="Q2254" s="8" t="s">
        <v>289</v>
      </c>
      <c r="R2254" s="8"/>
      <c r="S2254" s="8" t="s">
        <v>653</v>
      </c>
      <c r="T2254" s="8" t="s">
        <v>1276</v>
      </c>
      <c r="U2254" s="8" t="s">
        <v>412</v>
      </c>
      <c r="V2254" s="8"/>
      <c r="W2254" s="8" t="s">
        <v>475</v>
      </c>
      <c r="X2254" s="8" t="s">
        <v>29</v>
      </c>
      <c r="Y2254" s="8" t="s">
        <v>23</v>
      </c>
    </row>
    <row r="2255" spans="1:25" s="7" customFormat="1" hidden="1" x14ac:dyDescent="0.25">
      <c r="A2255" s="273" t="s">
        <v>321</v>
      </c>
      <c r="B2255" s="251">
        <v>45964</v>
      </c>
      <c r="C2255" s="252" t="s">
        <v>782</v>
      </c>
      <c r="D2255" s="252" t="s">
        <v>1277</v>
      </c>
      <c r="E2255" s="253">
        <v>1100000</v>
      </c>
      <c r="F2255" s="253">
        <v>0</v>
      </c>
      <c r="G2255" s="274">
        <f>Tabla3[[#This Row],[INGRESOS]]-Tabla3[[#This Row],[EGRESOS]]</f>
        <v>-1100000</v>
      </c>
      <c r="H2255" s="274">
        <v>-13760194.16</v>
      </c>
      <c r="I2255" s="135">
        <v>1410</v>
      </c>
      <c r="J2255" s="136">
        <f>Tabla3[[#This Row],[EGRESOS]]/Tabla3[[#This Row],[TC]]</f>
        <v>780.14184397163126</v>
      </c>
      <c r="K2255" s="136">
        <f>Tabla3[[#This Row],[INGRESOS]]/Tabla3[[#This Row],[TC]]</f>
        <v>0</v>
      </c>
      <c r="L2255" s="8" t="s">
        <v>376</v>
      </c>
      <c r="M2255" s="8" t="s">
        <v>377</v>
      </c>
      <c r="N2255" s="8" t="s">
        <v>20</v>
      </c>
      <c r="O2255" s="8" t="s">
        <v>286</v>
      </c>
      <c r="P2255" s="8" t="s">
        <v>287</v>
      </c>
      <c r="Q2255" s="8" t="s">
        <v>288</v>
      </c>
      <c r="R2255" s="8" t="s">
        <v>143</v>
      </c>
      <c r="S2255" s="8" t="s">
        <v>665</v>
      </c>
      <c r="T2255" s="8"/>
      <c r="U2255" s="8" t="s">
        <v>412</v>
      </c>
      <c r="V2255" s="8"/>
      <c r="W2255" s="8" t="s">
        <v>380</v>
      </c>
      <c r="X2255" s="8" t="s">
        <v>29</v>
      </c>
      <c r="Y2255" s="8" t="s">
        <v>23</v>
      </c>
    </row>
    <row r="2256" spans="1:25" s="7" customFormat="1" hidden="1" x14ac:dyDescent="0.25">
      <c r="A2256" s="247" t="s">
        <v>321</v>
      </c>
      <c r="B2256" s="248">
        <v>45964</v>
      </c>
      <c r="C2256" s="244" t="s">
        <v>762</v>
      </c>
      <c r="D2256" s="244"/>
      <c r="E2256" s="249">
        <v>3549</v>
      </c>
      <c r="F2256" s="249">
        <v>0</v>
      </c>
      <c r="G2256" s="266">
        <f>Tabla3[[#This Row],[INGRESOS]]-Tabla3[[#This Row],[EGRESOS]]</f>
        <v>-3549</v>
      </c>
      <c r="H2256" s="266">
        <v>-13763743.16</v>
      </c>
      <c r="I2256" s="119">
        <v>1410</v>
      </c>
      <c r="J2256" s="99">
        <f>Tabla3[[#This Row],[EGRESOS]]/Tabla3[[#This Row],[TC]]</f>
        <v>2.5170212765957447</v>
      </c>
      <c r="K2256" s="99">
        <f>Tabla3[[#This Row],[INGRESOS]]/Tabla3[[#This Row],[TC]]</f>
        <v>0</v>
      </c>
      <c r="L2256" s="7" t="s">
        <v>376</v>
      </c>
      <c r="M2256" s="7" t="s">
        <v>377</v>
      </c>
      <c r="N2256" s="7" t="s">
        <v>20</v>
      </c>
      <c r="O2256" s="7" t="s">
        <v>184</v>
      </c>
      <c r="P2256" s="7" t="s">
        <v>195</v>
      </c>
      <c r="Q2256" s="7" t="s">
        <v>196</v>
      </c>
      <c r="R2256" s="7" t="s">
        <v>382</v>
      </c>
      <c r="U2256" s="7" t="s">
        <v>384</v>
      </c>
      <c r="W2256" s="7" t="s">
        <v>380</v>
      </c>
      <c r="X2256" s="7" t="s">
        <v>99</v>
      </c>
      <c r="Y2256" s="7" t="s">
        <v>23</v>
      </c>
    </row>
    <row r="2257" spans="1:25" s="7" customFormat="1" hidden="1" x14ac:dyDescent="0.25">
      <c r="A2257" s="247" t="s">
        <v>321</v>
      </c>
      <c r="B2257" s="248">
        <v>45964</v>
      </c>
      <c r="C2257" s="244" t="s">
        <v>763</v>
      </c>
      <c r="D2257" s="244"/>
      <c r="E2257" s="249">
        <v>507</v>
      </c>
      <c r="F2257" s="249">
        <v>0</v>
      </c>
      <c r="G2257" s="266">
        <f>Tabla3[[#This Row],[INGRESOS]]-Tabla3[[#This Row],[EGRESOS]]</f>
        <v>-507</v>
      </c>
      <c r="H2257" s="266">
        <v>-13764250.16</v>
      </c>
      <c r="I2257" s="119">
        <v>1410</v>
      </c>
      <c r="J2257" s="99">
        <f>Tabla3[[#This Row],[EGRESOS]]/Tabla3[[#This Row],[TC]]</f>
        <v>0.3595744680851064</v>
      </c>
      <c r="K2257" s="99">
        <f>Tabla3[[#This Row],[INGRESOS]]/Tabla3[[#This Row],[TC]]</f>
        <v>0</v>
      </c>
      <c r="L2257" s="7" t="s">
        <v>376</v>
      </c>
      <c r="M2257" s="7" t="s">
        <v>377</v>
      </c>
      <c r="N2257" s="7" t="s">
        <v>20</v>
      </c>
      <c r="O2257" s="7" t="s">
        <v>184</v>
      </c>
      <c r="P2257" s="7" t="s">
        <v>195</v>
      </c>
      <c r="Q2257" s="7" t="s">
        <v>196</v>
      </c>
      <c r="R2257" s="7" t="s">
        <v>417</v>
      </c>
      <c r="S2257" s="7" t="s">
        <v>383</v>
      </c>
      <c r="U2257" s="7" t="s">
        <v>384</v>
      </c>
      <c r="W2257" s="7" t="s">
        <v>380</v>
      </c>
      <c r="X2257" s="7" t="s">
        <v>99</v>
      </c>
      <c r="Y2257" s="7" t="s">
        <v>23</v>
      </c>
    </row>
    <row r="2258" spans="1:25" s="7" customFormat="1" hidden="1" x14ac:dyDescent="0.25">
      <c r="A2258" s="247" t="s">
        <v>321</v>
      </c>
      <c r="B2258" s="248">
        <v>45964</v>
      </c>
      <c r="C2258" s="244" t="s">
        <v>794</v>
      </c>
      <c r="D2258" s="244"/>
      <c r="E2258" s="249">
        <v>16900</v>
      </c>
      <c r="F2258" s="249">
        <v>0</v>
      </c>
      <c r="G2258" s="266">
        <f>Tabla3[[#This Row],[INGRESOS]]-Tabla3[[#This Row],[EGRESOS]]</f>
        <v>-16900</v>
      </c>
      <c r="H2258" s="266">
        <v>-13781150.16</v>
      </c>
      <c r="I2258" s="119">
        <v>1410</v>
      </c>
      <c r="J2258" s="99">
        <f>Tabla3[[#This Row],[EGRESOS]]/Tabla3[[#This Row],[TC]]</f>
        <v>11.98581560283688</v>
      </c>
      <c r="K2258" s="99">
        <f>Tabla3[[#This Row],[INGRESOS]]/Tabla3[[#This Row],[TC]]</f>
        <v>0</v>
      </c>
      <c r="L2258" s="7" t="s">
        <v>376</v>
      </c>
      <c r="M2258" s="7" t="s">
        <v>377</v>
      </c>
      <c r="N2258" s="7" t="s">
        <v>20</v>
      </c>
      <c r="O2258" s="7" t="s">
        <v>184</v>
      </c>
      <c r="P2258" s="7" t="s">
        <v>185</v>
      </c>
      <c r="Q2258" s="7" t="s">
        <v>186</v>
      </c>
      <c r="U2258" s="7" t="s">
        <v>384</v>
      </c>
      <c r="W2258" s="7" t="s">
        <v>380</v>
      </c>
      <c r="X2258" s="7" t="s">
        <v>99</v>
      </c>
      <c r="Y2258" s="7" t="s">
        <v>23</v>
      </c>
    </row>
    <row r="2259" spans="1:25" s="7" customFormat="1" hidden="1" x14ac:dyDescent="0.25">
      <c r="A2259" s="247" t="s">
        <v>321</v>
      </c>
      <c r="B2259" s="248">
        <v>45964</v>
      </c>
      <c r="C2259" s="244" t="s">
        <v>845</v>
      </c>
      <c r="D2259" s="244"/>
      <c r="E2259" s="249">
        <v>3835.26</v>
      </c>
      <c r="F2259" s="249">
        <v>0</v>
      </c>
      <c r="G2259" s="266">
        <f>Tabla3[[#This Row],[INGRESOS]]-Tabla3[[#This Row],[EGRESOS]]</f>
        <v>-3835.26</v>
      </c>
      <c r="H2259" s="266">
        <v>-13784985.42</v>
      </c>
      <c r="I2259" s="119">
        <v>1410</v>
      </c>
      <c r="J2259" s="99">
        <f>Tabla3[[#This Row],[EGRESOS]]/Tabla3[[#This Row],[TC]]</f>
        <v>2.7200425531914894</v>
      </c>
      <c r="K2259" s="99">
        <f>Tabla3[[#This Row],[INGRESOS]]/Tabla3[[#This Row],[TC]]</f>
        <v>0</v>
      </c>
      <c r="L2259" s="7" t="s">
        <v>376</v>
      </c>
      <c r="M2259" s="7" t="s">
        <v>377</v>
      </c>
      <c r="N2259" s="7" t="s">
        <v>20</v>
      </c>
      <c r="O2259" s="7" t="s">
        <v>184</v>
      </c>
      <c r="P2259" s="7" t="s">
        <v>195</v>
      </c>
      <c r="Q2259" s="7" t="s">
        <v>196</v>
      </c>
      <c r="R2259" s="7" t="s">
        <v>423</v>
      </c>
      <c r="S2259" s="7" t="s">
        <v>69</v>
      </c>
      <c r="U2259" s="7" t="s">
        <v>384</v>
      </c>
      <c r="W2259" s="7" t="s">
        <v>380</v>
      </c>
      <c r="X2259" s="7" t="s">
        <v>99</v>
      </c>
      <c r="Y2259" s="7" t="s">
        <v>23</v>
      </c>
    </row>
    <row r="2260" spans="1:25" s="7" customFormat="1" hidden="1" x14ac:dyDescent="0.25">
      <c r="A2260" s="247" t="s">
        <v>321</v>
      </c>
      <c r="B2260" s="248">
        <v>45964</v>
      </c>
      <c r="C2260" s="244" t="s">
        <v>845</v>
      </c>
      <c r="D2260" s="244"/>
      <c r="E2260" s="249">
        <v>2143.37</v>
      </c>
      <c r="F2260" s="249">
        <v>0</v>
      </c>
      <c r="G2260" s="266">
        <f>Tabla3[[#This Row],[INGRESOS]]-Tabla3[[#This Row],[EGRESOS]]</f>
        <v>-2143.37</v>
      </c>
      <c r="H2260" s="266">
        <v>-13787128.789999999</v>
      </c>
      <c r="I2260" s="119">
        <v>1410</v>
      </c>
      <c r="J2260" s="99">
        <f>Tabla3[[#This Row],[EGRESOS]]/Tabla3[[#This Row],[TC]]</f>
        <v>1.5201205673758864</v>
      </c>
      <c r="K2260" s="99">
        <f>Tabla3[[#This Row],[INGRESOS]]/Tabla3[[#This Row],[TC]]</f>
        <v>0</v>
      </c>
      <c r="L2260" s="7" t="s">
        <v>376</v>
      </c>
      <c r="M2260" s="7" t="s">
        <v>377</v>
      </c>
      <c r="N2260" s="7" t="s">
        <v>20</v>
      </c>
      <c r="O2260" s="7" t="s">
        <v>184</v>
      </c>
      <c r="P2260" s="7" t="s">
        <v>195</v>
      </c>
      <c r="Q2260" s="7" t="s">
        <v>196</v>
      </c>
      <c r="R2260" s="7" t="s">
        <v>423</v>
      </c>
      <c r="S2260" s="7" t="s">
        <v>69</v>
      </c>
      <c r="U2260" s="7" t="s">
        <v>384</v>
      </c>
      <c r="W2260" s="7" t="s">
        <v>380</v>
      </c>
      <c r="X2260" s="7" t="s">
        <v>99</v>
      </c>
      <c r="Y2260" s="7" t="s">
        <v>23</v>
      </c>
    </row>
    <row r="2261" spans="1:25" s="7" customFormat="1" hidden="1" x14ac:dyDescent="0.25">
      <c r="A2261" s="247" t="s">
        <v>321</v>
      </c>
      <c r="B2261" s="248">
        <v>45964</v>
      </c>
      <c r="C2261" s="244" t="s">
        <v>845</v>
      </c>
      <c r="D2261" s="244"/>
      <c r="E2261" s="249">
        <v>111.89</v>
      </c>
      <c r="F2261" s="249">
        <v>0</v>
      </c>
      <c r="G2261" s="266">
        <f>Tabla3[[#This Row],[INGRESOS]]-Tabla3[[#This Row],[EGRESOS]]</f>
        <v>-111.89</v>
      </c>
      <c r="H2261" s="266">
        <v>-13787240.68</v>
      </c>
      <c r="I2261" s="119">
        <v>1410</v>
      </c>
      <c r="J2261" s="99">
        <f>Tabla3[[#This Row],[EGRESOS]]/Tabla3[[#This Row],[TC]]</f>
        <v>7.9354609929078015E-2</v>
      </c>
      <c r="K2261" s="99">
        <f>Tabla3[[#This Row],[INGRESOS]]/Tabla3[[#This Row],[TC]]</f>
        <v>0</v>
      </c>
      <c r="L2261" s="7" t="s">
        <v>376</v>
      </c>
      <c r="M2261" s="7" t="s">
        <v>377</v>
      </c>
      <c r="N2261" s="7" t="s">
        <v>20</v>
      </c>
      <c r="O2261" s="7" t="s">
        <v>184</v>
      </c>
      <c r="P2261" s="7" t="s">
        <v>195</v>
      </c>
      <c r="Q2261" s="7" t="s">
        <v>196</v>
      </c>
      <c r="R2261" s="7" t="s">
        <v>423</v>
      </c>
      <c r="S2261" s="7" t="s">
        <v>69</v>
      </c>
      <c r="U2261" s="7" t="s">
        <v>384</v>
      </c>
      <c r="W2261" s="7" t="s">
        <v>380</v>
      </c>
      <c r="X2261" s="7" t="s">
        <v>99</v>
      </c>
      <c r="Y2261" s="7" t="s">
        <v>23</v>
      </c>
    </row>
    <row r="2262" spans="1:25" s="7" customFormat="1" hidden="1" x14ac:dyDescent="0.25">
      <c r="A2262" s="273" t="s">
        <v>321</v>
      </c>
      <c r="B2262" s="251">
        <v>45964</v>
      </c>
      <c r="C2262" s="252" t="s">
        <v>773</v>
      </c>
      <c r="D2262" s="252"/>
      <c r="E2262" s="253">
        <v>22645.02</v>
      </c>
      <c r="F2262" s="253">
        <v>0</v>
      </c>
      <c r="G2262" s="274">
        <f>Tabla3[[#This Row],[INGRESOS]]-Tabla3[[#This Row],[EGRESOS]]</f>
        <v>-22645.02</v>
      </c>
      <c r="H2262" s="274">
        <v>-13809885.699999999</v>
      </c>
      <c r="I2262" s="135">
        <v>1410</v>
      </c>
      <c r="J2262" s="136">
        <f>Tabla3[[#This Row],[EGRESOS]]/Tabla3[[#This Row],[TC]]</f>
        <v>16.060297872340424</v>
      </c>
      <c r="K2262" s="136">
        <f>Tabla3[[#This Row],[INGRESOS]]/Tabla3[[#This Row],[TC]]</f>
        <v>0</v>
      </c>
      <c r="L2262" s="8" t="s">
        <v>376</v>
      </c>
      <c r="M2262" s="8" t="s">
        <v>377</v>
      </c>
      <c r="N2262" s="8" t="s">
        <v>20</v>
      </c>
      <c r="O2262" s="8" t="s">
        <v>184</v>
      </c>
      <c r="P2262" s="8" t="s">
        <v>195</v>
      </c>
      <c r="Q2262" s="8" t="s">
        <v>196</v>
      </c>
      <c r="R2262" s="8" t="s">
        <v>394</v>
      </c>
      <c r="S2262" s="8"/>
      <c r="T2262" s="8"/>
      <c r="U2262" s="8" t="s">
        <v>384</v>
      </c>
      <c r="V2262" s="8"/>
      <c r="W2262" s="8" t="s">
        <v>380</v>
      </c>
      <c r="X2262" s="8" t="s">
        <v>99</v>
      </c>
      <c r="Y2262" s="8" t="s">
        <v>23</v>
      </c>
    </row>
    <row r="2263" spans="1:25" s="7" customFormat="1" hidden="1" x14ac:dyDescent="0.25">
      <c r="A2263" s="273" t="s">
        <v>321</v>
      </c>
      <c r="B2263" s="251">
        <v>45968</v>
      </c>
      <c r="C2263" s="252" t="s">
        <v>782</v>
      </c>
      <c r="D2263" s="252" t="s">
        <v>1278</v>
      </c>
      <c r="E2263" s="253">
        <v>600000</v>
      </c>
      <c r="F2263" s="253">
        <v>0</v>
      </c>
      <c r="G2263" s="274">
        <f>Tabla3[[#This Row],[INGRESOS]]-Tabla3[[#This Row],[EGRESOS]]</f>
        <v>-600000</v>
      </c>
      <c r="H2263" s="274">
        <v>-14409885.699999999</v>
      </c>
      <c r="I2263" s="135">
        <v>1410</v>
      </c>
      <c r="J2263" s="136">
        <f>Tabla3[[#This Row],[EGRESOS]]/Tabla3[[#This Row],[TC]]</f>
        <v>425.531914893617</v>
      </c>
      <c r="K2263" s="136">
        <f>Tabla3[[#This Row],[INGRESOS]]/Tabla3[[#This Row],[TC]]</f>
        <v>0</v>
      </c>
      <c r="L2263" s="8" t="s">
        <v>376</v>
      </c>
      <c r="M2263" s="8" t="s">
        <v>377</v>
      </c>
      <c r="N2263" s="8" t="s">
        <v>20</v>
      </c>
      <c r="O2263" s="8" t="s">
        <v>215</v>
      </c>
      <c r="P2263" s="8" t="s">
        <v>216</v>
      </c>
      <c r="Q2263" s="8" t="s">
        <v>219</v>
      </c>
      <c r="R2263" s="8" t="s">
        <v>329</v>
      </c>
      <c r="S2263" s="8" t="s">
        <v>1279</v>
      </c>
      <c r="T2263" s="8"/>
      <c r="U2263" s="8" t="s">
        <v>412</v>
      </c>
      <c r="V2263" s="8"/>
      <c r="W2263" s="8" t="s">
        <v>380</v>
      </c>
      <c r="X2263" s="8" t="s">
        <v>29</v>
      </c>
      <c r="Y2263" s="8" t="s">
        <v>23</v>
      </c>
    </row>
    <row r="2264" spans="1:25" s="7" customFormat="1" hidden="1" x14ac:dyDescent="0.25">
      <c r="A2264" s="273" t="s">
        <v>321</v>
      </c>
      <c r="B2264" s="251">
        <v>45968</v>
      </c>
      <c r="C2264" s="252" t="s">
        <v>762</v>
      </c>
      <c r="D2264" s="252"/>
      <c r="E2264" s="253">
        <v>3549</v>
      </c>
      <c r="F2264" s="253">
        <v>0</v>
      </c>
      <c r="G2264" s="274">
        <f>Tabla3[[#This Row],[INGRESOS]]-Tabla3[[#This Row],[EGRESOS]]</f>
        <v>-3549</v>
      </c>
      <c r="H2264" s="274">
        <v>-14413434.699999999</v>
      </c>
      <c r="I2264" s="135">
        <v>1410</v>
      </c>
      <c r="J2264" s="136">
        <f>Tabla3[[#This Row],[EGRESOS]]/Tabla3[[#This Row],[TC]]</f>
        <v>2.5170212765957447</v>
      </c>
      <c r="K2264" s="136">
        <f>Tabla3[[#This Row],[INGRESOS]]/Tabla3[[#This Row],[TC]]</f>
        <v>0</v>
      </c>
      <c r="L2264" s="8" t="s">
        <v>376</v>
      </c>
      <c r="M2264" s="8" t="s">
        <v>377</v>
      </c>
      <c r="N2264" s="8" t="s">
        <v>20</v>
      </c>
      <c r="O2264" s="8" t="s">
        <v>184</v>
      </c>
      <c r="P2264" s="8" t="s">
        <v>195</v>
      </c>
      <c r="Q2264" s="8" t="s">
        <v>196</v>
      </c>
      <c r="R2264" s="8" t="s">
        <v>382</v>
      </c>
      <c r="S2264" s="8"/>
      <c r="T2264" s="8"/>
      <c r="U2264" s="8" t="s">
        <v>384</v>
      </c>
      <c r="V2264" s="8"/>
      <c r="W2264" s="8" t="s">
        <v>380</v>
      </c>
      <c r="X2264" s="8" t="s">
        <v>99</v>
      </c>
      <c r="Y2264" s="8" t="s">
        <v>23</v>
      </c>
    </row>
    <row r="2265" spans="1:25" s="7" customFormat="1" hidden="1" x14ac:dyDescent="0.25">
      <c r="A2265" s="273" t="s">
        <v>321</v>
      </c>
      <c r="B2265" s="251">
        <v>45968</v>
      </c>
      <c r="C2265" s="252" t="s">
        <v>763</v>
      </c>
      <c r="D2265" s="252"/>
      <c r="E2265" s="253">
        <v>507</v>
      </c>
      <c r="F2265" s="253">
        <v>0</v>
      </c>
      <c r="G2265" s="274">
        <f>Tabla3[[#This Row],[INGRESOS]]-Tabla3[[#This Row],[EGRESOS]]</f>
        <v>-507</v>
      </c>
      <c r="H2265" s="274">
        <v>-14413941.699999999</v>
      </c>
      <c r="I2265" s="135">
        <v>1410</v>
      </c>
      <c r="J2265" s="136">
        <f>Tabla3[[#This Row],[EGRESOS]]/Tabla3[[#This Row],[TC]]</f>
        <v>0.3595744680851064</v>
      </c>
      <c r="K2265" s="136">
        <f>Tabla3[[#This Row],[INGRESOS]]/Tabla3[[#This Row],[TC]]</f>
        <v>0</v>
      </c>
      <c r="L2265" s="8" t="s">
        <v>376</v>
      </c>
      <c r="M2265" s="8" t="s">
        <v>377</v>
      </c>
      <c r="N2265" s="8" t="s">
        <v>20</v>
      </c>
      <c r="O2265" s="8" t="s">
        <v>184</v>
      </c>
      <c r="P2265" s="8" t="s">
        <v>195</v>
      </c>
      <c r="Q2265" s="8" t="s">
        <v>196</v>
      </c>
      <c r="R2265" s="8" t="s">
        <v>417</v>
      </c>
      <c r="S2265" s="8" t="s">
        <v>383</v>
      </c>
      <c r="T2265" s="8"/>
      <c r="U2265" s="8" t="s">
        <v>384</v>
      </c>
      <c r="V2265" s="8"/>
      <c r="W2265" s="8" t="s">
        <v>380</v>
      </c>
      <c r="X2265" s="8" t="s">
        <v>99</v>
      </c>
      <c r="Y2265" s="8" t="s">
        <v>23</v>
      </c>
    </row>
    <row r="2266" spans="1:25" s="7" customFormat="1" hidden="1" x14ac:dyDescent="0.25">
      <c r="A2266" s="273" t="s">
        <v>321</v>
      </c>
      <c r="B2266" s="251">
        <v>45968</v>
      </c>
      <c r="C2266" s="252" t="s">
        <v>794</v>
      </c>
      <c r="D2266" s="252"/>
      <c r="E2266" s="253">
        <v>16900</v>
      </c>
      <c r="F2266" s="253">
        <v>0</v>
      </c>
      <c r="G2266" s="274">
        <f>Tabla3[[#This Row],[INGRESOS]]-Tabla3[[#This Row],[EGRESOS]]</f>
        <v>-16900</v>
      </c>
      <c r="H2266" s="274">
        <v>-14430841.699999999</v>
      </c>
      <c r="I2266" s="135">
        <v>1410</v>
      </c>
      <c r="J2266" s="136">
        <f>Tabla3[[#This Row],[EGRESOS]]/Tabla3[[#This Row],[TC]]</f>
        <v>11.98581560283688</v>
      </c>
      <c r="K2266" s="136">
        <f>Tabla3[[#This Row],[INGRESOS]]/Tabla3[[#This Row],[TC]]</f>
        <v>0</v>
      </c>
      <c r="L2266" s="8" t="s">
        <v>376</v>
      </c>
      <c r="M2266" s="8" t="s">
        <v>377</v>
      </c>
      <c r="N2266" s="8" t="s">
        <v>20</v>
      </c>
      <c r="O2266" s="8" t="s">
        <v>184</v>
      </c>
      <c r="P2266" s="8" t="s">
        <v>185</v>
      </c>
      <c r="Q2266" s="8" t="s">
        <v>186</v>
      </c>
      <c r="R2266" s="8"/>
      <c r="S2266" s="8"/>
      <c r="T2266" s="8"/>
      <c r="U2266" s="8" t="s">
        <v>384</v>
      </c>
      <c r="V2266" s="8"/>
      <c r="W2266" s="8" t="s">
        <v>380</v>
      </c>
      <c r="X2266" s="8" t="s">
        <v>99</v>
      </c>
      <c r="Y2266" s="8" t="s">
        <v>23</v>
      </c>
    </row>
    <row r="2267" spans="1:25" s="7" customFormat="1" hidden="1" x14ac:dyDescent="0.25">
      <c r="A2267" s="273" t="s">
        <v>321</v>
      </c>
      <c r="B2267" s="251">
        <v>45968</v>
      </c>
      <c r="C2267" s="252" t="s">
        <v>773</v>
      </c>
      <c r="D2267" s="252"/>
      <c r="E2267" s="253">
        <v>3725.74</v>
      </c>
      <c r="F2267" s="253">
        <v>0</v>
      </c>
      <c r="G2267" s="274">
        <f>Tabla3[[#This Row],[INGRESOS]]-Tabla3[[#This Row],[EGRESOS]]</f>
        <v>-3725.74</v>
      </c>
      <c r="H2267" s="274">
        <v>-14434567.439999999</v>
      </c>
      <c r="I2267" s="135">
        <v>1410</v>
      </c>
      <c r="J2267" s="136">
        <f>Tabla3[[#This Row],[EGRESOS]]/Tabla3[[#This Row],[TC]]</f>
        <v>2.6423687943262411</v>
      </c>
      <c r="K2267" s="136">
        <f>Tabla3[[#This Row],[INGRESOS]]/Tabla3[[#This Row],[TC]]</f>
        <v>0</v>
      </c>
      <c r="L2267" s="8" t="s">
        <v>376</v>
      </c>
      <c r="M2267" s="8" t="s">
        <v>377</v>
      </c>
      <c r="N2267" s="8" t="s">
        <v>20</v>
      </c>
      <c r="O2267" s="8" t="s">
        <v>184</v>
      </c>
      <c r="P2267" s="8" t="s">
        <v>195</v>
      </c>
      <c r="Q2267" s="8" t="s">
        <v>196</v>
      </c>
      <c r="R2267" s="8" t="s">
        <v>394</v>
      </c>
      <c r="S2267" s="8"/>
      <c r="T2267" s="8"/>
      <c r="U2267" s="8" t="s">
        <v>384</v>
      </c>
      <c r="V2267" s="8"/>
      <c r="W2267" s="8" t="s">
        <v>380</v>
      </c>
      <c r="X2267" s="8" t="s">
        <v>99</v>
      </c>
      <c r="Y2267" s="8" t="s">
        <v>23</v>
      </c>
    </row>
    <row r="2268" spans="1:25" s="7" customFormat="1" hidden="1" x14ac:dyDescent="0.25">
      <c r="A2268" s="273" t="s">
        <v>321</v>
      </c>
      <c r="B2268" s="251">
        <v>45971</v>
      </c>
      <c r="C2268" s="252" t="s">
        <v>782</v>
      </c>
      <c r="D2268" s="252" t="s">
        <v>1280</v>
      </c>
      <c r="E2268" s="253">
        <v>1059628</v>
      </c>
      <c r="F2268" s="253">
        <v>0</v>
      </c>
      <c r="G2268" s="274">
        <f>Tabla3[[#This Row],[INGRESOS]]-Tabla3[[#This Row],[EGRESOS]]</f>
        <v>-1059628</v>
      </c>
      <c r="H2268" s="274">
        <v>-15494195.439999999</v>
      </c>
      <c r="I2268" s="135">
        <v>1410</v>
      </c>
      <c r="J2268" s="136">
        <f>Tabla3[[#This Row],[EGRESOS]]/Tabla3[[#This Row],[TC]]</f>
        <v>751.50921985815603</v>
      </c>
      <c r="K2268" s="136">
        <f>Tabla3[[#This Row],[INGRESOS]]/Tabla3[[#This Row],[TC]]</f>
        <v>0</v>
      </c>
      <c r="L2268" s="8" t="s">
        <v>376</v>
      </c>
      <c r="M2268" s="8" t="s">
        <v>377</v>
      </c>
      <c r="N2268" s="8" t="s">
        <v>20</v>
      </c>
      <c r="O2268" s="8" t="s">
        <v>286</v>
      </c>
      <c r="P2268" s="8" t="s">
        <v>287</v>
      </c>
      <c r="Q2268" s="8" t="s">
        <v>291</v>
      </c>
      <c r="R2268" s="8" t="s">
        <v>143</v>
      </c>
      <c r="S2268" s="8" t="s">
        <v>676</v>
      </c>
      <c r="T2268" s="8" t="s">
        <v>1239</v>
      </c>
      <c r="U2268" s="8" t="s">
        <v>412</v>
      </c>
      <c r="V2268" s="8"/>
      <c r="W2268" s="8" t="s">
        <v>380</v>
      </c>
      <c r="X2268" s="8" t="s">
        <v>29</v>
      </c>
      <c r="Y2268" s="8" t="s">
        <v>23</v>
      </c>
    </row>
    <row r="2269" spans="1:25" s="7" customFormat="1" hidden="1" x14ac:dyDescent="0.25">
      <c r="A2269" s="273" t="s">
        <v>321</v>
      </c>
      <c r="B2269" s="251">
        <v>45971</v>
      </c>
      <c r="C2269" s="252" t="s">
        <v>782</v>
      </c>
      <c r="D2269" s="252" t="s">
        <v>1281</v>
      </c>
      <c r="E2269" s="253">
        <v>1100000</v>
      </c>
      <c r="F2269" s="253">
        <v>0</v>
      </c>
      <c r="G2269" s="274">
        <f>Tabla3[[#This Row],[INGRESOS]]-Tabla3[[#This Row],[EGRESOS]]</f>
        <v>-1100000</v>
      </c>
      <c r="H2269" s="274">
        <v>-16594195.439999999</v>
      </c>
      <c r="I2269" s="135">
        <v>1410</v>
      </c>
      <c r="J2269" s="136">
        <f>Tabla3[[#This Row],[EGRESOS]]/Tabla3[[#This Row],[TC]]</f>
        <v>780.14184397163126</v>
      </c>
      <c r="K2269" s="136">
        <f>Tabla3[[#This Row],[INGRESOS]]/Tabla3[[#This Row],[TC]]</f>
        <v>0</v>
      </c>
      <c r="L2269" s="8" t="s">
        <v>376</v>
      </c>
      <c r="M2269" s="8" t="s">
        <v>377</v>
      </c>
      <c r="N2269" s="8" t="s">
        <v>20</v>
      </c>
      <c r="O2269" s="8" t="s">
        <v>225</v>
      </c>
      <c r="P2269" s="8" t="s">
        <v>236</v>
      </c>
      <c r="Q2269" s="8" t="s">
        <v>239</v>
      </c>
      <c r="R2269" s="8"/>
      <c r="S2269" s="8" t="s">
        <v>597</v>
      </c>
      <c r="T2269" s="8"/>
      <c r="U2269" s="8" t="s">
        <v>412</v>
      </c>
      <c r="V2269" s="8"/>
      <c r="W2269" s="8" t="s">
        <v>475</v>
      </c>
      <c r="X2269" s="8" t="s">
        <v>29</v>
      </c>
      <c r="Y2269" s="8" t="s">
        <v>23</v>
      </c>
    </row>
    <row r="2270" spans="1:25" s="7" customFormat="1" hidden="1" x14ac:dyDescent="0.25">
      <c r="A2270" s="273" t="s">
        <v>321</v>
      </c>
      <c r="B2270" s="251">
        <v>45971</v>
      </c>
      <c r="C2270" s="252" t="s">
        <v>826</v>
      </c>
      <c r="D2270" s="252"/>
      <c r="E2270" s="253">
        <v>0</v>
      </c>
      <c r="F2270" s="253">
        <v>49042945</v>
      </c>
      <c r="G2270" s="274">
        <f>Tabla3[[#This Row],[INGRESOS]]-Tabla3[[#This Row],[EGRESOS]]</f>
        <v>49042945</v>
      </c>
      <c r="H2270" s="274">
        <v>32448749.559999999</v>
      </c>
      <c r="I2270" s="135">
        <v>1410</v>
      </c>
      <c r="J2270" s="136">
        <f>Tabla3[[#This Row],[EGRESOS]]/Tabla3[[#This Row],[TC]]</f>
        <v>0</v>
      </c>
      <c r="K2270" s="136">
        <f>Tabla3[[#This Row],[INGRESOS]]/Tabla3[[#This Row],[TC]]</f>
        <v>34782.2304964539</v>
      </c>
      <c r="L2270" s="8" t="s">
        <v>376</v>
      </c>
      <c r="M2270" s="8" t="s">
        <v>377</v>
      </c>
      <c r="N2270" s="8" t="s">
        <v>20</v>
      </c>
      <c r="O2270" s="8" t="s">
        <v>244</v>
      </c>
      <c r="P2270" s="8" t="s">
        <v>261</v>
      </c>
      <c r="Q2270" s="8" t="s">
        <v>268</v>
      </c>
      <c r="R2270" s="8" t="s">
        <v>267</v>
      </c>
      <c r="S2270" s="8" t="s">
        <v>20</v>
      </c>
      <c r="T2270" s="8"/>
      <c r="U2270" s="8" t="s">
        <v>442</v>
      </c>
      <c r="V2270" s="8"/>
      <c r="W2270" s="8" t="s">
        <v>380</v>
      </c>
      <c r="X2270" s="8" t="s">
        <v>85</v>
      </c>
      <c r="Y2270" s="8" t="s">
        <v>23</v>
      </c>
    </row>
    <row r="2271" spans="1:25" s="7" customFormat="1" hidden="1" x14ac:dyDescent="0.25">
      <c r="A2271" s="273" t="s">
        <v>321</v>
      </c>
      <c r="B2271" s="251">
        <v>45971</v>
      </c>
      <c r="C2271" s="252" t="s">
        <v>762</v>
      </c>
      <c r="D2271" s="252"/>
      <c r="E2271" s="253">
        <v>8127</v>
      </c>
      <c r="F2271" s="253">
        <v>0</v>
      </c>
      <c r="G2271" s="274">
        <f>Tabla3[[#This Row],[INGRESOS]]-Tabla3[[#This Row],[EGRESOS]]</f>
        <v>-8127</v>
      </c>
      <c r="H2271" s="274">
        <v>32440622.559999999</v>
      </c>
      <c r="I2271" s="135">
        <v>1410</v>
      </c>
      <c r="J2271" s="136">
        <f>Tabla3[[#This Row],[EGRESOS]]/Tabla3[[#This Row],[TC]]</f>
        <v>5.7638297872340427</v>
      </c>
      <c r="K2271" s="136">
        <f>Tabla3[[#This Row],[INGRESOS]]/Tabla3[[#This Row],[TC]]</f>
        <v>0</v>
      </c>
      <c r="L2271" s="8" t="s">
        <v>376</v>
      </c>
      <c r="M2271" s="8" t="s">
        <v>377</v>
      </c>
      <c r="N2271" s="8" t="s">
        <v>20</v>
      </c>
      <c r="O2271" s="8" t="s">
        <v>184</v>
      </c>
      <c r="P2271" s="8" t="s">
        <v>195</v>
      </c>
      <c r="Q2271" s="8" t="s">
        <v>196</v>
      </c>
      <c r="R2271" s="8" t="s">
        <v>382</v>
      </c>
      <c r="S2271" s="8"/>
      <c r="T2271" s="8"/>
      <c r="U2271" s="8" t="s">
        <v>384</v>
      </c>
      <c r="V2271" s="8"/>
      <c r="W2271" s="8" t="s">
        <v>380</v>
      </c>
      <c r="X2271" s="8" t="s">
        <v>99</v>
      </c>
      <c r="Y2271" s="8" t="s">
        <v>23</v>
      </c>
    </row>
    <row r="2272" spans="1:25" s="7" customFormat="1" hidden="1" x14ac:dyDescent="0.25">
      <c r="A2272" s="273" t="s">
        <v>321</v>
      </c>
      <c r="B2272" s="251">
        <v>45971</v>
      </c>
      <c r="C2272" s="252" t="s">
        <v>763</v>
      </c>
      <c r="D2272" s="252"/>
      <c r="E2272" s="253">
        <v>1161</v>
      </c>
      <c r="F2272" s="253">
        <v>0</v>
      </c>
      <c r="G2272" s="274">
        <f>Tabla3[[#This Row],[INGRESOS]]-Tabla3[[#This Row],[EGRESOS]]</f>
        <v>-1161</v>
      </c>
      <c r="H2272" s="274">
        <v>32439461.559999999</v>
      </c>
      <c r="I2272" s="135">
        <v>1410</v>
      </c>
      <c r="J2272" s="136">
        <f>Tabla3[[#This Row],[EGRESOS]]/Tabla3[[#This Row],[TC]]</f>
        <v>0.82340425531914896</v>
      </c>
      <c r="K2272" s="136">
        <f>Tabla3[[#This Row],[INGRESOS]]/Tabla3[[#This Row],[TC]]</f>
        <v>0</v>
      </c>
      <c r="L2272" s="8" t="s">
        <v>376</v>
      </c>
      <c r="M2272" s="8" t="s">
        <v>377</v>
      </c>
      <c r="N2272" s="8" t="s">
        <v>20</v>
      </c>
      <c r="O2272" s="8" t="s">
        <v>184</v>
      </c>
      <c r="P2272" s="8" t="s">
        <v>195</v>
      </c>
      <c r="Q2272" s="8" t="s">
        <v>196</v>
      </c>
      <c r="R2272" s="8" t="s">
        <v>417</v>
      </c>
      <c r="S2272" s="8" t="s">
        <v>383</v>
      </c>
      <c r="T2272" s="8"/>
      <c r="U2272" s="8" t="s">
        <v>384</v>
      </c>
      <c r="V2272" s="8"/>
      <c r="W2272" s="8" t="s">
        <v>380</v>
      </c>
      <c r="X2272" s="8" t="s">
        <v>99</v>
      </c>
      <c r="Y2272" s="8" t="s">
        <v>23</v>
      </c>
    </row>
    <row r="2273" spans="1:25" s="7" customFormat="1" hidden="1" x14ac:dyDescent="0.25">
      <c r="A2273" s="273" t="s">
        <v>321</v>
      </c>
      <c r="B2273" s="251">
        <v>45971</v>
      </c>
      <c r="C2273" s="252" t="s">
        <v>803</v>
      </c>
      <c r="D2273" s="252"/>
      <c r="E2273" s="253">
        <v>38700</v>
      </c>
      <c r="F2273" s="253">
        <v>0</v>
      </c>
      <c r="G2273" s="274">
        <f>Tabla3[[#This Row],[INGRESOS]]-Tabla3[[#This Row],[EGRESOS]]</f>
        <v>-38700</v>
      </c>
      <c r="H2273" s="274">
        <v>32400761.559999999</v>
      </c>
      <c r="I2273" s="135">
        <v>1410</v>
      </c>
      <c r="J2273" s="136">
        <f>Tabla3[[#This Row],[EGRESOS]]/Tabla3[[#This Row],[TC]]</f>
        <v>27.446808510638299</v>
      </c>
      <c r="K2273" s="136">
        <f>Tabla3[[#This Row],[INGRESOS]]/Tabla3[[#This Row],[TC]]</f>
        <v>0</v>
      </c>
      <c r="L2273" s="8" t="s">
        <v>376</v>
      </c>
      <c r="M2273" s="8" t="s">
        <v>377</v>
      </c>
      <c r="N2273" s="8" t="s">
        <v>20</v>
      </c>
      <c r="O2273" s="8" t="s">
        <v>184</v>
      </c>
      <c r="P2273" s="8" t="s">
        <v>185</v>
      </c>
      <c r="Q2273" s="8" t="s">
        <v>186</v>
      </c>
      <c r="R2273" s="8"/>
      <c r="S2273" s="8"/>
      <c r="T2273" s="8"/>
      <c r="U2273" s="8" t="s">
        <v>384</v>
      </c>
      <c r="V2273" s="8"/>
      <c r="W2273" s="8" t="s">
        <v>380</v>
      </c>
      <c r="X2273" s="8" t="s">
        <v>99</v>
      </c>
      <c r="Y2273" s="8" t="s">
        <v>23</v>
      </c>
    </row>
    <row r="2274" spans="1:25" s="7" customFormat="1" hidden="1" x14ac:dyDescent="0.25">
      <c r="A2274" s="273" t="s">
        <v>321</v>
      </c>
      <c r="B2274" s="251">
        <v>45971</v>
      </c>
      <c r="C2274" s="252" t="s">
        <v>762</v>
      </c>
      <c r="D2274" s="252"/>
      <c r="E2274" s="253">
        <v>3549</v>
      </c>
      <c r="F2274" s="253">
        <v>0</v>
      </c>
      <c r="G2274" s="274">
        <f>Tabla3[[#This Row],[INGRESOS]]-Tabla3[[#This Row],[EGRESOS]]</f>
        <v>-3549</v>
      </c>
      <c r="H2274" s="274">
        <v>32397212.559999999</v>
      </c>
      <c r="I2274" s="135">
        <v>1410</v>
      </c>
      <c r="J2274" s="136">
        <f>Tabla3[[#This Row],[EGRESOS]]/Tabla3[[#This Row],[TC]]</f>
        <v>2.5170212765957447</v>
      </c>
      <c r="K2274" s="136">
        <f>Tabla3[[#This Row],[INGRESOS]]/Tabla3[[#This Row],[TC]]</f>
        <v>0</v>
      </c>
      <c r="L2274" s="8" t="s">
        <v>376</v>
      </c>
      <c r="M2274" s="8" t="s">
        <v>377</v>
      </c>
      <c r="N2274" s="8" t="s">
        <v>20</v>
      </c>
      <c r="O2274" s="8" t="s">
        <v>184</v>
      </c>
      <c r="P2274" s="8" t="s">
        <v>195</v>
      </c>
      <c r="Q2274" s="8" t="s">
        <v>196</v>
      </c>
      <c r="R2274" s="8" t="s">
        <v>382</v>
      </c>
      <c r="S2274" s="8"/>
      <c r="T2274" s="8"/>
      <c r="U2274" s="8" t="s">
        <v>384</v>
      </c>
      <c r="V2274" s="8"/>
      <c r="W2274" s="8" t="s">
        <v>380</v>
      </c>
      <c r="X2274" s="8" t="s">
        <v>99</v>
      </c>
      <c r="Y2274" s="8" t="s">
        <v>23</v>
      </c>
    </row>
    <row r="2275" spans="1:25" s="7" customFormat="1" hidden="1" x14ac:dyDescent="0.25">
      <c r="A2275" s="273" t="s">
        <v>321</v>
      </c>
      <c r="B2275" s="251">
        <v>45971</v>
      </c>
      <c r="C2275" s="252" t="s">
        <v>763</v>
      </c>
      <c r="D2275" s="252"/>
      <c r="E2275" s="253">
        <v>507</v>
      </c>
      <c r="F2275" s="253">
        <v>0</v>
      </c>
      <c r="G2275" s="274">
        <f>Tabla3[[#This Row],[INGRESOS]]-Tabla3[[#This Row],[EGRESOS]]</f>
        <v>-507</v>
      </c>
      <c r="H2275" s="274">
        <v>32396705.559999999</v>
      </c>
      <c r="I2275" s="135">
        <v>1410</v>
      </c>
      <c r="J2275" s="136">
        <f>Tabla3[[#This Row],[EGRESOS]]/Tabla3[[#This Row],[TC]]</f>
        <v>0.3595744680851064</v>
      </c>
      <c r="K2275" s="136">
        <f>Tabla3[[#This Row],[INGRESOS]]/Tabla3[[#This Row],[TC]]</f>
        <v>0</v>
      </c>
      <c r="L2275" s="8" t="s">
        <v>376</v>
      </c>
      <c r="M2275" s="8" t="s">
        <v>377</v>
      </c>
      <c r="N2275" s="8" t="s">
        <v>20</v>
      </c>
      <c r="O2275" s="8" t="s">
        <v>184</v>
      </c>
      <c r="P2275" s="8" t="s">
        <v>195</v>
      </c>
      <c r="Q2275" s="8" t="s">
        <v>196</v>
      </c>
      <c r="R2275" s="8" t="s">
        <v>417</v>
      </c>
      <c r="S2275" s="8" t="s">
        <v>383</v>
      </c>
      <c r="T2275" s="8"/>
      <c r="U2275" s="8" t="s">
        <v>384</v>
      </c>
      <c r="V2275" s="8"/>
      <c r="W2275" s="8" t="s">
        <v>380</v>
      </c>
      <c r="X2275" s="8" t="s">
        <v>99</v>
      </c>
      <c r="Y2275" s="8" t="s">
        <v>23</v>
      </c>
    </row>
    <row r="2276" spans="1:25" s="7" customFormat="1" hidden="1" x14ac:dyDescent="0.25">
      <c r="A2276" s="273" t="s">
        <v>321</v>
      </c>
      <c r="B2276" s="251">
        <v>45971</v>
      </c>
      <c r="C2276" s="252" t="s">
        <v>794</v>
      </c>
      <c r="D2276" s="252"/>
      <c r="E2276" s="253">
        <v>16900</v>
      </c>
      <c r="F2276" s="253">
        <v>0</v>
      </c>
      <c r="G2276" s="274">
        <f>Tabla3[[#This Row],[INGRESOS]]-Tabla3[[#This Row],[EGRESOS]]</f>
        <v>-16900</v>
      </c>
      <c r="H2276" s="274">
        <v>32379805.559999999</v>
      </c>
      <c r="I2276" s="135">
        <v>1410</v>
      </c>
      <c r="J2276" s="136">
        <f>Tabla3[[#This Row],[EGRESOS]]/Tabla3[[#This Row],[TC]]</f>
        <v>11.98581560283688</v>
      </c>
      <c r="K2276" s="136">
        <f>Tabla3[[#This Row],[INGRESOS]]/Tabla3[[#This Row],[TC]]</f>
        <v>0</v>
      </c>
      <c r="L2276" s="8" t="s">
        <v>376</v>
      </c>
      <c r="M2276" s="8" t="s">
        <v>377</v>
      </c>
      <c r="N2276" s="8" t="s">
        <v>20</v>
      </c>
      <c r="O2276" s="8" t="s">
        <v>184</v>
      </c>
      <c r="P2276" s="8" t="s">
        <v>185</v>
      </c>
      <c r="Q2276" s="8" t="s">
        <v>186</v>
      </c>
      <c r="R2276" s="8"/>
      <c r="S2276" s="8"/>
      <c r="T2276" s="8"/>
      <c r="U2276" s="8" t="s">
        <v>384</v>
      </c>
      <c r="V2276" s="8"/>
      <c r="W2276" s="8" t="s">
        <v>380</v>
      </c>
      <c r="X2276" s="8" t="s">
        <v>99</v>
      </c>
      <c r="Y2276" s="8" t="s">
        <v>23</v>
      </c>
    </row>
    <row r="2277" spans="1:25" s="7" customFormat="1" hidden="1" x14ac:dyDescent="0.25">
      <c r="A2277" s="273" t="s">
        <v>321</v>
      </c>
      <c r="B2277" s="251">
        <v>45971</v>
      </c>
      <c r="C2277" s="252" t="s">
        <v>773</v>
      </c>
      <c r="D2277" s="252"/>
      <c r="E2277" s="253">
        <v>13371.44</v>
      </c>
      <c r="F2277" s="253">
        <v>0</v>
      </c>
      <c r="G2277" s="274">
        <f>Tabla3[[#This Row],[INGRESOS]]-Tabla3[[#This Row],[EGRESOS]]</f>
        <v>-13371.44</v>
      </c>
      <c r="H2277" s="274">
        <v>32366434.120000001</v>
      </c>
      <c r="I2277" s="135">
        <v>1410</v>
      </c>
      <c r="J2277" s="136">
        <f>Tabla3[[#This Row],[EGRESOS]]/Tabla3[[#This Row],[TC]]</f>
        <v>9.4832907801418447</v>
      </c>
      <c r="K2277" s="136">
        <f>Tabla3[[#This Row],[INGRESOS]]/Tabla3[[#This Row],[TC]]</f>
        <v>0</v>
      </c>
      <c r="L2277" s="8" t="s">
        <v>376</v>
      </c>
      <c r="M2277" s="8" t="s">
        <v>377</v>
      </c>
      <c r="N2277" s="8" t="s">
        <v>20</v>
      </c>
      <c r="O2277" s="8" t="s">
        <v>184</v>
      </c>
      <c r="P2277" s="8" t="s">
        <v>195</v>
      </c>
      <c r="Q2277" s="8" t="s">
        <v>196</v>
      </c>
      <c r="R2277" s="8" t="s">
        <v>394</v>
      </c>
      <c r="S2277" s="8"/>
      <c r="T2277" s="8"/>
      <c r="U2277" s="8" t="s">
        <v>384</v>
      </c>
      <c r="V2277" s="8"/>
      <c r="W2277" s="8" t="s">
        <v>380</v>
      </c>
      <c r="X2277" s="8" t="s">
        <v>99</v>
      </c>
      <c r="Y2277" s="8" t="s">
        <v>23</v>
      </c>
    </row>
    <row r="2278" spans="1:25" s="7" customFormat="1" hidden="1" x14ac:dyDescent="0.25">
      <c r="A2278" s="273" t="s">
        <v>321</v>
      </c>
      <c r="B2278" s="251">
        <v>45972</v>
      </c>
      <c r="C2278" s="252" t="s">
        <v>404</v>
      </c>
      <c r="D2278" s="252"/>
      <c r="E2278" s="253">
        <v>9400000</v>
      </c>
      <c r="F2278" s="253">
        <v>0</v>
      </c>
      <c r="G2278" s="274">
        <f>Tabla3[[#This Row],[INGRESOS]]-Tabla3[[#This Row],[EGRESOS]]</f>
        <v>-9400000</v>
      </c>
      <c r="H2278" s="274">
        <v>22966434.120000001</v>
      </c>
      <c r="I2278" s="135">
        <v>1410</v>
      </c>
      <c r="J2278" s="136">
        <f>Tabla3[[#This Row],[EGRESOS]]/Tabla3[[#This Row],[TC]]</f>
        <v>6666.666666666667</v>
      </c>
      <c r="K2278" s="136">
        <f>Tabla3[[#This Row],[INGRESOS]]/Tabla3[[#This Row],[TC]]</f>
        <v>0</v>
      </c>
      <c r="L2278" s="8" t="s">
        <v>376</v>
      </c>
      <c r="M2278" s="8" t="s">
        <v>377</v>
      </c>
      <c r="N2278" s="8" t="s">
        <v>20</v>
      </c>
      <c r="O2278" s="8" t="s">
        <v>244</v>
      </c>
      <c r="P2278" s="8" t="s">
        <v>259</v>
      </c>
      <c r="Q2278" s="8" t="s">
        <v>260</v>
      </c>
      <c r="R2278" s="8" t="s">
        <v>466</v>
      </c>
      <c r="S2278" s="8"/>
      <c r="T2278" s="8"/>
      <c r="U2278" s="8" t="s">
        <v>379</v>
      </c>
      <c r="V2278" s="8"/>
      <c r="W2278" s="8" t="s">
        <v>380</v>
      </c>
      <c r="X2278" s="8"/>
      <c r="Y2278" s="8"/>
    </row>
    <row r="2279" spans="1:25" s="7" customFormat="1" hidden="1" x14ac:dyDescent="0.25">
      <c r="A2279" s="273" t="s">
        <v>321</v>
      </c>
      <c r="B2279" s="251">
        <v>45972</v>
      </c>
      <c r="C2279" s="252" t="s">
        <v>828</v>
      </c>
      <c r="D2279" s="252"/>
      <c r="E2279" s="253">
        <v>121</v>
      </c>
      <c r="F2279" s="253">
        <v>0</v>
      </c>
      <c r="G2279" s="274">
        <f>Tabla3[[#This Row],[INGRESOS]]-Tabla3[[#This Row],[EGRESOS]]</f>
        <v>-121</v>
      </c>
      <c r="H2279" s="274">
        <v>22966313.120000001</v>
      </c>
      <c r="I2279" s="135">
        <v>1410</v>
      </c>
      <c r="J2279" s="136">
        <f>Tabla3[[#This Row],[EGRESOS]]/Tabla3[[#This Row],[TC]]</f>
        <v>8.5815602836879432E-2</v>
      </c>
      <c r="K2279" s="136">
        <f>Tabla3[[#This Row],[INGRESOS]]/Tabla3[[#This Row],[TC]]</f>
        <v>0</v>
      </c>
      <c r="L2279" s="8" t="s">
        <v>376</v>
      </c>
      <c r="M2279" s="8" t="s">
        <v>377</v>
      </c>
      <c r="N2279" s="8" t="s">
        <v>20</v>
      </c>
      <c r="O2279" s="8" t="s">
        <v>184</v>
      </c>
      <c r="P2279" s="8" t="s">
        <v>185</v>
      </c>
      <c r="Q2279" s="8" t="s">
        <v>186</v>
      </c>
      <c r="R2279" s="8"/>
      <c r="S2279" s="8"/>
      <c r="T2279" s="8"/>
      <c r="U2279" s="8" t="s">
        <v>384</v>
      </c>
      <c r="V2279" s="8"/>
      <c r="W2279" s="8" t="s">
        <v>380</v>
      </c>
      <c r="X2279" s="8" t="s">
        <v>99</v>
      </c>
      <c r="Y2279" s="8" t="s">
        <v>23</v>
      </c>
    </row>
    <row r="2280" spans="1:25" s="7" customFormat="1" hidden="1" x14ac:dyDescent="0.25">
      <c r="A2280" s="273" t="s">
        <v>321</v>
      </c>
      <c r="B2280" s="251">
        <v>45972</v>
      </c>
      <c r="C2280" s="252" t="s">
        <v>404</v>
      </c>
      <c r="D2280" s="252"/>
      <c r="E2280" s="253">
        <v>20450000</v>
      </c>
      <c r="F2280" s="253">
        <v>0</v>
      </c>
      <c r="G2280" s="274">
        <f>Tabla3[[#This Row],[INGRESOS]]-Tabla3[[#This Row],[EGRESOS]]</f>
        <v>-20450000</v>
      </c>
      <c r="H2280" s="274">
        <v>2516313.12</v>
      </c>
      <c r="I2280" s="135">
        <v>1410</v>
      </c>
      <c r="J2280" s="136">
        <f>Tabla3[[#This Row],[EGRESOS]]/Tabla3[[#This Row],[TC]]</f>
        <v>14503.546099290779</v>
      </c>
      <c r="K2280" s="136">
        <f>Tabla3[[#This Row],[INGRESOS]]/Tabla3[[#This Row],[TC]]</f>
        <v>0</v>
      </c>
      <c r="L2280" s="8" t="s">
        <v>376</v>
      </c>
      <c r="M2280" s="8" t="s">
        <v>377</v>
      </c>
      <c r="N2280" s="8" t="s">
        <v>20</v>
      </c>
      <c r="O2280" s="8" t="s">
        <v>244</v>
      </c>
      <c r="P2280" s="8" t="s">
        <v>259</v>
      </c>
      <c r="Q2280" s="8" t="s">
        <v>260</v>
      </c>
      <c r="R2280" s="8" t="s">
        <v>467</v>
      </c>
      <c r="S2280" s="8"/>
      <c r="T2280" s="8"/>
      <c r="U2280" s="8" t="s">
        <v>379</v>
      </c>
      <c r="V2280" s="8"/>
      <c r="W2280" s="8" t="s">
        <v>380</v>
      </c>
      <c r="X2280" s="8"/>
      <c r="Y2280" s="8"/>
    </row>
    <row r="2281" spans="1:25" s="7" customFormat="1" hidden="1" x14ac:dyDescent="0.25">
      <c r="A2281" s="273" t="s">
        <v>321</v>
      </c>
      <c r="B2281" s="251">
        <v>45972</v>
      </c>
      <c r="C2281" s="252" t="s">
        <v>828</v>
      </c>
      <c r="D2281" s="252"/>
      <c r="E2281" s="253">
        <v>121</v>
      </c>
      <c r="F2281" s="253">
        <v>0</v>
      </c>
      <c r="G2281" s="274">
        <f>Tabla3[[#This Row],[INGRESOS]]-Tabla3[[#This Row],[EGRESOS]]</f>
        <v>-121</v>
      </c>
      <c r="H2281" s="274">
        <v>2516192.12</v>
      </c>
      <c r="I2281" s="135">
        <v>1410</v>
      </c>
      <c r="J2281" s="136">
        <f>Tabla3[[#This Row],[EGRESOS]]/Tabla3[[#This Row],[TC]]</f>
        <v>8.5815602836879432E-2</v>
      </c>
      <c r="K2281" s="136">
        <f>Tabla3[[#This Row],[INGRESOS]]/Tabla3[[#This Row],[TC]]</f>
        <v>0</v>
      </c>
      <c r="L2281" s="8" t="s">
        <v>376</v>
      </c>
      <c r="M2281" s="8" t="s">
        <v>377</v>
      </c>
      <c r="N2281" s="8" t="s">
        <v>20</v>
      </c>
      <c r="O2281" s="8" t="s">
        <v>184</v>
      </c>
      <c r="P2281" s="8" t="s">
        <v>185</v>
      </c>
      <c r="Q2281" s="8" t="s">
        <v>186</v>
      </c>
      <c r="R2281" s="8"/>
      <c r="S2281" s="8"/>
      <c r="T2281" s="8"/>
      <c r="U2281" s="8" t="s">
        <v>384</v>
      </c>
      <c r="V2281" s="8"/>
      <c r="W2281" s="8" t="s">
        <v>380</v>
      </c>
      <c r="X2281" s="8" t="s">
        <v>99</v>
      </c>
      <c r="Y2281" s="8" t="s">
        <v>23</v>
      </c>
    </row>
    <row r="2282" spans="1:25" s="7" customFormat="1" hidden="1" x14ac:dyDescent="0.25">
      <c r="A2282" s="273" t="s">
        <v>321</v>
      </c>
      <c r="B2282" s="251">
        <v>45972</v>
      </c>
      <c r="C2282" s="252" t="s">
        <v>800</v>
      </c>
      <c r="D2282" s="252"/>
      <c r="E2282" s="253">
        <v>300000</v>
      </c>
      <c r="F2282" s="253">
        <v>0</v>
      </c>
      <c r="G2282" s="274">
        <f>Tabla3[[#This Row],[INGRESOS]]-Tabla3[[#This Row],[EGRESOS]]</f>
        <v>-300000</v>
      </c>
      <c r="H2282" s="274">
        <v>816192.12</v>
      </c>
      <c r="I2282" s="135">
        <v>1410</v>
      </c>
      <c r="J2282" s="136">
        <f>Tabla3[[#This Row],[EGRESOS]]/Tabla3[[#This Row],[TC]]</f>
        <v>212.7659574468085</v>
      </c>
      <c r="K2282" s="136">
        <f>Tabla3[[#This Row],[INGRESOS]]/Tabla3[[#This Row],[TC]]</f>
        <v>0</v>
      </c>
      <c r="L2282" s="8" t="s">
        <v>376</v>
      </c>
      <c r="M2282" s="8" t="s">
        <v>377</v>
      </c>
      <c r="N2282" s="8" t="s">
        <v>20</v>
      </c>
      <c r="O2282" s="8" t="s">
        <v>184</v>
      </c>
      <c r="P2282" s="8" t="s">
        <v>199</v>
      </c>
      <c r="Q2282" s="8" t="s">
        <v>200</v>
      </c>
      <c r="R2282" s="8"/>
      <c r="S2282" s="8" t="s">
        <v>736</v>
      </c>
      <c r="T2282" s="8"/>
      <c r="U2282" s="8" t="s">
        <v>390</v>
      </c>
      <c r="V2282" s="8"/>
      <c r="W2282" s="8" t="s">
        <v>475</v>
      </c>
      <c r="X2282" s="8" t="s">
        <v>99</v>
      </c>
      <c r="Y2282" s="8" t="s">
        <v>23</v>
      </c>
    </row>
    <row r="2283" spans="1:25" s="7" customFormat="1" hidden="1" x14ac:dyDescent="0.25">
      <c r="A2283" s="273" t="s">
        <v>321</v>
      </c>
      <c r="B2283" s="251">
        <v>45972</v>
      </c>
      <c r="C2283" s="252" t="s">
        <v>800</v>
      </c>
      <c r="D2283" s="252"/>
      <c r="E2283" s="253">
        <v>150000</v>
      </c>
      <c r="F2283" s="253">
        <v>0</v>
      </c>
      <c r="G2283" s="274">
        <f>Tabla3[[#This Row],[INGRESOS]]-Tabla3[[#This Row],[EGRESOS]]</f>
        <v>-150000</v>
      </c>
      <c r="H2283" s="274">
        <v>-883807.88</v>
      </c>
      <c r="I2283" s="135">
        <v>1410</v>
      </c>
      <c r="J2283" s="136">
        <f>Tabla3[[#This Row],[EGRESOS]]/Tabla3[[#This Row],[TC]]</f>
        <v>106.38297872340425</v>
      </c>
      <c r="K2283" s="136">
        <f>Tabla3[[#This Row],[INGRESOS]]/Tabla3[[#This Row],[TC]]</f>
        <v>0</v>
      </c>
      <c r="L2283" s="8" t="s">
        <v>376</v>
      </c>
      <c r="M2283" s="8" t="s">
        <v>377</v>
      </c>
      <c r="N2283" s="8" t="s">
        <v>20</v>
      </c>
      <c r="O2283" s="8" t="s">
        <v>184</v>
      </c>
      <c r="P2283" s="8" t="s">
        <v>199</v>
      </c>
      <c r="Q2283" s="8" t="s">
        <v>200</v>
      </c>
      <c r="R2283" s="8"/>
      <c r="S2283" s="8" t="s">
        <v>737</v>
      </c>
      <c r="T2283" s="8"/>
      <c r="U2283" s="8" t="s">
        <v>390</v>
      </c>
      <c r="V2283" s="8"/>
      <c r="W2283" s="8" t="s">
        <v>475</v>
      </c>
      <c r="X2283" s="8" t="s">
        <v>99</v>
      </c>
      <c r="Y2283" s="8" t="s">
        <v>23</v>
      </c>
    </row>
    <row r="2284" spans="1:25" s="7" customFormat="1" hidden="1" x14ac:dyDescent="0.25">
      <c r="A2284" s="273" t="s">
        <v>321</v>
      </c>
      <c r="B2284" s="251">
        <v>45972</v>
      </c>
      <c r="C2284" s="252" t="s">
        <v>800</v>
      </c>
      <c r="D2284" s="252"/>
      <c r="E2284" s="253">
        <v>1250000</v>
      </c>
      <c r="F2284" s="253">
        <v>0</v>
      </c>
      <c r="G2284" s="274">
        <f>Tabla3[[#This Row],[INGRESOS]]-Tabla3[[#This Row],[EGRESOS]]</f>
        <v>-1250000</v>
      </c>
      <c r="H2284" s="274">
        <v>-2583807.88</v>
      </c>
      <c r="I2284" s="135">
        <v>1410</v>
      </c>
      <c r="J2284" s="136">
        <f>Tabla3[[#This Row],[EGRESOS]]/Tabla3[[#This Row],[TC]]</f>
        <v>886.52482269503548</v>
      </c>
      <c r="K2284" s="136">
        <f>Tabla3[[#This Row],[INGRESOS]]/Tabla3[[#This Row],[TC]]</f>
        <v>0</v>
      </c>
      <c r="L2284" s="8" t="s">
        <v>376</v>
      </c>
      <c r="M2284" s="8" t="s">
        <v>377</v>
      </c>
      <c r="N2284" s="8" t="s">
        <v>20</v>
      </c>
      <c r="O2284" s="8" t="s">
        <v>184</v>
      </c>
      <c r="P2284" s="8" t="s">
        <v>199</v>
      </c>
      <c r="Q2284" s="8" t="s">
        <v>201</v>
      </c>
      <c r="R2284" s="8" t="s">
        <v>1282</v>
      </c>
      <c r="S2284" s="8" t="s">
        <v>389</v>
      </c>
      <c r="T2284" s="8"/>
      <c r="U2284" s="8" t="s">
        <v>390</v>
      </c>
      <c r="V2284" s="8"/>
      <c r="W2284" s="8" t="s">
        <v>380</v>
      </c>
      <c r="X2284" s="8" t="s">
        <v>99</v>
      </c>
      <c r="Y2284" s="8" t="s">
        <v>23</v>
      </c>
    </row>
    <row r="2285" spans="1:25" s="7" customFormat="1" hidden="1" x14ac:dyDescent="0.25">
      <c r="A2285" s="273" t="s">
        <v>321</v>
      </c>
      <c r="B2285" s="251">
        <v>45972</v>
      </c>
      <c r="C2285" s="252" t="s">
        <v>828</v>
      </c>
      <c r="D2285" s="252"/>
      <c r="E2285" s="253">
        <v>121</v>
      </c>
      <c r="F2285" s="253">
        <v>0</v>
      </c>
      <c r="G2285" s="274">
        <f>Tabla3[[#This Row],[INGRESOS]]-Tabla3[[#This Row],[EGRESOS]]</f>
        <v>-121</v>
      </c>
      <c r="H2285" s="274">
        <v>816071.12</v>
      </c>
      <c r="I2285" s="135">
        <v>1410</v>
      </c>
      <c r="J2285" s="136">
        <f>Tabla3[[#This Row],[EGRESOS]]/Tabla3[[#This Row],[TC]]</f>
        <v>8.5815602836879432E-2</v>
      </c>
      <c r="K2285" s="136">
        <f>Tabla3[[#This Row],[INGRESOS]]/Tabla3[[#This Row],[TC]]</f>
        <v>0</v>
      </c>
      <c r="L2285" s="8" t="s">
        <v>376</v>
      </c>
      <c r="M2285" s="8" t="s">
        <v>377</v>
      </c>
      <c r="N2285" s="8" t="s">
        <v>20</v>
      </c>
      <c r="O2285" s="8" t="s">
        <v>184</v>
      </c>
      <c r="P2285" s="8" t="s">
        <v>185</v>
      </c>
      <c r="Q2285" s="8" t="s">
        <v>186</v>
      </c>
      <c r="R2285" s="8"/>
      <c r="S2285" s="8"/>
      <c r="T2285" s="8"/>
      <c r="U2285" s="8" t="s">
        <v>384</v>
      </c>
      <c r="V2285" s="8"/>
      <c r="W2285" s="8" t="s">
        <v>380</v>
      </c>
      <c r="X2285" s="8" t="s">
        <v>99</v>
      </c>
      <c r="Y2285" s="8" t="s">
        <v>23</v>
      </c>
    </row>
    <row r="2286" spans="1:25" s="7" customFormat="1" hidden="1" x14ac:dyDescent="0.25">
      <c r="A2286" s="273" t="s">
        <v>321</v>
      </c>
      <c r="B2286" s="251">
        <v>45972</v>
      </c>
      <c r="C2286" s="252" t="s">
        <v>800</v>
      </c>
      <c r="D2286" s="252"/>
      <c r="E2286" s="253">
        <v>800000</v>
      </c>
      <c r="F2286" s="253">
        <v>0</v>
      </c>
      <c r="G2286" s="274">
        <f>Tabla3[[#This Row],[INGRESOS]]-Tabla3[[#This Row],[EGRESOS]]</f>
        <v>-800000</v>
      </c>
      <c r="H2286" s="274">
        <v>16071.12</v>
      </c>
      <c r="I2286" s="135">
        <v>1410</v>
      </c>
      <c r="J2286" s="136">
        <f>Tabla3[[#This Row],[EGRESOS]]/Tabla3[[#This Row],[TC]]</f>
        <v>567.3758865248227</v>
      </c>
      <c r="K2286" s="136">
        <f>Tabla3[[#This Row],[INGRESOS]]/Tabla3[[#This Row],[TC]]</f>
        <v>0</v>
      </c>
      <c r="L2286" s="8" t="s">
        <v>376</v>
      </c>
      <c r="M2286" s="8" t="s">
        <v>377</v>
      </c>
      <c r="N2286" s="8" t="s">
        <v>20</v>
      </c>
      <c r="O2286" s="8" t="s">
        <v>184</v>
      </c>
      <c r="P2286" s="8" t="s">
        <v>199</v>
      </c>
      <c r="Q2286" s="8" t="s">
        <v>201</v>
      </c>
      <c r="R2286" s="8" t="s">
        <v>1283</v>
      </c>
      <c r="S2286" s="8" t="s">
        <v>392</v>
      </c>
      <c r="T2286" s="8"/>
      <c r="U2286" s="8" t="s">
        <v>390</v>
      </c>
      <c r="V2286" s="8"/>
      <c r="W2286" s="8" t="s">
        <v>380</v>
      </c>
      <c r="X2286" s="8" t="s">
        <v>99</v>
      </c>
      <c r="Y2286" s="8" t="s">
        <v>23</v>
      </c>
    </row>
    <row r="2287" spans="1:25" s="7" customFormat="1" hidden="1" x14ac:dyDescent="0.25">
      <c r="A2287" s="273" t="s">
        <v>321</v>
      </c>
      <c r="B2287" s="251">
        <v>45972</v>
      </c>
      <c r="C2287" s="252" t="s">
        <v>828</v>
      </c>
      <c r="D2287" s="252"/>
      <c r="E2287" s="253">
        <v>121</v>
      </c>
      <c r="F2287" s="253">
        <v>0</v>
      </c>
      <c r="G2287" s="274">
        <f>Tabla3[[#This Row],[INGRESOS]]-Tabla3[[#This Row],[EGRESOS]]</f>
        <v>-121</v>
      </c>
      <c r="H2287" s="274">
        <v>15950.12</v>
      </c>
      <c r="I2287" s="135">
        <v>1410</v>
      </c>
      <c r="J2287" s="136">
        <f>Tabla3[[#This Row],[EGRESOS]]/Tabla3[[#This Row],[TC]]</f>
        <v>8.5815602836879432E-2</v>
      </c>
      <c r="K2287" s="136">
        <f>Tabla3[[#This Row],[INGRESOS]]/Tabla3[[#This Row],[TC]]</f>
        <v>0</v>
      </c>
      <c r="L2287" s="8" t="s">
        <v>376</v>
      </c>
      <c r="M2287" s="8" t="s">
        <v>377</v>
      </c>
      <c r="N2287" s="8" t="s">
        <v>20</v>
      </c>
      <c r="O2287" s="8" t="s">
        <v>184</v>
      </c>
      <c r="P2287" s="8" t="s">
        <v>185</v>
      </c>
      <c r="Q2287" s="8" t="s">
        <v>186</v>
      </c>
      <c r="R2287" s="8"/>
      <c r="S2287" s="8"/>
      <c r="T2287" s="8"/>
      <c r="U2287" s="8" t="s">
        <v>384</v>
      </c>
      <c r="V2287" s="8"/>
      <c r="W2287" s="8" t="s">
        <v>380</v>
      </c>
      <c r="X2287" s="8" t="s">
        <v>99</v>
      </c>
      <c r="Y2287" s="8" t="s">
        <v>23</v>
      </c>
    </row>
    <row r="2288" spans="1:25" s="7" customFormat="1" hidden="1" x14ac:dyDescent="0.25">
      <c r="A2288" s="273" t="s">
        <v>320</v>
      </c>
      <c r="B2288" s="251">
        <v>45952</v>
      </c>
      <c r="C2288" s="252" t="s">
        <v>800</v>
      </c>
      <c r="D2288" s="252"/>
      <c r="E2288" s="253">
        <v>40696</v>
      </c>
      <c r="F2288" s="253">
        <v>0</v>
      </c>
      <c r="G2288" s="274">
        <f>Tabla3[[#This Row],[INGRESOS]]-Tabla3[[#This Row],[EGRESOS]]</f>
        <v>-40696</v>
      </c>
      <c r="H2288" s="274">
        <v>30990604.039999999</v>
      </c>
      <c r="I2288" s="135">
        <v>1410</v>
      </c>
      <c r="J2288" s="136">
        <f>Tabla3[[#This Row],[EGRESOS]]/Tabla3[[#This Row],[TC]]</f>
        <v>28.862411347517732</v>
      </c>
      <c r="K2288" s="136">
        <f>Tabla3[[#This Row],[INGRESOS]]/Tabla3[[#This Row],[TC]]</f>
        <v>0</v>
      </c>
      <c r="L2288" s="8" t="s">
        <v>376</v>
      </c>
      <c r="M2288" s="8" t="s">
        <v>377</v>
      </c>
      <c r="N2288" s="8" t="s">
        <v>20</v>
      </c>
      <c r="O2288" s="8" t="s">
        <v>184</v>
      </c>
      <c r="P2288" s="8" t="s">
        <v>203</v>
      </c>
      <c r="Q2288" s="8" t="s">
        <v>205</v>
      </c>
      <c r="R2288" s="8" t="s">
        <v>1253</v>
      </c>
      <c r="S2288" s="8" t="s">
        <v>386</v>
      </c>
      <c r="T2288" s="8"/>
      <c r="U2288" s="8" t="s">
        <v>387</v>
      </c>
      <c r="V2288" s="8" t="s">
        <v>386</v>
      </c>
      <c r="W2288" s="8" t="s">
        <v>380</v>
      </c>
      <c r="X2288" s="8" t="s">
        <v>104</v>
      </c>
      <c r="Y2288" s="8" t="s">
        <v>23</v>
      </c>
    </row>
    <row r="2289" spans="1:25" s="7" customFormat="1" hidden="1" x14ac:dyDescent="0.25">
      <c r="A2289" s="273" t="s">
        <v>321</v>
      </c>
      <c r="B2289" s="251">
        <v>45972</v>
      </c>
      <c r="C2289" s="252" t="s">
        <v>828</v>
      </c>
      <c r="D2289" s="252"/>
      <c r="E2289" s="253">
        <v>121</v>
      </c>
      <c r="F2289" s="253">
        <v>0</v>
      </c>
      <c r="G2289" s="274">
        <f>Tabla3[[#This Row],[INGRESOS]]-Tabla3[[#This Row],[EGRESOS]]</f>
        <v>-121</v>
      </c>
      <c r="H2289" s="274">
        <v>-1984170.88</v>
      </c>
      <c r="I2289" s="135">
        <v>1410</v>
      </c>
      <c r="J2289" s="136">
        <f>Tabla3[[#This Row],[EGRESOS]]/Tabla3[[#This Row],[TC]]</f>
        <v>8.5815602836879432E-2</v>
      </c>
      <c r="K2289" s="136">
        <f>Tabla3[[#This Row],[INGRESOS]]/Tabla3[[#This Row],[TC]]</f>
        <v>0</v>
      </c>
      <c r="L2289" s="8" t="s">
        <v>376</v>
      </c>
      <c r="M2289" s="8" t="s">
        <v>377</v>
      </c>
      <c r="N2289" s="8" t="s">
        <v>20</v>
      </c>
      <c r="O2289" s="8" t="s">
        <v>184</v>
      </c>
      <c r="P2289" s="8" t="s">
        <v>185</v>
      </c>
      <c r="Q2289" s="8" t="s">
        <v>186</v>
      </c>
      <c r="R2289" s="8"/>
      <c r="S2289" s="8"/>
      <c r="T2289" s="8"/>
      <c r="U2289" s="8" t="s">
        <v>384</v>
      </c>
      <c r="V2289" s="8"/>
      <c r="W2289" s="8" t="s">
        <v>380</v>
      </c>
      <c r="X2289" s="8" t="s">
        <v>99</v>
      </c>
      <c r="Y2289" s="8" t="s">
        <v>23</v>
      </c>
    </row>
    <row r="2290" spans="1:25" s="7" customFormat="1" hidden="1" x14ac:dyDescent="0.25">
      <c r="A2290" s="273" t="s">
        <v>321</v>
      </c>
      <c r="B2290" s="251">
        <v>45972</v>
      </c>
      <c r="C2290" s="252" t="s">
        <v>773</v>
      </c>
      <c r="D2290" s="252"/>
      <c r="E2290" s="253">
        <v>27003.65</v>
      </c>
      <c r="F2290" s="253">
        <v>0</v>
      </c>
      <c r="G2290" s="274">
        <f>Tabla3[[#This Row],[INGRESOS]]-Tabla3[[#This Row],[EGRESOS]]</f>
        <v>-27003.65</v>
      </c>
      <c r="H2290" s="274">
        <v>-2011174.53</v>
      </c>
      <c r="I2290" s="135">
        <v>1410</v>
      </c>
      <c r="J2290" s="136">
        <f>Tabla3[[#This Row],[EGRESOS]]/Tabla3[[#This Row],[TC]]</f>
        <v>19.151524822695038</v>
      </c>
      <c r="K2290" s="136">
        <f>Tabla3[[#This Row],[INGRESOS]]/Tabla3[[#This Row],[TC]]</f>
        <v>0</v>
      </c>
      <c r="L2290" s="8" t="s">
        <v>376</v>
      </c>
      <c r="M2290" s="8" t="s">
        <v>377</v>
      </c>
      <c r="N2290" s="8" t="s">
        <v>20</v>
      </c>
      <c r="O2290" s="8" t="s">
        <v>184</v>
      </c>
      <c r="P2290" s="8" t="s">
        <v>195</v>
      </c>
      <c r="Q2290" s="8" t="s">
        <v>196</v>
      </c>
      <c r="R2290" s="8" t="s">
        <v>394</v>
      </c>
      <c r="S2290" s="8"/>
      <c r="T2290" s="8"/>
      <c r="U2290" s="8" t="s">
        <v>384</v>
      </c>
      <c r="V2290" s="8"/>
      <c r="W2290" s="8" t="s">
        <v>380</v>
      </c>
      <c r="X2290" s="8" t="s">
        <v>99</v>
      </c>
      <c r="Y2290" s="8" t="s">
        <v>23</v>
      </c>
    </row>
    <row r="2291" spans="1:25" s="7" customFormat="1" hidden="1" x14ac:dyDescent="0.25">
      <c r="A2291" s="247" t="s">
        <v>321</v>
      </c>
      <c r="B2291" s="248">
        <v>45980</v>
      </c>
      <c r="C2291" s="244" t="s">
        <v>822</v>
      </c>
      <c r="D2291" s="244"/>
      <c r="E2291" s="249">
        <v>8067</v>
      </c>
      <c r="F2291" s="249">
        <v>0</v>
      </c>
      <c r="G2291" s="266">
        <f>Tabla3[[#This Row],[INGRESOS]]-Tabla3[[#This Row],[EGRESOS]]</f>
        <v>-8067</v>
      </c>
      <c r="H2291" s="266">
        <v>-2019241.53</v>
      </c>
      <c r="I2291" s="119">
        <v>1410</v>
      </c>
      <c r="J2291" s="99">
        <f>Tabla3[[#This Row],[EGRESOS]]/Tabla3[[#This Row],[TC]]</f>
        <v>5.7212765957446807</v>
      </c>
      <c r="K2291" s="99">
        <f>Tabla3[[#This Row],[INGRESOS]]/Tabla3[[#This Row],[TC]]</f>
        <v>0</v>
      </c>
      <c r="L2291" s="7" t="s">
        <v>376</v>
      </c>
      <c r="M2291" s="7" t="s">
        <v>377</v>
      </c>
      <c r="N2291" s="7" t="s">
        <v>20</v>
      </c>
      <c r="O2291" s="7" t="s">
        <v>184</v>
      </c>
      <c r="P2291" s="7" t="s">
        <v>185</v>
      </c>
      <c r="Q2291" s="7" t="s">
        <v>189</v>
      </c>
      <c r="U2291" s="7" t="s">
        <v>384</v>
      </c>
      <c r="W2291" s="7" t="s">
        <v>380</v>
      </c>
      <c r="X2291" s="7" t="s">
        <v>99</v>
      </c>
      <c r="Y2291" s="7" t="s">
        <v>23</v>
      </c>
    </row>
    <row r="2292" spans="1:25" s="7" customFormat="1" hidden="1" x14ac:dyDescent="0.25">
      <c r="A2292" s="247" t="s">
        <v>321</v>
      </c>
      <c r="B2292" s="248">
        <v>45980</v>
      </c>
      <c r="C2292" s="244" t="s">
        <v>773</v>
      </c>
      <c r="D2292" s="244"/>
      <c r="E2292" s="249">
        <v>48.4</v>
      </c>
      <c r="F2292" s="249">
        <v>0</v>
      </c>
      <c r="G2292" s="266">
        <f>Tabla3[[#This Row],[INGRESOS]]-Tabla3[[#This Row],[EGRESOS]]</f>
        <v>-48.4</v>
      </c>
      <c r="H2292" s="266">
        <v>-2019289.93</v>
      </c>
      <c r="I2292" s="119">
        <v>1410</v>
      </c>
      <c r="J2292" s="99">
        <f>Tabla3[[#This Row],[EGRESOS]]/Tabla3[[#This Row],[TC]]</f>
        <v>3.4326241134751773E-2</v>
      </c>
      <c r="K2292" s="99">
        <f>Tabla3[[#This Row],[INGRESOS]]/Tabla3[[#This Row],[TC]]</f>
        <v>0</v>
      </c>
      <c r="L2292" s="7" t="s">
        <v>376</v>
      </c>
      <c r="M2292" s="7" t="s">
        <v>377</v>
      </c>
      <c r="N2292" s="7" t="s">
        <v>20</v>
      </c>
      <c r="O2292" s="7" t="s">
        <v>184</v>
      </c>
      <c r="P2292" s="7" t="s">
        <v>195</v>
      </c>
      <c r="Q2292" s="7" t="s">
        <v>196</v>
      </c>
      <c r="R2292" s="7" t="s">
        <v>394</v>
      </c>
      <c r="U2292" s="7" t="s">
        <v>384</v>
      </c>
      <c r="W2292" s="7" t="s">
        <v>380</v>
      </c>
      <c r="X2292" s="7" t="s">
        <v>99</v>
      </c>
      <c r="Y2292" s="7" t="s">
        <v>23</v>
      </c>
    </row>
    <row r="2293" spans="1:25" s="7" customFormat="1" hidden="1" x14ac:dyDescent="0.25">
      <c r="A2293" s="247" t="s">
        <v>321</v>
      </c>
      <c r="B2293" s="248">
        <v>45986</v>
      </c>
      <c r="C2293" s="244" t="s">
        <v>800</v>
      </c>
      <c r="D2293" s="244"/>
      <c r="E2293" s="249">
        <v>20000</v>
      </c>
      <c r="F2293" s="249">
        <v>0</v>
      </c>
      <c r="G2293" s="266">
        <f>Tabla3[[#This Row],[INGRESOS]]-Tabla3[[#This Row],[EGRESOS]]</f>
        <v>-20000</v>
      </c>
      <c r="H2293" s="266">
        <v>-2039289.93</v>
      </c>
      <c r="I2293" s="119">
        <v>1410</v>
      </c>
      <c r="J2293" s="99">
        <f>Tabla3[[#This Row],[EGRESOS]]/Tabla3[[#This Row],[TC]]</f>
        <v>14.184397163120567</v>
      </c>
      <c r="K2293" s="99">
        <f>Tabla3[[#This Row],[INGRESOS]]/Tabla3[[#This Row],[TC]]</f>
        <v>0</v>
      </c>
      <c r="L2293" s="7" t="s">
        <v>376</v>
      </c>
      <c r="M2293" s="7" t="s">
        <v>377</v>
      </c>
      <c r="N2293" s="7" t="s">
        <v>20</v>
      </c>
      <c r="O2293" s="7" t="s">
        <v>184</v>
      </c>
      <c r="P2293" s="7" t="s">
        <v>203</v>
      </c>
      <c r="S2293" s="7" t="s">
        <v>414</v>
      </c>
      <c r="U2293" s="7" t="s">
        <v>530</v>
      </c>
      <c r="V2293" s="7" t="s">
        <v>415</v>
      </c>
      <c r="W2293" s="7" t="s">
        <v>380</v>
      </c>
      <c r="X2293" s="7" t="s">
        <v>102</v>
      </c>
      <c r="Y2293" s="7" t="s">
        <v>23</v>
      </c>
    </row>
    <row r="2294" spans="1:25" s="7" customFormat="1" hidden="1" x14ac:dyDescent="0.25">
      <c r="A2294" s="247" t="s">
        <v>321</v>
      </c>
      <c r="B2294" s="248">
        <v>45986</v>
      </c>
      <c r="C2294" s="244" t="s">
        <v>773</v>
      </c>
      <c r="D2294" s="244"/>
      <c r="E2294" s="249">
        <v>120</v>
      </c>
      <c r="F2294" s="249">
        <v>0</v>
      </c>
      <c r="G2294" s="266">
        <f>Tabla3[[#This Row],[INGRESOS]]-Tabla3[[#This Row],[EGRESOS]]</f>
        <v>-120</v>
      </c>
      <c r="H2294" s="266">
        <v>-2039409.93</v>
      </c>
      <c r="I2294" s="119">
        <v>1410</v>
      </c>
      <c r="J2294" s="99">
        <f>Tabla3[[#This Row],[EGRESOS]]/Tabla3[[#This Row],[TC]]</f>
        <v>8.5106382978723402E-2</v>
      </c>
      <c r="K2294" s="99">
        <f>Tabla3[[#This Row],[INGRESOS]]/Tabla3[[#This Row],[TC]]</f>
        <v>0</v>
      </c>
      <c r="L2294" s="7" t="s">
        <v>376</v>
      </c>
      <c r="M2294" s="7" t="s">
        <v>377</v>
      </c>
      <c r="N2294" s="7" t="s">
        <v>20</v>
      </c>
      <c r="O2294" s="7" t="s">
        <v>184</v>
      </c>
      <c r="P2294" s="7" t="s">
        <v>195</v>
      </c>
      <c r="Q2294" s="7" t="s">
        <v>196</v>
      </c>
      <c r="R2294" s="7" t="s">
        <v>394</v>
      </c>
      <c r="U2294" s="7" t="s">
        <v>384</v>
      </c>
      <c r="W2294" s="7" t="s">
        <v>380</v>
      </c>
      <c r="X2294" s="7" t="s">
        <v>99</v>
      </c>
      <c r="Y2294" s="7" t="s">
        <v>23</v>
      </c>
    </row>
    <row r="2295" spans="1:25" s="7" customFormat="1" hidden="1" x14ac:dyDescent="0.25">
      <c r="A2295" s="273" t="s">
        <v>321</v>
      </c>
      <c r="B2295" s="251">
        <v>45987</v>
      </c>
      <c r="C2295" s="252" t="s">
        <v>782</v>
      </c>
      <c r="D2295" s="252" t="s">
        <v>1284</v>
      </c>
      <c r="E2295" s="253">
        <v>183000</v>
      </c>
      <c r="F2295" s="253">
        <v>0</v>
      </c>
      <c r="G2295" s="274">
        <f>Tabla3[[#This Row],[INGRESOS]]-Tabla3[[#This Row],[EGRESOS]]</f>
        <v>-183000</v>
      </c>
      <c r="H2295" s="274">
        <v>-2222409.9300000002</v>
      </c>
      <c r="I2295" s="135">
        <v>1410</v>
      </c>
      <c r="J2295" s="136">
        <f>Tabla3[[#This Row],[EGRESOS]]/Tabla3[[#This Row],[TC]]</f>
        <v>129.78723404255319</v>
      </c>
      <c r="K2295" s="136">
        <f>Tabla3[[#This Row],[INGRESOS]]/Tabla3[[#This Row],[TC]]</f>
        <v>0</v>
      </c>
      <c r="L2295" s="8" t="s">
        <v>376</v>
      </c>
      <c r="M2295" s="8" t="s">
        <v>377</v>
      </c>
      <c r="N2295" s="8" t="s">
        <v>20</v>
      </c>
      <c r="O2295" s="8" t="s">
        <v>225</v>
      </c>
      <c r="P2295" s="8" t="s">
        <v>233</v>
      </c>
      <c r="Q2295" s="8" t="s">
        <v>234</v>
      </c>
      <c r="R2295" s="8"/>
      <c r="S2295" s="8" t="s">
        <v>1285</v>
      </c>
      <c r="T2295" s="8" t="s">
        <v>1286</v>
      </c>
      <c r="U2295" s="8" t="s">
        <v>412</v>
      </c>
      <c r="V2295" s="8"/>
      <c r="W2295" s="8" t="s">
        <v>475</v>
      </c>
      <c r="X2295" s="8" t="s">
        <v>29</v>
      </c>
      <c r="Y2295" s="8" t="s">
        <v>23</v>
      </c>
    </row>
    <row r="2296" spans="1:25" s="7" customFormat="1" hidden="1" x14ac:dyDescent="0.25">
      <c r="A2296" s="273" t="s">
        <v>321</v>
      </c>
      <c r="B2296" s="251">
        <v>45987</v>
      </c>
      <c r="C2296" s="252" t="s">
        <v>782</v>
      </c>
      <c r="D2296" s="252" t="s">
        <v>1287</v>
      </c>
      <c r="E2296" s="253">
        <v>529000</v>
      </c>
      <c r="F2296" s="253">
        <v>0</v>
      </c>
      <c r="G2296" s="274">
        <f>Tabla3[[#This Row],[INGRESOS]]-Tabla3[[#This Row],[EGRESOS]]</f>
        <v>-529000</v>
      </c>
      <c r="H2296" s="274">
        <v>-2751409.93</v>
      </c>
      <c r="I2296" s="135">
        <v>1410</v>
      </c>
      <c r="J2296" s="136">
        <f>Tabla3[[#This Row],[EGRESOS]]/Tabla3[[#This Row],[TC]]</f>
        <v>375.17730496453902</v>
      </c>
      <c r="K2296" s="136">
        <f>Tabla3[[#This Row],[INGRESOS]]/Tabla3[[#This Row],[TC]]</f>
        <v>0</v>
      </c>
      <c r="L2296" s="8" t="s">
        <v>376</v>
      </c>
      <c r="M2296" s="8" t="s">
        <v>377</v>
      </c>
      <c r="N2296" s="8" t="s">
        <v>20</v>
      </c>
      <c r="O2296" s="8" t="s">
        <v>286</v>
      </c>
      <c r="P2296" s="8" t="s">
        <v>287</v>
      </c>
      <c r="Q2296" s="8" t="s">
        <v>217</v>
      </c>
      <c r="R2296" s="8" t="s">
        <v>188</v>
      </c>
      <c r="S2296" s="8" t="s">
        <v>656</v>
      </c>
      <c r="T2296" s="8" t="s">
        <v>1288</v>
      </c>
      <c r="U2296" s="8" t="s">
        <v>412</v>
      </c>
      <c r="V2296" s="8"/>
      <c r="W2296" s="8" t="s">
        <v>475</v>
      </c>
      <c r="X2296" s="8" t="s">
        <v>29</v>
      </c>
      <c r="Y2296" s="8" t="s">
        <v>23</v>
      </c>
    </row>
    <row r="2297" spans="1:25" s="7" customFormat="1" hidden="1" x14ac:dyDescent="0.25">
      <c r="A2297" s="273" t="s">
        <v>321</v>
      </c>
      <c r="B2297" s="251">
        <v>45987</v>
      </c>
      <c r="C2297" s="252" t="s">
        <v>800</v>
      </c>
      <c r="D2297" s="252"/>
      <c r="E2297" s="253">
        <v>46200</v>
      </c>
      <c r="F2297" s="253">
        <v>0</v>
      </c>
      <c r="G2297" s="274">
        <f>Tabla3[[#This Row],[INGRESOS]]-Tabla3[[#This Row],[EGRESOS]]</f>
        <v>-46200</v>
      </c>
      <c r="H2297" s="274">
        <v>-2797609.93</v>
      </c>
      <c r="I2297" s="135">
        <v>1410</v>
      </c>
      <c r="J2297" s="136">
        <f>Tabla3[[#This Row],[EGRESOS]]/Tabla3[[#This Row],[TC]]</f>
        <v>32.765957446808514</v>
      </c>
      <c r="K2297" s="136">
        <f>Tabla3[[#This Row],[INGRESOS]]/Tabla3[[#This Row],[TC]]</f>
        <v>0</v>
      </c>
      <c r="L2297" s="8" t="s">
        <v>376</v>
      </c>
      <c r="M2297" s="8" t="s">
        <v>377</v>
      </c>
      <c r="N2297" s="8" t="s">
        <v>20</v>
      </c>
      <c r="O2297" s="8" t="s">
        <v>225</v>
      </c>
      <c r="P2297" s="8" t="s">
        <v>236</v>
      </c>
      <c r="Q2297" s="8" t="s">
        <v>33</v>
      </c>
      <c r="R2297" s="8"/>
      <c r="S2297" s="8" t="s">
        <v>1121</v>
      </c>
      <c r="T2297" s="8"/>
      <c r="U2297" s="8" t="s">
        <v>412</v>
      </c>
      <c r="V2297" s="8"/>
      <c r="W2297" s="8" t="s">
        <v>475</v>
      </c>
      <c r="X2297" s="8" t="s">
        <v>29</v>
      </c>
      <c r="Y2297" s="8" t="s">
        <v>23</v>
      </c>
    </row>
    <row r="2298" spans="1:25" s="7" customFormat="1" hidden="1" x14ac:dyDescent="0.25">
      <c r="A2298" s="273" t="s">
        <v>321</v>
      </c>
      <c r="B2298" s="251">
        <v>45987</v>
      </c>
      <c r="C2298" s="252" t="s">
        <v>800</v>
      </c>
      <c r="D2298" s="252"/>
      <c r="E2298" s="253">
        <v>138052.29999999999</v>
      </c>
      <c r="F2298" s="253">
        <v>0</v>
      </c>
      <c r="G2298" s="274">
        <f>Tabla3[[#This Row],[INGRESOS]]-Tabla3[[#This Row],[EGRESOS]]</f>
        <v>-138052.29999999999</v>
      </c>
      <c r="H2298" s="274">
        <v>-2935662.23</v>
      </c>
      <c r="I2298" s="135">
        <v>1410</v>
      </c>
      <c r="J2298" s="136">
        <f>Tabla3[[#This Row],[EGRESOS]]/Tabla3[[#This Row],[TC]]</f>
        <v>97.909432624113464</v>
      </c>
      <c r="K2298" s="136">
        <f>Tabla3[[#This Row],[INGRESOS]]/Tabla3[[#This Row],[TC]]</f>
        <v>0</v>
      </c>
      <c r="L2298" s="8" t="s">
        <v>376</v>
      </c>
      <c r="M2298" s="8" t="s">
        <v>377</v>
      </c>
      <c r="N2298" s="8" t="s">
        <v>20</v>
      </c>
      <c r="O2298" s="8" t="s">
        <v>225</v>
      </c>
      <c r="P2298" s="8" t="s">
        <v>236</v>
      </c>
      <c r="Q2298" s="8" t="s">
        <v>33</v>
      </c>
      <c r="R2298" s="8"/>
      <c r="S2298" s="8" t="s">
        <v>1289</v>
      </c>
      <c r="T2298" s="8" t="s">
        <v>1290</v>
      </c>
      <c r="U2298" s="8" t="s">
        <v>384</v>
      </c>
      <c r="V2298" s="8"/>
      <c r="W2298" s="8" t="s">
        <v>380</v>
      </c>
      <c r="X2298" s="8" t="s">
        <v>99</v>
      </c>
      <c r="Y2298" s="8" t="s">
        <v>23</v>
      </c>
    </row>
    <row r="2299" spans="1:25" s="7" customFormat="1" hidden="1" x14ac:dyDescent="0.25">
      <c r="A2299" s="273" t="s">
        <v>321</v>
      </c>
      <c r="B2299" s="251">
        <v>45987</v>
      </c>
      <c r="C2299" s="252" t="s">
        <v>773</v>
      </c>
      <c r="D2299" s="252"/>
      <c r="E2299" s="253">
        <v>5377.51</v>
      </c>
      <c r="F2299" s="253">
        <v>0</v>
      </c>
      <c r="G2299" s="274">
        <f>Tabla3[[#This Row],[INGRESOS]]-Tabla3[[#This Row],[EGRESOS]]</f>
        <v>-5377.51</v>
      </c>
      <c r="H2299" s="274">
        <v>-2941039.74</v>
      </c>
      <c r="I2299" s="135">
        <v>1410</v>
      </c>
      <c r="J2299" s="136">
        <f>Tabla3[[#This Row],[EGRESOS]]/Tabla3[[#This Row],[TC]]</f>
        <v>3.8138368794326243</v>
      </c>
      <c r="K2299" s="136">
        <f>Tabla3[[#This Row],[INGRESOS]]/Tabla3[[#This Row],[TC]]</f>
        <v>0</v>
      </c>
      <c r="L2299" s="8" t="s">
        <v>376</v>
      </c>
      <c r="M2299" s="8" t="s">
        <v>377</v>
      </c>
      <c r="N2299" s="8" t="s">
        <v>20</v>
      </c>
      <c r="O2299" s="8" t="s">
        <v>184</v>
      </c>
      <c r="P2299" s="8" t="s">
        <v>195</v>
      </c>
      <c r="Q2299" s="8" t="s">
        <v>196</v>
      </c>
      <c r="R2299" s="8" t="s">
        <v>394</v>
      </c>
      <c r="S2299" s="8"/>
      <c r="T2299" s="8"/>
      <c r="U2299" s="8" t="s">
        <v>384</v>
      </c>
      <c r="V2299" s="8"/>
      <c r="W2299" s="8" t="s">
        <v>380</v>
      </c>
      <c r="X2299" s="8" t="s">
        <v>99</v>
      </c>
      <c r="Y2299" s="8" t="s">
        <v>23</v>
      </c>
    </row>
    <row r="2300" spans="1:25" s="7" customFormat="1" hidden="1" x14ac:dyDescent="0.25">
      <c r="A2300" s="273" t="s">
        <v>321</v>
      </c>
      <c r="B2300" s="251">
        <v>45988</v>
      </c>
      <c r="C2300" s="252" t="s">
        <v>782</v>
      </c>
      <c r="D2300" s="252" t="s">
        <v>1291</v>
      </c>
      <c r="E2300" s="253">
        <v>206227.12</v>
      </c>
      <c r="F2300" s="253">
        <v>0</v>
      </c>
      <c r="G2300" s="274">
        <f>Tabla3[[#This Row],[INGRESOS]]-Tabla3[[#This Row],[EGRESOS]]</f>
        <v>-206227.12</v>
      </c>
      <c r="H2300" s="274">
        <v>-3147266.86</v>
      </c>
      <c r="I2300" s="135">
        <v>1410</v>
      </c>
      <c r="J2300" s="136">
        <f>Tabla3[[#This Row],[EGRESOS]]/Tabla3[[#This Row],[TC]]</f>
        <v>146.26036879432624</v>
      </c>
      <c r="K2300" s="136">
        <f>Tabla3[[#This Row],[INGRESOS]]/Tabla3[[#This Row],[TC]]</f>
        <v>0</v>
      </c>
      <c r="L2300" s="8" t="s">
        <v>376</v>
      </c>
      <c r="M2300" s="8" t="s">
        <v>377</v>
      </c>
      <c r="N2300" s="8" t="s">
        <v>20</v>
      </c>
      <c r="O2300" s="8" t="s">
        <v>225</v>
      </c>
      <c r="P2300" s="8"/>
      <c r="Q2300" s="8"/>
      <c r="R2300" s="8"/>
      <c r="S2300" s="8" t="s">
        <v>739</v>
      </c>
      <c r="T2300" s="8" t="s">
        <v>616</v>
      </c>
      <c r="U2300" s="8" t="s">
        <v>412</v>
      </c>
      <c r="V2300" s="8"/>
      <c r="W2300" s="8" t="s">
        <v>475</v>
      </c>
      <c r="X2300" s="8" t="s">
        <v>29</v>
      </c>
      <c r="Y2300" s="8" t="s">
        <v>23</v>
      </c>
    </row>
    <row r="2301" spans="1:25" s="7" customFormat="1" hidden="1" x14ac:dyDescent="0.25">
      <c r="A2301" s="273" t="s">
        <v>321</v>
      </c>
      <c r="B2301" s="251">
        <v>45988</v>
      </c>
      <c r="C2301" s="252" t="s">
        <v>800</v>
      </c>
      <c r="D2301" s="252"/>
      <c r="E2301" s="253">
        <v>1000000</v>
      </c>
      <c r="F2301" s="253">
        <v>0</v>
      </c>
      <c r="G2301" s="274">
        <f>Tabla3[[#This Row],[INGRESOS]]-Tabla3[[#This Row],[EGRESOS]]</f>
        <v>-1000000</v>
      </c>
      <c r="H2301" s="274">
        <v>-4147266.86</v>
      </c>
      <c r="I2301" s="135">
        <v>1410</v>
      </c>
      <c r="J2301" s="136">
        <f>Tabla3[[#This Row],[EGRESOS]]/Tabla3[[#This Row],[TC]]</f>
        <v>709.21985815602841</v>
      </c>
      <c r="K2301" s="136">
        <f>Tabla3[[#This Row],[INGRESOS]]/Tabla3[[#This Row],[TC]]</f>
        <v>0</v>
      </c>
      <c r="L2301" s="8" t="s">
        <v>376</v>
      </c>
      <c r="M2301" s="8" t="s">
        <v>377</v>
      </c>
      <c r="N2301" s="8" t="s">
        <v>20</v>
      </c>
      <c r="O2301" s="8" t="s">
        <v>184</v>
      </c>
      <c r="P2301" s="8" t="s">
        <v>210</v>
      </c>
      <c r="Q2301" s="8" t="s">
        <v>212</v>
      </c>
      <c r="R2301" s="8"/>
      <c r="S2301" s="8" t="s">
        <v>524</v>
      </c>
      <c r="T2301" s="8"/>
      <c r="U2301" s="8" t="s">
        <v>453</v>
      </c>
      <c r="V2301" s="8"/>
      <c r="W2301" s="8" t="s">
        <v>380</v>
      </c>
      <c r="X2301" s="8" t="s">
        <v>39</v>
      </c>
      <c r="Y2301" s="8" t="s">
        <v>23</v>
      </c>
    </row>
    <row r="2302" spans="1:25" s="7" customFormat="1" hidden="1" x14ac:dyDescent="0.25">
      <c r="A2302" s="273" t="s">
        <v>321</v>
      </c>
      <c r="B2302" s="251">
        <v>45988</v>
      </c>
      <c r="C2302" s="252" t="s">
        <v>828</v>
      </c>
      <c r="D2302" s="252"/>
      <c r="E2302" s="253">
        <v>121</v>
      </c>
      <c r="F2302" s="253">
        <v>0</v>
      </c>
      <c r="G2302" s="274">
        <f>Tabla3[[#This Row],[INGRESOS]]-Tabla3[[#This Row],[EGRESOS]]</f>
        <v>-121</v>
      </c>
      <c r="H2302" s="274">
        <v>-4147387.86</v>
      </c>
      <c r="I2302" s="135">
        <v>1410</v>
      </c>
      <c r="J2302" s="136">
        <f>Tabla3[[#This Row],[EGRESOS]]/Tabla3[[#This Row],[TC]]</f>
        <v>8.5815602836879432E-2</v>
      </c>
      <c r="K2302" s="136">
        <f>Tabla3[[#This Row],[INGRESOS]]/Tabla3[[#This Row],[TC]]</f>
        <v>0</v>
      </c>
      <c r="L2302" s="8" t="s">
        <v>376</v>
      </c>
      <c r="M2302" s="8" t="s">
        <v>377</v>
      </c>
      <c r="N2302" s="8" t="s">
        <v>20</v>
      </c>
      <c r="O2302" s="8" t="s">
        <v>184</v>
      </c>
      <c r="P2302" s="8" t="s">
        <v>185</v>
      </c>
      <c r="Q2302" s="8" t="s">
        <v>186</v>
      </c>
      <c r="R2302" s="8"/>
      <c r="S2302" s="8"/>
      <c r="T2302" s="8"/>
      <c r="U2302" s="8" t="s">
        <v>384</v>
      </c>
      <c r="V2302" s="8"/>
      <c r="W2302" s="8" t="s">
        <v>380</v>
      </c>
      <c r="X2302" s="8" t="s">
        <v>99</v>
      </c>
      <c r="Y2302" s="8" t="s">
        <v>23</v>
      </c>
    </row>
    <row r="2303" spans="1:25" s="7" customFormat="1" hidden="1" x14ac:dyDescent="0.25">
      <c r="A2303" s="273" t="s">
        <v>321</v>
      </c>
      <c r="B2303" s="251">
        <v>45988</v>
      </c>
      <c r="C2303" s="252" t="s">
        <v>404</v>
      </c>
      <c r="D2303" s="252"/>
      <c r="E2303" s="253">
        <v>200000</v>
      </c>
      <c r="F2303" s="253">
        <v>0</v>
      </c>
      <c r="G2303" s="274">
        <f>Tabla3[[#This Row],[INGRESOS]]-Tabla3[[#This Row],[EGRESOS]]</f>
        <v>-200000</v>
      </c>
      <c r="H2303" s="274">
        <v>-4347387.8600000003</v>
      </c>
      <c r="I2303" s="135">
        <v>1410</v>
      </c>
      <c r="J2303" s="136">
        <f>Tabla3[[#This Row],[EGRESOS]]/Tabla3[[#This Row],[TC]]</f>
        <v>141.84397163120568</v>
      </c>
      <c r="K2303" s="136">
        <f>Tabla3[[#This Row],[INGRESOS]]/Tabla3[[#This Row],[TC]]</f>
        <v>0</v>
      </c>
      <c r="L2303" s="8" t="s">
        <v>376</v>
      </c>
      <c r="M2303" s="8" t="s">
        <v>377</v>
      </c>
      <c r="N2303" s="8" t="s">
        <v>20</v>
      </c>
      <c r="O2303" s="8" t="s">
        <v>244</v>
      </c>
      <c r="P2303" s="8" t="s">
        <v>259</v>
      </c>
      <c r="Q2303" s="8" t="s">
        <v>260</v>
      </c>
      <c r="R2303" s="8" t="s">
        <v>472</v>
      </c>
      <c r="S2303" s="8"/>
      <c r="T2303" s="8"/>
      <c r="U2303" s="8" t="s">
        <v>379</v>
      </c>
      <c r="V2303" s="8"/>
      <c r="W2303" s="8"/>
      <c r="X2303" s="8"/>
      <c r="Y2303" s="8"/>
    </row>
    <row r="2304" spans="1:25" s="7" customFormat="1" hidden="1" x14ac:dyDescent="0.25">
      <c r="A2304" s="273" t="s">
        <v>321</v>
      </c>
      <c r="B2304" s="251">
        <v>45988</v>
      </c>
      <c r="C2304" s="252" t="s">
        <v>762</v>
      </c>
      <c r="D2304" s="252"/>
      <c r="E2304" s="253">
        <v>2866.5</v>
      </c>
      <c r="F2304" s="253">
        <v>0</v>
      </c>
      <c r="G2304" s="274">
        <f>Tabla3[[#This Row],[INGRESOS]]-Tabla3[[#This Row],[EGRESOS]]</f>
        <v>-2866.5</v>
      </c>
      <c r="H2304" s="274">
        <v>-4350254.3600000003</v>
      </c>
      <c r="I2304" s="135">
        <v>1410</v>
      </c>
      <c r="J2304" s="136">
        <f>Tabla3[[#This Row],[EGRESOS]]/Tabla3[[#This Row],[TC]]</f>
        <v>2.0329787234042551</v>
      </c>
      <c r="K2304" s="136">
        <f>Tabla3[[#This Row],[INGRESOS]]/Tabla3[[#This Row],[TC]]</f>
        <v>0</v>
      </c>
      <c r="L2304" s="8" t="s">
        <v>376</v>
      </c>
      <c r="M2304" s="8" t="s">
        <v>377</v>
      </c>
      <c r="N2304" s="8" t="s">
        <v>20</v>
      </c>
      <c r="O2304" s="8" t="s">
        <v>184</v>
      </c>
      <c r="P2304" s="8" t="s">
        <v>195</v>
      </c>
      <c r="Q2304" s="8" t="s">
        <v>196</v>
      </c>
      <c r="R2304" s="8" t="s">
        <v>382</v>
      </c>
      <c r="S2304" s="8"/>
      <c r="T2304" s="8"/>
      <c r="U2304" s="8" t="s">
        <v>384</v>
      </c>
      <c r="V2304" s="8"/>
      <c r="W2304" s="8" t="s">
        <v>380</v>
      </c>
      <c r="X2304" s="8" t="s">
        <v>99</v>
      </c>
      <c r="Y2304" s="8" t="s">
        <v>23</v>
      </c>
    </row>
    <row r="2305" spans="1:25" s="7" customFormat="1" hidden="1" x14ac:dyDescent="0.25">
      <c r="A2305" s="273" t="s">
        <v>321</v>
      </c>
      <c r="B2305" s="251">
        <v>45988</v>
      </c>
      <c r="C2305" s="252" t="s">
        <v>763</v>
      </c>
      <c r="D2305" s="252"/>
      <c r="E2305" s="253">
        <v>409.5</v>
      </c>
      <c r="F2305" s="253">
        <v>0</v>
      </c>
      <c r="G2305" s="274">
        <f>Tabla3[[#This Row],[INGRESOS]]-Tabla3[[#This Row],[EGRESOS]]</f>
        <v>-409.5</v>
      </c>
      <c r="H2305" s="274">
        <v>-4350663.8600000003</v>
      </c>
      <c r="I2305" s="135">
        <v>1410</v>
      </c>
      <c r="J2305" s="136">
        <f>Tabla3[[#This Row],[EGRESOS]]/Tabla3[[#This Row],[TC]]</f>
        <v>0.29042553191489362</v>
      </c>
      <c r="K2305" s="136">
        <f>Tabla3[[#This Row],[INGRESOS]]/Tabla3[[#This Row],[TC]]</f>
        <v>0</v>
      </c>
      <c r="L2305" s="8" t="s">
        <v>376</v>
      </c>
      <c r="M2305" s="8" t="s">
        <v>377</v>
      </c>
      <c r="N2305" s="8" t="s">
        <v>20</v>
      </c>
      <c r="O2305" s="8" t="s">
        <v>184</v>
      </c>
      <c r="P2305" s="8" t="s">
        <v>195</v>
      </c>
      <c r="Q2305" s="8" t="s">
        <v>196</v>
      </c>
      <c r="R2305" s="8" t="s">
        <v>417</v>
      </c>
      <c r="S2305" s="8" t="s">
        <v>383</v>
      </c>
      <c r="T2305" s="8"/>
      <c r="U2305" s="8" t="s">
        <v>384</v>
      </c>
      <c r="V2305" s="8"/>
      <c r="W2305" s="8" t="s">
        <v>380</v>
      </c>
      <c r="X2305" s="8" t="s">
        <v>99</v>
      </c>
      <c r="Y2305" s="8" t="s">
        <v>23</v>
      </c>
    </row>
    <row r="2306" spans="1:25" s="7" customFormat="1" hidden="1" x14ac:dyDescent="0.25">
      <c r="A2306" s="273" t="s">
        <v>321</v>
      </c>
      <c r="B2306" s="251">
        <v>45988</v>
      </c>
      <c r="C2306" s="252" t="s">
        <v>837</v>
      </c>
      <c r="D2306" s="252"/>
      <c r="E2306" s="253">
        <v>13650</v>
      </c>
      <c r="F2306" s="253">
        <v>0</v>
      </c>
      <c r="G2306" s="274">
        <f>Tabla3[[#This Row],[INGRESOS]]-Tabla3[[#This Row],[EGRESOS]]</f>
        <v>-13650</v>
      </c>
      <c r="H2306" s="274">
        <v>-4364313.8600000003</v>
      </c>
      <c r="I2306" s="135">
        <v>1410</v>
      </c>
      <c r="J2306" s="136">
        <f>Tabla3[[#This Row],[EGRESOS]]/Tabla3[[#This Row],[TC]]</f>
        <v>9.6808510638297864</v>
      </c>
      <c r="K2306" s="136">
        <f>Tabla3[[#This Row],[INGRESOS]]/Tabla3[[#This Row],[TC]]</f>
        <v>0</v>
      </c>
      <c r="L2306" s="8" t="s">
        <v>376</v>
      </c>
      <c r="M2306" s="8" t="s">
        <v>377</v>
      </c>
      <c r="N2306" s="8" t="s">
        <v>20</v>
      </c>
      <c r="O2306" s="8" t="s">
        <v>184</v>
      </c>
      <c r="P2306" s="8" t="s">
        <v>185</v>
      </c>
      <c r="Q2306" s="8" t="s">
        <v>186</v>
      </c>
      <c r="R2306" s="8"/>
      <c r="S2306" s="8"/>
      <c r="T2306" s="8"/>
      <c r="U2306" s="8" t="s">
        <v>384</v>
      </c>
      <c r="V2306" s="8"/>
      <c r="W2306" s="8" t="s">
        <v>380</v>
      </c>
      <c r="X2306" s="8" t="s">
        <v>99</v>
      </c>
      <c r="Y2306" s="8" t="s">
        <v>23</v>
      </c>
    </row>
    <row r="2307" spans="1:25" s="7" customFormat="1" hidden="1" x14ac:dyDescent="0.25">
      <c r="A2307" s="273" t="s">
        <v>321</v>
      </c>
      <c r="B2307" s="251">
        <v>45988</v>
      </c>
      <c r="C2307" s="252" t="s">
        <v>773</v>
      </c>
      <c r="D2307" s="252"/>
      <c r="E2307" s="253">
        <v>7339.65</v>
      </c>
      <c r="F2307" s="253">
        <v>0</v>
      </c>
      <c r="G2307" s="274">
        <f>Tabla3[[#This Row],[INGRESOS]]-Tabla3[[#This Row],[EGRESOS]]</f>
        <v>-7339.65</v>
      </c>
      <c r="H2307" s="274">
        <v>-4371653.51</v>
      </c>
      <c r="I2307" s="135">
        <v>1410</v>
      </c>
      <c r="J2307" s="136">
        <f>Tabla3[[#This Row],[EGRESOS]]/Tabla3[[#This Row],[TC]]</f>
        <v>5.2054255319148934</v>
      </c>
      <c r="K2307" s="136">
        <f>Tabla3[[#This Row],[INGRESOS]]/Tabla3[[#This Row],[TC]]</f>
        <v>0</v>
      </c>
      <c r="L2307" s="8" t="s">
        <v>376</v>
      </c>
      <c r="M2307" s="8" t="s">
        <v>377</v>
      </c>
      <c r="N2307" s="8" t="s">
        <v>20</v>
      </c>
      <c r="O2307" s="8" t="s">
        <v>184</v>
      </c>
      <c r="P2307" s="8" t="s">
        <v>195</v>
      </c>
      <c r="Q2307" s="8" t="s">
        <v>196</v>
      </c>
      <c r="R2307" s="8" t="s">
        <v>394</v>
      </c>
      <c r="S2307" s="8"/>
      <c r="T2307" s="8"/>
      <c r="U2307" s="8" t="s">
        <v>384</v>
      </c>
      <c r="V2307" s="8"/>
      <c r="W2307" s="8" t="s">
        <v>380</v>
      </c>
      <c r="X2307" s="8" t="s">
        <v>99</v>
      </c>
      <c r="Y2307" s="8" t="s">
        <v>23</v>
      </c>
    </row>
    <row r="2308" spans="1:25" s="7" customFormat="1" hidden="1" x14ac:dyDescent="0.25">
      <c r="A2308" s="273" t="s">
        <v>321</v>
      </c>
      <c r="B2308" s="251">
        <v>45988</v>
      </c>
      <c r="C2308" s="252" t="s">
        <v>795</v>
      </c>
      <c r="D2308" s="252"/>
      <c r="E2308" s="253">
        <v>2443087.7799999998</v>
      </c>
      <c r="F2308" s="253">
        <v>0</v>
      </c>
      <c r="G2308" s="274">
        <f>Tabla3[[#This Row],[INGRESOS]]-Tabla3[[#This Row],[EGRESOS]]</f>
        <v>-2443087.7799999998</v>
      </c>
      <c r="H2308" s="274">
        <v>-6814741.29</v>
      </c>
      <c r="I2308" s="135">
        <v>1410</v>
      </c>
      <c r="J2308" s="136">
        <f>Tabla3[[#This Row],[EGRESOS]]/Tabla3[[#This Row],[TC]]</f>
        <v>1732.6863687943262</v>
      </c>
      <c r="K2308" s="136">
        <f>Tabla3[[#This Row],[INGRESOS]]/Tabla3[[#This Row],[TC]]</f>
        <v>0</v>
      </c>
      <c r="L2308" s="8" t="s">
        <v>376</v>
      </c>
      <c r="M2308" s="8" t="s">
        <v>377</v>
      </c>
      <c r="N2308" s="8" t="s">
        <v>20</v>
      </c>
      <c r="O2308" s="8" t="s">
        <v>244</v>
      </c>
      <c r="P2308" s="8" t="s">
        <v>259</v>
      </c>
      <c r="Q2308" s="8" t="s">
        <v>260</v>
      </c>
      <c r="R2308" s="8" t="s">
        <v>804</v>
      </c>
      <c r="S2308" s="8"/>
      <c r="T2308" s="8"/>
      <c r="U2308" s="8" t="s">
        <v>379</v>
      </c>
      <c r="V2308" s="8"/>
      <c r="W2308" s="8"/>
      <c r="X2308" s="8"/>
      <c r="Y2308" s="8"/>
    </row>
    <row r="2309" spans="1:25" s="7" customFormat="1" hidden="1" x14ac:dyDescent="0.25">
      <c r="A2309" s="273" t="s">
        <v>321</v>
      </c>
      <c r="B2309" s="251">
        <v>45989</v>
      </c>
      <c r="C2309" s="252" t="s">
        <v>782</v>
      </c>
      <c r="D2309" s="252" t="s">
        <v>1292</v>
      </c>
      <c r="E2309" s="253">
        <v>1186792.1499999999</v>
      </c>
      <c r="F2309" s="253">
        <v>0</v>
      </c>
      <c r="G2309" s="274">
        <f>Tabla3[[#This Row],[INGRESOS]]-Tabla3[[#This Row],[EGRESOS]]</f>
        <v>-1186792.1499999999</v>
      </c>
      <c r="H2309" s="274">
        <v>-8001533.4400000004</v>
      </c>
      <c r="I2309" s="135">
        <v>1410</v>
      </c>
      <c r="J2309" s="136">
        <f>Tabla3[[#This Row],[EGRESOS]]/Tabla3[[#This Row],[TC]]</f>
        <v>841.69656028368786</v>
      </c>
      <c r="K2309" s="136">
        <f>Tabla3[[#This Row],[INGRESOS]]/Tabla3[[#This Row],[TC]]</f>
        <v>0</v>
      </c>
      <c r="L2309" s="8" t="s">
        <v>376</v>
      </c>
      <c r="M2309" s="8" t="s">
        <v>377</v>
      </c>
      <c r="N2309" s="8" t="s">
        <v>20</v>
      </c>
      <c r="O2309" s="8" t="s">
        <v>286</v>
      </c>
      <c r="P2309" s="8" t="s">
        <v>287</v>
      </c>
      <c r="Q2309" s="8" t="s">
        <v>288</v>
      </c>
      <c r="R2309" s="8" t="s">
        <v>143</v>
      </c>
      <c r="S2309" s="8" t="s">
        <v>665</v>
      </c>
      <c r="T2309" s="8"/>
      <c r="U2309" s="8" t="s">
        <v>412</v>
      </c>
      <c r="V2309" s="8"/>
      <c r="W2309" s="8" t="s">
        <v>380</v>
      </c>
      <c r="X2309" s="8" t="s">
        <v>29</v>
      </c>
      <c r="Y2309" s="8" t="s">
        <v>23</v>
      </c>
    </row>
    <row r="2310" spans="1:25" s="7" customFormat="1" hidden="1" x14ac:dyDescent="0.25">
      <c r="A2310" s="273" t="s">
        <v>321</v>
      </c>
      <c r="B2310" s="251">
        <v>45989</v>
      </c>
      <c r="C2310" s="252" t="s">
        <v>773</v>
      </c>
      <c r="D2310" s="252"/>
      <c r="E2310" s="253">
        <v>7120.75</v>
      </c>
      <c r="F2310" s="253">
        <v>0</v>
      </c>
      <c r="G2310" s="274">
        <f>Tabla3[[#This Row],[INGRESOS]]-Tabla3[[#This Row],[EGRESOS]]</f>
        <v>-7120.75</v>
      </c>
      <c r="H2310" s="274">
        <v>-8008654.1900000004</v>
      </c>
      <c r="I2310" s="135">
        <v>1410</v>
      </c>
      <c r="J2310" s="136">
        <f>Tabla3[[#This Row],[EGRESOS]]/Tabla3[[#This Row],[TC]]</f>
        <v>5.0501773049645386</v>
      </c>
      <c r="K2310" s="136">
        <f>Tabla3[[#This Row],[INGRESOS]]/Tabla3[[#This Row],[TC]]</f>
        <v>0</v>
      </c>
      <c r="L2310" s="8" t="s">
        <v>376</v>
      </c>
      <c r="M2310" s="8" t="s">
        <v>377</v>
      </c>
      <c r="N2310" s="8" t="s">
        <v>20</v>
      </c>
      <c r="O2310" s="8" t="s">
        <v>184</v>
      </c>
      <c r="P2310" s="8" t="s">
        <v>195</v>
      </c>
      <c r="Q2310" s="8" t="s">
        <v>196</v>
      </c>
      <c r="R2310" s="8" t="s">
        <v>394</v>
      </c>
      <c r="S2310" s="8"/>
      <c r="T2310" s="8"/>
      <c r="U2310" s="8" t="s">
        <v>384</v>
      </c>
      <c r="V2310" s="8"/>
      <c r="W2310" s="8" t="s">
        <v>380</v>
      </c>
      <c r="X2310" s="8" t="s">
        <v>99</v>
      </c>
      <c r="Y2310" s="8" t="s">
        <v>23</v>
      </c>
    </row>
    <row r="2311" spans="1:25" s="7" customFormat="1" hidden="1" x14ac:dyDescent="0.25">
      <c r="A2311" s="273" t="str">
        <f>"DICIEMBRE"</f>
        <v>DICIEMBRE</v>
      </c>
      <c r="B2311" s="251">
        <v>45992</v>
      </c>
      <c r="C2311" s="252" t="s">
        <v>762</v>
      </c>
      <c r="D2311" s="252"/>
      <c r="E2311" s="253">
        <v>16477.34</v>
      </c>
      <c r="F2311" s="253">
        <v>0</v>
      </c>
      <c r="G2311" s="274">
        <f>Tabla3[[#This Row],[INGRESOS]]-Tabla3[[#This Row],[EGRESOS]]</f>
        <v>-16477.34</v>
      </c>
      <c r="H2311" s="274">
        <v>-8025131.5300000003</v>
      </c>
      <c r="I2311" s="135">
        <v>1410</v>
      </c>
      <c r="J2311" s="136">
        <f>Tabla3[[#This Row],[EGRESOS]]/Tabla3[[#This Row],[TC]]</f>
        <v>11.686056737588652</v>
      </c>
      <c r="K2311" s="136">
        <f>Tabla3[[#This Row],[INGRESOS]]/Tabla3[[#This Row],[TC]]</f>
        <v>0</v>
      </c>
      <c r="L2311" s="8" t="s">
        <v>376</v>
      </c>
      <c r="M2311" s="8" t="s">
        <v>377</v>
      </c>
      <c r="N2311" s="8" t="s">
        <v>20</v>
      </c>
      <c r="O2311" s="8" t="s">
        <v>184</v>
      </c>
      <c r="P2311" s="8" t="s">
        <v>195</v>
      </c>
      <c r="Q2311" s="8" t="s">
        <v>196</v>
      </c>
      <c r="R2311" s="8" t="s">
        <v>382</v>
      </c>
      <c r="S2311" s="8"/>
      <c r="T2311" s="8"/>
      <c r="U2311" s="8" t="s">
        <v>384</v>
      </c>
      <c r="V2311" s="8"/>
      <c r="W2311" s="8" t="s">
        <v>380</v>
      </c>
      <c r="X2311" s="8" t="s">
        <v>99</v>
      </c>
      <c r="Y2311" s="8" t="s">
        <v>23</v>
      </c>
    </row>
    <row r="2312" spans="1:25" s="7" customFormat="1" hidden="1" x14ac:dyDescent="0.25">
      <c r="A2312" s="273" t="s">
        <v>322</v>
      </c>
      <c r="B2312" s="251">
        <v>45992</v>
      </c>
      <c r="C2312" s="252" t="s">
        <v>763</v>
      </c>
      <c r="D2312" s="252"/>
      <c r="E2312" s="253">
        <v>2353.91</v>
      </c>
      <c r="F2312" s="253">
        <v>0</v>
      </c>
      <c r="G2312" s="274">
        <f>Tabla3[[#This Row],[INGRESOS]]-Tabla3[[#This Row],[EGRESOS]]</f>
        <v>-2353.91</v>
      </c>
      <c r="H2312" s="274">
        <v>-8027485.4400000004</v>
      </c>
      <c r="I2312" s="135">
        <v>1410</v>
      </c>
      <c r="J2312" s="136">
        <f>Tabla3[[#This Row],[EGRESOS]]/Tabla3[[#This Row],[TC]]</f>
        <v>1.6694397163120567</v>
      </c>
      <c r="K2312" s="136">
        <f>Tabla3[[#This Row],[INGRESOS]]/Tabla3[[#This Row],[TC]]</f>
        <v>0</v>
      </c>
      <c r="L2312" s="8" t="s">
        <v>376</v>
      </c>
      <c r="M2312" s="8" t="s">
        <v>377</v>
      </c>
      <c r="N2312" s="8" t="s">
        <v>20</v>
      </c>
      <c r="O2312" s="8" t="s">
        <v>184</v>
      </c>
      <c r="P2312" s="8" t="s">
        <v>195</v>
      </c>
      <c r="Q2312" s="8" t="s">
        <v>196</v>
      </c>
      <c r="R2312" s="8" t="s">
        <v>417</v>
      </c>
      <c r="S2312" s="8" t="s">
        <v>383</v>
      </c>
      <c r="T2312" s="8"/>
      <c r="U2312" s="8" t="s">
        <v>384</v>
      </c>
      <c r="V2312" s="8"/>
      <c r="W2312" s="8" t="s">
        <v>380</v>
      </c>
      <c r="X2312" s="8" t="s">
        <v>99</v>
      </c>
      <c r="Y2312" s="8" t="s">
        <v>23</v>
      </c>
    </row>
    <row r="2313" spans="1:25" s="7" customFormat="1" hidden="1" x14ac:dyDescent="0.25">
      <c r="A2313" s="273" t="s">
        <v>322</v>
      </c>
      <c r="B2313" s="251">
        <v>45992</v>
      </c>
      <c r="C2313" s="252" t="s">
        <v>780</v>
      </c>
      <c r="D2313" s="252"/>
      <c r="E2313" s="253">
        <v>156927.07</v>
      </c>
      <c r="F2313" s="253">
        <v>0</v>
      </c>
      <c r="G2313" s="274">
        <f>Tabla3[[#This Row],[INGRESOS]]-Tabla3[[#This Row],[EGRESOS]]</f>
        <v>-156927.07</v>
      </c>
      <c r="H2313" s="274">
        <v>-8184412.5099999998</v>
      </c>
      <c r="I2313" s="135">
        <v>1410</v>
      </c>
      <c r="J2313" s="136">
        <f>Tabla3[[#This Row],[EGRESOS]]/Tabla3[[#This Row],[TC]]</f>
        <v>111.29579432624114</v>
      </c>
      <c r="K2313" s="136">
        <f>Tabla3[[#This Row],[INGRESOS]]/Tabla3[[#This Row],[TC]]</f>
        <v>0</v>
      </c>
      <c r="L2313" s="8" t="s">
        <v>376</v>
      </c>
      <c r="M2313" s="8" t="s">
        <v>377</v>
      </c>
      <c r="N2313" s="8" t="s">
        <v>20</v>
      </c>
      <c r="O2313" s="8" t="s">
        <v>184</v>
      </c>
      <c r="P2313" s="8" t="s">
        <v>197</v>
      </c>
      <c r="Q2313" s="8" t="s">
        <v>198</v>
      </c>
      <c r="R2313" s="8" t="s">
        <v>419</v>
      </c>
      <c r="S2313" s="8"/>
      <c r="T2313" s="8"/>
      <c r="U2313" s="8" t="s">
        <v>384</v>
      </c>
      <c r="V2313" s="8"/>
      <c r="W2313" s="8" t="s">
        <v>475</v>
      </c>
      <c r="X2313" s="8" t="s">
        <v>99</v>
      </c>
      <c r="Y2313" s="8" t="s">
        <v>23</v>
      </c>
    </row>
    <row r="2314" spans="1:25" s="7" customFormat="1" hidden="1" x14ac:dyDescent="0.25">
      <c r="A2314" s="273" t="s">
        <v>322</v>
      </c>
      <c r="B2314" s="251">
        <v>45992</v>
      </c>
      <c r="C2314" s="252" t="s">
        <v>762</v>
      </c>
      <c r="D2314" s="252"/>
      <c r="E2314" s="253">
        <v>2821.37</v>
      </c>
      <c r="F2314" s="253">
        <v>0</v>
      </c>
      <c r="G2314" s="274">
        <f>Tabla3[[#This Row],[INGRESOS]]-Tabla3[[#This Row],[EGRESOS]]</f>
        <v>-2821.37</v>
      </c>
      <c r="H2314" s="274">
        <v>-8187233.8799999999</v>
      </c>
      <c r="I2314" s="135">
        <v>1410</v>
      </c>
      <c r="J2314" s="136">
        <f>Tabla3[[#This Row],[EGRESOS]]/Tabla3[[#This Row],[TC]]</f>
        <v>2.0009716312056738</v>
      </c>
      <c r="K2314" s="136">
        <f>Tabla3[[#This Row],[INGRESOS]]/Tabla3[[#This Row],[TC]]</f>
        <v>0</v>
      </c>
      <c r="L2314" s="8" t="s">
        <v>376</v>
      </c>
      <c r="M2314" s="8" t="s">
        <v>377</v>
      </c>
      <c r="N2314" s="8" t="s">
        <v>20</v>
      </c>
      <c r="O2314" s="8" t="s">
        <v>184</v>
      </c>
      <c r="P2314" s="8" t="s">
        <v>195</v>
      </c>
      <c r="Q2314" s="8" t="s">
        <v>196</v>
      </c>
      <c r="R2314" s="8" t="s">
        <v>382</v>
      </c>
      <c r="S2314" s="8"/>
      <c r="T2314" s="8"/>
      <c r="U2314" s="8" t="s">
        <v>384</v>
      </c>
      <c r="V2314" s="8"/>
      <c r="W2314" s="8" t="s">
        <v>380</v>
      </c>
      <c r="X2314" s="8" t="s">
        <v>99</v>
      </c>
      <c r="Y2314" s="8" t="s">
        <v>23</v>
      </c>
    </row>
    <row r="2315" spans="1:25" s="7" customFormat="1" hidden="1" x14ac:dyDescent="0.25">
      <c r="A2315" s="273" t="s">
        <v>322</v>
      </c>
      <c r="B2315" s="251">
        <v>45992</v>
      </c>
      <c r="C2315" s="252" t="s">
        <v>763</v>
      </c>
      <c r="D2315" s="252"/>
      <c r="E2315" s="253">
        <v>403.05</v>
      </c>
      <c r="F2315" s="253">
        <v>0</v>
      </c>
      <c r="G2315" s="274">
        <f>Tabla3[[#This Row],[INGRESOS]]-Tabla3[[#This Row],[EGRESOS]]</f>
        <v>-403.05</v>
      </c>
      <c r="H2315" s="274">
        <v>-8187636.9299999997</v>
      </c>
      <c r="I2315" s="135">
        <v>1410</v>
      </c>
      <c r="J2315" s="136">
        <f>Tabla3[[#This Row],[EGRESOS]]/Tabla3[[#This Row],[TC]]</f>
        <v>0.28585106382978726</v>
      </c>
      <c r="K2315" s="136">
        <f>Tabla3[[#This Row],[INGRESOS]]/Tabla3[[#This Row],[TC]]</f>
        <v>0</v>
      </c>
      <c r="L2315" s="8" t="s">
        <v>376</v>
      </c>
      <c r="M2315" s="8" t="s">
        <v>377</v>
      </c>
      <c r="N2315" s="8" t="s">
        <v>20</v>
      </c>
      <c r="O2315" s="8" t="s">
        <v>184</v>
      </c>
      <c r="P2315" s="8" t="s">
        <v>195</v>
      </c>
      <c r="Q2315" s="8" t="s">
        <v>196</v>
      </c>
      <c r="R2315" s="8" t="s">
        <v>417</v>
      </c>
      <c r="S2315" s="8" t="s">
        <v>383</v>
      </c>
      <c r="T2315" s="8"/>
      <c r="U2315" s="8" t="s">
        <v>384</v>
      </c>
      <c r="V2315" s="8"/>
      <c r="W2315" s="8" t="s">
        <v>380</v>
      </c>
      <c r="X2315" s="8" t="s">
        <v>99</v>
      </c>
      <c r="Y2315" s="8" t="s">
        <v>23</v>
      </c>
    </row>
    <row r="2316" spans="1:25" s="7" customFormat="1" hidden="1" x14ac:dyDescent="0.25">
      <c r="A2316" s="273" t="s">
        <v>322</v>
      </c>
      <c r="B2316" s="251">
        <v>45992</v>
      </c>
      <c r="C2316" s="252" t="s">
        <v>780</v>
      </c>
      <c r="D2316" s="252"/>
      <c r="E2316" s="253">
        <v>26870.16</v>
      </c>
      <c r="F2316" s="253">
        <v>0</v>
      </c>
      <c r="G2316" s="274">
        <f>Tabla3[[#This Row],[INGRESOS]]-Tabla3[[#This Row],[EGRESOS]]</f>
        <v>-26870.16</v>
      </c>
      <c r="H2316" s="274">
        <v>-8214507.0899999999</v>
      </c>
      <c r="I2316" s="135">
        <v>1410</v>
      </c>
      <c r="J2316" s="136">
        <f>Tabla3[[#This Row],[EGRESOS]]/Tabla3[[#This Row],[TC]]</f>
        <v>19.056851063829786</v>
      </c>
      <c r="K2316" s="136">
        <f>Tabla3[[#This Row],[INGRESOS]]/Tabla3[[#This Row],[TC]]</f>
        <v>0</v>
      </c>
      <c r="L2316" s="8" t="s">
        <v>376</v>
      </c>
      <c r="M2316" s="8" t="s">
        <v>377</v>
      </c>
      <c r="N2316" s="8" t="s">
        <v>20</v>
      </c>
      <c r="O2316" s="8" t="s">
        <v>184</v>
      </c>
      <c r="P2316" s="8" t="s">
        <v>197</v>
      </c>
      <c r="Q2316" s="8" t="s">
        <v>198</v>
      </c>
      <c r="R2316" s="8" t="s">
        <v>419</v>
      </c>
      <c r="S2316" s="8"/>
      <c r="T2316" s="8"/>
      <c r="U2316" s="8" t="s">
        <v>384</v>
      </c>
      <c r="V2316" s="8"/>
      <c r="W2316" s="8" t="s">
        <v>475</v>
      </c>
      <c r="X2316" s="8" t="s">
        <v>99</v>
      </c>
      <c r="Y2316" s="8" t="s">
        <v>23</v>
      </c>
    </row>
    <row r="2317" spans="1:25" s="7" customFormat="1" hidden="1" x14ac:dyDescent="0.25">
      <c r="A2317" s="273" t="s">
        <v>322</v>
      </c>
      <c r="B2317" s="251">
        <v>45992</v>
      </c>
      <c r="C2317" s="252" t="s">
        <v>762</v>
      </c>
      <c r="D2317" s="252"/>
      <c r="E2317" s="253">
        <v>11380.81</v>
      </c>
      <c r="F2317" s="253">
        <v>0</v>
      </c>
      <c r="G2317" s="274">
        <f>Tabla3[[#This Row],[INGRESOS]]-Tabla3[[#This Row],[EGRESOS]]</f>
        <v>-11380.81</v>
      </c>
      <c r="H2317" s="274">
        <v>-8225887.9000000004</v>
      </c>
      <c r="I2317" s="135">
        <v>1410</v>
      </c>
      <c r="J2317" s="136">
        <f>Tabla3[[#This Row],[EGRESOS]]/Tabla3[[#This Row],[TC]]</f>
        <v>8.0714964539007088</v>
      </c>
      <c r="K2317" s="136">
        <f>Tabla3[[#This Row],[INGRESOS]]/Tabla3[[#This Row],[TC]]</f>
        <v>0</v>
      </c>
      <c r="L2317" s="8" t="s">
        <v>376</v>
      </c>
      <c r="M2317" s="8" t="s">
        <v>377</v>
      </c>
      <c r="N2317" s="8" t="s">
        <v>20</v>
      </c>
      <c r="O2317" s="8" t="s">
        <v>184</v>
      </c>
      <c r="P2317" s="8" t="s">
        <v>195</v>
      </c>
      <c r="Q2317" s="8" t="s">
        <v>196</v>
      </c>
      <c r="R2317" s="8" t="s">
        <v>382</v>
      </c>
      <c r="S2317" s="8"/>
      <c r="T2317" s="8"/>
      <c r="U2317" s="8" t="s">
        <v>384</v>
      </c>
      <c r="V2317" s="8"/>
      <c r="W2317" s="8" t="s">
        <v>380</v>
      </c>
      <c r="X2317" s="8" t="s">
        <v>99</v>
      </c>
      <c r="Y2317" s="8" t="s">
        <v>23</v>
      </c>
    </row>
    <row r="2318" spans="1:25" s="7" customFormat="1" hidden="1" x14ac:dyDescent="0.25">
      <c r="A2318" s="273" t="s">
        <v>322</v>
      </c>
      <c r="B2318" s="251">
        <v>45992</v>
      </c>
      <c r="C2318" s="252" t="s">
        <v>763</v>
      </c>
      <c r="D2318" s="252"/>
      <c r="E2318" s="253">
        <v>1625.83</v>
      </c>
      <c r="F2318" s="253">
        <v>0</v>
      </c>
      <c r="G2318" s="274">
        <f>Tabla3[[#This Row],[INGRESOS]]-Tabla3[[#This Row],[EGRESOS]]</f>
        <v>-1625.83</v>
      </c>
      <c r="H2318" s="274">
        <v>-8227513.7300000004</v>
      </c>
      <c r="I2318" s="135">
        <v>1410</v>
      </c>
      <c r="J2318" s="136">
        <f>Tabla3[[#This Row],[EGRESOS]]/Tabla3[[#This Row],[TC]]</f>
        <v>1.1530709219858155</v>
      </c>
      <c r="K2318" s="136">
        <f>Tabla3[[#This Row],[INGRESOS]]/Tabla3[[#This Row],[TC]]</f>
        <v>0</v>
      </c>
      <c r="L2318" s="8" t="s">
        <v>376</v>
      </c>
      <c r="M2318" s="8" t="s">
        <v>377</v>
      </c>
      <c r="N2318" s="8" t="s">
        <v>20</v>
      </c>
      <c r="O2318" s="8" t="s">
        <v>184</v>
      </c>
      <c r="P2318" s="8" t="s">
        <v>195</v>
      </c>
      <c r="Q2318" s="8" t="s">
        <v>196</v>
      </c>
      <c r="R2318" s="8" t="s">
        <v>417</v>
      </c>
      <c r="S2318" s="8" t="s">
        <v>383</v>
      </c>
      <c r="T2318" s="8"/>
      <c r="U2318" s="8" t="s">
        <v>384</v>
      </c>
      <c r="V2318" s="8"/>
      <c r="W2318" s="8" t="s">
        <v>380</v>
      </c>
      <c r="X2318" s="8" t="s">
        <v>99</v>
      </c>
      <c r="Y2318" s="8" t="s">
        <v>23</v>
      </c>
    </row>
    <row r="2319" spans="1:25" s="7" customFormat="1" hidden="1" x14ac:dyDescent="0.25">
      <c r="A2319" s="273" t="s">
        <v>322</v>
      </c>
      <c r="B2319" s="251">
        <v>45992</v>
      </c>
      <c r="C2319" s="252" t="s">
        <v>781</v>
      </c>
      <c r="D2319" s="252"/>
      <c r="E2319" s="253">
        <v>108388.69</v>
      </c>
      <c r="F2319" s="253">
        <v>0</v>
      </c>
      <c r="G2319" s="274">
        <f>Tabla3[[#This Row],[INGRESOS]]-Tabla3[[#This Row],[EGRESOS]]</f>
        <v>-108388.69</v>
      </c>
      <c r="H2319" s="274">
        <v>-8335902.4199999999</v>
      </c>
      <c r="I2319" s="135">
        <v>1410</v>
      </c>
      <c r="J2319" s="136">
        <f>Tabla3[[#This Row],[EGRESOS]]/Tabla3[[#This Row],[TC]]</f>
        <v>76.871411347517736</v>
      </c>
      <c r="K2319" s="136">
        <f>Tabla3[[#This Row],[INGRESOS]]/Tabla3[[#This Row],[TC]]</f>
        <v>0</v>
      </c>
      <c r="L2319" s="8" t="s">
        <v>376</v>
      </c>
      <c r="M2319" s="8" t="s">
        <v>377</v>
      </c>
      <c r="N2319" s="8" t="s">
        <v>20</v>
      </c>
      <c r="O2319" s="8" t="s">
        <v>184</v>
      </c>
      <c r="P2319" s="8" t="s">
        <v>197</v>
      </c>
      <c r="Q2319" s="8" t="s">
        <v>198</v>
      </c>
      <c r="R2319" s="8" t="s">
        <v>419</v>
      </c>
      <c r="S2319" s="8"/>
      <c r="T2319" s="8"/>
      <c r="U2319" s="8" t="s">
        <v>384</v>
      </c>
      <c r="V2319" s="8"/>
      <c r="W2319" s="8" t="s">
        <v>475</v>
      </c>
      <c r="X2319" s="8" t="s">
        <v>99</v>
      </c>
      <c r="Y2319" s="8" t="s">
        <v>23</v>
      </c>
    </row>
    <row r="2320" spans="1:25" s="7" customFormat="1" hidden="1" x14ac:dyDescent="0.25">
      <c r="A2320" s="273" t="s">
        <v>322</v>
      </c>
      <c r="B2320" s="251">
        <v>45992</v>
      </c>
      <c r="C2320" s="252" t="s">
        <v>845</v>
      </c>
      <c r="D2320" s="252"/>
      <c r="E2320" s="253">
        <v>3706.19</v>
      </c>
      <c r="F2320" s="253">
        <v>0</v>
      </c>
      <c r="G2320" s="274">
        <f>Tabla3[[#This Row],[INGRESOS]]-Tabla3[[#This Row],[EGRESOS]]</f>
        <v>-3706.19</v>
      </c>
      <c r="H2320" s="274">
        <v>-8339608.6100000003</v>
      </c>
      <c r="I2320" s="135">
        <v>1410</v>
      </c>
      <c r="J2320" s="136">
        <f>Tabla3[[#This Row],[EGRESOS]]/Tabla3[[#This Row],[TC]]</f>
        <v>2.6285035460992909</v>
      </c>
      <c r="K2320" s="136">
        <f>Tabla3[[#This Row],[INGRESOS]]/Tabla3[[#This Row],[TC]]</f>
        <v>0</v>
      </c>
      <c r="L2320" s="8" t="s">
        <v>376</v>
      </c>
      <c r="M2320" s="8" t="s">
        <v>377</v>
      </c>
      <c r="N2320" s="8" t="s">
        <v>20</v>
      </c>
      <c r="O2320" s="8" t="s">
        <v>184</v>
      </c>
      <c r="P2320" s="8" t="s">
        <v>195</v>
      </c>
      <c r="Q2320" s="8" t="s">
        <v>196</v>
      </c>
      <c r="R2320" s="8" t="s">
        <v>423</v>
      </c>
      <c r="S2320" s="8" t="s">
        <v>69</v>
      </c>
      <c r="T2320" s="8"/>
      <c r="U2320" s="8" t="s">
        <v>384</v>
      </c>
      <c r="V2320" s="8"/>
      <c r="W2320" s="8" t="s">
        <v>380</v>
      </c>
      <c r="X2320" s="8" t="s">
        <v>99</v>
      </c>
      <c r="Y2320" s="8" t="s">
        <v>23</v>
      </c>
    </row>
    <row r="2321" spans="1:25" s="7" customFormat="1" hidden="1" x14ac:dyDescent="0.25">
      <c r="A2321" s="273" t="s">
        <v>322</v>
      </c>
      <c r="B2321" s="251">
        <v>45992</v>
      </c>
      <c r="C2321" s="252" t="s">
        <v>845</v>
      </c>
      <c r="D2321" s="252"/>
      <c r="E2321" s="253">
        <v>494.69</v>
      </c>
      <c r="F2321" s="253">
        <v>0</v>
      </c>
      <c r="G2321" s="274">
        <f>Tabla3[[#This Row],[INGRESOS]]-Tabla3[[#This Row],[EGRESOS]]</f>
        <v>-494.69</v>
      </c>
      <c r="H2321" s="274">
        <v>-8340103.2999999998</v>
      </c>
      <c r="I2321" s="135">
        <v>1410</v>
      </c>
      <c r="J2321" s="136">
        <f>Tabla3[[#This Row],[EGRESOS]]/Tabla3[[#This Row],[TC]]</f>
        <v>0.35084397163120568</v>
      </c>
      <c r="K2321" s="136">
        <f>Tabla3[[#This Row],[INGRESOS]]/Tabla3[[#This Row],[TC]]</f>
        <v>0</v>
      </c>
      <c r="L2321" s="8" t="s">
        <v>376</v>
      </c>
      <c r="M2321" s="8" t="s">
        <v>377</v>
      </c>
      <c r="N2321" s="8" t="s">
        <v>20</v>
      </c>
      <c r="O2321" s="8" t="s">
        <v>184</v>
      </c>
      <c r="P2321" s="8" t="s">
        <v>195</v>
      </c>
      <c r="Q2321" s="8" t="s">
        <v>196</v>
      </c>
      <c r="R2321" s="8" t="s">
        <v>423</v>
      </c>
      <c r="S2321" s="8" t="s">
        <v>69</v>
      </c>
      <c r="T2321" s="8"/>
      <c r="U2321" s="8" t="s">
        <v>384</v>
      </c>
      <c r="V2321" s="8"/>
      <c r="W2321" s="8" t="s">
        <v>380</v>
      </c>
      <c r="X2321" s="8" t="s">
        <v>99</v>
      </c>
      <c r="Y2321" s="8" t="s">
        <v>23</v>
      </c>
    </row>
    <row r="2322" spans="1:25" s="7" customFormat="1" hidden="1" x14ac:dyDescent="0.25">
      <c r="A2322" s="273" t="s">
        <v>322</v>
      </c>
      <c r="B2322" s="251">
        <v>45992</v>
      </c>
      <c r="C2322" s="252" t="s">
        <v>845</v>
      </c>
      <c r="D2322" s="252"/>
      <c r="E2322" s="253">
        <v>1885.65</v>
      </c>
      <c r="F2322" s="253">
        <v>0</v>
      </c>
      <c r="G2322" s="274">
        <f>Tabla3[[#This Row],[INGRESOS]]-Tabla3[[#This Row],[EGRESOS]]</f>
        <v>-1885.65</v>
      </c>
      <c r="H2322" s="274">
        <v>-8341988.9500000002</v>
      </c>
      <c r="I2322" s="135">
        <v>1410</v>
      </c>
      <c r="J2322" s="136">
        <f>Tabla3[[#This Row],[EGRESOS]]/Tabla3[[#This Row],[TC]]</f>
        <v>1.337340425531915</v>
      </c>
      <c r="K2322" s="136">
        <f>Tabla3[[#This Row],[INGRESOS]]/Tabla3[[#This Row],[TC]]</f>
        <v>0</v>
      </c>
      <c r="L2322" s="8" t="s">
        <v>376</v>
      </c>
      <c r="M2322" s="8" t="s">
        <v>377</v>
      </c>
      <c r="N2322" s="8" t="s">
        <v>20</v>
      </c>
      <c r="O2322" s="8" t="s">
        <v>184</v>
      </c>
      <c r="P2322" s="8" t="s">
        <v>195</v>
      </c>
      <c r="Q2322" s="8" t="s">
        <v>196</v>
      </c>
      <c r="R2322" s="8" t="s">
        <v>423</v>
      </c>
      <c r="S2322" s="8" t="s">
        <v>69</v>
      </c>
      <c r="T2322" s="8"/>
      <c r="U2322" s="8" t="s">
        <v>384</v>
      </c>
      <c r="V2322" s="8"/>
      <c r="W2322" s="8" t="s">
        <v>380</v>
      </c>
      <c r="X2322" s="8" t="s">
        <v>99</v>
      </c>
      <c r="Y2322" s="8" t="s">
        <v>23</v>
      </c>
    </row>
    <row r="2323" spans="1:25" s="7" customFormat="1" hidden="1" x14ac:dyDescent="0.25">
      <c r="A2323" s="273" t="s">
        <v>322</v>
      </c>
      <c r="B2323" s="251">
        <v>45992</v>
      </c>
      <c r="C2323" s="252" t="s">
        <v>773</v>
      </c>
      <c r="D2323" s="252"/>
      <c r="E2323" s="253">
        <v>2000.01</v>
      </c>
      <c r="F2323" s="253">
        <v>0</v>
      </c>
      <c r="G2323" s="274">
        <f>Tabla3[[#This Row],[INGRESOS]]-Tabla3[[#This Row],[EGRESOS]]</f>
        <v>-2000.01</v>
      </c>
      <c r="H2323" s="274">
        <v>-8343988.96</v>
      </c>
      <c r="I2323" s="135">
        <v>1410</v>
      </c>
      <c r="J2323" s="136">
        <f>Tabla3[[#This Row],[EGRESOS]]/Tabla3[[#This Row],[TC]]</f>
        <v>1.4184468085106383</v>
      </c>
      <c r="K2323" s="136">
        <f>Tabla3[[#This Row],[INGRESOS]]/Tabla3[[#This Row],[TC]]</f>
        <v>0</v>
      </c>
      <c r="L2323" s="8" t="s">
        <v>376</v>
      </c>
      <c r="M2323" s="8" t="s">
        <v>377</v>
      </c>
      <c r="N2323" s="8" t="s">
        <v>20</v>
      </c>
      <c r="O2323" s="8" t="s">
        <v>184</v>
      </c>
      <c r="P2323" s="8" t="s">
        <v>195</v>
      </c>
      <c r="Q2323" s="8" t="s">
        <v>196</v>
      </c>
      <c r="R2323" s="8" t="s">
        <v>394</v>
      </c>
      <c r="S2323" s="8"/>
      <c r="T2323" s="8"/>
      <c r="U2323" s="8" t="s">
        <v>384</v>
      </c>
      <c r="V2323" s="8"/>
      <c r="W2323" s="8" t="s">
        <v>380</v>
      </c>
      <c r="X2323" s="8" t="s">
        <v>99</v>
      </c>
      <c r="Y2323" s="8" t="s">
        <v>23</v>
      </c>
    </row>
    <row r="2324" spans="1:25" s="7" customFormat="1" hidden="1" x14ac:dyDescent="0.25">
      <c r="A2324" s="273" t="s">
        <v>322</v>
      </c>
      <c r="B2324" s="251">
        <v>45993</v>
      </c>
      <c r="C2324" s="252" t="s">
        <v>782</v>
      </c>
      <c r="D2324" s="252" t="s">
        <v>1293</v>
      </c>
      <c r="E2324" s="253">
        <v>500000</v>
      </c>
      <c r="F2324" s="253">
        <v>0</v>
      </c>
      <c r="G2324" s="274">
        <f>Tabla3[[#This Row],[INGRESOS]]-Tabla3[[#This Row],[EGRESOS]]</f>
        <v>-500000</v>
      </c>
      <c r="H2324" s="274">
        <v>-8843988.9600000009</v>
      </c>
      <c r="I2324" s="135">
        <v>1410</v>
      </c>
      <c r="J2324" s="136">
        <f>Tabla3[[#This Row],[EGRESOS]]/Tabla3[[#This Row],[TC]]</f>
        <v>354.6099290780142</v>
      </c>
      <c r="K2324" s="136">
        <f>Tabla3[[#This Row],[INGRESOS]]/Tabla3[[#This Row],[TC]]</f>
        <v>0</v>
      </c>
      <c r="L2324" s="8" t="s">
        <v>376</v>
      </c>
      <c r="M2324" s="8" t="s">
        <v>377</v>
      </c>
      <c r="N2324" s="8" t="s">
        <v>20</v>
      </c>
      <c r="O2324" s="8" t="s">
        <v>215</v>
      </c>
      <c r="P2324" s="8" t="s">
        <v>223</v>
      </c>
      <c r="Q2324" s="8" t="s">
        <v>224</v>
      </c>
      <c r="R2324" s="8" t="s">
        <v>328</v>
      </c>
      <c r="S2324" s="8" t="s">
        <v>631</v>
      </c>
      <c r="T2324" s="8" t="s">
        <v>1294</v>
      </c>
      <c r="U2324" s="8" t="s">
        <v>412</v>
      </c>
      <c r="V2324" s="8"/>
      <c r="W2324" s="8" t="s">
        <v>380</v>
      </c>
      <c r="X2324" s="8" t="s">
        <v>41</v>
      </c>
      <c r="Y2324" s="8" t="s">
        <v>23</v>
      </c>
    </row>
    <row r="2325" spans="1:25" s="7" customFormat="1" hidden="1" x14ac:dyDescent="0.25">
      <c r="A2325" s="273" t="s">
        <v>322</v>
      </c>
      <c r="B2325" s="251">
        <v>45993</v>
      </c>
      <c r="C2325" s="252" t="s">
        <v>817</v>
      </c>
      <c r="D2325" s="252" t="s">
        <v>1295</v>
      </c>
      <c r="E2325" s="253">
        <v>753429.74</v>
      </c>
      <c r="F2325" s="253">
        <v>0</v>
      </c>
      <c r="G2325" s="274">
        <f>Tabla3[[#This Row],[INGRESOS]]-Tabla3[[#This Row],[EGRESOS]]</f>
        <v>-753429.74</v>
      </c>
      <c r="H2325" s="274">
        <v>-9597418.6999999993</v>
      </c>
      <c r="I2325" s="135">
        <v>1410</v>
      </c>
      <c r="J2325" s="136">
        <f>Tabla3[[#This Row],[EGRESOS]]/Tabla3[[#This Row],[TC]]</f>
        <v>534.34733333333338</v>
      </c>
      <c r="K2325" s="136">
        <f>Tabla3[[#This Row],[INGRESOS]]/Tabla3[[#This Row],[TC]]</f>
        <v>0</v>
      </c>
      <c r="L2325" s="8" t="s">
        <v>376</v>
      </c>
      <c r="M2325" s="8" t="s">
        <v>377</v>
      </c>
      <c r="N2325" s="8" t="s">
        <v>20</v>
      </c>
      <c r="O2325" s="8" t="s">
        <v>225</v>
      </c>
      <c r="P2325" s="8" t="s">
        <v>226</v>
      </c>
      <c r="Q2325" s="8" t="s">
        <v>230</v>
      </c>
      <c r="R2325" s="8"/>
      <c r="S2325" s="8" t="s">
        <v>640</v>
      </c>
      <c r="T2325" s="8" t="s">
        <v>1296</v>
      </c>
      <c r="U2325" s="8" t="s">
        <v>412</v>
      </c>
      <c r="V2325" s="8"/>
      <c r="W2325" s="8" t="s">
        <v>380</v>
      </c>
      <c r="X2325" s="8" t="s">
        <v>29</v>
      </c>
      <c r="Y2325" s="8" t="s">
        <v>23</v>
      </c>
    </row>
    <row r="2326" spans="1:25" s="7" customFormat="1" hidden="1" x14ac:dyDescent="0.25">
      <c r="A2326" s="273" t="s">
        <v>322</v>
      </c>
      <c r="B2326" s="251">
        <v>45993</v>
      </c>
      <c r="C2326" s="252" t="s">
        <v>817</v>
      </c>
      <c r="D2326" s="252" t="s">
        <v>1297</v>
      </c>
      <c r="E2326" s="253">
        <v>529000</v>
      </c>
      <c r="F2326" s="253">
        <v>0</v>
      </c>
      <c r="G2326" s="274">
        <f>Tabla3[[#This Row],[INGRESOS]]-Tabla3[[#This Row],[EGRESOS]]</f>
        <v>-529000</v>
      </c>
      <c r="H2326" s="274">
        <v>-10126418.699999999</v>
      </c>
      <c r="I2326" s="135">
        <v>1410</v>
      </c>
      <c r="J2326" s="136">
        <f>Tabla3[[#This Row],[EGRESOS]]/Tabla3[[#This Row],[TC]]</f>
        <v>375.17730496453902</v>
      </c>
      <c r="K2326" s="136">
        <f>Tabla3[[#This Row],[INGRESOS]]/Tabla3[[#This Row],[TC]]</f>
        <v>0</v>
      </c>
      <c r="L2326" s="8" t="s">
        <v>376</v>
      </c>
      <c r="M2326" s="8" t="s">
        <v>377</v>
      </c>
      <c r="N2326" s="8" t="s">
        <v>20</v>
      </c>
      <c r="O2326" s="8" t="s">
        <v>286</v>
      </c>
      <c r="P2326" s="8" t="s">
        <v>287</v>
      </c>
      <c r="Q2326" s="8" t="s">
        <v>217</v>
      </c>
      <c r="R2326" s="8" t="s">
        <v>188</v>
      </c>
      <c r="S2326" s="8" t="s">
        <v>656</v>
      </c>
      <c r="T2326" s="8" t="s">
        <v>1288</v>
      </c>
      <c r="U2326" s="8" t="s">
        <v>412</v>
      </c>
      <c r="V2326" s="8"/>
      <c r="W2326" s="8" t="s">
        <v>475</v>
      </c>
      <c r="X2326" s="8" t="s">
        <v>29</v>
      </c>
      <c r="Y2326" s="8" t="s">
        <v>23</v>
      </c>
    </row>
    <row r="2327" spans="1:25" s="7" customFormat="1" hidden="1" x14ac:dyDescent="0.25">
      <c r="A2327" s="273" t="s">
        <v>322</v>
      </c>
      <c r="B2327" s="251">
        <v>45993</v>
      </c>
      <c r="C2327" s="252" t="s">
        <v>810</v>
      </c>
      <c r="D2327" s="252"/>
      <c r="E2327" s="253">
        <v>0</v>
      </c>
      <c r="F2327" s="253">
        <v>200000</v>
      </c>
      <c r="G2327" s="274">
        <f>Tabla3[[#This Row],[INGRESOS]]-Tabla3[[#This Row],[EGRESOS]]</f>
        <v>200000</v>
      </c>
      <c r="H2327" s="274">
        <v>-9926418.6999999993</v>
      </c>
      <c r="I2327" s="135">
        <v>1410</v>
      </c>
      <c r="J2327" s="136">
        <f>Tabla3[[#This Row],[EGRESOS]]/Tabla3[[#This Row],[TC]]</f>
        <v>0</v>
      </c>
      <c r="K2327" s="136">
        <f>Tabla3[[#This Row],[INGRESOS]]/Tabla3[[#This Row],[TC]]</f>
        <v>141.84397163120568</v>
      </c>
      <c r="L2327" s="8" t="s">
        <v>376</v>
      </c>
      <c r="M2327" s="8" t="s">
        <v>377</v>
      </c>
      <c r="N2327" s="8" t="s">
        <v>20</v>
      </c>
      <c r="O2327" s="8" t="s">
        <v>244</v>
      </c>
      <c r="P2327" s="8" t="s">
        <v>259</v>
      </c>
      <c r="Q2327" s="8" t="s">
        <v>260</v>
      </c>
      <c r="R2327" s="8" t="s">
        <v>447</v>
      </c>
      <c r="S2327" s="8"/>
      <c r="T2327" s="8"/>
      <c r="U2327" s="8" t="s">
        <v>379</v>
      </c>
      <c r="V2327" s="8"/>
      <c r="W2327" s="8"/>
      <c r="X2327" s="8"/>
      <c r="Y2327" s="8"/>
    </row>
    <row r="2328" spans="1:25" s="7" customFormat="1" hidden="1" x14ac:dyDescent="0.25">
      <c r="A2328" s="273" t="s">
        <v>322</v>
      </c>
      <c r="B2328" s="251">
        <v>45993</v>
      </c>
      <c r="C2328" s="252" t="s">
        <v>762</v>
      </c>
      <c r="D2328" s="252"/>
      <c r="E2328" s="253">
        <v>3549</v>
      </c>
      <c r="F2328" s="253">
        <v>0</v>
      </c>
      <c r="G2328" s="274">
        <f>Tabla3[[#This Row],[INGRESOS]]-Tabla3[[#This Row],[EGRESOS]]</f>
        <v>-3549</v>
      </c>
      <c r="H2328" s="274">
        <v>-9929967.6999999993</v>
      </c>
      <c r="I2328" s="135">
        <v>1410</v>
      </c>
      <c r="J2328" s="136">
        <f>Tabla3[[#This Row],[EGRESOS]]/Tabla3[[#This Row],[TC]]</f>
        <v>2.5170212765957447</v>
      </c>
      <c r="K2328" s="136">
        <f>Tabla3[[#This Row],[INGRESOS]]/Tabla3[[#This Row],[TC]]</f>
        <v>0</v>
      </c>
      <c r="L2328" s="8" t="s">
        <v>376</v>
      </c>
      <c r="M2328" s="8" t="s">
        <v>377</v>
      </c>
      <c r="N2328" s="8" t="s">
        <v>20</v>
      </c>
      <c r="O2328" s="8" t="s">
        <v>184</v>
      </c>
      <c r="P2328" s="8" t="s">
        <v>195</v>
      </c>
      <c r="Q2328" s="8" t="s">
        <v>196</v>
      </c>
      <c r="R2328" s="8" t="s">
        <v>382</v>
      </c>
      <c r="S2328" s="8"/>
      <c r="T2328" s="8"/>
      <c r="U2328" s="8" t="s">
        <v>384</v>
      </c>
      <c r="V2328" s="8"/>
      <c r="W2328" s="8" t="s">
        <v>380</v>
      </c>
      <c r="X2328" s="8" t="s">
        <v>99</v>
      </c>
      <c r="Y2328" s="8" t="s">
        <v>23</v>
      </c>
    </row>
    <row r="2329" spans="1:25" s="7" customFormat="1" hidden="1" x14ac:dyDescent="0.25">
      <c r="A2329" s="273" t="s">
        <v>322</v>
      </c>
      <c r="B2329" s="251">
        <v>45993</v>
      </c>
      <c r="C2329" s="252" t="s">
        <v>763</v>
      </c>
      <c r="D2329" s="252"/>
      <c r="E2329" s="253">
        <v>507</v>
      </c>
      <c r="F2329" s="253">
        <v>0</v>
      </c>
      <c r="G2329" s="274">
        <f>Tabla3[[#This Row],[INGRESOS]]-Tabla3[[#This Row],[EGRESOS]]</f>
        <v>-507</v>
      </c>
      <c r="H2329" s="274">
        <v>-9930474.6999999993</v>
      </c>
      <c r="I2329" s="135">
        <v>1410</v>
      </c>
      <c r="J2329" s="136">
        <f>Tabla3[[#This Row],[EGRESOS]]/Tabla3[[#This Row],[TC]]</f>
        <v>0.3595744680851064</v>
      </c>
      <c r="K2329" s="136">
        <f>Tabla3[[#This Row],[INGRESOS]]/Tabla3[[#This Row],[TC]]</f>
        <v>0</v>
      </c>
      <c r="L2329" s="8" t="s">
        <v>376</v>
      </c>
      <c r="M2329" s="8" t="s">
        <v>377</v>
      </c>
      <c r="N2329" s="8" t="s">
        <v>20</v>
      </c>
      <c r="O2329" s="8" t="s">
        <v>184</v>
      </c>
      <c r="P2329" s="8" t="s">
        <v>195</v>
      </c>
      <c r="Q2329" s="8" t="s">
        <v>196</v>
      </c>
      <c r="R2329" s="8" t="s">
        <v>417</v>
      </c>
      <c r="S2329" s="8" t="s">
        <v>383</v>
      </c>
      <c r="T2329" s="8"/>
      <c r="U2329" s="8" t="s">
        <v>384</v>
      </c>
      <c r="V2329" s="8"/>
      <c r="W2329" s="8" t="s">
        <v>380</v>
      </c>
      <c r="X2329" s="8" t="s">
        <v>99</v>
      </c>
      <c r="Y2329" s="8" t="s">
        <v>23</v>
      </c>
    </row>
    <row r="2330" spans="1:25" s="7" customFormat="1" hidden="1" x14ac:dyDescent="0.25">
      <c r="A2330" s="273" t="s">
        <v>322</v>
      </c>
      <c r="B2330" s="251">
        <v>45993</v>
      </c>
      <c r="C2330" s="252" t="s">
        <v>794</v>
      </c>
      <c r="D2330" s="252"/>
      <c r="E2330" s="253">
        <v>16900</v>
      </c>
      <c r="F2330" s="253">
        <v>0</v>
      </c>
      <c r="G2330" s="274">
        <f>Tabla3[[#This Row],[INGRESOS]]-Tabla3[[#This Row],[EGRESOS]]</f>
        <v>-16900</v>
      </c>
      <c r="H2330" s="274">
        <v>-9947374.6999999993</v>
      </c>
      <c r="I2330" s="135">
        <v>1410</v>
      </c>
      <c r="J2330" s="136">
        <f>Tabla3[[#This Row],[EGRESOS]]/Tabla3[[#This Row],[TC]]</f>
        <v>11.98581560283688</v>
      </c>
      <c r="K2330" s="136">
        <f>Tabla3[[#This Row],[INGRESOS]]/Tabla3[[#This Row],[TC]]</f>
        <v>0</v>
      </c>
      <c r="L2330" s="8" t="s">
        <v>376</v>
      </c>
      <c r="M2330" s="8" t="s">
        <v>377</v>
      </c>
      <c r="N2330" s="8" t="s">
        <v>20</v>
      </c>
      <c r="O2330" s="8" t="s">
        <v>184</v>
      </c>
      <c r="P2330" s="8" t="s">
        <v>185</v>
      </c>
      <c r="Q2330" s="8" t="s">
        <v>186</v>
      </c>
      <c r="R2330" s="8"/>
      <c r="S2330" s="8"/>
      <c r="T2330" s="8"/>
      <c r="U2330" s="8" t="s">
        <v>384</v>
      </c>
      <c r="V2330" s="8"/>
      <c r="W2330" s="8" t="s">
        <v>380</v>
      </c>
      <c r="X2330" s="8" t="s">
        <v>99</v>
      </c>
      <c r="Y2330" s="8" t="s">
        <v>23</v>
      </c>
    </row>
    <row r="2331" spans="1:25" s="7" customFormat="1" hidden="1" x14ac:dyDescent="0.25">
      <c r="A2331" s="273" t="s">
        <v>322</v>
      </c>
      <c r="B2331" s="251">
        <v>45993</v>
      </c>
      <c r="C2331" s="252" t="s">
        <v>773</v>
      </c>
      <c r="D2331" s="252"/>
      <c r="E2331" s="253">
        <v>10820.32</v>
      </c>
      <c r="F2331" s="253">
        <v>0</v>
      </c>
      <c r="G2331" s="274">
        <f>Tabla3[[#This Row],[INGRESOS]]-Tabla3[[#This Row],[EGRESOS]]</f>
        <v>-10820.32</v>
      </c>
      <c r="H2331" s="274">
        <v>-9958195.0199999996</v>
      </c>
      <c r="I2331" s="135">
        <v>1410</v>
      </c>
      <c r="J2331" s="136">
        <f>Tabla3[[#This Row],[EGRESOS]]/Tabla3[[#This Row],[TC]]</f>
        <v>7.6739858156028369</v>
      </c>
      <c r="K2331" s="136">
        <f>Tabla3[[#This Row],[INGRESOS]]/Tabla3[[#This Row],[TC]]</f>
        <v>0</v>
      </c>
      <c r="L2331" s="8" t="s">
        <v>376</v>
      </c>
      <c r="M2331" s="8" t="s">
        <v>377</v>
      </c>
      <c r="N2331" s="8" t="s">
        <v>20</v>
      </c>
      <c r="O2331" s="8" t="s">
        <v>184</v>
      </c>
      <c r="P2331" s="8" t="s">
        <v>195</v>
      </c>
      <c r="Q2331" s="8" t="s">
        <v>196</v>
      </c>
      <c r="R2331" s="8" t="s">
        <v>394</v>
      </c>
      <c r="S2331" s="8"/>
      <c r="T2331" s="8"/>
      <c r="U2331" s="8" t="s">
        <v>384</v>
      </c>
      <c r="V2331" s="8"/>
      <c r="W2331" s="8" t="s">
        <v>380</v>
      </c>
      <c r="X2331" s="8" t="s">
        <v>99</v>
      </c>
      <c r="Y2331" s="8" t="s">
        <v>23</v>
      </c>
    </row>
    <row r="2332" spans="1:25" s="7" customFormat="1" hidden="1" x14ac:dyDescent="0.25">
      <c r="A2332" s="273" t="s">
        <v>322</v>
      </c>
      <c r="B2332" s="251">
        <v>45994</v>
      </c>
      <c r="C2332" s="252" t="s">
        <v>782</v>
      </c>
      <c r="D2332" s="252" t="s">
        <v>1298</v>
      </c>
      <c r="E2332" s="253">
        <v>957363.82</v>
      </c>
      <c r="F2332" s="253">
        <v>0</v>
      </c>
      <c r="G2332" s="274">
        <f>Tabla3[[#This Row],[INGRESOS]]-Tabla3[[#This Row],[EGRESOS]]</f>
        <v>-957363.82</v>
      </c>
      <c r="H2332" s="274">
        <v>-10915558.84</v>
      </c>
      <c r="I2332" s="135">
        <v>1410</v>
      </c>
      <c r="J2332" s="136">
        <f>Tabla3[[#This Row],[EGRESOS]]/Tabla3[[#This Row],[TC]]</f>
        <v>678.98143262411349</v>
      </c>
      <c r="K2332" s="136">
        <f>Tabla3[[#This Row],[INGRESOS]]/Tabla3[[#This Row],[TC]]</f>
        <v>0</v>
      </c>
      <c r="L2332" s="8" t="s">
        <v>376</v>
      </c>
      <c r="M2332" s="8" t="s">
        <v>377</v>
      </c>
      <c r="N2332" s="8" t="s">
        <v>20</v>
      </c>
      <c r="O2332" s="8" t="s">
        <v>215</v>
      </c>
      <c r="P2332" s="8" t="s">
        <v>216</v>
      </c>
      <c r="Q2332" s="8" t="s">
        <v>220</v>
      </c>
      <c r="R2332" s="8" t="s">
        <v>329</v>
      </c>
      <c r="S2332" s="8" t="s">
        <v>634</v>
      </c>
      <c r="T2332" s="8" t="s">
        <v>746</v>
      </c>
      <c r="U2332" s="8" t="s">
        <v>412</v>
      </c>
      <c r="V2332" s="8"/>
      <c r="W2332" s="8" t="s">
        <v>380</v>
      </c>
      <c r="X2332" s="8" t="s">
        <v>29</v>
      </c>
      <c r="Y2332" s="8" t="s">
        <v>23</v>
      </c>
    </row>
    <row r="2333" spans="1:25" s="7" customFormat="1" hidden="1" x14ac:dyDescent="0.25">
      <c r="A2333" s="273" t="s">
        <v>322</v>
      </c>
      <c r="B2333" s="251">
        <v>45994</v>
      </c>
      <c r="C2333" s="252" t="s">
        <v>1299</v>
      </c>
      <c r="D2333" s="252"/>
      <c r="E2333" s="253">
        <v>0</v>
      </c>
      <c r="F2333" s="253">
        <v>1000000</v>
      </c>
      <c r="G2333" s="274">
        <f>Tabla3[[#This Row],[INGRESOS]]-Tabla3[[#This Row],[EGRESOS]]</f>
        <v>1000000</v>
      </c>
      <c r="H2333" s="274">
        <v>-9915558.8399999999</v>
      </c>
      <c r="I2333" s="135">
        <v>1410</v>
      </c>
      <c r="J2333" s="136">
        <f>Tabla3[[#This Row],[EGRESOS]]/Tabla3[[#This Row],[TC]]</f>
        <v>0</v>
      </c>
      <c r="K2333" s="136">
        <f>Tabla3[[#This Row],[INGRESOS]]/Tabla3[[#This Row],[TC]]</f>
        <v>709.21985815602841</v>
      </c>
      <c r="L2333" s="8" t="s">
        <v>376</v>
      </c>
      <c r="M2333" s="8" t="s">
        <v>377</v>
      </c>
      <c r="N2333" s="8" t="s">
        <v>20</v>
      </c>
      <c r="O2333" s="8" t="s">
        <v>244</v>
      </c>
      <c r="P2333" s="8" t="s">
        <v>259</v>
      </c>
      <c r="Q2333" s="8" t="s">
        <v>260</v>
      </c>
      <c r="R2333" s="8" t="s">
        <v>447</v>
      </c>
      <c r="S2333" s="8"/>
      <c r="T2333" s="8"/>
      <c r="U2333" s="8" t="s">
        <v>379</v>
      </c>
      <c r="V2333" s="8"/>
      <c r="W2333" s="8"/>
      <c r="X2333" s="8"/>
      <c r="Y2333" s="8"/>
    </row>
    <row r="2334" spans="1:25" s="7" customFormat="1" hidden="1" x14ac:dyDescent="0.25">
      <c r="A2334" s="273" t="s">
        <v>322</v>
      </c>
      <c r="B2334" s="251">
        <v>45994</v>
      </c>
      <c r="C2334" s="252" t="s">
        <v>762</v>
      </c>
      <c r="D2334" s="252"/>
      <c r="E2334" s="253">
        <v>3549</v>
      </c>
      <c r="F2334" s="253">
        <v>0</v>
      </c>
      <c r="G2334" s="274">
        <f>Tabla3[[#This Row],[INGRESOS]]-Tabla3[[#This Row],[EGRESOS]]</f>
        <v>-3549</v>
      </c>
      <c r="H2334" s="274">
        <v>-9919107.8399999999</v>
      </c>
      <c r="I2334" s="135">
        <v>1410</v>
      </c>
      <c r="J2334" s="136">
        <f>Tabla3[[#This Row],[EGRESOS]]/Tabla3[[#This Row],[TC]]</f>
        <v>2.5170212765957447</v>
      </c>
      <c r="K2334" s="136">
        <f>Tabla3[[#This Row],[INGRESOS]]/Tabla3[[#This Row],[TC]]</f>
        <v>0</v>
      </c>
      <c r="L2334" s="8" t="s">
        <v>376</v>
      </c>
      <c r="M2334" s="8" t="s">
        <v>377</v>
      </c>
      <c r="N2334" s="8" t="s">
        <v>20</v>
      </c>
      <c r="O2334" s="8" t="s">
        <v>184</v>
      </c>
      <c r="P2334" s="8" t="s">
        <v>195</v>
      </c>
      <c r="Q2334" s="8" t="s">
        <v>196</v>
      </c>
      <c r="R2334" s="8" t="s">
        <v>382</v>
      </c>
      <c r="S2334" s="8"/>
      <c r="T2334" s="8"/>
      <c r="U2334" s="8" t="s">
        <v>384</v>
      </c>
      <c r="V2334" s="8"/>
      <c r="W2334" s="8" t="s">
        <v>380</v>
      </c>
      <c r="X2334" s="8" t="s">
        <v>99</v>
      </c>
      <c r="Y2334" s="8" t="s">
        <v>23</v>
      </c>
    </row>
    <row r="2335" spans="1:25" s="7" customFormat="1" hidden="1" x14ac:dyDescent="0.25">
      <c r="A2335" s="273" t="s">
        <v>322</v>
      </c>
      <c r="B2335" s="251">
        <v>45994</v>
      </c>
      <c r="C2335" s="252" t="s">
        <v>763</v>
      </c>
      <c r="D2335" s="252"/>
      <c r="E2335" s="253">
        <v>507</v>
      </c>
      <c r="F2335" s="253">
        <v>0</v>
      </c>
      <c r="G2335" s="274">
        <f>Tabla3[[#This Row],[INGRESOS]]-Tabla3[[#This Row],[EGRESOS]]</f>
        <v>-507</v>
      </c>
      <c r="H2335" s="274">
        <v>-9919614.8399999999</v>
      </c>
      <c r="I2335" s="135">
        <v>1410</v>
      </c>
      <c r="J2335" s="136">
        <f>Tabla3[[#This Row],[EGRESOS]]/Tabla3[[#This Row],[TC]]</f>
        <v>0.3595744680851064</v>
      </c>
      <c r="K2335" s="136">
        <f>Tabla3[[#This Row],[INGRESOS]]/Tabla3[[#This Row],[TC]]</f>
        <v>0</v>
      </c>
      <c r="L2335" s="8" t="s">
        <v>376</v>
      </c>
      <c r="M2335" s="8" t="s">
        <v>377</v>
      </c>
      <c r="N2335" s="8" t="s">
        <v>20</v>
      </c>
      <c r="O2335" s="8" t="s">
        <v>184</v>
      </c>
      <c r="P2335" s="8" t="s">
        <v>195</v>
      </c>
      <c r="Q2335" s="8" t="s">
        <v>196</v>
      </c>
      <c r="R2335" s="8" t="s">
        <v>417</v>
      </c>
      <c r="S2335" s="8" t="s">
        <v>383</v>
      </c>
      <c r="T2335" s="8"/>
      <c r="U2335" s="8" t="s">
        <v>384</v>
      </c>
      <c r="V2335" s="8"/>
      <c r="W2335" s="8" t="s">
        <v>380</v>
      </c>
      <c r="X2335" s="8" t="s">
        <v>99</v>
      </c>
      <c r="Y2335" s="8" t="s">
        <v>23</v>
      </c>
    </row>
    <row r="2336" spans="1:25" s="7" customFormat="1" hidden="1" x14ac:dyDescent="0.25">
      <c r="A2336" s="273" t="s">
        <v>322</v>
      </c>
      <c r="B2336" s="251">
        <v>45994</v>
      </c>
      <c r="C2336" s="252" t="s">
        <v>794</v>
      </c>
      <c r="D2336" s="252"/>
      <c r="E2336" s="253">
        <v>16900</v>
      </c>
      <c r="F2336" s="253">
        <v>0</v>
      </c>
      <c r="G2336" s="274">
        <f>Tabla3[[#This Row],[INGRESOS]]-Tabla3[[#This Row],[EGRESOS]]</f>
        <v>-16900</v>
      </c>
      <c r="H2336" s="274">
        <v>-9936514.8399999999</v>
      </c>
      <c r="I2336" s="135">
        <v>1410</v>
      </c>
      <c r="J2336" s="136">
        <f>Tabla3[[#This Row],[EGRESOS]]/Tabla3[[#This Row],[TC]]</f>
        <v>11.98581560283688</v>
      </c>
      <c r="K2336" s="136">
        <f>Tabla3[[#This Row],[INGRESOS]]/Tabla3[[#This Row],[TC]]</f>
        <v>0</v>
      </c>
      <c r="L2336" s="8" t="s">
        <v>376</v>
      </c>
      <c r="M2336" s="8" t="s">
        <v>377</v>
      </c>
      <c r="N2336" s="8" t="s">
        <v>20</v>
      </c>
      <c r="O2336" s="8" t="s">
        <v>184</v>
      </c>
      <c r="P2336" s="8" t="s">
        <v>185</v>
      </c>
      <c r="Q2336" s="8" t="s">
        <v>186</v>
      </c>
      <c r="R2336" s="8"/>
      <c r="S2336" s="8"/>
      <c r="T2336" s="8"/>
      <c r="U2336" s="8" t="s">
        <v>384</v>
      </c>
      <c r="V2336" s="8"/>
      <c r="W2336" s="8" t="s">
        <v>380</v>
      </c>
      <c r="X2336" s="8" t="s">
        <v>99</v>
      </c>
      <c r="Y2336" s="8" t="s">
        <v>23</v>
      </c>
    </row>
    <row r="2337" spans="1:25" s="7" customFormat="1" hidden="1" x14ac:dyDescent="0.25">
      <c r="A2337" s="273" t="s">
        <v>322</v>
      </c>
      <c r="B2337" s="251">
        <v>45994</v>
      </c>
      <c r="C2337" s="252" t="s">
        <v>773</v>
      </c>
      <c r="D2337" s="252"/>
      <c r="E2337" s="253">
        <v>5869.92</v>
      </c>
      <c r="F2337" s="253">
        <v>0</v>
      </c>
      <c r="G2337" s="274">
        <f>Tabla3[[#This Row],[INGRESOS]]-Tabla3[[#This Row],[EGRESOS]]</f>
        <v>-5869.92</v>
      </c>
      <c r="H2337" s="274">
        <v>-9942384.7599999998</v>
      </c>
      <c r="I2337" s="135">
        <v>1410</v>
      </c>
      <c r="J2337" s="136">
        <f>Tabla3[[#This Row],[EGRESOS]]/Tabla3[[#This Row],[TC]]</f>
        <v>4.1630638297872338</v>
      </c>
      <c r="K2337" s="136">
        <f>Tabla3[[#This Row],[INGRESOS]]/Tabla3[[#This Row],[TC]]</f>
        <v>0</v>
      </c>
      <c r="L2337" s="8" t="s">
        <v>376</v>
      </c>
      <c r="M2337" s="8" t="s">
        <v>377</v>
      </c>
      <c r="N2337" s="8" t="s">
        <v>20</v>
      </c>
      <c r="O2337" s="8" t="s">
        <v>184</v>
      </c>
      <c r="P2337" s="8" t="s">
        <v>195</v>
      </c>
      <c r="Q2337" s="8" t="s">
        <v>196</v>
      </c>
      <c r="R2337" s="8" t="s">
        <v>394</v>
      </c>
      <c r="S2337" s="8"/>
      <c r="T2337" s="8"/>
      <c r="U2337" s="8" t="s">
        <v>384</v>
      </c>
      <c r="V2337" s="8"/>
      <c r="W2337" s="8" t="s">
        <v>380</v>
      </c>
      <c r="X2337" s="8" t="s">
        <v>99</v>
      </c>
      <c r="Y2337" s="8" t="s">
        <v>23</v>
      </c>
    </row>
    <row r="2338" spans="1:25" s="7" customFormat="1" hidden="1" x14ac:dyDescent="0.25">
      <c r="A2338" s="273" t="s">
        <v>322</v>
      </c>
      <c r="B2338" s="251">
        <v>45996</v>
      </c>
      <c r="C2338" s="252" t="s">
        <v>762</v>
      </c>
      <c r="D2338" s="252"/>
      <c r="E2338" s="253">
        <v>18963</v>
      </c>
      <c r="F2338" s="253">
        <v>0</v>
      </c>
      <c r="G2338" s="274">
        <f>Tabla3[[#This Row],[INGRESOS]]-Tabla3[[#This Row],[EGRESOS]]</f>
        <v>-18963</v>
      </c>
      <c r="H2338" s="274">
        <v>-9961347.7599999998</v>
      </c>
      <c r="I2338" s="135">
        <v>1410</v>
      </c>
      <c r="J2338" s="136">
        <f>Tabla3[[#This Row],[EGRESOS]]/Tabla3[[#This Row],[TC]]</f>
        <v>13.448936170212766</v>
      </c>
      <c r="K2338" s="136">
        <f>Tabla3[[#This Row],[INGRESOS]]/Tabla3[[#This Row],[TC]]</f>
        <v>0</v>
      </c>
      <c r="L2338" s="8" t="s">
        <v>376</v>
      </c>
      <c r="M2338" s="8" t="s">
        <v>377</v>
      </c>
      <c r="N2338" s="8" t="s">
        <v>20</v>
      </c>
      <c r="O2338" s="8" t="s">
        <v>184</v>
      </c>
      <c r="P2338" s="8" t="s">
        <v>195</v>
      </c>
      <c r="Q2338" s="8" t="s">
        <v>196</v>
      </c>
      <c r="R2338" s="8" t="s">
        <v>382</v>
      </c>
      <c r="S2338" s="8"/>
      <c r="T2338" s="8"/>
      <c r="U2338" s="8" t="s">
        <v>384</v>
      </c>
      <c r="V2338" s="8"/>
      <c r="W2338" s="8" t="s">
        <v>380</v>
      </c>
      <c r="X2338" s="8" t="s">
        <v>99</v>
      </c>
      <c r="Y2338" s="8" t="s">
        <v>23</v>
      </c>
    </row>
    <row r="2339" spans="1:25" s="7" customFormat="1" hidden="1" x14ac:dyDescent="0.25">
      <c r="A2339" s="273" t="s">
        <v>322</v>
      </c>
      <c r="B2339" s="251">
        <v>45996</v>
      </c>
      <c r="C2339" s="252" t="s">
        <v>763</v>
      </c>
      <c r="D2339" s="252"/>
      <c r="E2339" s="253">
        <v>2709</v>
      </c>
      <c r="F2339" s="253">
        <v>0</v>
      </c>
      <c r="G2339" s="274">
        <f>Tabla3[[#This Row],[INGRESOS]]-Tabla3[[#This Row],[EGRESOS]]</f>
        <v>-2709</v>
      </c>
      <c r="H2339" s="274">
        <v>-9964056.7599999998</v>
      </c>
      <c r="I2339" s="135">
        <v>1410</v>
      </c>
      <c r="J2339" s="136">
        <f>Tabla3[[#This Row],[EGRESOS]]/Tabla3[[#This Row],[TC]]</f>
        <v>1.9212765957446809</v>
      </c>
      <c r="K2339" s="136">
        <f>Tabla3[[#This Row],[INGRESOS]]/Tabla3[[#This Row],[TC]]</f>
        <v>0</v>
      </c>
      <c r="L2339" s="8" t="s">
        <v>376</v>
      </c>
      <c r="M2339" s="8" t="s">
        <v>377</v>
      </c>
      <c r="N2339" s="8" t="s">
        <v>20</v>
      </c>
      <c r="O2339" s="8" t="s">
        <v>184</v>
      </c>
      <c r="P2339" s="8" t="s">
        <v>195</v>
      </c>
      <c r="Q2339" s="8" t="s">
        <v>196</v>
      </c>
      <c r="R2339" s="8" t="s">
        <v>417</v>
      </c>
      <c r="S2339" s="8" t="s">
        <v>383</v>
      </c>
      <c r="T2339" s="8"/>
      <c r="U2339" s="8" t="s">
        <v>384</v>
      </c>
      <c r="V2339" s="8"/>
      <c r="W2339" s="8" t="s">
        <v>380</v>
      </c>
      <c r="X2339" s="8" t="s">
        <v>99</v>
      </c>
      <c r="Y2339" s="8" t="s">
        <v>23</v>
      </c>
    </row>
    <row r="2340" spans="1:25" s="7" customFormat="1" hidden="1" x14ac:dyDescent="0.25">
      <c r="A2340" s="273" t="s">
        <v>322</v>
      </c>
      <c r="B2340" s="251">
        <v>45996</v>
      </c>
      <c r="C2340" s="252" t="s">
        <v>803</v>
      </c>
      <c r="D2340" s="252"/>
      <c r="E2340" s="253">
        <v>90300</v>
      </c>
      <c r="F2340" s="253">
        <v>0</v>
      </c>
      <c r="G2340" s="274">
        <f>Tabla3[[#This Row],[INGRESOS]]-Tabla3[[#This Row],[EGRESOS]]</f>
        <v>-90300</v>
      </c>
      <c r="H2340" s="274">
        <v>-10054356.76</v>
      </c>
      <c r="I2340" s="135">
        <v>1410</v>
      </c>
      <c r="J2340" s="136">
        <f>Tabla3[[#This Row],[EGRESOS]]/Tabla3[[#This Row],[TC]]</f>
        <v>64.042553191489361</v>
      </c>
      <c r="K2340" s="136">
        <f>Tabla3[[#This Row],[INGRESOS]]/Tabla3[[#This Row],[TC]]</f>
        <v>0</v>
      </c>
      <c r="L2340" s="8" t="s">
        <v>376</v>
      </c>
      <c r="M2340" s="8" t="s">
        <v>377</v>
      </c>
      <c r="N2340" s="8" t="s">
        <v>20</v>
      </c>
      <c r="O2340" s="8" t="s">
        <v>184</v>
      </c>
      <c r="P2340" s="8" t="s">
        <v>185</v>
      </c>
      <c r="Q2340" s="8" t="s">
        <v>186</v>
      </c>
      <c r="R2340" s="8"/>
      <c r="S2340" s="8"/>
      <c r="T2340" s="8"/>
      <c r="U2340" s="8" t="s">
        <v>384</v>
      </c>
      <c r="V2340" s="8"/>
      <c r="W2340" s="8" t="s">
        <v>380</v>
      </c>
      <c r="X2340" s="8" t="s">
        <v>99</v>
      </c>
      <c r="Y2340" s="8" t="s">
        <v>23</v>
      </c>
    </row>
    <row r="2341" spans="1:25" s="7" customFormat="1" hidden="1" x14ac:dyDescent="0.25">
      <c r="A2341" s="273" t="s">
        <v>322</v>
      </c>
      <c r="B2341" s="251">
        <v>45996</v>
      </c>
      <c r="C2341" s="252" t="s">
        <v>773</v>
      </c>
      <c r="D2341" s="252"/>
      <c r="E2341" s="253">
        <v>671.83</v>
      </c>
      <c r="F2341" s="253">
        <v>0</v>
      </c>
      <c r="G2341" s="274">
        <f>Tabla3[[#This Row],[INGRESOS]]-Tabla3[[#This Row],[EGRESOS]]</f>
        <v>-671.83</v>
      </c>
      <c r="H2341" s="274">
        <v>-10055028.59</v>
      </c>
      <c r="I2341" s="135">
        <v>1410</v>
      </c>
      <c r="J2341" s="136">
        <f>Tabla3[[#This Row],[EGRESOS]]/Tabla3[[#This Row],[TC]]</f>
        <v>0.47647517730496458</v>
      </c>
      <c r="K2341" s="136">
        <f>Tabla3[[#This Row],[INGRESOS]]/Tabla3[[#This Row],[TC]]</f>
        <v>0</v>
      </c>
      <c r="L2341" s="8" t="s">
        <v>376</v>
      </c>
      <c r="M2341" s="8" t="s">
        <v>377</v>
      </c>
      <c r="N2341" s="8" t="s">
        <v>20</v>
      </c>
      <c r="O2341" s="8" t="s">
        <v>184</v>
      </c>
      <c r="P2341" s="8" t="s">
        <v>195</v>
      </c>
      <c r="Q2341" s="8" t="s">
        <v>196</v>
      </c>
      <c r="R2341" s="8" t="s">
        <v>394</v>
      </c>
      <c r="S2341" s="8"/>
      <c r="T2341" s="8"/>
      <c r="U2341" s="8" t="s">
        <v>384</v>
      </c>
      <c r="V2341" s="8"/>
      <c r="W2341" s="8" t="s">
        <v>380</v>
      </c>
      <c r="X2341" s="8" t="s">
        <v>99</v>
      </c>
      <c r="Y2341" s="8" t="s">
        <v>23</v>
      </c>
    </row>
    <row r="2342" spans="1:25" s="7" customFormat="1" hidden="1" x14ac:dyDescent="0.25">
      <c r="A2342" s="273" t="s">
        <v>322</v>
      </c>
      <c r="B2342" s="251">
        <v>46000</v>
      </c>
      <c r="C2342" s="252" t="s">
        <v>782</v>
      </c>
      <c r="D2342" s="252" t="s">
        <v>1300</v>
      </c>
      <c r="E2342" s="253">
        <v>870000</v>
      </c>
      <c r="F2342" s="253">
        <v>0</v>
      </c>
      <c r="G2342" s="274">
        <f>Tabla3[[#This Row],[INGRESOS]]-Tabla3[[#This Row],[EGRESOS]]</f>
        <v>-870000</v>
      </c>
      <c r="H2342" s="274">
        <v>-10925028.59</v>
      </c>
      <c r="I2342" s="135">
        <v>1410</v>
      </c>
      <c r="J2342" s="136">
        <f>Tabla3[[#This Row],[EGRESOS]]/Tabla3[[#This Row],[TC]]</f>
        <v>617.02127659574467</v>
      </c>
      <c r="K2342" s="136">
        <f>Tabla3[[#This Row],[INGRESOS]]/Tabla3[[#This Row],[TC]]</f>
        <v>0</v>
      </c>
      <c r="L2342" s="8" t="s">
        <v>376</v>
      </c>
      <c r="M2342" s="8" t="s">
        <v>377</v>
      </c>
      <c r="N2342" s="8" t="s">
        <v>20</v>
      </c>
      <c r="O2342" s="8" t="s">
        <v>225</v>
      </c>
      <c r="P2342" s="8" t="s">
        <v>236</v>
      </c>
      <c r="Q2342" s="8" t="s">
        <v>243</v>
      </c>
      <c r="R2342" s="8"/>
      <c r="S2342" s="8" t="s">
        <v>1301</v>
      </c>
      <c r="T2342" s="8" t="s">
        <v>1302</v>
      </c>
      <c r="U2342" s="8" t="s">
        <v>412</v>
      </c>
      <c r="V2342" s="8"/>
      <c r="W2342" s="8" t="s">
        <v>475</v>
      </c>
      <c r="X2342" s="8" t="s">
        <v>29</v>
      </c>
      <c r="Y2342" s="8" t="s">
        <v>23</v>
      </c>
    </row>
    <row r="2343" spans="1:25" s="7" customFormat="1" hidden="1" x14ac:dyDescent="0.25">
      <c r="A2343" s="273" t="s">
        <v>322</v>
      </c>
      <c r="B2343" s="251">
        <v>46000</v>
      </c>
      <c r="C2343" s="252" t="s">
        <v>810</v>
      </c>
      <c r="D2343" s="252"/>
      <c r="E2343" s="253">
        <v>0</v>
      </c>
      <c r="F2343" s="253">
        <v>200000</v>
      </c>
      <c r="G2343" s="274">
        <f>Tabla3[[#This Row],[INGRESOS]]-Tabla3[[#This Row],[EGRESOS]]</f>
        <v>200000</v>
      </c>
      <c r="H2343" s="274">
        <v>-10725028.59</v>
      </c>
      <c r="I2343" s="135">
        <v>1410</v>
      </c>
      <c r="J2343" s="136">
        <f>Tabla3[[#This Row],[EGRESOS]]/Tabla3[[#This Row],[TC]]</f>
        <v>0</v>
      </c>
      <c r="K2343" s="136">
        <f>Tabla3[[#This Row],[INGRESOS]]/Tabla3[[#This Row],[TC]]</f>
        <v>141.84397163120568</v>
      </c>
      <c r="L2343" s="8" t="s">
        <v>376</v>
      </c>
      <c r="M2343" s="8" t="s">
        <v>377</v>
      </c>
      <c r="N2343" s="8" t="s">
        <v>20</v>
      </c>
      <c r="O2343" s="8" t="s">
        <v>244</v>
      </c>
      <c r="P2343" s="8" t="s">
        <v>259</v>
      </c>
      <c r="Q2343" s="8" t="s">
        <v>260</v>
      </c>
      <c r="R2343" s="8" t="s">
        <v>447</v>
      </c>
      <c r="S2343" s="8"/>
      <c r="T2343" s="8"/>
      <c r="U2343" s="8" t="s">
        <v>379</v>
      </c>
      <c r="V2343" s="8"/>
      <c r="W2343" s="8"/>
      <c r="X2343" s="8"/>
      <c r="Y2343" s="8"/>
    </row>
    <row r="2344" spans="1:25" s="7" customFormat="1" hidden="1" x14ac:dyDescent="0.25">
      <c r="A2344" s="273" t="s">
        <v>322</v>
      </c>
      <c r="B2344" s="251">
        <v>46000</v>
      </c>
      <c r="C2344" s="252" t="s">
        <v>1303</v>
      </c>
      <c r="D2344" s="252"/>
      <c r="E2344" s="253">
        <v>0</v>
      </c>
      <c r="F2344" s="253">
        <v>730000</v>
      </c>
      <c r="G2344" s="274">
        <f>Tabla3[[#This Row],[INGRESOS]]-Tabla3[[#This Row],[EGRESOS]]</f>
        <v>730000</v>
      </c>
      <c r="H2344" s="274">
        <v>-9995028.5899999999</v>
      </c>
      <c r="I2344" s="135">
        <v>1410</v>
      </c>
      <c r="J2344" s="136">
        <f>Tabla3[[#This Row],[EGRESOS]]/Tabla3[[#This Row],[TC]]</f>
        <v>0</v>
      </c>
      <c r="K2344" s="136">
        <f>Tabla3[[#This Row],[INGRESOS]]/Tabla3[[#This Row],[TC]]</f>
        <v>517.73049645390074</v>
      </c>
      <c r="L2344" s="8" t="s">
        <v>376</v>
      </c>
      <c r="M2344" s="8" t="s">
        <v>377</v>
      </c>
      <c r="N2344" s="8" t="s">
        <v>20</v>
      </c>
      <c r="O2344" s="8" t="s">
        <v>244</v>
      </c>
      <c r="P2344" s="8" t="s">
        <v>259</v>
      </c>
      <c r="Q2344" s="8" t="s">
        <v>260</v>
      </c>
      <c r="R2344" s="8" t="s">
        <v>554</v>
      </c>
      <c r="S2344" s="8"/>
      <c r="T2344" s="8"/>
      <c r="U2344" s="8" t="s">
        <v>379</v>
      </c>
      <c r="V2344" s="8"/>
      <c r="W2344" s="8"/>
      <c r="X2344" s="8"/>
      <c r="Y2344" s="8"/>
    </row>
    <row r="2345" spans="1:25" s="7" customFormat="1" hidden="1" x14ac:dyDescent="0.25">
      <c r="A2345" s="273" t="s">
        <v>322</v>
      </c>
      <c r="B2345" s="251">
        <v>46000</v>
      </c>
      <c r="C2345" s="252" t="s">
        <v>762</v>
      </c>
      <c r="D2345" s="252"/>
      <c r="E2345" s="253">
        <v>3549</v>
      </c>
      <c r="F2345" s="253">
        <v>0</v>
      </c>
      <c r="G2345" s="274">
        <f>Tabla3[[#This Row],[INGRESOS]]-Tabla3[[#This Row],[EGRESOS]]</f>
        <v>-3549</v>
      </c>
      <c r="H2345" s="274">
        <v>-9998577.5899999999</v>
      </c>
      <c r="I2345" s="135">
        <v>1410</v>
      </c>
      <c r="J2345" s="136">
        <f>Tabla3[[#This Row],[EGRESOS]]/Tabla3[[#This Row],[TC]]</f>
        <v>2.5170212765957447</v>
      </c>
      <c r="K2345" s="136">
        <f>Tabla3[[#This Row],[INGRESOS]]/Tabla3[[#This Row],[TC]]</f>
        <v>0</v>
      </c>
      <c r="L2345" s="8" t="s">
        <v>376</v>
      </c>
      <c r="M2345" s="8" t="s">
        <v>377</v>
      </c>
      <c r="N2345" s="8" t="s">
        <v>20</v>
      </c>
      <c r="O2345" s="8" t="s">
        <v>184</v>
      </c>
      <c r="P2345" s="8" t="s">
        <v>195</v>
      </c>
      <c r="Q2345" s="8" t="s">
        <v>196</v>
      </c>
      <c r="R2345" s="8" t="s">
        <v>382</v>
      </c>
      <c r="S2345" s="8"/>
      <c r="T2345" s="8"/>
      <c r="U2345" s="8" t="s">
        <v>384</v>
      </c>
      <c r="V2345" s="8"/>
      <c r="W2345" s="8" t="s">
        <v>380</v>
      </c>
      <c r="X2345" s="8" t="s">
        <v>99</v>
      </c>
      <c r="Y2345" s="8" t="s">
        <v>23</v>
      </c>
    </row>
    <row r="2346" spans="1:25" s="7" customFormat="1" hidden="1" x14ac:dyDescent="0.25">
      <c r="A2346" s="273" t="s">
        <v>322</v>
      </c>
      <c r="B2346" s="251">
        <v>46000</v>
      </c>
      <c r="C2346" s="252" t="s">
        <v>763</v>
      </c>
      <c r="D2346" s="252"/>
      <c r="E2346" s="253">
        <v>507</v>
      </c>
      <c r="F2346" s="253">
        <v>0</v>
      </c>
      <c r="G2346" s="274">
        <f>Tabla3[[#This Row],[INGRESOS]]-Tabla3[[#This Row],[EGRESOS]]</f>
        <v>-507</v>
      </c>
      <c r="H2346" s="274">
        <v>-9999084.5899999999</v>
      </c>
      <c r="I2346" s="135">
        <v>1410</v>
      </c>
      <c r="J2346" s="136">
        <f>Tabla3[[#This Row],[EGRESOS]]/Tabla3[[#This Row],[TC]]</f>
        <v>0.3595744680851064</v>
      </c>
      <c r="K2346" s="136">
        <f>Tabla3[[#This Row],[INGRESOS]]/Tabla3[[#This Row],[TC]]</f>
        <v>0</v>
      </c>
      <c r="L2346" s="8" t="s">
        <v>376</v>
      </c>
      <c r="M2346" s="8" t="s">
        <v>377</v>
      </c>
      <c r="N2346" s="8" t="s">
        <v>20</v>
      </c>
      <c r="O2346" s="8" t="s">
        <v>184</v>
      </c>
      <c r="P2346" s="8" t="s">
        <v>195</v>
      </c>
      <c r="Q2346" s="8" t="s">
        <v>196</v>
      </c>
      <c r="R2346" s="8" t="s">
        <v>417</v>
      </c>
      <c r="S2346" s="8" t="s">
        <v>383</v>
      </c>
      <c r="T2346" s="8"/>
      <c r="U2346" s="8" t="s">
        <v>384</v>
      </c>
      <c r="V2346" s="8"/>
      <c r="W2346" s="8" t="s">
        <v>380</v>
      </c>
      <c r="X2346" s="8" t="s">
        <v>99</v>
      </c>
      <c r="Y2346" s="8" t="s">
        <v>23</v>
      </c>
    </row>
    <row r="2347" spans="1:25" s="7" customFormat="1" hidden="1" x14ac:dyDescent="0.25">
      <c r="A2347" s="273" t="s">
        <v>322</v>
      </c>
      <c r="B2347" s="251">
        <v>46000</v>
      </c>
      <c r="C2347" s="252" t="s">
        <v>794</v>
      </c>
      <c r="D2347" s="252"/>
      <c r="E2347" s="253">
        <v>16900</v>
      </c>
      <c r="F2347" s="253">
        <v>0</v>
      </c>
      <c r="G2347" s="274">
        <f>Tabla3[[#This Row],[INGRESOS]]-Tabla3[[#This Row],[EGRESOS]]</f>
        <v>-16900</v>
      </c>
      <c r="H2347" s="274">
        <v>-10015984.59</v>
      </c>
      <c r="I2347" s="135">
        <v>1410</v>
      </c>
      <c r="J2347" s="136">
        <f>Tabla3[[#This Row],[EGRESOS]]/Tabla3[[#This Row],[TC]]</f>
        <v>11.98581560283688</v>
      </c>
      <c r="K2347" s="136">
        <f>Tabla3[[#This Row],[INGRESOS]]/Tabla3[[#This Row],[TC]]</f>
        <v>0</v>
      </c>
      <c r="L2347" s="8" t="s">
        <v>376</v>
      </c>
      <c r="M2347" s="8" t="s">
        <v>377</v>
      </c>
      <c r="N2347" s="8" t="s">
        <v>20</v>
      </c>
      <c r="O2347" s="8" t="s">
        <v>184</v>
      </c>
      <c r="P2347" s="8" t="s">
        <v>185</v>
      </c>
      <c r="Q2347" s="8" t="s">
        <v>186</v>
      </c>
      <c r="R2347" s="8"/>
      <c r="S2347" s="8"/>
      <c r="T2347" s="8"/>
      <c r="U2347" s="8" t="s">
        <v>384</v>
      </c>
      <c r="V2347" s="8"/>
      <c r="W2347" s="8" t="s">
        <v>380</v>
      </c>
      <c r="X2347" s="8" t="s">
        <v>99</v>
      </c>
      <c r="Y2347" s="8" t="s">
        <v>23</v>
      </c>
    </row>
    <row r="2348" spans="1:25" s="7" customFormat="1" hidden="1" x14ac:dyDescent="0.25">
      <c r="A2348" s="273" t="s">
        <v>322</v>
      </c>
      <c r="B2348" s="251">
        <v>46000</v>
      </c>
      <c r="C2348" s="252" t="s">
        <v>773</v>
      </c>
      <c r="D2348" s="252"/>
      <c r="E2348" s="253">
        <v>5345.74</v>
      </c>
      <c r="F2348" s="253">
        <v>0</v>
      </c>
      <c r="G2348" s="274">
        <f>Tabla3[[#This Row],[INGRESOS]]-Tabla3[[#This Row],[EGRESOS]]</f>
        <v>-5345.74</v>
      </c>
      <c r="H2348" s="274">
        <v>-10021330.33</v>
      </c>
      <c r="I2348" s="135">
        <v>1410</v>
      </c>
      <c r="J2348" s="136">
        <f>Tabla3[[#This Row],[EGRESOS]]/Tabla3[[#This Row],[TC]]</f>
        <v>3.7913049645390071</v>
      </c>
      <c r="K2348" s="136">
        <f>Tabla3[[#This Row],[INGRESOS]]/Tabla3[[#This Row],[TC]]</f>
        <v>0</v>
      </c>
      <c r="L2348" s="8" t="s">
        <v>376</v>
      </c>
      <c r="M2348" s="8" t="s">
        <v>377</v>
      </c>
      <c r="N2348" s="8" t="s">
        <v>20</v>
      </c>
      <c r="O2348" s="8" t="s">
        <v>184</v>
      </c>
      <c r="P2348" s="8" t="s">
        <v>195</v>
      </c>
      <c r="Q2348" s="8" t="s">
        <v>196</v>
      </c>
      <c r="R2348" s="8" t="s">
        <v>394</v>
      </c>
      <c r="S2348" s="8"/>
      <c r="T2348" s="8"/>
      <c r="U2348" s="8" t="s">
        <v>384</v>
      </c>
      <c r="V2348" s="8"/>
      <c r="W2348" s="8" t="s">
        <v>380</v>
      </c>
      <c r="X2348" s="8" t="s">
        <v>99</v>
      </c>
      <c r="Y2348" s="8" t="s">
        <v>23</v>
      </c>
    </row>
    <row r="2349" spans="1:25" s="7" customFormat="1" hidden="1" x14ac:dyDescent="0.25">
      <c r="A2349" s="273" t="s">
        <v>322</v>
      </c>
      <c r="B2349" s="251">
        <v>46001</v>
      </c>
      <c r="C2349" s="252" t="s">
        <v>782</v>
      </c>
      <c r="D2349" s="252" t="s">
        <v>1304</v>
      </c>
      <c r="E2349" s="253">
        <v>1141515</v>
      </c>
      <c r="F2349" s="253">
        <v>0</v>
      </c>
      <c r="G2349" s="274">
        <f>Tabla3[[#This Row],[INGRESOS]]-Tabla3[[#This Row],[EGRESOS]]</f>
        <v>-1141515</v>
      </c>
      <c r="H2349" s="274">
        <v>-11162845.33</v>
      </c>
      <c r="I2349" s="135">
        <v>1410</v>
      </c>
      <c r="J2349" s="136">
        <f>Tabla3[[#This Row],[EGRESOS]]/Tabla3[[#This Row],[TC]]</f>
        <v>809.58510638297878</v>
      </c>
      <c r="K2349" s="136">
        <f>Tabla3[[#This Row],[INGRESOS]]/Tabla3[[#This Row],[TC]]</f>
        <v>0</v>
      </c>
      <c r="L2349" s="8" t="s">
        <v>376</v>
      </c>
      <c r="M2349" s="8" t="s">
        <v>377</v>
      </c>
      <c r="N2349" s="8" t="s">
        <v>20</v>
      </c>
      <c r="O2349" s="8" t="s">
        <v>225</v>
      </c>
      <c r="P2349" s="8" t="s">
        <v>236</v>
      </c>
      <c r="Q2349" s="8" t="s">
        <v>239</v>
      </c>
      <c r="R2349" s="8"/>
      <c r="S2349" s="8" t="s">
        <v>597</v>
      </c>
      <c r="T2349" s="8"/>
      <c r="U2349" s="8" t="s">
        <v>412</v>
      </c>
      <c r="V2349" s="8"/>
      <c r="W2349" s="8" t="s">
        <v>475</v>
      </c>
      <c r="X2349" s="8" t="s">
        <v>29</v>
      </c>
      <c r="Y2349" s="8" t="s">
        <v>23</v>
      </c>
    </row>
    <row r="2350" spans="1:25" s="7" customFormat="1" hidden="1" x14ac:dyDescent="0.25">
      <c r="A2350" s="273" t="s">
        <v>322</v>
      </c>
      <c r="B2350" s="251">
        <v>46001</v>
      </c>
      <c r="C2350" s="252" t="s">
        <v>810</v>
      </c>
      <c r="D2350" s="252"/>
      <c r="E2350" s="253">
        <v>0</v>
      </c>
      <c r="F2350" s="253">
        <v>1200000</v>
      </c>
      <c r="G2350" s="274">
        <f>Tabla3[[#This Row],[INGRESOS]]-Tabla3[[#This Row],[EGRESOS]]</f>
        <v>1200000</v>
      </c>
      <c r="H2350" s="274">
        <v>-9962845.3300000001</v>
      </c>
      <c r="I2350" s="135">
        <v>1410</v>
      </c>
      <c r="J2350" s="136">
        <f>Tabla3[[#This Row],[EGRESOS]]/Tabla3[[#This Row],[TC]]</f>
        <v>0</v>
      </c>
      <c r="K2350" s="136">
        <f>Tabla3[[#This Row],[INGRESOS]]/Tabla3[[#This Row],[TC]]</f>
        <v>851.063829787234</v>
      </c>
      <c r="L2350" s="8" t="s">
        <v>376</v>
      </c>
      <c r="M2350" s="8" t="s">
        <v>377</v>
      </c>
      <c r="N2350" s="8" t="s">
        <v>20</v>
      </c>
      <c r="O2350" s="8" t="s">
        <v>244</v>
      </c>
      <c r="P2350" s="8" t="s">
        <v>259</v>
      </c>
      <c r="Q2350" s="8" t="s">
        <v>260</v>
      </c>
      <c r="R2350" s="8" t="s">
        <v>554</v>
      </c>
      <c r="S2350" s="8"/>
      <c r="T2350" s="8"/>
      <c r="U2350" s="8" t="s">
        <v>379</v>
      </c>
      <c r="V2350" s="8"/>
      <c r="W2350" s="8"/>
      <c r="X2350" s="8"/>
      <c r="Y2350" s="8"/>
    </row>
    <row r="2351" spans="1:25" s="7" customFormat="1" hidden="1" x14ac:dyDescent="0.25">
      <c r="A2351" s="273" t="s">
        <v>322</v>
      </c>
      <c r="B2351" s="251">
        <v>46001</v>
      </c>
      <c r="C2351" s="252" t="s">
        <v>762</v>
      </c>
      <c r="D2351" s="252"/>
      <c r="E2351" s="253">
        <v>3549</v>
      </c>
      <c r="F2351" s="253">
        <v>0</v>
      </c>
      <c r="G2351" s="274">
        <f>Tabla3[[#This Row],[INGRESOS]]-Tabla3[[#This Row],[EGRESOS]]</f>
        <v>-3549</v>
      </c>
      <c r="H2351" s="274">
        <v>-9966394.3300000001</v>
      </c>
      <c r="I2351" s="135">
        <v>1410</v>
      </c>
      <c r="J2351" s="136">
        <f>Tabla3[[#This Row],[EGRESOS]]/Tabla3[[#This Row],[TC]]</f>
        <v>2.5170212765957447</v>
      </c>
      <c r="K2351" s="136">
        <f>Tabla3[[#This Row],[INGRESOS]]/Tabla3[[#This Row],[TC]]</f>
        <v>0</v>
      </c>
      <c r="L2351" s="8" t="s">
        <v>376</v>
      </c>
      <c r="M2351" s="8" t="s">
        <v>377</v>
      </c>
      <c r="N2351" s="8" t="s">
        <v>20</v>
      </c>
      <c r="O2351" s="8" t="s">
        <v>184</v>
      </c>
      <c r="P2351" s="8" t="s">
        <v>195</v>
      </c>
      <c r="Q2351" s="8" t="s">
        <v>196</v>
      </c>
      <c r="R2351" s="8" t="s">
        <v>382</v>
      </c>
      <c r="S2351" s="8"/>
      <c r="T2351" s="8"/>
      <c r="U2351" s="8" t="s">
        <v>384</v>
      </c>
      <c r="V2351" s="8"/>
      <c r="W2351" s="8" t="s">
        <v>380</v>
      </c>
      <c r="X2351" s="8" t="s">
        <v>99</v>
      </c>
      <c r="Y2351" s="8" t="s">
        <v>23</v>
      </c>
    </row>
    <row r="2352" spans="1:25" s="7" customFormat="1" hidden="1" x14ac:dyDescent="0.25">
      <c r="A2352" s="273" t="s">
        <v>322</v>
      </c>
      <c r="B2352" s="251">
        <v>46001</v>
      </c>
      <c r="C2352" s="252" t="s">
        <v>763</v>
      </c>
      <c r="D2352" s="252"/>
      <c r="E2352" s="253">
        <v>507</v>
      </c>
      <c r="F2352" s="253">
        <v>0</v>
      </c>
      <c r="G2352" s="274">
        <f>Tabla3[[#This Row],[INGRESOS]]-Tabla3[[#This Row],[EGRESOS]]</f>
        <v>-507</v>
      </c>
      <c r="H2352" s="274">
        <v>-9966901.3300000001</v>
      </c>
      <c r="I2352" s="135">
        <v>1410</v>
      </c>
      <c r="J2352" s="136">
        <f>Tabla3[[#This Row],[EGRESOS]]/Tabla3[[#This Row],[TC]]</f>
        <v>0.3595744680851064</v>
      </c>
      <c r="K2352" s="136">
        <f>Tabla3[[#This Row],[INGRESOS]]/Tabla3[[#This Row],[TC]]</f>
        <v>0</v>
      </c>
      <c r="L2352" s="8" t="s">
        <v>376</v>
      </c>
      <c r="M2352" s="8" t="s">
        <v>377</v>
      </c>
      <c r="N2352" s="8" t="s">
        <v>20</v>
      </c>
      <c r="O2352" s="8" t="s">
        <v>184</v>
      </c>
      <c r="P2352" s="8" t="s">
        <v>195</v>
      </c>
      <c r="Q2352" s="8" t="s">
        <v>196</v>
      </c>
      <c r="R2352" s="8" t="s">
        <v>417</v>
      </c>
      <c r="S2352" s="8" t="s">
        <v>383</v>
      </c>
      <c r="T2352" s="8"/>
      <c r="U2352" s="8" t="s">
        <v>384</v>
      </c>
      <c r="V2352" s="8"/>
      <c r="W2352" s="8" t="s">
        <v>380</v>
      </c>
      <c r="X2352" s="8" t="s">
        <v>99</v>
      </c>
      <c r="Y2352" s="8" t="s">
        <v>23</v>
      </c>
    </row>
    <row r="2353" spans="1:25" s="7" customFormat="1" hidden="1" x14ac:dyDescent="0.25">
      <c r="A2353" s="273" t="s">
        <v>322</v>
      </c>
      <c r="B2353" s="251">
        <v>46001</v>
      </c>
      <c r="C2353" s="252" t="s">
        <v>794</v>
      </c>
      <c r="D2353" s="252"/>
      <c r="E2353" s="253">
        <v>16900</v>
      </c>
      <c r="F2353" s="253">
        <v>0</v>
      </c>
      <c r="G2353" s="274">
        <f>Tabla3[[#This Row],[INGRESOS]]-Tabla3[[#This Row],[EGRESOS]]</f>
        <v>-16900</v>
      </c>
      <c r="H2353" s="274">
        <v>-9983801.3300000001</v>
      </c>
      <c r="I2353" s="135">
        <v>1410</v>
      </c>
      <c r="J2353" s="136">
        <f>Tabla3[[#This Row],[EGRESOS]]/Tabla3[[#This Row],[TC]]</f>
        <v>11.98581560283688</v>
      </c>
      <c r="K2353" s="136">
        <f>Tabla3[[#This Row],[INGRESOS]]/Tabla3[[#This Row],[TC]]</f>
        <v>0</v>
      </c>
      <c r="L2353" s="8" t="s">
        <v>376</v>
      </c>
      <c r="M2353" s="8" t="s">
        <v>377</v>
      </c>
      <c r="N2353" s="8" t="s">
        <v>20</v>
      </c>
      <c r="O2353" s="8" t="s">
        <v>184</v>
      </c>
      <c r="P2353" s="8" t="s">
        <v>185</v>
      </c>
      <c r="Q2353" s="8" t="s">
        <v>186</v>
      </c>
      <c r="R2353" s="8"/>
      <c r="S2353" s="8"/>
      <c r="T2353" s="8"/>
      <c r="U2353" s="8" t="s">
        <v>384</v>
      </c>
      <c r="V2353" s="8"/>
      <c r="W2353" s="8" t="s">
        <v>380</v>
      </c>
      <c r="X2353" s="8" t="s">
        <v>99</v>
      </c>
      <c r="Y2353" s="8" t="s">
        <v>23</v>
      </c>
    </row>
    <row r="2354" spans="1:25" s="7" customFormat="1" hidden="1" x14ac:dyDescent="0.25">
      <c r="A2354" s="273" t="s">
        <v>322</v>
      </c>
      <c r="B2354" s="251">
        <v>46001</v>
      </c>
      <c r="C2354" s="252" t="s">
        <v>773</v>
      </c>
      <c r="D2354" s="252"/>
      <c r="E2354" s="253">
        <v>6974.83</v>
      </c>
      <c r="F2354" s="253">
        <v>0</v>
      </c>
      <c r="G2354" s="274">
        <f>Tabla3[[#This Row],[INGRESOS]]-Tabla3[[#This Row],[EGRESOS]]</f>
        <v>-6974.83</v>
      </c>
      <c r="H2354" s="274">
        <v>-9990776.1600000001</v>
      </c>
      <c r="I2354" s="135">
        <v>1410</v>
      </c>
      <c r="J2354" s="136">
        <f>Tabla3[[#This Row],[EGRESOS]]/Tabla3[[#This Row],[TC]]</f>
        <v>4.9466879432624111</v>
      </c>
      <c r="K2354" s="136">
        <f>Tabla3[[#This Row],[INGRESOS]]/Tabla3[[#This Row],[TC]]</f>
        <v>0</v>
      </c>
      <c r="L2354" s="8" t="s">
        <v>376</v>
      </c>
      <c r="M2354" s="8" t="s">
        <v>377</v>
      </c>
      <c r="N2354" s="8" t="s">
        <v>20</v>
      </c>
      <c r="O2354" s="8" t="s">
        <v>184</v>
      </c>
      <c r="P2354" s="8" t="s">
        <v>195</v>
      </c>
      <c r="Q2354" s="8" t="s">
        <v>196</v>
      </c>
      <c r="R2354" s="8" t="s">
        <v>394</v>
      </c>
      <c r="S2354" s="8"/>
      <c r="T2354" s="8"/>
      <c r="U2354" s="8" t="s">
        <v>384</v>
      </c>
      <c r="V2354" s="8"/>
      <c r="W2354" s="8" t="s">
        <v>380</v>
      </c>
      <c r="X2354" s="8" t="s">
        <v>99</v>
      </c>
      <c r="Y2354" s="8" t="s">
        <v>23</v>
      </c>
    </row>
    <row r="2355" spans="1:25" s="7" customFormat="1" hidden="1" x14ac:dyDescent="0.25">
      <c r="A2355" s="273" t="s">
        <v>322</v>
      </c>
      <c r="B2355" s="251">
        <v>46006</v>
      </c>
      <c r="C2355" s="252" t="s">
        <v>782</v>
      </c>
      <c r="D2355" s="252" t="s">
        <v>1305</v>
      </c>
      <c r="E2355" s="253">
        <v>5112092.7</v>
      </c>
      <c r="F2355" s="253">
        <v>0</v>
      </c>
      <c r="G2355" s="274">
        <f>Tabla3[[#This Row],[INGRESOS]]-Tabla3[[#This Row],[EGRESOS]]</f>
        <v>-5112092.7</v>
      </c>
      <c r="H2355" s="274">
        <v>-15102868.859999999</v>
      </c>
      <c r="I2355" s="135">
        <v>1410</v>
      </c>
      <c r="J2355" s="136">
        <f>Tabla3[[#This Row],[EGRESOS]]/Tabla3[[#This Row],[TC]]</f>
        <v>3625.5976595744683</v>
      </c>
      <c r="K2355" s="136">
        <f>Tabla3[[#This Row],[INGRESOS]]/Tabla3[[#This Row],[TC]]</f>
        <v>0</v>
      </c>
      <c r="L2355" s="8" t="s">
        <v>376</v>
      </c>
      <c r="M2355" s="8" t="s">
        <v>377</v>
      </c>
      <c r="N2355" s="8" t="s">
        <v>20</v>
      </c>
      <c r="O2355" s="8" t="s">
        <v>215</v>
      </c>
      <c r="P2355" s="8" t="s">
        <v>216</v>
      </c>
      <c r="Q2355" s="8" t="s">
        <v>220</v>
      </c>
      <c r="R2355" s="8" t="s">
        <v>41</v>
      </c>
      <c r="S2355" s="8" t="s">
        <v>339</v>
      </c>
      <c r="T2355" s="8" t="s">
        <v>1306</v>
      </c>
      <c r="U2355" s="8" t="s">
        <v>412</v>
      </c>
      <c r="V2355" s="8"/>
      <c r="W2355" s="8" t="s">
        <v>380</v>
      </c>
      <c r="X2355" s="8" t="s">
        <v>41</v>
      </c>
      <c r="Y2355" s="8" t="s">
        <v>23</v>
      </c>
    </row>
    <row r="2356" spans="1:25" s="7" customFormat="1" hidden="1" x14ac:dyDescent="0.25">
      <c r="A2356" s="247" t="s">
        <v>322</v>
      </c>
      <c r="B2356" s="248">
        <v>46006</v>
      </c>
      <c r="C2356" s="244" t="s">
        <v>1241</v>
      </c>
      <c r="D2356" s="244"/>
      <c r="E2356" s="249">
        <v>0</v>
      </c>
      <c r="F2356" s="249">
        <v>42631974</v>
      </c>
      <c r="G2356" s="266">
        <f>Tabla3[[#This Row],[INGRESOS]]-Tabla3[[#This Row],[EGRESOS]]</f>
        <v>42631974</v>
      </c>
      <c r="H2356" s="266">
        <v>27529105.140000001</v>
      </c>
      <c r="I2356" s="119">
        <v>1410</v>
      </c>
      <c r="J2356" s="99">
        <f>Tabla3[[#This Row],[EGRESOS]]/Tabla3[[#This Row],[TC]]</f>
        <v>0</v>
      </c>
      <c r="K2356" s="99">
        <f>Tabla3[[#This Row],[INGRESOS]]/Tabla3[[#This Row],[TC]]</f>
        <v>30235.442553191489</v>
      </c>
      <c r="L2356" s="7" t="s">
        <v>376</v>
      </c>
      <c r="M2356" s="7" t="s">
        <v>377</v>
      </c>
      <c r="N2356" s="7" t="s">
        <v>20</v>
      </c>
      <c r="O2356" s="7" t="s">
        <v>244</v>
      </c>
      <c r="P2356" s="7" t="s">
        <v>261</v>
      </c>
      <c r="Q2356" s="7" t="s">
        <v>270</v>
      </c>
      <c r="R2356" s="7" t="s">
        <v>1307</v>
      </c>
      <c r="S2356" s="7" t="s">
        <v>20</v>
      </c>
      <c r="U2356" s="7" t="s">
        <v>442</v>
      </c>
      <c r="W2356" s="7" t="s">
        <v>380</v>
      </c>
      <c r="X2356" s="7" t="s">
        <v>23</v>
      </c>
      <c r="Y2356" s="7" t="s">
        <v>91</v>
      </c>
    </row>
    <row r="2357" spans="1:25" s="7" customFormat="1" hidden="1" x14ac:dyDescent="0.25">
      <c r="A2357" s="247" t="s">
        <v>322</v>
      </c>
      <c r="B2357" s="248">
        <v>46006</v>
      </c>
      <c r="C2357" s="244" t="s">
        <v>404</v>
      </c>
      <c r="D2357" s="244"/>
      <c r="E2357" s="249">
        <v>14000000</v>
      </c>
      <c r="F2357" s="249">
        <v>0</v>
      </c>
      <c r="G2357" s="266">
        <f>Tabla3[[#This Row],[INGRESOS]]-Tabla3[[#This Row],[EGRESOS]]</f>
        <v>-14000000</v>
      </c>
      <c r="H2357" s="266">
        <v>13529105.140000001</v>
      </c>
      <c r="I2357" s="119">
        <v>1410</v>
      </c>
      <c r="J2357" s="99">
        <f>Tabla3[[#This Row],[EGRESOS]]/Tabla3[[#This Row],[TC]]</f>
        <v>9929.078014184397</v>
      </c>
      <c r="K2357" s="99">
        <f>Tabla3[[#This Row],[INGRESOS]]/Tabla3[[#This Row],[TC]]</f>
        <v>0</v>
      </c>
      <c r="L2357" s="7" t="s">
        <v>376</v>
      </c>
      <c r="M2357" s="7" t="s">
        <v>377</v>
      </c>
      <c r="N2357" s="7" t="s">
        <v>20</v>
      </c>
      <c r="O2357" s="7" t="s">
        <v>244</v>
      </c>
      <c r="P2357" s="7" t="s">
        <v>259</v>
      </c>
      <c r="Q2357" s="7" t="s">
        <v>260</v>
      </c>
      <c r="R2357" s="7" t="s">
        <v>472</v>
      </c>
      <c r="U2357" s="7" t="s">
        <v>379</v>
      </c>
    </row>
    <row r="2358" spans="1:25" s="7" customFormat="1" hidden="1" x14ac:dyDescent="0.25">
      <c r="A2358" s="247" t="s">
        <v>322</v>
      </c>
      <c r="B2358" s="248">
        <v>46006</v>
      </c>
      <c r="C2358" s="244" t="s">
        <v>828</v>
      </c>
      <c r="D2358" s="244"/>
      <c r="E2358" s="249">
        <v>121</v>
      </c>
      <c r="F2358" s="249">
        <v>0</v>
      </c>
      <c r="G2358" s="266">
        <f>Tabla3[[#This Row],[INGRESOS]]-Tabla3[[#This Row],[EGRESOS]]</f>
        <v>-121</v>
      </c>
      <c r="H2358" s="266">
        <v>13528984.140000001</v>
      </c>
      <c r="I2358" s="119">
        <v>1410</v>
      </c>
      <c r="J2358" s="99">
        <f>Tabla3[[#This Row],[EGRESOS]]/Tabla3[[#This Row],[TC]]</f>
        <v>8.5815602836879432E-2</v>
      </c>
      <c r="K2358" s="99">
        <f>Tabla3[[#This Row],[INGRESOS]]/Tabla3[[#This Row],[TC]]</f>
        <v>0</v>
      </c>
      <c r="L2358" s="7" t="s">
        <v>376</v>
      </c>
      <c r="M2358" s="7" t="s">
        <v>377</v>
      </c>
      <c r="N2358" s="7" t="s">
        <v>20</v>
      </c>
      <c r="O2358" s="7" t="s">
        <v>184</v>
      </c>
      <c r="P2358" s="7" t="s">
        <v>185</v>
      </c>
      <c r="Q2358" s="7" t="s">
        <v>186</v>
      </c>
      <c r="U2358" s="7" t="s">
        <v>384</v>
      </c>
      <c r="W2358" s="7" t="s">
        <v>380</v>
      </c>
      <c r="X2358" s="7" t="s">
        <v>99</v>
      </c>
      <c r="Y2358" s="7" t="s">
        <v>23</v>
      </c>
    </row>
    <row r="2359" spans="1:25" s="7" customFormat="1" hidden="1" x14ac:dyDescent="0.25">
      <c r="A2359" s="247" t="s">
        <v>322</v>
      </c>
      <c r="B2359" s="248">
        <v>46006</v>
      </c>
      <c r="C2359" s="244" t="s">
        <v>762</v>
      </c>
      <c r="D2359" s="244"/>
      <c r="E2359" s="249">
        <v>3549</v>
      </c>
      <c r="F2359" s="249">
        <v>0</v>
      </c>
      <c r="G2359" s="266">
        <f>Tabla3[[#This Row],[INGRESOS]]-Tabla3[[#This Row],[EGRESOS]]</f>
        <v>-3549</v>
      </c>
      <c r="H2359" s="266">
        <v>13525435.140000001</v>
      </c>
      <c r="I2359" s="119">
        <v>1410</v>
      </c>
      <c r="J2359" s="99">
        <f>Tabla3[[#This Row],[EGRESOS]]/Tabla3[[#This Row],[TC]]</f>
        <v>2.5170212765957447</v>
      </c>
      <c r="K2359" s="99">
        <f>Tabla3[[#This Row],[INGRESOS]]/Tabla3[[#This Row],[TC]]</f>
        <v>0</v>
      </c>
      <c r="L2359" s="7" t="s">
        <v>376</v>
      </c>
      <c r="M2359" s="7" t="s">
        <v>377</v>
      </c>
      <c r="N2359" s="7" t="s">
        <v>20</v>
      </c>
      <c r="O2359" s="7" t="s">
        <v>184</v>
      </c>
      <c r="P2359" s="7" t="s">
        <v>195</v>
      </c>
      <c r="Q2359" s="7" t="s">
        <v>196</v>
      </c>
      <c r="R2359" s="7" t="s">
        <v>382</v>
      </c>
      <c r="U2359" s="7" t="s">
        <v>384</v>
      </c>
      <c r="W2359" s="7" t="s">
        <v>380</v>
      </c>
      <c r="X2359" s="7" t="s">
        <v>99</v>
      </c>
      <c r="Y2359" s="7" t="s">
        <v>23</v>
      </c>
    </row>
    <row r="2360" spans="1:25" s="7" customFormat="1" hidden="1" x14ac:dyDescent="0.25">
      <c r="A2360" s="247" t="s">
        <v>322</v>
      </c>
      <c r="B2360" s="248">
        <v>46006</v>
      </c>
      <c r="C2360" s="244" t="s">
        <v>763</v>
      </c>
      <c r="D2360" s="244"/>
      <c r="E2360" s="249">
        <v>507</v>
      </c>
      <c r="F2360" s="249">
        <v>0</v>
      </c>
      <c r="G2360" s="266">
        <f>Tabla3[[#This Row],[INGRESOS]]-Tabla3[[#This Row],[EGRESOS]]</f>
        <v>-507</v>
      </c>
      <c r="H2360" s="266">
        <v>13524928.140000001</v>
      </c>
      <c r="I2360" s="119">
        <v>1410</v>
      </c>
      <c r="J2360" s="99">
        <f>Tabla3[[#This Row],[EGRESOS]]/Tabla3[[#This Row],[TC]]</f>
        <v>0.3595744680851064</v>
      </c>
      <c r="K2360" s="99">
        <f>Tabla3[[#This Row],[INGRESOS]]/Tabla3[[#This Row],[TC]]</f>
        <v>0</v>
      </c>
      <c r="L2360" s="7" t="s">
        <v>376</v>
      </c>
      <c r="M2360" s="7" t="s">
        <v>377</v>
      </c>
      <c r="N2360" s="7" t="s">
        <v>20</v>
      </c>
      <c r="O2360" s="7" t="s">
        <v>184</v>
      </c>
      <c r="P2360" s="7" t="s">
        <v>195</v>
      </c>
      <c r="Q2360" s="7" t="s">
        <v>196</v>
      </c>
      <c r="R2360" s="7" t="s">
        <v>417</v>
      </c>
      <c r="S2360" s="7" t="s">
        <v>383</v>
      </c>
      <c r="U2360" s="7" t="s">
        <v>384</v>
      </c>
      <c r="W2360" s="7" t="s">
        <v>380</v>
      </c>
      <c r="X2360" s="7" t="s">
        <v>99</v>
      </c>
      <c r="Y2360" s="7" t="s">
        <v>23</v>
      </c>
    </row>
    <row r="2361" spans="1:25" s="7" customFormat="1" hidden="1" x14ac:dyDescent="0.25">
      <c r="A2361" s="247" t="s">
        <v>322</v>
      </c>
      <c r="B2361" s="248">
        <v>46006</v>
      </c>
      <c r="C2361" s="244" t="s">
        <v>794</v>
      </c>
      <c r="D2361" s="244"/>
      <c r="E2361" s="249">
        <v>16900</v>
      </c>
      <c r="F2361" s="249">
        <v>0</v>
      </c>
      <c r="G2361" s="266">
        <f>Tabla3[[#This Row],[INGRESOS]]-Tabla3[[#This Row],[EGRESOS]]</f>
        <v>-16900</v>
      </c>
      <c r="H2361" s="266">
        <v>13508028.140000001</v>
      </c>
      <c r="I2361" s="119">
        <v>1410</v>
      </c>
      <c r="J2361" s="99">
        <f>Tabla3[[#This Row],[EGRESOS]]/Tabla3[[#This Row],[TC]]</f>
        <v>11.98581560283688</v>
      </c>
      <c r="K2361" s="99">
        <f>Tabla3[[#This Row],[INGRESOS]]/Tabla3[[#This Row],[TC]]</f>
        <v>0</v>
      </c>
      <c r="L2361" s="7" t="s">
        <v>376</v>
      </c>
      <c r="M2361" s="7" t="s">
        <v>377</v>
      </c>
      <c r="N2361" s="7" t="s">
        <v>20</v>
      </c>
      <c r="O2361" s="7" t="s">
        <v>184</v>
      </c>
      <c r="P2361" s="7" t="s">
        <v>185</v>
      </c>
      <c r="Q2361" s="7" t="s">
        <v>186</v>
      </c>
      <c r="U2361" s="7" t="s">
        <v>384</v>
      </c>
      <c r="W2361" s="7" t="s">
        <v>380</v>
      </c>
      <c r="X2361" s="7" t="s">
        <v>99</v>
      </c>
      <c r="Y2361" s="7" t="s">
        <v>23</v>
      </c>
    </row>
    <row r="2362" spans="1:25" s="7" customFormat="1" hidden="1" x14ac:dyDescent="0.25">
      <c r="A2362" s="247" t="s">
        <v>322</v>
      </c>
      <c r="B2362" s="248">
        <v>46006</v>
      </c>
      <c r="C2362" s="244" t="s">
        <v>773</v>
      </c>
      <c r="D2362" s="244"/>
      <c r="E2362" s="249">
        <v>30799.03</v>
      </c>
      <c r="F2362" s="249">
        <v>0</v>
      </c>
      <c r="G2362" s="266">
        <f>Tabla3[[#This Row],[INGRESOS]]-Tabla3[[#This Row],[EGRESOS]]</f>
        <v>-30799.03</v>
      </c>
      <c r="H2362" s="266">
        <v>13477229.109999999</v>
      </c>
      <c r="I2362" s="119">
        <v>1410</v>
      </c>
      <c r="J2362" s="99">
        <f>Tabla3[[#This Row],[EGRESOS]]/Tabla3[[#This Row],[TC]]</f>
        <v>21.843283687943263</v>
      </c>
      <c r="K2362" s="99">
        <f>Tabla3[[#This Row],[INGRESOS]]/Tabla3[[#This Row],[TC]]</f>
        <v>0</v>
      </c>
      <c r="L2362" s="7" t="s">
        <v>376</v>
      </c>
      <c r="M2362" s="7" t="s">
        <v>377</v>
      </c>
      <c r="N2362" s="7" t="s">
        <v>20</v>
      </c>
      <c r="O2362" s="7" t="s">
        <v>184</v>
      </c>
      <c r="P2362" s="7" t="s">
        <v>195</v>
      </c>
      <c r="Q2362" s="7" t="s">
        <v>196</v>
      </c>
      <c r="R2362" s="7" t="s">
        <v>394</v>
      </c>
      <c r="U2362" s="7" t="s">
        <v>384</v>
      </c>
      <c r="W2362" s="7" t="s">
        <v>380</v>
      </c>
      <c r="X2362" s="7" t="s">
        <v>99</v>
      </c>
      <c r="Y2362" s="7" t="s">
        <v>23</v>
      </c>
    </row>
    <row r="2363" spans="1:25" s="7" customFormat="1" hidden="1" x14ac:dyDescent="0.25">
      <c r="A2363" s="273" t="s">
        <v>322</v>
      </c>
      <c r="B2363" s="251">
        <v>46007</v>
      </c>
      <c r="C2363" s="252" t="s">
        <v>782</v>
      </c>
      <c r="D2363" s="252" t="s">
        <v>1308</v>
      </c>
      <c r="E2363" s="253">
        <v>2508400</v>
      </c>
      <c r="F2363" s="253">
        <v>0</v>
      </c>
      <c r="G2363" s="274">
        <f>Tabla3[[#This Row],[INGRESOS]]-Tabla3[[#This Row],[EGRESOS]]</f>
        <v>-2508400</v>
      </c>
      <c r="H2363" s="274">
        <v>10968829.109999999</v>
      </c>
      <c r="I2363" s="135">
        <v>1410</v>
      </c>
      <c r="J2363" s="136">
        <f>Tabla3[[#This Row],[EGRESOS]]/Tabla3[[#This Row],[TC]]</f>
        <v>1779.0070921985816</v>
      </c>
      <c r="K2363" s="136">
        <f>Tabla3[[#This Row],[INGRESOS]]/Tabla3[[#This Row],[TC]]</f>
        <v>0</v>
      </c>
      <c r="L2363" s="8" t="s">
        <v>376</v>
      </c>
      <c r="M2363" s="8" t="s">
        <v>377</v>
      </c>
      <c r="N2363" s="8" t="s">
        <v>20</v>
      </c>
      <c r="O2363" s="8" t="s">
        <v>215</v>
      </c>
      <c r="P2363" s="8" t="s">
        <v>216</v>
      </c>
      <c r="Q2363" s="8" t="s">
        <v>219</v>
      </c>
      <c r="R2363" s="8" t="s">
        <v>327</v>
      </c>
      <c r="S2363" s="8" t="s">
        <v>721</v>
      </c>
      <c r="T2363" s="8"/>
      <c r="U2363" s="8" t="s">
        <v>412</v>
      </c>
      <c r="V2363" s="8"/>
      <c r="W2363" s="8" t="s">
        <v>380</v>
      </c>
      <c r="X2363" s="8" t="s">
        <v>29</v>
      </c>
      <c r="Y2363" s="8" t="s">
        <v>23</v>
      </c>
    </row>
    <row r="2364" spans="1:25" s="7" customFormat="1" hidden="1" x14ac:dyDescent="0.25">
      <c r="A2364" s="273" t="s">
        <v>322</v>
      </c>
      <c r="B2364" s="251">
        <v>46007</v>
      </c>
      <c r="C2364" s="252" t="s">
        <v>782</v>
      </c>
      <c r="D2364" s="252" t="s">
        <v>1309</v>
      </c>
      <c r="E2364" s="253">
        <v>908912.87</v>
      </c>
      <c r="F2364" s="253">
        <v>0</v>
      </c>
      <c r="G2364" s="274">
        <f>Tabla3[[#This Row],[INGRESOS]]-Tabla3[[#This Row],[EGRESOS]]</f>
        <v>-908912.87</v>
      </c>
      <c r="H2364" s="274">
        <v>10059916.24</v>
      </c>
      <c r="I2364" s="135">
        <v>1410</v>
      </c>
      <c r="J2364" s="136">
        <f>Tabla3[[#This Row],[EGRESOS]]/Tabla3[[#This Row],[TC]]</f>
        <v>644.61905673758861</v>
      </c>
      <c r="K2364" s="136">
        <f>Tabla3[[#This Row],[INGRESOS]]/Tabla3[[#This Row],[TC]]</f>
        <v>0</v>
      </c>
      <c r="L2364" s="8" t="s">
        <v>376</v>
      </c>
      <c r="M2364" s="8" t="s">
        <v>377</v>
      </c>
      <c r="N2364" s="8" t="s">
        <v>20</v>
      </c>
      <c r="O2364" s="8" t="s">
        <v>215</v>
      </c>
      <c r="P2364" s="8" t="s">
        <v>216</v>
      </c>
      <c r="Q2364" s="8" t="s">
        <v>220</v>
      </c>
      <c r="R2364" s="8" t="s">
        <v>41</v>
      </c>
      <c r="S2364" s="8" t="s">
        <v>84</v>
      </c>
      <c r="T2364" s="8"/>
      <c r="U2364" s="8" t="s">
        <v>412</v>
      </c>
      <c r="V2364" s="8"/>
      <c r="W2364" s="8" t="s">
        <v>380</v>
      </c>
      <c r="X2364" s="8" t="s">
        <v>41</v>
      </c>
      <c r="Y2364" s="8" t="s">
        <v>23</v>
      </c>
    </row>
    <row r="2365" spans="1:25" s="7" customFormat="1" hidden="1" x14ac:dyDescent="0.25">
      <c r="A2365" s="273" t="s">
        <v>322</v>
      </c>
      <c r="B2365" s="251">
        <v>46007</v>
      </c>
      <c r="C2365" s="252" t="s">
        <v>782</v>
      </c>
      <c r="D2365" s="252" t="s">
        <v>1310</v>
      </c>
      <c r="E2365" s="253">
        <v>538590.28</v>
      </c>
      <c r="F2365" s="253">
        <v>0</v>
      </c>
      <c r="G2365" s="274">
        <f>Tabla3[[#This Row],[INGRESOS]]-Tabla3[[#This Row],[EGRESOS]]</f>
        <v>-538590.28</v>
      </c>
      <c r="H2365" s="274">
        <v>9521325.9600000009</v>
      </c>
      <c r="I2365" s="135">
        <v>1410</v>
      </c>
      <c r="J2365" s="136">
        <f>Tabla3[[#This Row],[EGRESOS]]/Tabla3[[#This Row],[TC]]</f>
        <v>381.97892198581565</v>
      </c>
      <c r="K2365" s="136">
        <f>Tabla3[[#This Row],[INGRESOS]]/Tabla3[[#This Row],[TC]]</f>
        <v>0</v>
      </c>
      <c r="L2365" s="8" t="s">
        <v>376</v>
      </c>
      <c r="M2365" s="8" t="s">
        <v>377</v>
      </c>
      <c r="N2365" s="8" t="s">
        <v>20</v>
      </c>
      <c r="O2365" s="8" t="s">
        <v>215</v>
      </c>
      <c r="P2365" s="8" t="s">
        <v>216</v>
      </c>
      <c r="Q2365" s="8" t="s">
        <v>220</v>
      </c>
      <c r="R2365" s="8" t="s">
        <v>41</v>
      </c>
      <c r="S2365" s="8" t="s">
        <v>82</v>
      </c>
      <c r="T2365" s="8"/>
      <c r="U2365" s="8" t="s">
        <v>412</v>
      </c>
      <c r="V2365" s="8"/>
      <c r="W2365" s="8" t="s">
        <v>380</v>
      </c>
      <c r="X2365" s="8" t="s">
        <v>41</v>
      </c>
      <c r="Y2365" s="8" t="s">
        <v>23</v>
      </c>
    </row>
    <row r="2366" spans="1:25" s="7" customFormat="1" hidden="1" x14ac:dyDescent="0.25">
      <c r="A2366" s="273" t="s">
        <v>322</v>
      </c>
      <c r="B2366" s="251">
        <v>46007</v>
      </c>
      <c r="C2366" s="252" t="s">
        <v>800</v>
      </c>
      <c r="D2366" s="252"/>
      <c r="E2366" s="253">
        <v>2000000</v>
      </c>
      <c r="F2366" s="253">
        <v>0</v>
      </c>
      <c r="G2366" s="274">
        <f>Tabla3[[#This Row],[INGRESOS]]-Tabla3[[#This Row],[EGRESOS]]</f>
        <v>-2000000</v>
      </c>
      <c r="H2366" s="274">
        <v>7521325.96</v>
      </c>
      <c r="I2366" s="135">
        <v>1410</v>
      </c>
      <c r="J2366" s="136">
        <f>Tabla3[[#This Row],[EGRESOS]]/Tabla3[[#This Row],[TC]]</f>
        <v>1418.4397163120568</v>
      </c>
      <c r="K2366" s="136">
        <f>Tabla3[[#This Row],[INGRESOS]]/Tabla3[[#This Row],[TC]]</f>
        <v>0</v>
      </c>
      <c r="L2366" s="8" t="s">
        <v>376</v>
      </c>
      <c r="M2366" s="8" t="s">
        <v>377</v>
      </c>
      <c r="N2366" s="8" t="s">
        <v>20</v>
      </c>
      <c r="O2366" s="8" t="s">
        <v>184</v>
      </c>
      <c r="P2366" s="8" t="s">
        <v>203</v>
      </c>
      <c r="Q2366" s="8" t="s">
        <v>208</v>
      </c>
      <c r="R2366" s="8" t="s">
        <v>1311</v>
      </c>
      <c r="S2366" s="8" t="s">
        <v>414</v>
      </c>
      <c r="T2366" s="8"/>
      <c r="U2366" s="8" t="s">
        <v>530</v>
      </c>
      <c r="V2366" s="8" t="s">
        <v>415</v>
      </c>
      <c r="W2366" s="8" t="s">
        <v>380</v>
      </c>
      <c r="X2366" s="8" t="s">
        <v>102</v>
      </c>
      <c r="Y2366" s="8" t="s">
        <v>23</v>
      </c>
    </row>
    <row r="2367" spans="1:25" s="7" customFormat="1" hidden="1" x14ac:dyDescent="0.25">
      <c r="A2367" s="273" t="s">
        <v>322</v>
      </c>
      <c r="B2367" s="251">
        <v>46007</v>
      </c>
      <c r="C2367" s="252" t="s">
        <v>828</v>
      </c>
      <c r="D2367" s="252"/>
      <c r="E2367" s="253">
        <v>121</v>
      </c>
      <c r="F2367" s="253">
        <v>0</v>
      </c>
      <c r="G2367" s="274">
        <f>Tabla3[[#This Row],[INGRESOS]]-Tabla3[[#This Row],[EGRESOS]]</f>
        <v>-121</v>
      </c>
      <c r="H2367" s="274">
        <v>7521204.96</v>
      </c>
      <c r="I2367" s="135">
        <v>1410</v>
      </c>
      <c r="J2367" s="136">
        <f>Tabla3[[#This Row],[EGRESOS]]/Tabla3[[#This Row],[TC]]</f>
        <v>8.5815602836879432E-2</v>
      </c>
      <c r="K2367" s="136">
        <f>Tabla3[[#This Row],[INGRESOS]]/Tabla3[[#This Row],[TC]]</f>
        <v>0</v>
      </c>
      <c r="L2367" s="8" t="s">
        <v>376</v>
      </c>
      <c r="M2367" s="8" t="s">
        <v>377</v>
      </c>
      <c r="N2367" s="8" t="s">
        <v>20</v>
      </c>
      <c r="O2367" s="8" t="s">
        <v>184</v>
      </c>
      <c r="P2367" s="8" t="s">
        <v>185</v>
      </c>
      <c r="Q2367" s="8" t="s">
        <v>186</v>
      </c>
      <c r="R2367" s="8"/>
      <c r="S2367" s="8"/>
      <c r="T2367" s="8"/>
      <c r="U2367" s="8" t="s">
        <v>384</v>
      </c>
      <c r="V2367" s="8"/>
      <c r="W2367" s="8" t="s">
        <v>380</v>
      </c>
      <c r="X2367" s="8" t="s">
        <v>99</v>
      </c>
      <c r="Y2367" s="8" t="s">
        <v>23</v>
      </c>
    </row>
    <row r="2368" spans="1:25" s="7" customFormat="1" hidden="1" x14ac:dyDescent="0.25">
      <c r="A2368" s="273" t="s">
        <v>322</v>
      </c>
      <c r="B2368" s="251">
        <v>46007</v>
      </c>
      <c r="C2368" s="252" t="s">
        <v>1312</v>
      </c>
      <c r="D2368" s="252"/>
      <c r="E2368" s="253">
        <v>55000</v>
      </c>
      <c r="F2368" s="253">
        <v>0</v>
      </c>
      <c r="G2368" s="274">
        <f>Tabla3[[#This Row],[INGRESOS]]-Tabla3[[#This Row],[EGRESOS]]</f>
        <v>-55000</v>
      </c>
      <c r="H2368" s="274">
        <v>7466204.96</v>
      </c>
      <c r="I2368" s="135">
        <v>1410</v>
      </c>
      <c r="J2368" s="136">
        <f>Tabla3[[#This Row],[EGRESOS]]/Tabla3[[#This Row],[TC]]</f>
        <v>39.00709219858156</v>
      </c>
      <c r="K2368" s="136">
        <f>Tabla3[[#This Row],[INGRESOS]]/Tabla3[[#This Row],[TC]]</f>
        <v>0</v>
      </c>
      <c r="L2368" s="8" t="s">
        <v>376</v>
      </c>
      <c r="M2368" s="8" t="s">
        <v>377</v>
      </c>
      <c r="N2368" s="8" t="s">
        <v>20</v>
      </c>
      <c r="O2368" s="8" t="s">
        <v>225</v>
      </c>
      <c r="P2368" s="8" t="s">
        <v>236</v>
      </c>
      <c r="Q2368" s="8"/>
      <c r="R2368" s="8" t="s">
        <v>1313</v>
      </c>
      <c r="S2368" s="8" t="s">
        <v>1314</v>
      </c>
      <c r="T2368" s="8"/>
      <c r="U2368" s="8" t="s">
        <v>412</v>
      </c>
      <c r="V2368" s="8"/>
      <c r="W2368" s="8" t="s">
        <v>380</v>
      </c>
      <c r="X2368" s="8" t="s">
        <v>29</v>
      </c>
      <c r="Y2368" s="8" t="s">
        <v>23</v>
      </c>
    </row>
    <row r="2369" spans="1:25" s="7" customFormat="1" hidden="1" x14ac:dyDescent="0.25">
      <c r="A2369" s="273" t="s">
        <v>322</v>
      </c>
      <c r="B2369" s="251">
        <v>46007</v>
      </c>
      <c r="C2369" s="252" t="s">
        <v>1315</v>
      </c>
      <c r="D2369" s="252"/>
      <c r="E2369" s="253">
        <v>199559.81</v>
      </c>
      <c r="F2369" s="253">
        <v>0</v>
      </c>
      <c r="G2369" s="274">
        <f>Tabla3[[#This Row],[INGRESOS]]-Tabla3[[#This Row],[EGRESOS]]</f>
        <v>-199559.81</v>
      </c>
      <c r="H2369" s="274">
        <v>7266645.1500000004</v>
      </c>
      <c r="I2369" s="135">
        <v>1410</v>
      </c>
      <c r="J2369" s="136">
        <f>Tabla3[[#This Row],[EGRESOS]]/Tabla3[[#This Row],[TC]]</f>
        <v>141.53178014184397</v>
      </c>
      <c r="K2369" s="136">
        <f>Tabla3[[#This Row],[INGRESOS]]/Tabla3[[#This Row],[TC]]</f>
        <v>0</v>
      </c>
      <c r="L2369" s="8" t="s">
        <v>376</v>
      </c>
      <c r="M2369" s="8" t="s">
        <v>377</v>
      </c>
      <c r="N2369" s="8" t="s">
        <v>20</v>
      </c>
      <c r="O2369" s="8" t="s">
        <v>184</v>
      </c>
      <c r="P2369" s="8" t="s">
        <v>185</v>
      </c>
      <c r="Q2369" s="8" t="s">
        <v>194</v>
      </c>
      <c r="R2369" s="8" t="s">
        <v>1316</v>
      </c>
      <c r="S2369" s="8" t="s">
        <v>1315</v>
      </c>
      <c r="T2369" s="8"/>
      <c r="U2369" s="8" t="s">
        <v>384</v>
      </c>
      <c r="V2369" s="8"/>
      <c r="W2369" s="8" t="s">
        <v>380</v>
      </c>
      <c r="X2369" s="8" t="s">
        <v>99</v>
      </c>
      <c r="Y2369" s="8" t="s">
        <v>23</v>
      </c>
    </row>
    <row r="2370" spans="1:25" s="7" customFormat="1" hidden="1" x14ac:dyDescent="0.25">
      <c r="A2370" s="273" t="s">
        <v>322</v>
      </c>
      <c r="B2370" s="251">
        <v>46007</v>
      </c>
      <c r="C2370" s="252" t="s">
        <v>773</v>
      </c>
      <c r="D2370" s="252"/>
      <c r="E2370" s="253">
        <v>37263.51</v>
      </c>
      <c r="F2370" s="253">
        <v>0</v>
      </c>
      <c r="G2370" s="274">
        <f>Tabla3[[#This Row],[INGRESOS]]-Tabla3[[#This Row],[EGRESOS]]</f>
        <v>-37263.51</v>
      </c>
      <c r="H2370" s="274">
        <v>7229381.6399999997</v>
      </c>
      <c r="I2370" s="135">
        <v>1410</v>
      </c>
      <c r="J2370" s="136">
        <f>Tabla3[[#This Row],[EGRESOS]]/Tabla3[[#This Row],[TC]]</f>
        <v>26.428021276595747</v>
      </c>
      <c r="K2370" s="136">
        <f>Tabla3[[#This Row],[INGRESOS]]/Tabla3[[#This Row],[TC]]</f>
        <v>0</v>
      </c>
      <c r="L2370" s="8" t="s">
        <v>376</v>
      </c>
      <c r="M2370" s="8" t="s">
        <v>377</v>
      </c>
      <c r="N2370" s="8" t="s">
        <v>20</v>
      </c>
      <c r="O2370" s="8" t="s">
        <v>184</v>
      </c>
      <c r="P2370" s="8" t="s">
        <v>195</v>
      </c>
      <c r="Q2370" s="8" t="s">
        <v>196</v>
      </c>
      <c r="R2370" s="8" t="s">
        <v>394</v>
      </c>
      <c r="S2370" s="8"/>
      <c r="T2370" s="8"/>
      <c r="U2370" s="8" t="s">
        <v>384</v>
      </c>
      <c r="V2370" s="8"/>
      <c r="W2370" s="8" t="s">
        <v>380</v>
      </c>
      <c r="X2370" s="8" t="s">
        <v>99</v>
      </c>
      <c r="Y2370" s="8" t="s">
        <v>23</v>
      </c>
    </row>
    <row r="2371" spans="1:25" s="7" customFormat="1" hidden="1" x14ac:dyDescent="0.25">
      <c r="A2371" s="273" t="s">
        <v>322</v>
      </c>
      <c r="B2371" s="251">
        <v>46008</v>
      </c>
      <c r="C2371" s="252" t="s">
        <v>782</v>
      </c>
      <c r="D2371" s="252" t="s">
        <v>1317</v>
      </c>
      <c r="E2371" s="253">
        <v>250000</v>
      </c>
      <c r="F2371" s="253">
        <v>0</v>
      </c>
      <c r="G2371" s="274">
        <f>Tabla3[[#This Row],[INGRESOS]]-Tabla3[[#This Row],[EGRESOS]]</f>
        <v>-250000</v>
      </c>
      <c r="H2371" s="274">
        <v>6979381.6399999997</v>
      </c>
      <c r="I2371" s="135">
        <v>1410</v>
      </c>
      <c r="J2371" s="136">
        <f>Tabla3[[#This Row],[EGRESOS]]/Tabla3[[#This Row],[TC]]</f>
        <v>177.3049645390071</v>
      </c>
      <c r="K2371" s="136">
        <f>Tabla3[[#This Row],[INGRESOS]]/Tabla3[[#This Row],[TC]]</f>
        <v>0</v>
      </c>
      <c r="L2371" s="8" t="s">
        <v>376</v>
      </c>
      <c r="M2371" s="8" t="s">
        <v>377</v>
      </c>
      <c r="N2371" s="8" t="s">
        <v>20</v>
      </c>
      <c r="O2371" s="8" t="s">
        <v>184</v>
      </c>
      <c r="P2371" s="8" t="s">
        <v>199</v>
      </c>
      <c r="Q2371" s="8" t="s">
        <v>201</v>
      </c>
      <c r="R2371" s="8" t="s">
        <v>1235</v>
      </c>
      <c r="S2371" s="8" t="s">
        <v>389</v>
      </c>
      <c r="T2371" s="8"/>
      <c r="U2371" s="8" t="s">
        <v>390</v>
      </c>
      <c r="V2371" s="8"/>
      <c r="W2371" s="8" t="s">
        <v>380</v>
      </c>
      <c r="X2371" s="8" t="s">
        <v>99</v>
      </c>
      <c r="Y2371" s="8" t="s">
        <v>23</v>
      </c>
    </row>
    <row r="2372" spans="1:25" s="7" customFormat="1" hidden="1" x14ac:dyDescent="0.25">
      <c r="A2372" s="273" t="s">
        <v>322</v>
      </c>
      <c r="B2372" s="251">
        <v>46008</v>
      </c>
      <c r="C2372" s="252" t="s">
        <v>773</v>
      </c>
      <c r="D2372" s="252"/>
      <c r="E2372" s="253">
        <v>1500</v>
      </c>
      <c r="F2372" s="253">
        <v>0</v>
      </c>
      <c r="G2372" s="274">
        <f>Tabla3[[#This Row],[INGRESOS]]-Tabla3[[#This Row],[EGRESOS]]</f>
        <v>-1500</v>
      </c>
      <c r="H2372" s="274">
        <v>6977881.6399999997</v>
      </c>
      <c r="I2372" s="135">
        <v>1410</v>
      </c>
      <c r="J2372" s="136">
        <f>Tabla3[[#This Row],[EGRESOS]]/Tabla3[[#This Row],[TC]]</f>
        <v>1.0638297872340425</v>
      </c>
      <c r="K2372" s="136">
        <f>Tabla3[[#This Row],[INGRESOS]]/Tabla3[[#This Row],[TC]]</f>
        <v>0</v>
      </c>
      <c r="L2372" s="8" t="s">
        <v>376</v>
      </c>
      <c r="M2372" s="8" t="s">
        <v>377</v>
      </c>
      <c r="N2372" s="8" t="s">
        <v>20</v>
      </c>
      <c r="O2372" s="8" t="s">
        <v>184</v>
      </c>
      <c r="P2372" s="8" t="s">
        <v>195</v>
      </c>
      <c r="Q2372" s="8" t="s">
        <v>196</v>
      </c>
      <c r="R2372" s="8" t="s">
        <v>394</v>
      </c>
      <c r="S2372" s="8"/>
      <c r="T2372" s="8"/>
      <c r="U2372" s="8" t="s">
        <v>384</v>
      </c>
      <c r="V2372" s="8"/>
      <c r="W2372" s="8" t="s">
        <v>380</v>
      </c>
      <c r="X2372" s="8" t="s">
        <v>99</v>
      </c>
      <c r="Y2372" s="8" t="s">
        <v>23</v>
      </c>
    </row>
    <row r="2373" spans="1:25" s="7" customFormat="1" hidden="1" x14ac:dyDescent="0.25">
      <c r="A2373" s="273" t="s">
        <v>322</v>
      </c>
      <c r="B2373" s="251">
        <v>46008</v>
      </c>
      <c r="C2373" s="252" t="s">
        <v>795</v>
      </c>
      <c r="D2373" s="252"/>
      <c r="E2373" s="253">
        <v>932912.3</v>
      </c>
      <c r="F2373" s="253">
        <v>0</v>
      </c>
      <c r="G2373" s="274">
        <f>Tabla3[[#This Row],[INGRESOS]]-Tabla3[[#This Row],[EGRESOS]]</f>
        <v>-932912.3</v>
      </c>
      <c r="H2373" s="274">
        <v>6044969.3399999999</v>
      </c>
      <c r="I2373" s="135">
        <v>1410</v>
      </c>
      <c r="J2373" s="136">
        <f>Tabla3[[#This Row],[EGRESOS]]/Tabla3[[#This Row],[TC]]</f>
        <v>661.63992907801423</v>
      </c>
      <c r="K2373" s="136">
        <f>Tabla3[[#This Row],[INGRESOS]]/Tabla3[[#This Row],[TC]]</f>
        <v>0</v>
      </c>
      <c r="L2373" s="8" t="s">
        <v>376</v>
      </c>
      <c r="M2373" s="8" t="s">
        <v>377</v>
      </c>
      <c r="N2373" s="8" t="s">
        <v>20</v>
      </c>
      <c r="O2373" s="8" t="s">
        <v>244</v>
      </c>
      <c r="P2373" s="8" t="s">
        <v>259</v>
      </c>
      <c r="Q2373" s="8" t="s">
        <v>260</v>
      </c>
      <c r="R2373" s="8" t="s">
        <v>804</v>
      </c>
      <c r="S2373" s="8"/>
      <c r="T2373" s="8"/>
      <c r="U2373" s="8" t="s">
        <v>379</v>
      </c>
      <c r="V2373" s="8"/>
      <c r="W2373" s="8"/>
      <c r="X2373" s="8"/>
      <c r="Y2373" s="8"/>
    </row>
    <row r="2374" spans="1:25" s="7" customFormat="1" hidden="1" x14ac:dyDescent="0.25">
      <c r="A2374" s="273" t="s">
        <v>322</v>
      </c>
      <c r="B2374" s="251">
        <v>46009</v>
      </c>
      <c r="C2374" s="252" t="s">
        <v>782</v>
      </c>
      <c r="D2374" s="252" t="s">
        <v>1318</v>
      </c>
      <c r="E2374" s="253">
        <v>4480146</v>
      </c>
      <c r="F2374" s="253">
        <v>0</v>
      </c>
      <c r="G2374" s="274">
        <f>Tabla3[[#This Row],[INGRESOS]]-Tabla3[[#This Row],[EGRESOS]]</f>
        <v>-4480146</v>
      </c>
      <c r="H2374" s="274">
        <v>1564823.34</v>
      </c>
      <c r="I2374" s="135">
        <v>1410</v>
      </c>
      <c r="J2374" s="136">
        <f>Tabla3[[#This Row],[EGRESOS]]/Tabla3[[#This Row],[TC]]</f>
        <v>3177.4085106382977</v>
      </c>
      <c r="K2374" s="136">
        <f>Tabla3[[#This Row],[INGRESOS]]/Tabla3[[#This Row],[TC]]</f>
        <v>0</v>
      </c>
      <c r="L2374" s="8" t="s">
        <v>376</v>
      </c>
      <c r="M2374" s="8" t="s">
        <v>377</v>
      </c>
      <c r="N2374" s="8" t="s">
        <v>20</v>
      </c>
      <c r="O2374" s="8" t="s">
        <v>215</v>
      </c>
      <c r="P2374" s="8" t="s">
        <v>216</v>
      </c>
      <c r="Q2374" s="8" t="s">
        <v>220</v>
      </c>
      <c r="R2374" s="8" t="s">
        <v>328</v>
      </c>
      <c r="S2374" s="8" t="s">
        <v>1319</v>
      </c>
      <c r="T2374" s="8" t="s">
        <v>1320</v>
      </c>
      <c r="U2374" s="8" t="s">
        <v>412</v>
      </c>
      <c r="V2374" s="8"/>
      <c r="W2374" s="8" t="s">
        <v>380</v>
      </c>
      <c r="X2374" s="8" t="s">
        <v>41</v>
      </c>
      <c r="Y2374" s="8" t="s">
        <v>23</v>
      </c>
    </row>
    <row r="2375" spans="1:25" s="7" customFormat="1" hidden="1" x14ac:dyDescent="0.25">
      <c r="A2375" s="273" t="s">
        <v>322</v>
      </c>
      <c r="B2375" s="251">
        <v>46009</v>
      </c>
      <c r="C2375" s="252" t="s">
        <v>773</v>
      </c>
      <c r="D2375" s="252"/>
      <c r="E2375" s="253">
        <v>26880.880000000001</v>
      </c>
      <c r="F2375" s="253">
        <v>0</v>
      </c>
      <c r="G2375" s="274">
        <f>Tabla3[[#This Row],[INGRESOS]]-Tabla3[[#This Row],[EGRESOS]]</f>
        <v>-26880.880000000001</v>
      </c>
      <c r="H2375" s="274">
        <v>1537942.46</v>
      </c>
      <c r="I2375" s="135">
        <v>1410</v>
      </c>
      <c r="J2375" s="136">
        <f>Tabla3[[#This Row],[EGRESOS]]/Tabla3[[#This Row],[TC]]</f>
        <v>19.064453900709221</v>
      </c>
      <c r="K2375" s="136">
        <f>Tabla3[[#This Row],[INGRESOS]]/Tabla3[[#This Row],[TC]]</f>
        <v>0</v>
      </c>
      <c r="L2375" s="8" t="s">
        <v>376</v>
      </c>
      <c r="M2375" s="8" t="s">
        <v>377</v>
      </c>
      <c r="N2375" s="8" t="s">
        <v>20</v>
      </c>
      <c r="O2375" s="8" t="s">
        <v>184</v>
      </c>
      <c r="P2375" s="8" t="s">
        <v>195</v>
      </c>
      <c r="Q2375" s="8" t="s">
        <v>196</v>
      </c>
      <c r="R2375" s="8" t="s">
        <v>394</v>
      </c>
      <c r="S2375" s="8"/>
      <c r="T2375" s="8"/>
      <c r="U2375" s="8" t="s">
        <v>384</v>
      </c>
      <c r="V2375" s="8"/>
      <c r="W2375" s="8" t="s">
        <v>380</v>
      </c>
      <c r="X2375" s="8" t="s">
        <v>99</v>
      </c>
      <c r="Y2375" s="8" t="s">
        <v>23</v>
      </c>
    </row>
    <row r="2376" spans="1:25" s="7" customFormat="1" hidden="1" x14ac:dyDescent="0.25">
      <c r="A2376" s="273" t="s">
        <v>322</v>
      </c>
      <c r="B2376" s="251">
        <v>46010</v>
      </c>
      <c r="C2376" s="252" t="s">
        <v>782</v>
      </c>
      <c r="D2376" s="252" t="s">
        <v>1321</v>
      </c>
      <c r="E2376" s="253">
        <v>185000</v>
      </c>
      <c r="F2376" s="253">
        <v>0</v>
      </c>
      <c r="G2376" s="274">
        <f>Tabla3[[#This Row],[INGRESOS]]-Tabla3[[#This Row],[EGRESOS]]</f>
        <v>-185000</v>
      </c>
      <c r="H2376" s="274">
        <v>1352942.46</v>
      </c>
      <c r="I2376" s="135">
        <v>1410</v>
      </c>
      <c r="J2376" s="136">
        <f>Tabla3[[#This Row],[EGRESOS]]/Tabla3[[#This Row],[TC]]</f>
        <v>131.20567375886526</v>
      </c>
      <c r="K2376" s="136">
        <f>Tabla3[[#This Row],[INGRESOS]]/Tabla3[[#This Row],[TC]]</f>
        <v>0</v>
      </c>
      <c r="L2376" s="8" t="s">
        <v>376</v>
      </c>
      <c r="M2376" s="8" t="s">
        <v>377</v>
      </c>
      <c r="N2376" s="8" t="s">
        <v>20</v>
      </c>
      <c r="O2376" s="8" t="s">
        <v>225</v>
      </c>
      <c r="P2376" s="8" t="s">
        <v>236</v>
      </c>
      <c r="Q2376" s="8"/>
      <c r="R2376" s="8"/>
      <c r="S2376" s="8" t="s">
        <v>586</v>
      </c>
      <c r="T2376" s="8" t="s">
        <v>1322</v>
      </c>
      <c r="U2376" s="8" t="s">
        <v>412</v>
      </c>
      <c r="V2376" s="8"/>
      <c r="W2376" s="8" t="s">
        <v>380</v>
      </c>
      <c r="X2376" s="8" t="s">
        <v>29</v>
      </c>
      <c r="Y2376" s="8" t="s">
        <v>23</v>
      </c>
    </row>
    <row r="2377" spans="1:25" s="7" customFormat="1" hidden="1" x14ac:dyDescent="0.25">
      <c r="A2377" s="273" t="s">
        <v>322</v>
      </c>
      <c r="B2377" s="251">
        <v>46010</v>
      </c>
      <c r="C2377" s="252" t="s">
        <v>822</v>
      </c>
      <c r="D2377" s="252"/>
      <c r="E2377" s="253">
        <v>8067</v>
      </c>
      <c r="F2377" s="253">
        <v>0</v>
      </c>
      <c r="G2377" s="274">
        <f>Tabla3[[#This Row],[INGRESOS]]-Tabla3[[#This Row],[EGRESOS]]</f>
        <v>-8067</v>
      </c>
      <c r="H2377" s="274">
        <v>1344875.46</v>
      </c>
      <c r="I2377" s="135">
        <v>1450</v>
      </c>
      <c r="J2377" s="136">
        <f>Tabla3[[#This Row],[EGRESOS]]/Tabla3[[#This Row],[TC]]</f>
        <v>5.5634482758620694</v>
      </c>
      <c r="K2377" s="136">
        <f>Tabla3[[#This Row],[INGRESOS]]/Tabla3[[#This Row],[TC]]</f>
        <v>0</v>
      </c>
      <c r="L2377" s="8" t="s">
        <v>376</v>
      </c>
      <c r="M2377" s="8" t="s">
        <v>377</v>
      </c>
      <c r="N2377" s="8" t="s">
        <v>20</v>
      </c>
      <c r="O2377" s="8" t="s">
        <v>184</v>
      </c>
      <c r="P2377" s="8" t="s">
        <v>185</v>
      </c>
      <c r="Q2377" s="8" t="s">
        <v>189</v>
      </c>
      <c r="R2377" s="8"/>
      <c r="S2377" s="8"/>
      <c r="T2377" s="8"/>
      <c r="U2377" s="8" t="s">
        <v>384</v>
      </c>
      <c r="V2377" s="8"/>
      <c r="W2377" s="8" t="s">
        <v>380</v>
      </c>
      <c r="X2377" s="8" t="s">
        <v>99</v>
      </c>
      <c r="Y2377" s="8" t="s">
        <v>23</v>
      </c>
    </row>
    <row r="2378" spans="1:25" s="7" customFormat="1" hidden="1" x14ac:dyDescent="0.25">
      <c r="A2378" s="273" t="s">
        <v>322</v>
      </c>
      <c r="B2378" s="251">
        <v>46010</v>
      </c>
      <c r="C2378" s="252" t="s">
        <v>773</v>
      </c>
      <c r="D2378" s="252"/>
      <c r="E2378" s="253">
        <v>1158.4000000000001</v>
      </c>
      <c r="F2378" s="253">
        <v>0</v>
      </c>
      <c r="G2378" s="274">
        <f>Tabla3[[#This Row],[INGRESOS]]-Tabla3[[#This Row],[EGRESOS]]</f>
        <v>-1158.4000000000001</v>
      </c>
      <c r="H2378" s="274">
        <v>1343717.06</v>
      </c>
      <c r="I2378" s="135">
        <v>1450</v>
      </c>
      <c r="J2378" s="136">
        <f>Tabla3[[#This Row],[EGRESOS]]/Tabla3[[#This Row],[TC]]</f>
        <v>0.79889655172413798</v>
      </c>
      <c r="K2378" s="136">
        <f>Tabla3[[#This Row],[INGRESOS]]/Tabla3[[#This Row],[TC]]</f>
        <v>0</v>
      </c>
      <c r="L2378" s="8" t="s">
        <v>376</v>
      </c>
      <c r="M2378" s="8" t="s">
        <v>377</v>
      </c>
      <c r="N2378" s="8" t="s">
        <v>20</v>
      </c>
      <c r="O2378" s="8" t="s">
        <v>184</v>
      </c>
      <c r="P2378" s="8" t="s">
        <v>195</v>
      </c>
      <c r="Q2378" s="8" t="s">
        <v>196</v>
      </c>
      <c r="R2378" s="8" t="s">
        <v>394</v>
      </c>
      <c r="S2378" s="8"/>
      <c r="T2378" s="8"/>
      <c r="U2378" s="8" t="s">
        <v>384</v>
      </c>
      <c r="V2378" s="8"/>
      <c r="W2378" s="8" t="s">
        <v>380</v>
      </c>
      <c r="X2378" s="8" t="s">
        <v>99</v>
      </c>
      <c r="Y2378" s="8" t="s">
        <v>23</v>
      </c>
    </row>
    <row r="2379" spans="1:25" s="7" customFormat="1" hidden="1" x14ac:dyDescent="0.25">
      <c r="A2379" s="273" t="s">
        <v>322</v>
      </c>
      <c r="B2379" s="251">
        <v>46013</v>
      </c>
      <c r="C2379" s="252" t="s">
        <v>782</v>
      </c>
      <c r="D2379" s="252" t="s">
        <v>1323</v>
      </c>
      <c r="E2379" s="253">
        <v>1466676</v>
      </c>
      <c r="F2379" s="253">
        <v>0</v>
      </c>
      <c r="G2379" s="274">
        <f>Tabla3[[#This Row],[INGRESOS]]-Tabla3[[#This Row],[EGRESOS]]</f>
        <v>-1466676</v>
      </c>
      <c r="H2379" s="274">
        <v>-122958.94</v>
      </c>
      <c r="I2379" s="135">
        <v>1450</v>
      </c>
      <c r="J2379" s="136">
        <f>Tabla3[[#This Row],[EGRESOS]]/Tabla3[[#This Row],[TC]]</f>
        <v>1011.5006896551724</v>
      </c>
      <c r="K2379" s="136">
        <f>Tabla3[[#This Row],[INGRESOS]]/Tabla3[[#This Row],[TC]]</f>
        <v>0</v>
      </c>
      <c r="L2379" s="8" t="s">
        <v>376</v>
      </c>
      <c r="M2379" s="8" t="s">
        <v>377</v>
      </c>
      <c r="N2379" s="8" t="s">
        <v>20</v>
      </c>
      <c r="O2379" s="8" t="s">
        <v>286</v>
      </c>
      <c r="P2379" s="8" t="s">
        <v>287</v>
      </c>
      <c r="Q2379" s="8" t="s">
        <v>289</v>
      </c>
      <c r="R2379" s="8"/>
      <c r="S2379" s="8" t="s">
        <v>653</v>
      </c>
      <c r="T2379" s="8" t="s">
        <v>1324</v>
      </c>
      <c r="U2379" s="8" t="s">
        <v>412</v>
      </c>
      <c r="V2379" s="8"/>
      <c r="W2379" s="8" t="s">
        <v>380</v>
      </c>
      <c r="X2379" s="8" t="s">
        <v>29</v>
      </c>
      <c r="Y2379" s="8" t="s">
        <v>23</v>
      </c>
    </row>
    <row r="2380" spans="1:25" s="7" customFormat="1" hidden="1" x14ac:dyDescent="0.25">
      <c r="A2380" s="273" t="s">
        <v>322</v>
      </c>
      <c r="B2380" s="251">
        <v>46013</v>
      </c>
      <c r="C2380" s="252" t="s">
        <v>782</v>
      </c>
      <c r="D2380" s="252" t="s">
        <v>1325</v>
      </c>
      <c r="E2380" s="253">
        <v>264500</v>
      </c>
      <c r="F2380" s="253">
        <v>0</v>
      </c>
      <c r="G2380" s="274">
        <f>Tabla3[[#This Row],[INGRESOS]]-Tabla3[[#This Row],[EGRESOS]]</f>
        <v>-264500</v>
      </c>
      <c r="H2380" s="337">
        <v>-387458.94</v>
      </c>
      <c r="I2380" s="135">
        <v>1450</v>
      </c>
      <c r="J2380" s="136">
        <f>Tabla3[[#This Row],[EGRESOS]]/Tabla3[[#This Row],[TC]]</f>
        <v>182.41379310344828</v>
      </c>
      <c r="K2380" s="136">
        <f>Tabla3[[#This Row],[INGRESOS]]/Tabla3[[#This Row],[TC]]</f>
        <v>0</v>
      </c>
      <c r="L2380" s="8" t="s">
        <v>376</v>
      </c>
      <c r="M2380" s="8" t="s">
        <v>377</v>
      </c>
      <c r="N2380" s="8" t="s">
        <v>20</v>
      </c>
      <c r="O2380" s="8" t="s">
        <v>225</v>
      </c>
      <c r="P2380" s="8" t="s">
        <v>226</v>
      </c>
      <c r="Q2380" s="8" t="s">
        <v>232</v>
      </c>
      <c r="R2380" s="8"/>
      <c r="S2380" s="8" t="s">
        <v>872</v>
      </c>
      <c r="T2380" s="8"/>
      <c r="U2380" s="8" t="s">
        <v>403</v>
      </c>
      <c r="V2380" s="8"/>
      <c r="W2380" s="8" t="s">
        <v>380</v>
      </c>
      <c r="X2380" s="8" t="s">
        <v>29</v>
      </c>
      <c r="Y2380" s="8" t="s">
        <v>23</v>
      </c>
    </row>
    <row r="2381" spans="1:25" s="7" customFormat="1" hidden="1" x14ac:dyDescent="0.25">
      <c r="A2381" s="273" t="s">
        <v>322</v>
      </c>
      <c r="B2381" s="251">
        <v>46013</v>
      </c>
      <c r="C2381" s="252" t="s">
        <v>762</v>
      </c>
      <c r="D2381" s="252"/>
      <c r="E2381" s="253">
        <v>6352.5</v>
      </c>
      <c r="F2381" s="253">
        <v>0</v>
      </c>
      <c r="G2381" s="274">
        <f>Tabla3[[#This Row],[INGRESOS]]-Tabla3[[#This Row],[EGRESOS]]</f>
        <v>-6352.5</v>
      </c>
      <c r="H2381" s="274">
        <v>-393811.44</v>
      </c>
      <c r="I2381" s="135">
        <v>1450</v>
      </c>
      <c r="J2381" s="136">
        <f>Tabla3[[#This Row],[EGRESOS]]/Tabla3[[#This Row],[TC]]</f>
        <v>4.3810344827586203</v>
      </c>
      <c r="K2381" s="136">
        <f>Tabla3[[#This Row],[INGRESOS]]/Tabla3[[#This Row],[TC]]</f>
        <v>0</v>
      </c>
      <c r="L2381" s="8" t="s">
        <v>376</v>
      </c>
      <c r="M2381" s="8" t="s">
        <v>377</v>
      </c>
      <c r="N2381" s="8" t="s">
        <v>20</v>
      </c>
      <c r="O2381" s="8" t="s">
        <v>184</v>
      </c>
      <c r="P2381" s="8" t="s">
        <v>195</v>
      </c>
      <c r="Q2381" s="8" t="s">
        <v>196</v>
      </c>
      <c r="R2381" s="8" t="s">
        <v>382</v>
      </c>
      <c r="S2381" s="8"/>
      <c r="T2381" s="8"/>
      <c r="U2381" s="8" t="s">
        <v>384</v>
      </c>
      <c r="V2381" s="8"/>
      <c r="W2381" s="8" t="s">
        <v>380</v>
      </c>
      <c r="X2381" s="8" t="s">
        <v>99</v>
      </c>
      <c r="Y2381" s="8" t="s">
        <v>23</v>
      </c>
    </row>
    <row r="2382" spans="1:25" s="7" customFormat="1" hidden="1" x14ac:dyDescent="0.25">
      <c r="A2382" s="273" t="s">
        <v>322</v>
      </c>
      <c r="B2382" s="251">
        <v>46013</v>
      </c>
      <c r="C2382" s="252" t="s">
        <v>763</v>
      </c>
      <c r="D2382" s="252"/>
      <c r="E2382" s="253">
        <v>907.5</v>
      </c>
      <c r="F2382" s="253">
        <v>0</v>
      </c>
      <c r="G2382" s="274">
        <f>Tabla3[[#This Row],[INGRESOS]]-Tabla3[[#This Row],[EGRESOS]]</f>
        <v>-907.5</v>
      </c>
      <c r="H2382" s="274">
        <v>-394718.94</v>
      </c>
      <c r="I2382" s="135">
        <v>1450</v>
      </c>
      <c r="J2382" s="136">
        <f>Tabla3[[#This Row],[EGRESOS]]/Tabla3[[#This Row],[TC]]</f>
        <v>0.62586206896551722</v>
      </c>
      <c r="K2382" s="136">
        <f>Tabla3[[#This Row],[INGRESOS]]/Tabla3[[#This Row],[TC]]</f>
        <v>0</v>
      </c>
      <c r="L2382" s="8" t="s">
        <v>376</v>
      </c>
      <c r="M2382" s="8" t="s">
        <v>377</v>
      </c>
      <c r="N2382" s="8" t="s">
        <v>20</v>
      </c>
      <c r="O2382" s="8" t="s">
        <v>184</v>
      </c>
      <c r="P2382" s="8" t="s">
        <v>195</v>
      </c>
      <c r="Q2382" s="8" t="s">
        <v>196</v>
      </c>
      <c r="R2382" s="8" t="s">
        <v>417</v>
      </c>
      <c r="S2382" s="8" t="s">
        <v>383</v>
      </c>
      <c r="T2382" s="8"/>
      <c r="U2382" s="8" t="s">
        <v>384</v>
      </c>
      <c r="V2382" s="8"/>
      <c r="W2382" s="8" t="s">
        <v>380</v>
      </c>
      <c r="X2382" s="8" t="s">
        <v>99</v>
      </c>
      <c r="Y2382" s="8" t="s">
        <v>23</v>
      </c>
    </row>
    <row r="2383" spans="1:25" s="7" customFormat="1" hidden="1" x14ac:dyDescent="0.25">
      <c r="A2383" s="273" t="s">
        <v>322</v>
      </c>
      <c r="B2383" s="251">
        <v>46013</v>
      </c>
      <c r="C2383" s="252" t="s">
        <v>936</v>
      </c>
      <c r="D2383" s="252"/>
      <c r="E2383" s="253">
        <v>30250</v>
      </c>
      <c r="F2383" s="253">
        <v>0</v>
      </c>
      <c r="G2383" s="274">
        <f>Tabla3[[#This Row],[INGRESOS]]-Tabla3[[#This Row],[EGRESOS]]</f>
        <v>-30250</v>
      </c>
      <c r="H2383" s="274">
        <v>-424968.94</v>
      </c>
      <c r="I2383" s="135">
        <v>1450</v>
      </c>
      <c r="J2383" s="136">
        <f>Tabla3[[#This Row],[EGRESOS]]/Tabla3[[#This Row],[TC]]</f>
        <v>20.862068965517242</v>
      </c>
      <c r="K2383" s="136">
        <f>Tabla3[[#This Row],[INGRESOS]]/Tabla3[[#This Row],[TC]]</f>
        <v>0</v>
      </c>
      <c r="L2383" s="8" t="s">
        <v>376</v>
      </c>
      <c r="M2383" s="8" t="s">
        <v>377</v>
      </c>
      <c r="N2383" s="8" t="s">
        <v>20</v>
      </c>
      <c r="O2383" s="8" t="s">
        <v>184</v>
      </c>
      <c r="P2383" s="8" t="s">
        <v>185</v>
      </c>
      <c r="Q2383" s="8" t="s">
        <v>186</v>
      </c>
      <c r="R2383" s="8"/>
      <c r="S2383" s="8"/>
      <c r="T2383" s="8"/>
      <c r="U2383" s="8" t="s">
        <v>384</v>
      </c>
      <c r="V2383" s="8"/>
      <c r="W2383" s="8" t="s">
        <v>380</v>
      </c>
      <c r="X2383" s="8" t="s">
        <v>99</v>
      </c>
      <c r="Y2383" s="8" t="s">
        <v>23</v>
      </c>
    </row>
    <row r="2384" spans="1:25" s="7" customFormat="1" hidden="1" x14ac:dyDescent="0.25">
      <c r="A2384" s="273" t="s">
        <v>322</v>
      </c>
      <c r="B2384" s="251">
        <v>46013</v>
      </c>
      <c r="C2384" s="252" t="s">
        <v>800</v>
      </c>
      <c r="D2384" s="252"/>
      <c r="E2384" s="253">
        <v>30000</v>
      </c>
      <c r="F2384" s="253">
        <v>0</v>
      </c>
      <c r="G2384" s="274">
        <f>Tabla3[[#This Row],[INGRESOS]]-Tabla3[[#This Row],[EGRESOS]]</f>
        <v>-30000</v>
      </c>
      <c r="H2384" s="274">
        <v>-454968.94</v>
      </c>
      <c r="I2384" s="135">
        <v>1450</v>
      </c>
      <c r="J2384" s="136">
        <f>Tabla3[[#This Row],[EGRESOS]]/Tabla3[[#This Row],[TC]]</f>
        <v>20.689655172413794</v>
      </c>
      <c r="K2384" s="136">
        <f>Tabla3[[#This Row],[INGRESOS]]/Tabla3[[#This Row],[TC]]</f>
        <v>0</v>
      </c>
      <c r="L2384" s="8" t="s">
        <v>376</v>
      </c>
      <c r="M2384" s="8" t="s">
        <v>377</v>
      </c>
      <c r="N2384" s="8" t="s">
        <v>20</v>
      </c>
      <c r="O2384" s="8" t="s">
        <v>215</v>
      </c>
      <c r="P2384" s="8" t="s">
        <v>216</v>
      </c>
      <c r="Q2384" s="8" t="s">
        <v>222</v>
      </c>
      <c r="R2384" s="8" t="s">
        <v>1326</v>
      </c>
      <c r="S2384" s="8" t="s">
        <v>1327</v>
      </c>
      <c r="T2384" s="8" t="s">
        <v>1328</v>
      </c>
      <c r="U2384" s="8" t="s">
        <v>412</v>
      </c>
      <c r="V2384" s="8"/>
      <c r="W2384" s="8" t="s">
        <v>380</v>
      </c>
      <c r="X2384" s="8" t="s">
        <v>29</v>
      </c>
      <c r="Y2384" s="8" t="s">
        <v>23</v>
      </c>
    </row>
    <row r="2385" spans="1:25" s="7" customFormat="1" hidden="1" x14ac:dyDescent="0.25">
      <c r="A2385" s="247" t="s">
        <v>322</v>
      </c>
      <c r="B2385" s="248">
        <v>46013</v>
      </c>
      <c r="C2385" s="244" t="s">
        <v>800</v>
      </c>
      <c r="D2385" s="244"/>
      <c r="E2385" s="249">
        <v>300000</v>
      </c>
      <c r="F2385" s="249">
        <v>0</v>
      </c>
      <c r="G2385" s="266">
        <f>Tabla3[[#This Row],[INGRESOS]]-Tabla3[[#This Row],[EGRESOS]]</f>
        <v>-300000</v>
      </c>
      <c r="H2385" s="266">
        <v>-754968.94</v>
      </c>
      <c r="I2385" s="119">
        <v>1450</v>
      </c>
      <c r="J2385" s="99">
        <f>Tabla3[[#This Row],[EGRESOS]]/Tabla3[[#This Row],[TC]]</f>
        <v>206.89655172413794</v>
      </c>
      <c r="K2385" s="99">
        <f>Tabla3[[#This Row],[INGRESOS]]/Tabla3[[#This Row],[TC]]</f>
        <v>0</v>
      </c>
      <c r="L2385" s="7" t="s">
        <v>376</v>
      </c>
      <c r="M2385" s="7" t="s">
        <v>377</v>
      </c>
      <c r="N2385" s="7" t="s">
        <v>20</v>
      </c>
      <c r="O2385" s="7" t="s">
        <v>184</v>
      </c>
      <c r="P2385" s="7" t="s">
        <v>199</v>
      </c>
      <c r="Q2385" s="7" t="s">
        <v>200</v>
      </c>
      <c r="S2385" s="7" t="s">
        <v>736</v>
      </c>
      <c r="U2385" s="7" t="s">
        <v>390</v>
      </c>
      <c r="W2385" s="7" t="s">
        <v>475</v>
      </c>
      <c r="X2385" s="7" t="s">
        <v>99</v>
      </c>
      <c r="Y2385" s="7" t="s">
        <v>23</v>
      </c>
    </row>
    <row r="2386" spans="1:25" s="7" customFormat="1" hidden="1" x14ac:dyDescent="0.25">
      <c r="A2386" s="247" t="s">
        <v>322</v>
      </c>
      <c r="B2386" s="248">
        <v>46013</v>
      </c>
      <c r="C2386" s="244" t="s">
        <v>828</v>
      </c>
      <c r="D2386" s="244"/>
      <c r="E2386" s="249">
        <v>18.149999999999999</v>
      </c>
      <c r="F2386" s="249">
        <v>0</v>
      </c>
      <c r="G2386" s="266">
        <f>Tabla3[[#This Row],[INGRESOS]]-Tabla3[[#This Row],[EGRESOS]]</f>
        <v>-18.149999999999999</v>
      </c>
      <c r="H2386" s="266">
        <v>-754987.09</v>
      </c>
      <c r="I2386" s="119">
        <v>1450</v>
      </c>
      <c r="J2386" s="99">
        <f>Tabla3[[#This Row],[EGRESOS]]/Tabla3[[#This Row],[TC]]</f>
        <v>1.2517241379310344E-2</v>
      </c>
      <c r="K2386" s="99">
        <f>Tabla3[[#This Row],[INGRESOS]]/Tabla3[[#This Row],[TC]]</f>
        <v>0</v>
      </c>
      <c r="L2386" s="7" t="s">
        <v>376</v>
      </c>
      <c r="M2386" s="7" t="s">
        <v>377</v>
      </c>
      <c r="N2386" s="7" t="s">
        <v>20</v>
      </c>
      <c r="O2386" s="7" t="s">
        <v>184</v>
      </c>
      <c r="P2386" s="7" t="s">
        <v>185</v>
      </c>
      <c r="Q2386" s="7" t="s">
        <v>186</v>
      </c>
      <c r="U2386" s="7" t="s">
        <v>384</v>
      </c>
      <c r="W2386" s="7" t="s">
        <v>380</v>
      </c>
      <c r="X2386" s="7" t="s">
        <v>99</v>
      </c>
      <c r="Y2386" s="7" t="s">
        <v>23</v>
      </c>
    </row>
    <row r="2387" spans="1:25" s="7" customFormat="1" hidden="1" x14ac:dyDescent="0.25">
      <c r="A2387" s="247" t="s">
        <v>322</v>
      </c>
      <c r="B2387" s="248">
        <v>46013</v>
      </c>
      <c r="C2387" s="244" t="s">
        <v>773</v>
      </c>
      <c r="D2387" s="244"/>
      <c r="E2387" s="249">
        <v>12592.23</v>
      </c>
      <c r="F2387" s="249">
        <v>0</v>
      </c>
      <c r="G2387" s="266">
        <f>Tabla3[[#This Row],[INGRESOS]]-Tabla3[[#This Row],[EGRESOS]]</f>
        <v>-12592.23</v>
      </c>
      <c r="H2387" s="266">
        <v>-767579.32</v>
      </c>
      <c r="I2387" s="119">
        <v>1450</v>
      </c>
      <c r="J2387" s="99">
        <f>Tabla3[[#This Row],[EGRESOS]]/Tabla3[[#This Row],[TC]]</f>
        <v>8.6842965517241382</v>
      </c>
      <c r="K2387" s="99">
        <f>Tabla3[[#This Row],[INGRESOS]]/Tabla3[[#This Row],[TC]]</f>
        <v>0</v>
      </c>
      <c r="L2387" s="7" t="s">
        <v>376</v>
      </c>
      <c r="M2387" s="7" t="s">
        <v>377</v>
      </c>
      <c r="N2387" s="7" t="s">
        <v>20</v>
      </c>
      <c r="O2387" s="7" t="s">
        <v>184</v>
      </c>
      <c r="P2387" s="7" t="s">
        <v>195</v>
      </c>
      <c r="Q2387" s="7" t="s">
        <v>196</v>
      </c>
      <c r="R2387" s="7" t="s">
        <v>394</v>
      </c>
      <c r="U2387" s="7" t="s">
        <v>384</v>
      </c>
      <c r="W2387" s="7" t="s">
        <v>380</v>
      </c>
      <c r="X2387" s="7" t="s">
        <v>99</v>
      </c>
      <c r="Y2387" s="7" t="s">
        <v>23</v>
      </c>
    </row>
    <row r="2388" spans="1:25" s="7" customFormat="1" hidden="1" x14ac:dyDescent="0.25">
      <c r="A2388" s="247" t="s">
        <v>322</v>
      </c>
      <c r="B2388" s="248">
        <v>46014</v>
      </c>
      <c r="C2388" s="244" t="s">
        <v>795</v>
      </c>
      <c r="D2388" s="244"/>
      <c r="E2388" s="249">
        <v>911617.48</v>
      </c>
      <c r="F2388" s="249">
        <v>0</v>
      </c>
      <c r="G2388" s="266">
        <f>Tabla3[[#This Row],[INGRESOS]]-Tabla3[[#This Row],[EGRESOS]]</f>
        <v>-911617.48</v>
      </c>
      <c r="H2388" s="266">
        <v>-1679196.8</v>
      </c>
      <c r="I2388" s="119">
        <v>1450</v>
      </c>
      <c r="J2388" s="99">
        <f>Tabla3[[#This Row],[EGRESOS]]/Tabla3[[#This Row],[TC]]</f>
        <v>628.70171034482757</v>
      </c>
      <c r="K2388" s="99">
        <f>Tabla3[[#This Row],[INGRESOS]]/Tabla3[[#This Row],[TC]]</f>
        <v>0</v>
      </c>
      <c r="L2388" s="7" t="s">
        <v>376</v>
      </c>
      <c r="M2388" s="7" t="s">
        <v>377</v>
      </c>
      <c r="N2388" s="7" t="s">
        <v>20</v>
      </c>
      <c r="O2388" s="7" t="s">
        <v>244</v>
      </c>
      <c r="P2388" s="7" t="s">
        <v>259</v>
      </c>
      <c r="Q2388" s="7" t="s">
        <v>260</v>
      </c>
      <c r="R2388" s="7" t="s">
        <v>804</v>
      </c>
      <c r="U2388" s="7" t="s">
        <v>379</v>
      </c>
    </row>
    <row r="2389" spans="1:25" s="7" customFormat="1" hidden="1" x14ac:dyDescent="0.25">
      <c r="A2389" s="247" t="s">
        <v>322</v>
      </c>
      <c r="B2389" s="248">
        <v>46017</v>
      </c>
      <c r="C2389" s="244" t="s">
        <v>800</v>
      </c>
      <c r="D2389" s="244"/>
      <c r="E2389" s="249">
        <v>278757.65000000002</v>
      </c>
      <c r="F2389" s="249">
        <v>0</v>
      </c>
      <c r="G2389" s="266">
        <f>Tabla3[[#This Row],[INGRESOS]]-Tabla3[[#This Row],[EGRESOS]]</f>
        <v>-278757.65000000002</v>
      </c>
      <c r="H2389" s="266">
        <v>-1957954.45</v>
      </c>
      <c r="I2389" s="119">
        <v>1450</v>
      </c>
      <c r="J2389" s="99">
        <f>Tabla3[[#This Row],[EGRESOS]]/Tabla3[[#This Row],[TC]]</f>
        <v>192.2466551724138</v>
      </c>
      <c r="K2389" s="99">
        <f>Tabla3[[#This Row],[INGRESOS]]/Tabla3[[#This Row],[TC]]</f>
        <v>0</v>
      </c>
      <c r="L2389" s="7" t="s">
        <v>376</v>
      </c>
      <c r="M2389" s="7" t="s">
        <v>377</v>
      </c>
      <c r="N2389" s="7" t="s">
        <v>20</v>
      </c>
      <c r="O2389" s="7" t="s">
        <v>184</v>
      </c>
      <c r="P2389" s="7" t="s">
        <v>199</v>
      </c>
      <c r="Q2389" s="7" t="s">
        <v>201</v>
      </c>
      <c r="R2389" s="7" t="s">
        <v>1329</v>
      </c>
      <c r="S2389" s="7" t="s">
        <v>392</v>
      </c>
      <c r="U2389" s="7" t="s">
        <v>390</v>
      </c>
      <c r="W2389" s="7" t="s">
        <v>380</v>
      </c>
      <c r="X2389" s="7" t="s">
        <v>99</v>
      </c>
      <c r="Y2389" s="7" t="s">
        <v>23</v>
      </c>
    </row>
    <row r="2390" spans="1:25" s="7" customFormat="1" hidden="1" x14ac:dyDescent="0.25">
      <c r="A2390" s="247" t="s">
        <v>322</v>
      </c>
      <c r="B2390" s="248">
        <v>46017</v>
      </c>
      <c r="C2390" s="244" t="s">
        <v>828</v>
      </c>
      <c r="D2390" s="244"/>
      <c r="E2390" s="249">
        <v>18.149999999999999</v>
      </c>
      <c r="F2390" s="249">
        <v>0</v>
      </c>
      <c r="G2390" s="266">
        <f>Tabla3[[#This Row],[INGRESOS]]-Tabla3[[#This Row],[EGRESOS]]</f>
        <v>-18.149999999999999</v>
      </c>
      <c r="H2390" s="266">
        <v>-1957972.6</v>
      </c>
      <c r="I2390" s="119">
        <v>1450</v>
      </c>
      <c r="J2390" s="99">
        <f>Tabla3[[#This Row],[EGRESOS]]/Tabla3[[#This Row],[TC]]</f>
        <v>1.2517241379310344E-2</v>
      </c>
      <c r="K2390" s="99">
        <f>Tabla3[[#This Row],[INGRESOS]]/Tabla3[[#This Row],[TC]]</f>
        <v>0</v>
      </c>
      <c r="L2390" s="7" t="s">
        <v>376</v>
      </c>
      <c r="M2390" s="7" t="s">
        <v>377</v>
      </c>
      <c r="N2390" s="7" t="s">
        <v>20</v>
      </c>
      <c r="O2390" s="7" t="s">
        <v>184</v>
      </c>
      <c r="P2390" s="7" t="s">
        <v>185</v>
      </c>
      <c r="Q2390" s="7" t="s">
        <v>186</v>
      </c>
      <c r="U2390" s="7" t="s">
        <v>384</v>
      </c>
      <c r="W2390" s="7" t="s">
        <v>380</v>
      </c>
      <c r="X2390" s="7" t="s">
        <v>99</v>
      </c>
      <c r="Y2390" s="7" t="s">
        <v>23</v>
      </c>
    </row>
    <row r="2391" spans="1:25" s="7" customFormat="1" hidden="1" x14ac:dyDescent="0.25">
      <c r="A2391" s="247" t="s">
        <v>322</v>
      </c>
      <c r="B2391" s="248">
        <v>46017</v>
      </c>
      <c r="C2391" s="244" t="s">
        <v>1245</v>
      </c>
      <c r="D2391" s="244"/>
      <c r="E2391" s="249">
        <v>18.149999999999999</v>
      </c>
      <c r="F2391" s="249">
        <v>0</v>
      </c>
      <c r="G2391" s="266">
        <f>Tabla3[[#This Row],[INGRESOS]]-Tabla3[[#This Row],[EGRESOS]]</f>
        <v>-18.149999999999999</v>
      </c>
      <c r="H2391" s="266">
        <v>-1957990.75</v>
      </c>
      <c r="I2391" s="119">
        <v>1450</v>
      </c>
      <c r="J2391" s="99">
        <f>Tabla3[[#This Row],[EGRESOS]]/Tabla3[[#This Row],[TC]]</f>
        <v>1.2517241379310344E-2</v>
      </c>
      <c r="K2391" s="99">
        <f>Tabla3[[#This Row],[INGRESOS]]/Tabla3[[#This Row],[TC]]</f>
        <v>0</v>
      </c>
      <c r="L2391" s="7" t="s">
        <v>376</v>
      </c>
      <c r="M2391" s="7" t="s">
        <v>377</v>
      </c>
      <c r="N2391" s="7" t="s">
        <v>20</v>
      </c>
      <c r="O2391" s="7" t="s">
        <v>184</v>
      </c>
      <c r="P2391" s="7" t="s">
        <v>185</v>
      </c>
      <c r="Q2391" s="7" t="s">
        <v>186</v>
      </c>
      <c r="U2391" s="7" t="s">
        <v>384</v>
      </c>
      <c r="W2391" s="7" t="s">
        <v>380</v>
      </c>
      <c r="X2391" s="7" t="s">
        <v>99</v>
      </c>
      <c r="Y2391" s="7" t="s">
        <v>23</v>
      </c>
    </row>
    <row r="2392" spans="1:25" s="7" customFormat="1" hidden="1" x14ac:dyDescent="0.25">
      <c r="A2392" s="273" t="s">
        <v>322</v>
      </c>
      <c r="B2392" s="251">
        <v>46017</v>
      </c>
      <c r="C2392" s="252" t="s">
        <v>1330</v>
      </c>
      <c r="D2392" s="252"/>
      <c r="E2392" s="253">
        <v>300000</v>
      </c>
      <c r="F2392" s="253">
        <v>0</v>
      </c>
      <c r="G2392" s="274">
        <f>Tabla3[[#This Row],[INGRESOS]]-Tabla3[[#This Row],[EGRESOS]]</f>
        <v>-300000</v>
      </c>
      <c r="H2392" s="274">
        <v>-2257990.75</v>
      </c>
      <c r="I2392" s="135">
        <v>1450</v>
      </c>
      <c r="J2392" s="136">
        <f>Tabla3[[#This Row],[EGRESOS]]/Tabla3[[#This Row],[TC]]</f>
        <v>206.89655172413794</v>
      </c>
      <c r="K2392" s="136">
        <f>Tabla3[[#This Row],[INGRESOS]]/Tabla3[[#This Row],[TC]]</f>
        <v>0</v>
      </c>
      <c r="L2392" s="8" t="s">
        <v>376</v>
      </c>
      <c r="M2392" s="8" t="s">
        <v>377</v>
      </c>
      <c r="N2392" s="8" t="s">
        <v>20</v>
      </c>
      <c r="O2392" s="8" t="s">
        <v>184</v>
      </c>
      <c r="P2392" s="8" t="s">
        <v>199</v>
      </c>
      <c r="Q2392" s="8" t="s">
        <v>200</v>
      </c>
      <c r="R2392" s="8"/>
      <c r="S2392" s="8" t="s">
        <v>737</v>
      </c>
      <c r="T2392" s="8"/>
      <c r="U2392" s="8" t="s">
        <v>390</v>
      </c>
      <c r="V2392" s="8"/>
      <c r="W2392" s="8" t="s">
        <v>475</v>
      </c>
      <c r="X2392" s="8" t="s">
        <v>99</v>
      </c>
      <c r="Y2392" s="8" t="s">
        <v>23</v>
      </c>
    </row>
    <row r="2393" spans="1:25" s="7" customFormat="1" hidden="1" x14ac:dyDescent="0.25">
      <c r="A2393" s="273" t="s">
        <v>322</v>
      </c>
      <c r="B2393" s="251">
        <v>46017</v>
      </c>
      <c r="C2393" s="252" t="s">
        <v>828</v>
      </c>
      <c r="D2393" s="252"/>
      <c r="E2393" s="253">
        <v>18.149999999999999</v>
      </c>
      <c r="F2393" s="253">
        <v>0</v>
      </c>
      <c r="G2393" s="274">
        <f>Tabla3[[#This Row],[INGRESOS]]-Tabla3[[#This Row],[EGRESOS]]</f>
        <v>-18.149999999999999</v>
      </c>
      <c r="H2393" s="274">
        <v>-2558008.9</v>
      </c>
      <c r="I2393" s="135">
        <v>1450</v>
      </c>
      <c r="J2393" s="136">
        <f>Tabla3[[#This Row],[EGRESOS]]/Tabla3[[#This Row],[TC]]</f>
        <v>1.2517241379310344E-2</v>
      </c>
      <c r="K2393" s="136">
        <f>Tabla3[[#This Row],[INGRESOS]]/Tabla3[[#This Row],[TC]]</f>
        <v>0</v>
      </c>
      <c r="L2393" s="8" t="s">
        <v>376</v>
      </c>
      <c r="M2393" s="8" t="s">
        <v>377</v>
      </c>
      <c r="N2393" s="8" t="s">
        <v>20</v>
      </c>
      <c r="O2393" s="8" t="s">
        <v>184</v>
      </c>
      <c r="P2393" s="8" t="s">
        <v>185</v>
      </c>
      <c r="Q2393" s="8" t="s">
        <v>186</v>
      </c>
      <c r="R2393" s="8"/>
      <c r="S2393" s="8"/>
      <c r="T2393" s="8"/>
      <c r="U2393" s="8" t="s">
        <v>384</v>
      </c>
      <c r="V2393" s="8"/>
      <c r="W2393" s="8" t="s">
        <v>380</v>
      </c>
      <c r="X2393" s="8" t="s">
        <v>99</v>
      </c>
      <c r="Y2393" s="8" t="s">
        <v>23</v>
      </c>
    </row>
    <row r="2394" spans="1:25" s="7" customFormat="1" hidden="1" x14ac:dyDescent="0.25">
      <c r="A2394" s="273" t="s">
        <v>322</v>
      </c>
      <c r="B2394" s="251">
        <v>46017</v>
      </c>
      <c r="C2394" s="252" t="s">
        <v>800</v>
      </c>
      <c r="D2394" s="252"/>
      <c r="E2394" s="253">
        <v>412462.95</v>
      </c>
      <c r="F2394" s="253">
        <v>0</v>
      </c>
      <c r="G2394" s="274">
        <f>Tabla3[[#This Row],[INGRESOS]]-Tabla3[[#This Row],[EGRESOS]]</f>
        <v>-412462.95</v>
      </c>
      <c r="H2394" s="274">
        <v>-2970471.85</v>
      </c>
      <c r="I2394" s="135">
        <v>1450</v>
      </c>
      <c r="J2394" s="136">
        <f>Tabla3[[#This Row],[EGRESOS]]/Tabla3[[#This Row],[TC]]</f>
        <v>284.45720689655172</v>
      </c>
      <c r="K2394" s="136">
        <f>Tabla3[[#This Row],[INGRESOS]]/Tabla3[[#This Row],[TC]]</f>
        <v>0</v>
      </c>
      <c r="L2394" s="8" t="s">
        <v>376</v>
      </c>
      <c r="M2394" s="8" t="s">
        <v>377</v>
      </c>
      <c r="N2394" s="8" t="s">
        <v>20</v>
      </c>
      <c r="O2394" s="8" t="s">
        <v>184</v>
      </c>
      <c r="P2394" s="8" t="s">
        <v>199</v>
      </c>
      <c r="Q2394" s="8" t="s">
        <v>201</v>
      </c>
      <c r="R2394" s="8" t="s">
        <v>1331</v>
      </c>
      <c r="S2394" s="8" t="s">
        <v>389</v>
      </c>
      <c r="T2394" s="8"/>
      <c r="U2394" s="8" t="s">
        <v>390</v>
      </c>
      <c r="V2394" s="8"/>
      <c r="W2394" s="8" t="s">
        <v>380</v>
      </c>
      <c r="X2394" s="8" t="s">
        <v>99</v>
      </c>
      <c r="Y2394" s="8" t="s">
        <v>23</v>
      </c>
    </row>
    <row r="2395" spans="1:25" s="7" customFormat="1" hidden="1" x14ac:dyDescent="0.25">
      <c r="A2395" s="273" t="s">
        <v>322</v>
      </c>
      <c r="B2395" s="251">
        <v>46017</v>
      </c>
      <c r="C2395" s="252" t="s">
        <v>828</v>
      </c>
      <c r="D2395" s="252"/>
      <c r="E2395" s="253">
        <v>121</v>
      </c>
      <c r="F2395" s="253">
        <v>0</v>
      </c>
      <c r="G2395" s="274">
        <f>Tabla3[[#This Row],[INGRESOS]]-Tabla3[[#This Row],[EGRESOS]]</f>
        <v>-121</v>
      </c>
      <c r="H2395" s="274">
        <v>-2970592.85</v>
      </c>
      <c r="I2395" s="135">
        <v>1450</v>
      </c>
      <c r="J2395" s="136">
        <f>Tabla3[[#This Row],[EGRESOS]]/Tabla3[[#This Row],[TC]]</f>
        <v>8.344827586206896E-2</v>
      </c>
      <c r="K2395" s="136">
        <f>Tabla3[[#This Row],[INGRESOS]]/Tabla3[[#This Row],[TC]]</f>
        <v>0</v>
      </c>
      <c r="L2395" s="8" t="s">
        <v>376</v>
      </c>
      <c r="M2395" s="8" t="s">
        <v>377</v>
      </c>
      <c r="N2395" s="8" t="s">
        <v>20</v>
      </c>
      <c r="O2395" s="8" t="s">
        <v>184</v>
      </c>
      <c r="P2395" s="8" t="s">
        <v>185</v>
      </c>
      <c r="Q2395" s="8" t="s">
        <v>186</v>
      </c>
      <c r="R2395" s="8"/>
      <c r="S2395" s="8"/>
      <c r="T2395" s="8"/>
      <c r="U2395" s="8" t="s">
        <v>384</v>
      </c>
      <c r="V2395" s="8"/>
      <c r="W2395" s="8" t="s">
        <v>380</v>
      </c>
      <c r="X2395" s="8" t="s">
        <v>99</v>
      </c>
      <c r="Y2395" s="8" t="s">
        <v>23</v>
      </c>
    </row>
    <row r="2396" spans="1:25" s="7" customFormat="1" hidden="1" x14ac:dyDescent="0.25">
      <c r="A2396" s="273" t="s">
        <v>322</v>
      </c>
      <c r="B2396" s="251">
        <v>46017</v>
      </c>
      <c r="C2396" s="252" t="s">
        <v>773</v>
      </c>
      <c r="D2396" s="252"/>
      <c r="E2396" s="253">
        <v>7748.39</v>
      </c>
      <c r="F2396" s="253">
        <v>0</v>
      </c>
      <c r="G2396" s="274">
        <f>Tabla3[[#This Row],[INGRESOS]]-Tabla3[[#This Row],[EGRESOS]]</f>
        <v>-7748.39</v>
      </c>
      <c r="H2396" s="274">
        <v>-2978341.24</v>
      </c>
      <c r="I2396" s="135">
        <v>1450</v>
      </c>
      <c r="J2396" s="136">
        <f>Tabla3[[#This Row],[EGRESOS]]/Tabla3[[#This Row],[TC]]</f>
        <v>5.3437172413793101</v>
      </c>
      <c r="K2396" s="136">
        <f>Tabla3[[#This Row],[INGRESOS]]/Tabla3[[#This Row],[TC]]</f>
        <v>0</v>
      </c>
      <c r="L2396" s="8" t="s">
        <v>376</v>
      </c>
      <c r="M2396" s="8" t="s">
        <v>377</v>
      </c>
      <c r="N2396" s="8" t="s">
        <v>20</v>
      </c>
      <c r="O2396" s="8" t="s">
        <v>184</v>
      </c>
      <c r="P2396" s="8" t="s">
        <v>195</v>
      </c>
      <c r="Q2396" s="8" t="s">
        <v>196</v>
      </c>
      <c r="R2396" s="8" t="s">
        <v>394</v>
      </c>
      <c r="S2396" s="8"/>
      <c r="T2396" s="8"/>
      <c r="U2396" s="8" t="s">
        <v>384</v>
      </c>
      <c r="V2396" s="8"/>
      <c r="W2396" s="8" t="s">
        <v>380</v>
      </c>
      <c r="X2396" s="8" t="s">
        <v>99</v>
      </c>
      <c r="Y2396" s="8" t="s">
        <v>23</v>
      </c>
    </row>
    <row r="2397" spans="1:25" s="7" customFormat="1" hidden="1" x14ac:dyDescent="0.25">
      <c r="A2397" s="273" t="s">
        <v>322</v>
      </c>
      <c r="B2397" s="251">
        <v>46020</v>
      </c>
      <c r="C2397" s="252" t="s">
        <v>800</v>
      </c>
      <c r="D2397" s="252"/>
      <c r="E2397" s="253">
        <v>755379.13</v>
      </c>
      <c r="F2397" s="253">
        <v>0</v>
      </c>
      <c r="G2397" s="274">
        <f>Tabla3[[#This Row],[INGRESOS]]-Tabla3[[#This Row],[EGRESOS]]</f>
        <v>-755379.13</v>
      </c>
      <c r="H2397" s="274">
        <v>-3733720.37</v>
      </c>
      <c r="I2397" s="135">
        <v>1450</v>
      </c>
      <c r="J2397" s="136">
        <f>Tabla3[[#This Row],[EGRESOS]]/Tabla3[[#This Row],[TC]]</f>
        <v>520.95112413793106</v>
      </c>
      <c r="K2397" s="136">
        <f>Tabla3[[#This Row],[INGRESOS]]/Tabla3[[#This Row],[TC]]</f>
        <v>0</v>
      </c>
      <c r="L2397" s="8" t="s">
        <v>376</v>
      </c>
      <c r="M2397" s="8" t="s">
        <v>377</v>
      </c>
      <c r="N2397" s="8" t="s">
        <v>20</v>
      </c>
      <c r="O2397" s="8" t="s">
        <v>225</v>
      </c>
      <c r="P2397" s="8" t="s">
        <v>236</v>
      </c>
      <c r="Q2397" s="8"/>
      <c r="R2397" s="8" t="s">
        <v>1332</v>
      </c>
      <c r="S2397" s="8" t="s">
        <v>1333</v>
      </c>
      <c r="T2397" s="8"/>
      <c r="U2397" s="8" t="s">
        <v>412</v>
      </c>
      <c r="V2397" s="8"/>
      <c r="W2397" s="8" t="s">
        <v>380</v>
      </c>
      <c r="X2397" s="8" t="s">
        <v>29</v>
      </c>
      <c r="Y2397" s="8" t="s">
        <v>23</v>
      </c>
    </row>
    <row r="2398" spans="1:25" s="7" customFormat="1" hidden="1" x14ac:dyDescent="0.25">
      <c r="A2398" s="273" t="s">
        <v>322</v>
      </c>
      <c r="B2398" s="251">
        <v>46020</v>
      </c>
      <c r="C2398" s="252" t="s">
        <v>828</v>
      </c>
      <c r="D2398" s="252"/>
      <c r="E2398" s="253">
        <v>121</v>
      </c>
      <c r="F2398" s="253">
        <v>0</v>
      </c>
      <c r="G2398" s="274">
        <f>Tabla3[[#This Row],[INGRESOS]]-Tabla3[[#This Row],[EGRESOS]]</f>
        <v>-121</v>
      </c>
      <c r="H2398" s="274">
        <v>-3733841.37</v>
      </c>
      <c r="I2398" s="135">
        <v>1450</v>
      </c>
      <c r="J2398" s="136">
        <f>Tabla3[[#This Row],[EGRESOS]]/Tabla3[[#This Row],[TC]]</f>
        <v>8.344827586206896E-2</v>
      </c>
      <c r="K2398" s="136">
        <f>Tabla3[[#This Row],[INGRESOS]]/Tabla3[[#This Row],[TC]]</f>
        <v>0</v>
      </c>
      <c r="L2398" s="8" t="s">
        <v>376</v>
      </c>
      <c r="M2398" s="8" t="s">
        <v>377</v>
      </c>
      <c r="N2398" s="8" t="s">
        <v>20</v>
      </c>
      <c r="O2398" s="8" t="s">
        <v>184</v>
      </c>
      <c r="P2398" s="8" t="s">
        <v>185</v>
      </c>
      <c r="Q2398" s="8" t="s">
        <v>186</v>
      </c>
      <c r="R2398" s="8"/>
      <c r="S2398" s="8"/>
      <c r="T2398" s="8"/>
      <c r="U2398" s="8" t="s">
        <v>384</v>
      </c>
      <c r="V2398" s="8"/>
      <c r="W2398" s="8" t="s">
        <v>380</v>
      </c>
      <c r="X2398" s="8" t="s">
        <v>99</v>
      </c>
      <c r="Y2398" s="8" t="s">
        <v>23</v>
      </c>
    </row>
    <row r="2399" spans="1:25" s="7" customFormat="1" hidden="1" x14ac:dyDescent="0.25">
      <c r="A2399" s="273" t="s">
        <v>322</v>
      </c>
      <c r="B2399" s="251">
        <v>46020</v>
      </c>
      <c r="C2399" s="252" t="s">
        <v>762</v>
      </c>
      <c r="D2399" s="252"/>
      <c r="E2399" s="253">
        <v>3071.25</v>
      </c>
      <c r="F2399" s="253">
        <v>0</v>
      </c>
      <c r="G2399" s="274">
        <f>Tabla3[[#This Row],[INGRESOS]]-Tabla3[[#This Row],[EGRESOS]]</f>
        <v>-3071.25</v>
      </c>
      <c r="H2399" s="274">
        <v>-3736912.62</v>
      </c>
      <c r="I2399" s="135">
        <v>1450</v>
      </c>
      <c r="J2399" s="136">
        <f>Tabla3[[#This Row],[EGRESOS]]/Tabla3[[#This Row],[TC]]</f>
        <v>2.1181034482758623</v>
      </c>
      <c r="K2399" s="136">
        <f>Tabla3[[#This Row],[INGRESOS]]/Tabla3[[#This Row],[TC]]</f>
        <v>0</v>
      </c>
      <c r="L2399" s="8" t="s">
        <v>376</v>
      </c>
      <c r="M2399" s="8" t="s">
        <v>377</v>
      </c>
      <c r="N2399" s="8" t="s">
        <v>20</v>
      </c>
      <c r="O2399" s="8" t="s">
        <v>184</v>
      </c>
      <c r="P2399" s="8" t="s">
        <v>195</v>
      </c>
      <c r="Q2399" s="8" t="s">
        <v>196</v>
      </c>
      <c r="R2399" s="8" t="s">
        <v>382</v>
      </c>
      <c r="S2399" s="8"/>
      <c r="T2399" s="8"/>
      <c r="U2399" s="8" t="s">
        <v>384</v>
      </c>
      <c r="V2399" s="8"/>
      <c r="W2399" s="8" t="s">
        <v>380</v>
      </c>
      <c r="X2399" s="8" t="s">
        <v>99</v>
      </c>
      <c r="Y2399" s="8" t="s">
        <v>23</v>
      </c>
    </row>
    <row r="2400" spans="1:25" s="7" customFormat="1" hidden="1" x14ac:dyDescent="0.25">
      <c r="A2400" s="273" t="s">
        <v>322</v>
      </c>
      <c r="B2400" s="251">
        <v>46020</v>
      </c>
      <c r="C2400" s="252" t="s">
        <v>763</v>
      </c>
      <c r="D2400" s="252"/>
      <c r="E2400" s="253">
        <v>438.75</v>
      </c>
      <c r="F2400" s="253">
        <v>0</v>
      </c>
      <c r="G2400" s="274">
        <f>Tabla3[[#This Row],[INGRESOS]]-Tabla3[[#This Row],[EGRESOS]]</f>
        <v>-438.75</v>
      </c>
      <c r="H2400" s="274">
        <v>-3737351.37</v>
      </c>
      <c r="I2400" s="135">
        <v>1450</v>
      </c>
      <c r="J2400" s="136">
        <f>Tabla3[[#This Row],[EGRESOS]]/Tabla3[[#This Row],[TC]]</f>
        <v>0.30258620689655175</v>
      </c>
      <c r="K2400" s="136">
        <f>Tabla3[[#This Row],[INGRESOS]]/Tabla3[[#This Row],[TC]]</f>
        <v>0</v>
      </c>
      <c r="L2400" s="8" t="s">
        <v>376</v>
      </c>
      <c r="M2400" s="8" t="s">
        <v>377</v>
      </c>
      <c r="N2400" s="8" t="s">
        <v>20</v>
      </c>
      <c r="O2400" s="8" t="s">
        <v>184</v>
      </c>
      <c r="P2400" s="8" t="s">
        <v>195</v>
      </c>
      <c r="Q2400" s="8" t="s">
        <v>196</v>
      </c>
      <c r="R2400" s="8" t="s">
        <v>417</v>
      </c>
      <c r="S2400" s="8" t="s">
        <v>383</v>
      </c>
      <c r="T2400" s="8"/>
      <c r="U2400" s="8" t="s">
        <v>384</v>
      </c>
      <c r="V2400" s="8"/>
      <c r="W2400" s="8" t="s">
        <v>380</v>
      </c>
      <c r="X2400" s="8" t="s">
        <v>99</v>
      </c>
      <c r="Y2400" s="8" t="s">
        <v>23</v>
      </c>
    </row>
    <row r="2401" spans="1:25" s="7" customFormat="1" hidden="1" x14ac:dyDescent="0.25">
      <c r="A2401" s="267" t="s">
        <v>322</v>
      </c>
      <c r="B2401" s="268">
        <v>46020</v>
      </c>
      <c r="C2401" s="269" t="s">
        <v>837</v>
      </c>
      <c r="D2401" s="269"/>
      <c r="E2401" s="270">
        <v>14625</v>
      </c>
      <c r="F2401" s="270">
        <v>0</v>
      </c>
      <c r="G2401" s="335">
        <f>Tabla3[[#This Row],[INGRESOS]]-Tabla3[[#This Row],[EGRESOS]]</f>
        <v>-14625</v>
      </c>
      <c r="H2401" s="335">
        <v>-3751976.37</v>
      </c>
      <c r="I2401" s="265">
        <v>1450</v>
      </c>
      <c r="J2401" s="271">
        <f>Tabla3[[#This Row],[EGRESOS]]/Tabla3[[#This Row],[TC]]</f>
        <v>10.086206896551724</v>
      </c>
      <c r="K2401" s="271">
        <f>Tabla3[[#This Row],[INGRESOS]]/Tabla3[[#This Row],[TC]]</f>
        <v>0</v>
      </c>
      <c r="L2401" s="272" t="s">
        <v>376</v>
      </c>
      <c r="M2401" s="272" t="s">
        <v>377</v>
      </c>
      <c r="N2401" s="272" t="s">
        <v>20</v>
      </c>
      <c r="O2401" s="272" t="s">
        <v>184</v>
      </c>
      <c r="P2401" s="272" t="s">
        <v>185</v>
      </c>
      <c r="Q2401" s="272" t="s">
        <v>186</v>
      </c>
      <c r="R2401" s="272"/>
      <c r="S2401" s="272"/>
      <c r="T2401" s="272"/>
      <c r="U2401" s="272" t="s">
        <v>384</v>
      </c>
      <c r="V2401" s="272"/>
      <c r="W2401" s="272" t="s">
        <v>380</v>
      </c>
      <c r="X2401" s="272" t="s">
        <v>99</v>
      </c>
      <c r="Y2401" s="272" t="s">
        <v>23</v>
      </c>
    </row>
    <row r="2402" spans="1:25" s="7" customFormat="1" hidden="1" x14ac:dyDescent="0.25">
      <c r="A2402" s="267" t="s">
        <v>322</v>
      </c>
      <c r="B2402" s="268">
        <v>46020</v>
      </c>
      <c r="C2402" s="269" t="s">
        <v>773</v>
      </c>
      <c r="D2402" s="269"/>
      <c r="E2402" s="270">
        <v>4641.8100000000004</v>
      </c>
      <c r="F2402" s="270">
        <v>0</v>
      </c>
      <c r="G2402" s="335">
        <f>Tabla3[[#This Row],[INGRESOS]]-Tabla3[[#This Row],[EGRESOS]]</f>
        <v>-4641.8100000000004</v>
      </c>
      <c r="H2402" s="335">
        <v>-3756618.18</v>
      </c>
      <c r="I2402" s="265">
        <v>1450</v>
      </c>
      <c r="J2402" s="271">
        <f>Tabla3[[#This Row],[EGRESOS]]/Tabla3[[#This Row],[TC]]</f>
        <v>3.2012482758620693</v>
      </c>
      <c r="K2402" s="271">
        <f>Tabla3[[#This Row],[INGRESOS]]/Tabla3[[#This Row],[TC]]</f>
        <v>0</v>
      </c>
      <c r="L2402" s="272" t="s">
        <v>376</v>
      </c>
      <c r="M2402" s="272" t="s">
        <v>377</v>
      </c>
      <c r="N2402" s="272" t="s">
        <v>20</v>
      </c>
      <c r="O2402" s="272" t="s">
        <v>184</v>
      </c>
      <c r="P2402" s="272" t="s">
        <v>195</v>
      </c>
      <c r="Q2402" s="272" t="s">
        <v>196</v>
      </c>
      <c r="R2402" s="272" t="s">
        <v>394</v>
      </c>
      <c r="S2402" s="272"/>
      <c r="T2402" s="272"/>
      <c r="U2402" s="272" t="s">
        <v>384</v>
      </c>
      <c r="V2402" s="272"/>
      <c r="W2402" s="272" t="s">
        <v>380</v>
      </c>
      <c r="X2402" s="272" t="s">
        <v>99</v>
      </c>
      <c r="Y2402" s="272" t="s">
        <v>23</v>
      </c>
    </row>
    <row r="2403" spans="1:25" s="7" customFormat="1" hidden="1" x14ac:dyDescent="0.25">
      <c r="A2403" s="267" t="s">
        <v>322</v>
      </c>
      <c r="B2403" s="268">
        <v>46020</v>
      </c>
      <c r="C2403" s="269" t="s">
        <v>795</v>
      </c>
      <c r="D2403" s="269"/>
      <c r="E2403" s="270">
        <v>66987.53</v>
      </c>
      <c r="F2403" s="270">
        <v>0</v>
      </c>
      <c r="G2403" s="335">
        <f>Tabla3[[#This Row],[INGRESOS]]-Tabla3[[#This Row],[EGRESOS]]</f>
        <v>-66987.53</v>
      </c>
      <c r="H2403" s="335">
        <v>-3823605.71</v>
      </c>
      <c r="I2403" s="265">
        <v>1450</v>
      </c>
      <c r="J2403" s="271">
        <f>Tabla3[[#This Row],[EGRESOS]]/Tabla3[[#This Row],[TC]]</f>
        <v>46.198296551724134</v>
      </c>
      <c r="K2403" s="271">
        <f>Tabla3[[#This Row],[INGRESOS]]/Tabla3[[#This Row],[TC]]</f>
        <v>0</v>
      </c>
      <c r="L2403" s="272" t="s">
        <v>376</v>
      </c>
      <c r="M2403" s="272" t="s">
        <v>377</v>
      </c>
      <c r="N2403" s="272" t="s">
        <v>20</v>
      </c>
      <c r="O2403" s="272" t="s">
        <v>244</v>
      </c>
      <c r="P2403" s="272" t="s">
        <v>259</v>
      </c>
      <c r="Q2403" s="272" t="s">
        <v>260</v>
      </c>
      <c r="R2403" s="272" t="s">
        <v>1334</v>
      </c>
      <c r="S2403" s="272"/>
      <c r="T2403" s="272"/>
      <c r="U2403" s="272" t="s">
        <v>379</v>
      </c>
      <c r="V2403" s="272"/>
      <c r="W2403" s="272" t="s">
        <v>380</v>
      </c>
      <c r="X2403" s="272"/>
      <c r="Y2403" s="272"/>
    </row>
    <row r="2404" spans="1:25" s="7" customFormat="1" hidden="1" x14ac:dyDescent="0.25">
      <c r="A2404" s="267" t="s">
        <v>322</v>
      </c>
      <c r="B2404" s="268">
        <v>46021</v>
      </c>
      <c r="C2404" s="269" t="s">
        <v>800</v>
      </c>
      <c r="D2404" s="269"/>
      <c r="E2404" s="270">
        <v>2000000</v>
      </c>
      <c r="F2404" s="270">
        <v>0</v>
      </c>
      <c r="G2404" s="335">
        <f>Tabla3[[#This Row],[INGRESOS]]-Tabla3[[#This Row],[EGRESOS]]</f>
        <v>-2000000</v>
      </c>
      <c r="H2404" s="335">
        <v>-5823605.71</v>
      </c>
      <c r="I2404" s="265">
        <v>1450</v>
      </c>
      <c r="J2404" s="271">
        <f>Tabla3[[#This Row],[EGRESOS]]/Tabla3[[#This Row],[TC]]</f>
        <v>1379.3103448275863</v>
      </c>
      <c r="K2404" s="271">
        <f>Tabla3[[#This Row],[INGRESOS]]/Tabla3[[#This Row],[TC]]</f>
        <v>0</v>
      </c>
      <c r="L2404" s="272" t="s">
        <v>376</v>
      </c>
      <c r="M2404" s="272" t="s">
        <v>377</v>
      </c>
      <c r="N2404" s="272" t="s">
        <v>20</v>
      </c>
      <c r="O2404" s="272" t="s">
        <v>184</v>
      </c>
      <c r="P2404" s="272" t="s">
        <v>210</v>
      </c>
      <c r="Q2404" s="272" t="s">
        <v>212</v>
      </c>
      <c r="R2404" s="272"/>
      <c r="S2404" s="272" t="s">
        <v>524</v>
      </c>
      <c r="T2404" s="272"/>
      <c r="U2404" s="272" t="s">
        <v>453</v>
      </c>
      <c r="V2404" s="272"/>
      <c r="W2404" s="272" t="s">
        <v>380</v>
      </c>
      <c r="X2404" s="272" t="s">
        <v>39</v>
      </c>
      <c r="Y2404" s="272" t="s">
        <v>23</v>
      </c>
    </row>
    <row r="2405" spans="1:25" s="7" customFormat="1" hidden="1" x14ac:dyDescent="0.25">
      <c r="A2405" s="267" t="s">
        <v>322</v>
      </c>
      <c r="B2405" s="268">
        <v>46021</v>
      </c>
      <c r="C2405" s="269" t="s">
        <v>828</v>
      </c>
      <c r="D2405" s="269"/>
      <c r="E2405" s="270">
        <v>121</v>
      </c>
      <c r="F2405" s="270">
        <v>0</v>
      </c>
      <c r="G2405" s="335">
        <f>Tabla3[[#This Row],[INGRESOS]]-Tabla3[[#This Row],[EGRESOS]]</f>
        <v>-121</v>
      </c>
      <c r="H2405" s="335">
        <v>-5823726.71</v>
      </c>
      <c r="I2405" s="265">
        <v>1450</v>
      </c>
      <c r="J2405" s="271">
        <f>Tabla3[[#This Row],[EGRESOS]]/Tabla3[[#This Row],[TC]]</f>
        <v>8.344827586206896E-2</v>
      </c>
      <c r="K2405" s="271">
        <f>Tabla3[[#This Row],[INGRESOS]]/Tabla3[[#This Row],[TC]]</f>
        <v>0</v>
      </c>
      <c r="L2405" s="272" t="s">
        <v>376</v>
      </c>
      <c r="M2405" s="272" t="s">
        <v>377</v>
      </c>
      <c r="N2405" s="272" t="s">
        <v>20</v>
      </c>
      <c r="O2405" s="272" t="s">
        <v>184</v>
      </c>
      <c r="P2405" s="272" t="s">
        <v>185</v>
      </c>
      <c r="Q2405" s="272" t="s">
        <v>186</v>
      </c>
      <c r="R2405" s="272"/>
      <c r="S2405" s="272"/>
      <c r="T2405" s="272"/>
      <c r="U2405" s="272" t="s">
        <v>384</v>
      </c>
      <c r="V2405" s="272"/>
      <c r="W2405" s="272" t="s">
        <v>380</v>
      </c>
      <c r="X2405" s="272" t="s">
        <v>99</v>
      </c>
      <c r="Y2405" s="272" t="s">
        <v>23</v>
      </c>
    </row>
    <row r="2406" spans="1:25" s="7" customFormat="1" hidden="1" x14ac:dyDescent="0.25">
      <c r="A2406" s="267" t="s">
        <v>322</v>
      </c>
      <c r="B2406" s="268">
        <v>46021</v>
      </c>
      <c r="C2406" s="269" t="s">
        <v>773</v>
      </c>
      <c r="D2406" s="269"/>
      <c r="E2406" s="270">
        <v>12000.73</v>
      </c>
      <c r="F2406" s="270">
        <v>0</v>
      </c>
      <c r="G2406" s="335">
        <f>Tabla3[[#This Row],[INGRESOS]]-Tabla3[[#This Row],[EGRESOS]]</f>
        <v>-12000.73</v>
      </c>
      <c r="H2406" s="336">
        <v>-5835727.4400000004</v>
      </c>
      <c r="I2406" s="265">
        <v>1450</v>
      </c>
      <c r="J2406" s="271">
        <f>Tabla3[[#This Row],[EGRESOS]]/Tabla3[[#This Row],[TC]]</f>
        <v>8.2763655172413788</v>
      </c>
      <c r="K2406" s="271">
        <f>Tabla3[[#This Row],[INGRESOS]]/Tabla3[[#This Row],[TC]]</f>
        <v>0</v>
      </c>
      <c r="L2406" s="272" t="s">
        <v>376</v>
      </c>
      <c r="M2406" s="272" t="s">
        <v>377</v>
      </c>
      <c r="N2406" s="272" t="s">
        <v>20</v>
      </c>
      <c r="O2406" s="272" t="s">
        <v>184</v>
      </c>
      <c r="P2406" s="272" t="s">
        <v>195</v>
      </c>
      <c r="Q2406" s="272" t="s">
        <v>196</v>
      </c>
      <c r="R2406" s="272" t="s">
        <v>394</v>
      </c>
      <c r="S2406" s="272"/>
      <c r="T2406" s="272"/>
      <c r="U2406" s="272" t="s">
        <v>384</v>
      </c>
      <c r="V2406" s="272"/>
      <c r="W2406" s="272" t="s">
        <v>380</v>
      </c>
      <c r="X2406" s="272" t="s">
        <v>99</v>
      </c>
      <c r="Y2406" s="272" t="s">
        <v>23</v>
      </c>
    </row>
    <row r="2407" spans="1:25" hidden="1" x14ac:dyDescent="0.25">
      <c r="A2407" s="273" t="s">
        <v>320</v>
      </c>
      <c r="B2407" s="251">
        <v>45953</v>
      </c>
      <c r="C2407" s="252" t="s">
        <v>800</v>
      </c>
      <c r="D2407" s="252"/>
      <c r="E2407" s="253">
        <v>154867.97</v>
      </c>
      <c r="F2407" s="253">
        <v>0</v>
      </c>
      <c r="G2407" s="274">
        <f>Tabla3[[#This Row],[INGRESOS]]-Tabla3[[#This Row],[EGRESOS]]</f>
        <v>-154867.97</v>
      </c>
      <c r="H2407" s="274">
        <v>12473166.380000001</v>
      </c>
      <c r="I2407" s="135">
        <v>1410</v>
      </c>
      <c r="J2407" s="136">
        <f>Tabla3[[#This Row],[EGRESOS]]/Tabla3[[#This Row],[TC]]</f>
        <v>109.83543971631205</v>
      </c>
      <c r="K2407" s="136">
        <f>Tabla3[[#This Row],[INGRESOS]]/Tabla3[[#This Row],[TC]]</f>
        <v>0</v>
      </c>
      <c r="L2407" s="8" t="s">
        <v>376</v>
      </c>
      <c r="M2407" s="8" t="s">
        <v>377</v>
      </c>
      <c r="N2407" s="8" t="s">
        <v>20</v>
      </c>
      <c r="O2407" s="8" t="s">
        <v>184</v>
      </c>
      <c r="P2407" s="8" t="s">
        <v>203</v>
      </c>
      <c r="Q2407" s="8" t="s">
        <v>205</v>
      </c>
      <c r="R2407" s="8" t="s">
        <v>1257</v>
      </c>
      <c r="S2407" s="8" t="s">
        <v>386</v>
      </c>
      <c r="T2407" s="8"/>
      <c r="U2407" s="8" t="s">
        <v>387</v>
      </c>
      <c r="V2407" s="8" t="s">
        <v>386</v>
      </c>
      <c r="W2407" s="8" t="s">
        <v>380</v>
      </c>
      <c r="X2407" s="8" t="s">
        <v>104</v>
      </c>
      <c r="Y2407" s="8" t="s">
        <v>23</v>
      </c>
    </row>
    <row r="2408" spans="1:25" hidden="1" x14ac:dyDescent="0.25">
      <c r="A2408" s="273" t="s">
        <v>315</v>
      </c>
      <c r="B2408" s="251">
        <v>45786</v>
      </c>
      <c r="C2408" s="252" t="s">
        <v>1338</v>
      </c>
      <c r="D2408" s="252"/>
      <c r="E2408" s="253">
        <v>500000</v>
      </c>
      <c r="F2408" s="253">
        <v>0</v>
      </c>
      <c r="G2408" s="274">
        <f>Tabla3[[#This Row],[INGRESOS]]-Tabla3[[#This Row],[EGRESOS]]</f>
        <v>-500000</v>
      </c>
      <c r="H2408" s="135">
        <v>0</v>
      </c>
      <c r="I2408" s="135">
        <v>1170</v>
      </c>
      <c r="J2408" s="136">
        <f>Tabla3[[#This Row],[EGRESOS]]/Tabla3[[#This Row],[TC]]</f>
        <v>427.35042735042737</v>
      </c>
      <c r="K2408" s="136">
        <f>Tabla3[[#This Row],[INGRESOS]]/Tabla3[[#This Row],[TC]]</f>
        <v>0</v>
      </c>
      <c r="L2408" s="8"/>
      <c r="M2408" s="8" t="s">
        <v>1336</v>
      </c>
      <c r="N2408" s="8" t="s">
        <v>1336</v>
      </c>
      <c r="O2408" s="8" t="s">
        <v>184</v>
      </c>
      <c r="P2408" s="8" t="s">
        <v>199</v>
      </c>
      <c r="Q2408" s="8" t="s">
        <v>201</v>
      </c>
      <c r="R2408" s="8" t="s">
        <v>938</v>
      </c>
      <c r="S2408" s="8" t="s">
        <v>389</v>
      </c>
      <c r="T2408" s="8"/>
      <c r="U2408" s="8" t="s">
        <v>390</v>
      </c>
      <c r="V2408" s="8"/>
      <c r="W2408" s="8" t="s">
        <v>380</v>
      </c>
      <c r="X2408" s="8" t="s">
        <v>99</v>
      </c>
      <c r="Y2408" s="8" t="s">
        <v>23</v>
      </c>
    </row>
    <row r="2409" spans="1:25" hidden="1" x14ac:dyDescent="0.25">
      <c r="A2409" s="273" t="s">
        <v>315</v>
      </c>
      <c r="B2409" s="251">
        <v>45786</v>
      </c>
      <c r="C2409" s="252" t="s">
        <v>1338</v>
      </c>
      <c r="D2409" s="252"/>
      <c r="E2409" s="253">
        <v>100000</v>
      </c>
      <c r="F2409" s="253">
        <v>0</v>
      </c>
      <c r="G2409" s="274">
        <f>Tabla3[[#This Row],[INGRESOS]]-Tabla3[[#This Row],[EGRESOS]]</f>
        <v>-100000</v>
      </c>
      <c r="H2409" s="135">
        <v>0</v>
      </c>
      <c r="I2409" s="135">
        <v>1170</v>
      </c>
      <c r="J2409" s="136">
        <f>Tabla3[[#This Row],[EGRESOS]]/Tabla3[[#This Row],[TC]]</f>
        <v>85.470085470085465</v>
      </c>
      <c r="K2409" s="136">
        <f>Tabla3[[#This Row],[INGRESOS]]/Tabla3[[#This Row],[TC]]</f>
        <v>0</v>
      </c>
      <c r="L2409" s="8"/>
      <c r="M2409" s="8" t="s">
        <v>1336</v>
      </c>
      <c r="N2409" s="8" t="s">
        <v>1336</v>
      </c>
      <c r="O2409" s="8" t="s">
        <v>184</v>
      </c>
      <c r="P2409" s="8" t="s">
        <v>199</v>
      </c>
      <c r="Q2409" s="8" t="s">
        <v>200</v>
      </c>
      <c r="R2409" s="8"/>
      <c r="S2409" s="8" t="s">
        <v>470</v>
      </c>
      <c r="T2409" s="8"/>
      <c r="U2409" s="8" t="s">
        <v>390</v>
      </c>
      <c r="V2409" s="8"/>
      <c r="W2409" s="8" t="s">
        <v>380</v>
      </c>
      <c r="X2409" s="8" t="s">
        <v>99</v>
      </c>
      <c r="Y2409" s="8" t="s">
        <v>23</v>
      </c>
    </row>
    <row r="2410" spans="1:25" hidden="1" x14ac:dyDescent="0.25">
      <c r="A2410" s="273" t="s">
        <v>320</v>
      </c>
      <c r="B2410" s="251">
        <v>45954</v>
      </c>
      <c r="C2410" s="252" t="s">
        <v>732</v>
      </c>
      <c r="D2410" s="252"/>
      <c r="E2410" s="253">
        <v>800000</v>
      </c>
      <c r="F2410" s="253">
        <v>0</v>
      </c>
      <c r="G2410" s="274">
        <f>Tabla3[[#This Row],[INGRESOS]]-Tabla3[[#This Row],[EGRESOS]]</f>
        <v>-800000</v>
      </c>
      <c r="H2410" s="274">
        <v>-2972667.55</v>
      </c>
      <c r="I2410" s="135">
        <v>1410</v>
      </c>
      <c r="J2410" s="136">
        <f>Tabla3[[#This Row],[EGRESOS]]/Tabla3[[#This Row],[TC]]</f>
        <v>567.3758865248227</v>
      </c>
      <c r="K2410" s="136">
        <v>0</v>
      </c>
      <c r="L2410" s="8" t="s">
        <v>376</v>
      </c>
      <c r="M2410" s="8" t="s">
        <v>377</v>
      </c>
      <c r="N2410" s="8" t="s">
        <v>28</v>
      </c>
      <c r="O2410" s="8" t="s">
        <v>184</v>
      </c>
      <c r="P2410" s="8" t="s">
        <v>203</v>
      </c>
      <c r="Q2410" s="8" t="s">
        <v>208</v>
      </c>
      <c r="R2410" s="8"/>
      <c r="S2410" s="8" t="s">
        <v>386</v>
      </c>
      <c r="T2410" s="8"/>
      <c r="U2410" s="8" t="s">
        <v>387</v>
      </c>
      <c r="V2410" s="8" t="s">
        <v>386</v>
      </c>
      <c r="W2410" s="7" t="s">
        <v>380</v>
      </c>
      <c r="X2410" s="8" t="s">
        <v>104</v>
      </c>
      <c r="Y2410" s="8" t="s">
        <v>23</v>
      </c>
    </row>
    <row r="2411" spans="1:25" hidden="1" x14ac:dyDescent="0.25">
      <c r="A2411" s="273" t="s">
        <v>315</v>
      </c>
      <c r="B2411" s="251">
        <v>45787</v>
      </c>
      <c r="C2411" s="252" t="s">
        <v>1338</v>
      </c>
      <c r="D2411" s="252"/>
      <c r="E2411" s="253">
        <v>100000</v>
      </c>
      <c r="F2411" s="253">
        <v>0</v>
      </c>
      <c r="G2411" s="274">
        <f>Tabla3[[#This Row],[INGRESOS]]-Tabla3[[#This Row],[EGRESOS]]</f>
        <v>-100000</v>
      </c>
      <c r="H2411" s="135">
        <v>0</v>
      </c>
      <c r="I2411" s="135">
        <v>1170</v>
      </c>
      <c r="J2411" s="136">
        <f>Tabla3[[#This Row],[EGRESOS]]/Tabla3[[#This Row],[TC]]</f>
        <v>85.470085470085465</v>
      </c>
      <c r="K2411" s="136">
        <f>Tabla3[[#This Row],[INGRESOS]]/Tabla3[[#This Row],[TC]]</f>
        <v>0</v>
      </c>
      <c r="L2411" s="8"/>
      <c r="M2411" s="8" t="s">
        <v>1336</v>
      </c>
      <c r="N2411" s="8" t="s">
        <v>1336</v>
      </c>
      <c r="O2411" s="8" t="s">
        <v>184</v>
      </c>
      <c r="P2411" s="8" t="s">
        <v>199</v>
      </c>
      <c r="Q2411" s="8" t="s">
        <v>200</v>
      </c>
      <c r="R2411" s="8"/>
      <c r="S2411" s="8" t="s">
        <v>470</v>
      </c>
      <c r="T2411" s="8"/>
      <c r="U2411" s="8" t="s">
        <v>390</v>
      </c>
      <c r="V2411" s="8"/>
      <c r="W2411" s="8" t="s">
        <v>380</v>
      </c>
      <c r="X2411" s="8" t="s">
        <v>99</v>
      </c>
      <c r="Y2411" s="8" t="s">
        <v>23</v>
      </c>
    </row>
    <row r="2412" spans="1:25" hidden="1" x14ac:dyDescent="0.25">
      <c r="A2412" s="273" t="s">
        <v>315</v>
      </c>
      <c r="B2412" s="251">
        <v>45803</v>
      </c>
      <c r="C2412" s="252" t="s">
        <v>1338</v>
      </c>
      <c r="D2412" s="252"/>
      <c r="E2412" s="253">
        <v>500000</v>
      </c>
      <c r="F2412" s="253">
        <v>0</v>
      </c>
      <c r="G2412" s="274">
        <f>Tabla3[[#This Row],[INGRESOS]]-Tabla3[[#This Row],[EGRESOS]]</f>
        <v>-500000</v>
      </c>
      <c r="H2412" s="135">
        <v>0</v>
      </c>
      <c r="I2412" s="135">
        <v>1170</v>
      </c>
      <c r="J2412" s="136">
        <f>Tabla3[[#This Row],[EGRESOS]]/Tabla3[[#This Row],[TC]]</f>
        <v>427.35042735042737</v>
      </c>
      <c r="K2412" s="136">
        <f>Tabla3[[#This Row],[INGRESOS]]/Tabla3[[#This Row],[TC]]</f>
        <v>0</v>
      </c>
      <c r="L2412" s="8" t="s">
        <v>1336</v>
      </c>
      <c r="M2412" s="8" t="s">
        <v>1336</v>
      </c>
      <c r="N2412" s="8" t="s">
        <v>1336</v>
      </c>
      <c r="O2412" s="8" t="s">
        <v>184</v>
      </c>
      <c r="P2412" s="8" t="s">
        <v>199</v>
      </c>
      <c r="Q2412" s="8" t="s">
        <v>201</v>
      </c>
      <c r="R2412" s="8" t="s">
        <v>988</v>
      </c>
      <c r="S2412" s="8" t="s">
        <v>389</v>
      </c>
      <c r="T2412" s="8"/>
      <c r="U2412" s="8" t="s">
        <v>390</v>
      </c>
      <c r="V2412" s="8"/>
      <c r="W2412" s="8" t="s">
        <v>380</v>
      </c>
      <c r="X2412" s="8" t="s">
        <v>99</v>
      </c>
      <c r="Y2412" s="8" t="s">
        <v>23</v>
      </c>
    </row>
    <row r="2413" spans="1:25" hidden="1" x14ac:dyDescent="0.25">
      <c r="A2413" s="273" t="s">
        <v>315</v>
      </c>
      <c r="B2413" s="251">
        <v>45793</v>
      </c>
      <c r="C2413" s="252" t="s">
        <v>1338</v>
      </c>
      <c r="D2413" s="252"/>
      <c r="E2413" s="253">
        <v>0</v>
      </c>
      <c r="F2413" s="253">
        <v>17021.73</v>
      </c>
      <c r="G2413" s="274">
        <f>Tabla3[[#This Row],[INGRESOS]]-Tabla3[[#This Row],[EGRESOS]]</f>
        <v>17021.73</v>
      </c>
      <c r="H2413" s="135">
        <v>0</v>
      </c>
      <c r="I2413" s="135">
        <v>1170</v>
      </c>
      <c r="J2413" s="136">
        <f>Tabla3[[#This Row],[EGRESOS]]/Tabla3[[#This Row],[TC]]</f>
        <v>0</v>
      </c>
      <c r="K2413" s="136">
        <f>Tabla3[[#This Row],[INGRESOS]]/Tabla3[[#This Row],[TC]]</f>
        <v>14.548487179487179</v>
      </c>
      <c r="L2413" s="8" t="s">
        <v>1336</v>
      </c>
      <c r="M2413" s="8" t="s">
        <v>1336</v>
      </c>
      <c r="N2413" s="8" t="s">
        <v>1336</v>
      </c>
      <c r="O2413" s="8" t="s">
        <v>184</v>
      </c>
      <c r="P2413" s="8" t="s">
        <v>203</v>
      </c>
      <c r="Q2413" s="8" t="s">
        <v>204</v>
      </c>
      <c r="R2413" s="8" t="s">
        <v>956</v>
      </c>
      <c r="S2413" s="8" t="s">
        <v>414</v>
      </c>
      <c r="T2413" s="8"/>
      <c r="U2413" s="8" t="s">
        <v>439</v>
      </c>
      <c r="V2413" s="8" t="s">
        <v>415</v>
      </c>
      <c r="W2413" s="8" t="s">
        <v>380</v>
      </c>
      <c r="X2413" s="8" t="s">
        <v>23</v>
      </c>
      <c r="Y2413" s="8" t="s">
        <v>98</v>
      </c>
    </row>
    <row r="2414" spans="1:25" hidden="1" x14ac:dyDescent="0.25">
      <c r="A2414" s="247" t="s">
        <v>320</v>
      </c>
      <c r="B2414" s="248">
        <v>45958</v>
      </c>
      <c r="C2414" s="244" t="s">
        <v>527</v>
      </c>
      <c r="D2414" s="244"/>
      <c r="E2414" s="249">
        <v>0</v>
      </c>
      <c r="F2414" s="249">
        <v>120000</v>
      </c>
      <c r="G2414" s="266">
        <f>Tabla3[[#This Row],[INGRESOS]]-Tabla3[[#This Row],[EGRESOS]]</f>
        <v>120000</v>
      </c>
      <c r="H2414" s="266">
        <v>0</v>
      </c>
      <c r="I2414" s="119">
        <v>1410</v>
      </c>
      <c r="J2414" s="99">
        <f>Tabla3[[#This Row],[EGRESOS]]/Tabla3[[#This Row],[TC]]</f>
        <v>0</v>
      </c>
      <c r="K2414" s="99">
        <f>Tabla3[[#This Row],[INGRESOS]]/Tabla3[[#This Row],[TC]]</f>
        <v>85.106382978723403</v>
      </c>
      <c r="L2414" s="7" t="s">
        <v>376</v>
      </c>
      <c r="M2414" s="7" t="s">
        <v>377</v>
      </c>
      <c r="N2414" s="7" t="s">
        <v>30</v>
      </c>
      <c r="O2414" s="7" t="s">
        <v>184</v>
      </c>
      <c r="P2414" s="7" t="s">
        <v>203</v>
      </c>
      <c r="Q2414" s="7" t="s">
        <v>204</v>
      </c>
      <c r="R2414" s="7"/>
      <c r="S2414" s="7" t="s">
        <v>386</v>
      </c>
      <c r="T2414" s="7"/>
      <c r="U2414" s="7" t="s">
        <v>439</v>
      </c>
      <c r="V2414" s="7" t="s">
        <v>386</v>
      </c>
      <c r="W2414" s="7" t="s">
        <v>380</v>
      </c>
      <c r="X2414" s="7" t="s">
        <v>23</v>
      </c>
      <c r="Y2414" s="7" t="s">
        <v>98</v>
      </c>
    </row>
    <row r="2415" spans="1:25" hidden="1" x14ac:dyDescent="0.25">
      <c r="A2415" s="273" t="s">
        <v>314</v>
      </c>
      <c r="B2415" s="251">
        <v>45768</v>
      </c>
      <c r="C2415" s="252" t="s">
        <v>1338</v>
      </c>
      <c r="D2415" s="252"/>
      <c r="E2415" s="253">
        <v>45000</v>
      </c>
      <c r="F2415" s="253">
        <v>0</v>
      </c>
      <c r="G2415" s="274">
        <f>Tabla3[[#This Row],[INGRESOS]]-Tabla3[[#This Row],[EGRESOS]]</f>
        <v>-45000</v>
      </c>
      <c r="H2415" s="135">
        <v>0</v>
      </c>
      <c r="I2415" s="135">
        <v>1170</v>
      </c>
      <c r="J2415" s="136">
        <f>Tabla3[[#This Row],[EGRESOS]]/Tabla3[[#This Row],[TC]]</f>
        <v>38.46153846153846</v>
      </c>
      <c r="K2415" s="136">
        <f>Tabla3[[#This Row],[INGRESOS]]/Tabla3[[#This Row],[TC]]</f>
        <v>0</v>
      </c>
      <c r="L2415" s="8" t="s">
        <v>1336</v>
      </c>
      <c r="M2415" s="8" t="s">
        <v>1336</v>
      </c>
      <c r="N2415" s="8" t="s">
        <v>1336</v>
      </c>
      <c r="O2415" s="8" t="s">
        <v>184</v>
      </c>
      <c r="P2415" s="8" t="s">
        <v>199</v>
      </c>
      <c r="Q2415" s="8" t="s">
        <v>200</v>
      </c>
      <c r="R2415" s="8"/>
      <c r="S2415" s="8" t="s">
        <v>470</v>
      </c>
      <c r="T2415" s="8"/>
      <c r="U2415" s="8" t="s">
        <v>390</v>
      </c>
      <c r="V2415" s="8"/>
      <c r="W2415" s="8" t="s">
        <v>380</v>
      </c>
      <c r="X2415" s="8" t="s">
        <v>99</v>
      </c>
      <c r="Y2415" s="8" t="s">
        <v>23</v>
      </c>
    </row>
    <row r="2416" spans="1:25" hidden="1" x14ac:dyDescent="0.25">
      <c r="A2416" s="273" t="s">
        <v>315</v>
      </c>
      <c r="B2416" s="251">
        <v>45793</v>
      </c>
      <c r="C2416" s="252" t="s">
        <v>1338</v>
      </c>
      <c r="D2416" s="252"/>
      <c r="E2416" s="253">
        <v>17021.73</v>
      </c>
      <c r="F2416" s="253">
        <v>0</v>
      </c>
      <c r="G2416" s="274">
        <f>Tabla3[[#This Row],[INGRESOS]]-Tabla3[[#This Row],[EGRESOS]]</f>
        <v>-17021.73</v>
      </c>
      <c r="H2416" s="135">
        <v>0</v>
      </c>
      <c r="I2416" s="135">
        <v>1170</v>
      </c>
      <c r="J2416" s="136">
        <f>Tabla3[[#This Row],[EGRESOS]]/Tabla3[[#This Row],[TC]]</f>
        <v>14.548487179487179</v>
      </c>
      <c r="K2416" s="136">
        <f>Tabla3[[#This Row],[INGRESOS]]/Tabla3[[#This Row],[TC]]</f>
        <v>0</v>
      </c>
      <c r="L2416" s="8" t="s">
        <v>1336</v>
      </c>
      <c r="M2416" s="8" t="s">
        <v>1336</v>
      </c>
      <c r="N2416" s="8" t="s">
        <v>1336</v>
      </c>
      <c r="O2416" s="8" t="s">
        <v>184</v>
      </c>
      <c r="P2416" s="8" t="s">
        <v>199</v>
      </c>
      <c r="Q2416" s="8" t="s">
        <v>201</v>
      </c>
      <c r="R2416" s="8" t="s">
        <v>1339</v>
      </c>
      <c r="S2416" s="8" t="s">
        <v>389</v>
      </c>
      <c r="T2416" s="8"/>
      <c r="U2416" s="8" t="s">
        <v>390</v>
      </c>
      <c r="V2416" s="8"/>
      <c r="W2416" s="8" t="s">
        <v>380</v>
      </c>
      <c r="X2416" s="8" t="s">
        <v>99</v>
      </c>
      <c r="Y2416" s="8" t="s">
        <v>23</v>
      </c>
    </row>
    <row r="2417" spans="1:25" hidden="1" x14ac:dyDescent="0.25">
      <c r="A2417" s="273" t="s">
        <v>316</v>
      </c>
      <c r="B2417" s="251">
        <v>45824</v>
      </c>
      <c r="C2417" s="252" t="s">
        <v>1338</v>
      </c>
      <c r="D2417" s="252"/>
      <c r="E2417" s="253">
        <v>0</v>
      </c>
      <c r="F2417" s="253">
        <v>402358</v>
      </c>
      <c r="G2417" s="274">
        <f>Tabla3[[#This Row],[INGRESOS]]-Tabla3[[#This Row],[EGRESOS]]</f>
        <v>402358</v>
      </c>
      <c r="H2417" s="135">
        <v>0</v>
      </c>
      <c r="I2417" s="135">
        <v>1170</v>
      </c>
      <c r="J2417" s="136">
        <f>Tabla3[[#This Row],[EGRESOS]]/Tabla3[[#This Row],[TC]]</f>
        <v>0</v>
      </c>
      <c r="K2417" s="136">
        <f>Tabla3[[#This Row],[INGRESOS]]/Tabla3[[#This Row],[TC]]</f>
        <v>343.89572649572648</v>
      </c>
      <c r="L2417" s="8" t="s">
        <v>1336</v>
      </c>
      <c r="M2417" s="8" t="s">
        <v>1336</v>
      </c>
      <c r="N2417" s="8" t="s">
        <v>1336</v>
      </c>
      <c r="O2417" s="8" t="s">
        <v>184</v>
      </c>
      <c r="P2417" s="8" t="s">
        <v>210</v>
      </c>
      <c r="Q2417" s="8" t="s">
        <v>204</v>
      </c>
      <c r="R2417" s="8" t="s">
        <v>975</v>
      </c>
      <c r="S2417" s="8" t="s">
        <v>524</v>
      </c>
      <c r="T2417" s="8"/>
      <c r="U2417" s="8" t="s">
        <v>453</v>
      </c>
      <c r="V2417" s="8"/>
      <c r="W2417" s="8" t="s">
        <v>380</v>
      </c>
      <c r="X2417" s="8" t="s">
        <v>23</v>
      </c>
      <c r="Y2417" s="8" t="s">
        <v>39</v>
      </c>
    </row>
    <row r="2418" spans="1:25" hidden="1" x14ac:dyDescent="0.25">
      <c r="A2418" s="273" t="s">
        <v>316</v>
      </c>
      <c r="B2418" s="251">
        <v>45814</v>
      </c>
      <c r="C2418" s="252" t="s">
        <v>1338</v>
      </c>
      <c r="D2418" s="252"/>
      <c r="E2418" s="253">
        <v>55200</v>
      </c>
      <c r="F2418" s="253">
        <v>0</v>
      </c>
      <c r="G2418" s="274">
        <f>Tabla3[[#This Row],[INGRESOS]]-Tabla3[[#This Row],[EGRESOS]]</f>
        <v>-55200</v>
      </c>
      <c r="H2418" s="135">
        <v>0</v>
      </c>
      <c r="I2418" s="135">
        <v>1170</v>
      </c>
      <c r="J2418" s="136">
        <f>Tabla3[[#This Row],[EGRESOS]]/Tabla3[[#This Row],[TC]]</f>
        <v>47.179487179487182</v>
      </c>
      <c r="K2418" s="136">
        <f>Tabla3[[#This Row],[INGRESOS]]/Tabla3[[#This Row],[TC]]</f>
        <v>0</v>
      </c>
      <c r="L2418" s="8" t="s">
        <v>1336</v>
      </c>
      <c r="M2418" s="8" t="s">
        <v>1336</v>
      </c>
      <c r="N2418" s="8" t="s">
        <v>1336</v>
      </c>
      <c r="O2418" s="8" t="s">
        <v>286</v>
      </c>
      <c r="P2418" s="8" t="s">
        <v>287</v>
      </c>
      <c r="Q2418" s="8" t="s">
        <v>290</v>
      </c>
      <c r="R2418" s="8" t="s">
        <v>143</v>
      </c>
      <c r="S2418" s="8" t="s">
        <v>682</v>
      </c>
      <c r="T2418" s="8"/>
      <c r="U2418" s="8" t="s">
        <v>412</v>
      </c>
      <c r="V2418" s="8"/>
      <c r="W2418" s="8" t="s">
        <v>380</v>
      </c>
      <c r="X2418" s="8" t="s">
        <v>29</v>
      </c>
      <c r="Y2418" s="8" t="s">
        <v>23</v>
      </c>
    </row>
    <row r="2419" spans="1:25" hidden="1" x14ac:dyDescent="0.25">
      <c r="A2419" s="273" t="s">
        <v>316</v>
      </c>
      <c r="B2419" s="251">
        <v>45809</v>
      </c>
      <c r="C2419" s="252" t="s">
        <v>1338</v>
      </c>
      <c r="D2419" s="252"/>
      <c r="E2419" s="253">
        <v>49000</v>
      </c>
      <c r="F2419" s="253">
        <v>0</v>
      </c>
      <c r="G2419" s="274">
        <f>Tabla3[[#This Row],[INGRESOS]]-Tabla3[[#This Row],[EGRESOS]]</f>
        <v>-49000</v>
      </c>
      <c r="H2419" s="135">
        <v>0</v>
      </c>
      <c r="I2419" s="135">
        <v>1170</v>
      </c>
      <c r="J2419" s="136">
        <f>Tabla3[[#This Row],[EGRESOS]]/Tabla3[[#This Row],[TC]]</f>
        <v>41.880341880341881</v>
      </c>
      <c r="K2419" s="136">
        <f>Tabla3[[#This Row],[INGRESOS]]/Tabla3[[#This Row],[TC]]</f>
        <v>0</v>
      </c>
      <c r="L2419" s="8" t="s">
        <v>1336</v>
      </c>
      <c r="M2419" s="8" t="s">
        <v>1336</v>
      </c>
      <c r="N2419" s="8" t="s">
        <v>1336</v>
      </c>
      <c r="O2419" s="8" t="s">
        <v>225</v>
      </c>
      <c r="P2419" s="8" t="s">
        <v>236</v>
      </c>
      <c r="Q2419" s="8" t="s">
        <v>239</v>
      </c>
      <c r="R2419" s="8" t="s">
        <v>1340</v>
      </c>
      <c r="S2419" s="8"/>
      <c r="T2419" s="8"/>
      <c r="U2419" s="8" t="s">
        <v>412</v>
      </c>
      <c r="V2419" s="8"/>
      <c r="W2419" s="8" t="s">
        <v>380</v>
      </c>
      <c r="X2419" s="8" t="s">
        <v>29</v>
      </c>
      <c r="Y2419" s="8" t="s">
        <v>23</v>
      </c>
    </row>
    <row r="2420" spans="1:25" hidden="1" x14ac:dyDescent="0.25">
      <c r="A2420" s="273" t="s">
        <v>320</v>
      </c>
      <c r="B2420" s="251">
        <v>45959</v>
      </c>
      <c r="C2420" s="252" t="s">
        <v>1228</v>
      </c>
      <c r="D2420" s="252"/>
      <c r="E2420" s="253">
        <v>0</v>
      </c>
      <c r="F2420" s="253">
        <v>1000000</v>
      </c>
      <c r="G2420" s="274">
        <f>Tabla3[[#This Row],[INGRESOS]]-Tabla3[[#This Row],[EGRESOS]]</f>
        <v>1000000</v>
      </c>
      <c r="H2420" s="274">
        <v>-9984147.1799999997</v>
      </c>
      <c r="I2420" s="135">
        <v>1410</v>
      </c>
      <c r="J2420" s="136">
        <f>Tabla3[[#This Row],[EGRESOS]]/Tabla3[[#This Row],[TC]]</f>
        <v>0</v>
      </c>
      <c r="K2420" s="136">
        <f>Tabla3[[#This Row],[INGRESOS]]/Tabla3[[#This Row],[TC]]</f>
        <v>709.21985815602841</v>
      </c>
      <c r="L2420" s="8" t="s">
        <v>376</v>
      </c>
      <c r="M2420" s="8" t="s">
        <v>377</v>
      </c>
      <c r="N2420" s="8" t="s">
        <v>20</v>
      </c>
      <c r="O2420" s="8" t="s">
        <v>184</v>
      </c>
      <c r="P2420" s="8" t="s">
        <v>203</v>
      </c>
      <c r="Q2420" s="8" t="s">
        <v>204</v>
      </c>
      <c r="R2420" s="8"/>
      <c r="S2420" s="8" t="s">
        <v>386</v>
      </c>
      <c r="T2420" s="8"/>
      <c r="U2420" s="8" t="s">
        <v>439</v>
      </c>
      <c r="V2420" s="8" t="s">
        <v>386</v>
      </c>
      <c r="W2420" s="8" t="s">
        <v>380</v>
      </c>
      <c r="X2420" s="8" t="s">
        <v>23</v>
      </c>
      <c r="Y2420" s="8" t="s">
        <v>98</v>
      </c>
    </row>
    <row r="2421" spans="1:25" hidden="1" x14ac:dyDescent="0.25">
      <c r="A2421" s="273" t="s">
        <v>316</v>
      </c>
      <c r="B2421" s="251">
        <v>45813</v>
      </c>
      <c r="C2421" s="252" t="s">
        <v>1338</v>
      </c>
      <c r="D2421" s="252"/>
      <c r="E2421" s="253">
        <v>100000</v>
      </c>
      <c r="F2421" s="253">
        <v>0</v>
      </c>
      <c r="G2421" s="274">
        <f>Tabla3[[#This Row],[INGRESOS]]-Tabla3[[#This Row],[EGRESOS]]</f>
        <v>-100000</v>
      </c>
      <c r="H2421" s="135">
        <v>0</v>
      </c>
      <c r="I2421" s="135">
        <v>1170</v>
      </c>
      <c r="J2421" s="136">
        <f>Tabla3[[#This Row],[EGRESOS]]/Tabla3[[#This Row],[TC]]</f>
        <v>85.470085470085465</v>
      </c>
      <c r="K2421" s="136">
        <f>Tabla3[[#This Row],[INGRESOS]]/Tabla3[[#This Row],[TC]]</f>
        <v>0</v>
      </c>
      <c r="L2421" s="8" t="s">
        <v>1336</v>
      </c>
      <c r="M2421" s="8" t="s">
        <v>1336</v>
      </c>
      <c r="N2421" s="8" t="s">
        <v>1336</v>
      </c>
      <c r="O2421" s="8" t="s">
        <v>184</v>
      </c>
      <c r="P2421" s="8" t="s">
        <v>199</v>
      </c>
      <c r="Q2421" s="8" t="s">
        <v>200</v>
      </c>
      <c r="R2421" s="8"/>
      <c r="S2421" s="8" t="s">
        <v>470</v>
      </c>
      <c r="T2421" s="8"/>
      <c r="U2421" s="8" t="s">
        <v>390</v>
      </c>
      <c r="V2421" s="8"/>
      <c r="W2421" s="8" t="s">
        <v>380</v>
      </c>
      <c r="X2421" s="8" t="s">
        <v>99</v>
      </c>
      <c r="Y2421" s="8" t="s">
        <v>23</v>
      </c>
    </row>
    <row r="2422" spans="1:25" hidden="1" x14ac:dyDescent="0.25">
      <c r="A2422" s="273" t="s">
        <v>316</v>
      </c>
      <c r="B2422" s="251">
        <v>45809</v>
      </c>
      <c r="C2422" s="252" t="s">
        <v>1338</v>
      </c>
      <c r="D2422" s="252"/>
      <c r="E2422" s="253">
        <v>32000</v>
      </c>
      <c r="F2422" s="253">
        <v>0</v>
      </c>
      <c r="G2422" s="274">
        <f>Tabla3[[#This Row],[INGRESOS]]-Tabla3[[#This Row],[EGRESOS]]</f>
        <v>-32000</v>
      </c>
      <c r="H2422" s="135">
        <v>0</v>
      </c>
      <c r="I2422" s="135">
        <v>1170</v>
      </c>
      <c r="J2422" s="136">
        <f>Tabla3[[#This Row],[EGRESOS]]/Tabla3[[#This Row],[TC]]</f>
        <v>27.350427350427349</v>
      </c>
      <c r="K2422" s="136">
        <f>Tabla3[[#This Row],[INGRESOS]]/Tabla3[[#This Row],[TC]]</f>
        <v>0</v>
      </c>
      <c r="L2422" s="8" t="s">
        <v>1336</v>
      </c>
      <c r="M2422" s="8" t="s">
        <v>1336</v>
      </c>
      <c r="N2422" s="8" t="s">
        <v>1336</v>
      </c>
      <c r="O2422" s="8" t="s">
        <v>225</v>
      </c>
      <c r="P2422" s="8" t="s">
        <v>236</v>
      </c>
      <c r="Q2422" s="8" t="s">
        <v>214</v>
      </c>
      <c r="R2422" s="8" t="s">
        <v>1341</v>
      </c>
      <c r="S2422" s="8" t="s">
        <v>1342</v>
      </c>
      <c r="T2422" s="8"/>
      <c r="U2422" s="8" t="s">
        <v>403</v>
      </c>
      <c r="V2422" s="8"/>
      <c r="W2422" s="8" t="s">
        <v>380</v>
      </c>
      <c r="X2422" s="8" t="s">
        <v>29</v>
      </c>
      <c r="Y2422" s="8" t="s">
        <v>23</v>
      </c>
    </row>
    <row r="2423" spans="1:25" hidden="1" x14ac:dyDescent="0.25">
      <c r="A2423" s="273" t="s">
        <v>316</v>
      </c>
      <c r="B2423" s="251">
        <v>45813</v>
      </c>
      <c r="C2423" s="252" t="s">
        <v>1338</v>
      </c>
      <c r="D2423" s="252"/>
      <c r="E2423" s="253">
        <v>0</v>
      </c>
      <c r="F2423" s="253">
        <v>700000</v>
      </c>
      <c r="G2423" s="274">
        <f>Tabla3[[#This Row],[INGRESOS]]-Tabla3[[#This Row],[EGRESOS]]</f>
        <v>700000</v>
      </c>
      <c r="H2423" s="135">
        <v>0</v>
      </c>
      <c r="I2423" s="135">
        <v>1170</v>
      </c>
      <c r="J2423" s="136">
        <f>Tabla3[[#This Row],[EGRESOS]]/Tabla3[[#This Row],[TC]]</f>
        <v>0</v>
      </c>
      <c r="K2423" s="136">
        <f>Tabla3[[#This Row],[INGRESOS]]/Tabla3[[#This Row],[TC]]</f>
        <v>598.29059829059827</v>
      </c>
      <c r="L2423" s="8" t="s">
        <v>1336</v>
      </c>
      <c r="M2423" s="8" t="s">
        <v>1336</v>
      </c>
      <c r="N2423" s="8" t="s">
        <v>1336</v>
      </c>
      <c r="O2423" s="8" t="s">
        <v>184</v>
      </c>
      <c r="P2423" s="8" t="s">
        <v>210</v>
      </c>
      <c r="Q2423" s="8" t="s">
        <v>204</v>
      </c>
      <c r="R2423" s="8" t="s">
        <v>975</v>
      </c>
      <c r="S2423" s="8" t="s">
        <v>524</v>
      </c>
      <c r="T2423" s="8"/>
      <c r="U2423" s="8" t="s">
        <v>453</v>
      </c>
      <c r="V2423" s="8"/>
      <c r="W2423" s="8" t="s">
        <v>380</v>
      </c>
      <c r="X2423" s="8" t="s">
        <v>23</v>
      </c>
      <c r="Y2423" s="8" t="s">
        <v>39</v>
      </c>
    </row>
    <row r="2424" spans="1:25" hidden="1" x14ac:dyDescent="0.25">
      <c r="A2424" s="273" t="s">
        <v>316</v>
      </c>
      <c r="B2424" s="251">
        <v>45813</v>
      </c>
      <c r="C2424" s="252" t="s">
        <v>1338</v>
      </c>
      <c r="D2424" s="252"/>
      <c r="E2424" s="253">
        <v>200000</v>
      </c>
      <c r="F2424" s="253">
        <v>0</v>
      </c>
      <c r="G2424" s="274">
        <f>Tabla3[[#This Row],[INGRESOS]]-Tabla3[[#This Row],[EGRESOS]]</f>
        <v>-200000</v>
      </c>
      <c r="H2424" s="135">
        <v>0</v>
      </c>
      <c r="I2424" s="135">
        <v>1170</v>
      </c>
      <c r="J2424" s="136">
        <f>Tabla3[[#This Row],[EGRESOS]]/Tabla3[[#This Row],[TC]]</f>
        <v>170.94017094017093</v>
      </c>
      <c r="K2424" s="136">
        <f>Tabla3[[#This Row],[INGRESOS]]/Tabla3[[#This Row],[TC]]</f>
        <v>0</v>
      </c>
      <c r="L2424" s="8" t="s">
        <v>1336</v>
      </c>
      <c r="M2424" s="8" t="s">
        <v>1336</v>
      </c>
      <c r="N2424" s="8" t="s">
        <v>1336</v>
      </c>
      <c r="O2424" s="8" t="s">
        <v>184</v>
      </c>
      <c r="P2424" s="8" t="s">
        <v>199</v>
      </c>
      <c r="Q2424" s="8" t="s">
        <v>200</v>
      </c>
      <c r="R2424" s="8"/>
      <c r="S2424" s="8" t="s">
        <v>470</v>
      </c>
      <c r="T2424" s="8"/>
      <c r="U2424" s="8" t="s">
        <v>390</v>
      </c>
      <c r="V2424" s="8"/>
      <c r="W2424" s="8" t="s">
        <v>380</v>
      </c>
      <c r="X2424" s="8" t="s">
        <v>99</v>
      </c>
      <c r="Y2424" s="8" t="s">
        <v>23</v>
      </c>
    </row>
    <row r="2425" spans="1:25" hidden="1" x14ac:dyDescent="0.25">
      <c r="A2425" s="247" t="str">
        <f>"NOVIEMBRE"</f>
        <v>NOVIEMBRE</v>
      </c>
      <c r="B2425" s="248">
        <v>45964</v>
      </c>
      <c r="C2425" s="244" t="s">
        <v>1335</v>
      </c>
      <c r="D2425" s="244"/>
      <c r="E2425" s="249">
        <v>0</v>
      </c>
      <c r="F2425" s="249">
        <v>275500</v>
      </c>
      <c r="G2425" s="266">
        <f>Tabla3[[#This Row],[INGRESOS]]-Tabla3[[#This Row],[EGRESOS]]</f>
        <v>275500</v>
      </c>
      <c r="H2425" s="135">
        <v>0</v>
      </c>
      <c r="I2425" s="119">
        <v>1490</v>
      </c>
      <c r="J2425" s="136">
        <f>Tabla3[[#This Row],[EGRESOS]]/Tabla3[[#This Row],[TC]]</f>
        <v>0</v>
      </c>
      <c r="K2425" s="136">
        <f>Tabla3[[#This Row],[INGRESOS]]/Tabla3[[#This Row],[TC]]</f>
        <v>184.8993288590604</v>
      </c>
      <c r="L2425" s="8" t="s">
        <v>1336</v>
      </c>
      <c r="M2425" s="8" t="s">
        <v>1336</v>
      </c>
      <c r="N2425" s="8" t="s">
        <v>1336</v>
      </c>
      <c r="O2425" s="7" t="s">
        <v>184</v>
      </c>
      <c r="P2425" s="7" t="s">
        <v>203</v>
      </c>
      <c r="Q2425" s="7" t="s">
        <v>204</v>
      </c>
      <c r="R2425" s="7"/>
      <c r="S2425" s="7" t="s">
        <v>386</v>
      </c>
      <c r="T2425" s="7"/>
      <c r="U2425" s="7" t="s">
        <v>439</v>
      </c>
      <c r="V2425" s="7" t="s">
        <v>386</v>
      </c>
      <c r="W2425" s="7" t="s">
        <v>380</v>
      </c>
      <c r="X2425" s="7" t="s">
        <v>23</v>
      </c>
      <c r="Y2425" s="7" t="s">
        <v>98</v>
      </c>
    </row>
    <row r="2426" spans="1:25" hidden="1" x14ac:dyDescent="0.25">
      <c r="A2426" s="273" t="s">
        <v>316</v>
      </c>
      <c r="B2426" s="251">
        <v>45827</v>
      </c>
      <c r="C2426" s="252" t="s">
        <v>1338</v>
      </c>
      <c r="D2426" s="252"/>
      <c r="E2426" s="253">
        <v>17473</v>
      </c>
      <c r="F2426" s="253">
        <v>0</v>
      </c>
      <c r="G2426" s="274">
        <f>Tabla3[[#This Row],[INGRESOS]]-Tabla3[[#This Row],[EGRESOS]]</f>
        <v>-17473</v>
      </c>
      <c r="H2426" s="135">
        <v>0</v>
      </c>
      <c r="I2426" s="135">
        <v>1170</v>
      </c>
      <c r="J2426" s="136">
        <f>Tabla3[[#This Row],[EGRESOS]]/Tabla3[[#This Row],[TC]]</f>
        <v>14.934188034188034</v>
      </c>
      <c r="K2426" s="136">
        <f>Tabla3[[#This Row],[INGRESOS]]/Tabla3[[#This Row],[TC]]</f>
        <v>0</v>
      </c>
      <c r="L2426" s="8" t="s">
        <v>1336</v>
      </c>
      <c r="M2426" s="8" t="s">
        <v>1336</v>
      </c>
      <c r="N2426" s="8" t="s">
        <v>1336</v>
      </c>
      <c r="O2426" s="8" t="s">
        <v>184</v>
      </c>
      <c r="P2426" s="8" t="s">
        <v>199</v>
      </c>
      <c r="Q2426" s="8" t="s">
        <v>201</v>
      </c>
      <c r="R2426" s="8" t="s">
        <v>957</v>
      </c>
      <c r="S2426" s="8" t="s">
        <v>389</v>
      </c>
      <c r="T2426" s="8"/>
      <c r="U2426" s="8" t="s">
        <v>390</v>
      </c>
      <c r="V2426" s="8"/>
      <c r="W2426" s="8" t="s">
        <v>380</v>
      </c>
      <c r="X2426" s="8" t="s">
        <v>99</v>
      </c>
      <c r="Y2426" s="8" t="s">
        <v>23</v>
      </c>
    </row>
    <row r="2427" spans="1:25" hidden="1" x14ac:dyDescent="0.25">
      <c r="A2427" s="273" t="s">
        <v>316</v>
      </c>
      <c r="B2427" s="251">
        <v>45827</v>
      </c>
      <c r="C2427" s="252" t="s">
        <v>1338</v>
      </c>
      <c r="D2427" s="252"/>
      <c r="E2427" s="253">
        <v>0</v>
      </c>
      <c r="F2427" s="253">
        <v>350000</v>
      </c>
      <c r="G2427" s="274">
        <f>Tabla3[[#This Row],[INGRESOS]]-Tabla3[[#This Row],[EGRESOS]]</f>
        <v>350000</v>
      </c>
      <c r="H2427" s="135">
        <v>0</v>
      </c>
      <c r="I2427" s="135">
        <v>1170</v>
      </c>
      <c r="J2427" s="136">
        <f>Tabla3[[#This Row],[EGRESOS]]/Tabla3[[#This Row],[TC]]</f>
        <v>0</v>
      </c>
      <c r="K2427" s="136">
        <f>Tabla3[[#This Row],[INGRESOS]]/Tabla3[[#This Row],[TC]]</f>
        <v>299.14529914529913</v>
      </c>
      <c r="L2427" s="8" t="s">
        <v>1336</v>
      </c>
      <c r="M2427" s="8" t="s">
        <v>1336</v>
      </c>
      <c r="N2427" s="8" t="s">
        <v>1336</v>
      </c>
      <c r="O2427" s="8" t="s">
        <v>184</v>
      </c>
      <c r="P2427" s="8" t="s">
        <v>210</v>
      </c>
      <c r="Q2427" s="8" t="s">
        <v>211</v>
      </c>
      <c r="R2427" s="8" t="s">
        <v>1343</v>
      </c>
      <c r="S2427" s="8" t="s">
        <v>452</v>
      </c>
      <c r="T2427" s="8"/>
      <c r="U2427" s="8" t="s">
        <v>453</v>
      </c>
      <c r="V2427" s="8"/>
      <c r="W2427" s="8" t="s">
        <v>380</v>
      </c>
      <c r="X2427" s="8" t="s">
        <v>23</v>
      </c>
      <c r="Y2427" s="8" t="s">
        <v>45</v>
      </c>
    </row>
    <row r="2428" spans="1:25" hidden="1" x14ac:dyDescent="0.25">
      <c r="A2428" s="273" t="s">
        <v>316</v>
      </c>
      <c r="B2428" s="251">
        <v>45827</v>
      </c>
      <c r="C2428" s="252" t="s">
        <v>1338</v>
      </c>
      <c r="D2428" s="252"/>
      <c r="E2428" s="253">
        <v>350000</v>
      </c>
      <c r="F2428" s="253">
        <v>0</v>
      </c>
      <c r="G2428" s="274">
        <f>Tabla3[[#This Row],[INGRESOS]]-Tabla3[[#This Row],[EGRESOS]]</f>
        <v>-350000</v>
      </c>
      <c r="H2428" s="135">
        <v>0</v>
      </c>
      <c r="I2428" s="135">
        <v>1170</v>
      </c>
      <c r="J2428" s="136">
        <f>Tabla3[[#This Row],[EGRESOS]]/Tabla3[[#This Row],[TC]]</f>
        <v>299.14529914529913</v>
      </c>
      <c r="K2428" s="136">
        <f>Tabla3[[#This Row],[INGRESOS]]/Tabla3[[#This Row],[TC]]</f>
        <v>0</v>
      </c>
      <c r="L2428" s="8" t="s">
        <v>1336</v>
      </c>
      <c r="M2428" s="8" t="s">
        <v>1336</v>
      </c>
      <c r="N2428" s="8" t="s">
        <v>1336</v>
      </c>
      <c r="O2428" s="8" t="s">
        <v>286</v>
      </c>
      <c r="P2428" s="8" t="s">
        <v>287</v>
      </c>
      <c r="Q2428" s="8" t="s">
        <v>291</v>
      </c>
      <c r="R2428" s="8" t="s">
        <v>143</v>
      </c>
      <c r="S2428" s="8" t="s">
        <v>676</v>
      </c>
      <c r="T2428" s="8"/>
      <c r="U2428" s="8" t="s">
        <v>412</v>
      </c>
      <c r="V2428" s="8"/>
      <c r="W2428" s="8" t="s">
        <v>380</v>
      </c>
      <c r="X2428" s="8" t="s">
        <v>29</v>
      </c>
      <c r="Y2428" s="8" t="s">
        <v>23</v>
      </c>
    </row>
    <row r="2429" spans="1:25" hidden="1" x14ac:dyDescent="0.25">
      <c r="A2429" s="273" t="s">
        <v>316</v>
      </c>
      <c r="B2429" s="248">
        <v>45831</v>
      </c>
      <c r="C2429" s="252" t="s">
        <v>1338</v>
      </c>
      <c r="D2429" s="252"/>
      <c r="E2429" s="253">
        <v>0</v>
      </c>
      <c r="F2429" s="253">
        <f>150000+53800+390026</f>
        <v>593826</v>
      </c>
      <c r="G2429" s="274">
        <f>Tabla3[[#This Row],[INGRESOS]]-Tabla3[[#This Row],[EGRESOS]]</f>
        <v>593826</v>
      </c>
      <c r="H2429" s="135">
        <v>0</v>
      </c>
      <c r="I2429" s="135">
        <v>1170</v>
      </c>
      <c r="J2429" s="136">
        <f>Tabla3[[#This Row],[EGRESOS]]/Tabla3[[#This Row],[TC]]</f>
        <v>0</v>
      </c>
      <c r="K2429" s="136">
        <f>Tabla3[[#This Row],[INGRESOS]]/Tabla3[[#This Row],[TC]]</f>
        <v>507.54358974358973</v>
      </c>
      <c r="L2429" s="8" t="s">
        <v>1336</v>
      </c>
      <c r="M2429" s="8" t="s">
        <v>1336</v>
      </c>
      <c r="N2429" s="8" t="s">
        <v>1336</v>
      </c>
      <c r="O2429" s="8" t="s">
        <v>184</v>
      </c>
      <c r="P2429" s="8" t="s">
        <v>210</v>
      </c>
      <c r="Q2429" s="8" t="s">
        <v>204</v>
      </c>
      <c r="R2429" s="8" t="s">
        <v>1344</v>
      </c>
      <c r="S2429" s="8" t="s">
        <v>524</v>
      </c>
      <c r="T2429" s="8"/>
      <c r="U2429" s="8" t="s">
        <v>453</v>
      </c>
      <c r="V2429" s="8"/>
      <c r="W2429" s="8" t="s">
        <v>380</v>
      </c>
      <c r="X2429" s="8" t="s">
        <v>23</v>
      </c>
      <c r="Y2429" s="8" t="s">
        <v>39</v>
      </c>
    </row>
    <row r="2430" spans="1:25" hidden="1" x14ac:dyDescent="0.25">
      <c r="A2430" s="273" t="s">
        <v>316</v>
      </c>
      <c r="B2430" s="251">
        <v>45831</v>
      </c>
      <c r="C2430" s="252" t="s">
        <v>1338</v>
      </c>
      <c r="D2430" s="252"/>
      <c r="E2430" s="253">
        <v>150000</v>
      </c>
      <c r="F2430" s="253">
        <v>0</v>
      </c>
      <c r="G2430" s="274">
        <f>Tabla3[[#This Row],[INGRESOS]]-Tabla3[[#This Row],[EGRESOS]]</f>
        <v>-150000</v>
      </c>
      <c r="H2430" s="135">
        <v>0</v>
      </c>
      <c r="I2430" s="135">
        <v>1170</v>
      </c>
      <c r="J2430" s="136">
        <f>Tabla3[[#This Row],[EGRESOS]]/Tabla3[[#This Row],[TC]]</f>
        <v>128.2051282051282</v>
      </c>
      <c r="K2430" s="136">
        <f>Tabla3[[#This Row],[INGRESOS]]/Tabla3[[#This Row],[TC]]</f>
        <v>0</v>
      </c>
      <c r="L2430" s="8" t="s">
        <v>1336</v>
      </c>
      <c r="M2430" s="8" t="s">
        <v>1336</v>
      </c>
      <c r="N2430" s="8" t="s">
        <v>1336</v>
      </c>
      <c r="O2430" s="8" t="s">
        <v>184</v>
      </c>
      <c r="P2430" s="8" t="s">
        <v>199</v>
      </c>
      <c r="Q2430" s="8" t="s">
        <v>200</v>
      </c>
      <c r="R2430" s="8"/>
      <c r="S2430" s="8" t="s">
        <v>470</v>
      </c>
      <c r="T2430" s="8"/>
      <c r="U2430" s="8" t="s">
        <v>390</v>
      </c>
      <c r="V2430" s="8"/>
      <c r="W2430" s="8" t="s">
        <v>380</v>
      </c>
      <c r="X2430" s="8" t="s">
        <v>99</v>
      </c>
      <c r="Y2430" s="8" t="s">
        <v>23</v>
      </c>
    </row>
    <row r="2431" spans="1:25" hidden="1" x14ac:dyDescent="0.25">
      <c r="A2431" s="273" t="s">
        <v>316</v>
      </c>
      <c r="B2431" s="251">
        <v>45831</v>
      </c>
      <c r="C2431" s="252" t="s">
        <v>1338</v>
      </c>
      <c r="D2431" s="252"/>
      <c r="E2431" s="253">
        <v>53800</v>
      </c>
      <c r="F2431" s="253">
        <v>0</v>
      </c>
      <c r="G2431" s="274">
        <f>Tabla3[[#This Row],[INGRESOS]]-Tabla3[[#This Row],[EGRESOS]]</f>
        <v>-53800</v>
      </c>
      <c r="H2431" s="135">
        <v>0</v>
      </c>
      <c r="I2431" s="135">
        <v>1170</v>
      </c>
      <c r="J2431" s="136">
        <f>Tabla3[[#This Row],[EGRESOS]]/Tabla3[[#This Row],[TC]]</f>
        <v>45.982905982905983</v>
      </c>
      <c r="K2431" s="136">
        <f>Tabla3[[#This Row],[INGRESOS]]/Tabla3[[#This Row],[TC]]</f>
        <v>0</v>
      </c>
      <c r="L2431" s="8" t="s">
        <v>1336</v>
      </c>
      <c r="M2431" s="8" t="s">
        <v>1336</v>
      </c>
      <c r="N2431" s="8" t="s">
        <v>1336</v>
      </c>
      <c r="O2431" s="8" t="s">
        <v>286</v>
      </c>
      <c r="P2431" s="8" t="s">
        <v>287</v>
      </c>
      <c r="Q2431" s="8" t="s">
        <v>290</v>
      </c>
      <c r="R2431" s="8" t="s">
        <v>143</v>
      </c>
      <c r="S2431" s="8" t="s">
        <v>682</v>
      </c>
      <c r="T2431" s="8"/>
      <c r="U2431" s="8" t="s">
        <v>412</v>
      </c>
      <c r="V2431" s="8"/>
      <c r="W2431" s="8" t="s">
        <v>380</v>
      </c>
      <c r="X2431" s="8" t="s">
        <v>29</v>
      </c>
      <c r="Y2431" s="8" t="s">
        <v>23</v>
      </c>
    </row>
    <row r="2432" spans="1:25" hidden="1" x14ac:dyDescent="0.25">
      <c r="A2432" s="273" t="s">
        <v>316</v>
      </c>
      <c r="B2432" s="251">
        <v>45831</v>
      </c>
      <c r="C2432" s="252" t="s">
        <v>1338</v>
      </c>
      <c r="D2432" s="252"/>
      <c r="E2432" s="253">
        <v>390026</v>
      </c>
      <c r="F2432" s="253">
        <v>0</v>
      </c>
      <c r="G2432" s="274">
        <f>Tabla3[[#This Row],[INGRESOS]]-Tabla3[[#This Row],[EGRESOS]]</f>
        <v>-390026</v>
      </c>
      <c r="H2432" s="135">
        <v>0</v>
      </c>
      <c r="I2432" s="135">
        <v>1170</v>
      </c>
      <c r="J2432" s="136">
        <f>Tabla3[[#This Row],[EGRESOS]]/Tabla3[[#This Row],[TC]]</f>
        <v>333.35555555555555</v>
      </c>
      <c r="K2432" s="136">
        <f>Tabla3[[#This Row],[INGRESOS]]/Tabla3[[#This Row],[TC]]</f>
        <v>0</v>
      </c>
      <c r="L2432" s="8" t="s">
        <v>1336</v>
      </c>
      <c r="M2432" s="8" t="s">
        <v>1336</v>
      </c>
      <c r="N2432" s="8" t="s">
        <v>1336</v>
      </c>
      <c r="O2432" s="8" t="s">
        <v>286</v>
      </c>
      <c r="P2432" s="8" t="s">
        <v>287</v>
      </c>
      <c r="Q2432" s="8" t="s">
        <v>291</v>
      </c>
      <c r="R2432" s="8" t="s">
        <v>143</v>
      </c>
      <c r="S2432" s="8" t="s">
        <v>676</v>
      </c>
      <c r="T2432" s="8"/>
      <c r="U2432" s="8" t="s">
        <v>412</v>
      </c>
      <c r="V2432" s="8"/>
      <c r="W2432" s="8" t="s">
        <v>380</v>
      </c>
      <c r="X2432" s="8" t="s">
        <v>29</v>
      </c>
      <c r="Y2432" s="8" t="s">
        <v>23</v>
      </c>
    </row>
    <row r="2433" spans="1:25" hidden="1" x14ac:dyDescent="0.25">
      <c r="A2433" s="273" t="s">
        <v>317</v>
      </c>
      <c r="B2433" s="251">
        <v>45846</v>
      </c>
      <c r="C2433" s="252" t="s">
        <v>1338</v>
      </c>
      <c r="D2433" s="252"/>
      <c r="E2433" s="253">
        <v>0</v>
      </c>
      <c r="F2433" s="253">
        <v>1125403</v>
      </c>
      <c r="G2433" s="274">
        <f>Tabla3[[#This Row],[INGRESOS]]-Tabla3[[#This Row],[EGRESOS]]</f>
        <v>1125403</v>
      </c>
      <c r="H2433" s="135">
        <v>0</v>
      </c>
      <c r="I2433" s="135">
        <v>1170</v>
      </c>
      <c r="J2433" s="136">
        <f>Tabla3[[#This Row],[EGRESOS]]/Tabla3[[#This Row],[TC]]</f>
        <v>0</v>
      </c>
      <c r="K2433" s="136">
        <f>Tabla3[[#This Row],[INGRESOS]]/Tabla3[[#This Row],[TC]]</f>
        <v>961.88290598290598</v>
      </c>
      <c r="L2433" s="8" t="s">
        <v>1336</v>
      </c>
      <c r="M2433" s="8" t="s">
        <v>1336</v>
      </c>
      <c r="N2433" s="8" t="s">
        <v>1336</v>
      </c>
      <c r="O2433" s="8" t="s">
        <v>184</v>
      </c>
      <c r="P2433" s="8" t="s">
        <v>210</v>
      </c>
      <c r="Q2433" s="8" t="s">
        <v>205</v>
      </c>
      <c r="R2433" s="8"/>
      <c r="S2433" s="8" t="s">
        <v>524</v>
      </c>
      <c r="T2433" s="8"/>
      <c r="U2433" s="8" t="s">
        <v>453</v>
      </c>
      <c r="V2433" s="8"/>
      <c r="W2433" s="8" t="s">
        <v>380</v>
      </c>
      <c r="X2433" s="8" t="s">
        <v>39</v>
      </c>
      <c r="Y2433" s="8" t="s">
        <v>23</v>
      </c>
    </row>
    <row r="2434" spans="1:25" hidden="1" x14ac:dyDescent="0.25">
      <c r="A2434" s="273" t="s">
        <v>317</v>
      </c>
      <c r="B2434" s="251">
        <v>45846</v>
      </c>
      <c r="C2434" s="252" t="s">
        <v>1338</v>
      </c>
      <c r="D2434" s="252"/>
      <c r="E2434" s="253">
        <v>70000</v>
      </c>
      <c r="F2434" s="253">
        <v>0</v>
      </c>
      <c r="G2434" s="274">
        <f>Tabla3[[#This Row],[INGRESOS]]-Tabla3[[#This Row],[EGRESOS]]</f>
        <v>-70000</v>
      </c>
      <c r="H2434" s="135">
        <v>0</v>
      </c>
      <c r="I2434" s="135">
        <v>1170</v>
      </c>
      <c r="J2434" s="136">
        <f>Tabla3[[#This Row],[EGRESOS]]/Tabla3[[#This Row],[TC]]</f>
        <v>59.82905982905983</v>
      </c>
      <c r="K2434" s="136">
        <f>Tabla3[[#This Row],[INGRESOS]]/Tabla3[[#This Row],[TC]]</f>
        <v>0</v>
      </c>
      <c r="L2434" s="8" t="s">
        <v>1336</v>
      </c>
      <c r="M2434" s="8" t="s">
        <v>1336</v>
      </c>
      <c r="N2434" s="8" t="s">
        <v>1336</v>
      </c>
      <c r="O2434" s="8" t="s">
        <v>184</v>
      </c>
      <c r="P2434" s="8" t="s">
        <v>199</v>
      </c>
      <c r="Q2434" s="8" t="s">
        <v>200</v>
      </c>
      <c r="R2434" s="8"/>
      <c r="S2434" s="8" t="s">
        <v>1345</v>
      </c>
      <c r="T2434" s="8"/>
      <c r="U2434" s="8" t="s">
        <v>390</v>
      </c>
      <c r="V2434" s="8"/>
      <c r="W2434" s="8" t="s">
        <v>380</v>
      </c>
      <c r="X2434" s="8" t="s">
        <v>99</v>
      </c>
      <c r="Y2434" s="8" t="s">
        <v>23</v>
      </c>
    </row>
    <row r="2435" spans="1:25" hidden="1" x14ac:dyDescent="0.25">
      <c r="A2435" s="273" t="s">
        <v>317</v>
      </c>
      <c r="B2435" s="251">
        <v>45846</v>
      </c>
      <c r="C2435" s="252" t="s">
        <v>1338</v>
      </c>
      <c r="D2435" s="252"/>
      <c r="E2435" s="253">
        <v>30000</v>
      </c>
      <c r="F2435" s="253">
        <v>0</v>
      </c>
      <c r="G2435" s="274">
        <f>Tabla3[[#This Row],[INGRESOS]]-Tabla3[[#This Row],[EGRESOS]]</f>
        <v>-30000</v>
      </c>
      <c r="H2435" s="135">
        <v>0</v>
      </c>
      <c r="I2435" s="135">
        <v>1170</v>
      </c>
      <c r="J2435" s="136">
        <f>Tabla3[[#This Row],[EGRESOS]]/Tabla3[[#This Row],[TC]]</f>
        <v>25.641025641025642</v>
      </c>
      <c r="K2435" s="136">
        <f>Tabla3[[#This Row],[INGRESOS]]/Tabla3[[#This Row],[TC]]</f>
        <v>0</v>
      </c>
      <c r="L2435" s="8" t="s">
        <v>1336</v>
      </c>
      <c r="M2435" s="8" t="s">
        <v>1336</v>
      </c>
      <c r="N2435" s="8" t="s">
        <v>1336</v>
      </c>
      <c r="O2435" s="8" t="s">
        <v>276</v>
      </c>
      <c r="P2435" s="8" t="s">
        <v>279</v>
      </c>
      <c r="Q2435" s="8" t="s">
        <v>280</v>
      </c>
      <c r="R2435" s="8"/>
      <c r="S2435" s="8" t="s">
        <v>431</v>
      </c>
      <c r="T2435" s="8"/>
      <c r="U2435" s="8" t="s">
        <v>384</v>
      </c>
      <c r="V2435" s="8"/>
      <c r="W2435" s="8" t="s">
        <v>380</v>
      </c>
      <c r="X2435" s="8" t="s">
        <v>99</v>
      </c>
      <c r="Y2435" s="8" t="s">
        <v>23</v>
      </c>
    </row>
    <row r="2436" spans="1:25" hidden="1" x14ac:dyDescent="0.25">
      <c r="A2436" s="273" t="s">
        <v>317</v>
      </c>
      <c r="B2436" s="251">
        <v>45846</v>
      </c>
      <c r="C2436" s="252" t="s">
        <v>1338</v>
      </c>
      <c r="D2436" s="252"/>
      <c r="E2436" s="253">
        <v>150000</v>
      </c>
      <c r="F2436" s="253">
        <v>0</v>
      </c>
      <c r="G2436" s="274">
        <f>Tabla3[[#This Row],[INGRESOS]]-Tabla3[[#This Row],[EGRESOS]]</f>
        <v>-150000</v>
      </c>
      <c r="H2436" s="135">
        <v>0</v>
      </c>
      <c r="I2436" s="135">
        <v>1170</v>
      </c>
      <c r="J2436" s="136">
        <f>Tabla3[[#This Row],[EGRESOS]]/Tabla3[[#This Row],[TC]]</f>
        <v>128.2051282051282</v>
      </c>
      <c r="K2436" s="136">
        <f>Tabla3[[#This Row],[INGRESOS]]/Tabla3[[#This Row],[TC]]</f>
        <v>0</v>
      </c>
      <c r="L2436" s="8" t="s">
        <v>1336</v>
      </c>
      <c r="M2436" s="8" t="s">
        <v>1336</v>
      </c>
      <c r="N2436" s="8" t="s">
        <v>1336</v>
      </c>
      <c r="O2436" s="8" t="s">
        <v>184</v>
      </c>
      <c r="P2436" s="8" t="s">
        <v>199</v>
      </c>
      <c r="Q2436" s="8" t="s">
        <v>200</v>
      </c>
      <c r="R2436" s="8"/>
      <c r="S2436" s="8" t="s">
        <v>470</v>
      </c>
      <c r="T2436" s="8"/>
      <c r="U2436" s="8" t="s">
        <v>390</v>
      </c>
      <c r="V2436" s="8"/>
      <c r="W2436" s="8" t="s">
        <v>380</v>
      </c>
      <c r="X2436" s="8" t="s">
        <v>99</v>
      </c>
      <c r="Y2436" s="8" t="s">
        <v>23</v>
      </c>
    </row>
    <row r="2437" spans="1:25" hidden="1" x14ac:dyDescent="0.25">
      <c r="A2437" s="273" t="s">
        <v>317</v>
      </c>
      <c r="B2437" s="251">
        <v>45846</v>
      </c>
      <c r="C2437" s="252" t="s">
        <v>1338</v>
      </c>
      <c r="D2437" s="252"/>
      <c r="E2437" s="253">
        <v>1862</v>
      </c>
      <c r="F2437" s="253">
        <v>0</v>
      </c>
      <c r="G2437" s="274">
        <f>Tabla3[[#This Row],[INGRESOS]]-Tabla3[[#This Row],[EGRESOS]]</f>
        <v>-1862</v>
      </c>
      <c r="H2437" s="135">
        <v>0</v>
      </c>
      <c r="I2437" s="135">
        <v>1170</v>
      </c>
      <c r="J2437" s="136">
        <f>Tabla3[[#This Row],[EGRESOS]]/Tabla3[[#This Row],[TC]]</f>
        <v>1.5914529914529914</v>
      </c>
      <c r="K2437" s="136">
        <f>Tabla3[[#This Row],[INGRESOS]]/Tabla3[[#This Row],[TC]]</f>
        <v>0</v>
      </c>
      <c r="L2437" s="8" t="s">
        <v>1336</v>
      </c>
      <c r="M2437" s="8" t="s">
        <v>1336</v>
      </c>
      <c r="N2437" s="8" t="s">
        <v>1336</v>
      </c>
      <c r="O2437" s="8" t="s">
        <v>286</v>
      </c>
      <c r="P2437" s="8" t="s">
        <v>287</v>
      </c>
      <c r="Q2437" s="8" t="s">
        <v>290</v>
      </c>
      <c r="R2437" s="8" t="s">
        <v>143</v>
      </c>
      <c r="S2437" s="8" t="s">
        <v>682</v>
      </c>
      <c r="T2437" s="8"/>
      <c r="U2437" s="8" t="s">
        <v>412</v>
      </c>
      <c r="V2437" s="8"/>
      <c r="W2437" s="8" t="s">
        <v>380</v>
      </c>
      <c r="X2437" s="8" t="s">
        <v>29</v>
      </c>
      <c r="Y2437" s="8" t="s">
        <v>23</v>
      </c>
    </row>
    <row r="2438" spans="1:25" hidden="1" x14ac:dyDescent="0.25">
      <c r="A2438" s="273" t="s">
        <v>317</v>
      </c>
      <c r="B2438" s="251">
        <v>45846</v>
      </c>
      <c r="C2438" s="252" t="s">
        <v>1338</v>
      </c>
      <c r="D2438" s="252"/>
      <c r="E2438" s="253">
        <v>70635</v>
      </c>
      <c r="F2438" s="253">
        <v>0</v>
      </c>
      <c r="G2438" s="274">
        <f>Tabla3[[#This Row],[INGRESOS]]-Tabla3[[#This Row],[EGRESOS]]</f>
        <v>-70635</v>
      </c>
      <c r="H2438" s="135">
        <v>0</v>
      </c>
      <c r="I2438" s="135">
        <v>1170</v>
      </c>
      <c r="J2438" s="136">
        <f>Tabla3[[#This Row],[EGRESOS]]/Tabla3[[#This Row],[TC]]</f>
        <v>60.371794871794869</v>
      </c>
      <c r="K2438" s="136">
        <f>Tabla3[[#This Row],[INGRESOS]]/Tabla3[[#This Row],[TC]]</f>
        <v>0</v>
      </c>
      <c r="L2438" s="8" t="s">
        <v>1336</v>
      </c>
      <c r="M2438" s="8" t="s">
        <v>1336</v>
      </c>
      <c r="N2438" s="8" t="s">
        <v>1336</v>
      </c>
      <c r="O2438" s="8" t="s">
        <v>286</v>
      </c>
      <c r="P2438" s="8" t="s">
        <v>287</v>
      </c>
      <c r="Q2438" s="8" t="s">
        <v>290</v>
      </c>
      <c r="R2438" s="8" t="s">
        <v>143</v>
      </c>
      <c r="S2438" s="8" t="s">
        <v>682</v>
      </c>
      <c r="T2438" s="8"/>
      <c r="U2438" s="8" t="s">
        <v>412</v>
      </c>
      <c r="V2438" s="8"/>
      <c r="W2438" s="8" t="s">
        <v>380</v>
      </c>
      <c r="X2438" s="8" t="s">
        <v>29</v>
      </c>
      <c r="Y2438" s="8" t="s">
        <v>23</v>
      </c>
    </row>
    <row r="2439" spans="1:25" hidden="1" x14ac:dyDescent="0.25">
      <c r="A2439" s="273" t="s">
        <v>317</v>
      </c>
      <c r="B2439" s="251">
        <v>45846</v>
      </c>
      <c r="C2439" s="252" t="s">
        <v>1338</v>
      </c>
      <c r="D2439" s="252"/>
      <c r="E2439" s="253">
        <v>1552100</v>
      </c>
      <c r="F2439" s="253">
        <v>0</v>
      </c>
      <c r="G2439" s="274">
        <f>Tabla3[[#This Row],[INGRESOS]]-Tabla3[[#This Row],[EGRESOS]]</f>
        <v>-1552100</v>
      </c>
      <c r="H2439" s="135">
        <v>0</v>
      </c>
      <c r="I2439" s="135">
        <v>1170</v>
      </c>
      <c r="J2439" s="136">
        <f>Tabla3[[#This Row],[EGRESOS]]/Tabla3[[#This Row],[TC]]</f>
        <v>1326.5811965811965</v>
      </c>
      <c r="K2439" s="136">
        <f>Tabla3[[#This Row],[INGRESOS]]/Tabla3[[#This Row],[TC]]</f>
        <v>0</v>
      </c>
      <c r="L2439" s="8" t="s">
        <v>1336</v>
      </c>
      <c r="M2439" s="8" t="s">
        <v>1336</v>
      </c>
      <c r="N2439" s="8" t="s">
        <v>1336</v>
      </c>
      <c r="O2439" s="8" t="s">
        <v>184</v>
      </c>
      <c r="P2439" s="8" t="s">
        <v>199</v>
      </c>
      <c r="Q2439" s="8" t="s">
        <v>201</v>
      </c>
      <c r="R2439" s="8" t="s">
        <v>1346</v>
      </c>
      <c r="S2439" s="8" t="s">
        <v>389</v>
      </c>
      <c r="T2439" s="8"/>
      <c r="U2439" s="8" t="s">
        <v>390</v>
      </c>
      <c r="V2439" s="8"/>
      <c r="W2439" s="8" t="s">
        <v>380</v>
      </c>
      <c r="X2439" s="8" t="s">
        <v>99</v>
      </c>
      <c r="Y2439" s="8" t="s">
        <v>23</v>
      </c>
    </row>
    <row r="2440" spans="1:25" hidden="1" x14ac:dyDescent="0.25">
      <c r="A2440" s="273" t="s">
        <v>317</v>
      </c>
      <c r="B2440" s="251">
        <v>45854</v>
      </c>
      <c r="C2440" s="252" t="s">
        <v>800</v>
      </c>
      <c r="D2440" s="252"/>
      <c r="E2440" s="253">
        <v>0</v>
      </c>
      <c r="F2440" s="253">
        <v>311050</v>
      </c>
      <c r="G2440" s="274">
        <f>Tabla3[[#This Row],[INGRESOS]]-Tabla3[[#This Row],[EGRESOS]]</f>
        <v>311050</v>
      </c>
      <c r="H2440" s="135">
        <v>0</v>
      </c>
      <c r="I2440" s="135">
        <v>1170</v>
      </c>
      <c r="J2440" s="136">
        <f>Tabla3[[#This Row],[EGRESOS]]/Tabla3[[#This Row],[TC]]</f>
        <v>0</v>
      </c>
      <c r="K2440" s="136">
        <f>Tabla3[[#This Row],[INGRESOS]]/Tabla3[[#This Row],[TC]]</f>
        <v>265.85470085470087</v>
      </c>
      <c r="L2440" s="8" t="s">
        <v>1336</v>
      </c>
      <c r="M2440" s="8" t="s">
        <v>1336</v>
      </c>
      <c r="N2440" s="8" t="s">
        <v>1336</v>
      </c>
      <c r="O2440" s="8" t="s">
        <v>184</v>
      </c>
      <c r="P2440" s="8" t="s">
        <v>210</v>
      </c>
      <c r="Q2440" s="8" t="s">
        <v>204</v>
      </c>
      <c r="R2440" s="8" t="s">
        <v>1347</v>
      </c>
      <c r="S2440" s="8" t="s">
        <v>524</v>
      </c>
      <c r="T2440" s="8"/>
      <c r="U2440" s="8" t="s">
        <v>453</v>
      </c>
      <c r="V2440" s="8"/>
      <c r="W2440" s="8" t="s">
        <v>380</v>
      </c>
      <c r="X2440" s="8" t="s">
        <v>23</v>
      </c>
      <c r="Y2440" s="8" t="s">
        <v>39</v>
      </c>
    </row>
    <row r="2441" spans="1:25" hidden="1" x14ac:dyDescent="0.25">
      <c r="A2441" s="273" t="s">
        <v>317</v>
      </c>
      <c r="B2441" s="251">
        <v>45854</v>
      </c>
      <c r="C2441" s="252" t="s">
        <v>800</v>
      </c>
      <c r="D2441" s="252"/>
      <c r="E2441" s="253">
        <v>12000</v>
      </c>
      <c r="F2441" s="253">
        <v>0</v>
      </c>
      <c r="G2441" s="274">
        <f>Tabla3[[#This Row],[INGRESOS]]-Tabla3[[#This Row],[EGRESOS]]</f>
        <v>-12000</v>
      </c>
      <c r="H2441" s="135">
        <v>0</v>
      </c>
      <c r="I2441" s="135">
        <v>1170</v>
      </c>
      <c r="J2441" s="136">
        <f>Tabla3[[#This Row],[EGRESOS]]/Tabla3[[#This Row],[TC]]</f>
        <v>10.256410256410257</v>
      </c>
      <c r="K2441" s="136">
        <f>Tabla3[[#This Row],[INGRESOS]]/Tabla3[[#This Row],[TC]]</f>
        <v>0</v>
      </c>
      <c r="L2441" s="8" t="s">
        <v>1336</v>
      </c>
      <c r="M2441" s="8" t="s">
        <v>1336</v>
      </c>
      <c r="N2441" s="8" t="s">
        <v>1336</v>
      </c>
      <c r="O2441" s="8" t="s">
        <v>184</v>
      </c>
      <c r="P2441" s="8" t="s">
        <v>185</v>
      </c>
      <c r="Q2441" s="8" t="s">
        <v>190</v>
      </c>
      <c r="R2441" s="8" t="s">
        <v>221</v>
      </c>
      <c r="S2441" s="8"/>
      <c r="T2441" s="8"/>
      <c r="U2441" s="8" t="s">
        <v>384</v>
      </c>
      <c r="V2441" s="8"/>
      <c r="W2441" s="8" t="s">
        <v>380</v>
      </c>
      <c r="X2441" s="8" t="s">
        <v>99</v>
      </c>
      <c r="Y2441" s="8" t="s">
        <v>23</v>
      </c>
    </row>
    <row r="2442" spans="1:25" hidden="1" x14ac:dyDescent="0.25">
      <c r="A2442" s="273" t="s">
        <v>317</v>
      </c>
      <c r="B2442" s="251">
        <v>45854</v>
      </c>
      <c r="C2442" s="252" t="s">
        <v>800</v>
      </c>
      <c r="D2442" s="252"/>
      <c r="E2442" s="253">
        <v>150000</v>
      </c>
      <c r="F2442" s="253">
        <v>0</v>
      </c>
      <c r="G2442" s="274">
        <f>Tabla3[[#This Row],[INGRESOS]]-Tabla3[[#This Row],[EGRESOS]]</f>
        <v>-150000</v>
      </c>
      <c r="H2442" s="135">
        <v>0</v>
      </c>
      <c r="I2442" s="135">
        <v>1170</v>
      </c>
      <c r="J2442" s="136">
        <f>Tabla3[[#This Row],[EGRESOS]]/Tabla3[[#This Row],[TC]]</f>
        <v>128.2051282051282</v>
      </c>
      <c r="K2442" s="136">
        <f>Tabla3[[#This Row],[INGRESOS]]/Tabla3[[#This Row],[TC]]</f>
        <v>0</v>
      </c>
      <c r="L2442" s="8" t="s">
        <v>1336</v>
      </c>
      <c r="M2442" s="8" t="s">
        <v>1336</v>
      </c>
      <c r="N2442" s="8" t="s">
        <v>1336</v>
      </c>
      <c r="O2442" s="8" t="s">
        <v>184</v>
      </c>
      <c r="P2442" s="8" t="s">
        <v>199</v>
      </c>
      <c r="Q2442" s="8" t="s">
        <v>200</v>
      </c>
      <c r="R2442" s="8"/>
      <c r="S2442" s="8" t="s">
        <v>470</v>
      </c>
      <c r="T2442" s="8"/>
      <c r="U2442" s="8" t="s">
        <v>390</v>
      </c>
      <c r="V2442" s="8"/>
      <c r="W2442" s="8" t="s">
        <v>380</v>
      </c>
      <c r="X2442" s="8" t="s">
        <v>99</v>
      </c>
      <c r="Y2442" s="8" t="s">
        <v>23</v>
      </c>
    </row>
    <row r="2443" spans="1:25" hidden="1" x14ac:dyDescent="0.25">
      <c r="A2443" s="273" t="s">
        <v>317</v>
      </c>
      <c r="B2443" s="251">
        <v>45854</v>
      </c>
      <c r="C2443" s="252" t="s">
        <v>800</v>
      </c>
      <c r="D2443" s="252"/>
      <c r="E2443" s="253">
        <v>5500</v>
      </c>
      <c r="F2443" s="253">
        <v>0</v>
      </c>
      <c r="G2443" s="274">
        <f>Tabla3[[#This Row],[INGRESOS]]-Tabla3[[#This Row],[EGRESOS]]</f>
        <v>-5500</v>
      </c>
      <c r="H2443" s="135">
        <v>0</v>
      </c>
      <c r="I2443" s="135">
        <v>1170</v>
      </c>
      <c r="J2443" s="136">
        <f>Tabla3[[#This Row],[EGRESOS]]/Tabla3[[#This Row],[TC]]</f>
        <v>4.700854700854701</v>
      </c>
      <c r="K2443" s="136">
        <f>Tabla3[[#This Row],[INGRESOS]]/Tabla3[[#This Row],[TC]]</f>
        <v>0</v>
      </c>
      <c r="L2443" s="8" t="s">
        <v>1336</v>
      </c>
      <c r="M2443" s="8" t="s">
        <v>1336</v>
      </c>
      <c r="N2443" s="8" t="s">
        <v>1336</v>
      </c>
      <c r="O2443" s="8" t="s">
        <v>184</v>
      </c>
      <c r="P2443" s="8" t="s">
        <v>199</v>
      </c>
      <c r="Q2443" s="8" t="s">
        <v>201</v>
      </c>
      <c r="R2443" s="8" t="s">
        <v>745</v>
      </c>
      <c r="S2443" s="8" t="s">
        <v>392</v>
      </c>
      <c r="T2443" s="8"/>
      <c r="U2443" s="8" t="s">
        <v>390</v>
      </c>
      <c r="V2443" s="8"/>
      <c r="W2443" s="8" t="s">
        <v>380</v>
      </c>
      <c r="X2443" s="8" t="s">
        <v>99</v>
      </c>
      <c r="Y2443" s="8" t="s">
        <v>23</v>
      </c>
    </row>
    <row r="2444" spans="1:25" hidden="1" x14ac:dyDescent="0.25">
      <c r="A2444" s="267" t="s">
        <v>317</v>
      </c>
      <c r="B2444" s="268">
        <v>45854</v>
      </c>
      <c r="C2444" s="269" t="s">
        <v>800</v>
      </c>
      <c r="D2444" s="269"/>
      <c r="E2444" s="270">
        <v>4372</v>
      </c>
      <c r="F2444" s="270">
        <v>0</v>
      </c>
      <c r="G2444" s="335">
        <f>Tabla3[[#This Row],[INGRESOS]]-Tabla3[[#This Row],[EGRESOS]]</f>
        <v>-4372</v>
      </c>
      <c r="H2444" s="265">
        <v>0</v>
      </c>
      <c r="I2444" s="265">
        <v>1170</v>
      </c>
      <c r="J2444" s="271">
        <f>Tabla3[[#This Row],[EGRESOS]]/Tabla3[[#This Row],[TC]]</f>
        <v>3.7367521367521368</v>
      </c>
      <c r="K2444" s="271">
        <f>Tabla3[[#This Row],[INGRESOS]]/Tabla3[[#This Row],[TC]]</f>
        <v>0</v>
      </c>
      <c r="L2444" s="272" t="s">
        <v>1336</v>
      </c>
      <c r="M2444" s="272" t="s">
        <v>1336</v>
      </c>
      <c r="N2444" s="272" t="s">
        <v>1336</v>
      </c>
      <c r="O2444" s="272" t="s">
        <v>184</v>
      </c>
      <c r="P2444" s="272" t="s">
        <v>199</v>
      </c>
      <c r="Q2444" s="272" t="s">
        <v>201</v>
      </c>
      <c r="R2444" s="272" t="s">
        <v>958</v>
      </c>
      <c r="S2444" s="272" t="s">
        <v>392</v>
      </c>
      <c r="T2444" s="272"/>
      <c r="U2444" s="272" t="s">
        <v>390</v>
      </c>
      <c r="V2444" s="272"/>
      <c r="W2444" s="272" t="s">
        <v>380</v>
      </c>
      <c r="X2444" s="272" t="s">
        <v>99</v>
      </c>
      <c r="Y2444" s="272" t="s">
        <v>23</v>
      </c>
    </row>
    <row r="2445" spans="1:25" hidden="1" x14ac:dyDescent="0.25">
      <c r="A2445" s="267" t="s">
        <v>317</v>
      </c>
      <c r="B2445" s="268">
        <v>45854</v>
      </c>
      <c r="C2445" s="269" t="s">
        <v>800</v>
      </c>
      <c r="D2445" s="269"/>
      <c r="E2445" s="270">
        <v>55200</v>
      </c>
      <c r="F2445" s="270">
        <v>0</v>
      </c>
      <c r="G2445" s="335">
        <f>Tabla3[[#This Row],[INGRESOS]]-Tabla3[[#This Row],[EGRESOS]]</f>
        <v>-55200</v>
      </c>
      <c r="H2445" s="265">
        <v>0</v>
      </c>
      <c r="I2445" s="265">
        <v>1170</v>
      </c>
      <c r="J2445" s="271">
        <f>Tabla3[[#This Row],[EGRESOS]]/Tabla3[[#This Row],[TC]]</f>
        <v>47.179487179487182</v>
      </c>
      <c r="K2445" s="271">
        <f>Tabla3[[#This Row],[INGRESOS]]/Tabla3[[#This Row],[TC]]</f>
        <v>0</v>
      </c>
      <c r="L2445" s="272" t="s">
        <v>1336</v>
      </c>
      <c r="M2445" s="272" t="s">
        <v>1336</v>
      </c>
      <c r="N2445" s="272" t="s">
        <v>1336</v>
      </c>
      <c r="O2445" s="272" t="s">
        <v>286</v>
      </c>
      <c r="P2445" s="272" t="s">
        <v>287</v>
      </c>
      <c r="Q2445" s="272" t="s">
        <v>290</v>
      </c>
      <c r="R2445" s="272" t="s">
        <v>143</v>
      </c>
      <c r="S2445" s="272" t="s">
        <v>682</v>
      </c>
      <c r="T2445" s="272"/>
      <c r="U2445" s="272" t="s">
        <v>412</v>
      </c>
      <c r="V2445" s="272"/>
      <c r="W2445" s="272" t="s">
        <v>380</v>
      </c>
      <c r="X2445" s="272" t="s">
        <v>29</v>
      </c>
      <c r="Y2445" s="272" t="s">
        <v>23</v>
      </c>
    </row>
    <row r="2446" spans="1:25" hidden="1" x14ac:dyDescent="0.25">
      <c r="A2446" s="267" t="s">
        <v>317</v>
      </c>
      <c r="B2446" s="268">
        <v>45854</v>
      </c>
      <c r="C2446" s="269" t="s">
        <v>800</v>
      </c>
      <c r="D2446" s="269"/>
      <c r="E2446" s="270">
        <v>55200</v>
      </c>
      <c r="F2446" s="270">
        <v>0</v>
      </c>
      <c r="G2446" s="335">
        <f>Tabla3[[#This Row],[INGRESOS]]-Tabla3[[#This Row],[EGRESOS]]</f>
        <v>-55200</v>
      </c>
      <c r="H2446" s="265">
        <v>0</v>
      </c>
      <c r="I2446" s="265">
        <v>1170</v>
      </c>
      <c r="J2446" s="271">
        <f>Tabla3[[#This Row],[EGRESOS]]/Tabla3[[#This Row],[TC]]</f>
        <v>47.179487179487182</v>
      </c>
      <c r="K2446" s="271">
        <f>Tabla3[[#This Row],[INGRESOS]]/Tabla3[[#This Row],[TC]]</f>
        <v>0</v>
      </c>
      <c r="L2446" s="272" t="s">
        <v>1336</v>
      </c>
      <c r="M2446" s="272" t="s">
        <v>1336</v>
      </c>
      <c r="N2446" s="272" t="s">
        <v>1336</v>
      </c>
      <c r="O2446" s="272" t="s">
        <v>286</v>
      </c>
      <c r="P2446" s="272" t="s">
        <v>287</v>
      </c>
      <c r="Q2446" s="272" t="s">
        <v>290</v>
      </c>
      <c r="R2446" s="272" t="s">
        <v>143</v>
      </c>
      <c r="S2446" s="272" t="s">
        <v>682</v>
      </c>
      <c r="T2446" s="272"/>
      <c r="U2446" s="272" t="s">
        <v>412</v>
      </c>
      <c r="V2446" s="272"/>
      <c r="W2446" s="272" t="s">
        <v>380</v>
      </c>
      <c r="X2446" s="272" t="s">
        <v>29</v>
      </c>
      <c r="Y2446" s="272" t="s">
        <v>23</v>
      </c>
    </row>
    <row r="2447" spans="1:25" hidden="1" x14ac:dyDescent="0.25">
      <c r="A2447" s="267" t="s">
        <v>317</v>
      </c>
      <c r="B2447" s="268">
        <v>45854</v>
      </c>
      <c r="C2447" s="269" t="s">
        <v>800</v>
      </c>
      <c r="D2447" s="269"/>
      <c r="E2447" s="270">
        <v>28778</v>
      </c>
      <c r="F2447" s="270">
        <v>0</v>
      </c>
      <c r="G2447" s="335">
        <f>Tabla3[[#This Row],[INGRESOS]]-Tabla3[[#This Row],[EGRESOS]]</f>
        <v>-28778</v>
      </c>
      <c r="H2447" s="265">
        <v>0</v>
      </c>
      <c r="I2447" s="265">
        <v>1170</v>
      </c>
      <c r="J2447" s="271">
        <f>Tabla3[[#This Row],[EGRESOS]]/Tabla3[[#This Row],[TC]]</f>
        <v>24.596581196581198</v>
      </c>
      <c r="K2447" s="271">
        <f>Tabla3[[#This Row],[INGRESOS]]/Tabla3[[#This Row],[TC]]</f>
        <v>0</v>
      </c>
      <c r="L2447" s="272" t="s">
        <v>1336</v>
      </c>
      <c r="M2447" s="272" t="s">
        <v>1336</v>
      </c>
      <c r="N2447" s="272" t="s">
        <v>1336</v>
      </c>
      <c r="O2447" s="272" t="s">
        <v>184</v>
      </c>
      <c r="P2447" s="272" t="s">
        <v>199</v>
      </c>
      <c r="Q2447" s="272" t="s">
        <v>201</v>
      </c>
      <c r="R2447" s="272" t="s">
        <v>1348</v>
      </c>
      <c r="S2447" s="272" t="s">
        <v>389</v>
      </c>
      <c r="T2447" s="272"/>
      <c r="U2447" s="272" t="s">
        <v>390</v>
      </c>
      <c r="V2447" s="272"/>
      <c r="W2447" s="272" t="s">
        <v>380</v>
      </c>
      <c r="X2447" s="272" t="s">
        <v>99</v>
      </c>
      <c r="Y2447" s="272" t="s">
        <v>23</v>
      </c>
    </row>
    <row r="2448" spans="1:25" hidden="1" x14ac:dyDescent="0.25">
      <c r="A2448" s="273" t="s">
        <v>317</v>
      </c>
      <c r="B2448" s="248">
        <v>45857</v>
      </c>
      <c r="C2448" s="244" t="s">
        <v>800</v>
      </c>
      <c r="D2448" s="244"/>
      <c r="E2448" s="249">
        <v>0</v>
      </c>
      <c r="F2448" s="249">
        <f>2669060+202000</f>
        <v>2871060</v>
      </c>
      <c r="G2448" s="266">
        <f>Tabla3[[#This Row],[INGRESOS]]-Tabla3[[#This Row],[EGRESOS]]</f>
        <v>2871060</v>
      </c>
      <c r="H2448" s="135">
        <v>0</v>
      </c>
      <c r="I2448" s="119">
        <v>1290</v>
      </c>
      <c r="J2448" s="136">
        <f>Tabla3[[#This Row],[EGRESOS]]/Tabla3[[#This Row],[TC]]</f>
        <v>0</v>
      </c>
      <c r="K2448" s="136">
        <f>Tabla3[[#This Row],[INGRESOS]]/Tabla3[[#This Row],[TC]]</f>
        <v>2225.6279069767443</v>
      </c>
      <c r="L2448" s="8" t="s">
        <v>1336</v>
      </c>
      <c r="M2448" s="8" t="s">
        <v>1336</v>
      </c>
      <c r="N2448" s="8" t="s">
        <v>1336</v>
      </c>
      <c r="O2448" s="7" t="s">
        <v>184</v>
      </c>
      <c r="P2448" s="7" t="s">
        <v>210</v>
      </c>
      <c r="Q2448" s="7" t="s">
        <v>204</v>
      </c>
      <c r="R2448" s="7" t="s">
        <v>1347</v>
      </c>
      <c r="S2448" s="7" t="s">
        <v>524</v>
      </c>
      <c r="T2448" s="7"/>
      <c r="U2448" s="7" t="s">
        <v>453</v>
      </c>
      <c r="V2448" s="7"/>
      <c r="W2448" s="7" t="s">
        <v>380</v>
      </c>
      <c r="X2448" s="7" t="s">
        <v>23</v>
      </c>
      <c r="Y2448" s="7" t="s">
        <v>39</v>
      </c>
    </row>
    <row r="2449" spans="1:25" hidden="1" x14ac:dyDescent="0.25">
      <c r="A2449" s="273" t="s">
        <v>317</v>
      </c>
      <c r="B2449" s="248">
        <v>45857</v>
      </c>
      <c r="C2449" s="244" t="s">
        <v>1338</v>
      </c>
      <c r="D2449" s="244"/>
      <c r="E2449" s="249">
        <v>100000</v>
      </c>
      <c r="F2449" s="249">
        <v>0</v>
      </c>
      <c r="G2449" s="266">
        <f>Tabla3[[#This Row],[INGRESOS]]-Tabla3[[#This Row],[EGRESOS]]</f>
        <v>-100000</v>
      </c>
      <c r="H2449" s="135">
        <v>0</v>
      </c>
      <c r="I2449" s="119">
        <v>1290</v>
      </c>
      <c r="J2449" s="136">
        <f>Tabla3[[#This Row],[EGRESOS]]/Tabla3[[#This Row],[TC]]</f>
        <v>77.519379844961236</v>
      </c>
      <c r="K2449" s="136">
        <f>Tabla3[[#This Row],[INGRESOS]]/Tabla3[[#This Row],[TC]]</f>
        <v>0</v>
      </c>
      <c r="L2449" s="8" t="s">
        <v>1336</v>
      </c>
      <c r="M2449" s="8" t="s">
        <v>1336</v>
      </c>
      <c r="N2449" s="8" t="s">
        <v>1336</v>
      </c>
      <c r="O2449" s="7" t="s">
        <v>184</v>
      </c>
      <c r="P2449" s="7" t="s">
        <v>199</v>
      </c>
      <c r="Q2449" s="7" t="s">
        <v>200</v>
      </c>
      <c r="R2449" s="7"/>
      <c r="S2449" s="7" t="s">
        <v>470</v>
      </c>
      <c r="T2449" s="7"/>
      <c r="U2449" s="7" t="s">
        <v>390</v>
      </c>
      <c r="V2449" s="7"/>
      <c r="W2449" s="7" t="s">
        <v>380</v>
      </c>
      <c r="X2449" s="7" t="s">
        <v>99</v>
      </c>
      <c r="Y2449" s="7" t="s">
        <v>23</v>
      </c>
    </row>
    <row r="2450" spans="1:25" hidden="1" x14ac:dyDescent="0.25">
      <c r="A2450" s="273" t="s">
        <v>317</v>
      </c>
      <c r="B2450" s="248">
        <v>45857</v>
      </c>
      <c r="C2450" s="252" t="s">
        <v>800</v>
      </c>
      <c r="D2450" s="244"/>
      <c r="E2450" s="249">
        <v>3000</v>
      </c>
      <c r="F2450" s="249">
        <v>0</v>
      </c>
      <c r="G2450" s="266">
        <f>Tabla3[[#This Row],[INGRESOS]]-Tabla3[[#This Row],[EGRESOS]]</f>
        <v>-3000</v>
      </c>
      <c r="H2450" s="135">
        <v>0</v>
      </c>
      <c r="I2450" s="119">
        <v>1290</v>
      </c>
      <c r="J2450" s="136">
        <f>Tabla3[[#This Row],[EGRESOS]]/Tabla3[[#This Row],[TC]]</f>
        <v>2.3255813953488373</v>
      </c>
      <c r="K2450" s="136">
        <f>Tabla3[[#This Row],[INGRESOS]]/Tabla3[[#This Row],[TC]]</f>
        <v>0</v>
      </c>
      <c r="L2450" s="8" t="s">
        <v>1336</v>
      </c>
      <c r="M2450" s="8" t="s">
        <v>1336</v>
      </c>
      <c r="N2450" s="8" t="s">
        <v>1336</v>
      </c>
      <c r="O2450" s="8" t="s">
        <v>225</v>
      </c>
      <c r="P2450" s="8" t="s">
        <v>236</v>
      </c>
      <c r="Q2450" s="8" t="s">
        <v>214</v>
      </c>
      <c r="R2450" s="8" t="s">
        <v>1058</v>
      </c>
      <c r="S2450" s="8" t="s">
        <v>1059</v>
      </c>
      <c r="T2450" s="7"/>
      <c r="U2450" s="7" t="s">
        <v>403</v>
      </c>
      <c r="V2450" s="7"/>
      <c r="W2450" s="7" t="s">
        <v>380</v>
      </c>
      <c r="X2450" s="7" t="s">
        <v>29</v>
      </c>
      <c r="Y2450" s="7" t="s">
        <v>23</v>
      </c>
    </row>
    <row r="2451" spans="1:25" hidden="1" x14ac:dyDescent="0.25">
      <c r="A2451" s="247" t="s">
        <v>317</v>
      </c>
      <c r="B2451" s="248">
        <v>45860</v>
      </c>
      <c r="C2451" s="244" t="s">
        <v>1338</v>
      </c>
      <c r="D2451" s="244"/>
      <c r="E2451" s="249">
        <v>20000</v>
      </c>
      <c r="F2451" s="249">
        <v>0</v>
      </c>
      <c r="G2451" s="266">
        <f>Tabla3[[#This Row],[INGRESOS]]-Tabla3[[#This Row],[EGRESOS]]</f>
        <v>-20000</v>
      </c>
      <c r="H2451" s="135">
        <v>0</v>
      </c>
      <c r="I2451" s="119">
        <v>1290</v>
      </c>
      <c r="J2451" s="136">
        <f>Tabla3[[#This Row],[EGRESOS]]/Tabla3[[#This Row],[TC]]</f>
        <v>15.503875968992247</v>
      </c>
      <c r="K2451" s="136">
        <f>Tabla3[[#This Row],[INGRESOS]]/Tabla3[[#This Row],[TC]]</f>
        <v>0</v>
      </c>
      <c r="L2451" s="8" t="s">
        <v>1336</v>
      </c>
      <c r="M2451" s="8" t="s">
        <v>1336</v>
      </c>
      <c r="N2451" s="8" t="s">
        <v>1336</v>
      </c>
      <c r="O2451" s="7" t="s">
        <v>225</v>
      </c>
      <c r="P2451" s="7" t="s">
        <v>233</v>
      </c>
      <c r="Q2451" s="7" t="s">
        <v>234</v>
      </c>
      <c r="R2451" s="7" t="s">
        <v>430</v>
      </c>
      <c r="S2451" s="7"/>
      <c r="T2451" s="7"/>
      <c r="U2451" s="7" t="s">
        <v>403</v>
      </c>
      <c r="V2451" s="7"/>
      <c r="W2451" s="7" t="s">
        <v>380</v>
      </c>
      <c r="X2451" s="7" t="s">
        <v>29</v>
      </c>
      <c r="Y2451" s="7" t="s">
        <v>23</v>
      </c>
    </row>
    <row r="2452" spans="1:25" hidden="1" x14ac:dyDescent="0.25">
      <c r="A2452" s="247" t="s">
        <v>317</v>
      </c>
      <c r="B2452" s="248">
        <v>45860</v>
      </c>
      <c r="C2452" s="244" t="s">
        <v>1338</v>
      </c>
      <c r="D2452" s="244"/>
      <c r="E2452" s="249">
        <v>5000</v>
      </c>
      <c r="F2452" s="249">
        <v>0</v>
      </c>
      <c r="G2452" s="266">
        <f>Tabla3[[#This Row],[INGRESOS]]-Tabla3[[#This Row],[EGRESOS]]</f>
        <v>-5000</v>
      </c>
      <c r="H2452" s="135">
        <v>0</v>
      </c>
      <c r="I2452" s="119">
        <v>1290</v>
      </c>
      <c r="J2452" s="136">
        <f>Tabla3[[#This Row],[EGRESOS]]/Tabla3[[#This Row],[TC]]</f>
        <v>3.8759689922480618</v>
      </c>
      <c r="K2452" s="136">
        <f>Tabla3[[#This Row],[INGRESOS]]/Tabla3[[#This Row],[TC]]</f>
        <v>0</v>
      </c>
      <c r="L2452" s="8" t="s">
        <v>1336</v>
      </c>
      <c r="M2452" s="8" t="s">
        <v>1336</v>
      </c>
      <c r="N2452" s="8" t="s">
        <v>1336</v>
      </c>
      <c r="O2452" s="7" t="s">
        <v>184</v>
      </c>
      <c r="P2452" s="7" t="s">
        <v>185</v>
      </c>
      <c r="Q2452" s="7" t="s">
        <v>186</v>
      </c>
      <c r="R2452" s="7" t="s">
        <v>291</v>
      </c>
      <c r="S2452" s="7" t="s">
        <v>653</v>
      </c>
      <c r="T2452" s="7"/>
      <c r="U2452" s="7" t="s">
        <v>384</v>
      </c>
      <c r="V2452" s="7"/>
      <c r="W2452" s="7" t="s">
        <v>380</v>
      </c>
      <c r="X2452" s="7" t="s">
        <v>99</v>
      </c>
      <c r="Y2452" s="7" t="s">
        <v>23</v>
      </c>
    </row>
    <row r="2453" spans="1:25" hidden="1" x14ac:dyDescent="0.25">
      <c r="A2453" s="247" t="s">
        <v>317</v>
      </c>
      <c r="B2453" s="248">
        <v>45860</v>
      </c>
      <c r="C2453" s="244" t="s">
        <v>1338</v>
      </c>
      <c r="D2453" s="244"/>
      <c r="E2453" s="249">
        <v>12000</v>
      </c>
      <c r="F2453" s="249">
        <v>0</v>
      </c>
      <c r="G2453" s="266">
        <f>Tabla3[[#This Row],[INGRESOS]]-Tabla3[[#This Row],[EGRESOS]]</f>
        <v>-12000</v>
      </c>
      <c r="H2453" s="135">
        <v>0</v>
      </c>
      <c r="I2453" s="119">
        <v>1290</v>
      </c>
      <c r="J2453" s="136">
        <f>Tabla3[[#This Row],[EGRESOS]]/Tabla3[[#This Row],[TC]]</f>
        <v>9.3023255813953494</v>
      </c>
      <c r="K2453" s="136">
        <f>Tabla3[[#This Row],[INGRESOS]]/Tabla3[[#This Row],[TC]]</f>
        <v>0</v>
      </c>
      <c r="L2453" s="8" t="s">
        <v>1336</v>
      </c>
      <c r="M2453" s="8" t="s">
        <v>1336</v>
      </c>
      <c r="N2453" s="8" t="s">
        <v>1336</v>
      </c>
      <c r="O2453" s="7" t="s">
        <v>184</v>
      </c>
      <c r="P2453" s="7" t="s">
        <v>185</v>
      </c>
      <c r="Q2453" s="7" t="s">
        <v>190</v>
      </c>
      <c r="R2453" s="7" t="s">
        <v>1349</v>
      </c>
      <c r="S2453" s="7"/>
      <c r="T2453" s="7"/>
      <c r="U2453" s="7" t="s">
        <v>384</v>
      </c>
      <c r="V2453" s="7"/>
      <c r="W2453" s="7" t="s">
        <v>380</v>
      </c>
      <c r="X2453" s="7" t="s">
        <v>99</v>
      </c>
      <c r="Y2453" s="7" t="s">
        <v>23</v>
      </c>
    </row>
    <row r="2454" spans="1:25" hidden="1" x14ac:dyDescent="0.25">
      <c r="A2454" s="247" t="s">
        <v>317</v>
      </c>
      <c r="B2454" s="248">
        <v>45862</v>
      </c>
      <c r="C2454" s="244" t="s">
        <v>1338</v>
      </c>
      <c r="D2454" s="244"/>
      <c r="E2454" s="249">
        <v>105000</v>
      </c>
      <c r="F2454" s="249">
        <v>0</v>
      </c>
      <c r="G2454" s="266">
        <f>Tabla3[[#This Row],[INGRESOS]]-Tabla3[[#This Row],[EGRESOS]]</f>
        <v>-105000</v>
      </c>
      <c r="H2454" s="135">
        <v>0</v>
      </c>
      <c r="I2454" s="119">
        <v>1290</v>
      </c>
      <c r="J2454" s="136">
        <f>Tabla3[[#This Row],[EGRESOS]]/Tabla3[[#This Row],[TC]]</f>
        <v>81.395348837209298</v>
      </c>
      <c r="K2454" s="136">
        <f>Tabla3[[#This Row],[INGRESOS]]/Tabla3[[#This Row],[TC]]</f>
        <v>0</v>
      </c>
      <c r="L2454" s="8" t="s">
        <v>1336</v>
      </c>
      <c r="M2454" s="8" t="s">
        <v>1336</v>
      </c>
      <c r="N2454" s="8" t="s">
        <v>1336</v>
      </c>
      <c r="O2454" s="7" t="s">
        <v>184</v>
      </c>
      <c r="P2454" s="7" t="s">
        <v>199</v>
      </c>
      <c r="Q2454" s="7" t="s">
        <v>200</v>
      </c>
      <c r="R2454" s="7"/>
      <c r="S2454" s="7" t="s">
        <v>1345</v>
      </c>
      <c r="T2454" s="7"/>
      <c r="U2454" s="7" t="s">
        <v>390</v>
      </c>
      <c r="V2454" s="7"/>
      <c r="W2454" s="7" t="s">
        <v>380</v>
      </c>
      <c r="X2454" s="7" t="s">
        <v>99</v>
      </c>
      <c r="Y2454" s="7" t="s">
        <v>23</v>
      </c>
    </row>
    <row r="2455" spans="1:25" hidden="1" x14ac:dyDescent="0.25">
      <c r="A2455" s="247" t="s">
        <v>317</v>
      </c>
      <c r="B2455" s="248">
        <v>45864</v>
      </c>
      <c r="C2455" s="244" t="s">
        <v>1338</v>
      </c>
      <c r="D2455" s="244"/>
      <c r="E2455" s="249">
        <v>50000</v>
      </c>
      <c r="F2455" s="249">
        <v>0</v>
      </c>
      <c r="G2455" s="266">
        <f>Tabla3[[#This Row],[INGRESOS]]-Tabla3[[#This Row],[EGRESOS]]</f>
        <v>-50000</v>
      </c>
      <c r="H2455" s="135">
        <v>0</v>
      </c>
      <c r="I2455" s="119">
        <v>1290</v>
      </c>
      <c r="J2455" s="136">
        <f>Tabla3[[#This Row],[EGRESOS]]/Tabla3[[#This Row],[TC]]</f>
        <v>38.759689922480618</v>
      </c>
      <c r="K2455" s="136">
        <f>Tabla3[[#This Row],[INGRESOS]]/Tabla3[[#This Row],[TC]]</f>
        <v>0</v>
      </c>
      <c r="L2455" s="8" t="s">
        <v>1336</v>
      </c>
      <c r="M2455" s="8" t="s">
        <v>1336</v>
      </c>
      <c r="N2455" s="8" t="s">
        <v>1336</v>
      </c>
      <c r="O2455" s="7" t="s">
        <v>225</v>
      </c>
      <c r="P2455" s="7" t="s">
        <v>233</v>
      </c>
      <c r="Q2455" s="7" t="s">
        <v>234</v>
      </c>
      <c r="R2455" s="7" t="s">
        <v>1350</v>
      </c>
      <c r="S2455" s="7"/>
      <c r="T2455" s="7"/>
      <c r="U2455" s="7" t="s">
        <v>384</v>
      </c>
      <c r="V2455" s="7"/>
      <c r="W2455" s="7" t="s">
        <v>380</v>
      </c>
      <c r="X2455" s="7" t="s">
        <v>99</v>
      </c>
      <c r="Y2455" s="7" t="s">
        <v>23</v>
      </c>
    </row>
    <row r="2456" spans="1:25" hidden="1" x14ac:dyDescent="0.25">
      <c r="A2456" s="247" t="s">
        <v>317</v>
      </c>
      <c r="B2456" s="248">
        <v>45864</v>
      </c>
      <c r="C2456" s="244" t="s">
        <v>1338</v>
      </c>
      <c r="D2456" s="244"/>
      <c r="E2456" s="249">
        <v>150000</v>
      </c>
      <c r="F2456" s="249">
        <v>0</v>
      </c>
      <c r="G2456" s="266">
        <f>Tabla3[[#This Row],[INGRESOS]]-Tabla3[[#This Row],[EGRESOS]]</f>
        <v>-150000</v>
      </c>
      <c r="H2456" s="135">
        <v>0</v>
      </c>
      <c r="I2456" s="119">
        <v>1290</v>
      </c>
      <c r="J2456" s="136">
        <f>Tabla3[[#This Row],[EGRESOS]]/Tabla3[[#This Row],[TC]]</f>
        <v>116.27906976744185</v>
      </c>
      <c r="K2456" s="136">
        <f>Tabla3[[#This Row],[INGRESOS]]/Tabla3[[#This Row],[TC]]</f>
        <v>0</v>
      </c>
      <c r="L2456" s="8" t="s">
        <v>1336</v>
      </c>
      <c r="M2456" s="8" t="s">
        <v>1336</v>
      </c>
      <c r="N2456" s="8" t="s">
        <v>1336</v>
      </c>
      <c r="O2456" s="7" t="s">
        <v>184</v>
      </c>
      <c r="P2456" s="7" t="s">
        <v>199</v>
      </c>
      <c r="Q2456" s="7" t="s">
        <v>200</v>
      </c>
      <c r="R2456" s="7"/>
      <c r="S2456" s="7" t="s">
        <v>470</v>
      </c>
      <c r="T2456" s="7"/>
      <c r="U2456" s="7" t="s">
        <v>390</v>
      </c>
      <c r="V2456" s="7"/>
      <c r="W2456" s="7" t="s">
        <v>380</v>
      </c>
      <c r="X2456" s="7" t="s">
        <v>99</v>
      </c>
      <c r="Y2456" s="7" t="s">
        <v>23</v>
      </c>
    </row>
    <row r="2457" spans="1:25" hidden="1" x14ac:dyDescent="0.25">
      <c r="A2457" s="247" t="s">
        <v>317</v>
      </c>
      <c r="B2457" s="248">
        <v>45866</v>
      </c>
      <c r="C2457" s="244" t="s">
        <v>1338</v>
      </c>
      <c r="D2457" s="244"/>
      <c r="E2457" s="249">
        <v>54900</v>
      </c>
      <c r="F2457" s="249">
        <v>0</v>
      </c>
      <c r="G2457" s="266">
        <f>Tabla3[[#This Row],[INGRESOS]]-Tabla3[[#This Row],[EGRESOS]]</f>
        <v>-54900</v>
      </c>
      <c r="H2457" s="135">
        <v>0</v>
      </c>
      <c r="I2457" s="119">
        <v>1290</v>
      </c>
      <c r="J2457" s="136">
        <f>Tabla3[[#This Row],[EGRESOS]]/Tabla3[[#This Row],[TC]]</f>
        <v>42.558139534883722</v>
      </c>
      <c r="K2457" s="136">
        <f>Tabla3[[#This Row],[INGRESOS]]/Tabla3[[#This Row],[TC]]</f>
        <v>0</v>
      </c>
      <c r="L2457" s="8" t="s">
        <v>1336</v>
      </c>
      <c r="M2457" s="8" t="s">
        <v>1336</v>
      </c>
      <c r="N2457" s="8" t="s">
        <v>1336</v>
      </c>
      <c r="O2457" s="7" t="s">
        <v>225</v>
      </c>
      <c r="P2457" s="7" t="s">
        <v>236</v>
      </c>
      <c r="Q2457" s="7" t="s">
        <v>214</v>
      </c>
      <c r="R2457" s="7"/>
      <c r="S2457" s="7" t="s">
        <v>522</v>
      </c>
      <c r="T2457" s="7"/>
      <c r="U2457" s="7" t="s">
        <v>412</v>
      </c>
      <c r="V2457" s="7"/>
      <c r="W2457" s="7" t="s">
        <v>380</v>
      </c>
      <c r="X2457" s="7" t="s">
        <v>29</v>
      </c>
      <c r="Y2457" s="7" t="s">
        <v>23</v>
      </c>
    </row>
    <row r="2458" spans="1:25" hidden="1" x14ac:dyDescent="0.25">
      <c r="A2458" s="247" t="s">
        <v>317</v>
      </c>
      <c r="B2458" s="248">
        <v>45868</v>
      </c>
      <c r="C2458" s="244" t="s">
        <v>1338</v>
      </c>
      <c r="D2458" s="244"/>
      <c r="E2458" s="249">
        <v>25000</v>
      </c>
      <c r="F2458" s="249">
        <v>0</v>
      </c>
      <c r="G2458" s="266">
        <f>Tabla3[[#This Row],[INGRESOS]]-Tabla3[[#This Row],[EGRESOS]]</f>
        <v>-25000</v>
      </c>
      <c r="H2458" s="135">
        <v>0</v>
      </c>
      <c r="I2458" s="119">
        <v>1290</v>
      </c>
      <c r="J2458" s="136">
        <f>Tabla3[[#This Row],[EGRESOS]]/Tabla3[[#This Row],[TC]]</f>
        <v>19.379844961240309</v>
      </c>
      <c r="K2458" s="136">
        <f>Tabla3[[#This Row],[INGRESOS]]/Tabla3[[#This Row],[TC]]</f>
        <v>0</v>
      </c>
      <c r="L2458" s="8" t="s">
        <v>1336</v>
      </c>
      <c r="M2458" s="8" t="s">
        <v>1336</v>
      </c>
      <c r="N2458" s="8" t="s">
        <v>1336</v>
      </c>
      <c r="O2458" s="7" t="s">
        <v>184</v>
      </c>
      <c r="P2458" s="7" t="s">
        <v>185</v>
      </c>
      <c r="Q2458" s="7" t="s">
        <v>190</v>
      </c>
      <c r="R2458" s="7" t="s">
        <v>1351</v>
      </c>
      <c r="S2458" s="7"/>
      <c r="T2458" s="7"/>
      <c r="U2458" s="7" t="s">
        <v>384</v>
      </c>
      <c r="V2458" s="7"/>
      <c r="W2458" s="7" t="s">
        <v>380</v>
      </c>
      <c r="X2458" s="7" t="s">
        <v>99</v>
      </c>
      <c r="Y2458" s="7" t="s">
        <v>23</v>
      </c>
    </row>
    <row r="2459" spans="1:25" hidden="1" x14ac:dyDescent="0.25">
      <c r="A2459" s="247" t="s">
        <v>321</v>
      </c>
      <c r="B2459" s="248">
        <v>45966</v>
      </c>
      <c r="C2459" s="244" t="s">
        <v>562</v>
      </c>
      <c r="D2459" s="244"/>
      <c r="E2459" s="249">
        <v>0</v>
      </c>
      <c r="F2459" s="249">
        <v>70000</v>
      </c>
      <c r="G2459" s="266">
        <f>Tabla3[[#This Row],[INGRESOS]]-Tabla3[[#This Row],[EGRESOS]]</f>
        <v>70000</v>
      </c>
      <c r="H2459" s="266">
        <v>0</v>
      </c>
      <c r="I2459" s="119">
        <v>1465</v>
      </c>
      <c r="J2459" s="99">
        <f>Tabla3[[#This Row],[EGRESOS]]/Tabla3[[#This Row],[TC]]</f>
        <v>0</v>
      </c>
      <c r="K2459" s="99">
        <f>Tabla3[[#This Row],[INGRESOS]]/Tabla3[[#This Row],[TC]]</f>
        <v>47.781569965870304</v>
      </c>
      <c r="L2459" s="7" t="s">
        <v>376</v>
      </c>
      <c r="M2459" s="7" t="s">
        <v>377</v>
      </c>
      <c r="N2459" s="7" t="s">
        <v>30</v>
      </c>
      <c r="O2459" s="7" t="s">
        <v>184</v>
      </c>
      <c r="P2459" s="7" t="s">
        <v>203</v>
      </c>
      <c r="Q2459" s="7" t="s">
        <v>204</v>
      </c>
      <c r="R2459" s="7"/>
      <c r="S2459" s="7" t="s">
        <v>386</v>
      </c>
      <c r="T2459" s="7"/>
      <c r="U2459" s="7" t="s">
        <v>439</v>
      </c>
      <c r="V2459" s="7" t="s">
        <v>386</v>
      </c>
      <c r="W2459" s="7" t="s">
        <v>380</v>
      </c>
      <c r="X2459" s="7" t="s">
        <v>23</v>
      </c>
      <c r="Y2459" s="7" t="s">
        <v>98</v>
      </c>
    </row>
    <row r="2460" spans="1:25" hidden="1" x14ac:dyDescent="0.25">
      <c r="A2460" s="273" t="s">
        <v>321</v>
      </c>
      <c r="B2460" s="251">
        <v>45972</v>
      </c>
      <c r="C2460" s="252" t="s">
        <v>800</v>
      </c>
      <c r="D2460" s="252"/>
      <c r="E2460" s="253">
        <v>2000000</v>
      </c>
      <c r="F2460" s="253">
        <v>0</v>
      </c>
      <c r="G2460" s="274">
        <f>Tabla3[[#This Row],[INGRESOS]]-Tabla3[[#This Row],[EGRESOS]]</f>
        <v>-2000000</v>
      </c>
      <c r="H2460" s="274">
        <v>-1984049.88</v>
      </c>
      <c r="I2460" s="135">
        <v>1410</v>
      </c>
      <c r="J2460" s="136">
        <f>Tabla3[[#This Row],[EGRESOS]]/Tabla3[[#This Row],[TC]]</f>
        <v>1418.4397163120568</v>
      </c>
      <c r="K2460" s="136">
        <f>Tabla3[[#This Row],[INGRESOS]]/Tabla3[[#This Row],[TC]]</f>
        <v>0</v>
      </c>
      <c r="L2460" s="8" t="s">
        <v>376</v>
      </c>
      <c r="M2460" s="8" t="s">
        <v>377</v>
      </c>
      <c r="N2460" s="8" t="s">
        <v>20</v>
      </c>
      <c r="O2460" s="8" t="s">
        <v>184</v>
      </c>
      <c r="P2460" s="8" t="s">
        <v>203</v>
      </c>
      <c r="Q2460" s="8" t="s">
        <v>208</v>
      </c>
      <c r="R2460" s="8"/>
      <c r="S2460" s="8" t="s">
        <v>386</v>
      </c>
      <c r="T2460" s="8"/>
      <c r="U2460" s="8" t="s">
        <v>387</v>
      </c>
      <c r="V2460" s="8" t="s">
        <v>386</v>
      </c>
      <c r="W2460" s="8" t="s">
        <v>380</v>
      </c>
      <c r="X2460" s="8" t="s">
        <v>104</v>
      </c>
      <c r="Y2460" s="8" t="s">
        <v>23</v>
      </c>
    </row>
    <row r="2461" spans="1:25" hidden="1" x14ac:dyDescent="0.25">
      <c r="A2461" s="247" t="s">
        <v>318</v>
      </c>
      <c r="B2461" s="248">
        <v>45873</v>
      </c>
      <c r="C2461" s="244" t="s">
        <v>1338</v>
      </c>
      <c r="D2461" s="244"/>
      <c r="E2461" s="249">
        <v>3000</v>
      </c>
      <c r="F2461" s="249">
        <v>0</v>
      </c>
      <c r="G2461" s="266">
        <f>Tabla3[[#This Row],[INGRESOS]]-Tabla3[[#This Row],[EGRESOS]]</f>
        <v>-3000</v>
      </c>
      <c r="H2461" s="135">
        <v>0</v>
      </c>
      <c r="I2461" s="119">
        <v>1290</v>
      </c>
      <c r="J2461" s="136">
        <f>Tabla3[[#This Row],[EGRESOS]]/Tabla3[[#This Row],[TC]]</f>
        <v>2.3255813953488373</v>
      </c>
      <c r="K2461" s="136">
        <f>Tabla3[[#This Row],[INGRESOS]]/Tabla3[[#This Row],[TC]]</f>
        <v>0</v>
      </c>
      <c r="L2461" s="8" t="s">
        <v>1336</v>
      </c>
      <c r="M2461" s="8" t="s">
        <v>1336</v>
      </c>
      <c r="N2461" s="8" t="s">
        <v>1336</v>
      </c>
      <c r="O2461" s="7" t="s">
        <v>276</v>
      </c>
      <c r="P2461" s="7" t="s">
        <v>277</v>
      </c>
      <c r="Q2461" s="7"/>
      <c r="R2461" s="7" t="s">
        <v>1353</v>
      </c>
      <c r="S2461" s="7"/>
      <c r="T2461" s="7"/>
      <c r="U2461" s="7" t="s">
        <v>384</v>
      </c>
      <c r="V2461" s="7"/>
      <c r="W2461" s="7" t="s">
        <v>380</v>
      </c>
      <c r="X2461" s="7" t="s">
        <v>99</v>
      </c>
      <c r="Y2461" s="7" t="s">
        <v>23</v>
      </c>
    </row>
    <row r="2462" spans="1:25" hidden="1" x14ac:dyDescent="0.25">
      <c r="A2462" s="273" t="s">
        <v>321</v>
      </c>
      <c r="B2462" s="251">
        <v>45986</v>
      </c>
      <c r="C2462" s="252" t="s">
        <v>568</v>
      </c>
      <c r="D2462" s="252"/>
      <c r="E2462" s="253">
        <v>246300</v>
      </c>
      <c r="F2462" s="253">
        <v>0</v>
      </c>
      <c r="G2462" s="274">
        <f>Tabla3[[#This Row],[INGRESOS]]-Tabla3[[#This Row],[EGRESOS]]</f>
        <v>-246300</v>
      </c>
      <c r="H2462" s="274">
        <v>-4958819.9800000004</v>
      </c>
      <c r="I2462" s="135">
        <v>1410</v>
      </c>
      <c r="J2462" s="136">
        <f>Tabla3[[#This Row],[EGRESOS]]/Tabla3[[#This Row],[TC]]</f>
        <v>174.68085106382978</v>
      </c>
      <c r="K2462" s="136">
        <v>0</v>
      </c>
      <c r="L2462" s="8" t="s">
        <v>376</v>
      </c>
      <c r="M2462" s="8" t="s">
        <v>377</v>
      </c>
      <c r="N2462" s="8" t="s">
        <v>28</v>
      </c>
      <c r="O2462" s="8" t="s">
        <v>184</v>
      </c>
      <c r="P2462" s="8" t="s">
        <v>203</v>
      </c>
      <c r="Q2462" s="8" t="s">
        <v>205</v>
      </c>
      <c r="R2462" s="8" t="s">
        <v>742</v>
      </c>
      <c r="S2462" s="8" t="s">
        <v>386</v>
      </c>
      <c r="T2462" s="8"/>
      <c r="U2462" s="8" t="s">
        <v>387</v>
      </c>
      <c r="V2462" s="8" t="s">
        <v>386</v>
      </c>
      <c r="W2462" s="8" t="s">
        <v>380</v>
      </c>
      <c r="X2462" s="8" t="s">
        <v>104</v>
      </c>
      <c r="Y2462" s="8" t="s">
        <v>23</v>
      </c>
    </row>
    <row r="2463" spans="1:25" hidden="1" x14ac:dyDescent="0.25">
      <c r="A2463" s="247" t="s">
        <v>318</v>
      </c>
      <c r="B2463" s="248">
        <v>45875</v>
      </c>
      <c r="C2463" s="244" t="s">
        <v>1338</v>
      </c>
      <c r="D2463" s="244"/>
      <c r="E2463" s="249">
        <v>5600</v>
      </c>
      <c r="F2463" s="249">
        <v>0</v>
      </c>
      <c r="G2463" s="266">
        <f>Tabla3[[#This Row],[INGRESOS]]-Tabla3[[#This Row],[EGRESOS]]</f>
        <v>-5600</v>
      </c>
      <c r="H2463" s="135">
        <v>0</v>
      </c>
      <c r="I2463" s="119">
        <v>1290</v>
      </c>
      <c r="J2463" s="136">
        <f>Tabla3[[#This Row],[EGRESOS]]/Tabla3[[#This Row],[TC]]</f>
        <v>4.3410852713178292</v>
      </c>
      <c r="K2463" s="136">
        <f>Tabla3[[#This Row],[INGRESOS]]/Tabla3[[#This Row],[TC]]</f>
        <v>0</v>
      </c>
      <c r="L2463" s="8" t="s">
        <v>1336</v>
      </c>
      <c r="M2463" s="8" t="s">
        <v>1336</v>
      </c>
      <c r="N2463" s="8" t="s">
        <v>1336</v>
      </c>
      <c r="O2463" s="7" t="s">
        <v>184</v>
      </c>
      <c r="P2463" s="7" t="s">
        <v>199</v>
      </c>
      <c r="Q2463" s="7" t="s">
        <v>200</v>
      </c>
      <c r="R2463" s="7" t="s">
        <v>1355</v>
      </c>
      <c r="S2463" s="7" t="s">
        <v>1345</v>
      </c>
      <c r="T2463" s="7"/>
      <c r="U2463" s="7" t="s">
        <v>390</v>
      </c>
      <c r="V2463" s="7"/>
      <c r="W2463" s="7" t="s">
        <v>380</v>
      </c>
      <c r="X2463" s="7" t="s">
        <v>99</v>
      </c>
      <c r="Y2463" s="7" t="s">
        <v>23</v>
      </c>
    </row>
    <row r="2464" spans="1:25" hidden="1" x14ac:dyDescent="0.25">
      <c r="A2464" s="247" t="s">
        <v>318</v>
      </c>
      <c r="B2464" s="248">
        <v>45876</v>
      </c>
      <c r="C2464" s="244" t="s">
        <v>1338</v>
      </c>
      <c r="D2464" s="244"/>
      <c r="E2464" s="249">
        <v>11420</v>
      </c>
      <c r="F2464" s="249">
        <v>0</v>
      </c>
      <c r="G2464" s="266">
        <f>Tabla3[[#This Row],[INGRESOS]]-Tabla3[[#This Row],[EGRESOS]]</f>
        <v>-11420</v>
      </c>
      <c r="H2464" s="135">
        <v>0</v>
      </c>
      <c r="I2464" s="119">
        <v>1290</v>
      </c>
      <c r="J2464" s="136">
        <f>Tabla3[[#This Row],[EGRESOS]]/Tabla3[[#This Row],[TC]]</f>
        <v>8.8527131782945734</v>
      </c>
      <c r="K2464" s="136">
        <f>Tabla3[[#This Row],[INGRESOS]]/Tabla3[[#This Row],[TC]]</f>
        <v>0</v>
      </c>
      <c r="L2464" s="8" t="s">
        <v>1336</v>
      </c>
      <c r="M2464" s="8" t="s">
        <v>1336</v>
      </c>
      <c r="N2464" s="8" t="s">
        <v>1336</v>
      </c>
      <c r="O2464" s="7" t="s">
        <v>184</v>
      </c>
      <c r="P2464" s="7" t="s">
        <v>199</v>
      </c>
      <c r="Q2464" s="7" t="s">
        <v>201</v>
      </c>
      <c r="R2464" s="7" t="s">
        <v>1356</v>
      </c>
      <c r="S2464" s="7" t="s">
        <v>392</v>
      </c>
      <c r="T2464" s="7"/>
      <c r="U2464" s="7" t="s">
        <v>390</v>
      </c>
      <c r="V2464" s="7"/>
      <c r="W2464" s="7" t="s">
        <v>380</v>
      </c>
      <c r="X2464" s="7" t="s">
        <v>99</v>
      </c>
      <c r="Y2464" s="7" t="s">
        <v>23</v>
      </c>
    </row>
    <row r="2465" spans="1:25" hidden="1" x14ac:dyDescent="0.25">
      <c r="A2465" s="247" t="s">
        <v>318</v>
      </c>
      <c r="B2465" s="248">
        <v>45876</v>
      </c>
      <c r="C2465" s="244" t="s">
        <v>1338</v>
      </c>
      <c r="D2465" s="244"/>
      <c r="E2465" s="249">
        <v>64400</v>
      </c>
      <c r="F2465" s="249">
        <v>0</v>
      </c>
      <c r="G2465" s="266">
        <f>Tabla3[[#This Row],[INGRESOS]]-Tabla3[[#This Row],[EGRESOS]]</f>
        <v>-64400</v>
      </c>
      <c r="H2465" s="135">
        <v>0</v>
      </c>
      <c r="I2465" s="119">
        <v>1290</v>
      </c>
      <c r="J2465" s="136">
        <f>Tabla3[[#This Row],[EGRESOS]]/Tabla3[[#This Row],[TC]]</f>
        <v>49.922480620155042</v>
      </c>
      <c r="K2465" s="136">
        <f>Tabla3[[#This Row],[INGRESOS]]/Tabla3[[#This Row],[TC]]</f>
        <v>0</v>
      </c>
      <c r="L2465" s="8" t="s">
        <v>1336</v>
      </c>
      <c r="M2465" s="8" t="s">
        <v>1336</v>
      </c>
      <c r="N2465" s="8" t="s">
        <v>1336</v>
      </c>
      <c r="O2465" s="7" t="s">
        <v>184</v>
      </c>
      <c r="P2465" s="7" t="s">
        <v>199</v>
      </c>
      <c r="Q2465" s="7" t="s">
        <v>200</v>
      </c>
      <c r="R2465" s="7"/>
      <c r="S2465" s="7" t="s">
        <v>1345</v>
      </c>
      <c r="T2465" s="7"/>
      <c r="U2465" s="7" t="s">
        <v>390</v>
      </c>
      <c r="V2465" s="7"/>
      <c r="W2465" s="7" t="s">
        <v>380</v>
      </c>
      <c r="X2465" s="7" t="s">
        <v>99</v>
      </c>
      <c r="Y2465" s="7" t="s">
        <v>23</v>
      </c>
    </row>
    <row r="2466" spans="1:25" hidden="1" x14ac:dyDescent="0.25">
      <c r="A2466" s="247" t="s">
        <v>318</v>
      </c>
      <c r="B2466" s="248">
        <v>45876</v>
      </c>
      <c r="C2466" s="244" t="s">
        <v>1338</v>
      </c>
      <c r="D2466" s="244"/>
      <c r="E2466" s="249">
        <v>30000</v>
      </c>
      <c r="F2466" s="249">
        <v>0</v>
      </c>
      <c r="G2466" s="266">
        <f>Tabla3[[#This Row],[INGRESOS]]-Tabla3[[#This Row],[EGRESOS]]</f>
        <v>-30000</v>
      </c>
      <c r="H2466" s="135">
        <v>0</v>
      </c>
      <c r="I2466" s="119">
        <v>1290</v>
      </c>
      <c r="J2466" s="136">
        <f>Tabla3[[#This Row],[EGRESOS]]/Tabla3[[#This Row],[TC]]</f>
        <v>23.255813953488371</v>
      </c>
      <c r="K2466" s="136">
        <f>Tabla3[[#This Row],[INGRESOS]]/Tabla3[[#This Row],[TC]]</f>
        <v>0</v>
      </c>
      <c r="L2466" s="8" t="s">
        <v>1336</v>
      </c>
      <c r="M2466" s="8" t="s">
        <v>1336</v>
      </c>
      <c r="N2466" s="8" t="s">
        <v>1336</v>
      </c>
      <c r="O2466" s="7" t="s">
        <v>276</v>
      </c>
      <c r="P2466" s="7" t="s">
        <v>279</v>
      </c>
      <c r="Q2466" s="7" t="s">
        <v>280</v>
      </c>
      <c r="R2466" s="7"/>
      <c r="S2466" s="7" t="s">
        <v>431</v>
      </c>
      <c r="T2466" s="7"/>
      <c r="U2466" s="7" t="s">
        <v>384</v>
      </c>
      <c r="V2466" s="7"/>
      <c r="W2466" s="7" t="s">
        <v>380</v>
      </c>
      <c r="X2466" s="7" t="s">
        <v>99</v>
      </c>
      <c r="Y2466" s="7" t="s">
        <v>23</v>
      </c>
    </row>
    <row r="2467" spans="1:25" hidden="1" x14ac:dyDescent="0.25">
      <c r="A2467" s="247" t="s">
        <v>318</v>
      </c>
      <c r="B2467" s="248">
        <v>45876</v>
      </c>
      <c r="C2467" s="244" t="s">
        <v>1338</v>
      </c>
      <c r="D2467" s="244"/>
      <c r="E2467" s="249">
        <v>200000</v>
      </c>
      <c r="F2467" s="249">
        <v>0</v>
      </c>
      <c r="G2467" s="266">
        <f>Tabla3[[#This Row],[INGRESOS]]-Tabla3[[#This Row],[EGRESOS]]</f>
        <v>-200000</v>
      </c>
      <c r="H2467" s="135">
        <v>0</v>
      </c>
      <c r="I2467" s="119">
        <v>1290</v>
      </c>
      <c r="J2467" s="136">
        <f>Tabla3[[#This Row],[EGRESOS]]/Tabla3[[#This Row],[TC]]</f>
        <v>155.03875968992247</v>
      </c>
      <c r="K2467" s="136">
        <f>Tabla3[[#This Row],[INGRESOS]]/Tabla3[[#This Row],[TC]]</f>
        <v>0</v>
      </c>
      <c r="L2467" s="8" t="s">
        <v>1336</v>
      </c>
      <c r="M2467" s="8" t="s">
        <v>1336</v>
      </c>
      <c r="N2467" s="8" t="s">
        <v>1336</v>
      </c>
      <c r="O2467" s="7" t="s">
        <v>184</v>
      </c>
      <c r="P2467" s="7" t="s">
        <v>199</v>
      </c>
      <c r="Q2467" s="7" t="s">
        <v>200</v>
      </c>
      <c r="R2467" s="7"/>
      <c r="S2467" s="7" t="s">
        <v>470</v>
      </c>
      <c r="T2467" s="7"/>
      <c r="U2467" s="7" t="s">
        <v>390</v>
      </c>
      <c r="V2467" s="7"/>
      <c r="W2467" s="7" t="s">
        <v>380</v>
      </c>
      <c r="X2467" s="7" t="s">
        <v>99</v>
      </c>
      <c r="Y2467" s="7" t="s">
        <v>23</v>
      </c>
    </row>
    <row r="2468" spans="1:25" hidden="1" x14ac:dyDescent="0.25">
      <c r="A2468" s="247" t="s">
        <v>318</v>
      </c>
      <c r="B2468" s="248">
        <v>45876</v>
      </c>
      <c r="C2468" s="244" t="s">
        <v>1338</v>
      </c>
      <c r="D2468" s="244"/>
      <c r="E2468" s="249">
        <v>1100000</v>
      </c>
      <c r="F2468" s="249">
        <v>0</v>
      </c>
      <c r="G2468" s="266">
        <f>Tabla3[[#This Row],[INGRESOS]]-Tabla3[[#This Row],[EGRESOS]]</f>
        <v>-1100000</v>
      </c>
      <c r="H2468" s="135">
        <v>0</v>
      </c>
      <c r="I2468" s="119">
        <v>1290</v>
      </c>
      <c r="J2468" s="136">
        <f>Tabla3[[#This Row],[EGRESOS]]/Tabla3[[#This Row],[TC]]</f>
        <v>852.71317829457359</v>
      </c>
      <c r="K2468" s="136">
        <f>Tabla3[[#This Row],[INGRESOS]]/Tabla3[[#This Row],[TC]]</f>
        <v>0</v>
      </c>
      <c r="L2468" s="8" t="s">
        <v>1336</v>
      </c>
      <c r="M2468" s="8" t="s">
        <v>1336</v>
      </c>
      <c r="N2468" s="8" t="s">
        <v>1336</v>
      </c>
      <c r="O2468" s="7" t="s">
        <v>184</v>
      </c>
      <c r="P2468" s="7" t="s">
        <v>199</v>
      </c>
      <c r="Q2468" s="7" t="s">
        <v>201</v>
      </c>
      <c r="R2468" s="7" t="s">
        <v>1357</v>
      </c>
      <c r="S2468" s="7" t="s">
        <v>389</v>
      </c>
      <c r="T2468" s="7"/>
      <c r="U2468" s="7" t="s">
        <v>390</v>
      </c>
      <c r="V2468" s="7"/>
      <c r="W2468" s="7" t="s">
        <v>380</v>
      </c>
      <c r="X2468" s="7" t="s">
        <v>99</v>
      </c>
      <c r="Y2468" s="7" t="s">
        <v>23</v>
      </c>
    </row>
    <row r="2469" spans="1:25" hidden="1" x14ac:dyDescent="0.25">
      <c r="A2469" s="247" t="s">
        <v>318</v>
      </c>
      <c r="B2469" s="248">
        <v>45876</v>
      </c>
      <c r="C2469" s="244" t="s">
        <v>1338</v>
      </c>
      <c r="D2469" s="244"/>
      <c r="E2469" s="249">
        <v>250000</v>
      </c>
      <c r="F2469" s="249">
        <v>0</v>
      </c>
      <c r="G2469" s="266">
        <f>Tabla3[[#This Row],[INGRESOS]]-Tabla3[[#This Row],[EGRESOS]]</f>
        <v>-250000</v>
      </c>
      <c r="H2469" s="135">
        <v>0</v>
      </c>
      <c r="I2469" s="119">
        <v>1290</v>
      </c>
      <c r="J2469" s="136">
        <f>Tabla3[[#This Row],[EGRESOS]]/Tabla3[[#This Row],[TC]]</f>
        <v>193.79844961240309</v>
      </c>
      <c r="K2469" s="136">
        <f>Tabla3[[#This Row],[INGRESOS]]/Tabla3[[#This Row],[TC]]</f>
        <v>0</v>
      </c>
      <c r="L2469" s="8" t="s">
        <v>1336</v>
      </c>
      <c r="M2469" s="8" t="s">
        <v>1336</v>
      </c>
      <c r="N2469" s="8" t="s">
        <v>1336</v>
      </c>
      <c r="O2469" s="7" t="s">
        <v>276</v>
      </c>
      <c r="P2469" s="7" t="s">
        <v>284</v>
      </c>
      <c r="Q2469" s="7"/>
      <c r="R2469" s="7" t="s">
        <v>1358</v>
      </c>
      <c r="S2469" s="7"/>
      <c r="T2469" s="7"/>
      <c r="U2469" s="7" t="s">
        <v>384</v>
      </c>
      <c r="V2469" s="7"/>
      <c r="W2469" s="7" t="s">
        <v>380</v>
      </c>
      <c r="X2469" s="7" t="s">
        <v>99</v>
      </c>
      <c r="Y2469" s="7" t="s">
        <v>23</v>
      </c>
    </row>
    <row r="2470" spans="1:25" hidden="1" x14ac:dyDescent="0.25">
      <c r="A2470" s="273" t="s">
        <v>321</v>
      </c>
      <c r="B2470" s="251">
        <v>45986</v>
      </c>
      <c r="C2470" s="252" t="s">
        <v>568</v>
      </c>
      <c r="D2470" s="252"/>
      <c r="E2470" s="253">
        <v>40700</v>
      </c>
      <c r="F2470" s="253">
        <v>0</v>
      </c>
      <c r="G2470" s="274">
        <f>Tabla3[[#This Row],[INGRESOS]]-Tabla3[[#This Row],[EGRESOS]]</f>
        <v>-40700</v>
      </c>
      <c r="H2470" s="274">
        <v>-4958819.9800000004</v>
      </c>
      <c r="I2470" s="135">
        <v>1410</v>
      </c>
      <c r="J2470" s="136">
        <f>Tabla3[[#This Row],[EGRESOS]]/Tabla3[[#This Row],[TC]]</f>
        <v>28.865248226950353</v>
      </c>
      <c r="K2470" s="136">
        <v>0</v>
      </c>
      <c r="L2470" s="8" t="s">
        <v>376</v>
      </c>
      <c r="M2470" s="8" t="s">
        <v>377</v>
      </c>
      <c r="N2470" s="8" t="s">
        <v>28</v>
      </c>
      <c r="O2470" s="8" t="s">
        <v>184</v>
      </c>
      <c r="P2470" s="8" t="s">
        <v>203</v>
      </c>
      <c r="Q2470" s="8" t="s">
        <v>205</v>
      </c>
      <c r="R2470" s="8" t="s">
        <v>743</v>
      </c>
      <c r="S2470" s="8" t="s">
        <v>386</v>
      </c>
      <c r="T2470" s="8"/>
      <c r="U2470" s="8" t="s">
        <v>387</v>
      </c>
      <c r="V2470" s="8" t="s">
        <v>386</v>
      </c>
      <c r="W2470" s="8" t="s">
        <v>380</v>
      </c>
      <c r="X2470" s="8" t="s">
        <v>104</v>
      </c>
      <c r="Y2470" s="8" t="s">
        <v>23</v>
      </c>
    </row>
    <row r="2471" spans="1:25" hidden="1" x14ac:dyDescent="0.25">
      <c r="A2471" s="247" t="s">
        <v>318</v>
      </c>
      <c r="B2471" s="248">
        <v>45875</v>
      </c>
      <c r="C2471" s="244" t="s">
        <v>1338</v>
      </c>
      <c r="D2471" s="244"/>
      <c r="E2471" s="249">
        <v>5600</v>
      </c>
      <c r="F2471" s="249">
        <v>0</v>
      </c>
      <c r="G2471" s="266">
        <f>Tabla3[[#This Row],[INGRESOS]]-Tabla3[[#This Row],[EGRESOS]]</f>
        <v>-5600</v>
      </c>
      <c r="H2471" s="135">
        <v>0</v>
      </c>
      <c r="I2471" s="119">
        <v>1290</v>
      </c>
      <c r="J2471" s="136">
        <f>Tabla3[[#This Row],[EGRESOS]]/Tabla3[[#This Row],[TC]]</f>
        <v>4.3410852713178292</v>
      </c>
      <c r="K2471" s="136">
        <f>Tabla3[[#This Row],[INGRESOS]]/Tabla3[[#This Row],[TC]]</f>
        <v>0</v>
      </c>
      <c r="L2471" s="8" t="s">
        <v>1336</v>
      </c>
      <c r="M2471" s="8" t="s">
        <v>1336</v>
      </c>
      <c r="N2471" s="8" t="s">
        <v>1336</v>
      </c>
      <c r="O2471" s="7" t="s">
        <v>184</v>
      </c>
      <c r="P2471" s="7" t="s">
        <v>199</v>
      </c>
      <c r="Q2471" s="7" t="s">
        <v>200</v>
      </c>
      <c r="R2471" s="7" t="s">
        <v>1355</v>
      </c>
      <c r="S2471" s="7" t="s">
        <v>1345</v>
      </c>
      <c r="T2471" s="7"/>
      <c r="U2471" s="7" t="s">
        <v>390</v>
      </c>
      <c r="V2471" s="7"/>
      <c r="W2471" s="7" t="s">
        <v>380</v>
      </c>
      <c r="X2471" s="7" t="s">
        <v>99</v>
      </c>
      <c r="Y2471" s="7" t="s">
        <v>23</v>
      </c>
    </row>
    <row r="2472" spans="1:25" hidden="1" x14ac:dyDescent="0.25">
      <c r="A2472" s="248" t="s">
        <v>319</v>
      </c>
      <c r="B2472" s="248">
        <v>45911</v>
      </c>
      <c r="C2472" s="244" t="s">
        <v>1338</v>
      </c>
      <c r="D2472" s="244"/>
      <c r="E2472" s="249">
        <v>0</v>
      </c>
      <c r="F2472" s="249">
        <v>1715412</v>
      </c>
      <c r="G2472" s="266">
        <f>Tabla3[[#This Row],[INGRESOS]]-Tabla3[[#This Row],[EGRESOS]]</f>
        <v>1715412</v>
      </c>
      <c r="H2472" s="135">
        <v>0</v>
      </c>
      <c r="I2472" s="119">
        <v>1350</v>
      </c>
      <c r="J2472" s="136">
        <f>Tabla3[[#This Row],[EGRESOS]]/Tabla3[[#This Row],[TC]]</f>
        <v>0</v>
      </c>
      <c r="K2472" s="136">
        <f>Tabla3[[#This Row],[INGRESOS]]/Tabla3[[#This Row],[TC]]</f>
        <v>1270.6755555555555</v>
      </c>
      <c r="L2472" s="8" t="s">
        <v>1336</v>
      </c>
      <c r="M2472" s="8" t="s">
        <v>1336</v>
      </c>
      <c r="N2472" s="8" t="s">
        <v>1336</v>
      </c>
      <c r="O2472" s="7" t="s">
        <v>184</v>
      </c>
      <c r="P2472" s="7" t="s">
        <v>210</v>
      </c>
      <c r="Q2472" s="7" t="s">
        <v>204</v>
      </c>
      <c r="R2472" s="7" t="s">
        <v>1347</v>
      </c>
      <c r="S2472" s="7" t="s">
        <v>524</v>
      </c>
      <c r="T2472" s="7"/>
      <c r="U2472" s="7" t="s">
        <v>453</v>
      </c>
      <c r="V2472" s="7"/>
      <c r="W2472" s="7" t="s">
        <v>475</v>
      </c>
      <c r="X2472" s="7" t="s">
        <v>23</v>
      </c>
      <c r="Y2472" s="7" t="s">
        <v>39</v>
      </c>
    </row>
    <row r="2473" spans="1:25" hidden="1" x14ac:dyDescent="0.25">
      <c r="A2473" s="247" t="s">
        <v>319</v>
      </c>
      <c r="B2473" s="248">
        <v>45911</v>
      </c>
      <c r="C2473" s="244" t="s">
        <v>1338</v>
      </c>
      <c r="D2473" s="244"/>
      <c r="E2473" s="249">
        <v>17000</v>
      </c>
      <c r="F2473" s="249">
        <v>0</v>
      </c>
      <c r="G2473" s="266">
        <f>Tabla3[[#This Row],[INGRESOS]]-Tabla3[[#This Row],[EGRESOS]]</f>
        <v>-17000</v>
      </c>
      <c r="H2473" s="135">
        <v>0</v>
      </c>
      <c r="I2473" s="119">
        <v>1350</v>
      </c>
      <c r="J2473" s="136">
        <f>Tabla3[[#This Row],[EGRESOS]]/Tabla3[[#This Row],[TC]]</f>
        <v>12.592592592592593</v>
      </c>
      <c r="K2473" s="136">
        <f>Tabla3[[#This Row],[INGRESOS]]/Tabla3[[#This Row],[TC]]</f>
        <v>0</v>
      </c>
      <c r="L2473" s="8" t="s">
        <v>1336</v>
      </c>
      <c r="M2473" s="8" t="s">
        <v>1336</v>
      </c>
      <c r="N2473" s="8" t="s">
        <v>1336</v>
      </c>
      <c r="O2473" s="7" t="s">
        <v>225</v>
      </c>
      <c r="P2473" s="7" t="s">
        <v>236</v>
      </c>
      <c r="Q2473" s="7" t="s">
        <v>33</v>
      </c>
      <c r="R2473" s="7"/>
      <c r="S2473" s="7" t="s">
        <v>1360</v>
      </c>
      <c r="T2473" s="7"/>
      <c r="U2473" s="7" t="s">
        <v>412</v>
      </c>
      <c r="V2473" s="7"/>
      <c r="W2473" s="7" t="s">
        <v>475</v>
      </c>
      <c r="X2473" s="7" t="s">
        <v>29</v>
      </c>
      <c r="Y2473" s="7" t="s">
        <v>23</v>
      </c>
    </row>
    <row r="2474" spans="1:25" hidden="1" x14ac:dyDescent="0.25">
      <c r="A2474" s="247" t="s">
        <v>319</v>
      </c>
      <c r="B2474" s="248">
        <v>45911</v>
      </c>
      <c r="C2474" s="244" t="s">
        <v>1338</v>
      </c>
      <c r="D2474" s="244"/>
      <c r="E2474" s="249">
        <v>45000</v>
      </c>
      <c r="F2474" s="249">
        <v>0</v>
      </c>
      <c r="G2474" s="266">
        <f>Tabla3[[#This Row],[INGRESOS]]-Tabla3[[#This Row],[EGRESOS]]</f>
        <v>-45000</v>
      </c>
      <c r="H2474" s="135">
        <v>0</v>
      </c>
      <c r="I2474" s="119">
        <v>1350</v>
      </c>
      <c r="J2474" s="136">
        <f>Tabla3[[#This Row],[EGRESOS]]/Tabla3[[#This Row],[TC]]</f>
        <v>33.333333333333336</v>
      </c>
      <c r="K2474" s="136">
        <f>Tabla3[[#This Row],[INGRESOS]]/Tabla3[[#This Row],[TC]]</f>
        <v>0</v>
      </c>
      <c r="L2474" s="8" t="s">
        <v>1336</v>
      </c>
      <c r="M2474" s="8" t="s">
        <v>1336</v>
      </c>
      <c r="N2474" s="8" t="s">
        <v>1336</v>
      </c>
      <c r="O2474" s="7" t="s">
        <v>225</v>
      </c>
      <c r="P2474" s="7" t="s">
        <v>236</v>
      </c>
      <c r="Q2474" s="7" t="s">
        <v>214</v>
      </c>
      <c r="R2474" s="7" t="s">
        <v>1341</v>
      </c>
      <c r="S2474" s="7" t="s">
        <v>1342</v>
      </c>
      <c r="T2474" s="7"/>
      <c r="U2474" s="7" t="s">
        <v>403</v>
      </c>
      <c r="V2474" s="7"/>
      <c r="W2474" s="7" t="s">
        <v>475</v>
      </c>
      <c r="X2474" s="7" t="s">
        <v>29</v>
      </c>
      <c r="Y2474" s="7" t="s">
        <v>23</v>
      </c>
    </row>
    <row r="2475" spans="1:25" hidden="1" x14ac:dyDescent="0.25">
      <c r="A2475" s="247" t="s">
        <v>319</v>
      </c>
      <c r="B2475" s="248">
        <v>45911</v>
      </c>
      <c r="C2475" s="244" t="s">
        <v>1338</v>
      </c>
      <c r="D2475" s="244"/>
      <c r="E2475" s="249">
        <v>100000</v>
      </c>
      <c r="F2475" s="249">
        <v>0</v>
      </c>
      <c r="G2475" s="266">
        <f>Tabla3[[#This Row],[INGRESOS]]-Tabla3[[#This Row],[EGRESOS]]</f>
        <v>-100000</v>
      </c>
      <c r="H2475" s="135">
        <v>0</v>
      </c>
      <c r="I2475" s="119">
        <v>1350</v>
      </c>
      <c r="J2475" s="136">
        <f>Tabla3[[#This Row],[EGRESOS]]/Tabla3[[#This Row],[TC]]</f>
        <v>74.074074074074076</v>
      </c>
      <c r="K2475" s="136">
        <f>Tabla3[[#This Row],[INGRESOS]]/Tabla3[[#This Row],[TC]]</f>
        <v>0</v>
      </c>
      <c r="L2475" s="8" t="s">
        <v>1336</v>
      </c>
      <c r="M2475" s="8" t="s">
        <v>1336</v>
      </c>
      <c r="N2475" s="8" t="s">
        <v>1336</v>
      </c>
      <c r="O2475" s="7" t="s">
        <v>184</v>
      </c>
      <c r="P2475" s="7" t="s">
        <v>199</v>
      </c>
      <c r="Q2475" s="7" t="s">
        <v>200</v>
      </c>
      <c r="R2475" s="7"/>
      <c r="S2475" s="7" t="s">
        <v>470</v>
      </c>
      <c r="T2475" s="7"/>
      <c r="U2475" s="7" t="s">
        <v>390</v>
      </c>
      <c r="V2475" s="7"/>
      <c r="W2475" s="7" t="s">
        <v>475</v>
      </c>
      <c r="X2475" s="7" t="s">
        <v>99</v>
      </c>
      <c r="Y2475" s="7" t="s">
        <v>23</v>
      </c>
    </row>
    <row r="2476" spans="1:25" hidden="1" x14ac:dyDescent="0.25">
      <c r="A2476" s="247" t="s">
        <v>319</v>
      </c>
      <c r="B2476" s="248">
        <v>45911</v>
      </c>
      <c r="C2476" s="244" t="s">
        <v>1338</v>
      </c>
      <c r="D2476" s="244"/>
      <c r="E2476" s="249">
        <v>80000</v>
      </c>
      <c r="F2476" s="249">
        <v>0</v>
      </c>
      <c r="G2476" s="266">
        <f>Tabla3[[#This Row],[INGRESOS]]-Tabla3[[#This Row],[EGRESOS]]</f>
        <v>-80000</v>
      </c>
      <c r="H2476" s="135">
        <v>0</v>
      </c>
      <c r="I2476" s="119">
        <v>1350</v>
      </c>
      <c r="J2476" s="136">
        <f>Tabla3[[#This Row],[EGRESOS]]/Tabla3[[#This Row],[TC]]</f>
        <v>59.25925925925926</v>
      </c>
      <c r="K2476" s="136">
        <f>Tabla3[[#This Row],[INGRESOS]]/Tabla3[[#This Row],[TC]]</f>
        <v>0</v>
      </c>
      <c r="L2476" s="8" t="s">
        <v>1336</v>
      </c>
      <c r="M2476" s="8" t="s">
        <v>1336</v>
      </c>
      <c r="N2476" s="8" t="s">
        <v>1336</v>
      </c>
      <c r="O2476" s="7" t="s">
        <v>184</v>
      </c>
      <c r="P2476" s="7" t="s">
        <v>199</v>
      </c>
      <c r="Q2476" s="7" t="s">
        <v>200</v>
      </c>
      <c r="R2476" s="7"/>
      <c r="S2476" s="7" t="s">
        <v>1345</v>
      </c>
      <c r="T2476" s="7"/>
      <c r="U2476" s="7" t="s">
        <v>390</v>
      </c>
      <c r="V2476" s="7"/>
      <c r="W2476" s="7" t="s">
        <v>475</v>
      </c>
      <c r="X2476" s="7" t="s">
        <v>99</v>
      </c>
      <c r="Y2476" s="7" t="s">
        <v>23</v>
      </c>
    </row>
    <row r="2477" spans="1:25" hidden="1" x14ac:dyDescent="0.25">
      <c r="A2477" s="247" t="s">
        <v>319</v>
      </c>
      <c r="B2477" s="248">
        <v>45911</v>
      </c>
      <c r="C2477" s="244" t="s">
        <v>1338</v>
      </c>
      <c r="D2477" s="244"/>
      <c r="E2477" s="249">
        <v>155200</v>
      </c>
      <c r="F2477" s="249">
        <v>0</v>
      </c>
      <c r="G2477" s="266">
        <f>Tabla3[[#This Row],[INGRESOS]]-Tabla3[[#This Row],[EGRESOS]]</f>
        <v>-155200</v>
      </c>
      <c r="H2477" s="135">
        <v>0</v>
      </c>
      <c r="I2477" s="119">
        <v>1350</v>
      </c>
      <c r="J2477" s="136">
        <f>Tabla3[[#This Row],[EGRESOS]]/Tabla3[[#This Row],[TC]]</f>
        <v>114.96296296296296</v>
      </c>
      <c r="K2477" s="136">
        <f>Tabla3[[#This Row],[INGRESOS]]/Tabla3[[#This Row],[TC]]</f>
        <v>0</v>
      </c>
      <c r="L2477" s="8" t="s">
        <v>1336</v>
      </c>
      <c r="M2477" s="8" t="s">
        <v>1336</v>
      </c>
      <c r="N2477" s="8" t="s">
        <v>1336</v>
      </c>
      <c r="O2477" s="7" t="s">
        <v>215</v>
      </c>
      <c r="P2477" s="7" t="s">
        <v>216</v>
      </c>
      <c r="Q2477" s="7" t="s">
        <v>219</v>
      </c>
      <c r="R2477" s="7" t="s">
        <v>337</v>
      </c>
      <c r="S2477" s="7" t="s">
        <v>1014</v>
      </c>
      <c r="T2477" s="7"/>
      <c r="U2477" s="7" t="s">
        <v>412</v>
      </c>
      <c r="V2477" s="7"/>
      <c r="W2477" s="7" t="s">
        <v>475</v>
      </c>
      <c r="X2477" s="7" t="s">
        <v>29</v>
      </c>
      <c r="Y2477" s="7" t="s">
        <v>23</v>
      </c>
    </row>
    <row r="2478" spans="1:25" hidden="1" x14ac:dyDescent="0.25">
      <c r="A2478" s="247" t="s">
        <v>321</v>
      </c>
      <c r="B2478" s="248">
        <v>45986</v>
      </c>
      <c r="C2478" s="244" t="s">
        <v>568</v>
      </c>
      <c r="D2478" s="244"/>
      <c r="E2478" s="249">
        <v>104133</v>
      </c>
      <c r="F2478" s="249">
        <v>0</v>
      </c>
      <c r="G2478" s="266">
        <f>Tabla3[[#This Row],[INGRESOS]]-Tabla3[[#This Row],[EGRESOS]]</f>
        <v>-104133</v>
      </c>
      <c r="H2478" s="266">
        <v>-5472153.3133333297</v>
      </c>
      <c r="I2478" s="119">
        <v>1410</v>
      </c>
      <c r="J2478" s="99">
        <f>Tabla3[[#This Row],[EGRESOS]]/Tabla3[[#This Row],[TC]]</f>
        <v>73.853191489361706</v>
      </c>
      <c r="K2478" s="99">
        <v>0</v>
      </c>
      <c r="L2478" s="7" t="s">
        <v>376</v>
      </c>
      <c r="M2478" s="7" t="s">
        <v>377</v>
      </c>
      <c r="N2478" s="7" t="s">
        <v>28</v>
      </c>
      <c r="O2478" s="7" t="s">
        <v>184</v>
      </c>
      <c r="P2478" s="7" t="s">
        <v>203</v>
      </c>
      <c r="Q2478" s="7" t="s">
        <v>205</v>
      </c>
      <c r="R2478" s="7" t="s">
        <v>744</v>
      </c>
      <c r="S2478" s="7" t="s">
        <v>386</v>
      </c>
      <c r="T2478" s="7"/>
      <c r="U2478" s="7" t="s">
        <v>387</v>
      </c>
      <c r="V2478" s="7" t="s">
        <v>386</v>
      </c>
      <c r="W2478" s="7" t="s">
        <v>380</v>
      </c>
      <c r="X2478" s="7" t="s">
        <v>104</v>
      </c>
      <c r="Y2478" s="7" t="s">
        <v>23</v>
      </c>
    </row>
    <row r="2479" spans="1:25" hidden="1" x14ac:dyDescent="0.25">
      <c r="A2479" s="247" t="s">
        <v>319</v>
      </c>
      <c r="B2479" s="248">
        <v>45911</v>
      </c>
      <c r="C2479" s="244" t="s">
        <v>1338</v>
      </c>
      <c r="D2479" s="244"/>
      <c r="E2479" s="249">
        <v>6000</v>
      </c>
      <c r="F2479" s="249">
        <v>0</v>
      </c>
      <c r="G2479" s="266">
        <f>Tabla3[[#This Row],[INGRESOS]]-Tabla3[[#This Row],[EGRESOS]]</f>
        <v>-6000</v>
      </c>
      <c r="H2479" s="135">
        <v>0</v>
      </c>
      <c r="I2479" s="119">
        <v>1350</v>
      </c>
      <c r="J2479" s="136">
        <f>Tabla3[[#This Row],[EGRESOS]]/Tabla3[[#This Row],[TC]]</f>
        <v>4.4444444444444446</v>
      </c>
      <c r="K2479" s="136">
        <f>Tabla3[[#This Row],[INGRESOS]]/Tabla3[[#This Row],[TC]]</f>
        <v>0</v>
      </c>
      <c r="L2479" s="8" t="s">
        <v>1336</v>
      </c>
      <c r="M2479" s="8" t="s">
        <v>1336</v>
      </c>
      <c r="N2479" s="8" t="s">
        <v>1336</v>
      </c>
      <c r="O2479" s="7" t="s">
        <v>184</v>
      </c>
      <c r="P2479" s="7" t="s">
        <v>185</v>
      </c>
      <c r="Q2479" s="7" t="s">
        <v>186</v>
      </c>
      <c r="R2479" s="7" t="s">
        <v>1362</v>
      </c>
      <c r="S2479" s="7" t="s">
        <v>1363</v>
      </c>
      <c r="T2479" s="7"/>
      <c r="U2479" s="7" t="s">
        <v>384</v>
      </c>
      <c r="V2479" s="7"/>
      <c r="W2479" s="7" t="s">
        <v>475</v>
      </c>
      <c r="X2479" s="7" t="s">
        <v>99</v>
      </c>
      <c r="Y2479" s="7" t="s">
        <v>23</v>
      </c>
    </row>
    <row r="2480" spans="1:25" hidden="1" x14ac:dyDescent="0.25">
      <c r="A2480" s="247" t="s">
        <v>319</v>
      </c>
      <c r="B2480" s="248">
        <v>45911</v>
      </c>
      <c r="C2480" s="244" t="s">
        <v>1338</v>
      </c>
      <c r="D2480" s="244"/>
      <c r="E2480" s="249">
        <v>52500</v>
      </c>
      <c r="F2480" s="249">
        <v>0</v>
      </c>
      <c r="G2480" s="266">
        <f>Tabla3[[#This Row],[INGRESOS]]-Tabla3[[#This Row],[EGRESOS]]</f>
        <v>-52500</v>
      </c>
      <c r="H2480" s="135">
        <v>0</v>
      </c>
      <c r="I2480" s="119">
        <v>1350</v>
      </c>
      <c r="J2480" s="136">
        <f>Tabla3[[#This Row],[EGRESOS]]/Tabla3[[#This Row],[TC]]</f>
        <v>38.888888888888886</v>
      </c>
      <c r="K2480" s="136">
        <f>Tabla3[[#This Row],[INGRESOS]]/Tabla3[[#This Row],[TC]]</f>
        <v>0</v>
      </c>
      <c r="L2480" s="8" t="s">
        <v>1336</v>
      </c>
      <c r="M2480" s="8" t="s">
        <v>1336</v>
      </c>
      <c r="N2480" s="8" t="s">
        <v>1336</v>
      </c>
      <c r="O2480" s="7" t="s">
        <v>184</v>
      </c>
      <c r="P2480" s="7" t="s">
        <v>199</v>
      </c>
      <c r="Q2480" s="7" t="s">
        <v>200</v>
      </c>
      <c r="R2480" s="7"/>
      <c r="S2480" s="7" t="s">
        <v>1345</v>
      </c>
      <c r="T2480" s="7"/>
      <c r="U2480" s="7" t="s">
        <v>390</v>
      </c>
      <c r="V2480" s="7"/>
      <c r="W2480" s="7" t="s">
        <v>475</v>
      </c>
      <c r="X2480" s="7" t="s">
        <v>99</v>
      </c>
      <c r="Y2480" s="7" t="s">
        <v>23</v>
      </c>
    </row>
    <row r="2481" spans="1:25" hidden="1" x14ac:dyDescent="0.25">
      <c r="A2481" s="247" t="s">
        <v>319</v>
      </c>
      <c r="B2481" s="248">
        <v>45911</v>
      </c>
      <c r="C2481" s="244" t="s">
        <v>1338</v>
      </c>
      <c r="D2481" s="244"/>
      <c r="E2481" s="249">
        <v>20000</v>
      </c>
      <c r="F2481" s="249">
        <v>0</v>
      </c>
      <c r="G2481" s="266">
        <f>Tabla3[[#This Row],[INGRESOS]]-Tabla3[[#This Row],[EGRESOS]]</f>
        <v>-20000</v>
      </c>
      <c r="H2481" s="135">
        <v>0</v>
      </c>
      <c r="I2481" s="119">
        <v>1350</v>
      </c>
      <c r="J2481" s="136">
        <f>Tabla3[[#This Row],[EGRESOS]]/Tabla3[[#This Row],[TC]]</f>
        <v>14.814814814814815</v>
      </c>
      <c r="K2481" s="136">
        <f>Tabla3[[#This Row],[INGRESOS]]/Tabla3[[#This Row],[TC]]</f>
        <v>0</v>
      </c>
      <c r="L2481" s="8" t="s">
        <v>1336</v>
      </c>
      <c r="M2481" s="8" t="s">
        <v>1336</v>
      </c>
      <c r="N2481" s="8" t="s">
        <v>1336</v>
      </c>
      <c r="O2481" s="7" t="s">
        <v>215</v>
      </c>
      <c r="P2481" s="7" t="s">
        <v>216</v>
      </c>
      <c r="Q2481" s="7" t="s">
        <v>221</v>
      </c>
      <c r="R2481" s="7" t="s">
        <v>1057</v>
      </c>
      <c r="S2481" s="7" t="s">
        <v>1364</v>
      </c>
      <c r="T2481" s="7"/>
      <c r="U2481" s="7" t="s">
        <v>384</v>
      </c>
      <c r="V2481" s="7"/>
      <c r="W2481" s="7" t="s">
        <v>475</v>
      </c>
      <c r="X2481" s="7" t="s">
        <v>99</v>
      </c>
      <c r="Y2481" s="7" t="s">
        <v>23</v>
      </c>
    </row>
    <row r="2482" spans="1:25" hidden="1" x14ac:dyDescent="0.25">
      <c r="A2482" s="247" t="s">
        <v>319</v>
      </c>
      <c r="B2482" s="248">
        <v>45911</v>
      </c>
      <c r="C2482" s="244" t="s">
        <v>1338</v>
      </c>
      <c r="D2482" s="244"/>
      <c r="E2482" s="249">
        <v>2980</v>
      </c>
      <c r="F2482" s="249">
        <v>0</v>
      </c>
      <c r="G2482" s="266">
        <f>Tabla3[[#This Row],[INGRESOS]]-Tabla3[[#This Row],[EGRESOS]]</f>
        <v>-2980</v>
      </c>
      <c r="H2482" s="135">
        <v>0</v>
      </c>
      <c r="I2482" s="119">
        <v>1350</v>
      </c>
      <c r="J2482" s="136">
        <f>Tabla3[[#This Row],[EGRESOS]]/Tabla3[[#This Row],[TC]]</f>
        <v>2.2074074074074073</v>
      </c>
      <c r="K2482" s="136">
        <f>Tabla3[[#This Row],[INGRESOS]]/Tabla3[[#This Row],[TC]]</f>
        <v>0</v>
      </c>
      <c r="L2482" s="8" t="s">
        <v>1336</v>
      </c>
      <c r="M2482" s="8" t="s">
        <v>1336</v>
      </c>
      <c r="N2482" s="8" t="s">
        <v>1336</v>
      </c>
      <c r="O2482" s="7" t="s">
        <v>184</v>
      </c>
      <c r="P2482" s="7" t="s">
        <v>199</v>
      </c>
      <c r="Q2482" s="7" t="s">
        <v>201</v>
      </c>
      <c r="R2482" s="7" t="s">
        <v>958</v>
      </c>
      <c r="S2482" s="7" t="s">
        <v>392</v>
      </c>
      <c r="T2482" s="7"/>
      <c r="U2482" s="7" t="s">
        <v>390</v>
      </c>
      <c r="V2482" s="7"/>
      <c r="W2482" s="7" t="s">
        <v>475</v>
      </c>
      <c r="X2482" s="7" t="s">
        <v>99</v>
      </c>
      <c r="Y2482" s="7" t="s">
        <v>23</v>
      </c>
    </row>
    <row r="2483" spans="1:25" hidden="1" x14ac:dyDescent="0.25">
      <c r="A2483" s="247" t="s">
        <v>319</v>
      </c>
      <c r="B2483" s="248">
        <v>45911</v>
      </c>
      <c r="C2483" s="244" t="s">
        <v>1338</v>
      </c>
      <c r="D2483" s="244"/>
      <c r="E2483" s="249">
        <v>8500</v>
      </c>
      <c r="F2483" s="249">
        <v>0</v>
      </c>
      <c r="G2483" s="266">
        <f>Tabla3[[#This Row],[INGRESOS]]-Tabla3[[#This Row],[EGRESOS]]</f>
        <v>-8500</v>
      </c>
      <c r="H2483" s="135">
        <v>0</v>
      </c>
      <c r="I2483" s="119">
        <v>1350</v>
      </c>
      <c r="J2483" s="136">
        <f>Tabla3[[#This Row],[EGRESOS]]/Tabla3[[#This Row],[TC]]</f>
        <v>6.2962962962962967</v>
      </c>
      <c r="K2483" s="136">
        <f>Tabla3[[#This Row],[INGRESOS]]/Tabla3[[#This Row],[TC]]</f>
        <v>0</v>
      </c>
      <c r="L2483" s="8" t="s">
        <v>1336</v>
      </c>
      <c r="M2483" s="8" t="s">
        <v>1336</v>
      </c>
      <c r="N2483" s="8" t="s">
        <v>1336</v>
      </c>
      <c r="O2483" s="7" t="s">
        <v>184</v>
      </c>
      <c r="P2483" s="7" t="s">
        <v>199</v>
      </c>
      <c r="Q2483" s="7" t="s">
        <v>201</v>
      </c>
      <c r="R2483" s="7" t="s">
        <v>745</v>
      </c>
      <c r="S2483" s="7" t="s">
        <v>392</v>
      </c>
      <c r="T2483" s="7"/>
      <c r="U2483" s="7" t="s">
        <v>390</v>
      </c>
      <c r="V2483" s="7"/>
      <c r="W2483" s="7" t="s">
        <v>475</v>
      </c>
      <c r="X2483" s="7" t="s">
        <v>99</v>
      </c>
      <c r="Y2483" s="7" t="s">
        <v>23</v>
      </c>
    </row>
    <row r="2484" spans="1:25" hidden="1" x14ac:dyDescent="0.25">
      <c r="A2484" s="247" t="s">
        <v>319</v>
      </c>
      <c r="B2484" s="248">
        <v>45911</v>
      </c>
      <c r="C2484" s="244" t="s">
        <v>1338</v>
      </c>
      <c r="D2484" s="244"/>
      <c r="E2484" s="249">
        <v>18477</v>
      </c>
      <c r="F2484" s="249">
        <v>0</v>
      </c>
      <c r="G2484" s="266">
        <f>Tabla3[[#This Row],[INGRESOS]]-Tabla3[[#This Row],[EGRESOS]]</f>
        <v>-18477</v>
      </c>
      <c r="H2484" s="135">
        <v>0</v>
      </c>
      <c r="I2484" s="119">
        <v>1350</v>
      </c>
      <c r="J2484" s="136">
        <f>Tabla3[[#This Row],[EGRESOS]]/Tabla3[[#This Row],[TC]]</f>
        <v>13.686666666666667</v>
      </c>
      <c r="K2484" s="136">
        <f>Tabla3[[#This Row],[INGRESOS]]/Tabla3[[#This Row],[TC]]</f>
        <v>0</v>
      </c>
      <c r="L2484" s="8" t="s">
        <v>1336</v>
      </c>
      <c r="M2484" s="8" t="s">
        <v>1336</v>
      </c>
      <c r="N2484" s="8" t="s">
        <v>1336</v>
      </c>
      <c r="O2484" s="7" t="s">
        <v>184</v>
      </c>
      <c r="P2484" s="7" t="s">
        <v>199</v>
      </c>
      <c r="Q2484" s="7" t="s">
        <v>201</v>
      </c>
      <c r="R2484" s="7" t="s">
        <v>1365</v>
      </c>
      <c r="S2484" s="7" t="s">
        <v>389</v>
      </c>
      <c r="T2484" s="7"/>
      <c r="U2484" s="7" t="s">
        <v>390</v>
      </c>
      <c r="V2484" s="7"/>
      <c r="W2484" s="7" t="s">
        <v>475</v>
      </c>
      <c r="X2484" s="7" t="s">
        <v>99</v>
      </c>
      <c r="Y2484" s="7" t="s">
        <v>23</v>
      </c>
    </row>
    <row r="2485" spans="1:25" hidden="1" x14ac:dyDescent="0.25">
      <c r="A2485" s="247" t="s">
        <v>319</v>
      </c>
      <c r="B2485" s="248">
        <v>45911</v>
      </c>
      <c r="C2485" s="244" t="s">
        <v>1338</v>
      </c>
      <c r="D2485" s="244"/>
      <c r="E2485" s="249">
        <v>45000</v>
      </c>
      <c r="F2485" s="249">
        <v>0</v>
      </c>
      <c r="G2485" s="266">
        <f>Tabla3[[#This Row],[INGRESOS]]-Tabla3[[#This Row],[EGRESOS]]</f>
        <v>-45000</v>
      </c>
      <c r="H2485" s="135">
        <v>0</v>
      </c>
      <c r="I2485" s="119">
        <v>1350</v>
      </c>
      <c r="J2485" s="136">
        <f>Tabla3[[#This Row],[EGRESOS]]/Tabla3[[#This Row],[TC]]</f>
        <v>33.333333333333336</v>
      </c>
      <c r="K2485" s="136">
        <f>Tabla3[[#This Row],[INGRESOS]]/Tabla3[[#This Row],[TC]]</f>
        <v>0</v>
      </c>
      <c r="L2485" s="8" t="s">
        <v>1336</v>
      </c>
      <c r="M2485" s="8" t="s">
        <v>1336</v>
      </c>
      <c r="N2485" s="8" t="s">
        <v>1336</v>
      </c>
      <c r="O2485" s="7" t="s">
        <v>184</v>
      </c>
      <c r="P2485" s="7" t="s">
        <v>199</v>
      </c>
      <c r="Q2485" s="7" t="s">
        <v>200</v>
      </c>
      <c r="R2485" s="7"/>
      <c r="S2485" s="7" t="s">
        <v>736</v>
      </c>
      <c r="T2485" s="7"/>
      <c r="U2485" s="7" t="s">
        <v>390</v>
      </c>
      <c r="V2485" s="7"/>
      <c r="W2485" s="7" t="s">
        <v>475</v>
      </c>
      <c r="X2485" s="7" t="s">
        <v>99</v>
      </c>
      <c r="Y2485" s="7" t="s">
        <v>23</v>
      </c>
    </row>
    <row r="2486" spans="1:25" hidden="1" x14ac:dyDescent="0.25">
      <c r="A2486" s="247" t="s">
        <v>319</v>
      </c>
      <c r="B2486" s="248">
        <v>45911</v>
      </c>
      <c r="C2486" s="244" t="s">
        <v>1338</v>
      </c>
      <c r="D2486" s="244"/>
      <c r="E2486" s="249">
        <v>1100000</v>
      </c>
      <c r="F2486" s="249">
        <v>0</v>
      </c>
      <c r="G2486" s="266">
        <f>Tabla3[[#This Row],[INGRESOS]]-Tabla3[[#This Row],[EGRESOS]]</f>
        <v>-1100000</v>
      </c>
      <c r="H2486" s="135">
        <v>0</v>
      </c>
      <c r="I2486" s="119">
        <v>1350</v>
      </c>
      <c r="J2486" s="136">
        <f>Tabla3[[#This Row],[EGRESOS]]/Tabla3[[#This Row],[TC]]</f>
        <v>814.81481481481478</v>
      </c>
      <c r="K2486" s="136">
        <f>Tabla3[[#This Row],[INGRESOS]]/Tabla3[[#This Row],[TC]]</f>
        <v>0</v>
      </c>
      <c r="L2486" s="8" t="s">
        <v>1336</v>
      </c>
      <c r="M2486" s="8" t="s">
        <v>1336</v>
      </c>
      <c r="N2486" s="8" t="s">
        <v>1336</v>
      </c>
      <c r="O2486" s="7" t="s">
        <v>184</v>
      </c>
      <c r="P2486" s="7" t="s">
        <v>199</v>
      </c>
      <c r="Q2486" s="7" t="s">
        <v>201</v>
      </c>
      <c r="R2486" s="8" t="s">
        <v>1366</v>
      </c>
      <c r="S2486" s="7" t="s">
        <v>389</v>
      </c>
      <c r="T2486" s="7"/>
      <c r="U2486" s="7" t="s">
        <v>390</v>
      </c>
      <c r="V2486" s="7"/>
      <c r="W2486" s="7" t="s">
        <v>475</v>
      </c>
      <c r="X2486" s="7" t="s">
        <v>99</v>
      </c>
      <c r="Y2486" s="7" t="s">
        <v>23</v>
      </c>
    </row>
    <row r="2487" spans="1:25" hidden="1" x14ac:dyDescent="0.25">
      <c r="A2487" s="247" t="s">
        <v>319</v>
      </c>
      <c r="B2487" s="248">
        <v>45919</v>
      </c>
      <c r="C2487" s="244" t="s">
        <v>1338</v>
      </c>
      <c r="D2487" s="244"/>
      <c r="E2487" s="249">
        <v>0</v>
      </c>
      <c r="F2487" s="249">
        <v>1500000</v>
      </c>
      <c r="G2487" s="266">
        <f>Tabla3[[#This Row],[INGRESOS]]-Tabla3[[#This Row],[EGRESOS]]</f>
        <v>1500000</v>
      </c>
      <c r="H2487" s="135">
        <v>0</v>
      </c>
      <c r="I2487" s="119">
        <v>1420</v>
      </c>
      <c r="J2487" s="136">
        <f>Tabla3[[#This Row],[EGRESOS]]/Tabla3[[#This Row],[TC]]</f>
        <v>0</v>
      </c>
      <c r="K2487" s="136">
        <f>Tabla3[[#This Row],[INGRESOS]]/Tabla3[[#This Row],[TC]]</f>
        <v>1056.338028169014</v>
      </c>
      <c r="L2487" s="8" t="s">
        <v>1336</v>
      </c>
      <c r="M2487" s="8" t="s">
        <v>1336</v>
      </c>
      <c r="N2487" s="8" t="s">
        <v>1336</v>
      </c>
      <c r="O2487" s="7" t="s">
        <v>184</v>
      </c>
      <c r="P2487" s="7" t="s">
        <v>210</v>
      </c>
      <c r="Q2487" s="7" t="s">
        <v>205</v>
      </c>
      <c r="R2487" s="7"/>
      <c r="S2487" s="7" t="s">
        <v>524</v>
      </c>
      <c r="T2487" s="7"/>
      <c r="U2487" s="7" t="s">
        <v>453</v>
      </c>
      <c r="V2487" s="7"/>
      <c r="W2487" s="7" t="s">
        <v>380</v>
      </c>
      <c r="X2487" s="7" t="s">
        <v>39</v>
      </c>
      <c r="Y2487" s="7" t="s">
        <v>23</v>
      </c>
    </row>
    <row r="2488" spans="1:25" hidden="1" x14ac:dyDescent="0.25">
      <c r="A2488" s="247" t="s">
        <v>319</v>
      </c>
      <c r="B2488" s="248">
        <v>45924</v>
      </c>
      <c r="C2488" s="244" t="s">
        <v>1338</v>
      </c>
      <c r="D2488" s="244"/>
      <c r="E2488" s="249">
        <v>30000</v>
      </c>
      <c r="F2488" s="249">
        <v>0</v>
      </c>
      <c r="G2488" s="266">
        <f>Tabla3[[#This Row],[INGRESOS]]-Tabla3[[#This Row],[EGRESOS]]</f>
        <v>-30000</v>
      </c>
      <c r="H2488" s="135">
        <v>0</v>
      </c>
      <c r="I2488" s="119">
        <v>1490</v>
      </c>
      <c r="J2488" s="136">
        <f>Tabla3[[#This Row],[EGRESOS]]/Tabla3[[#This Row],[TC]]</f>
        <v>20.134228187919462</v>
      </c>
      <c r="K2488" s="136">
        <f>Tabla3[[#This Row],[INGRESOS]]/Tabla3[[#This Row],[TC]]</f>
        <v>0</v>
      </c>
      <c r="L2488" s="8" t="s">
        <v>1336</v>
      </c>
      <c r="M2488" s="8" t="s">
        <v>1336</v>
      </c>
      <c r="N2488" s="8" t="s">
        <v>1336</v>
      </c>
      <c r="O2488" s="7" t="s">
        <v>276</v>
      </c>
      <c r="P2488" s="7" t="s">
        <v>279</v>
      </c>
      <c r="Q2488" s="7" t="s">
        <v>280</v>
      </c>
      <c r="R2488" s="7"/>
      <c r="S2488" s="7" t="s">
        <v>431</v>
      </c>
      <c r="T2488" s="7"/>
      <c r="U2488" s="7" t="s">
        <v>384</v>
      </c>
      <c r="V2488" s="7"/>
      <c r="W2488" s="7" t="s">
        <v>380</v>
      </c>
      <c r="X2488" s="7" t="s">
        <v>99</v>
      </c>
      <c r="Y2488" s="7" t="s">
        <v>23</v>
      </c>
    </row>
    <row r="2489" spans="1:25" hidden="1" x14ac:dyDescent="0.25">
      <c r="A2489" s="247" t="s">
        <v>319</v>
      </c>
      <c r="B2489" s="248">
        <v>45923</v>
      </c>
      <c r="C2489" s="244" t="s">
        <v>1338</v>
      </c>
      <c r="D2489" s="244"/>
      <c r="E2489" s="249">
        <v>20000</v>
      </c>
      <c r="F2489" s="249">
        <v>0</v>
      </c>
      <c r="G2489" s="266">
        <f>Tabla3[[#This Row],[INGRESOS]]-Tabla3[[#This Row],[EGRESOS]]</f>
        <v>-20000</v>
      </c>
      <c r="H2489" s="135">
        <v>0</v>
      </c>
      <c r="I2489" s="119">
        <v>1490</v>
      </c>
      <c r="J2489" s="136">
        <f>Tabla3[[#This Row],[EGRESOS]]/Tabla3[[#This Row],[TC]]</f>
        <v>13.422818791946309</v>
      </c>
      <c r="K2489" s="136">
        <f>Tabla3[[#This Row],[INGRESOS]]/Tabla3[[#This Row],[TC]]</f>
        <v>0</v>
      </c>
      <c r="L2489" s="8" t="s">
        <v>1336</v>
      </c>
      <c r="M2489" s="8" t="s">
        <v>1336</v>
      </c>
      <c r="N2489" s="8" t="s">
        <v>1336</v>
      </c>
      <c r="O2489" s="7" t="s">
        <v>225</v>
      </c>
      <c r="P2489" s="7" t="s">
        <v>233</v>
      </c>
      <c r="Q2489" s="7" t="s">
        <v>234</v>
      </c>
      <c r="R2489" s="7" t="s">
        <v>430</v>
      </c>
      <c r="S2489" s="7"/>
      <c r="T2489" s="7"/>
      <c r="U2489" s="7" t="s">
        <v>403</v>
      </c>
      <c r="V2489" s="7"/>
      <c r="W2489" s="7" t="s">
        <v>380</v>
      </c>
      <c r="X2489" s="7" t="s">
        <v>29</v>
      </c>
      <c r="Y2489" s="7" t="s">
        <v>23</v>
      </c>
    </row>
    <row r="2490" spans="1:25" hidden="1" x14ac:dyDescent="0.25">
      <c r="A2490" s="247" t="s">
        <v>319</v>
      </c>
      <c r="B2490" s="248">
        <v>45924</v>
      </c>
      <c r="C2490" s="244" t="s">
        <v>1338</v>
      </c>
      <c r="D2490" s="244"/>
      <c r="E2490" s="249">
        <v>95569</v>
      </c>
      <c r="F2490" s="249">
        <v>0</v>
      </c>
      <c r="G2490" s="266">
        <f>Tabla3[[#This Row],[INGRESOS]]-Tabla3[[#This Row],[EGRESOS]]</f>
        <v>-95569</v>
      </c>
      <c r="H2490" s="135">
        <v>0</v>
      </c>
      <c r="I2490" s="119">
        <v>1490</v>
      </c>
      <c r="J2490" s="136">
        <f>Tabla3[[#This Row],[EGRESOS]]/Tabla3[[#This Row],[TC]]</f>
        <v>64.140268456375836</v>
      </c>
      <c r="K2490" s="136">
        <f>Tabla3[[#This Row],[INGRESOS]]/Tabla3[[#This Row],[TC]]</f>
        <v>0</v>
      </c>
      <c r="L2490" s="8" t="s">
        <v>1336</v>
      </c>
      <c r="M2490" s="8" t="s">
        <v>1336</v>
      </c>
      <c r="N2490" s="8" t="s">
        <v>1336</v>
      </c>
      <c r="O2490" s="7" t="s">
        <v>225</v>
      </c>
      <c r="P2490" s="7" t="s">
        <v>236</v>
      </c>
      <c r="Q2490" s="7" t="s">
        <v>214</v>
      </c>
      <c r="R2490" s="7"/>
      <c r="S2490" s="7" t="s">
        <v>522</v>
      </c>
      <c r="T2490" s="7"/>
      <c r="U2490" s="7" t="s">
        <v>412</v>
      </c>
      <c r="V2490" s="7"/>
      <c r="W2490" s="7" t="s">
        <v>380</v>
      </c>
      <c r="X2490" s="7" t="s">
        <v>29</v>
      </c>
      <c r="Y2490" s="7" t="s">
        <v>23</v>
      </c>
    </row>
    <row r="2491" spans="1:25" hidden="1" x14ac:dyDescent="0.25">
      <c r="A2491" s="247" t="s">
        <v>320</v>
      </c>
      <c r="B2491" s="248">
        <v>45931</v>
      </c>
      <c r="C2491" s="244" t="s">
        <v>1338</v>
      </c>
      <c r="D2491" s="244"/>
      <c r="E2491" s="249">
        <v>30250</v>
      </c>
      <c r="F2491" s="249">
        <v>0</v>
      </c>
      <c r="G2491" s="266">
        <f>Tabla3[[#This Row],[INGRESOS]]-Tabla3[[#This Row],[EGRESOS]]</f>
        <v>-30250</v>
      </c>
      <c r="H2491" s="135">
        <v>0</v>
      </c>
      <c r="I2491" s="119">
        <v>1490</v>
      </c>
      <c r="J2491" s="136">
        <f>Tabla3[[#This Row],[EGRESOS]]/Tabla3[[#This Row],[TC]]</f>
        <v>20.302013422818792</v>
      </c>
      <c r="K2491" s="136">
        <f>Tabla3[[#This Row],[INGRESOS]]/Tabla3[[#This Row],[TC]]</f>
        <v>0</v>
      </c>
      <c r="L2491" s="8" t="s">
        <v>1336</v>
      </c>
      <c r="M2491" s="8" t="s">
        <v>1336</v>
      </c>
      <c r="N2491" s="8" t="s">
        <v>1336</v>
      </c>
      <c r="O2491" s="7" t="s">
        <v>225</v>
      </c>
      <c r="P2491" s="7" t="s">
        <v>236</v>
      </c>
      <c r="Q2491" s="7" t="s">
        <v>243</v>
      </c>
      <c r="R2491" s="7" t="s">
        <v>1367</v>
      </c>
      <c r="S2491" s="7" t="s">
        <v>812</v>
      </c>
      <c r="T2491" s="7" t="s">
        <v>1368</v>
      </c>
      <c r="U2491" s="7" t="s">
        <v>412</v>
      </c>
      <c r="V2491" s="7"/>
      <c r="W2491" s="7" t="s">
        <v>475</v>
      </c>
      <c r="X2491" s="7" t="s">
        <v>29</v>
      </c>
      <c r="Y2491" s="7" t="s">
        <v>23</v>
      </c>
    </row>
    <row r="2492" spans="1:25" hidden="1" x14ac:dyDescent="0.25">
      <c r="A2492" s="247" t="s">
        <v>320</v>
      </c>
      <c r="B2492" s="248">
        <v>45931</v>
      </c>
      <c r="C2492" s="244" t="s">
        <v>1338</v>
      </c>
      <c r="D2492" s="244"/>
      <c r="E2492" s="249">
        <v>28000</v>
      </c>
      <c r="F2492" s="249">
        <v>0</v>
      </c>
      <c r="G2492" s="266">
        <f>Tabla3[[#This Row],[INGRESOS]]-Tabla3[[#This Row],[EGRESOS]]</f>
        <v>-28000</v>
      </c>
      <c r="H2492" s="135">
        <v>0</v>
      </c>
      <c r="I2492" s="119">
        <v>1490</v>
      </c>
      <c r="J2492" s="136">
        <f>Tabla3[[#This Row],[EGRESOS]]/Tabla3[[#This Row],[TC]]</f>
        <v>18.791946308724832</v>
      </c>
      <c r="K2492" s="136">
        <f>Tabla3[[#This Row],[INGRESOS]]/Tabla3[[#This Row],[TC]]</f>
        <v>0</v>
      </c>
      <c r="L2492" s="8" t="s">
        <v>1336</v>
      </c>
      <c r="M2492" s="8" t="s">
        <v>1336</v>
      </c>
      <c r="N2492" s="8" t="s">
        <v>1336</v>
      </c>
      <c r="O2492" s="7" t="s">
        <v>184</v>
      </c>
      <c r="P2492" s="7" t="s">
        <v>199</v>
      </c>
      <c r="Q2492" s="7" t="s">
        <v>202</v>
      </c>
      <c r="R2492" s="7" t="s">
        <v>1369</v>
      </c>
      <c r="S2492" s="7" t="s">
        <v>389</v>
      </c>
      <c r="T2492" s="7"/>
      <c r="U2492" s="7" t="s">
        <v>390</v>
      </c>
      <c r="V2492" s="7"/>
      <c r="W2492" s="7" t="s">
        <v>475</v>
      </c>
      <c r="X2492" s="7" t="s">
        <v>99</v>
      </c>
      <c r="Y2492" s="7" t="s">
        <v>23</v>
      </c>
    </row>
    <row r="2493" spans="1:25" hidden="1" x14ac:dyDescent="0.25">
      <c r="A2493" s="247" t="s">
        <v>320</v>
      </c>
      <c r="B2493" s="248">
        <v>45934</v>
      </c>
      <c r="C2493" s="244" t="s">
        <v>1338</v>
      </c>
      <c r="D2493" s="244"/>
      <c r="E2493" s="249">
        <v>220000</v>
      </c>
      <c r="F2493" s="249">
        <v>0</v>
      </c>
      <c r="G2493" s="266">
        <f>Tabla3[[#This Row],[INGRESOS]]-Tabla3[[#This Row],[EGRESOS]]</f>
        <v>-220000</v>
      </c>
      <c r="H2493" s="135">
        <v>0</v>
      </c>
      <c r="I2493" s="119">
        <v>1490</v>
      </c>
      <c r="J2493" s="136">
        <f>Tabla3[[#This Row],[EGRESOS]]/Tabla3[[#This Row],[TC]]</f>
        <v>147.65100671140939</v>
      </c>
      <c r="K2493" s="136">
        <f>Tabla3[[#This Row],[INGRESOS]]/Tabla3[[#This Row],[TC]]</f>
        <v>0</v>
      </c>
      <c r="L2493" s="8" t="s">
        <v>1336</v>
      </c>
      <c r="M2493" s="8" t="s">
        <v>1336</v>
      </c>
      <c r="N2493" s="8" t="s">
        <v>1336</v>
      </c>
      <c r="O2493" s="7" t="s">
        <v>184</v>
      </c>
      <c r="P2493" s="7" t="s">
        <v>199</v>
      </c>
      <c r="Q2493" s="7" t="s">
        <v>200</v>
      </c>
      <c r="R2493" s="7"/>
      <c r="S2493" s="7" t="s">
        <v>736</v>
      </c>
      <c r="T2493" s="7"/>
      <c r="U2493" s="7" t="s">
        <v>390</v>
      </c>
      <c r="V2493" s="7"/>
      <c r="W2493" s="7" t="s">
        <v>475</v>
      </c>
      <c r="X2493" s="7" t="s">
        <v>99</v>
      </c>
      <c r="Y2493" s="7" t="s">
        <v>23</v>
      </c>
    </row>
    <row r="2494" spans="1:25" hidden="1" x14ac:dyDescent="0.25">
      <c r="A2494" s="247" t="s">
        <v>320</v>
      </c>
      <c r="B2494" s="248">
        <v>45936</v>
      </c>
      <c r="C2494" s="244" t="s">
        <v>1338</v>
      </c>
      <c r="D2494" s="244"/>
      <c r="E2494" s="249">
        <v>4807</v>
      </c>
      <c r="F2494" s="249">
        <v>0</v>
      </c>
      <c r="G2494" s="266">
        <f>Tabla3[[#This Row],[INGRESOS]]-Tabla3[[#This Row],[EGRESOS]]</f>
        <v>-4807</v>
      </c>
      <c r="H2494" s="135">
        <v>0</v>
      </c>
      <c r="I2494" s="119">
        <v>1490</v>
      </c>
      <c r="J2494" s="136">
        <f>Tabla3[[#This Row],[EGRESOS]]/Tabla3[[#This Row],[TC]]</f>
        <v>3.2261744966442953</v>
      </c>
      <c r="K2494" s="136">
        <f>Tabla3[[#This Row],[INGRESOS]]/Tabla3[[#This Row],[TC]]</f>
        <v>0</v>
      </c>
      <c r="L2494" s="8" t="s">
        <v>1336</v>
      </c>
      <c r="M2494" s="8" t="s">
        <v>1336</v>
      </c>
      <c r="N2494" s="8" t="s">
        <v>1336</v>
      </c>
      <c r="O2494" s="7" t="s">
        <v>184</v>
      </c>
      <c r="P2494" s="7" t="s">
        <v>199</v>
      </c>
      <c r="Q2494" s="7" t="s">
        <v>189</v>
      </c>
      <c r="R2494" s="7"/>
      <c r="S2494" s="7" t="s">
        <v>736</v>
      </c>
      <c r="T2494" s="7"/>
      <c r="U2494" s="7" t="s">
        <v>390</v>
      </c>
      <c r="V2494" s="7"/>
      <c r="W2494" s="7" t="s">
        <v>475</v>
      </c>
      <c r="X2494" s="7" t="s">
        <v>99</v>
      </c>
      <c r="Y2494" s="7" t="s">
        <v>23</v>
      </c>
    </row>
    <row r="2495" spans="1:25" hidden="1" x14ac:dyDescent="0.25">
      <c r="A2495" s="247" t="s">
        <v>320</v>
      </c>
      <c r="B2495" s="248">
        <v>45939</v>
      </c>
      <c r="C2495" s="244" t="s">
        <v>1338</v>
      </c>
      <c r="D2495" s="244"/>
      <c r="E2495" s="249">
        <v>8500</v>
      </c>
      <c r="F2495" s="249">
        <v>0</v>
      </c>
      <c r="G2495" s="266">
        <f>Tabla3[[#This Row],[INGRESOS]]-Tabla3[[#This Row],[EGRESOS]]</f>
        <v>-8500</v>
      </c>
      <c r="H2495" s="135">
        <v>0</v>
      </c>
      <c r="I2495" s="119">
        <v>1490</v>
      </c>
      <c r="J2495" s="136">
        <f>Tabla3[[#This Row],[EGRESOS]]/Tabla3[[#This Row],[TC]]</f>
        <v>5.7046979865771812</v>
      </c>
      <c r="K2495" s="136">
        <f>Tabla3[[#This Row],[INGRESOS]]/Tabla3[[#This Row],[TC]]</f>
        <v>0</v>
      </c>
      <c r="L2495" s="8" t="s">
        <v>1336</v>
      </c>
      <c r="M2495" s="8" t="s">
        <v>1336</v>
      </c>
      <c r="N2495" s="8" t="s">
        <v>1336</v>
      </c>
      <c r="O2495" s="7" t="s">
        <v>184</v>
      </c>
      <c r="P2495" s="7" t="s">
        <v>199</v>
      </c>
      <c r="Q2495" s="7" t="s">
        <v>201</v>
      </c>
      <c r="R2495" s="7" t="s">
        <v>745</v>
      </c>
      <c r="S2495" s="7" t="s">
        <v>392</v>
      </c>
      <c r="T2495" s="7"/>
      <c r="U2495" s="7" t="s">
        <v>390</v>
      </c>
      <c r="V2495" s="7"/>
      <c r="W2495" s="7" t="s">
        <v>475</v>
      </c>
      <c r="X2495" s="7" t="s">
        <v>99</v>
      </c>
      <c r="Y2495" s="7" t="s">
        <v>23</v>
      </c>
    </row>
    <row r="2496" spans="1:25" hidden="1" x14ac:dyDescent="0.25">
      <c r="A2496" s="247" t="s">
        <v>320</v>
      </c>
      <c r="B2496" s="248">
        <v>45939</v>
      </c>
      <c r="C2496" s="244" t="s">
        <v>1338</v>
      </c>
      <c r="D2496" s="244"/>
      <c r="E2496" s="249">
        <v>3000</v>
      </c>
      <c r="F2496" s="249">
        <v>0</v>
      </c>
      <c r="G2496" s="266">
        <f>Tabla3[[#This Row],[INGRESOS]]-Tabla3[[#This Row],[EGRESOS]]</f>
        <v>-3000</v>
      </c>
      <c r="H2496" s="135">
        <v>0</v>
      </c>
      <c r="I2496" s="119">
        <v>1490</v>
      </c>
      <c r="J2496" s="136">
        <f>Tabla3[[#This Row],[EGRESOS]]/Tabla3[[#This Row],[TC]]</f>
        <v>2.0134228187919465</v>
      </c>
      <c r="K2496" s="136">
        <f>Tabla3[[#This Row],[INGRESOS]]/Tabla3[[#This Row],[TC]]</f>
        <v>0</v>
      </c>
      <c r="L2496" s="8" t="s">
        <v>1336</v>
      </c>
      <c r="M2496" s="8" t="s">
        <v>1336</v>
      </c>
      <c r="N2496" s="8" t="s">
        <v>1336</v>
      </c>
      <c r="O2496" s="7" t="s">
        <v>184</v>
      </c>
      <c r="P2496" s="7" t="s">
        <v>199</v>
      </c>
      <c r="Q2496" s="7" t="s">
        <v>201</v>
      </c>
      <c r="R2496" s="7" t="s">
        <v>958</v>
      </c>
      <c r="S2496" s="7" t="s">
        <v>392</v>
      </c>
      <c r="T2496" s="7"/>
      <c r="U2496" s="7" t="s">
        <v>390</v>
      </c>
      <c r="V2496" s="7"/>
      <c r="W2496" s="7" t="s">
        <v>475</v>
      </c>
      <c r="X2496" s="7" t="s">
        <v>99</v>
      </c>
      <c r="Y2496" s="7" t="s">
        <v>23</v>
      </c>
    </row>
    <row r="2497" spans="1:25" hidden="1" x14ac:dyDescent="0.25">
      <c r="A2497" s="247" t="s">
        <v>320</v>
      </c>
      <c r="B2497" s="248">
        <v>45941</v>
      </c>
      <c r="C2497" s="244" t="s">
        <v>1338</v>
      </c>
      <c r="D2497" s="244"/>
      <c r="E2497" s="249">
        <v>1050000</v>
      </c>
      <c r="F2497" s="249">
        <v>0</v>
      </c>
      <c r="G2497" s="266">
        <f>Tabla3[[#This Row],[INGRESOS]]-Tabla3[[#This Row],[EGRESOS]]</f>
        <v>-1050000</v>
      </c>
      <c r="H2497" s="135">
        <v>0</v>
      </c>
      <c r="I2497" s="119">
        <v>1490</v>
      </c>
      <c r="J2497" s="136">
        <f>Tabla3[[#This Row],[EGRESOS]]/Tabla3[[#This Row],[TC]]</f>
        <v>704.69798657718115</v>
      </c>
      <c r="K2497" s="136">
        <f>Tabla3[[#This Row],[INGRESOS]]/Tabla3[[#This Row],[TC]]</f>
        <v>0</v>
      </c>
      <c r="L2497" s="8" t="s">
        <v>1336</v>
      </c>
      <c r="M2497" s="8" t="s">
        <v>1336</v>
      </c>
      <c r="N2497" s="8" t="s">
        <v>1336</v>
      </c>
      <c r="O2497" s="7" t="s">
        <v>184</v>
      </c>
      <c r="P2497" s="7" t="s">
        <v>199</v>
      </c>
      <c r="Q2497" s="7" t="s">
        <v>201</v>
      </c>
      <c r="R2497" s="7" t="s">
        <v>1370</v>
      </c>
      <c r="S2497" s="7" t="s">
        <v>389</v>
      </c>
      <c r="T2497" s="7"/>
      <c r="U2497" s="7" t="s">
        <v>390</v>
      </c>
      <c r="V2497" s="7"/>
      <c r="W2497" s="7" t="s">
        <v>475</v>
      </c>
      <c r="X2497" s="7" t="s">
        <v>99</v>
      </c>
      <c r="Y2497" s="7" t="s">
        <v>23</v>
      </c>
    </row>
    <row r="2498" spans="1:25" hidden="1" x14ac:dyDescent="0.25">
      <c r="A2498" s="247" t="s">
        <v>320</v>
      </c>
      <c r="B2498" s="248">
        <v>45941</v>
      </c>
      <c r="C2498" s="244" t="s">
        <v>1338</v>
      </c>
      <c r="D2498" s="244"/>
      <c r="E2498" s="249">
        <v>10000</v>
      </c>
      <c r="F2498" s="249">
        <v>0</v>
      </c>
      <c r="G2498" s="266">
        <f>Tabla3[[#This Row],[INGRESOS]]-Tabla3[[#This Row],[EGRESOS]]</f>
        <v>-10000</v>
      </c>
      <c r="H2498" s="135">
        <v>0</v>
      </c>
      <c r="I2498" s="119">
        <v>1490</v>
      </c>
      <c r="J2498" s="136">
        <f>Tabla3[[#This Row],[EGRESOS]]/Tabla3[[#This Row],[TC]]</f>
        <v>6.7114093959731544</v>
      </c>
      <c r="K2498" s="136">
        <f>Tabla3[[#This Row],[INGRESOS]]/Tabla3[[#This Row],[TC]]</f>
        <v>0</v>
      </c>
      <c r="L2498" s="8" t="s">
        <v>1336</v>
      </c>
      <c r="M2498" s="8" t="s">
        <v>1336</v>
      </c>
      <c r="N2498" s="8" t="s">
        <v>1336</v>
      </c>
      <c r="O2498" s="7" t="s">
        <v>276</v>
      </c>
      <c r="P2498" s="7" t="s">
        <v>202</v>
      </c>
      <c r="Q2498" s="7" t="s">
        <v>285</v>
      </c>
      <c r="R2498" s="7"/>
      <c r="S2498" s="7" t="s">
        <v>202</v>
      </c>
      <c r="T2498" s="7"/>
      <c r="U2498" s="7" t="s">
        <v>384</v>
      </c>
      <c r="V2498" s="7"/>
      <c r="W2498" s="7" t="s">
        <v>380</v>
      </c>
      <c r="X2498" s="7" t="s">
        <v>99</v>
      </c>
      <c r="Y2498" s="7" t="s">
        <v>23</v>
      </c>
    </row>
    <row r="2499" spans="1:25" hidden="1" x14ac:dyDescent="0.25">
      <c r="A2499" s="247" t="str">
        <f>"DICIEMBRE"</f>
        <v>DICIEMBRE</v>
      </c>
      <c r="B2499" s="248">
        <v>45996</v>
      </c>
      <c r="C2499" s="244" t="s">
        <v>488</v>
      </c>
      <c r="D2499" s="244"/>
      <c r="E2499" s="249">
        <v>750000</v>
      </c>
      <c r="F2499" s="249">
        <v>0</v>
      </c>
      <c r="G2499" s="266">
        <f>Tabla3[[#This Row],[INGRESOS]]-Tabla3[[#This Row],[EGRESOS]]</f>
        <v>-750000</v>
      </c>
      <c r="H2499" s="119">
        <f>Tabla3[[#This Row],[SALDO]]+H2498</f>
        <v>-750000</v>
      </c>
      <c r="I2499" s="119">
        <v>1488</v>
      </c>
      <c r="J2499" s="99">
        <f>Tabla3[[#This Row],[EGRESOS]]/Tabla3[[#This Row],[TC]]</f>
        <v>504.03225806451616</v>
      </c>
      <c r="K2499" s="99">
        <f>Tabla3[[#This Row],[INGRESOS]]/Tabla3[[#This Row],[TC]]</f>
        <v>0</v>
      </c>
      <c r="L2499" s="7" t="s">
        <v>376</v>
      </c>
      <c r="M2499" s="7" t="s">
        <v>377</v>
      </c>
      <c r="N2499" s="7" t="s">
        <v>25</v>
      </c>
      <c r="O2499" s="7" t="s">
        <v>184</v>
      </c>
      <c r="P2499" s="7" t="s">
        <v>203</v>
      </c>
      <c r="Q2499" s="7" t="s">
        <v>208</v>
      </c>
      <c r="R2499" s="7"/>
      <c r="S2499" s="7" t="s">
        <v>386</v>
      </c>
      <c r="T2499" s="7"/>
      <c r="U2499" s="7" t="s">
        <v>387</v>
      </c>
      <c r="V2499" s="7" t="s">
        <v>386</v>
      </c>
      <c r="W2499" s="7" t="s">
        <v>380</v>
      </c>
      <c r="X2499" s="7" t="s">
        <v>104</v>
      </c>
      <c r="Y2499" s="7" t="s">
        <v>23</v>
      </c>
    </row>
    <row r="2500" spans="1:25" hidden="1" x14ac:dyDescent="0.25">
      <c r="A2500" s="247" t="s">
        <v>321</v>
      </c>
      <c r="B2500" s="248">
        <v>45964</v>
      </c>
      <c r="C2500" s="244" t="s">
        <v>1338</v>
      </c>
      <c r="D2500" s="244"/>
      <c r="E2500" s="249">
        <v>220000</v>
      </c>
      <c r="F2500" s="249">
        <v>0</v>
      </c>
      <c r="G2500" s="266">
        <f>Tabla3[[#This Row],[INGRESOS]]-Tabla3[[#This Row],[EGRESOS]]</f>
        <v>-220000</v>
      </c>
      <c r="H2500" s="135">
        <v>0</v>
      </c>
      <c r="I2500" s="119">
        <v>1490</v>
      </c>
      <c r="J2500" s="136">
        <f>Tabla3[[#This Row],[EGRESOS]]/Tabla3[[#This Row],[TC]]</f>
        <v>147.65100671140939</v>
      </c>
      <c r="K2500" s="136">
        <f>Tabla3[[#This Row],[INGRESOS]]/Tabla3[[#This Row],[TC]]</f>
        <v>0</v>
      </c>
      <c r="L2500" s="8" t="s">
        <v>1336</v>
      </c>
      <c r="M2500" s="8" t="s">
        <v>1336</v>
      </c>
      <c r="N2500" s="8" t="s">
        <v>1336</v>
      </c>
      <c r="O2500" s="7" t="s">
        <v>184</v>
      </c>
      <c r="P2500" s="7" t="s">
        <v>199</v>
      </c>
      <c r="Q2500" s="7" t="s">
        <v>200</v>
      </c>
      <c r="R2500" s="7"/>
      <c r="S2500" s="7" t="s">
        <v>736</v>
      </c>
      <c r="T2500" s="7"/>
      <c r="U2500" s="7" t="s">
        <v>390</v>
      </c>
      <c r="V2500" s="7"/>
      <c r="W2500" s="7" t="s">
        <v>475</v>
      </c>
      <c r="X2500" s="7" t="s">
        <v>99</v>
      </c>
      <c r="Y2500" s="7" t="s">
        <v>23</v>
      </c>
    </row>
    <row r="2501" spans="1:25" hidden="1" x14ac:dyDescent="0.25">
      <c r="A2501" s="247" t="str">
        <f>"NOVIEMBRE"</f>
        <v>NOVIEMBRE</v>
      </c>
      <c r="B2501" s="248">
        <v>45964</v>
      </c>
      <c r="C2501" s="244" t="s">
        <v>1338</v>
      </c>
      <c r="D2501" s="244"/>
      <c r="E2501" s="249">
        <v>55000</v>
      </c>
      <c r="F2501" s="249">
        <v>0</v>
      </c>
      <c r="G2501" s="266">
        <f>Tabla3[[#This Row],[INGRESOS]]-Tabla3[[#This Row],[EGRESOS]]</f>
        <v>-55000</v>
      </c>
      <c r="H2501" s="135">
        <v>0</v>
      </c>
      <c r="I2501" s="119">
        <v>1490</v>
      </c>
      <c r="J2501" s="136">
        <f>Tabla3[[#This Row],[EGRESOS]]/Tabla3[[#This Row],[TC]]</f>
        <v>36.912751677852349</v>
      </c>
      <c r="K2501" s="136">
        <f>Tabla3[[#This Row],[INGRESOS]]/Tabla3[[#This Row],[TC]]</f>
        <v>0</v>
      </c>
      <c r="L2501" s="8" t="s">
        <v>1336</v>
      </c>
      <c r="M2501" s="8" t="s">
        <v>1336</v>
      </c>
      <c r="N2501" s="8" t="s">
        <v>1336</v>
      </c>
      <c r="O2501" s="7" t="s">
        <v>286</v>
      </c>
      <c r="P2501" s="7" t="s">
        <v>287</v>
      </c>
      <c r="Q2501" s="7" t="s">
        <v>218</v>
      </c>
      <c r="R2501" s="7" t="s">
        <v>801</v>
      </c>
      <c r="S2501" s="7" t="s">
        <v>615</v>
      </c>
      <c r="T2501" s="7" t="s">
        <v>1371</v>
      </c>
      <c r="U2501" s="7" t="s">
        <v>398</v>
      </c>
      <c r="V2501" s="7"/>
      <c r="W2501" s="7" t="s">
        <v>399</v>
      </c>
      <c r="X2501" s="7" t="s">
        <v>29</v>
      </c>
      <c r="Y2501" s="7" t="s">
        <v>23</v>
      </c>
    </row>
    <row r="2502" spans="1:25" hidden="1" x14ac:dyDescent="0.25">
      <c r="A2502" s="247" t="str">
        <f>"NOVIEMBRE"</f>
        <v>NOVIEMBRE</v>
      </c>
      <c r="B2502" s="248">
        <v>45987</v>
      </c>
      <c r="C2502" s="244" t="s">
        <v>1338</v>
      </c>
      <c r="D2502" s="244"/>
      <c r="E2502" s="249">
        <v>500000</v>
      </c>
      <c r="F2502" s="249">
        <v>0</v>
      </c>
      <c r="G2502" s="266">
        <f>Tabla3[[#This Row],[INGRESOS]]-Tabla3[[#This Row],[EGRESOS]]</f>
        <v>-500000</v>
      </c>
      <c r="H2502" s="135">
        <v>0</v>
      </c>
      <c r="I2502" s="119">
        <v>1490</v>
      </c>
      <c r="J2502" s="136">
        <f>Tabla3[[#This Row],[EGRESOS]]/Tabla3[[#This Row],[TC]]</f>
        <v>335.57046979865771</v>
      </c>
      <c r="K2502" s="136">
        <f>Tabla3[[#This Row],[INGRESOS]]/Tabla3[[#This Row],[TC]]</f>
        <v>0</v>
      </c>
      <c r="L2502" s="8" t="s">
        <v>1336</v>
      </c>
      <c r="M2502" s="8" t="s">
        <v>1336</v>
      </c>
      <c r="N2502" s="8" t="s">
        <v>1336</v>
      </c>
      <c r="O2502" s="7" t="s">
        <v>184</v>
      </c>
      <c r="P2502" s="7" t="s">
        <v>199</v>
      </c>
      <c r="Q2502" s="7" t="s">
        <v>202</v>
      </c>
      <c r="R2502" s="7" t="s">
        <v>1372</v>
      </c>
      <c r="S2502" s="7" t="s">
        <v>389</v>
      </c>
      <c r="T2502" s="7"/>
      <c r="U2502" s="7" t="s">
        <v>390</v>
      </c>
      <c r="V2502" s="7"/>
      <c r="W2502" s="7" t="s">
        <v>475</v>
      </c>
      <c r="X2502" s="7" t="s">
        <v>99</v>
      </c>
      <c r="Y2502" s="7" t="s">
        <v>23</v>
      </c>
    </row>
    <row r="2503" spans="1:25" hidden="1" x14ac:dyDescent="0.25">
      <c r="A2503" s="247" t="s">
        <v>321</v>
      </c>
      <c r="B2503" s="248">
        <v>45990</v>
      </c>
      <c r="C2503" s="244" t="s">
        <v>1338</v>
      </c>
      <c r="D2503" s="244"/>
      <c r="E2503" s="249">
        <v>160000</v>
      </c>
      <c r="F2503" s="249">
        <v>0</v>
      </c>
      <c r="G2503" s="266">
        <f>Tabla3[[#This Row],[INGRESOS]]-Tabla3[[#This Row],[EGRESOS]]</f>
        <v>-160000</v>
      </c>
      <c r="H2503" s="135">
        <v>0</v>
      </c>
      <c r="I2503" s="119">
        <v>1490</v>
      </c>
      <c r="J2503" s="136">
        <f>Tabla3[[#This Row],[EGRESOS]]/Tabla3[[#This Row],[TC]]</f>
        <v>107.38255033557047</v>
      </c>
      <c r="K2503" s="136">
        <f>Tabla3[[#This Row],[INGRESOS]]/Tabla3[[#This Row],[TC]]</f>
        <v>0</v>
      </c>
      <c r="L2503" s="8" t="s">
        <v>1336</v>
      </c>
      <c r="M2503" s="8" t="s">
        <v>1336</v>
      </c>
      <c r="N2503" s="8" t="s">
        <v>1336</v>
      </c>
      <c r="O2503" s="7" t="s">
        <v>184</v>
      </c>
      <c r="P2503" s="7" t="s">
        <v>199</v>
      </c>
      <c r="Q2503" s="7" t="s">
        <v>200</v>
      </c>
      <c r="R2503" s="7"/>
      <c r="S2503" s="7" t="s">
        <v>736</v>
      </c>
      <c r="T2503" s="7"/>
      <c r="U2503" s="7" t="s">
        <v>390</v>
      </c>
      <c r="V2503" s="7"/>
      <c r="W2503" s="7" t="s">
        <v>475</v>
      </c>
      <c r="X2503" s="7" t="s">
        <v>99</v>
      </c>
      <c r="Y2503" s="7" t="s">
        <v>23</v>
      </c>
    </row>
    <row r="2504" spans="1:25" hidden="1" x14ac:dyDescent="0.25">
      <c r="A2504" s="247" t="str">
        <f>"NOVIEMBRE"</f>
        <v>NOVIEMBRE</v>
      </c>
      <c r="B2504" s="248">
        <v>45990</v>
      </c>
      <c r="C2504" s="244" t="s">
        <v>1338</v>
      </c>
      <c r="D2504" s="244"/>
      <c r="E2504" s="249">
        <v>8000</v>
      </c>
      <c r="F2504" s="249">
        <v>0</v>
      </c>
      <c r="G2504" s="266">
        <f>Tabla3[[#This Row],[INGRESOS]]-Tabla3[[#This Row],[EGRESOS]]</f>
        <v>-8000</v>
      </c>
      <c r="H2504" s="135">
        <v>0</v>
      </c>
      <c r="I2504" s="119">
        <v>1490</v>
      </c>
      <c r="J2504" s="136">
        <f>Tabla3[[#This Row],[EGRESOS]]/Tabla3[[#This Row],[TC]]</f>
        <v>5.3691275167785237</v>
      </c>
      <c r="K2504" s="136">
        <f>Tabla3[[#This Row],[INGRESOS]]/Tabla3[[#This Row],[TC]]</f>
        <v>0</v>
      </c>
      <c r="L2504" s="8" t="s">
        <v>1336</v>
      </c>
      <c r="M2504" s="8" t="s">
        <v>1336</v>
      </c>
      <c r="N2504" s="8" t="s">
        <v>1336</v>
      </c>
      <c r="O2504" s="7" t="s">
        <v>225</v>
      </c>
      <c r="P2504" s="7" t="s">
        <v>236</v>
      </c>
      <c r="Q2504" s="7"/>
      <c r="R2504" s="7" t="s">
        <v>1373</v>
      </c>
      <c r="S2504" s="7"/>
      <c r="T2504" s="7"/>
      <c r="U2504" s="7"/>
      <c r="V2504" s="7"/>
      <c r="W2504" s="7"/>
      <c r="X2504" s="7"/>
      <c r="Y2504" s="7"/>
    </row>
    <row r="2505" spans="1:25" hidden="1" x14ac:dyDescent="0.25">
      <c r="A2505" s="247" t="str">
        <f>"NOVIEMBRE"</f>
        <v>NOVIEMBRE</v>
      </c>
      <c r="B2505" s="248">
        <v>45990</v>
      </c>
      <c r="C2505" s="244" t="s">
        <v>1338</v>
      </c>
      <c r="D2505" s="244"/>
      <c r="E2505" s="249">
        <v>30000</v>
      </c>
      <c r="F2505" s="249">
        <v>0</v>
      </c>
      <c r="G2505" s="266">
        <f>Tabla3[[#This Row],[INGRESOS]]-Tabla3[[#This Row],[EGRESOS]]</f>
        <v>-30000</v>
      </c>
      <c r="H2505" s="135">
        <v>0</v>
      </c>
      <c r="I2505" s="119">
        <v>1490</v>
      </c>
      <c r="J2505" s="136">
        <f>Tabla3[[#This Row],[EGRESOS]]/Tabla3[[#This Row],[TC]]</f>
        <v>20.134228187919462</v>
      </c>
      <c r="K2505" s="136">
        <f>Tabla3[[#This Row],[INGRESOS]]/Tabla3[[#This Row],[TC]]</f>
        <v>0</v>
      </c>
      <c r="L2505" s="8" t="s">
        <v>1336</v>
      </c>
      <c r="M2505" s="8" t="s">
        <v>1336</v>
      </c>
      <c r="N2505" s="8" t="s">
        <v>1336</v>
      </c>
      <c r="O2505" s="7" t="s">
        <v>276</v>
      </c>
      <c r="P2505" s="7" t="s">
        <v>279</v>
      </c>
      <c r="Q2505" s="7" t="s">
        <v>280</v>
      </c>
      <c r="R2505" s="7"/>
      <c r="S2505" s="7" t="s">
        <v>431</v>
      </c>
      <c r="T2505" s="7"/>
      <c r="U2505" s="7" t="s">
        <v>384</v>
      </c>
      <c r="V2505" s="7"/>
      <c r="W2505" s="7" t="s">
        <v>380</v>
      </c>
      <c r="X2505" s="7" t="s">
        <v>99</v>
      </c>
      <c r="Y2505" s="7" t="s">
        <v>23</v>
      </c>
    </row>
    <row r="2506" spans="1:25" hidden="1" x14ac:dyDescent="0.25">
      <c r="A2506" s="247" t="str">
        <f>"DICIEMBRE"</f>
        <v>DICIEMBRE</v>
      </c>
      <c r="B2506" s="248">
        <v>45999</v>
      </c>
      <c r="C2506" s="244" t="s">
        <v>1338</v>
      </c>
      <c r="D2506" s="244"/>
      <c r="E2506" s="249">
        <v>320000</v>
      </c>
      <c r="F2506" s="249">
        <v>0</v>
      </c>
      <c r="G2506" s="266">
        <f>Tabla3[[#This Row],[INGRESOS]]-Tabla3[[#This Row],[EGRESOS]]</f>
        <v>-320000</v>
      </c>
      <c r="H2506" s="135">
        <v>0</v>
      </c>
      <c r="I2506" s="119">
        <v>1490</v>
      </c>
      <c r="J2506" s="136">
        <f>Tabla3[[#This Row],[EGRESOS]]/Tabla3[[#This Row],[TC]]</f>
        <v>214.76510067114094</v>
      </c>
      <c r="K2506" s="136">
        <f>Tabla3[[#This Row],[INGRESOS]]/Tabla3[[#This Row],[TC]]</f>
        <v>0</v>
      </c>
      <c r="L2506" s="8" t="s">
        <v>1336</v>
      </c>
      <c r="M2506" s="8" t="s">
        <v>1336</v>
      </c>
      <c r="N2506" s="8" t="s">
        <v>1336</v>
      </c>
      <c r="O2506" s="7" t="s">
        <v>184</v>
      </c>
      <c r="P2506" s="7" t="s">
        <v>199</v>
      </c>
      <c r="Q2506" s="7" t="s">
        <v>200</v>
      </c>
      <c r="R2506" s="7"/>
      <c r="S2506" s="7" t="s">
        <v>736</v>
      </c>
      <c r="T2506" s="7"/>
      <c r="U2506" s="7" t="s">
        <v>390</v>
      </c>
      <c r="V2506" s="7"/>
      <c r="W2506" s="7" t="s">
        <v>475</v>
      </c>
      <c r="X2506" s="7" t="s">
        <v>99</v>
      </c>
      <c r="Y2506" s="7" t="s">
        <v>23</v>
      </c>
    </row>
    <row r="2507" spans="1:25" hidden="1" x14ac:dyDescent="0.25">
      <c r="A2507" s="247" t="str">
        <f t="shared" ref="A2507:A2513" si="11">"DICIEMBRE"</f>
        <v>DICIEMBRE</v>
      </c>
      <c r="B2507" s="248">
        <v>45999</v>
      </c>
      <c r="C2507" s="244" t="s">
        <v>1338</v>
      </c>
      <c r="D2507" s="244"/>
      <c r="E2507" s="249">
        <v>5900</v>
      </c>
      <c r="F2507" s="249">
        <v>0</v>
      </c>
      <c r="G2507" s="266">
        <f>Tabla3[[#This Row],[INGRESOS]]-Tabla3[[#This Row],[EGRESOS]]</f>
        <v>-5900</v>
      </c>
      <c r="H2507" s="135">
        <v>0</v>
      </c>
      <c r="I2507" s="119">
        <v>1490</v>
      </c>
      <c r="J2507" s="136">
        <f>Tabla3[[#This Row],[EGRESOS]]/Tabla3[[#This Row],[TC]]</f>
        <v>3.9597315436241609</v>
      </c>
      <c r="K2507" s="136">
        <f>Tabla3[[#This Row],[INGRESOS]]/Tabla3[[#This Row],[TC]]</f>
        <v>0</v>
      </c>
      <c r="L2507" s="8" t="s">
        <v>1336</v>
      </c>
      <c r="M2507" s="8" t="s">
        <v>1336</v>
      </c>
      <c r="N2507" s="8" t="s">
        <v>1336</v>
      </c>
      <c r="O2507" s="7" t="s">
        <v>225</v>
      </c>
      <c r="P2507" s="7" t="s">
        <v>236</v>
      </c>
      <c r="Q2507" s="7" t="s">
        <v>237</v>
      </c>
      <c r="R2507" s="7" t="s">
        <v>1374</v>
      </c>
      <c r="S2507" s="7" t="s">
        <v>572</v>
      </c>
      <c r="T2507" s="7"/>
      <c r="U2507" s="7" t="s">
        <v>403</v>
      </c>
      <c r="V2507" s="7"/>
      <c r="W2507" s="7" t="s">
        <v>380</v>
      </c>
      <c r="X2507" s="7" t="s">
        <v>29</v>
      </c>
      <c r="Y2507" s="7" t="s">
        <v>23</v>
      </c>
    </row>
    <row r="2508" spans="1:25" hidden="1" x14ac:dyDescent="0.25">
      <c r="A2508" s="247" t="str">
        <f t="shared" si="11"/>
        <v>DICIEMBRE</v>
      </c>
      <c r="B2508" s="248">
        <v>45999</v>
      </c>
      <c r="C2508" s="244" t="s">
        <v>1338</v>
      </c>
      <c r="D2508" s="244"/>
      <c r="E2508" s="249">
        <v>4800</v>
      </c>
      <c r="F2508" s="249">
        <v>0</v>
      </c>
      <c r="G2508" s="266">
        <f>Tabla3[[#This Row],[INGRESOS]]-Tabla3[[#This Row],[EGRESOS]]</f>
        <v>-4800</v>
      </c>
      <c r="H2508" s="135">
        <v>0</v>
      </c>
      <c r="I2508" s="119">
        <v>1490</v>
      </c>
      <c r="J2508" s="136">
        <f>Tabla3[[#This Row],[EGRESOS]]/Tabla3[[#This Row],[TC]]</f>
        <v>3.2214765100671139</v>
      </c>
      <c r="K2508" s="136">
        <f>Tabla3[[#This Row],[INGRESOS]]/Tabla3[[#This Row],[TC]]</f>
        <v>0</v>
      </c>
      <c r="L2508" s="8" t="s">
        <v>1336</v>
      </c>
      <c r="M2508" s="8" t="s">
        <v>1336</v>
      </c>
      <c r="N2508" s="8" t="s">
        <v>1336</v>
      </c>
      <c r="O2508" s="7" t="s">
        <v>184</v>
      </c>
      <c r="P2508" s="7" t="s">
        <v>199</v>
      </c>
      <c r="Q2508" s="7" t="s">
        <v>200</v>
      </c>
      <c r="R2508" s="7"/>
      <c r="S2508" s="7" t="s">
        <v>736</v>
      </c>
      <c r="T2508" s="7"/>
      <c r="U2508" s="7" t="s">
        <v>390</v>
      </c>
      <c r="V2508" s="7"/>
      <c r="W2508" s="7" t="s">
        <v>475</v>
      </c>
      <c r="X2508" s="7" t="s">
        <v>99</v>
      </c>
      <c r="Y2508" s="7" t="s">
        <v>23</v>
      </c>
    </row>
    <row r="2509" spans="1:25" hidden="1" x14ac:dyDescent="0.25">
      <c r="A2509" s="247" t="str">
        <f t="shared" si="11"/>
        <v>DICIEMBRE</v>
      </c>
      <c r="B2509" s="248">
        <v>46006</v>
      </c>
      <c r="C2509" s="244" t="s">
        <v>1338</v>
      </c>
      <c r="D2509" s="244"/>
      <c r="E2509" s="249">
        <v>20500</v>
      </c>
      <c r="F2509" s="249">
        <v>0</v>
      </c>
      <c r="G2509" s="266">
        <f>Tabla3[[#This Row],[INGRESOS]]-Tabla3[[#This Row],[EGRESOS]]</f>
        <v>-20500</v>
      </c>
      <c r="H2509" s="135">
        <v>0</v>
      </c>
      <c r="I2509" s="119">
        <v>1490</v>
      </c>
      <c r="J2509" s="136">
        <f>Tabla3[[#This Row],[EGRESOS]]/Tabla3[[#This Row],[TC]]</f>
        <v>13.758389261744966</v>
      </c>
      <c r="K2509" s="136">
        <f>Tabla3[[#This Row],[INGRESOS]]/Tabla3[[#This Row],[TC]]</f>
        <v>0</v>
      </c>
      <c r="L2509" s="8" t="s">
        <v>1336</v>
      </c>
      <c r="M2509" s="8" t="s">
        <v>1336</v>
      </c>
      <c r="N2509" s="8" t="s">
        <v>1336</v>
      </c>
      <c r="O2509" s="7" t="s">
        <v>184</v>
      </c>
      <c r="P2509" s="7" t="s">
        <v>199</v>
      </c>
      <c r="Q2509" s="7" t="s">
        <v>201</v>
      </c>
      <c r="R2509" s="7" t="s">
        <v>506</v>
      </c>
      <c r="S2509" s="7" t="s">
        <v>389</v>
      </c>
      <c r="T2509" s="7"/>
      <c r="U2509" s="7" t="s">
        <v>390</v>
      </c>
      <c r="V2509" s="7"/>
      <c r="W2509" s="7" t="s">
        <v>475</v>
      </c>
      <c r="X2509" s="7" t="s">
        <v>99</v>
      </c>
      <c r="Y2509" s="7" t="s">
        <v>23</v>
      </c>
    </row>
    <row r="2510" spans="1:25" hidden="1" x14ac:dyDescent="0.25">
      <c r="A2510" s="247" t="str">
        <f t="shared" si="11"/>
        <v>DICIEMBRE</v>
      </c>
      <c r="B2510" s="248">
        <v>46006</v>
      </c>
      <c r="C2510" s="244" t="s">
        <v>1338</v>
      </c>
      <c r="D2510" s="244"/>
      <c r="E2510" s="249">
        <v>180000</v>
      </c>
      <c r="F2510" s="249">
        <v>0</v>
      </c>
      <c r="G2510" s="266">
        <f>Tabla3[[#This Row],[INGRESOS]]-Tabla3[[#This Row],[EGRESOS]]</f>
        <v>-180000</v>
      </c>
      <c r="H2510" s="135">
        <v>0</v>
      </c>
      <c r="I2510" s="119">
        <v>1490</v>
      </c>
      <c r="J2510" s="136">
        <f>Tabla3[[#This Row],[EGRESOS]]/Tabla3[[#This Row],[TC]]</f>
        <v>120.80536912751678</v>
      </c>
      <c r="K2510" s="136">
        <f>Tabla3[[#This Row],[INGRESOS]]/Tabla3[[#This Row],[TC]]</f>
        <v>0</v>
      </c>
      <c r="L2510" s="8" t="s">
        <v>1336</v>
      </c>
      <c r="M2510" s="8" t="s">
        <v>1336</v>
      </c>
      <c r="N2510" s="8" t="s">
        <v>1336</v>
      </c>
      <c r="O2510" s="7" t="s">
        <v>184</v>
      </c>
      <c r="P2510" s="7" t="s">
        <v>199</v>
      </c>
      <c r="Q2510" s="7" t="s">
        <v>200</v>
      </c>
      <c r="R2510" s="7"/>
      <c r="S2510" s="7" t="s">
        <v>736</v>
      </c>
      <c r="T2510" s="7"/>
      <c r="U2510" s="7" t="s">
        <v>390</v>
      </c>
      <c r="V2510" s="7"/>
      <c r="W2510" s="7" t="s">
        <v>475</v>
      </c>
      <c r="X2510" s="7" t="s">
        <v>99</v>
      </c>
      <c r="Y2510" s="7" t="s">
        <v>23</v>
      </c>
    </row>
    <row r="2511" spans="1:25" hidden="1" x14ac:dyDescent="0.25">
      <c r="A2511" s="247" t="str">
        <f t="shared" si="11"/>
        <v>DICIEMBRE</v>
      </c>
      <c r="B2511" s="248">
        <v>46006</v>
      </c>
      <c r="C2511" s="244" t="s">
        <v>1338</v>
      </c>
      <c r="D2511" s="244"/>
      <c r="E2511" s="249">
        <v>12000</v>
      </c>
      <c r="F2511" s="249">
        <v>0</v>
      </c>
      <c r="G2511" s="266">
        <f>Tabla3[[#This Row],[INGRESOS]]-Tabla3[[#This Row],[EGRESOS]]</f>
        <v>-12000</v>
      </c>
      <c r="H2511" s="135">
        <v>0</v>
      </c>
      <c r="I2511" s="119">
        <v>1490</v>
      </c>
      <c r="J2511" s="136">
        <f>Tabla3[[#This Row],[EGRESOS]]/Tabla3[[#This Row],[TC]]</f>
        <v>8.053691275167786</v>
      </c>
      <c r="K2511" s="136">
        <f>Tabla3[[#This Row],[INGRESOS]]/Tabla3[[#This Row],[TC]]</f>
        <v>0</v>
      </c>
      <c r="L2511" s="8" t="s">
        <v>1336</v>
      </c>
      <c r="M2511" s="8" t="s">
        <v>1336</v>
      </c>
      <c r="N2511" s="8" t="s">
        <v>1336</v>
      </c>
      <c r="O2511" s="7" t="s">
        <v>184</v>
      </c>
      <c r="P2511" s="7" t="s">
        <v>199</v>
      </c>
      <c r="Q2511" s="7" t="s">
        <v>201</v>
      </c>
      <c r="R2511" s="7" t="s">
        <v>745</v>
      </c>
      <c r="S2511" s="7" t="s">
        <v>389</v>
      </c>
      <c r="T2511" s="7"/>
      <c r="U2511" s="7" t="s">
        <v>390</v>
      </c>
      <c r="V2511" s="7"/>
      <c r="W2511" s="7" t="s">
        <v>475</v>
      </c>
      <c r="X2511" s="7" t="s">
        <v>99</v>
      </c>
      <c r="Y2511" s="7" t="s">
        <v>23</v>
      </c>
    </row>
    <row r="2512" spans="1:25" hidden="1" x14ac:dyDescent="0.25">
      <c r="A2512" s="247" t="str">
        <f t="shared" si="11"/>
        <v>DICIEMBRE</v>
      </c>
      <c r="B2512" s="248">
        <v>46006</v>
      </c>
      <c r="C2512" s="244" t="s">
        <v>1338</v>
      </c>
      <c r="D2512" s="244"/>
      <c r="E2512" s="249">
        <v>132500</v>
      </c>
      <c r="F2512" s="249">
        <v>0</v>
      </c>
      <c r="G2512" s="266">
        <f>Tabla3[[#This Row],[INGRESOS]]-Tabla3[[#This Row],[EGRESOS]]</f>
        <v>-132500</v>
      </c>
      <c r="H2512" s="135">
        <v>0</v>
      </c>
      <c r="I2512" s="119">
        <v>1490</v>
      </c>
      <c r="J2512" s="136">
        <f>Tabla3[[#This Row],[EGRESOS]]/Tabla3[[#This Row],[TC]]</f>
        <v>88.926174496644293</v>
      </c>
      <c r="K2512" s="136">
        <f>Tabla3[[#This Row],[INGRESOS]]/Tabla3[[#This Row],[TC]]</f>
        <v>0</v>
      </c>
      <c r="L2512" s="8" t="s">
        <v>1336</v>
      </c>
      <c r="M2512" s="8" t="s">
        <v>1336</v>
      </c>
      <c r="N2512" s="8" t="s">
        <v>1336</v>
      </c>
      <c r="O2512" s="7" t="s">
        <v>225</v>
      </c>
      <c r="P2512" s="7" t="s">
        <v>236</v>
      </c>
      <c r="Q2512" s="7" t="s">
        <v>214</v>
      </c>
      <c r="R2512" s="7"/>
      <c r="S2512" s="7" t="s">
        <v>522</v>
      </c>
      <c r="T2512" s="7"/>
      <c r="U2512" s="7" t="s">
        <v>412</v>
      </c>
      <c r="V2512" s="7"/>
      <c r="W2512" s="7" t="s">
        <v>380</v>
      </c>
      <c r="X2512" s="7" t="s">
        <v>29</v>
      </c>
      <c r="Y2512" s="7" t="s">
        <v>23</v>
      </c>
    </row>
    <row r="2513" spans="1:25" hidden="1" x14ac:dyDescent="0.25">
      <c r="A2513" s="247" t="str">
        <f t="shared" si="11"/>
        <v>DICIEMBRE</v>
      </c>
      <c r="B2513" s="248">
        <v>46020</v>
      </c>
      <c r="C2513" s="244" t="s">
        <v>1338</v>
      </c>
      <c r="D2513" s="244"/>
      <c r="E2513" s="249">
        <v>180000</v>
      </c>
      <c r="F2513" s="249">
        <v>0</v>
      </c>
      <c r="G2513" s="266">
        <f>Tabla3[[#This Row],[INGRESOS]]-Tabla3[[#This Row],[EGRESOS]]</f>
        <v>-180000</v>
      </c>
      <c r="H2513" s="135">
        <v>0</v>
      </c>
      <c r="I2513" s="119">
        <v>1490</v>
      </c>
      <c r="J2513" s="136">
        <f>Tabla3[[#This Row],[EGRESOS]]/Tabla3[[#This Row],[TC]]</f>
        <v>120.80536912751678</v>
      </c>
      <c r="K2513" s="136">
        <f>Tabla3[[#This Row],[INGRESOS]]/Tabla3[[#This Row],[TC]]</f>
        <v>0</v>
      </c>
      <c r="L2513" s="8" t="s">
        <v>1336</v>
      </c>
      <c r="M2513" s="8" t="s">
        <v>1336</v>
      </c>
      <c r="N2513" s="8" t="s">
        <v>1336</v>
      </c>
      <c r="O2513" s="7" t="s">
        <v>184</v>
      </c>
      <c r="P2513" s="7" t="s">
        <v>199</v>
      </c>
      <c r="Q2513" s="7" t="s">
        <v>200</v>
      </c>
      <c r="R2513" s="7"/>
      <c r="S2513" s="7" t="s">
        <v>736</v>
      </c>
      <c r="T2513" s="7"/>
      <c r="U2513" s="7" t="s">
        <v>390</v>
      </c>
      <c r="V2513" s="7"/>
      <c r="W2513" s="7" t="s">
        <v>475</v>
      </c>
      <c r="X2513" s="7" t="s">
        <v>99</v>
      </c>
      <c r="Y2513" s="7" t="s">
        <v>23</v>
      </c>
    </row>
  </sheetData>
  <phoneticPr fontId="18" type="noConversion"/>
  <pageMargins left="0.25" right="0.25" top="0.75" bottom="0.75" header="0.3" footer="0.3"/>
  <pageSetup paperSize="5" orientation="landscape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22882-3F4F-4995-971B-907230BC5A32}">
  <sheetPr codeName="Hoja4">
    <tabColor theme="0" tint="-0.14999847407452621"/>
  </sheetPr>
  <dimension ref="A1:T183"/>
  <sheetViews>
    <sheetView workbookViewId="0">
      <selection activeCell="G11" sqref="G11"/>
    </sheetView>
  </sheetViews>
  <sheetFormatPr baseColWidth="10" defaultColWidth="11.42578125" defaultRowHeight="15" x14ac:dyDescent="0.25"/>
  <cols>
    <col min="1" max="1" width="1.140625" customWidth="1"/>
    <col min="2" max="2" width="37.5703125" bestFit="1" customWidth="1"/>
    <col min="3" max="3" width="22.42578125" bestFit="1" customWidth="1"/>
    <col min="4" max="4" width="16.7109375" bestFit="1" customWidth="1"/>
    <col min="5" max="5" width="15.5703125" bestFit="1" customWidth="1"/>
    <col min="6" max="6" width="18.28515625" bestFit="1" customWidth="1"/>
    <col min="7" max="7" width="14.5703125" bestFit="1" customWidth="1"/>
    <col min="8" max="8" width="16.7109375" bestFit="1" customWidth="1"/>
    <col min="9" max="11" width="18.28515625" bestFit="1" customWidth="1"/>
    <col min="12" max="12" width="37.5703125" bestFit="1" customWidth="1"/>
    <col min="13" max="13" width="22.42578125" bestFit="1" customWidth="1"/>
    <col min="14" max="14" width="16.7109375" bestFit="1" customWidth="1"/>
    <col min="15" max="15" width="12.5703125" bestFit="1" customWidth="1"/>
    <col min="16" max="16" width="18.28515625" bestFit="1" customWidth="1"/>
    <col min="17" max="17" width="7" bestFit="1" customWidth="1"/>
    <col min="18" max="18" width="16.7109375" bestFit="1" customWidth="1"/>
    <col min="19" max="21" width="18.28515625" bestFit="1" customWidth="1"/>
  </cols>
  <sheetData>
    <row r="1" spans="1:20" ht="18.75" x14ac:dyDescent="0.3">
      <c r="A1" s="7"/>
      <c r="B1" s="203" t="s">
        <v>1375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x14ac:dyDescent="0.25">
      <c r="A2" s="7"/>
      <c r="B2" s="280" t="s">
        <v>1376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x14ac:dyDescent="0.25">
      <c r="A3" s="7"/>
      <c r="B3" s="277" t="s">
        <v>180</v>
      </c>
      <c r="C3" s="204" t="s">
        <v>1377</v>
      </c>
      <c r="D3" s="205"/>
      <c r="E3" s="205"/>
      <c r="F3" s="205"/>
      <c r="G3" s="205"/>
      <c r="H3" s="205"/>
      <c r="I3" s="206"/>
      <c r="L3" s="276" t="s">
        <v>181</v>
      </c>
      <c r="M3" s="204" t="s">
        <v>1377</v>
      </c>
      <c r="N3" s="205"/>
      <c r="O3" s="205"/>
      <c r="P3" s="205"/>
      <c r="Q3" s="205"/>
      <c r="R3" s="205"/>
      <c r="S3" s="206"/>
    </row>
    <row r="4" spans="1:20" x14ac:dyDescent="0.25">
      <c r="A4" s="7"/>
      <c r="B4" s="204" t="s">
        <v>179</v>
      </c>
      <c r="C4" s="207" t="s">
        <v>184</v>
      </c>
      <c r="D4" s="208" t="s">
        <v>215</v>
      </c>
      <c r="E4" s="208" t="s">
        <v>225</v>
      </c>
      <c r="F4" s="208" t="s">
        <v>244</v>
      </c>
      <c r="G4" s="208" t="s">
        <v>276</v>
      </c>
      <c r="H4" s="208" t="s">
        <v>286</v>
      </c>
      <c r="I4" s="209" t="s">
        <v>308</v>
      </c>
      <c r="L4" s="204" t="s">
        <v>179</v>
      </c>
      <c r="M4" s="207" t="s">
        <v>184</v>
      </c>
      <c r="N4" s="208" t="s">
        <v>215</v>
      </c>
      <c r="O4" s="208" t="s">
        <v>225</v>
      </c>
      <c r="P4" s="208" t="s">
        <v>244</v>
      </c>
      <c r="Q4" s="208" t="s">
        <v>276</v>
      </c>
      <c r="R4" s="208" t="s">
        <v>286</v>
      </c>
      <c r="S4" s="209" t="s">
        <v>308</v>
      </c>
    </row>
    <row r="5" spans="1:20" x14ac:dyDescent="0.25">
      <c r="A5" s="7"/>
      <c r="B5" s="210" t="s">
        <v>311</v>
      </c>
      <c r="C5" s="333">
        <v>6844352.8899999987</v>
      </c>
      <c r="D5" s="334">
        <v>11324992</v>
      </c>
      <c r="E5" s="334">
        <v>6372037.5099999998</v>
      </c>
      <c r="F5" s="334">
        <v>24340191.109999999</v>
      </c>
      <c r="G5" s="334">
        <v>143000</v>
      </c>
      <c r="H5" s="334">
        <v>1436637</v>
      </c>
      <c r="I5" s="213">
        <v>50461210.509999998</v>
      </c>
      <c r="L5" s="210" t="s">
        <v>311</v>
      </c>
      <c r="M5" s="211">
        <v>0</v>
      </c>
      <c r="N5" s="212">
        <v>0</v>
      </c>
      <c r="O5" s="212">
        <v>0</v>
      </c>
      <c r="P5" s="212">
        <v>48272759.469999999</v>
      </c>
      <c r="Q5" s="212">
        <v>0</v>
      </c>
      <c r="R5" s="212">
        <v>0</v>
      </c>
      <c r="S5" s="213">
        <v>48272759.469999999</v>
      </c>
    </row>
    <row r="6" spans="1:20" x14ac:dyDescent="0.25">
      <c r="A6" s="7"/>
      <c r="B6" s="352" t="s">
        <v>398</v>
      </c>
      <c r="C6" s="215"/>
      <c r="D6" s="216">
        <v>3724992</v>
      </c>
      <c r="E6" s="216">
        <v>3795142.17</v>
      </c>
      <c r="F6" s="216"/>
      <c r="G6" s="216"/>
      <c r="H6" s="216">
        <v>1436637</v>
      </c>
      <c r="I6" s="417">
        <v>8956771.1699999999</v>
      </c>
      <c r="L6" s="352" t="s">
        <v>398</v>
      </c>
      <c r="M6" s="215"/>
      <c r="N6" s="216">
        <v>0</v>
      </c>
      <c r="O6" s="216">
        <v>0</v>
      </c>
      <c r="P6" s="216"/>
      <c r="Q6" s="216"/>
      <c r="R6" s="216">
        <v>0</v>
      </c>
      <c r="S6" s="217">
        <v>0</v>
      </c>
    </row>
    <row r="7" spans="1:20" x14ac:dyDescent="0.25">
      <c r="A7" s="7"/>
      <c r="B7" s="352" t="s">
        <v>412</v>
      </c>
      <c r="C7" s="215"/>
      <c r="D7" s="216"/>
      <c r="E7" s="216">
        <v>1044395.34</v>
      </c>
      <c r="F7" s="216"/>
      <c r="G7" s="216"/>
      <c r="H7" s="216"/>
      <c r="I7" s="417">
        <v>1044395.34</v>
      </c>
      <c r="L7" s="352" t="s">
        <v>412</v>
      </c>
      <c r="M7" s="215"/>
      <c r="N7" s="216"/>
      <c r="O7" s="216">
        <v>0</v>
      </c>
      <c r="P7" s="216"/>
      <c r="Q7" s="216"/>
      <c r="R7" s="216"/>
      <c r="S7" s="217">
        <v>0</v>
      </c>
    </row>
    <row r="8" spans="1:20" x14ac:dyDescent="0.25">
      <c r="A8" s="7"/>
      <c r="B8" s="352" t="s">
        <v>429</v>
      </c>
      <c r="C8" s="215"/>
      <c r="D8" s="216">
        <v>500000</v>
      </c>
      <c r="E8" s="216">
        <v>532500</v>
      </c>
      <c r="F8" s="216"/>
      <c r="G8" s="216"/>
      <c r="H8" s="216"/>
      <c r="I8" s="217">
        <v>1032500</v>
      </c>
      <c r="L8" s="352" t="s">
        <v>429</v>
      </c>
      <c r="M8" s="215"/>
      <c r="N8" s="216">
        <v>0</v>
      </c>
      <c r="O8" s="216">
        <v>0</v>
      </c>
      <c r="P8" s="216"/>
      <c r="Q8" s="216"/>
      <c r="R8" s="216"/>
      <c r="S8" s="217">
        <v>0</v>
      </c>
    </row>
    <row r="9" spans="1:20" x14ac:dyDescent="0.25">
      <c r="A9" s="7"/>
      <c r="B9" s="352" t="s">
        <v>403</v>
      </c>
      <c r="C9" s="215"/>
      <c r="D9" s="216">
        <v>7100000</v>
      </c>
      <c r="E9" s="216">
        <v>1000000</v>
      </c>
      <c r="F9" s="216"/>
      <c r="G9" s="216"/>
      <c r="H9" s="216"/>
      <c r="I9" s="417">
        <v>8100000</v>
      </c>
      <c r="L9" s="352" t="s">
        <v>403</v>
      </c>
      <c r="M9" s="215"/>
      <c r="N9" s="216">
        <v>0</v>
      </c>
      <c r="O9" s="216">
        <v>0</v>
      </c>
      <c r="P9" s="216"/>
      <c r="Q9" s="216"/>
      <c r="R9" s="216"/>
      <c r="S9" s="217">
        <v>0</v>
      </c>
    </row>
    <row r="10" spans="1:20" x14ac:dyDescent="0.25">
      <c r="A10" s="7"/>
      <c r="B10" s="352" t="s">
        <v>384</v>
      </c>
      <c r="C10" s="215">
        <v>1066493.4699999997</v>
      </c>
      <c r="D10" s="216"/>
      <c r="E10" s="216"/>
      <c r="F10" s="216"/>
      <c r="G10" s="216">
        <v>143000</v>
      </c>
      <c r="H10" s="216"/>
      <c r="I10" s="417">
        <v>1209493.4699999997</v>
      </c>
      <c r="L10" s="352" t="s">
        <v>384</v>
      </c>
      <c r="M10" s="215">
        <v>0</v>
      </c>
      <c r="N10" s="216"/>
      <c r="O10" s="216"/>
      <c r="P10" s="216"/>
      <c r="Q10" s="216">
        <v>0</v>
      </c>
      <c r="R10" s="216"/>
      <c r="S10" s="217">
        <v>0</v>
      </c>
    </row>
    <row r="11" spans="1:20" x14ac:dyDescent="0.25">
      <c r="A11" s="7"/>
      <c r="B11" s="352" t="s">
        <v>379</v>
      </c>
      <c r="C11" s="215"/>
      <c r="D11" s="216"/>
      <c r="E11" s="216"/>
      <c r="F11" s="216">
        <v>22509829.469999999</v>
      </c>
      <c r="G11" s="216"/>
      <c r="H11" s="216"/>
      <c r="I11" s="417">
        <v>22509829.469999999</v>
      </c>
      <c r="L11" s="352" t="s">
        <v>379</v>
      </c>
      <c r="M11" s="215"/>
      <c r="N11" s="216"/>
      <c r="O11" s="216"/>
      <c r="P11" s="216">
        <v>22509829.469999999</v>
      </c>
      <c r="Q11" s="216"/>
      <c r="R11" s="216"/>
      <c r="S11" s="217">
        <v>22509829.469999999</v>
      </c>
    </row>
    <row r="12" spans="1:20" x14ac:dyDescent="0.25">
      <c r="A12" s="7"/>
      <c r="B12" s="352" t="s">
        <v>495</v>
      </c>
      <c r="C12" s="215"/>
      <c r="D12" s="216"/>
      <c r="E12" s="216"/>
      <c r="F12" s="216">
        <v>1830361.64</v>
      </c>
      <c r="G12" s="216"/>
      <c r="H12" s="216"/>
      <c r="I12" s="217">
        <v>1830361.64</v>
      </c>
      <c r="L12" s="352" t="s">
        <v>495</v>
      </c>
      <c r="M12" s="215"/>
      <c r="N12" s="216"/>
      <c r="O12" s="216"/>
      <c r="P12" s="216">
        <v>0</v>
      </c>
      <c r="Q12" s="216"/>
      <c r="R12" s="216"/>
      <c r="S12" s="217">
        <v>0</v>
      </c>
    </row>
    <row r="13" spans="1:20" x14ac:dyDescent="0.25">
      <c r="A13" s="7"/>
      <c r="B13" s="352" t="s">
        <v>442</v>
      </c>
      <c r="C13" s="215"/>
      <c r="D13" s="216"/>
      <c r="E13" s="216"/>
      <c r="F13" s="216">
        <v>0</v>
      </c>
      <c r="G13" s="216"/>
      <c r="H13" s="216"/>
      <c r="I13" s="417">
        <v>0</v>
      </c>
      <c r="L13" s="352" t="s">
        <v>442</v>
      </c>
      <c r="M13" s="215"/>
      <c r="N13" s="216"/>
      <c r="O13" s="216"/>
      <c r="P13" s="216">
        <v>25762930</v>
      </c>
      <c r="Q13" s="216"/>
      <c r="R13" s="216"/>
      <c r="S13" s="217">
        <v>25762930</v>
      </c>
    </row>
    <row r="14" spans="1:20" x14ac:dyDescent="0.25">
      <c r="A14" s="7"/>
      <c r="B14" s="352" t="s">
        <v>825</v>
      </c>
      <c r="C14" s="215">
        <v>1173709</v>
      </c>
      <c r="D14" s="216"/>
      <c r="E14" s="216"/>
      <c r="F14" s="216"/>
      <c r="G14" s="216"/>
      <c r="H14" s="216"/>
      <c r="I14" s="217">
        <v>1173709</v>
      </c>
      <c r="L14" s="352" t="s">
        <v>825</v>
      </c>
      <c r="M14" s="215">
        <v>0</v>
      </c>
      <c r="N14" s="216"/>
      <c r="O14" s="216"/>
      <c r="P14" s="216"/>
      <c r="Q14" s="216"/>
      <c r="R14" s="216"/>
      <c r="S14" s="217">
        <v>0</v>
      </c>
    </row>
    <row r="15" spans="1:20" x14ac:dyDescent="0.25">
      <c r="A15" s="7"/>
      <c r="B15" s="352" t="s">
        <v>390</v>
      </c>
      <c r="C15" s="215">
        <v>2571472.0699999998</v>
      </c>
      <c r="D15" s="216"/>
      <c r="E15" s="216"/>
      <c r="F15" s="216"/>
      <c r="G15" s="216"/>
      <c r="H15" s="216"/>
      <c r="I15" s="417">
        <v>2571472.0699999998</v>
      </c>
      <c r="L15" s="352" t="s">
        <v>390</v>
      </c>
      <c r="M15" s="215">
        <v>0</v>
      </c>
      <c r="N15" s="216"/>
      <c r="O15" s="216"/>
      <c r="P15" s="216"/>
      <c r="Q15" s="216"/>
      <c r="R15" s="216"/>
      <c r="S15" s="217">
        <v>0</v>
      </c>
    </row>
    <row r="16" spans="1:20" x14ac:dyDescent="0.25">
      <c r="A16" s="7"/>
      <c r="B16" s="352" t="s">
        <v>387</v>
      </c>
      <c r="C16" s="215">
        <v>2032678.35</v>
      </c>
      <c r="D16" s="216"/>
      <c r="E16" s="216"/>
      <c r="F16" s="216"/>
      <c r="G16" s="216"/>
      <c r="H16" s="216"/>
      <c r="I16" s="417">
        <v>2032678.35</v>
      </c>
      <c r="L16" s="352" t="s">
        <v>387</v>
      </c>
      <c r="M16" s="215">
        <v>0</v>
      </c>
      <c r="N16" s="216"/>
      <c r="O16" s="216"/>
      <c r="P16" s="216"/>
      <c r="Q16" s="216"/>
      <c r="R16" s="216"/>
      <c r="S16" s="217">
        <v>0</v>
      </c>
    </row>
    <row r="17" spans="1:19" x14ac:dyDescent="0.25">
      <c r="A17" s="7"/>
      <c r="B17" s="214" t="s">
        <v>312</v>
      </c>
      <c r="C17" s="349">
        <v>7337439.2400000002</v>
      </c>
      <c r="D17" s="350">
        <v>2479963.27</v>
      </c>
      <c r="E17" s="350">
        <v>4177022.92</v>
      </c>
      <c r="F17" s="350">
        <v>8318189.29</v>
      </c>
      <c r="G17" s="350">
        <v>30000</v>
      </c>
      <c r="H17" s="350">
        <v>2697602.64</v>
      </c>
      <c r="I17" s="217">
        <v>25040217.359999999</v>
      </c>
      <c r="L17" s="214" t="s">
        <v>312</v>
      </c>
      <c r="M17" s="215">
        <v>0</v>
      </c>
      <c r="N17" s="216">
        <v>607040</v>
      </c>
      <c r="O17" s="216">
        <v>0</v>
      </c>
      <c r="P17" s="216">
        <v>8025889.29</v>
      </c>
      <c r="Q17" s="216">
        <v>0</v>
      </c>
      <c r="R17" s="216">
        <v>0</v>
      </c>
      <c r="S17" s="217">
        <v>8632929.2899999991</v>
      </c>
    </row>
    <row r="18" spans="1:19" x14ac:dyDescent="0.25">
      <c r="A18" s="7"/>
      <c r="B18" s="352" t="s">
        <v>412</v>
      </c>
      <c r="C18" s="215">
        <v>381312</v>
      </c>
      <c r="D18" s="216">
        <v>1766963.27</v>
      </c>
      <c r="E18" s="216">
        <v>2405022.92</v>
      </c>
      <c r="F18" s="216"/>
      <c r="G18" s="216"/>
      <c r="H18" s="216">
        <v>2697602.64</v>
      </c>
      <c r="I18" s="417">
        <v>7250900.8300000001</v>
      </c>
      <c r="L18" s="352" t="s">
        <v>412</v>
      </c>
      <c r="M18" s="215">
        <v>0</v>
      </c>
      <c r="N18" s="216">
        <v>0</v>
      </c>
      <c r="O18" s="216">
        <v>0</v>
      </c>
      <c r="P18" s="216"/>
      <c r="Q18" s="216"/>
      <c r="R18" s="216">
        <v>0</v>
      </c>
      <c r="S18" s="217">
        <v>0</v>
      </c>
    </row>
    <row r="19" spans="1:19" x14ac:dyDescent="0.25">
      <c r="A19" s="7"/>
      <c r="B19" s="352" t="s">
        <v>429</v>
      </c>
      <c r="C19" s="215"/>
      <c r="D19" s="216"/>
      <c r="E19" s="216">
        <v>182000</v>
      </c>
      <c r="F19" s="216"/>
      <c r="G19" s="216"/>
      <c r="H19" s="216"/>
      <c r="I19" s="217">
        <v>182000</v>
      </c>
      <c r="L19" s="352" t="s">
        <v>429</v>
      </c>
      <c r="M19" s="215"/>
      <c r="N19" s="216"/>
      <c r="O19" s="216">
        <v>0</v>
      </c>
      <c r="P19" s="216"/>
      <c r="Q19" s="216"/>
      <c r="R19" s="216"/>
      <c r="S19" s="217">
        <v>0</v>
      </c>
    </row>
    <row r="20" spans="1:19" x14ac:dyDescent="0.25">
      <c r="A20" s="7"/>
      <c r="B20" s="352" t="s">
        <v>403</v>
      </c>
      <c r="C20" s="215"/>
      <c r="D20" s="216">
        <v>713000</v>
      </c>
      <c r="E20" s="216">
        <v>1590000</v>
      </c>
      <c r="F20" s="216">
        <v>292300</v>
      </c>
      <c r="G20" s="216"/>
      <c r="H20" s="216"/>
      <c r="I20" s="417">
        <v>2595300</v>
      </c>
      <c r="L20" s="352" t="s">
        <v>403</v>
      </c>
      <c r="M20" s="215"/>
      <c r="N20" s="216">
        <v>0</v>
      </c>
      <c r="O20" s="216">
        <v>0</v>
      </c>
      <c r="P20" s="216">
        <v>0</v>
      </c>
      <c r="Q20" s="216"/>
      <c r="R20" s="216"/>
      <c r="S20" s="217">
        <v>0</v>
      </c>
    </row>
    <row r="21" spans="1:19" x14ac:dyDescent="0.25">
      <c r="A21" s="7"/>
      <c r="B21" s="352" t="s">
        <v>384</v>
      </c>
      <c r="C21" s="215">
        <v>932614.06000000017</v>
      </c>
      <c r="D21" s="216"/>
      <c r="E21" s="216"/>
      <c r="F21" s="216"/>
      <c r="G21" s="216">
        <v>30000</v>
      </c>
      <c r="H21" s="216"/>
      <c r="I21" s="417">
        <v>962614.06000000017</v>
      </c>
      <c r="L21" s="352" t="s">
        <v>384</v>
      </c>
      <c r="M21" s="215">
        <v>0</v>
      </c>
      <c r="N21" s="216"/>
      <c r="O21" s="216"/>
      <c r="P21" s="216"/>
      <c r="Q21" s="216">
        <v>0</v>
      </c>
      <c r="R21" s="216"/>
      <c r="S21" s="217">
        <v>0</v>
      </c>
    </row>
    <row r="22" spans="1:19" x14ac:dyDescent="0.25">
      <c r="A22" s="7"/>
      <c r="B22" s="352" t="s">
        <v>379</v>
      </c>
      <c r="C22" s="215"/>
      <c r="D22" s="216"/>
      <c r="E22" s="216"/>
      <c r="F22" s="216">
        <v>8025889.29</v>
      </c>
      <c r="G22" s="216"/>
      <c r="H22" s="216"/>
      <c r="I22" s="417">
        <v>8025889.29</v>
      </c>
      <c r="L22" s="352" t="s">
        <v>379</v>
      </c>
      <c r="M22" s="215"/>
      <c r="N22" s="216"/>
      <c r="O22" s="216"/>
      <c r="P22" s="216">
        <v>8025889.29</v>
      </c>
      <c r="Q22" s="216"/>
      <c r="R22" s="216"/>
      <c r="S22" s="217">
        <v>8025889.29</v>
      </c>
    </row>
    <row r="23" spans="1:19" x14ac:dyDescent="0.25">
      <c r="A23" s="7"/>
      <c r="B23" s="352" t="s">
        <v>825</v>
      </c>
      <c r="C23" s="215">
        <v>1173708.99</v>
      </c>
      <c r="D23" s="216"/>
      <c r="E23" s="216"/>
      <c r="F23" s="216"/>
      <c r="G23" s="216"/>
      <c r="H23" s="216"/>
      <c r="I23" s="217">
        <v>1173708.99</v>
      </c>
      <c r="L23" s="352" t="s">
        <v>825</v>
      </c>
      <c r="M23" s="215">
        <v>0</v>
      </c>
      <c r="N23" s="216"/>
      <c r="O23" s="216"/>
      <c r="P23" s="216"/>
      <c r="Q23" s="216"/>
      <c r="R23" s="216"/>
      <c r="S23" s="217">
        <v>0</v>
      </c>
    </row>
    <row r="24" spans="1:19" x14ac:dyDescent="0.25">
      <c r="A24" s="7"/>
      <c r="B24" s="352" t="s">
        <v>390</v>
      </c>
      <c r="C24" s="215">
        <v>2487804.19</v>
      </c>
      <c r="D24" s="216"/>
      <c r="E24" s="216"/>
      <c r="F24" s="216"/>
      <c r="G24" s="216"/>
      <c r="H24" s="216"/>
      <c r="I24" s="417">
        <v>2487804.19</v>
      </c>
      <c r="L24" s="352" t="s">
        <v>390</v>
      </c>
      <c r="M24" s="215">
        <v>0</v>
      </c>
      <c r="N24" s="216"/>
      <c r="O24" s="216"/>
      <c r="P24" s="216"/>
      <c r="Q24" s="216"/>
      <c r="R24" s="216"/>
      <c r="S24" s="217">
        <v>0</v>
      </c>
    </row>
    <row r="25" spans="1:19" x14ac:dyDescent="0.25">
      <c r="A25" s="7"/>
      <c r="B25" s="352" t="s">
        <v>530</v>
      </c>
      <c r="C25" s="215">
        <v>362000</v>
      </c>
      <c r="D25" s="216"/>
      <c r="E25" s="216"/>
      <c r="F25" s="216"/>
      <c r="G25" s="216"/>
      <c r="H25" s="216"/>
      <c r="I25" s="417">
        <v>362000</v>
      </c>
      <c r="L25" s="352" t="s">
        <v>530</v>
      </c>
      <c r="M25" s="215">
        <v>0</v>
      </c>
      <c r="N25" s="216"/>
      <c r="O25" s="216"/>
      <c r="P25" s="216"/>
      <c r="Q25" s="216"/>
      <c r="R25" s="216"/>
      <c r="S25" s="217">
        <v>0</v>
      </c>
    </row>
    <row r="26" spans="1:19" x14ac:dyDescent="0.25">
      <c r="A26" s="7"/>
      <c r="B26" s="352" t="s">
        <v>511</v>
      </c>
      <c r="C26" s="215">
        <v>1000000</v>
      </c>
      <c r="D26" s="216"/>
      <c r="E26" s="216"/>
      <c r="F26" s="216"/>
      <c r="G26" s="216"/>
      <c r="H26" s="216"/>
      <c r="I26" s="217">
        <v>1000000</v>
      </c>
      <c r="L26" s="352" t="s">
        <v>511</v>
      </c>
      <c r="M26" s="215">
        <v>0</v>
      </c>
      <c r="N26" s="216"/>
      <c r="O26" s="216"/>
      <c r="P26" s="216"/>
      <c r="Q26" s="216"/>
      <c r="R26" s="216"/>
      <c r="S26" s="217">
        <v>0</v>
      </c>
    </row>
    <row r="27" spans="1:19" x14ac:dyDescent="0.25">
      <c r="A27" s="7"/>
      <c r="B27" s="352" t="s">
        <v>516</v>
      </c>
      <c r="C27" s="215"/>
      <c r="D27" s="216">
        <v>0</v>
      </c>
      <c r="E27" s="216"/>
      <c r="F27" s="216"/>
      <c r="G27" s="216"/>
      <c r="H27" s="216"/>
      <c r="I27" s="417">
        <v>0</v>
      </c>
      <c r="L27" s="352" t="s">
        <v>516</v>
      </c>
      <c r="M27" s="215"/>
      <c r="N27" s="216">
        <v>607040</v>
      </c>
      <c r="O27" s="216"/>
      <c r="P27" s="216"/>
      <c r="Q27" s="216"/>
      <c r="R27" s="216"/>
      <c r="S27" s="217">
        <v>607040</v>
      </c>
    </row>
    <row r="28" spans="1:19" x14ac:dyDescent="0.25">
      <c r="A28" s="7"/>
      <c r="B28" s="352" t="s">
        <v>387</v>
      </c>
      <c r="C28" s="215">
        <v>1000000</v>
      </c>
      <c r="D28" s="216"/>
      <c r="E28" s="216"/>
      <c r="F28" s="216"/>
      <c r="G28" s="216"/>
      <c r="H28" s="216"/>
      <c r="I28" s="417">
        <v>1000000</v>
      </c>
      <c r="L28" s="352" t="s">
        <v>387</v>
      </c>
      <c r="M28" s="215">
        <v>0</v>
      </c>
      <c r="N28" s="216"/>
      <c r="O28" s="216"/>
      <c r="P28" s="216"/>
      <c r="Q28" s="216"/>
      <c r="R28" s="216"/>
      <c r="S28" s="217">
        <v>0</v>
      </c>
    </row>
    <row r="29" spans="1:19" x14ac:dyDescent="0.25">
      <c r="A29" s="7"/>
      <c r="B29" s="214" t="s">
        <v>313</v>
      </c>
      <c r="C29" s="349">
        <v>10426460.530000001</v>
      </c>
      <c r="D29" s="350">
        <v>5256184.78</v>
      </c>
      <c r="E29" s="350">
        <v>5649537.3200000003</v>
      </c>
      <c r="F29" s="350">
        <v>11607562.140000001</v>
      </c>
      <c r="G29" s="350">
        <v>38800</v>
      </c>
      <c r="H29" s="350">
        <v>1525425.44</v>
      </c>
      <c r="I29" s="217">
        <v>34503970.210000001</v>
      </c>
      <c r="L29" s="214" t="s">
        <v>313</v>
      </c>
      <c r="M29" s="215">
        <v>6130000</v>
      </c>
      <c r="N29" s="216">
        <v>0</v>
      </c>
      <c r="O29" s="216">
        <v>0</v>
      </c>
      <c r="P29" s="216">
        <v>31271562.140000001</v>
      </c>
      <c r="Q29" s="216">
        <v>0</v>
      </c>
      <c r="R29" s="216">
        <v>0</v>
      </c>
      <c r="S29" s="217">
        <v>37401562.140000001</v>
      </c>
    </row>
    <row r="30" spans="1:19" x14ac:dyDescent="0.25">
      <c r="B30" s="352" t="s">
        <v>412</v>
      </c>
      <c r="C30" s="215">
        <v>555035.56999999995</v>
      </c>
      <c r="D30" s="216">
        <v>2195778.7800000003</v>
      </c>
      <c r="E30" s="216">
        <v>3737437.32</v>
      </c>
      <c r="F30" s="216"/>
      <c r="G30" s="216"/>
      <c r="H30" s="216">
        <v>1525425.44</v>
      </c>
      <c r="I30" s="417">
        <v>8013677.1099999994</v>
      </c>
      <c r="L30" s="352" t="s">
        <v>412</v>
      </c>
      <c r="M30" s="215">
        <v>0</v>
      </c>
      <c r="N30" s="216">
        <v>0</v>
      </c>
      <c r="O30" s="216">
        <v>0</v>
      </c>
      <c r="P30" s="216"/>
      <c r="Q30" s="216"/>
      <c r="R30" s="216">
        <v>0</v>
      </c>
      <c r="S30" s="217">
        <v>0</v>
      </c>
    </row>
    <row r="31" spans="1:19" x14ac:dyDescent="0.25">
      <c r="B31" s="352" t="s">
        <v>429</v>
      </c>
      <c r="C31" s="215"/>
      <c r="D31" s="216">
        <v>500000</v>
      </c>
      <c r="E31" s="216"/>
      <c r="F31" s="216"/>
      <c r="G31" s="216"/>
      <c r="H31" s="216"/>
      <c r="I31" s="217">
        <v>500000</v>
      </c>
      <c r="L31" s="352" t="s">
        <v>429</v>
      </c>
      <c r="M31" s="215"/>
      <c r="N31" s="216">
        <v>0</v>
      </c>
      <c r="O31" s="216"/>
      <c r="P31" s="216"/>
      <c r="Q31" s="216"/>
      <c r="R31" s="216"/>
      <c r="S31" s="217">
        <v>0</v>
      </c>
    </row>
    <row r="32" spans="1:19" x14ac:dyDescent="0.25">
      <c r="B32" s="352" t="s">
        <v>403</v>
      </c>
      <c r="C32" s="215"/>
      <c r="D32" s="216">
        <v>2560406</v>
      </c>
      <c r="E32" s="216">
        <v>1912100</v>
      </c>
      <c r="F32" s="216"/>
      <c r="G32" s="216"/>
      <c r="H32" s="216"/>
      <c r="I32" s="417">
        <v>4472506</v>
      </c>
      <c r="L32" s="352" t="s">
        <v>403</v>
      </c>
      <c r="M32" s="215"/>
      <c r="N32" s="216">
        <v>0</v>
      </c>
      <c r="O32" s="216">
        <v>0</v>
      </c>
      <c r="P32" s="216"/>
      <c r="Q32" s="216"/>
      <c r="R32" s="216"/>
      <c r="S32" s="217">
        <v>0</v>
      </c>
    </row>
    <row r="33" spans="2:19" x14ac:dyDescent="0.25">
      <c r="B33" s="352" t="s">
        <v>384</v>
      </c>
      <c r="C33" s="215">
        <v>2689062</v>
      </c>
      <c r="D33" s="216"/>
      <c r="E33" s="216"/>
      <c r="F33" s="216"/>
      <c r="G33" s="216">
        <v>38800</v>
      </c>
      <c r="H33" s="216"/>
      <c r="I33" s="417">
        <v>2727862</v>
      </c>
      <c r="L33" s="352" t="s">
        <v>384</v>
      </c>
      <c r="M33" s="215">
        <v>0</v>
      </c>
      <c r="N33" s="216"/>
      <c r="O33" s="216"/>
      <c r="P33" s="216"/>
      <c r="Q33" s="216">
        <v>0</v>
      </c>
      <c r="R33" s="216"/>
      <c r="S33" s="217">
        <v>0</v>
      </c>
    </row>
    <row r="34" spans="2:19" x14ac:dyDescent="0.25">
      <c r="B34" s="352" t="s">
        <v>379</v>
      </c>
      <c r="C34" s="215"/>
      <c r="D34" s="216"/>
      <c r="E34" s="216"/>
      <c r="F34" s="216">
        <v>11607562.140000001</v>
      </c>
      <c r="G34" s="216"/>
      <c r="H34" s="216"/>
      <c r="I34" s="417">
        <v>11607562.140000001</v>
      </c>
      <c r="L34" s="352" t="s">
        <v>379</v>
      </c>
      <c r="M34" s="215"/>
      <c r="N34" s="216"/>
      <c r="O34" s="216"/>
      <c r="P34" s="216">
        <v>11607562.140000001</v>
      </c>
      <c r="Q34" s="216"/>
      <c r="R34" s="216"/>
      <c r="S34" s="217">
        <v>11607562.140000001</v>
      </c>
    </row>
    <row r="35" spans="2:19" x14ac:dyDescent="0.25">
      <c r="B35" s="352" t="s">
        <v>442</v>
      </c>
      <c r="C35" s="215"/>
      <c r="D35" s="216"/>
      <c r="E35" s="216"/>
      <c r="F35" s="216">
        <v>0</v>
      </c>
      <c r="G35" s="216"/>
      <c r="H35" s="216"/>
      <c r="I35" s="417">
        <v>0</v>
      </c>
      <c r="L35" s="352" t="s">
        <v>442</v>
      </c>
      <c r="M35" s="215"/>
      <c r="N35" s="216"/>
      <c r="O35" s="216"/>
      <c r="P35" s="216">
        <v>19664000</v>
      </c>
      <c r="Q35" s="216"/>
      <c r="R35" s="216"/>
      <c r="S35" s="217">
        <v>19664000</v>
      </c>
    </row>
    <row r="36" spans="2:19" x14ac:dyDescent="0.25">
      <c r="B36" s="352" t="s">
        <v>825</v>
      </c>
      <c r="C36" s="215">
        <v>1173709</v>
      </c>
      <c r="D36" s="216"/>
      <c r="E36" s="216"/>
      <c r="F36" s="216"/>
      <c r="G36" s="216"/>
      <c r="H36" s="216"/>
      <c r="I36" s="217">
        <v>1173709</v>
      </c>
      <c r="L36" s="352" t="s">
        <v>825</v>
      </c>
      <c r="M36" s="215">
        <v>0</v>
      </c>
      <c r="N36" s="216"/>
      <c r="O36" s="216"/>
      <c r="P36" s="216"/>
      <c r="Q36" s="216"/>
      <c r="R36" s="216"/>
      <c r="S36" s="217">
        <v>0</v>
      </c>
    </row>
    <row r="37" spans="2:19" x14ac:dyDescent="0.25">
      <c r="B37" s="352" t="s">
        <v>390</v>
      </c>
      <c r="C37" s="215">
        <v>3275653.96</v>
      </c>
      <c r="D37" s="216"/>
      <c r="E37" s="216"/>
      <c r="F37" s="216"/>
      <c r="G37" s="216"/>
      <c r="H37" s="216"/>
      <c r="I37" s="417">
        <v>3275653.96</v>
      </c>
      <c r="L37" s="352" t="s">
        <v>390</v>
      </c>
      <c r="M37" s="215">
        <v>0</v>
      </c>
      <c r="N37" s="216"/>
      <c r="O37" s="216"/>
      <c r="P37" s="216"/>
      <c r="Q37" s="216"/>
      <c r="R37" s="216"/>
      <c r="S37" s="217">
        <v>0</v>
      </c>
    </row>
    <row r="38" spans="2:19" x14ac:dyDescent="0.25">
      <c r="B38" s="352" t="s">
        <v>530</v>
      </c>
      <c r="C38" s="215">
        <v>638000</v>
      </c>
      <c r="D38" s="216"/>
      <c r="E38" s="216"/>
      <c r="F38" s="216"/>
      <c r="G38" s="216"/>
      <c r="H38" s="216"/>
      <c r="I38" s="417">
        <v>638000</v>
      </c>
      <c r="L38" s="352" t="s">
        <v>530</v>
      </c>
      <c r="M38" s="215">
        <v>0</v>
      </c>
      <c r="N38" s="216"/>
      <c r="O38" s="216"/>
      <c r="P38" s="216"/>
      <c r="Q38" s="216"/>
      <c r="R38" s="216"/>
      <c r="S38" s="217">
        <v>0</v>
      </c>
    </row>
    <row r="39" spans="2:19" x14ac:dyDescent="0.25">
      <c r="B39" s="352" t="s">
        <v>532</v>
      </c>
      <c r="C39" s="215">
        <v>0</v>
      </c>
      <c r="D39" s="216"/>
      <c r="E39" s="216"/>
      <c r="F39" s="216"/>
      <c r="G39" s="216"/>
      <c r="H39" s="216"/>
      <c r="I39" s="217">
        <v>0</v>
      </c>
      <c r="L39" s="352" t="s">
        <v>532</v>
      </c>
      <c r="M39" s="215">
        <v>10000</v>
      </c>
      <c r="N39" s="216"/>
      <c r="O39" s="216"/>
      <c r="P39" s="216"/>
      <c r="Q39" s="216"/>
      <c r="R39" s="216"/>
      <c r="S39" s="217">
        <v>10000</v>
      </c>
    </row>
    <row r="40" spans="2:19" x14ac:dyDescent="0.25">
      <c r="B40" s="352" t="s">
        <v>439</v>
      </c>
      <c r="C40" s="215">
        <v>0</v>
      </c>
      <c r="D40" s="216"/>
      <c r="E40" s="216"/>
      <c r="F40" s="216"/>
      <c r="G40" s="216"/>
      <c r="H40" s="216"/>
      <c r="I40" s="217">
        <v>0</v>
      </c>
      <c r="L40" s="352" t="s">
        <v>439</v>
      </c>
      <c r="M40" s="215">
        <v>5770000</v>
      </c>
      <c r="N40" s="216"/>
      <c r="O40" s="216"/>
      <c r="P40" s="216"/>
      <c r="Q40" s="216"/>
      <c r="R40" s="216"/>
      <c r="S40" s="217">
        <v>5770000</v>
      </c>
    </row>
    <row r="41" spans="2:19" x14ac:dyDescent="0.25">
      <c r="B41" s="352" t="s">
        <v>453</v>
      </c>
      <c r="C41" s="215">
        <v>350000</v>
      </c>
      <c r="D41" s="216"/>
      <c r="E41" s="216"/>
      <c r="F41" s="216"/>
      <c r="G41" s="216"/>
      <c r="H41" s="216"/>
      <c r="I41" s="417">
        <v>350000</v>
      </c>
      <c r="L41" s="352" t="s">
        <v>453</v>
      </c>
      <c r="M41" s="215">
        <v>350000</v>
      </c>
      <c r="N41" s="216"/>
      <c r="O41" s="216"/>
      <c r="P41" s="216"/>
      <c r="Q41" s="216"/>
      <c r="R41" s="216"/>
      <c r="S41" s="217">
        <v>350000</v>
      </c>
    </row>
    <row r="42" spans="2:19" x14ac:dyDescent="0.25">
      <c r="B42" s="352" t="s">
        <v>387</v>
      </c>
      <c r="C42" s="215">
        <v>1745000</v>
      </c>
      <c r="D42" s="216"/>
      <c r="E42" s="216"/>
      <c r="F42" s="216"/>
      <c r="G42" s="216"/>
      <c r="H42" s="216"/>
      <c r="I42" s="417">
        <v>1745000</v>
      </c>
      <c r="L42" s="352" t="s">
        <v>387</v>
      </c>
      <c r="M42" s="215">
        <v>0</v>
      </c>
      <c r="N42" s="216"/>
      <c r="O42" s="216"/>
      <c r="P42" s="216"/>
      <c r="Q42" s="216"/>
      <c r="R42" s="216"/>
      <c r="S42" s="217">
        <v>0</v>
      </c>
    </row>
    <row r="43" spans="2:19" x14ac:dyDescent="0.25">
      <c r="B43" s="214" t="s">
        <v>314</v>
      </c>
      <c r="C43" s="349">
        <v>8909020.5900000017</v>
      </c>
      <c r="D43" s="350">
        <v>11560526</v>
      </c>
      <c r="E43" s="350">
        <v>85050</v>
      </c>
      <c r="F43" s="350">
        <v>63321510.910000004</v>
      </c>
      <c r="G43" s="350"/>
      <c r="H43" s="350">
        <v>2951393.42</v>
      </c>
      <c r="I43" s="217">
        <v>86827500.920000017</v>
      </c>
      <c r="L43" s="214" t="s">
        <v>314</v>
      </c>
      <c r="M43" s="215">
        <v>12171000</v>
      </c>
      <c r="N43" s="216">
        <v>0</v>
      </c>
      <c r="O43" s="216">
        <v>0</v>
      </c>
      <c r="P43" s="216">
        <v>54234537.649999991</v>
      </c>
      <c r="Q43" s="216"/>
      <c r="R43" s="216">
        <v>0</v>
      </c>
      <c r="S43" s="217">
        <v>66405537.649999991</v>
      </c>
    </row>
    <row r="44" spans="2:19" x14ac:dyDescent="0.25">
      <c r="B44" s="352" t="s">
        <v>412</v>
      </c>
      <c r="C44" s="215"/>
      <c r="D44" s="216">
        <v>1822620</v>
      </c>
      <c r="E44" s="216"/>
      <c r="F44" s="216"/>
      <c r="G44" s="216"/>
      <c r="H44" s="216">
        <v>2951393.42</v>
      </c>
      <c r="I44" s="417">
        <v>4774013.42</v>
      </c>
      <c r="L44" s="352" t="s">
        <v>412</v>
      </c>
      <c r="M44" s="215"/>
      <c r="N44" s="216">
        <v>0</v>
      </c>
      <c r="O44" s="216"/>
      <c r="P44" s="216"/>
      <c r="Q44" s="216"/>
      <c r="R44" s="216">
        <v>0</v>
      </c>
      <c r="S44" s="217">
        <v>0</v>
      </c>
    </row>
    <row r="45" spans="2:19" x14ac:dyDescent="0.25">
      <c r="B45" s="352" t="s">
        <v>429</v>
      </c>
      <c r="C45" s="215"/>
      <c r="D45" s="216"/>
      <c r="E45" s="216">
        <v>85050</v>
      </c>
      <c r="F45" s="216"/>
      <c r="G45" s="216"/>
      <c r="H45" s="216"/>
      <c r="I45" s="217">
        <v>85050</v>
      </c>
      <c r="L45" s="352" t="s">
        <v>429</v>
      </c>
      <c r="M45" s="215"/>
      <c r="N45" s="216"/>
      <c r="O45" s="216">
        <v>0</v>
      </c>
      <c r="P45" s="216"/>
      <c r="Q45" s="216"/>
      <c r="R45" s="216"/>
      <c r="S45" s="217">
        <v>0</v>
      </c>
    </row>
    <row r="46" spans="2:19" x14ac:dyDescent="0.25">
      <c r="B46" s="352" t="s">
        <v>403</v>
      </c>
      <c r="C46" s="215"/>
      <c r="D46" s="216">
        <v>9737906</v>
      </c>
      <c r="E46" s="216"/>
      <c r="F46" s="216"/>
      <c r="G46" s="216"/>
      <c r="H46" s="216"/>
      <c r="I46" s="417">
        <v>9737906</v>
      </c>
      <c r="L46" s="352" t="s">
        <v>403</v>
      </c>
      <c r="M46" s="215"/>
      <c r="N46" s="216">
        <v>0</v>
      </c>
      <c r="O46" s="216"/>
      <c r="P46" s="216"/>
      <c r="Q46" s="216"/>
      <c r="R46" s="216"/>
      <c r="S46" s="217">
        <v>0</v>
      </c>
    </row>
    <row r="47" spans="2:19" x14ac:dyDescent="0.25">
      <c r="B47" s="352" t="s">
        <v>384</v>
      </c>
      <c r="C47" s="215">
        <v>2469825.3900000011</v>
      </c>
      <c r="D47" s="216"/>
      <c r="E47" s="216"/>
      <c r="F47" s="216"/>
      <c r="G47" s="216"/>
      <c r="H47" s="216"/>
      <c r="I47" s="417">
        <v>2469825.3900000011</v>
      </c>
      <c r="L47" s="352" t="s">
        <v>384</v>
      </c>
      <c r="M47" s="215">
        <v>0</v>
      </c>
      <c r="N47" s="216"/>
      <c r="O47" s="216"/>
      <c r="P47" s="216"/>
      <c r="Q47" s="216"/>
      <c r="R47" s="216"/>
      <c r="S47" s="217">
        <v>0</v>
      </c>
    </row>
    <row r="48" spans="2:19" x14ac:dyDescent="0.25">
      <c r="B48" s="352" t="s">
        <v>379</v>
      </c>
      <c r="C48" s="215"/>
      <c r="D48" s="216"/>
      <c r="E48" s="216"/>
      <c r="F48" s="216">
        <v>36717382.240000002</v>
      </c>
      <c r="G48" s="216"/>
      <c r="H48" s="216"/>
      <c r="I48" s="417">
        <v>36717382.240000002</v>
      </c>
      <c r="L48" s="352" t="s">
        <v>379</v>
      </c>
      <c r="M48" s="215"/>
      <c r="N48" s="216"/>
      <c r="O48" s="216"/>
      <c r="P48" s="216">
        <v>36717382.239999995</v>
      </c>
      <c r="Q48" s="216"/>
      <c r="R48" s="216"/>
      <c r="S48" s="217">
        <v>36717382.239999995</v>
      </c>
    </row>
    <row r="49" spans="2:19" x14ac:dyDescent="0.25">
      <c r="B49" s="352" t="s">
        <v>442</v>
      </c>
      <c r="C49" s="215"/>
      <c r="D49" s="216"/>
      <c r="E49" s="216"/>
      <c r="F49" s="216">
        <v>0</v>
      </c>
      <c r="G49" s="216"/>
      <c r="H49" s="216"/>
      <c r="I49" s="417">
        <v>0</v>
      </c>
      <c r="L49" s="352" t="s">
        <v>442</v>
      </c>
      <c r="M49" s="215"/>
      <c r="N49" s="216"/>
      <c r="O49" s="216"/>
      <c r="P49" s="216">
        <v>17500000</v>
      </c>
      <c r="Q49" s="216"/>
      <c r="R49" s="216"/>
      <c r="S49" s="217">
        <v>17500000</v>
      </c>
    </row>
    <row r="50" spans="2:19" x14ac:dyDescent="0.25">
      <c r="B50" s="352" t="s">
        <v>390</v>
      </c>
      <c r="C50" s="215">
        <v>2207016.2000000002</v>
      </c>
      <c r="D50" s="216"/>
      <c r="E50" s="216"/>
      <c r="F50" s="216"/>
      <c r="G50" s="216"/>
      <c r="H50" s="216"/>
      <c r="I50" s="417">
        <v>2207016.2000000002</v>
      </c>
      <c r="L50" s="352" t="s">
        <v>390</v>
      </c>
      <c r="M50" s="215">
        <v>0</v>
      </c>
      <c r="N50" s="216"/>
      <c r="O50" s="216"/>
      <c r="P50" s="216"/>
      <c r="Q50" s="216"/>
      <c r="R50" s="216"/>
      <c r="S50" s="217">
        <v>0</v>
      </c>
    </row>
    <row r="51" spans="2:19" x14ac:dyDescent="0.25">
      <c r="B51" s="352" t="s">
        <v>530</v>
      </c>
      <c r="C51" s="215">
        <v>550000</v>
      </c>
      <c r="D51" s="216"/>
      <c r="E51" s="216"/>
      <c r="F51" s="216"/>
      <c r="G51" s="216"/>
      <c r="H51" s="216"/>
      <c r="I51" s="417">
        <v>550000</v>
      </c>
      <c r="L51" s="352" t="s">
        <v>530</v>
      </c>
      <c r="M51" s="215">
        <v>0</v>
      </c>
      <c r="N51" s="216"/>
      <c r="O51" s="216"/>
      <c r="P51" s="216"/>
      <c r="Q51" s="216"/>
      <c r="R51" s="216"/>
      <c r="S51" s="217">
        <v>0</v>
      </c>
    </row>
    <row r="52" spans="2:19" x14ac:dyDescent="0.25">
      <c r="B52" s="352" t="s">
        <v>439</v>
      </c>
      <c r="C52" s="215">
        <v>0</v>
      </c>
      <c r="D52" s="216"/>
      <c r="E52" s="216"/>
      <c r="F52" s="216"/>
      <c r="G52" s="216"/>
      <c r="H52" s="216"/>
      <c r="I52" s="217">
        <v>0</v>
      </c>
      <c r="L52" s="352" t="s">
        <v>439</v>
      </c>
      <c r="M52" s="215">
        <v>3431000</v>
      </c>
      <c r="N52" s="216"/>
      <c r="O52" s="216"/>
      <c r="P52" s="216"/>
      <c r="Q52" s="216"/>
      <c r="R52" s="216"/>
      <c r="S52" s="217">
        <v>3431000</v>
      </c>
    </row>
    <row r="53" spans="2:19" x14ac:dyDescent="0.25">
      <c r="B53" s="352" t="s">
        <v>453</v>
      </c>
      <c r="C53" s="215">
        <v>550000</v>
      </c>
      <c r="D53" s="216"/>
      <c r="E53" s="216"/>
      <c r="F53" s="216"/>
      <c r="G53" s="216"/>
      <c r="H53" s="216"/>
      <c r="I53" s="417">
        <v>550000</v>
      </c>
      <c r="L53" s="352" t="s">
        <v>453</v>
      </c>
      <c r="M53" s="215">
        <v>8740000</v>
      </c>
      <c r="N53" s="216"/>
      <c r="O53" s="216"/>
      <c r="P53" s="216"/>
      <c r="Q53" s="216"/>
      <c r="R53" s="216"/>
      <c r="S53" s="217">
        <v>8740000</v>
      </c>
    </row>
    <row r="54" spans="2:19" x14ac:dyDescent="0.25">
      <c r="B54" s="352" t="s">
        <v>607</v>
      </c>
      <c r="C54" s="215"/>
      <c r="D54" s="216"/>
      <c r="E54" s="216"/>
      <c r="F54" s="216">
        <v>22882213.690000001</v>
      </c>
      <c r="G54" s="216"/>
      <c r="H54" s="216"/>
      <c r="I54" s="217">
        <v>22882213.690000001</v>
      </c>
      <c r="L54" s="352" t="s">
        <v>607</v>
      </c>
      <c r="M54" s="215"/>
      <c r="N54" s="216"/>
      <c r="O54" s="216"/>
      <c r="P54" s="216">
        <v>0</v>
      </c>
      <c r="Q54" s="216"/>
      <c r="R54" s="216"/>
      <c r="S54" s="217">
        <v>0</v>
      </c>
    </row>
    <row r="55" spans="2:19" x14ac:dyDescent="0.25">
      <c r="B55" s="352" t="s">
        <v>457</v>
      </c>
      <c r="C55" s="215"/>
      <c r="D55" s="216"/>
      <c r="E55" s="216"/>
      <c r="F55" s="216">
        <v>3721914.98</v>
      </c>
      <c r="G55" s="216"/>
      <c r="H55" s="216"/>
      <c r="I55" s="417">
        <v>3721914.98</v>
      </c>
      <c r="L55" s="352" t="s">
        <v>457</v>
      </c>
      <c r="M55" s="215"/>
      <c r="N55" s="216"/>
      <c r="O55" s="216"/>
      <c r="P55" s="216">
        <v>0</v>
      </c>
      <c r="Q55" s="216"/>
      <c r="R55" s="216"/>
      <c r="S55" s="217">
        <v>0</v>
      </c>
    </row>
    <row r="56" spans="2:19" x14ac:dyDescent="0.25">
      <c r="B56" s="352" t="s">
        <v>924</v>
      </c>
      <c r="C56" s="215"/>
      <c r="D56" s="216"/>
      <c r="E56" s="216"/>
      <c r="F56" s="216">
        <v>0</v>
      </c>
      <c r="G56" s="216"/>
      <c r="H56" s="216"/>
      <c r="I56" s="217">
        <v>0</v>
      </c>
      <c r="L56" s="352" t="s">
        <v>924</v>
      </c>
      <c r="M56" s="215"/>
      <c r="N56" s="216"/>
      <c r="O56" s="216"/>
      <c r="P56" s="216">
        <v>17155.41</v>
      </c>
      <c r="Q56" s="216"/>
      <c r="R56" s="216"/>
      <c r="S56" s="217">
        <v>17155.41</v>
      </c>
    </row>
    <row r="57" spans="2:19" x14ac:dyDescent="0.25">
      <c r="B57" s="352" t="s">
        <v>387</v>
      </c>
      <c r="C57" s="215">
        <v>3132179</v>
      </c>
      <c r="D57" s="216"/>
      <c r="E57" s="216"/>
      <c r="F57" s="216"/>
      <c r="G57" s="216"/>
      <c r="H57" s="216"/>
      <c r="I57" s="417">
        <v>3132179</v>
      </c>
      <c r="L57" s="352" t="s">
        <v>387</v>
      </c>
      <c r="M57" s="215">
        <v>0</v>
      </c>
      <c r="N57" s="216"/>
      <c r="O57" s="216"/>
      <c r="P57" s="216"/>
      <c r="Q57" s="216"/>
      <c r="R57" s="216"/>
      <c r="S57" s="217">
        <v>0</v>
      </c>
    </row>
    <row r="58" spans="2:19" x14ac:dyDescent="0.25">
      <c r="B58" s="214" t="s">
        <v>315</v>
      </c>
      <c r="C58" s="349">
        <v>33033413.43</v>
      </c>
      <c r="D58" s="350">
        <v>19504014.689999998</v>
      </c>
      <c r="E58" s="350">
        <v>3977899.7300000004</v>
      </c>
      <c r="F58" s="350">
        <v>26030785.34</v>
      </c>
      <c r="G58" s="350">
        <v>53000</v>
      </c>
      <c r="H58" s="350">
        <v>6698423.46</v>
      </c>
      <c r="I58" s="217">
        <v>89297536.650000006</v>
      </c>
      <c r="L58" s="214" t="s">
        <v>315</v>
      </c>
      <c r="M58" s="215">
        <v>1997021.73</v>
      </c>
      <c r="N58" s="216">
        <v>19197185.07</v>
      </c>
      <c r="O58" s="216">
        <v>0</v>
      </c>
      <c r="P58" s="216">
        <v>22353642.859999999</v>
      </c>
      <c r="Q58" s="216">
        <v>0</v>
      </c>
      <c r="R58" s="216">
        <v>58177991.899999999</v>
      </c>
      <c r="S58" s="217">
        <v>101725841.56</v>
      </c>
    </row>
    <row r="59" spans="2:19" x14ac:dyDescent="0.25">
      <c r="B59" s="352" t="s">
        <v>412</v>
      </c>
      <c r="C59" s="215"/>
      <c r="D59" s="216">
        <v>6504014.6899999995</v>
      </c>
      <c r="E59" s="216">
        <v>3962899.7300000004</v>
      </c>
      <c r="F59" s="216"/>
      <c r="G59" s="216"/>
      <c r="H59" s="216">
        <v>6698423.46</v>
      </c>
      <c r="I59" s="417">
        <v>17165337.879999999</v>
      </c>
      <c r="L59" s="352" t="s">
        <v>412</v>
      </c>
      <c r="M59" s="215"/>
      <c r="N59" s="216">
        <v>0</v>
      </c>
      <c r="O59" s="216">
        <v>0</v>
      </c>
      <c r="P59" s="216"/>
      <c r="Q59" s="216"/>
      <c r="R59" s="216">
        <v>0</v>
      </c>
      <c r="S59" s="217">
        <v>0</v>
      </c>
    </row>
    <row r="60" spans="2:19" x14ac:dyDescent="0.25">
      <c r="B60" s="352" t="s">
        <v>403</v>
      </c>
      <c r="C60" s="215"/>
      <c r="D60" s="216">
        <v>13000000</v>
      </c>
      <c r="E60" s="216">
        <v>15000</v>
      </c>
      <c r="F60" s="216"/>
      <c r="G60" s="216"/>
      <c r="H60" s="216"/>
      <c r="I60" s="417">
        <v>13015000</v>
      </c>
      <c r="L60" s="352" t="s">
        <v>403</v>
      </c>
      <c r="M60" s="215"/>
      <c r="N60" s="216">
        <v>0</v>
      </c>
      <c r="O60" s="216">
        <v>0</v>
      </c>
      <c r="P60" s="216"/>
      <c r="Q60" s="216"/>
      <c r="R60" s="216"/>
      <c r="S60" s="217">
        <v>0</v>
      </c>
    </row>
    <row r="61" spans="2:19" x14ac:dyDescent="0.25">
      <c r="B61" s="352" t="s">
        <v>384</v>
      </c>
      <c r="C61" s="215">
        <v>3229111.560000001</v>
      </c>
      <c r="D61" s="216"/>
      <c r="E61" s="216"/>
      <c r="F61" s="216"/>
      <c r="G61" s="216">
        <v>53000</v>
      </c>
      <c r="H61" s="216"/>
      <c r="I61" s="417">
        <v>3282111.560000001</v>
      </c>
      <c r="L61" s="352" t="s">
        <v>384</v>
      </c>
      <c r="M61" s="215">
        <v>0</v>
      </c>
      <c r="N61" s="216"/>
      <c r="O61" s="216"/>
      <c r="P61" s="216"/>
      <c r="Q61" s="216">
        <v>0</v>
      </c>
      <c r="R61" s="216"/>
      <c r="S61" s="217">
        <v>0</v>
      </c>
    </row>
    <row r="62" spans="2:19" x14ac:dyDescent="0.25">
      <c r="B62" s="352" t="s">
        <v>379</v>
      </c>
      <c r="C62" s="215"/>
      <c r="D62" s="216"/>
      <c r="E62" s="216"/>
      <c r="F62" s="216">
        <v>22353642.859999999</v>
      </c>
      <c r="G62" s="216"/>
      <c r="H62" s="216"/>
      <c r="I62" s="417">
        <v>22353642.859999999</v>
      </c>
      <c r="L62" s="352" t="s">
        <v>379</v>
      </c>
      <c r="M62" s="215"/>
      <c r="N62" s="216"/>
      <c r="O62" s="216"/>
      <c r="P62" s="216">
        <v>22353642.859999999</v>
      </c>
      <c r="Q62" s="216"/>
      <c r="R62" s="216"/>
      <c r="S62" s="217">
        <v>22353642.859999999</v>
      </c>
    </row>
    <row r="63" spans="2:19" x14ac:dyDescent="0.25">
      <c r="B63" s="352" t="s">
        <v>825</v>
      </c>
      <c r="C63" s="215">
        <v>1173709</v>
      </c>
      <c r="D63" s="216"/>
      <c r="E63" s="216"/>
      <c r="F63" s="216"/>
      <c r="G63" s="216"/>
      <c r="H63" s="216"/>
      <c r="I63" s="217">
        <v>1173709</v>
      </c>
      <c r="L63" s="352" t="s">
        <v>825</v>
      </c>
      <c r="M63" s="215">
        <v>0</v>
      </c>
      <c r="N63" s="216"/>
      <c r="O63" s="216"/>
      <c r="P63" s="216"/>
      <c r="Q63" s="216"/>
      <c r="R63" s="216"/>
      <c r="S63" s="217">
        <v>0</v>
      </c>
    </row>
    <row r="64" spans="2:19" x14ac:dyDescent="0.25">
      <c r="B64" s="352" t="s">
        <v>390</v>
      </c>
      <c r="C64" s="215">
        <v>4350092.870000001</v>
      </c>
      <c r="D64" s="216"/>
      <c r="E64" s="216"/>
      <c r="F64" s="216"/>
      <c r="G64" s="216"/>
      <c r="H64" s="216"/>
      <c r="I64" s="417">
        <v>4350092.870000001</v>
      </c>
      <c r="L64" s="352" t="s">
        <v>390</v>
      </c>
      <c r="M64" s="215">
        <v>0</v>
      </c>
      <c r="N64" s="216"/>
      <c r="O64" s="216"/>
      <c r="P64" s="216"/>
      <c r="Q64" s="216"/>
      <c r="R64" s="216"/>
      <c r="S64" s="217">
        <v>0</v>
      </c>
    </row>
    <row r="65" spans="2:19" x14ac:dyDescent="0.25">
      <c r="B65" s="352" t="s">
        <v>530</v>
      </c>
      <c r="C65" s="215">
        <v>2490000</v>
      </c>
      <c r="D65" s="216"/>
      <c r="E65" s="216"/>
      <c r="F65" s="216"/>
      <c r="G65" s="216"/>
      <c r="H65" s="216"/>
      <c r="I65" s="417">
        <v>2490000</v>
      </c>
      <c r="L65" s="352" t="s">
        <v>530</v>
      </c>
      <c r="M65" s="215">
        <v>0</v>
      </c>
      <c r="N65" s="216"/>
      <c r="O65" s="216"/>
      <c r="P65" s="216"/>
      <c r="Q65" s="216"/>
      <c r="R65" s="216"/>
      <c r="S65" s="217">
        <v>0</v>
      </c>
    </row>
    <row r="66" spans="2:19" x14ac:dyDescent="0.25">
      <c r="B66" s="352" t="s">
        <v>516</v>
      </c>
      <c r="C66" s="215"/>
      <c r="D66" s="216">
        <v>0</v>
      </c>
      <c r="E66" s="216"/>
      <c r="F66" s="216"/>
      <c r="G66" s="216"/>
      <c r="H66" s="216"/>
      <c r="I66" s="417">
        <v>0</v>
      </c>
      <c r="L66" s="352" t="s">
        <v>516</v>
      </c>
      <c r="M66" s="215"/>
      <c r="N66" s="216">
        <v>19197185.07</v>
      </c>
      <c r="O66" s="216"/>
      <c r="P66" s="216"/>
      <c r="Q66" s="216"/>
      <c r="R66" s="216"/>
      <c r="S66" s="217">
        <v>19197185.07</v>
      </c>
    </row>
    <row r="67" spans="2:19" x14ac:dyDescent="0.25">
      <c r="B67" s="352" t="s">
        <v>949</v>
      </c>
      <c r="C67" s="215"/>
      <c r="D67" s="216"/>
      <c r="E67" s="216"/>
      <c r="F67" s="216"/>
      <c r="G67" s="216"/>
      <c r="H67" s="216">
        <v>0</v>
      </c>
      <c r="I67" s="417">
        <v>0</v>
      </c>
      <c r="L67" s="352" t="s">
        <v>949</v>
      </c>
      <c r="M67" s="215"/>
      <c r="N67" s="216"/>
      <c r="O67" s="216"/>
      <c r="P67" s="216"/>
      <c r="Q67" s="216"/>
      <c r="R67" s="216">
        <v>58177991.899999999</v>
      </c>
      <c r="S67" s="217">
        <v>58177991.899999999</v>
      </c>
    </row>
    <row r="68" spans="2:19" x14ac:dyDescent="0.25">
      <c r="B68" s="352" t="s">
        <v>439</v>
      </c>
      <c r="C68" s="215">
        <v>0</v>
      </c>
      <c r="D68" s="216"/>
      <c r="E68" s="216"/>
      <c r="F68" s="216"/>
      <c r="G68" s="216"/>
      <c r="H68" s="216"/>
      <c r="I68" s="217">
        <v>0</v>
      </c>
      <c r="L68" s="352" t="s">
        <v>439</v>
      </c>
      <c r="M68" s="215">
        <v>717021.73</v>
      </c>
      <c r="N68" s="216"/>
      <c r="O68" s="216"/>
      <c r="P68" s="216"/>
      <c r="Q68" s="216"/>
      <c r="R68" s="216"/>
      <c r="S68" s="217">
        <v>717021.73</v>
      </c>
    </row>
    <row r="69" spans="2:19" x14ac:dyDescent="0.25">
      <c r="B69" s="352" t="s">
        <v>453</v>
      </c>
      <c r="C69" s="215">
        <v>11440500</v>
      </c>
      <c r="D69" s="216"/>
      <c r="E69" s="216"/>
      <c r="F69" s="216"/>
      <c r="G69" s="216"/>
      <c r="H69" s="216"/>
      <c r="I69" s="417">
        <v>11440500</v>
      </c>
      <c r="L69" s="352" t="s">
        <v>453</v>
      </c>
      <c r="M69" s="215">
        <v>1280000</v>
      </c>
      <c r="N69" s="216"/>
      <c r="O69" s="216"/>
      <c r="P69" s="216"/>
      <c r="Q69" s="216"/>
      <c r="R69" s="216"/>
      <c r="S69" s="217">
        <v>1280000</v>
      </c>
    </row>
    <row r="70" spans="2:19" x14ac:dyDescent="0.25">
      <c r="B70" s="352" t="s">
        <v>457</v>
      </c>
      <c r="C70" s="215"/>
      <c r="D70" s="216"/>
      <c r="E70" s="216"/>
      <c r="F70" s="216">
        <v>3677142.48</v>
      </c>
      <c r="G70" s="216"/>
      <c r="H70" s="216"/>
      <c r="I70" s="417">
        <v>3677142.48</v>
      </c>
      <c r="L70" s="352" t="s">
        <v>457</v>
      </c>
      <c r="M70" s="215"/>
      <c r="N70" s="216"/>
      <c r="O70" s="216"/>
      <c r="P70" s="216">
        <v>0</v>
      </c>
      <c r="Q70" s="216"/>
      <c r="R70" s="216"/>
      <c r="S70" s="217">
        <v>0</v>
      </c>
    </row>
    <row r="71" spans="2:19" x14ac:dyDescent="0.25">
      <c r="B71" s="352" t="s">
        <v>387</v>
      </c>
      <c r="C71" s="215">
        <v>10350000</v>
      </c>
      <c r="D71" s="216"/>
      <c r="E71" s="216"/>
      <c r="F71" s="216"/>
      <c r="G71" s="216"/>
      <c r="H71" s="216"/>
      <c r="I71" s="417">
        <v>10350000</v>
      </c>
      <c r="L71" s="352" t="s">
        <v>387</v>
      </c>
      <c r="M71" s="215">
        <v>0</v>
      </c>
      <c r="N71" s="216"/>
      <c r="O71" s="216"/>
      <c r="P71" s="216"/>
      <c r="Q71" s="216"/>
      <c r="R71" s="216"/>
      <c r="S71" s="217">
        <v>0</v>
      </c>
    </row>
    <row r="72" spans="2:19" x14ac:dyDescent="0.25">
      <c r="B72" s="214" t="s">
        <v>316</v>
      </c>
      <c r="C72" s="349">
        <v>16528331.379999999</v>
      </c>
      <c r="D72" s="350">
        <v>30512472.460000001</v>
      </c>
      <c r="E72" s="350">
        <v>1211200.3500000001</v>
      </c>
      <c r="F72" s="350">
        <v>95805858.980000004</v>
      </c>
      <c r="G72" s="350"/>
      <c r="H72" s="350">
        <v>38000425.310000002</v>
      </c>
      <c r="I72" s="217">
        <v>182058288.48000002</v>
      </c>
      <c r="L72" s="214" t="s">
        <v>316</v>
      </c>
      <c r="M72" s="215">
        <v>3363657</v>
      </c>
      <c r="N72" s="216">
        <v>71914806.069999993</v>
      </c>
      <c r="O72" s="216">
        <v>0</v>
      </c>
      <c r="P72" s="216">
        <v>98056744.519999996</v>
      </c>
      <c r="Q72" s="216"/>
      <c r="R72" s="216">
        <v>64359736</v>
      </c>
      <c r="S72" s="217">
        <v>237694943.59</v>
      </c>
    </row>
    <row r="73" spans="2:19" x14ac:dyDescent="0.25">
      <c r="B73" s="352" t="s">
        <v>412</v>
      </c>
      <c r="C73" s="215">
        <v>152000</v>
      </c>
      <c r="D73" s="216">
        <v>30512472.460000001</v>
      </c>
      <c r="E73" s="216">
        <v>1010830.35</v>
      </c>
      <c r="F73" s="216"/>
      <c r="G73" s="216"/>
      <c r="H73" s="216">
        <v>12764201.809999999</v>
      </c>
      <c r="I73" s="417">
        <v>44439504.620000005</v>
      </c>
      <c r="L73" s="352" t="s">
        <v>412</v>
      </c>
      <c r="M73" s="215">
        <v>0</v>
      </c>
      <c r="N73" s="216">
        <v>0</v>
      </c>
      <c r="O73" s="216">
        <v>0</v>
      </c>
      <c r="P73" s="216"/>
      <c r="Q73" s="216"/>
      <c r="R73" s="216">
        <v>0</v>
      </c>
      <c r="S73" s="217">
        <v>0</v>
      </c>
    </row>
    <row r="74" spans="2:19" x14ac:dyDescent="0.25">
      <c r="B74" s="352" t="s">
        <v>403</v>
      </c>
      <c r="C74" s="215"/>
      <c r="D74" s="216"/>
      <c r="E74" s="216">
        <v>200370</v>
      </c>
      <c r="F74" s="216"/>
      <c r="G74" s="216"/>
      <c r="H74" s="216"/>
      <c r="I74" s="417">
        <v>200370</v>
      </c>
      <c r="L74" s="352" t="s">
        <v>403</v>
      </c>
      <c r="M74" s="215"/>
      <c r="N74" s="216"/>
      <c r="O74" s="216">
        <v>0</v>
      </c>
      <c r="P74" s="216"/>
      <c r="Q74" s="216"/>
      <c r="R74" s="216"/>
      <c r="S74" s="217">
        <v>0</v>
      </c>
    </row>
    <row r="75" spans="2:19" x14ac:dyDescent="0.25">
      <c r="B75" s="352" t="s">
        <v>384</v>
      </c>
      <c r="C75" s="215">
        <v>3073016.3799999994</v>
      </c>
      <c r="D75" s="216"/>
      <c r="E75" s="216"/>
      <c r="F75" s="216"/>
      <c r="G75" s="216"/>
      <c r="H75" s="216"/>
      <c r="I75" s="417">
        <v>3073016.3799999994</v>
      </c>
      <c r="L75" s="352" t="s">
        <v>384</v>
      </c>
      <c r="M75" s="215">
        <v>0</v>
      </c>
      <c r="N75" s="216"/>
      <c r="O75" s="216"/>
      <c r="P75" s="216"/>
      <c r="Q75" s="216"/>
      <c r="R75" s="216"/>
      <c r="S75" s="217">
        <v>0</v>
      </c>
    </row>
    <row r="76" spans="2:19" x14ac:dyDescent="0.25">
      <c r="B76" s="352" t="s">
        <v>379</v>
      </c>
      <c r="C76" s="215"/>
      <c r="D76" s="216"/>
      <c r="E76" s="216"/>
      <c r="F76" s="216">
        <v>57427382.240000002</v>
      </c>
      <c r="G76" s="216"/>
      <c r="H76" s="216"/>
      <c r="I76" s="417">
        <v>57427382.240000002</v>
      </c>
      <c r="L76" s="352" t="s">
        <v>379</v>
      </c>
      <c r="M76" s="215"/>
      <c r="N76" s="216"/>
      <c r="O76" s="216"/>
      <c r="P76" s="216">
        <v>57427382.240000002</v>
      </c>
      <c r="Q76" s="216"/>
      <c r="R76" s="216"/>
      <c r="S76" s="217">
        <v>57427382.240000002</v>
      </c>
    </row>
    <row r="77" spans="2:19" x14ac:dyDescent="0.25">
      <c r="B77" s="352" t="s">
        <v>442</v>
      </c>
      <c r="C77" s="215"/>
      <c r="D77" s="216"/>
      <c r="E77" s="216"/>
      <c r="F77" s="216">
        <v>0</v>
      </c>
      <c r="G77" s="216"/>
      <c r="H77" s="216"/>
      <c r="I77" s="417">
        <v>0</v>
      </c>
      <c r="L77" s="352" t="s">
        <v>442</v>
      </c>
      <c r="M77" s="215"/>
      <c r="N77" s="216"/>
      <c r="O77" s="216"/>
      <c r="P77" s="216">
        <v>30614596.699999999</v>
      </c>
      <c r="Q77" s="216"/>
      <c r="R77" s="216"/>
      <c r="S77" s="217">
        <v>30614596.699999999</v>
      </c>
    </row>
    <row r="78" spans="2:19" x14ac:dyDescent="0.25">
      <c r="B78" s="352" t="s">
        <v>825</v>
      </c>
      <c r="C78" s="215">
        <v>1269170</v>
      </c>
      <c r="D78" s="216"/>
      <c r="E78" s="216"/>
      <c r="F78" s="216"/>
      <c r="G78" s="216"/>
      <c r="H78" s="216"/>
      <c r="I78" s="217">
        <v>1269170</v>
      </c>
      <c r="L78" s="352" t="s">
        <v>825</v>
      </c>
      <c r="M78" s="215">
        <v>0</v>
      </c>
      <c r="N78" s="216"/>
      <c r="O78" s="216"/>
      <c r="P78" s="216"/>
      <c r="Q78" s="216"/>
      <c r="R78" s="216"/>
      <c r="S78" s="217">
        <v>0</v>
      </c>
    </row>
    <row r="79" spans="2:19" x14ac:dyDescent="0.25">
      <c r="B79" s="352" t="s">
        <v>390</v>
      </c>
      <c r="C79" s="215">
        <v>2911803</v>
      </c>
      <c r="D79" s="216"/>
      <c r="E79" s="216"/>
      <c r="F79" s="216"/>
      <c r="G79" s="216"/>
      <c r="H79" s="216"/>
      <c r="I79" s="417">
        <v>2911803</v>
      </c>
      <c r="L79" s="352" t="s">
        <v>390</v>
      </c>
      <c r="M79" s="215">
        <v>0</v>
      </c>
      <c r="N79" s="216"/>
      <c r="O79" s="216"/>
      <c r="P79" s="216"/>
      <c r="Q79" s="216"/>
      <c r="R79" s="216"/>
      <c r="S79" s="217">
        <v>0</v>
      </c>
    </row>
    <row r="80" spans="2:19" x14ac:dyDescent="0.25">
      <c r="B80" s="352" t="s">
        <v>530</v>
      </c>
      <c r="C80" s="215">
        <v>2000000</v>
      </c>
      <c r="D80" s="216"/>
      <c r="E80" s="216"/>
      <c r="F80" s="216"/>
      <c r="G80" s="216"/>
      <c r="H80" s="216"/>
      <c r="I80" s="417">
        <v>2000000</v>
      </c>
      <c r="L80" s="352" t="s">
        <v>530</v>
      </c>
      <c r="M80" s="215">
        <v>0</v>
      </c>
      <c r="N80" s="216"/>
      <c r="O80" s="216"/>
      <c r="P80" s="216"/>
      <c r="Q80" s="216"/>
      <c r="R80" s="216"/>
      <c r="S80" s="217">
        <v>0</v>
      </c>
    </row>
    <row r="81" spans="2:19" x14ac:dyDescent="0.25">
      <c r="B81" s="352" t="s">
        <v>511</v>
      </c>
      <c r="C81" s="215">
        <v>2000000</v>
      </c>
      <c r="D81" s="216"/>
      <c r="E81" s="216"/>
      <c r="F81" s="216"/>
      <c r="G81" s="216"/>
      <c r="H81" s="216"/>
      <c r="I81" s="217">
        <v>2000000</v>
      </c>
      <c r="L81" s="352" t="s">
        <v>511</v>
      </c>
      <c r="M81" s="215">
        <v>0</v>
      </c>
      <c r="N81" s="216"/>
      <c r="O81" s="216"/>
      <c r="P81" s="216"/>
      <c r="Q81" s="216"/>
      <c r="R81" s="216"/>
      <c r="S81" s="217">
        <v>0</v>
      </c>
    </row>
    <row r="82" spans="2:19" x14ac:dyDescent="0.25">
      <c r="B82" s="352" t="s">
        <v>516</v>
      </c>
      <c r="C82" s="215"/>
      <c r="D82" s="216">
        <v>0</v>
      </c>
      <c r="E82" s="216"/>
      <c r="F82" s="216"/>
      <c r="G82" s="216"/>
      <c r="H82" s="216"/>
      <c r="I82" s="417">
        <v>0</v>
      </c>
      <c r="L82" s="352" t="s">
        <v>516</v>
      </c>
      <c r="M82" s="215"/>
      <c r="N82" s="216">
        <v>71914806.069999993</v>
      </c>
      <c r="O82" s="216"/>
      <c r="P82" s="216"/>
      <c r="Q82" s="216"/>
      <c r="R82" s="216"/>
      <c r="S82" s="217">
        <v>71914806.069999993</v>
      </c>
    </row>
    <row r="83" spans="2:19" x14ac:dyDescent="0.25">
      <c r="B83" s="352" t="s">
        <v>949</v>
      </c>
      <c r="C83" s="215"/>
      <c r="D83" s="216"/>
      <c r="E83" s="216"/>
      <c r="F83" s="216"/>
      <c r="G83" s="216"/>
      <c r="H83" s="216">
        <v>0</v>
      </c>
      <c r="I83" s="417">
        <v>0</v>
      </c>
      <c r="L83" s="352" t="s">
        <v>949</v>
      </c>
      <c r="M83" s="215"/>
      <c r="N83" s="216"/>
      <c r="O83" s="216"/>
      <c r="P83" s="216"/>
      <c r="Q83" s="216"/>
      <c r="R83" s="216">
        <v>64359736</v>
      </c>
      <c r="S83" s="217">
        <v>64359736</v>
      </c>
    </row>
    <row r="84" spans="2:19" x14ac:dyDescent="0.25">
      <c r="B84" s="352" t="s">
        <v>439</v>
      </c>
      <c r="C84" s="215">
        <v>0</v>
      </c>
      <c r="D84" s="216"/>
      <c r="E84" s="216"/>
      <c r="F84" s="216"/>
      <c r="G84" s="216"/>
      <c r="H84" s="216"/>
      <c r="I84" s="217">
        <v>0</v>
      </c>
      <c r="L84" s="352" t="s">
        <v>439</v>
      </c>
      <c r="M84" s="215">
        <v>17473</v>
      </c>
      <c r="N84" s="216"/>
      <c r="O84" s="216"/>
      <c r="P84" s="216"/>
      <c r="Q84" s="216"/>
      <c r="R84" s="216"/>
      <c r="S84" s="217">
        <v>17473</v>
      </c>
    </row>
    <row r="85" spans="2:19" x14ac:dyDescent="0.25">
      <c r="B85" s="352" t="s">
        <v>453</v>
      </c>
      <c r="C85" s="215">
        <v>2056184</v>
      </c>
      <c r="D85" s="216"/>
      <c r="E85" s="216"/>
      <c r="F85" s="216"/>
      <c r="G85" s="216"/>
      <c r="H85" s="216"/>
      <c r="I85" s="417">
        <v>2056184</v>
      </c>
      <c r="L85" s="352" t="s">
        <v>453</v>
      </c>
      <c r="M85" s="215">
        <v>3346184</v>
      </c>
      <c r="N85" s="216"/>
      <c r="O85" s="216"/>
      <c r="P85" s="216"/>
      <c r="Q85" s="216"/>
      <c r="R85" s="216"/>
      <c r="S85" s="217">
        <v>3346184</v>
      </c>
    </row>
    <row r="86" spans="2:19" x14ac:dyDescent="0.25">
      <c r="B86" s="352" t="s">
        <v>457</v>
      </c>
      <c r="C86" s="215"/>
      <c r="D86" s="216"/>
      <c r="E86" s="216"/>
      <c r="F86" s="216">
        <v>3743547.5</v>
      </c>
      <c r="G86" s="216"/>
      <c r="H86" s="216"/>
      <c r="I86" s="417">
        <v>3743547.5</v>
      </c>
      <c r="L86" s="352" t="s">
        <v>457</v>
      </c>
      <c r="M86" s="215"/>
      <c r="N86" s="216"/>
      <c r="O86" s="216"/>
      <c r="P86" s="216">
        <v>0</v>
      </c>
      <c r="Q86" s="216"/>
      <c r="R86" s="216"/>
      <c r="S86" s="217">
        <v>0</v>
      </c>
    </row>
    <row r="87" spans="2:19" x14ac:dyDescent="0.25">
      <c r="B87" s="352" t="s">
        <v>387</v>
      </c>
      <c r="C87" s="215">
        <v>3066158</v>
      </c>
      <c r="D87" s="216"/>
      <c r="E87" s="216"/>
      <c r="F87" s="216"/>
      <c r="G87" s="216"/>
      <c r="H87" s="216"/>
      <c r="I87" s="417">
        <v>3066158</v>
      </c>
      <c r="L87" s="352" t="s">
        <v>387</v>
      </c>
      <c r="M87" s="215">
        <v>0</v>
      </c>
      <c r="N87" s="216"/>
      <c r="O87" s="216"/>
      <c r="P87" s="216"/>
      <c r="Q87" s="216"/>
      <c r="R87" s="216"/>
      <c r="S87" s="217">
        <v>0</v>
      </c>
    </row>
    <row r="88" spans="2:19" x14ac:dyDescent="0.25">
      <c r="B88" s="352" t="s">
        <v>995</v>
      </c>
      <c r="C88" s="215"/>
      <c r="D88" s="216"/>
      <c r="E88" s="216"/>
      <c r="F88" s="216">
        <v>10000000</v>
      </c>
      <c r="G88" s="216"/>
      <c r="H88" s="216"/>
      <c r="I88" s="417">
        <v>10000000</v>
      </c>
      <c r="L88" s="352" t="s">
        <v>995</v>
      </c>
      <c r="M88" s="215"/>
      <c r="N88" s="216"/>
      <c r="O88" s="216"/>
      <c r="P88" s="216">
        <v>10014765.58</v>
      </c>
      <c r="Q88" s="216"/>
      <c r="R88" s="216"/>
      <c r="S88" s="217">
        <v>10014765.58</v>
      </c>
    </row>
    <row r="89" spans="2:19" x14ac:dyDescent="0.25">
      <c r="B89" s="352" t="s">
        <v>690</v>
      </c>
      <c r="C89" s="215"/>
      <c r="D89" s="216"/>
      <c r="E89" s="216"/>
      <c r="F89" s="216"/>
      <c r="G89" s="216"/>
      <c r="H89" s="216">
        <v>25236223.5</v>
      </c>
      <c r="I89" s="417">
        <v>25236223.5</v>
      </c>
      <c r="L89" s="352" t="s">
        <v>690</v>
      </c>
      <c r="M89" s="215"/>
      <c r="N89" s="216"/>
      <c r="O89" s="216"/>
      <c r="P89" s="216"/>
      <c r="Q89" s="216"/>
      <c r="R89" s="216">
        <v>0</v>
      </c>
      <c r="S89" s="217">
        <v>0</v>
      </c>
    </row>
    <row r="90" spans="2:19" x14ac:dyDescent="0.25">
      <c r="B90" s="353" t="s">
        <v>1000</v>
      </c>
      <c r="C90" s="215"/>
      <c r="D90" s="216"/>
      <c r="E90" s="216"/>
      <c r="F90" s="216">
        <v>24634929.239999998</v>
      </c>
      <c r="G90" s="216"/>
      <c r="H90" s="216"/>
      <c r="I90" s="217">
        <v>24634929.239999998</v>
      </c>
      <c r="L90" s="353" t="s">
        <v>1000</v>
      </c>
      <c r="M90" s="215"/>
      <c r="N90" s="216"/>
      <c r="O90" s="216"/>
      <c r="P90" s="216">
        <v>0</v>
      </c>
      <c r="Q90" s="216"/>
      <c r="R90" s="216"/>
      <c r="S90" s="217">
        <v>0</v>
      </c>
    </row>
    <row r="91" spans="2:19" x14ac:dyDescent="0.25">
      <c r="B91" s="214" t="s">
        <v>317</v>
      </c>
      <c r="C91" s="349">
        <v>23054518.190000005</v>
      </c>
      <c r="D91" s="350">
        <v>68998303.280000001</v>
      </c>
      <c r="E91" s="350">
        <v>4137929.6999999997</v>
      </c>
      <c r="F91" s="350">
        <v>183565646.96000001</v>
      </c>
      <c r="G91" s="350">
        <v>30000</v>
      </c>
      <c r="H91" s="350">
        <v>175038917.99000001</v>
      </c>
      <c r="I91" s="217">
        <v>454825316.12</v>
      </c>
      <c r="L91" s="214" t="s">
        <v>317</v>
      </c>
      <c r="M91" s="215">
        <v>4307513</v>
      </c>
      <c r="N91" s="216">
        <v>84650366.099999994</v>
      </c>
      <c r="O91" s="216">
        <v>0</v>
      </c>
      <c r="P91" s="216">
        <v>140427234.56999999</v>
      </c>
      <c r="Q91" s="216">
        <v>0</v>
      </c>
      <c r="R91" s="216">
        <v>268349392.5</v>
      </c>
      <c r="S91" s="217">
        <v>497734506.16999996</v>
      </c>
    </row>
    <row r="92" spans="2:19" x14ac:dyDescent="0.25">
      <c r="B92" s="352" t="s">
        <v>398</v>
      </c>
      <c r="C92" s="215"/>
      <c r="D92" s="216">
        <v>30000000</v>
      </c>
      <c r="E92" s="216"/>
      <c r="F92" s="216"/>
      <c r="G92" s="216"/>
      <c r="H92" s="216"/>
      <c r="I92" s="417">
        <v>30000000</v>
      </c>
      <c r="L92" s="353" t="s">
        <v>398</v>
      </c>
      <c r="M92" s="215"/>
      <c r="N92" s="216">
        <v>0</v>
      </c>
      <c r="O92" s="216"/>
      <c r="P92" s="216"/>
      <c r="Q92" s="216"/>
      <c r="R92" s="216"/>
      <c r="S92" s="217">
        <v>0</v>
      </c>
    </row>
    <row r="93" spans="2:19" x14ac:dyDescent="0.25">
      <c r="B93" s="352" t="s">
        <v>412</v>
      </c>
      <c r="C93" s="215"/>
      <c r="D93" s="216">
        <v>38840303.280000001</v>
      </c>
      <c r="E93" s="216">
        <v>3846629.6999999997</v>
      </c>
      <c r="F93" s="216"/>
      <c r="G93" s="216"/>
      <c r="H93" s="216">
        <v>12409462.539999999</v>
      </c>
      <c r="I93" s="417">
        <v>55096395.520000003</v>
      </c>
      <c r="L93" s="352" t="s">
        <v>412</v>
      </c>
      <c r="M93" s="215"/>
      <c r="N93" s="216">
        <v>0</v>
      </c>
      <c r="O93" s="216">
        <v>0</v>
      </c>
      <c r="P93" s="216"/>
      <c r="Q93" s="216"/>
      <c r="R93" s="216">
        <v>0</v>
      </c>
      <c r="S93" s="217">
        <v>0</v>
      </c>
    </row>
    <row r="94" spans="2:19" x14ac:dyDescent="0.25">
      <c r="B94" s="352" t="s">
        <v>403</v>
      </c>
      <c r="C94" s="215"/>
      <c r="D94" s="216">
        <v>140000</v>
      </c>
      <c r="E94" s="216">
        <v>241300</v>
      </c>
      <c r="F94" s="216"/>
      <c r="G94" s="216"/>
      <c r="H94" s="216"/>
      <c r="I94" s="417">
        <v>381300</v>
      </c>
      <c r="L94" s="352" t="s">
        <v>403</v>
      </c>
      <c r="M94" s="215"/>
      <c r="N94" s="216">
        <v>0</v>
      </c>
      <c r="O94" s="216">
        <v>0</v>
      </c>
      <c r="P94" s="216"/>
      <c r="Q94" s="216"/>
      <c r="R94" s="216"/>
      <c r="S94" s="217">
        <v>0</v>
      </c>
    </row>
    <row r="95" spans="2:19" x14ac:dyDescent="0.25">
      <c r="B95" s="352" t="s">
        <v>384</v>
      </c>
      <c r="C95" s="215">
        <v>7675943.3800000027</v>
      </c>
      <c r="D95" s="216">
        <v>18000</v>
      </c>
      <c r="E95" s="216">
        <v>50000</v>
      </c>
      <c r="F95" s="216"/>
      <c r="G95" s="216">
        <v>30000</v>
      </c>
      <c r="H95" s="216"/>
      <c r="I95" s="417">
        <v>7773943.3800000027</v>
      </c>
      <c r="L95" s="352" t="s">
        <v>384</v>
      </c>
      <c r="M95" s="215">
        <v>0</v>
      </c>
      <c r="N95" s="216">
        <v>0</v>
      </c>
      <c r="O95" s="216">
        <v>0</v>
      </c>
      <c r="P95" s="216"/>
      <c r="Q95" s="216">
        <v>0</v>
      </c>
      <c r="R95" s="216"/>
      <c r="S95" s="217">
        <v>0</v>
      </c>
    </row>
    <row r="96" spans="2:19" x14ac:dyDescent="0.25">
      <c r="B96" s="352" t="s">
        <v>379</v>
      </c>
      <c r="C96" s="215"/>
      <c r="D96" s="216"/>
      <c r="E96" s="216"/>
      <c r="F96" s="216">
        <v>123383515.48</v>
      </c>
      <c r="G96" s="216"/>
      <c r="H96" s="216"/>
      <c r="I96" s="417">
        <v>123383515.48</v>
      </c>
      <c r="L96" s="352" t="s">
        <v>379</v>
      </c>
      <c r="M96" s="215"/>
      <c r="N96" s="216"/>
      <c r="O96" s="216"/>
      <c r="P96" s="216">
        <v>123383515.48</v>
      </c>
      <c r="Q96" s="216"/>
      <c r="R96" s="216"/>
      <c r="S96" s="217">
        <v>123383515.48</v>
      </c>
    </row>
    <row r="97" spans="2:19" x14ac:dyDescent="0.25">
      <c r="B97" s="352" t="s">
        <v>390</v>
      </c>
      <c r="C97" s="215">
        <v>5316647.8100000005</v>
      </c>
      <c r="D97" s="216"/>
      <c r="E97" s="216"/>
      <c r="F97" s="216"/>
      <c r="G97" s="216"/>
      <c r="H97" s="216"/>
      <c r="I97" s="417">
        <v>5316647.8100000005</v>
      </c>
      <c r="L97" s="352" t="s">
        <v>390</v>
      </c>
      <c r="M97" s="215">
        <v>0</v>
      </c>
      <c r="N97" s="216"/>
      <c r="O97" s="216"/>
      <c r="P97" s="216"/>
      <c r="Q97" s="216"/>
      <c r="R97" s="216"/>
      <c r="S97" s="217">
        <v>0</v>
      </c>
    </row>
    <row r="98" spans="2:19" x14ac:dyDescent="0.25">
      <c r="B98" s="352" t="s">
        <v>530</v>
      </c>
      <c r="C98" s="215">
        <v>1780000</v>
      </c>
      <c r="D98" s="216"/>
      <c r="E98" s="216"/>
      <c r="F98" s="216"/>
      <c r="G98" s="216"/>
      <c r="H98" s="216"/>
      <c r="I98" s="417">
        <v>1780000</v>
      </c>
      <c r="L98" s="352" t="s">
        <v>530</v>
      </c>
      <c r="M98" s="215">
        <v>0</v>
      </c>
      <c r="N98" s="216"/>
      <c r="O98" s="216"/>
      <c r="P98" s="216"/>
      <c r="Q98" s="216"/>
      <c r="R98" s="216"/>
      <c r="S98" s="217">
        <v>0</v>
      </c>
    </row>
    <row r="99" spans="2:19" x14ac:dyDescent="0.25">
      <c r="B99" s="352" t="s">
        <v>511</v>
      </c>
      <c r="C99" s="215">
        <v>1000000</v>
      </c>
      <c r="D99" s="216"/>
      <c r="E99" s="216"/>
      <c r="F99" s="216"/>
      <c r="G99" s="216"/>
      <c r="H99" s="216"/>
      <c r="I99" s="417">
        <v>1000000</v>
      </c>
      <c r="L99" s="352" t="s">
        <v>511</v>
      </c>
      <c r="M99" s="215">
        <v>0</v>
      </c>
      <c r="N99" s="216"/>
      <c r="O99" s="216"/>
      <c r="P99" s="216"/>
      <c r="Q99" s="216"/>
      <c r="R99" s="216"/>
      <c r="S99" s="217">
        <v>0</v>
      </c>
    </row>
    <row r="100" spans="2:19" x14ac:dyDescent="0.25">
      <c r="B100" s="352" t="s">
        <v>516</v>
      </c>
      <c r="C100" s="215"/>
      <c r="D100" s="216">
        <v>0</v>
      </c>
      <c r="E100" s="216"/>
      <c r="F100" s="216"/>
      <c r="G100" s="216"/>
      <c r="H100" s="216"/>
      <c r="I100" s="417">
        <v>0</v>
      </c>
      <c r="L100" s="352" t="s">
        <v>516</v>
      </c>
      <c r="M100" s="215"/>
      <c r="N100" s="216">
        <v>84650366.099999994</v>
      </c>
      <c r="O100" s="216"/>
      <c r="P100" s="216"/>
      <c r="Q100" s="216"/>
      <c r="R100" s="216"/>
      <c r="S100" s="217">
        <v>84650366.099999994</v>
      </c>
    </row>
    <row r="101" spans="2:19" x14ac:dyDescent="0.25">
      <c r="B101" s="352" t="s">
        <v>949</v>
      </c>
      <c r="C101" s="215"/>
      <c r="D101" s="216"/>
      <c r="E101" s="216"/>
      <c r="F101" s="216"/>
      <c r="G101" s="216"/>
      <c r="H101" s="216">
        <v>0</v>
      </c>
      <c r="I101" s="417">
        <v>0</v>
      </c>
      <c r="L101" s="352" t="s">
        <v>949</v>
      </c>
      <c r="M101" s="215"/>
      <c r="N101" s="216"/>
      <c r="O101" s="216"/>
      <c r="P101" s="216"/>
      <c r="Q101" s="216"/>
      <c r="R101" s="216">
        <v>268349392.5</v>
      </c>
      <c r="S101" s="217">
        <v>268349392.5</v>
      </c>
    </row>
    <row r="102" spans="2:19" x14ac:dyDescent="0.25">
      <c r="B102" s="352" t="s">
        <v>453</v>
      </c>
      <c r="C102" s="215">
        <v>4185647</v>
      </c>
      <c r="D102" s="216"/>
      <c r="E102" s="216"/>
      <c r="F102" s="216"/>
      <c r="G102" s="216"/>
      <c r="H102" s="216"/>
      <c r="I102" s="417">
        <v>4185647</v>
      </c>
      <c r="L102" s="352" t="s">
        <v>453</v>
      </c>
      <c r="M102" s="215">
        <v>4307513</v>
      </c>
      <c r="N102" s="216"/>
      <c r="O102" s="216"/>
      <c r="P102" s="216"/>
      <c r="Q102" s="216"/>
      <c r="R102" s="216"/>
      <c r="S102" s="217">
        <v>4307513</v>
      </c>
    </row>
    <row r="103" spans="2:19" x14ac:dyDescent="0.25">
      <c r="B103" s="352" t="s">
        <v>457</v>
      </c>
      <c r="C103" s="215"/>
      <c r="D103" s="216"/>
      <c r="E103" s="216"/>
      <c r="F103" s="216">
        <v>3690666.26</v>
      </c>
      <c r="G103" s="216"/>
      <c r="H103" s="216"/>
      <c r="I103" s="417">
        <v>3690666.26</v>
      </c>
      <c r="L103" s="353" t="s">
        <v>457</v>
      </c>
      <c r="M103" s="215"/>
      <c r="N103" s="216"/>
      <c r="O103" s="216"/>
      <c r="P103" s="216">
        <v>0</v>
      </c>
      <c r="Q103" s="216"/>
      <c r="R103" s="216"/>
      <c r="S103" s="217">
        <v>0</v>
      </c>
    </row>
    <row r="104" spans="2:19" x14ac:dyDescent="0.25">
      <c r="B104" s="352" t="s">
        <v>1073</v>
      </c>
      <c r="C104" s="215"/>
      <c r="D104" s="216"/>
      <c r="E104" s="216"/>
      <c r="F104" s="216">
        <v>39491465.219999999</v>
      </c>
      <c r="G104" s="216"/>
      <c r="H104" s="216"/>
      <c r="I104" s="417">
        <v>39491465.219999999</v>
      </c>
      <c r="L104" s="352" t="s">
        <v>1073</v>
      </c>
      <c r="M104" s="215"/>
      <c r="N104" s="216"/>
      <c r="O104" s="216"/>
      <c r="P104" s="216">
        <v>0</v>
      </c>
      <c r="Q104" s="216"/>
      <c r="R104" s="216"/>
      <c r="S104" s="217">
        <v>0</v>
      </c>
    </row>
    <row r="105" spans="2:19" x14ac:dyDescent="0.25">
      <c r="B105" s="352" t="s">
        <v>387</v>
      </c>
      <c r="C105" s="215">
        <v>3096280</v>
      </c>
      <c r="D105" s="216"/>
      <c r="E105" s="216"/>
      <c r="F105" s="216"/>
      <c r="G105" s="216"/>
      <c r="H105" s="216"/>
      <c r="I105" s="417">
        <v>3096280</v>
      </c>
      <c r="L105" s="352" t="s">
        <v>387</v>
      </c>
      <c r="M105" s="215">
        <v>0</v>
      </c>
      <c r="N105" s="216"/>
      <c r="O105" s="216"/>
      <c r="P105" s="216"/>
      <c r="Q105" s="216"/>
      <c r="R105" s="216"/>
      <c r="S105" s="217">
        <v>0</v>
      </c>
    </row>
    <row r="106" spans="2:19" x14ac:dyDescent="0.25">
      <c r="B106" s="352" t="s">
        <v>995</v>
      </c>
      <c r="C106" s="215"/>
      <c r="D106" s="216"/>
      <c r="E106" s="216"/>
      <c r="F106" s="216">
        <v>17000000</v>
      </c>
      <c r="G106" s="216"/>
      <c r="H106" s="216"/>
      <c r="I106" s="417">
        <v>17000000</v>
      </c>
      <c r="L106" s="352" t="s">
        <v>995</v>
      </c>
      <c r="M106" s="215"/>
      <c r="N106" s="216"/>
      <c r="O106" s="216"/>
      <c r="P106" s="216">
        <v>17043719.09</v>
      </c>
      <c r="Q106" s="216"/>
      <c r="R106" s="216"/>
      <c r="S106" s="217">
        <v>17043719.09</v>
      </c>
    </row>
    <row r="107" spans="2:19" x14ac:dyDescent="0.25">
      <c r="B107" s="352" t="s">
        <v>690</v>
      </c>
      <c r="C107" s="215"/>
      <c r="D107" s="216"/>
      <c r="E107" s="216"/>
      <c r="F107" s="216"/>
      <c r="G107" s="216"/>
      <c r="H107" s="216">
        <v>162629455.45000002</v>
      </c>
      <c r="I107" s="417">
        <v>162629455.45000002</v>
      </c>
      <c r="L107" s="352" t="s">
        <v>690</v>
      </c>
      <c r="M107" s="215"/>
      <c r="N107" s="216"/>
      <c r="O107" s="216"/>
      <c r="P107" s="216"/>
      <c r="Q107" s="216"/>
      <c r="R107" s="216">
        <v>0</v>
      </c>
      <c r="S107" s="217">
        <v>0</v>
      </c>
    </row>
    <row r="108" spans="2:19" x14ac:dyDescent="0.25">
      <c r="B108" s="214" t="s">
        <v>318</v>
      </c>
      <c r="C108" s="349">
        <v>18168106.66</v>
      </c>
      <c r="D108" s="350">
        <v>21504823.41</v>
      </c>
      <c r="E108" s="350">
        <v>2087098.9699999997</v>
      </c>
      <c r="F108" s="350">
        <v>322398475.81999999</v>
      </c>
      <c r="G108" s="350">
        <v>283000</v>
      </c>
      <c r="H108" s="350">
        <v>160092138.24000001</v>
      </c>
      <c r="I108" s="217">
        <v>524533643.10000002</v>
      </c>
      <c r="L108" s="214" t="s">
        <v>318</v>
      </c>
      <c r="M108" s="215">
        <v>0</v>
      </c>
      <c r="N108" s="216">
        <v>62884513.010000005</v>
      </c>
      <c r="O108" s="216">
        <v>0</v>
      </c>
      <c r="P108" s="216">
        <v>388091175.81</v>
      </c>
      <c r="Q108" s="216">
        <v>0</v>
      </c>
      <c r="R108" s="216">
        <v>62350099</v>
      </c>
      <c r="S108" s="217">
        <v>513325787.81999999</v>
      </c>
    </row>
    <row r="109" spans="2:19" x14ac:dyDescent="0.25">
      <c r="B109" s="352" t="s">
        <v>398</v>
      </c>
      <c r="C109" s="215"/>
      <c r="D109" s="216"/>
      <c r="E109" s="216"/>
      <c r="F109" s="216"/>
      <c r="G109" s="216"/>
      <c r="H109" s="216">
        <v>761343.66</v>
      </c>
      <c r="I109" s="417">
        <v>761343.66</v>
      </c>
      <c r="L109" s="352" t="s">
        <v>398</v>
      </c>
      <c r="M109" s="215"/>
      <c r="N109" s="216"/>
      <c r="O109" s="216"/>
      <c r="P109" s="216"/>
      <c r="Q109" s="216"/>
      <c r="R109" s="216">
        <v>0</v>
      </c>
      <c r="S109" s="217">
        <v>0</v>
      </c>
    </row>
    <row r="110" spans="2:19" x14ac:dyDescent="0.25">
      <c r="B110" s="352" t="s">
        <v>412</v>
      </c>
      <c r="C110" s="215"/>
      <c r="D110" s="216">
        <v>16365604.41</v>
      </c>
      <c r="E110" s="216">
        <v>1806098.9699999997</v>
      </c>
      <c r="F110" s="216"/>
      <c r="G110" s="216"/>
      <c r="H110" s="216">
        <v>23324990.620000001</v>
      </c>
      <c r="I110" s="417">
        <v>41496694</v>
      </c>
      <c r="L110" s="352" t="s">
        <v>412</v>
      </c>
      <c r="M110" s="215"/>
      <c r="N110" s="216">
        <v>0</v>
      </c>
      <c r="O110" s="216">
        <v>0</v>
      </c>
      <c r="P110" s="216"/>
      <c r="Q110" s="216"/>
      <c r="R110" s="216">
        <v>0</v>
      </c>
      <c r="S110" s="217">
        <v>0</v>
      </c>
    </row>
    <row r="111" spans="2:19" x14ac:dyDescent="0.25">
      <c r="B111" s="352" t="s">
        <v>403</v>
      </c>
      <c r="C111" s="215">
        <v>171000</v>
      </c>
      <c r="D111" s="216">
        <v>5139219</v>
      </c>
      <c r="E111" s="216">
        <v>281000</v>
      </c>
      <c r="F111" s="216"/>
      <c r="G111" s="216"/>
      <c r="H111" s="216"/>
      <c r="I111" s="417">
        <v>5591219</v>
      </c>
      <c r="L111" s="352" t="s">
        <v>403</v>
      </c>
      <c r="M111" s="215">
        <v>0</v>
      </c>
      <c r="N111" s="216">
        <v>0</v>
      </c>
      <c r="O111" s="216">
        <v>0</v>
      </c>
      <c r="P111" s="216"/>
      <c r="Q111" s="216"/>
      <c r="R111" s="216"/>
      <c r="S111" s="217">
        <v>0</v>
      </c>
    </row>
    <row r="112" spans="2:19" x14ac:dyDescent="0.25">
      <c r="B112" s="352" t="s">
        <v>384</v>
      </c>
      <c r="C112" s="215">
        <v>6362123.54</v>
      </c>
      <c r="D112" s="216"/>
      <c r="E112" s="216"/>
      <c r="F112" s="216"/>
      <c r="G112" s="216">
        <v>283000</v>
      </c>
      <c r="H112" s="216">
        <v>2040786</v>
      </c>
      <c r="I112" s="417">
        <v>8685909.5399999991</v>
      </c>
      <c r="L112" s="352" t="s">
        <v>384</v>
      </c>
      <c r="M112" s="215">
        <v>0</v>
      </c>
      <c r="N112" s="216"/>
      <c r="O112" s="216"/>
      <c r="P112" s="216"/>
      <c r="Q112" s="216">
        <v>0</v>
      </c>
      <c r="R112" s="216">
        <v>0</v>
      </c>
      <c r="S112" s="217">
        <v>0</v>
      </c>
    </row>
    <row r="113" spans="2:19" x14ac:dyDescent="0.25">
      <c r="B113" s="352" t="s">
        <v>379</v>
      </c>
      <c r="C113" s="215"/>
      <c r="D113" s="216"/>
      <c r="E113" s="216"/>
      <c r="F113" s="216">
        <v>175773751.28999999</v>
      </c>
      <c r="G113" s="216"/>
      <c r="H113" s="216"/>
      <c r="I113" s="417">
        <v>175773751.28999999</v>
      </c>
      <c r="L113" s="352" t="s">
        <v>379</v>
      </c>
      <c r="M113" s="215"/>
      <c r="N113" s="216"/>
      <c r="O113" s="216"/>
      <c r="P113" s="216">
        <v>175773751.28999999</v>
      </c>
      <c r="Q113" s="216"/>
      <c r="R113" s="216"/>
      <c r="S113" s="217">
        <v>175773751.28999999</v>
      </c>
    </row>
    <row r="114" spans="2:19" x14ac:dyDescent="0.25">
      <c r="B114" s="352" t="s">
        <v>442</v>
      </c>
      <c r="C114" s="215"/>
      <c r="D114" s="216"/>
      <c r="E114" s="216"/>
      <c r="F114" s="216">
        <v>0</v>
      </c>
      <c r="G114" s="216"/>
      <c r="H114" s="216"/>
      <c r="I114" s="417">
        <v>0</v>
      </c>
      <c r="L114" s="352" t="s">
        <v>442</v>
      </c>
      <c r="M114" s="215"/>
      <c r="N114" s="216"/>
      <c r="O114" s="216"/>
      <c r="P114" s="216">
        <v>137677590.21999997</v>
      </c>
      <c r="Q114" s="216"/>
      <c r="R114" s="216"/>
      <c r="S114" s="217">
        <v>137677590.21999997</v>
      </c>
    </row>
    <row r="115" spans="2:19" x14ac:dyDescent="0.25">
      <c r="B115" s="352" t="s">
        <v>390</v>
      </c>
      <c r="C115" s="215">
        <v>2927753.12</v>
      </c>
      <c r="D115" s="216"/>
      <c r="E115" s="216"/>
      <c r="F115" s="216"/>
      <c r="G115" s="216"/>
      <c r="H115" s="216"/>
      <c r="I115" s="417">
        <v>2927753.12</v>
      </c>
      <c r="L115" s="352" t="s">
        <v>390</v>
      </c>
      <c r="M115" s="215">
        <v>0</v>
      </c>
      <c r="N115" s="216"/>
      <c r="O115" s="216"/>
      <c r="P115" s="216"/>
      <c r="Q115" s="216"/>
      <c r="R115" s="216"/>
      <c r="S115" s="217">
        <v>0</v>
      </c>
    </row>
    <row r="116" spans="2:19" x14ac:dyDescent="0.25">
      <c r="B116" s="352" t="s">
        <v>530</v>
      </c>
      <c r="C116" s="215">
        <v>3300000</v>
      </c>
      <c r="D116" s="216"/>
      <c r="E116" s="216"/>
      <c r="F116" s="216"/>
      <c r="G116" s="216"/>
      <c r="H116" s="216"/>
      <c r="I116" s="417">
        <v>3300000</v>
      </c>
      <c r="L116" s="352" t="s">
        <v>530</v>
      </c>
      <c r="M116" s="215">
        <v>0</v>
      </c>
      <c r="N116" s="216"/>
      <c r="O116" s="216"/>
      <c r="P116" s="216"/>
      <c r="Q116" s="216"/>
      <c r="R116" s="216"/>
      <c r="S116" s="217">
        <v>0</v>
      </c>
    </row>
    <row r="117" spans="2:19" x14ac:dyDescent="0.25">
      <c r="B117" s="352" t="s">
        <v>516</v>
      </c>
      <c r="C117" s="215"/>
      <c r="D117" s="216">
        <v>0</v>
      </c>
      <c r="E117" s="216"/>
      <c r="F117" s="216"/>
      <c r="G117" s="216"/>
      <c r="H117" s="216"/>
      <c r="I117" s="417">
        <v>0</v>
      </c>
      <c r="L117" s="352" t="s">
        <v>516</v>
      </c>
      <c r="M117" s="215"/>
      <c r="N117" s="216">
        <v>62884513.010000005</v>
      </c>
      <c r="O117" s="216"/>
      <c r="P117" s="216"/>
      <c r="Q117" s="216"/>
      <c r="R117" s="216"/>
      <c r="S117" s="217">
        <v>62884513.010000005</v>
      </c>
    </row>
    <row r="118" spans="2:19" x14ac:dyDescent="0.25">
      <c r="B118" s="352" t="s">
        <v>949</v>
      </c>
      <c r="C118" s="215"/>
      <c r="D118" s="216"/>
      <c r="E118" s="216"/>
      <c r="F118" s="216"/>
      <c r="G118" s="216"/>
      <c r="H118" s="216">
        <v>0</v>
      </c>
      <c r="I118" s="417">
        <v>0</v>
      </c>
      <c r="L118" s="352" t="s">
        <v>949</v>
      </c>
      <c r="M118" s="215"/>
      <c r="N118" s="216"/>
      <c r="O118" s="216"/>
      <c r="P118" s="216"/>
      <c r="Q118" s="216"/>
      <c r="R118" s="216">
        <v>62350099</v>
      </c>
      <c r="S118" s="217">
        <v>62350099</v>
      </c>
    </row>
    <row r="119" spans="2:19" x14ac:dyDescent="0.25">
      <c r="B119" s="352" t="s">
        <v>453</v>
      </c>
      <c r="C119" s="215">
        <v>1871070</v>
      </c>
      <c r="D119" s="216"/>
      <c r="E119" s="216"/>
      <c r="F119" s="216"/>
      <c r="G119" s="216"/>
      <c r="H119" s="216"/>
      <c r="I119" s="417">
        <v>1871070</v>
      </c>
      <c r="L119" s="352" t="s">
        <v>453</v>
      </c>
      <c r="M119" s="215">
        <v>0</v>
      </c>
      <c r="N119" s="216"/>
      <c r="O119" s="216"/>
      <c r="P119" s="216"/>
      <c r="Q119" s="216"/>
      <c r="R119" s="216"/>
      <c r="S119" s="217">
        <v>0</v>
      </c>
    </row>
    <row r="120" spans="2:19" x14ac:dyDescent="0.25">
      <c r="B120" s="352" t="s">
        <v>457</v>
      </c>
      <c r="C120" s="215"/>
      <c r="D120" s="216"/>
      <c r="E120" s="216"/>
      <c r="F120" s="216">
        <v>3686904.33</v>
      </c>
      <c r="G120" s="216"/>
      <c r="H120" s="216"/>
      <c r="I120" s="417">
        <v>3686904.33</v>
      </c>
      <c r="L120" s="352" t="s">
        <v>457</v>
      </c>
      <c r="M120" s="215"/>
      <c r="N120" s="216"/>
      <c r="O120" s="216"/>
      <c r="P120" s="216">
        <v>0</v>
      </c>
      <c r="Q120" s="216"/>
      <c r="R120" s="216"/>
      <c r="S120" s="217">
        <v>0</v>
      </c>
    </row>
    <row r="121" spans="2:19" x14ac:dyDescent="0.25">
      <c r="B121" s="352" t="s">
        <v>1073</v>
      </c>
      <c r="C121" s="215"/>
      <c r="D121" s="216"/>
      <c r="E121" s="216"/>
      <c r="F121" s="216">
        <v>33934206.200000003</v>
      </c>
      <c r="G121" s="216"/>
      <c r="H121" s="216"/>
      <c r="I121" s="417">
        <v>33934206.200000003</v>
      </c>
      <c r="L121" s="352" t="s">
        <v>1073</v>
      </c>
      <c r="M121" s="215"/>
      <c r="N121" s="216"/>
      <c r="O121" s="216"/>
      <c r="P121" s="216">
        <v>0</v>
      </c>
      <c r="Q121" s="216"/>
      <c r="R121" s="216"/>
      <c r="S121" s="217">
        <v>0</v>
      </c>
    </row>
    <row r="122" spans="2:19" x14ac:dyDescent="0.25">
      <c r="B122" s="352" t="s">
        <v>387</v>
      </c>
      <c r="C122" s="215">
        <v>3536160</v>
      </c>
      <c r="D122" s="216"/>
      <c r="E122" s="216"/>
      <c r="F122" s="216"/>
      <c r="G122" s="216"/>
      <c r="H122" s="216"/>
      <c r="I122" s="417">
        <v>3536160</v>
      </c>
      <c r="L122" s="352" t="s">
        <v>387</v>
      </c>
      <c r="M122" s="215">
        <v>0</v>
      </c>
      <c r="N122" s="216"/>
      <c r="O122" s="216"/>
      <c r="P122" s="216"/>
      <c r="Q122" s="216"/>
      <c r="R122" s="216"/>
      <c r="S122" s="217">
        <v>0</v>
      </c>
    </row>
    <row r="123" spans="2:19" x14ac:dyDescent="0.25">
      <c r="B123" s="352" t="s">
        <v>995</v>
      </c>
      <c r="C123" s="215"/>
      <c r="D123" s="216"/>
      <c r="E123" s="216"/>
      <c r="F123" s="216">
        <v>74000000</v>
      </c>
      <c r="G123" s="216"/>
      <c r="H123" s="216"/>
      <c r="I123" s="417">
        <v>74000000</v>
      </c>
      <c r="L123" s="352" t="s">
        <v>995</v>
      </c>
      <c r="M123" s="215"/>
      <c r="N123" s="216"/>
      <c r="O123" s="216"/>
      <c r="P123" s="216">
        <v>74639834.299999997</v>
      </c>
      <c r="Q123" s="216"/>
      <c r="R123" s="216"/>
      <c r="S123" s="217">
        <v>74639834.299999997</v>
      </c>
    </row>
    <row r="124" spans="2:19" x14ac:dyDescent="0.25">
      <c r="B124" s="352" t="s">
        <v>690</v>
      </c>
      <c r="C124" s="215"/>
      <c r="D124" s="216"/>
      <c r="E124" s="216"/>
      <c r="F124" s="216"/>
      <c r="G124" s="216"/>
      <c r="H124" s="216">
        <v>133965017.96000001</v>
      </c>
      <c r="I124" s="417">
        <v>133965017.96000001</v>
      </c>
      <c r="L124" s="352" t="s">
        <v>690</v>
      </c>
      <c r="M124" s="215"/>
      <c r="N124" s="216"/>
      <c r="O124" s="216"/>
      <c r="P124" s="216"/>
      <c r="Q124" s="216"/>
      <c r="R124" s="216">
        <v>0</v>
      </c>
      <c r="S124" s="217">
        <v>0</v>
      </c>
    </row>
    <row r="125" spans="2:19" x14ac:dyDescent="0.25">
      <c r="B125" s="352" t="s">
        <v>1129</v>
      </c>
      <c r="C125" s="215"/>
      <c r="D125" s="216"/>
      <c r="E125" s="216"/>
      <c r="F125" s="216">
        <v>35003614</v>
      </c>
      <c r="G125" s="216"/>
      <c r="H125" s="216"/>
      <c r="I125" s="217">
        <v>35003614</v>
      </c>
      <c r="L125" s="352" t="s">
        <v>1129</v>
      </c>
      <c r="M125" s="215"/>
      <c r="N125" s="216"/>
      <c r="O125" s="216"/>
      <c r="P125" s="216">
        <v>0</v>
      </c>
      <c r="Q125" s="216"/>
      <c r="R125" s="216"/>
      <c r="S125" s="217">
        <v>0</v>
      </c>
    </row>
    <row r="126" spans="2:19" x14ac:dyDescent="0.25">
      <c r="B126" s="214" t="s">
        <v>319</v>
      </c>
      <c r="C126" s="349">
        <v>9708596.3999999985</v>
      </c>
      <c r="D126" s="350">
        <v>41357818.82</v>
      </c>
      <c r="E126" s="350">
        <v>2837030.33</v>
      </c>
      <c r="F126" s="350">
        <v>158737168.78999999</v>
      </c>
      <c r="G126" s="350">
        <v>30000</v>
      </c>
      <c r="H126" s="350">
        <v>72070519.219999999</v>
      </c>
      <c r="I126" s="217">
        <v>284741133.56</v>
      </c>
      <c r="L126" s="214" t="s">
        <v>319</v>
      </c>
      <c r="M126" s="215">
        <v>5915412</v>
      </c>
      <c r="N126" s="216">
        <v>2507926.9900000002</v>
      </c>
      <c r="O126" s="216">
        <v>0</v>
      </c>
      <c r="P126" s="216">
        <v>191381628</v>
      </c>
      <c r="Q126" s="216">
        <v>0</v>
      </c>
      <c r="R126" s="216">
        <v>0</v>
      </c>
      <c r="S126" s="217">
        <v>199804966.99000001</v>
      </c>
    </row>
    <row r="127" spans="2:19" x14ac:dyDescent="0.25">
      <c r="B127" s="352" t="s">
        <v>398</v>
      </c>
      <c r="C127" s="215"/>
      <c r="D127" s="216">
        <v>24070696.420000002</v>
      </c>
      <c r="E127" s="216"/>
      <c r="F127" s="216"/>
      <c r="G127" s="216"/>
      <c r="H127" s="216"/>
      <c r="I127" s="417">
        <v>24070696.420000002</v>
      </c>
      <c r="L127" s="352" t="s">
        <v>398</v>
      </c>
      <c r="M127" s="215"/>
      <c r="N127" s="216">
        <v>0</v>
      </c>
      <c r="O127" s="216"/>
      <c r="P127" s="216"/>
      <c r="Q127" s="216"/>
      <c r="R127" s="216"/>
      <c r="S127" s="217">
        <v>0</v>
      </c>
    </row>
    <row r="128" spans="2:19" x14ac:dyDescent="0.25">
      <c r="B128" s="352" t="s">
        <v>412</v>
      </c>
      <c r="C128" s="215"/>
      <c r="D128" s="216">
        <v>17267122.399999999</v>
      </c>
      <c r="E128" s="216">
        <v>2658030.33</v>
      </c>
      <c r="F128" s="216"/>
      <c r="G128" s="216"/>
      <c r="H128" s="216">
        <v>16993551.59</v>
      </c>
      <c r="I128" s="417">
        <v>36918704.319999993</v>
      </c>
      <c r="L128" s="352" t="s">
        <v>412</v>
      </c>
      <c r="M128" s="215"/>
      <c r="N128" s="216">
        <v>0</v>
      </c>
      <c r="O128" s="216">
        <v>0</v>
      </c>
      <c r="P128" s="216"/>
      <c r="Q128" s="216"/>
      <c r="R128" s="216">
        <v>0</v>
      </c>
      <c r="S128" s="217">
        <v>0</v>
      </c>
    </row>
    <row r="129" spans="2:19" x14ac:dyDescent="0.25">
      <c r="B129" s="352" t="s">
        <v>403</v>
      </c>
      <c r="C129" s="215"/>
      <c r="D129" s="216"/>
      <c r="E129" s="216">
        <v>179000</v>
      </c>
      <c r="F129" s="216"/>
      <c r="G129" s="216"/>
      <c r="H129" s="216"/>
      <c r="I129" s="417">
        <v>179000</v>
      </c>
      <c r="L129" s="352" t="s">
        <v>403</v>
      </c>
      <c r="M129" s="215"/>
      <c r="N129" s="216"/>
      <c r="O129" s="216">
        <v>0</v>
      </c>
      <c r="P129" s="216"/>
      <c r="Q129" s="216"/>
      <c r="R129" s="216"/>
      <c r="S129" s="217">
        <v>0</v>
      </c>
    </row>
    <row r="130" spans="2:19" x14ac:dyDescent="0.25">
      <c r="B130" s="352" t="s">
        <v>384</v>
      </c>
      <c r="C130" s="215">
        <v>2759770.7299999991</v>
      </c>
      <c r="D130" s="216">
        <v>20000</v>
      </c>
      <c r="E130" s="216"/>
      <c r="F130" s="216"/>
      <c r="G130" s="216">
        <v>30000</v>
      </c>
      <c r="H130" s="216"/>
      <c r="I130" s="417">
        <v>2809770.7299999991</v>
      </c>
      <c r="L130" s="352" t="s">
        <v>384</v>
      </c>
      <c r="M130" s="215">
        <v>0</v>
      </c>
      <c r="N130" s="216">
        <v>0</v>
      </c>
      <c r="O130" s="216"/>
      <c r="P130" s="216"/>
      <c r="Q130" s="216">
        <v>0</v>
      </c>
      <c r="R130" s="216"/>
      <c r="S130" s="217">
        <v>0</v>
      </c>
    </row>
    <row r="131" spans="2:19" x14ac:dyDescent="0.25">
      <c r="B131" s="352" t="s">
        <v>379</v>
      </c>
      <c r="C131" s="215"/>
      <c r="D131" s="216"/>
      <c r="E131" s="216"/>
      <c r="F131" s="216">
        <v>88381997.769999996</v>
      </c>
      <c r="G131" s="216"/>
      <c r="H131" s="216"/>
      <c r="I131" s="417">
        <v>88381997.769999996</v>
      </c>
      <c r="L131" s="352" t="s">
        <v>379</v>
      </c>
      <c r="M131" s="215"/>
      <c r="N131" s="216"/>
      <c r="O131" s="216"/>
      <c r="P131" s="216">
        <v>88381628</v>
      </c>
      <c r="Q131" s="216"/>
      <c r="R131" s="216"/>
      <c r="S131" s="217">
        <v>88381628</v>
      </c>
    </row>
    <row r="132" spans="2:19" x14ac:dyDescent="0.25">
      <c r="B132" s="352" t="s">
        <v>442</v>
      </c>
      <c r="C132" s="215"/>
      <c r="D132" s="216"/>
      <c r="E132" s="216"/>
      <c r="F132" s="216">
        <v>0</v>
      </c>
      <c r="G132" s="216"/>
      <c r="H132" s="216"/>
      <c r="I132" s="417">
        <v>0</v>
      </c>
      <c r="L132" s="352" t="s">
        <v>442</v>
      </c>
      <c r="M132" s="215"/>
      <c r="N132" s="216"/>
      <c r="O132" s="216"/>
      <c r="P132" s="216">
        <v>103000000</v>
      </c>
      <c r="Q132" s="216"/>
      <c r="R132" s="216"/>
      <c r="S132" s="217">
        <v>103000000</v>
      </c>
    </row>
    <row r="133" spans="2:19" x14ac:dyDescent="0.25">
      <c r="B133" s="352" t="s">
        <v>390</v>
      </c>
      <c r="C133" s="215">
        <v>2672486.67</v>
      </c>
      <c r="D133" s="216"/>
      <c r="E133" s="216"/>
      <c r="F133" s="216"/>
      <c r="G133" s="216"/>
      <c r="H133" s="216"/>
      <c r="I133" s="417">
        <v>2672486.67</v>
      </c>
      <c r="L133" s="352" t="s">
        <v>390</v>
      </c>
      <c r="M133" s="215">
        <v>0</v>
      </c>
      <c r="N133" s="216"/>
      <c r="O133" s="216"/>
      <c r="P133" s="216"/>
      <c r="Q133" s="216"/>
      <c r="R133" s="216"/>
      <c r="S133" s="217">
        <v>0</v>
      </c>
    </row>
    <row r="134" spans="2:19" x14ac:dyDescent="0.25">
      <c r="B134" s="352" t="s">
        <v>530</v>
      </c>
      <c r="C134" s="215">
        <v>55000</v>
      </c>
      <c r="D134" s="216"/>
      <c r="E134" s="216"/>
      <c r="F134" s="216"/>
      <c r="G134" s="216"/>
      <c r="H134" s="216"/>
      <c r="I134" s="417">
        <v>55000</v>
      </c>
      <c r="L134" s="352" t="s">
        <v>530</v>
      </c>
      <c r="M134" s="215">
        <v>0</v>
      </c>
      <c r="N134" s="216"/>
      <c r="O134" s="216"/>
      <c r="P134" s="216"/>
      <c r="Q134" s="216"/>
      <c r="R134" s="216"/>
      <c r="S134" s="217">
        <v>0</v>
      </c>
    </row>
    <row r="135" spans="2:19" x14ac:dyDescent="0.25">
      <c r="B135" s="352" t="s">
        <v>516</v>
      </c>
      <c r="C135" s="215"/>
      <c r="D135" s="216">
        <v>0</v>
      </c>
      <c r="E135" s="216"/>
      <c r="F135" s="216"/>
      <c r="G135" s="216"/>
      <c r="H135" s="216"/>
      <c r="I135" s="417">
        <v>0</v>
      </c>
      <c r="L135" s="352" t="s">
        <v>516</v>
      </c>
      <c r="M135" s="215"/>
      <c r="N135" s="216">
        <v>2507926.9900000002</v>
      </c>
      <c r="O135" s="216"/>
      <c r="P135" s="216"/>
      <c r="Q135" s="216"/>
      <c r="R135" s="216"/>
      <c r="S135" s="217">
        <v>2507926.9900000002</v>
      </c>
    </row>
    <row r="136" spans="2:19" x14ac:dyDescent="0.25">
      <c r="B136" s="352" t="s">
        <v>439</v>
      </c>
      <c r="C136" s="215">
        <v>0</v>
      </c>
      <c r="D136" s="216"/>
      <c r="E136" s="216"/>
      <c r="F136" s="216"/>
      <c r="G136" s="216"/>
      <c r="H136" s="216"/>
      <c r="I136" s="217">
        <v>0</v>
      </c>
      <c r="L136" s="352" t="s">
        <v>439</v>
      </c>
      <c r="M136" s="215">
        <v>2100000</v>
      </c>
      <c r="N136" s="216"/>
      <c r="O136" s="216"/>
      <c r="P136" s="216"/>
      <c r="Q136" s="216"/>
      <c r="R136" s="216"/>
      <c r="S136" s="217">
        <v>2100000</v>
      </c>
    </row>
    <row r="137" spans="2:19" x14ac:dyDescent="0.25">
      <c r="B137" s="352" t="s">
        <v>453</v>
      </c>
      <c r="C137" s="215">
        <v>2215412</v>
      </c>
      <c r="D137" s="216"/>
      <c r="E137" s="216"/>
      <c r="F137" s="216"/>
      <c r="G137" s="216"/>
      <c r="H137" s="216"/>
      <c r="I137" s="417">
        <v>2215412</v>
      </c>
      <c r="L137" s="352" t="s">
        <v>453</v>
      </c>
      <c r="M137" s="215">
        <v>3815412</v>
      </c>
      <c r="N137" s="216"/>
      <c r="O137" s="216"/>
      <c r="P137" s="216"/>
      <c r="Q137" s="216"/>
      <c r="R137" s="216"/>
      <c r="S137" s="217">
        <v>3815412</v>
      </c>
    </row>
    <row r="138" spans="2:19" x14ac:dyDescent="0.25">
      <c r="B138" s="352" t="s">
        <v>457</v>
      </c>
      <c r="C138" s="215"/>
      <c r="D138" s="216"/>
      <c r="E138" s="216"/>
      <c r="F138" s="216">
        <v>3672109.11</v>
      </c>
      <c r="G138" s="216"/>
      <c r="H138" s="216"/>
      <c r="I138" s="417">
        <v>3672109.11</v>
      </c>
      <c r="L138" s="352" t="s">
        <v>457</v>
      </c>
      <c r="M138" s="215"/>
      <c r="N138" s="216"/>
      <c r="O138" s="216"/>
      <c r="P138" s="216">
        <v>0</v>
      </c>
      <c r="Q138" s="216"/>
      <c r="R138" s="216"/>
      <c r="S138" s="217">
        <v>0</v>
      </c>
    </row>
    <row r="139" spans="2:19" x14ac:dyDescent="0.25">
      <c r="B139" s="352" t="s">
        <v>387</v>
      </c>
      <c r="C139" s="215">
        <v>2005927</v>
      </c>
      <c r="D139" s="216"/>
      <c r="E139" s="216"/>
      <c r="F139" s="216"/>
      <c r="G139" s="216"/>
      <c r="H139" s="216"/>
      <c r="I139" s="417">
        <v>2005927</v>
      </c>
      <c r="L139" s="352" t="s">
        <v>387</v>
      </c>
      <c r="M139" s="215">
        <v>0</v>
      </c>
      <c r="N139" s="216"/>
      <c r="O139" s="216"/>
      <c r="P139" s="216"/>
      <c r="Q139" s="216"/>
      <c r="R139" s="216"/>
      <c r="S139" s="217">
        <v>0</v>
      </c>
    </row>
    <row r="140" spans="2:19" x14ac:dyDescent="0.25">
      <c r="B140" s="352" t="s">
        <v>555</v>
      </c>
      <c r="C140" s="215"/>
      <c r="D140" s="216"/>
      <c r="E140" s="216"/>
      <c r="F140" s="216">
        <v>66683061.909999996</v>
      </c>
      <c r="G140" s="216"/>
      <c r="H140" s="216"/>
      <c r="I140" s="217">
        <v>66683061.909999996</v>
      </c>
      <c r="L140" s="352" t="s">
        <v>555</v>
      </c>
      <c r="M140" s="215"/>
      <c r="N140" s="216"/>
      <c r="O140" s="216"/>
      <c r="P140" s="216">
        <v>0</v>
      </c>
      <c r="Q140" s="216"/>
      <c r="R140" s="216"/>
      <c r="S140" s="217">
        <v>0</v>
      </c>
    </row>
    <row r="141" spans="2:19" x14ac:dyDescent="0.25">
      <c r="B141" s="352" t="s">
        <v>690</v>
      </c>
      <c r="C141" s="215"/>
      <c r="D141" s="216"/>
      <c r="E141" s="216"/>
      <c r="F141" s="216"/>
      <c r="G141" s="216"/>
      <c r="H141" s="216">
        <v>55076967.630000003</v>
      </c>
      <c r="I141" s="417">
        <v>55076967.630000003</v>
      </c>
      <c r="L141" s="352" t="s">
        <v>690</v>
      </c>
      <c r="M141" s="215"/>
      <c r="N141" s="216"/>
      <c r="O141" s="216"/>
      <c r="P141" s="216"/>
      <c r="Q141" s="216"/>
      <c r="R141" s="216">
        <v>0</v>
      </c>
      <c r="S141" s="217">
        <v>0</v>
      </c>
    </row>
    <row r="142" spans="2:19" x14ac:dyDescent="0.25">
      <c r="B142" s="214" t="s">
        <v>320</v>
      </c>
      <c r="C142" s="349">
        <v>23572822.899999999</v>
      </c>
      <c r="D142" s="350">
        <v>56684110.769999996</v>
      </c>
      <c r="E142" s="350">
        <v>2100350</v>
      </c>
      <c r="F142" s="350">
        <v>114618460.89</v>
      </c>
      <c r="G142" s="350">
        <v>463216.42</v>
      </c>
      <c r="H142" s="350">
        <v>5290854.6999999993</v>
      </c>
      <c r="I142" s="217">
        <v>202729815.68000001</v>
      </c>
      <c r="L142" s="214" t="s">
        <v>320</v>
      </c>
      <c r="M142" s="215">
        <v>7770000</v>
      </c>
      <c r="N142" s="216">
        <v>58005716.789999999</v>
      </c>
      <c r="O142" s="216">
        <v>0</v>
      </c>
      <c r="P142" s="216">
        <v>121990060.87</v>
      </c>
      <c r="Q142" s="216">
        <v>0</v>
      </c>
      <c r="R142" s="216">
        <v>0</v>
      </c>
      <c r="S142" s="217">
        <v>187765777.66</v>
      </c>
    </row>
    <row r="143" spans="2:19" x14ac:dyDescent="0.25">
      <c r="B143" s="352" t="s">
        <v>398</v>
      </c>
      <c r="C143" s="215"/>
      <c r="D143" s="216">
        <v>34348253.549999997</v>
      </c>
      <c r="E143" s="216"/>
      <c r="F143" s="216"/>
      <c r="G143" s="216"/>
      <c r="H143" s="216"/>
      <c r="I143" s="417">
        <v>34348253.549999997</v>
      </c>
      <c r="L143" s="352" t="s">
        <v>398</v>
      </c>
      <c r="M143" s="215"/>
      <c r="N143" s="216">
        <v>0</v>
      </c>
      <c r="O143" s="216"/>
      <c r="P143" s="216"/>
      <c r="Q143" s="216"/>
      <c r="R143" s="216"/>
      <c r="S143" s="217">
        <v>0</v>
      </c>
    </row>
    <row r="144" spans="2:19" x14ac:dyDescent="0.25">
      <c r="B144" s="352" t="s">
        <v>412</v>
      </c>
      <c r="C144" s="215"/>
      <c r="D144" s="216">
        <v>22335857.219999999</v>
      </c>
      <c r="E144" s="216">
        <v>1870250</v>
      </c>
      <c r="F144" s="216"/>
      <c r="G144" s="216"/>
      <c r="H144" s="216">
        <v>5290854.6999999993</v>
      </c>
      <c r="I144" s="417">
        <v>29496961.919999998</v>
      </c>
      <c r="L144" s="352" t="s">
        <v>412</v>
      </c>
      <c r="M144" s="215"/>
      <c r="N144" s="216">
        <v>0</v>
      </c>
      <c r="O144" s="216">
        <v>0</v>
      </c>
      <c r="P144" s="216"/>
      <c r="Q144" s="216"/>
      <c r="R144" s="216">
        <v>0</v>
      </c>
      <c r="S144" s="217">
        <v>0</v>
      </c>
    </row>
    <row r="145" spans="2:19" x14ac:dyDescent="0.25">
      <c r="B145" s="352" t="s">
        <v>403</v>
      </c>
      <c r="C145" s="215"/>
      <c r="D145" s="216"/>
      <c r="E145" s="216">
        <v>230100</v>
      </c>
      <c r="F145" s="216"/>
      <c r="G145" s="216"/>
      <c r="H145" s="216"/>
      <c r="I145" s="417">
        <v>230100</v>
      </c>
      <c r="L145" s="352" t="s">
        <v>403</v>
      </c>
      <c r="M145" s="215"/>
      <c r="N145" s="216"/>
      <c r="O145" s="216">
        <v>0</v>
      </c>
      <c r="P145" s="216"/>
      <c r="Q145" s="216"/>
      <c r="R145" s="216"/>
      <c r="S145" s="217">
        <v>0</v>
      </c>
    </row>
    <row r="146" spans="2:19" x14ac:dyDescent="0.25">
      <c r="B146" s="352" t="s">
        <v>384</v>
      </c>
      <c r="C146" s="215">
        <v>7096008.209999999</v>
      </c>
      <c r="D146" s="216"/>
      <c r="E146" s="216"/>
      <c r="F146" s="216"/>
      <c r="G146" s="216">
        <v>463216.42</v>
      </c>
      <c r="H146" s="216"/>
      <c r="I146" s="417">
        <v>7559224.629999999</v>
      </c>
      <c r="L146" s="352" t="s">
        <v>384</v>
      </c>
      <c r="M146" s="215">
        <v>4300000</v>
      </c>
      <c r="N146" s="216"/>
      <c r="O146" s="216"/>
      <c r="P146" s="216"/>
      <c r="Q146" s="216">
        <v>0</v>
      </c>
      <c r="R146" s="216"/>
      <c r="S146" s="217">
        <v>4300000</v>
      </c>
    </row>
    <row r="147" spans="2:19" x14ac:dyDescent="0.25">
      <c r="B147" s="352" t="s">
        <v>379</v>
      </c>
      <c r="C147" s="215"/>
      <c r="D147" s="216"/>
      <c r="E147" s="216"/>
      <c r="F147" s="216">
        <v>78734031.25</v>
      </c>
      <c r="G147" s="216"/>
      <c r="H147" s="216"/>
      <c r="I147" s="417">
        <v>78734031.25</v>
      </c>
      <c r="L147" s="352" t="s">
        <v>379</v>
      </c>
      <c r="M147" s="215"/>
      <c r="N147" s="216"/>
      <c r="O147" s="216"/>
      <c r="P147" s="216">
        <v>78734031.25</v>
      </c>
      <c r="Q147" s="216"/>
      <c r="R147" s="216"/>
      <c r="S147" s="217">
        <v>78734031.25</v>
      </c>
    </row>
    <row r="148" spans="2:19" x14ac:dyDescent="0.25">
      <c r="B148" s="352" t="s">
        <v>442</v>
      </c>
      <c r="C148" s="215"/>
      <c r="D148" s="216"/>
      <c r="E148" s="216"/>
      <c r="F148" s="216">
        <v>0</v>
      </c>
      <c r="G148" s="216"/>
      <c r="H148" s="216"/>
      <c r="I148" s="417">
        <v>0</v>
      </c>
      <c r="L148" s="352" t="s">
        <v>442</v>
      </c>
      <c r="M148" s="215"/>
      <c r="N148" s="216"/>
      <c r="O148" s="216"/>
      <c r="P148" s="216">
        <v>43256029.619999997</v>
      </c>
      <c r="Q148" s="216"/>
      <c r="R148" s="216"/>
      <c r="S148" s="217">
        <v>43256029.619999997</v>
      </c>
    </row>
    <row r="149" spans="2:19" x14ac:dyDescent="0.25">
      <c r="B149" s="352" t="s">
        <v>390</v>
      </c>
      <c r="C149" s="215">
        <v>3251350.7199999997</v>
      </c>
      <c r="D149" s="216"/>
      <c r="E149" s="216"/>
      <c r="F149" s="216"/>
      <c r="G149" s="216"/>
      <c r="H149" s="216"/>
      <c r="I149" s="417">
        <v>3251350.7199999997</v>
      </c>
      <c r="L149" s="352" t="s">
        <v>390</v>
      </c>
      <c r="M149" s="215">
        <v>0</v>
      </c>
      <c r="N149" s="216"/>
      <c r="O149" s="216"/>
      <c r="P149" s="216"/>
      <c r="Q149" s="216"/>
      <c r="R149" s="216"/>
      <c r="S149" s="217">
        <v>0</v>
      </c>
    </row>
    <row r="150" spans="2:19" x14ac:dyDescent="0.25">
      <c r="B150" s="352" t="s">
        <v>530</v>
      </c>
      <c r="C150" s="215">
        <v>1600000</v>
      </c>
      <c r="D150" s="216"/>
      <c r="E150" s="216"/>
      <c r="F150" s="216"/>
      <c r="G150" s="216"/>
      <c r="H150" s="216"/>
      <c r="I150" s="417">
        <v>1600000</v>
      </c>
      <c r="L150" s="352" t="s">
        <v>530</v>
      </c>
      <c r="M150" s="215">
        <v>0</v>
      </c>
      <c r="N150" s="216"/>
      <c r="O150" s="216"/>
      <c r="P150" s="216"/>
      <c r="Q150" s="216"/>
      <c r="R150" s="216"/>
      <c r="S150" s="217">
        <v>0</v>
      </c>
    </row>
    <row r="151" spans="2:19" x14ac:dyDescent="0.25">
      <c r="B151" s="352" t="s">
        <v>516</v>
      </c>
      <c r="C151" s="215"/>
      <c r="D151" s="216">
        <v>0</v>
      </c>
      <c r="E151" s="216"/>
      <c r="F151" s="216"/>
      <c r="G151" s="216"/>
      <c r="H151" s="216"/>
      <c r="I151" s="417">
        <v>0</v>
      </c>
      <c r="L151" s="352" t="s">
        <v>516</v>
      </c>
      <c r="M151" s="215"/>
      <c r="N151" s="216">
        <v>58005716.789999999</v>
      </c>
      <c r="O151" s="216"/>
      <c r="P151" s="216"/>
      <c r="Q151" s="216"/>
      <c r="R151" s="216"/>
      <c r="S151" s="217">
        <v>58005716.789999999</v>
      </c>
    </row>
    <row r="152" spans="2:19" x14ac:dyDescent="0.25">
      <c r="B152" s="352" t="s">
        <v>439</v>
      </c>
      <c r="C152" s="215">
        <v>0</v>
      </c>
      <c r="D152" s="216"/>
      <c r="E152" s="216"/>
      <c r="F152" s="216"/>
      <c r="G152" s="216"/>
      <c r="H152" s="216"/>
      <c r="I152" s="217">
        <v>0</v>
      </c>
      <c r="L152" s="352" t="s">
        <v>439</v>
      </c>
      <c r="M152" s="215">
        <v>3120000</v>
      </c>
      <c r="N152" s="216"/>
      <c r="O152" s="216"/>
      <c r="P152" s="216"/>
      <c r="Q152" s="216"/>
      <c r="R152" s="216"/>
      <c r="S152" s="217">
        <v>3120000</v>
      </c>
    </row>
    <row r="153" spans="2:19" x14ac:dyDescent="0.25">
      <c r="B153" s="352" t="s">
        <v>453</v>
      </c>
      <c r="C153" s="215">
        <v>1200000</v>
      </c>
      <c r="D153" s="216"/>
      <c r="E153" s="216"/>
      <c r="F153" s="216"/>
      <c r="G153" s="216"/>
      <c r="H153" s="216"/>
      <c r="I153" s="417">
        <v>1200000</v>
      </c>
      <c r="L153" s="352" t="s">
        <v>453</v>
      </c>
      <c r="M153" s="215">
        <v>350000</v>
      </c>
      <c r="N153" s="216"/>
      <c r="O153" s="216"/>
      <c r="P153" s="216"/>
      <c r="Q153" s="216"/>
      <c r="R153" s="216"/>
      <c r="S153" s="217">
        <v>350000</v>
      </c>
    </row>
    <row r="154" spans="2:19" x14ac:dyDescent="0.25">
      <c r="B154" s="352" t="s">
        <v>607</v>
      </c>
      <c r="C154" s="215"/>
      <c r="D154" s="216"/>
      <c r="E154" s="216"/>
      <c r="F154" s="216">
        <v>22223906.859999999</v>
      </c>
      <c r="G154" s="216"/>
      <c r="H154" s="216"/>
      <c r="I154" s="217">
        <v>22223906.859999999</v>
      </c>
      <c r="L154" s="352" t="s">
        <v>607</v>
      </c>
      <c r="M154" s="215"/>
      <c r="N154" s="216"/>
      <c r="O154" s="216"/>
      <c r="P154" s="216">
        <v>0</v>
      </c>
      <c r="Q154" s="216"/>
      <c r="R154" s="216"/>
      <c r="S154" s="217">
        <v>0</v>
      </c>
    </row>
    <row r="155" spans="2:19" x14ac:dyDescent="0.25">
      <c r="B155" s="352" t="s">
        <v>387</v>
      </c>
      <c r="C155" s="215">
        <v>10425463.970000001</v>
      </c>
      <c r="D155" s="216"/>
      <c r="E155" s="216"/>
      <c r="F155" s="216"/>
      <c r="G155" s="216"/>
      <c r="H155" s="216"/>
      <c r="I155" s="417">
        <v>10425463.970000001</v>
      </c>
      <c r="L155" s="352" t="s">
        <v>387</v>
      </c>
      <c r="M155" s="215">
        <v>0</v>
      </c>
      <c r="N155" s="216"/>
      <c r="O155" s="216"/>
      <c r="P155" s="216"/>
      <c r="Q155" s="216"/>
      <c r="R155" s="216"/>
      <c r="S155" s="217">
        <v>0</v>
      </c>
    </row>
    <row r="156" spans="2:19" x14ac:dyDescent="0.25">
      <c r="B156" s="352" t="s">
        <v>555</v>
      </c>
      <c r="C156" s="215"/>
      <c r="D156" s="216"/>
      <c r="E156" s="216"/>
      <c r="F156" s="216">
        <v>13660522.779999999</v>
      </c>
      <c r="G156" s="216"/>
      <c r="H156" s="216"/>
      <c r="I156" s="217">
        <v>13660522.779999999</v>
      </c>
      <c r="L156" s="352" t="s">
        <v>555</v>
      </c>
      <c r="M156" s="215"/>
      <c r="N156" s="216"/>
      <c r="O156" s="216"/>
      <c r="P156" s="216">
        <v>0</v>
      </c>
      <c r="Q156" s="216"/>
      <c r="R156" s="216"/>
      <c r="S156" s="217">
        <v>0</v>
      </c>
    </row>
    <row r="157" spans="2:19" x14ac:dyDescent="0.25">
      <c r="B157" s="214" t="s">
        <v>321</v>
      </c>
      <c r="C157" s="349">
        <v>16751452.009999998</v>
      </c>
      <c r="D157" s="350">
        <v>15412000</v>
      </c>
      <c r="E157" s="350">
        <v>3106479.42</v>
      </c>
      <c r="F157" s="350">
        <v>32493087.780000001</v>
      </c>
      <c r="G157" s="350">
        <v>30000</v>
      </c>
      <c r="H157" s="350">
        <v>6258870.1199999992</v>
      </c>
      <c r="I157" s="217">
        <v>74051889.329999998</v>
      </c>
      <c r="L157" s="214" t="s">
        <v>321</v>
      </c>
      <c r="M157" s="215">
        <v>345500</v>
      </c>
      <c r="N157" s="216">
        <v>0</v>
      </c>
      <c r="O157" s="216">
        <v>0</v>
      </c>
      <c r="P157" s="216">
        <v>81536032.780000001</v>
      </c>
      <c r="Q157" s="216">
        <v>0</v>
      </c>
      <c r="R157" s="216">
        <v>0</v>
      </c>
      <c r="S157" s="217">
        <v>81881532.780000001</v>
      </c>
    </row>
    <row r="158" spans="2:19" x14ac:dyDescent="0.25">
      <c r="B158" s="352" t="s">
        <v>398</v>
      </c>
      <c r="C158" s="215"/>
      <c r="D158" s="216"/>
      <c r="E158" s="216"/>
      <c r="F158" s="216"/>
      <c r="G158" s="216"/>
      <c r="H158" s="216">
        <v>55000</v>
      </c>
      <c r="I158" s="417">
        <v>55000</v>
      </c>
      <c r="L158" s="352" t="s">
        <v>398</v>
      </c>
      <c r="M158" s="215"/>
      <c r="N158" s="216"/>
      <c r="O158" s="216"/>
      <c r="P158" s="216"/>
      <c r="Q158" s="216"/>
      <c r="R158" s="216">
        <v>0</v>
      </c>
      <c r="S158" s="217">
        <v>0</v>
      </c>
    </row>
    <row r="159" spans="2:19" x14ac:dyDescent="0.25">
      <c r="B159" s="352" t="s">
        <v>412</v>
      </c>
      <c r="C159" s="215"/>
      <c r="D159" s="216">
        <v>1412000</v>
      </c>
      <c r="E159" s="216">
        <v>1535427.12</v>
      </c>
      <c r="F159" s="216"/>
      <c r="G159" s="216"/>
      <c r="H159" s="216">
        <v>6203870.1199999992</v>
      </c>
      <c r="I159" s="417">
        <v>9151297.2399999984</v>
      </c>
      <c r="L159" s="352" t="s">
        <v>412</v>
      </c>
      <c r="M159" s="215"/>
      <c r="N159" s="216">
        <v>0</v>
      </c>
      <c r="O159" s="216">
        <v>0</v>
      </c>
      <c r="P159" s="216"/>
      <c r="Q159" s="216"/>
      <c r="R159" s="216">
        <v>0</v>
      </c>
      <c r="S159" s="217">
        <v>0</v>
      </c>
    </row>
    <row r="160" spans="2:19" x14ac:dyDescent="0.25">
      <c r="B160" s="352" t="s">
        <v>403</v>
      </c>
      <c r="C160" s="215"/>
      <c r="D160" s="216">
        <v>14000000</v>
      </c>
      <c r="E160" s="216">
        <v>1425000</v>
      </c>
      <c r="F160" s="216"/>
      <c r="G160" s="216"/>
      <c r="H160" s="216"/>
      <c r="I160" s="417">
        <v>15425000</v>
      </c>
      <c r="L160" s="352" t="s">
        <v>403</v>
      </c>
      <c r="M160" s="215"/>
      <c r="N160" s="216">
        <v>0</v>
      </c>
      <c r="O160" s="216">
        <v>0</v>
      </c>
      <c r="P160" s="216"/>
      <c r="Q160" s="216"/>
      <c r="R160" s="216"/>
      <c r="S160" s="217">
        <v>0</v>
      </c>
    </row>
    <row r="161" spans="2:19" x14ac:dyDescent="0.25">
      <c r="B161" s="352" t="s">
        <v>384</v>
      </c>
      <c r="C161" s="215">
        <v>2982583.3399999989</v>
      </c>
      <c r="D161" s="216"/>
      <c r="E161" s="216">
        <v>138052.29999999999</v>
      </c>
      <c r="F161" s="216"/>
      <c r="G161" s="216">
        <v>30000</v>
      </c>
      <c r="H161" s="216"/>
      <c r="I161" s="417">
        <v>3150635.6399999987</v>
      </c>
      <c r="L161" s="352" t="s">
        <v>384</v>
      </c>
      <c r="M161" s="215">
        <v>0</v>
      </c>
      <c r="N161" s="216"/>
      <c r="O161" s="216">
        <v>0</v>
      </c>
      <c r="P161" s="216"/>
      <c r="Q161" s="216">
        <v>0</v>
      </c>
      <c r="R161" s="216"/>
      <c r="S161" s="217">
        <v>0</v>
      </c>
    </row>
    <row r="162" spans="2:19" x14ac:dyDescent="0.25">
      <c r="B162" s="352" t="s">
        <v>379</v>
      </c>
      <c r="C162" s="215"/>
      <c r="D162" s="216"/>
      <c r="E162" s="216"/>
      <c r="F162" s="216">
        <v>32493087.780000001</v>
      </c>
      <c r="G162" s="216"/>
      <c r="H162" s="216"/>
      <c r="I162" s="417">
        <v>32493087.780000001</v>
      </c>
      <c r="L162" s="352" t="s">
        <v>379</v>
      </c>
      <c r="M162" s="215"/>
      <c r="N162" s="216"/>
      <c r="O162" s="216"/>
      <c r="P162" s="216">
        <v>32493087.780000001</v>
      </c>
      <c r="Q162" s="216"/>
      <c r="R162" s="216"/>
      <c r="S162" s="217">
        <v>32493087.780000001</v>
      </c>
    </row>
    <row r="163" spans="2:19" x14ac:dyDescent="0.25">
      <c r="B163" s="352" t="s">
        <v>442</v>
      </c>
      <c r="C163" s="215"/>
      <c r="D163" s="216"/>
      <c r="E163" s="216"/>
      <c r="F163" s="216">
        <v>0</v>
      </c>
      <c r="G163" s="216"/>
      <c r="H163" s="216"/>
      <c r="I163" s="417">
        <v>0</v>
      </c>
      <c r="L163" s="352" t="s">
        <v>442</v>
      </c>
      <c r="M163" s="215"/>
      <c r="N163" s="216"/>
      <c r="O163" s="216"/>
      <c r="P163" s="216">
        <v>49042945</v>
      </c>
      <c r="Q163" s="216"/>
      <c r="R163" s="216"/>
      <c r="S163" s="217">
        <v>49042945</v>
      </c>
    </row>
    <row r="164" spans="2:19" x14ac:dyDescent="0.25">
      <c r="B164" s="352" t="s">
        <v>390</v>
      </c>
      <c r="C164" s="215">
        <v>6357735.6699999999</v>
      </c>
      <c r="D164" s="216"/>
      <c r="E164" s="216"/>
      <c r="F164" s="216"/>
      <c r="G164" s="216"/>
      <c r="H164" s="216"/>
      <c r="I164" s="417">
        <v>6357735.6699999999</v>
      </c>
      <c r="L164" s="352" t="s">
        <v>390</v>
      </c>
      <c r="M164" s="215">
        <v>0</v>
      </c>
      <c r="N164" s="216"/>
      <c r="O164" s="216"/>
      <c r="P164" s="216"/>
      <c r="Q164" s="216"/>
      <c r="R164" s="216"/>
      <c r="S164" s="217">
        <v>0</v>
      </c>
    </row>
    <row r="165" spans="2:19" x14ac:dyDescent="0.25">
      <c r="B165" s="352" t="s">
        <v>530</v>
      </c>
      <c r="C165" s="215">
        <v>2020000</v>
      </c>
      <c r="D165" s="216"/>
      <c r="E165" s="216"/>
      <c r="F165" s="216"/>
      <c r="G165" s="216"/>
      <c r="H165" s="216"/>
      <c r="I165" s="417">
        <v>2020000</v>
      </c>
      <c r="L165" s="352" t="s">
        <v>530</v>
      </c>
      <c r="M165" s="215">
        <v>0</v>
      </c>
      <c r="N165" s="216"/>
      <c r="O165" s="216"/>
      <c r="P165" s="216"/>
      <c r="Q165" s="216"/>
      <c r="R165" s="216"/>
      <c r="S165" s="217">
        <v>0</v>
      </c>
    </row>
    <row r="166" spans="2:19" x14ac:dyDescent="0.25">
      <c r="B166" s="352" t="s">
        <v>511</v>
      </c>
      <c r="C166" s="215">
        <v>2000000</v>
      </c>
      <c r="D166" s="216"/>
      <c r="E166" s="216"/>
      <c r="F166" s="216"/>
      <c r="G166" s="216"/>
      <c r="H166" s="216"/>
      <c r="I166" s="217">
        <v>2000000</v>
      </c>
      <c r="L166" s="352" t="s">
        <v>511</v>
      </c>
      <c r="M166" s="215">
        <v>0</v>
      </c>
      <c r="N166" s="216"/>
      <c r="O166" s="216"/>
      <c r="P166" s="216"/>
      <c r="Q166" s="216"/>
      <c r="R166" s="216"/>
      <c r="S166" s="217">
        <v>0</v>
      </c>
    </row>
    <row r="167" spans="2:19" x14ac:dyDescent="0.25">
      <c r="B167" s="352" t="s">
        <v>439</v>
      </c>
      <c r="C167" s="215">
        <v>0</v>
      </c>
      <c r="D167" s="216"/>
      <c r="E167" s="216"/>
      <c r="F167" s="216"/>
      <c r="G167" s="216"/>
      <c r="H167" s="216"/>
      <c r="I167" s="217">
        <v>0</v>
      </c>
      <c r="L167" s="352" t="s">
        <v>439</v>
      </c>
      <c r="M167" s="215">
        <v>345500</v>
      </c>
      <c r="N167" s="216"/>
      <c r="O167" s="216"/>
      <c r="P167" s="216"/>
      <c r="Q167" s="216"/>
      <c r="R167" s="216"/>
      <c r="S167" s="217">
        <v>345500</v>
      </c>
    </row>
    <row r="168" spans="2:19" x14ac:dyDescent="0.25">
      <c r="B168" s="352" t="s">
        <v>453</v>
      </c>
      <c r="C168" s="215">
        <v>1000000</v>
      </c>
      <c r="D168" s="216"/>
      <c r="E168" s="216"/>
      <c r="F168" s="216"/>
      <c r="G168" s="216"/>
      <c r="H168" s="216"/>
      <c r="I168" s="417">
        <v>1000000</v>
      </c>
      <c r="L168" s="353" t="s">
        <v>453</v>
      </c>
      <c r="M168" s="215">
        <v>0</v>
      </c>
      <c r="N168" s="216"/>
      <c r="O168" s="216"/>
      <c r="P168" s="216"/>
      <c r="Q168" s="216"/>
      <c r="R168" s="216"/>
      <c r="S168" s="217">
        <v>0</v>
      </c>
    </row>
    <row r="169" spans="2:19" x14ac:dyDescent="0.25">
      <c r="B169" s="352" t="s">
        <v>387</v>
      </c>
      <c r="C169" s="215">
        <v>2391133</v>
      </c>
      <c r="D169" s="216"/>
      <c r="E169" s="216"/>
      <c r="F169" s="216"/>
      <c r="G169" s="216"/>
      <c r="H169" s="216"/>
      <c r="I169" s="417">
        <v>2391133</v>
      </c>
      <c r="L169" s="352" t="s">
        <v>387</v>
      </c>
      <c r="M169" s="215">
        <v>0</v>
      </c>
      <c r="N169" s="216"/>
      <c r="O169" s="216"/>
      <c r="P169" s="216"/>
      <c r="Q169" s="216"/>
      <c r="R169" s="216"/>
      <c r="S169" s="217">
        <v>0</v>
      </c>
    </row>
    <row r="170" spans="2:19" x14ac:dyDescent="0.25">
      <c r="B170" s="353" t="s">
        <v>207</v>
      </c>
      <c r="C170" s="215"/>
      <c r="D170" s="216"/>
      <c r="E170" s="216">
        <v>8000</v>
      </c>
      <c r="F170" s="216"/>
      <c r="G170" s="216"/>
      <c r="H170" s="216"/>
      <c r="I170" s="217">
        <v>8000</v>
      </c>
      <c r="L170" s="352" t="s">
        <v>207</v>
      </c>
      <c r="M170" s="215"/>
      <c r="N170" s="216"/>
      <c r="O170" s="216">
        <v>0</v>
      </c>
      <c r="P170" s="216"/>
      <c r="Q170" s="216"/>
      <c r="R170" s="216"/>
      <c r="S170" s="217">
        <v>0</v>
      </c>
    </row>
    <row r="171" spans="2:19" x14ac:dyDescent="0.25">
      <c r="B171" s="402" t="s">
        <v>322</v>
      </c>
      <c r="C171" s="215">
        <v>14966937.739999998</v>
      </c>
      <c r="D171" s="216">
        <v>15087775.869999999</v>
      </c>
      <c r="E171" s="216">
        <v>4645313.07</v>
      </c>
      <c r="F171" s="216">
        <v>36547963.020000003</v>
      </c>
      <c r="G171" s="216"/>
      <c r="H171" s="216">
        <v>2358676</v>
      </c>
      <c r="I171" s="217">
        <v>73606665.700000003</v>
      </c>
      <c r="L171" s="214" t="s">
        <v>322</v>
      </c>
      <c r="M171" s="215">
        <v>0</v>
      </c>
      <c r="N171" s="216">
        <v>0</v>
      </c>
      <c r="O171" s="216">
        <v>0</v>
      </c>
      <c r="P171" s="216">
        <v>69173491.310000002</v>
      </c>
      <c r="Q171" s="216"/>
      <c r="R171" s="216">
        <v>0</v>
      </c>
      <c r="S171" s="217">
        <v>69173491.310000002</v>
      </c>
    </row>
    <row r="172" spans="2:19" x14ac:dyDescent="0.25">
      <c r="B172" s="352" t="s">
        <v>412</v>
      </c>
      <c r="C172" s="215"/>
      <c r="D172" s="216">
        <v>15087775.869999999</v>
      </c>
      <c r="E172" s="216">
        <v>4374913.07</v>
      </c>
      <c r="F172" s="216"/>
      <c r="G172" s="216"/>
      <c r="H172" s="216">
        <v>2358676</v>
      </c>
      <c r="I172" s="417">
        <v>21821364.939999998</v>
      </c>
      <c r="L172" s="353" t="s">
        <v>412</v>
      </c>
      <c r="M172" s="215"/>
      <c r="N172" s="216">
        <v>0</v>
      </c>
      <c r="O172" s="216">
        <v>0</v>
      </c>
      <c r="P172" s="216"/>
      <c r="Q172" s="216"/>
      <c r="R172" s="216">
        <v>0</v>
      </c>
      <c r="S172" s="217">
        <v>0</v>
      </c>
    </row>
    <row r="173" spans="2:19" x14ac:dyDescent="0.25">
      <c r="B173" s="352" t="s">
        <v>403</v>
      </c>
      <c r="C173" s="215"/>
      <c r="D173" s="216"/>
      <c r="E173" s="216">
        <v>270400</v>
      </c>
      <c r="F173" s="216"/>
      <c r="G173" s="216"/>
      <c r="H173" s="216"/>
      <c r="I173" s="417">
        <v>270400</v>
      </c>
      <c r="L173" s="353" t="s">
        <v>403</v>
      </c>
      <c r="M173" s="215"/>
      <c r="N173" s="216"/>
      <c r="O173" s="216">
        <v>0</v>
      </c>
      <c r="P173" s="216"/>
      <c r="Q173" s="216"/>
      <c r="R173" s="216"/>
      <c r="S173" s="217">
        <v>0</v>
      </c>
    </row>
    <row r="174" spans="2:19" x14ac:dyDescent="0.25">
      <c r="B174" s="352" t="s">
        <v>384</v>
      </c>
      <c r="C174" s="215">
        <v>3074888.5299999993</v>
      </c>
      <c r="D174" s="216"/>
      <c r="E174" s="216"/>
      <c r="F174" s="216"/>
      <c r="G174" s="216"/>
      <c r="H174" s="216"/>
      <c r="I174" s="417">
        <v>3074888.5299999993</v>
      </c>
      <c r="L174" s="353" t="s">
        <v>384</v>
      </c>
      <c r="M174" s="215">
        <v>0</v>
      </c>
      <c r="N174" s="216"/>
      <c r="O174" s="216"/>
      <c r="P174" s="216"/>
      <c r="Q174" s="216"/>
      <c r="R174" s="216"/>
      <c r="S174" s="217">
        <v>0</v>
      </c>
    </row>
    <row r="175" spans="2:19" x14ac:dyDescent="0.25">
      <c r="B175" s="352" t="s">
        <v>379</v>
      </c>
      <c r="C175" s="215"/>
      <c r="D175" s="216"/>
      <c r="E175" s="216"/>
      <c r="F175" s="216">
        <v>21541517.310000002</v>
      </c>
      <c r="G175" s="216"/>
      <c r="H175" s="216"/>
      <c r="I175" s="417">
        <v>21541517.310000002</v>
      </c>
      <c r="L175" s="353" t="s">
        <v>379</v>
      </c>
      <c r="M175" s="215"/>
      <c r="N175" s="216"/>
      <c r="O175" s="216"/>
      <c r="P175" s="216">
        <v>21541517.310000002</v>
      </c>
      <c r="Q175" s="216"/>
      <c r="R175" s="216"/>
      <c r="S175" s="217">
        <v>21541517.310000002</v>
      </c>
    </row>
    <row r="176" spans="2:19" x14ac:dyDescent="0.25">
      <c r="B176" s="352" t="s">
        <v>442</v>
      </c>
      <c r="C176" s="215"/>
      <c r="D176" s="216"/>
      <c r="E176" s="216"/>
      <c r="F176" s="216">
        <v>0</v>
      </c>
      <c r="G176" s="216"/>
      <c r="H176" s="216"/>
      <c r="I176" s="417">
        <v>0</v>
      </c>
      <c r="L176" s="353" t="s">
        <v>442</v>
      </c>
      <c r="M176" s="215"/>
      <c r="N176" s="216"/>
      <c r="O176" s="216"/>
      <c r="P176" s="216">
        <v>47631974</v>
      </c>
      <c r="Q176" s="216"/>
      <c r="R176" s="216"/>
      <c r="S176" s="217">
        <v>47631974</v>
      </c>
    </row>
    <row r="177" spans="2:19" x14ac:dyDescent="0.25">
      <c r="B177" s="352" t="s">
        <v>390</v>
      </c>
      <c r="C177" s="215">
        <v>6142049.21</v>
      </c>
      <c r="D177" s="216"/>
      <c r="E177" s="216"/>
      <c r="F177" s="216"/>
      <c r="G177" s="216"/>
      <c r="H177" s="216"/>
      <c r="I177" s="417">
        <v>6142049.21</v>
      </c>
      <c r="L177" s="353" t="s">
        <v>390</v>
      </c>
      <c r="M177" s="215">
        <v>0</v>
      </c>
      <c r="N177" s="216"/>
      <c r="O177" s="216"/>
      <c r="P177" s="216"/>
      <c r="Q177" s="216"/>
      <c r="R177" s="216"/>
      <c r="S177" s="217">
        <v>0</v>
      </c>
    </row>
    <row r="178" spans="2:19" x14ac:dyDescent="0.25">
      <c r="B178" s="352" t="s">
        <v>530</v>
      </c>
      <c r="C178" s="215">
        <v>2000000</v>
      </c>
      <c r="D178" s="216"/>
      <c r="E178" s="216"/>
      <c r="F178" s="216"/>
      <c r="G178" s="216"/>
      <c r="H178" s="216"/>
      <c r="I178" s="417">
        <v>2000000</v>
      </c>
      <c r="L178" s="353" t="s">
        <v>530</v>
      </c>
      <c r="M178" s="215">
        <v>0</v>
      </c>
      <c r="N178" s="216"/>
      <c r="O178" s="216"/>
      <c r="P178" s="216"/>
      <c r="Q178" s="216"/>
      <c r="R178" s="216"/>
      <c r="S178" s="217">
        <v>0</v>
      </c>
    </row>
    <row r="179" spans="2:19" x14ac:dyDescent="0.25">
      <c r="B179" s="353" t="s">
        <v>511</v>
      </c>
      <c r="C179" s="215">
        <v>1000000</v>
      </c>
      <c r="D179" s="216"/>
      <c r="E179" s="216"/>
      <c r="F179" s="216"/>
      <c r="G179" s="216"/>
      <c r="H179" s="216"/>
      <c r="I179" s="217">
        <v>1000000</v>
      </c>
      <c r="L179" s="353" t="s">
        <v>511</v>
      </c>
      <c r="M179" s="215">
        <v>0</v>
      </c>
      <c r="N179" s="216"/>
      <c r="O179" s="216"/>
      <c r="P179" s="216"/>
      <c r="Q179" s="216"/>
      <c r="R179" s="216"/>
      <c r="S179" s="217">
        <v>0</v>
      </c>
    </row>
    <row r="180" spans="2:19" x14ac:dyDescent="0.25">
      <c r="B180" s="352" t="s">
        <v>453</v>
      </c>
      <c r="C180" s="215">
        <v>2000000</v>
      </c>
      <c r="D180" s="216"/>
      <c r="E180" s="216"/>
      <c r="F180" s="216"/>
      <c r="G180" s="216"/>
      <c r="H180" s="216"/>
      <c r="I180" s="417">
        <v>2000000</v>
      </c>
      <c r="L180" s="353" t="s">
        <v>453</v>
      </c>
      <c r="M180" s="215">
        <v>0</v>
      </c>
      <c r="N180" s="216"/>
      <c r="O180" s="216"/>
      <c r="P180" s="216"/>
      <c r="Q180" s="216"/>
      <c r="R180" s="216"/>
      <c r="S180" s="217">
        <v>0</v>
      </c>
    </row>
    <row r="181" spans="2:19" x14ac:dyDescent="0.25">
      <c r="B181" s="352" t="s">
        <v>387</v>
      </c>
      <c r="C181" s="215">
        <v>750000</v>
      </c>
      <c r="D181" s="216"/>
      <c r="E181" s="216"/>
      <c r="F181" s="216"/>
      <c r="G181" s="216"/>
      <c r="H181" s="216"/>
      <c r="I181" s="417">
        <v>750000</v>
      </c>
      <c r="L181" s="353" t="s">
        <v>387</v>
      </c>
      <c r="M181" s="215">
        <v>0</v>
      </c>
      <c r="N181" s="216"/>
      <c r="O181" s="216"/>
      <c r="P181" s="216"/>
      <c r="Q181" s="216"/>
      <c r="R181" s="216"/>
      <c r="S181" s="217">
        <v>0</v>
      </c>
    </row>
    <row r="182" spans="2:19" x14ac:dyDescent="0.25">
      <c r="B182" s="353" t="s">
        <v>555</v>
      </c>
      <c r="C182" s="215"/>
      <c r="D182" s="216"/>
      <c r="E182" s="216"/>
      <c r="F182" s="216">
        <v>15006445.710000001</v>
      </c>
      <c r="G182" s="216"/>
      <c r="H182" s="216"/>
      <c r="I182" s="217">
        <v>15006445.710000001</v>
      </c>
      <c r="L182" s="353" t="s">
        <v>555</v>
      </c>
      <c r="M182" s="215"/>
      <c r="N182" s="216"/>
      <c r="O182" s="216"/>
      <c r="P182" s="216">
        <v>0</v>
      </c>
      <c r="Q182" s="216"/>
      <c r="R182" s="216"/>
      <c r="S182" s="217">
        <v>0</v>
      </c>
    </row>
    <row r="183" spans="2:19" x14ac:dyDescent="0.25">
      <c r="B183" s="218" t="s">
        <v>308</v>
      </c>
      <c r="C183" s="219">
        <v>189301451.96000001</v>
      </c>
      <c r="D183" s="220">
        <v>299682985.35000002</v>
      </c>
      <c r="E183" s="220">
        <v>40386949.319999993</v>
      </c>
      <c r="F183" s="220">
        <v>1077784901.03</v>
      </c>
      <c r="G183" s="220">
        <v>1101016.42</v>
      </c>
      <c r="H183" s="220">
        <v>474419883.53999996</v>
      </c>
      <c r="I183" s="298">
        <v>2082677187.6200004</v>
      </c>
      <c r="L183" s="218" t="s">
        <v>308</v>
      </c>
      <c r="M183" s="219">
        <v>42000103.730000004</v>
      </c>
      <c r="N183" s="220">
        <v>299767554.03000003</v>
      </c>
      <c r="O183" s="220">
        <v>0</v>
      </c>
      <c r="P183" s="220">
        <v>1254814759.2699997</v>
      </c>
      <c r="Q183" s="220">
        <v>0</v>
      </c>
      <c r="R183" s="220">
        <v>453237219.39999998</v>
      </c>
      <c r="S183" s="299">
        <v>2049819636.4299998</v>
      </c>
    </row>
  </sheetData>
  <pageMargins left="0.25" right="0.25" top="0.75" bottom="0.75" header="0.3" footer="0.3"/>
  <pageSetup paperSize="9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CB823-CAC2-4438-A536-9ABBDD65C90E}">
  <dimension ref="A1:O36"/>
  <sheetViews>
    <sheetView topLeftCell="A13" workbookViewId="0">
      <selection activeCell="H19" sqref="H19"/>
    </sheetView>
  </sheetViews>
  <sheetFormatPr baseColWidth="10" defaultColWidth="11.42578125" defaultRowHeight="15" x14ac:dyDescent="0.25"/>
  <cols>
    <col min="1" max="1" width="1.42578125" customWidth="1"/>
    <col min="2" max="2" width="20.42578125" customWidth="1"/>
    <col min="3" max="3" width="17.28515625" customWidth="1"/>
    <col min="4" max="5" width="16.7109375" bestFit="1" customWidth="1"/>
    <col min="6" max="9" width="15.5703125" bestFit="1" customWidth="1"/>
    <col min="10" max="13" width="14.42578125" customWidth="1"/>
    <col min="14" max="14" width="16.42578125" customWidth="1"/>
    <col min="15" max="15" width="15.5703125" bestFit="1" customWidth="1"/>
  </cols>
  <sheetData>
    <row r="1" spans="1:15" ht="18.75" x14ac:dyDescent="0.3">
      <c r="A1" s="7"/>
      <c r="B1" s="203" t="s">
        <v>309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/>
      <c r="B15" s="234" t="s">
        <v>310</v>
      </c>
      <c r="C15" s="234" t="s">
        <v>311</v>
      </c>
      <c r="D15" s="234" t="s">
        <v>312</v>
      </c>
      <c r="E15" s="234" t="s">
        <v>313</v>
      </c>
      <c r="F15" s="234" t="s">
        <v>314</v>
      </c>
      <c r="G15" s="234" t="s">
        <v>315</v>
      </c>
      <c r="H15" s="234" t="s">
        <v>316</v>
      </c>
      <c r="I15" s="234" t="s">
        <v>317</v>
      </c>
      <c r="J15" s="234" t="s">
        <v>318</v>
      </c>
      <c r="K15" s="234" t="s">
        <v>319</v>
      </c>
      <c r="L15" s="234" t="s">
        <v>320</v>
      </c>
      <c r="M15" s="234" t="s">
        <v>321</v>
      </c>
      <c r="N15" s="234" t="s">
        <v>322</v>
      </c>
      <c r="O15" s="234" t="s">
        <v>151</v>
      </c>
    </row>
    <row r="16" spans="1:15" x14ac:dyDescent="0.25">
      <c r="A16" s="7"/>
      <c r="B16" s="235" t="s">
        <v>97</v>
      </c>
      <c r="C16" s="303">
        <f>C17+C21</f>
        <v>0</v>
      </c>
      <c r="D16" s="303">
        <f t="shared" ref="D16:N16" si="0">D17+D21</f>
        <v>0</v>
      </c>
      <c r="E16" s="303">
        <f t="shared" si="0"/>
        <v>6130000</v>
      </c>
      <c r="F16" s="303">
        <f t="shared" si="0"/>
        <v>12171000</v>
      </c>
      <c r="G16" s="303">
        <f t="shared" si="0"/>
        <v>1997021.73</v>
      </c>
      <c r="H16" s="303">
        <f t="shared" si="0"/>
        <v>17473</v>
      </c>
      <c r="I16" s="303">
        <f t="shared" si="0"/>
        <v>0</v>
      </c>
      <c r="J16" s="303">
        <f t="shared" si="0"/>
        <v>0</v>
      </c>
      <c r="K16" s="303">
        <f t="shared" si="0"/>
        <v>0</v>
      </c>
      <c r="L16" s="303">
        <f t="shared" si="0"/>
        <v>0</v>
      </c>
      <c r="M16" s="303">
        <f t="shared" si="0"/>
        <v>0</v>
      </c>
      <c r="N16" s="303">
        <f t="shared" si="0"/>
        <v>0</v>
      </c>
      <c r="O16" s="303">
        <f>SUM(O17:O33)</f>
        <v>121002504.34999999</v>
      </c>
    </row>
    <row r="17" spans="1:15" x14ac:dyDescent="0.25">
      <c r="A17" s="7"/>
      <c r="B17" s="305" t="s">
        <v>203</v>
      </c>
      <c r="C17" s="238">
        <f>SUM(C18:C20)</f>
        <v>0</v>
      </c>
      <c r="D17" s="238">
        <f t="shared" ref="D17:N17" si="1">SUM(D18:D20)</f>
        <v>0</v>
      </c>
      <c r="E17" s="238">
        <f t="shared" si="1"/>
        <v>5780000</v>
      </c>
      <c r="F17" s="238">
        <f t="shared" si="1"/>
        <v>3431000</v>
      </c>
      <c r="G17" s="238">
        <f t="shared" si="1"/>
        <v>717021.73</v>
      </c>
      <c r="H17" s="238">
        <f t="shared" si="1"/>
        <v>17473</v>
      </c>
      <c r="I17" s="238">
        <f t="shared" si="1"/>
        <v>0</v>
      </c>
      <c r="J17" s="238">
        <f t="shared" si="1"/>
        <v>0</v>
      </c>
      <c r="K17" s="238">
        <f t="shared" si="1"/>
        <v>0</v>
      </c>
      <c r="L17" s="238">
        <f t="shared" si="1"/>
        <v>0</v>
      </c>
      <c r="M17" s="238">
        <f t="shared" si="1"/>
        <v>0</v>
      </c>
      <c r="N17" s="238">
        <f t="shared" si="1"/>
        <v>0</v>
      </c>
      <c r="O17" s="238">
        <f>SUM(Tabla45[[#This Row],[ENERO]:[DICIEMBRE]])</f>
        <v>9945494.7300000004</v>
      </c>
    </row>
    <row r="18" spans="1:15" x14ac:dyDescent="0.25">
      <c r="A18" s="7"/>
      <c r="B18" s="304" t="s">
        <v>386</v>
      </c>
      <c r="C18" s="306">
        <f>SUMIFS(Tabla3[INGRESOS],Tabla3[SOCIO],Tabla45[[#This Row],[ACTIVIDADES]],Tabla3[PERIODO],Tabla45[[#Headers],[ENERO]])</f>
        <v>0</v>
      </c>
      <c r="D18" s="306">
        <f>SUMIFS(Tabla3[INGRESOS],Tabla3[SOCIO],Tabla45[[#This Row],[ACTIVIDADES]],Tabla3[PERIODO],Tabla45[[#Headers],[FEBRERO]])</f>
        <v>0</v>
      </c>
      <c r="E18" s="306">
        <f>SUMIFS(Tabla3[INGRESOS],Tabla3[SOCIO],Tabla45[[#This Row],[ACTIVIDADES]],Tabla3[PERIODO],Tabla45[[#Headers],[MARZO]])</f>
        <v>5770000</v>
      </c>
      <c r="F18" s="306">
        <f>SUMIFS(Tabla3[INGRESOS],Tabla3[SOCIO],Tabla45[[#This Row],[ACTIVIDADES]],Tabla3[PERIODO],Tabla45[[#Headers],[ABRIL]])</f>
        <v>3431000</v>
      </c>
      <c r="G18" s="306">
        <f>SUMIFS(Tabla3[INGRESOS],Tabla3[SOCIO],Tabla45[[#This Row],[ACTIVIDADES]],Tabla3[PERIODO],Tabla45[[#Headers],[MAYO]])</f>
        <v>700000</v>
      </c>
      <c r="H18" s="306">
        <f>SUMIFS(Tabla3[INGRESOS],Tabla3[SOCIO],Tabla45[[#This Row],[ACTIVIDADES]],Tabla3[PERIODO],Tabla45[[#Headers],[JUNIO]])</f>
        <v>17473</v>
      </c>
      <c r="I18" s="306">
        <f>SUMIFS(Tabla3[INGRESOS],Tabla3[SOCIO],Tabla45[[#This Row],[ACTIVIDADES]],Tabla3[PERIODO],Tabla45[[#Headers],[JULIO]])</f>
        <v>0</v>
      </c>
      <c r="J18" s="306"/>
      <c r="K18" s="306"/>
      <c r="L18" s="306"/>
      <c r="M18" s="306"/>
      <c r="N18" s="306"/>
      <c r="O18" s="306">
        <f>SUM(Tabla45[[#This Row],[ENERO]:[DICIEMBRE]])</f>
        <v>9918473</v>
      </c>
    </row>
    <row r="19" spans="1:15" x14ac:dyDescent="0.25">
      <c r="A19" s="7"/>
      <c r="B19" s="304" t="s">
        <v>415</v>
      </c>
      <c r="C19" s="306">
        <f>SUMIFS(Tabla3[INGRESOS],Tabla3[SOCIO],Tabla45[[#This Row],[ACTIVIDADES]],Tabla3[PERIODO],Tabla45[[#Headers],[ENERO]])</f>
        <v>0</v>
      </c>
      <c r="D19" s="306">
        <f>SUMIFS(Tabla3[INGRESOS],Tabla3[SOCIO],Tabla45[[#This Row],[ACTIVIDADES]],Tabla3[PERIODO],Tabla45[[#Headers],[FEBRERO]])</f>
        <v>0</v>
      </c>
      <c r="E19" s="306">
        <f>SUMIFS(Tabla3[INGRESOS],Tabla3[SOCIO],Tabla45[[#This Row],[ACTIVIDADES]],Tabla3[PERIODO],Tabla45[[#Headers],[MARZO]])</f>
        <v>10000</v>
      </c>
      <c r="F19" s="306">
        <f>SUMIFS(Tabla3[INGRESOS],Tabla3[SOCIO],Tabla45[[#This Row],[ACTIVIDADES]],Tabla3[PERIODO],Tabla45[[#Headers],[ABRIL]])</f>
        <v>0</v>
      </c>
      <c r="G19" s="306">
        <f>SUMIFS(Tabla3[INGRESOS],Tabla3[SOCIO],Tabla45[[#This Row],[ACTIVIDADES]],Tabla3[PERIODO],Tabla45[[#Headers],[MAYO]])</f>
        <v>17021.73</v>
      </c>
      <c r="H19" s="307"/>
      <c r="I19" s="307"/>
      <c r="J19" s="307"/>
      <c r="K19" s="307"/>
      <c r="L19" s="307"/>
      <c r="M19" s="307"/>
      <c r="N19" s="307"/>
      <c r="O19" s="306">
        <f>SUM(Tabla45[[#This Row],[ENERO]:[DICIEMBRE]])</f>
        <v>27021.73</v>
      </c>
    </row>
    <row r="20" spans="1:15" x14ac:dyDescent="0.25">
      <c r="A20" s="7"/>
      <c r="B20" s="304" t="s">
        <v>512</v>
      </c>
      <c r="C20" s="307"/>
      <c r="D20" s="307"/>
      <c r="E20" s="307"/>
      <c r="F20" s="307"/>
      <c r="G20" s="307"/>
      <c r="H20" s="307"/>
      <c r="I20" s="307"/>
      <c r="J20" s="307"/>
      <c r="K20" s="307"/>
      <c r="L20" s="307"/>
      <c r="M20" s="307"/>
      <c r="N20" s="307"/>
      <c r="O20" s="306">
        <f>SUM(Tabla45[[#This Row],[ENERO]:[DICIEMBRE]])</f>
        <v>0</v>
      </c>
    </row>
    <row r="21" spans="1:15" x14ac:dyDescent="0.25">
      <c r="A21" s="7"/>
      <c r="B21" s="305" t="s">
        <v>210</v>
      </c>
      <c r="C21" s="238">
        <f>SUM(C22:C23)</f>
        <v>0</v>
      </c>
      <c r="D21" s="238">
        <f t="shared" ref="D21:N21" si="2">SUM(D22:D23)</f>
        <v>0</v>
      </c>
      <c r="E21" s="238">
        <f t="shared" si="2"/>
        <v>350000</v>
      </c>
      <c r="F21" s="238">
        <f t="shared" si="2"/>
        <v>8740000</v>
      </c>
      <c r="G21" s="238">
        <f t="shared" si="2"/>
        <v>1280000</v>
      </c>
      <c r="H21" s="238">
        <f t="shared" si="2"/>
        <v>0</v>
      </c>
      <c r="I21" s="238">
        <f t="shared" si="2"/>
        <v>0</v>
      </c>
      <c r="J21" s="238">
        <f t="shared" si="2"/>
        <v>0</v>
      </c>
      <c r="K21" s="238">
        <f t="shared" si="2"/>
        <v>0</v>
      </c>
      <c r="L21" s="238">
        <f t="shared" si="2"/>
        <v>0</v>
      </c>
      <c r="M21" s="238">
        <f t="shared" si="2"/>
        <v>0</v>
      </c>
      <c r="N21" s="238">
        <f t="shared" si="2"/>
        <v>0</v>
      </c>
      <c r="O21" s="306">
        <f>SUM(Tabla45[[#This Row],[ENERO]:[DICIEMBRE]])</f>
        <v>10370000</v>
      </c>
    </row>
    <row r="22" spans="1:15" x14ac:dyDescent="0.25">
      <c r="A22" s="7"/>
      <c r="B22" s="304" t="s">
        <v>452</v>
      </c>
      <c r="C22" s="306">
        <f>SUMIFS(Tabla3[INGRESOS],Tabla3[PROVEEDOR CLIENTE],Tabla45[[#This Row],[ACTIVIDADES]],Tabla3[PERIODO],Tabla45[[#Headers],[ENERO]])</f>
        <v>0</v>
      </c>
      <c r="D22" s="306">
        <f>SUMIFS(Tabla3[INGRESOS],Tabla3[PROVEEDOR CLIENTE],Tabla45[[#This Row],[ACTIVIDADES]],Tabla3[PERIODO],Tabla45[[#Headers],[FEBRERO]])</f>
        <v>0</v>
      </c>
      <c r="E22" s="306">
        <f>SUMIFS(Tabla3[INGRESOS],Tabla3[PROVEEDOR CLIENTE],Tabla45[[#This Row],[ACTIVIDADES]],Tabla3[PERIODO],Tabla45[[#Headers],[MARZO]])</f>
        <v>0</v>
      </c>
      <c r="F22" s="306">
        <f>SUMIFS(Tabla3[INGRESOS],Tabla3[PROVEEDOR CLIENTE],Tabla45[[#This Row],[ACTIVIDADES]],Tabla3[PERIODO],Tabla45[[#Headers],[ABRIL]])</f>
        <v>8190000</v>
      </c>
      <c r="G22" s="306">
        <f>SUMIFS(Tabla3[INGRESOS],Tabla3[PROVEEDOR CLIENTE],Tabla45[[#This Row],[ACTIVIDADES]],Tabla3[PERIODO],Tabla45[[#Headers],[MAYO]])</f>
        <v>0</v>
      </c>
      <c r="H22" s="307"/>
      <c r="I22" s="307"/>
      <c r="J22" s="307"/>
      <c r="K22" s="307"/>
      <c r="L22" s="307"/>
      <c r="M22" s="307"/>
      <c r="N22" s="307"/>
      <c r="O22" s="306">
        <f>SUM(Tabla45[[#This Row],[ENERO]:[DICIEMBRE]])</f>
        <v>8190000</v>
      </c>
    </row>
    <row r="23" spans="1:15" x14ac:dyDescent="0.25">
      <c r="A23" s="7"/>
      <c r="B23" s="304" t="s">
        <v>524</v>
      </c>
      <c r="C23" s="306">
        <f>SUMIFS(Tabla3[INGRESOS],Tabla3[PROVEEDOR CLIENTE],Tabla45[[#This Row],[ACTIVIDADES]],Tabla3[PERIODO],Tabla45[[#Headers],[ENERO]])</f>
        <v>0</v>
      </c>
      <c r="D23" s="306">
        <f>SUMIFS(Tabla3[INGRESOS],Tabla3[PROVEEDOR CLIENTE],Tabla45[[#This Row],[ACTIVIDADES]],Tabla3[PERIODO],Tabla45[[#Headers],[FEBRERO]])</f>
        <v>0</v>
      </c>
      <c r="E23" s="306">
        <f>SUMIFS(Tabla3[INGRESOS],Tabla3[PROVEEDOR CLIENTE],Tabla45[[#This Row],[ACTIVIDADES]],Tabla3[PERIODO],Tabla45[[#Headers],[MARZO]])</f>
        <v>350000</v>
      </c>
      <c r="F23" s="306">
        <f>SUMIFS(Tabla3[INGRESOS],Tabla3[PROVEEDOR CLIENTE],Tabla45[[#This Row],[ACTIVIDADES]],Tabla3[PERIODO],Tabla45[[#Headers],[ABRIL]])</f>
        <v>550000</v>
      </c>
      <c r="G23" s="306">
        <f>SUMIFS(Tabla3[INGRESOS],Tabla3[PROVEEDOR CLIENTE],Tabla45[[#This Row],[ACTIVIDADES]],Tabla3[PERIODO],Tabla45[[#Headers],[MAYO]])</f>
        <v>1280000</v>
      </c>
      <c r="H23" s="307"/>
      <c r="I23" s="307"/>
      <c r="J23" s="307"/>
      <c r="K23" s="307"/>
      <c r="L23" s="307"/>
      <c r="M23" s="307"/>
      <c r="N23" s="307"/>
      <c r="O23" s="306">
        <f>SUM(Tabla45[[#This Row],[ENERO]:[DICIEMBRE]])</f>
        <v>2180000</v>
      </c>
    </row>
    <row r="24" spans="1:15" x14ac:dyDescent="0.25">
      <c r="A24" s="7"/>
      <c r="B24" s="304"/>
      <c r="C24" s="307"/>
      <c r="D24" s="307"/>
      <c r="E24" s="307"/>
      <c r="F24" s="307"/>
      <c r="G24" s="307"/>
      <c r="H24" s="307"/>
      <c r="I24" s="307"/>
      <c r="J24" s="307"/>
      <c r="K24" s="307"/>
      <c r="L24" s="307"/>
      <c r="M24" s="307"/>
      <c r="N24" s="307"/>
      <c r="O24" s="306">
        <f>SUM(Tabla45[[#This Row],[ENERO]:[DICIEMBRE]])</f>
        <v>0</v>
      </c>
    </row>
    <row r="25" spans="1:15" x14ac:dyDescent="0.25">
      <c r="A25" s="7"/>
      <c r="B25" s="234" t="s">
        <v>99</v>
      </c>
      <c r="C25" s="302">
        <f>-(+C26+C30)</f>
        <v>-2032678.35</v>
      </c>
      <c r="D25" s="302">
        <f t="shared" ref="D25:N25" si="3">-(+D26+D30)</f>
        <v>-2362000</v>
      </c>
      <c r="E25" s="302">
        <f t="shared" si="3"/>
        <v>-3288035.57</v>
      </c>
      <c r="F25" s="302">
        <f t="shared" si="3"/>
        <v>-4232179</v>
      </c>
      <c r="G25" s="302">
        <f t="shared" si="3"/>
        <v>-24430500</v>
      </c>
      <c r="H25" s="302">
        <f t="shared" si="3"/>
        <v>-7066158</v>
      </c>
      <c r="I25" s="302">
        <f t="shared" si="3"/>
        <v>-5876280</v>
      </c>
      <c r="J25" s="302">
        <f t="shared" si="3"/>
        <v>-6836160</v>
      </c>
      <c r="K25" s="302">
        <f t="shared" si="3"/>
        <v>-2060927</v>
      </c>
      <c r="L25" s="302">
        <f t="shared" si="3"/>
        <v>-12025463.970000001</v>
      </c>
      <c r="M25" s="302">
        <f t="shared" si="3"/>
        <v>-6411133</v>
      </c>
      <c r="N25" s="302">
        <f t="shared" si="3"/>
        <v>-3750000</v>
      </c>
      <c r="O25" s="302">
        <f>SUM(Tabla45[[#This Row],[ENERO]:[DICIEMBRE]])</f>
        <v>-80371514.890000001</v>
      </c>
    </row>
    <row r="26" spans="1:15" x14ac:dyDescent="0.25">
      <c r="A26" s="7"/>
      <c r="B26" s="305" t="s">
        <v>203</v>
      </c>
      <c r="C26" s="238">
        <f>SUM(C27:C29)</f>
        <v>2032678.35</v>
      </c>
      <c r="D26" s="238">
        <f t="shared" ref="D26:N26" si="4">SUM(D27:D29)</f>
        <v>2362000</v>
      </c>
      <c r="E26" s="238">
        <f t="shared" si="4"/>
        <v>2938035.57</v>
      </c>
      <c r="F26" s="238">
        <f t="shared" si="4"/>
        <v>3682179</v>
      </c>
      <c r="G26" s="238">
        <f t="shared" si="4"/>
        <v>12990000</v>
      </c>
      <c r="H26" s="238">
        <f t="shared" si="4"/>
        <v>7066158</v>
      </c>
      <c r="I26" s="238">
        <f t="shared" si="4"/>
        <v>5876280</v>
      </c>
      <c r="J26" s="238">
        <f t="shared" si="4"/>
        <v>6836160</v>
      </c>
      <c r="K26" s="238">
        <f t="shared" si="4"/>
        <v>2060927</v>
      </c>
      <c r="L26" s="238">
        <f t="shared" si="4"/>
        <v>12025463.970000001</v>
      </c>
      <c r="M26" s="238">
        <f t="shared" si="4"/>
        <v>6411133</v>
      </c>
      <c r="N26" s="238">
        <f t="shared" si="4"/>
        <v>3750000</v>
      </c>
      <c r="O26" s="238">
        <f>SUM(Tabla45[[#This Row],[ENERO]:[DICIEMBRE]])</f>
        <v>68031014.890000001</v>
      </c>
    </row>
    <row r="27" spans="1:15" x14ac:dyDescent="0.25">
      <c r="A27" s="7"/>
      <c r="B27" s="304" t="s">
        <v>386</v>
      </c>
      <c r="C27" s="306">
        <f>SUMIFS(Tabla3[EGRESOS],Tabla3[SOCIO],Tabla45[[#This Row],[ACTIVIDADES]],Tabla3[PERIODO],Tabla45[[#Headers],[ENERO]])</f>
        <v>1032678.3500000001</v>
      </c>
      <c r="D27" s="306">
        <f>SUMIFS(Tabla3[EGRESOS],Tabla3[SOCIO],Tabla45[[#This Row],[ACTIVIDADES]],Tabla3[PERIODO],Tabla45[[#Headers],[FEBRERO]])</f>
        <v>1000000</v>
      </c>
      <c r="E27" s="306">
        <f>SUMIFS(Tabla3[EGRESOS],Tabla3[SOCIO],Tabla45[[#This Row],[ACTIVIDADES]],Tabla3[PERIODO],Tabla45[[#Headers],[MARZO]])</f>
        <v>2300035.5699999998</v>
      </c>
      <c r="F27" s="306">
        <f>SUMIFS(Tabla3[EGRESOS],Tabla3[SOCIO],Tabla45[[#This Row],[ACTIVIDADES]],Tabla3[PERIODO],Tabla45[[#Headers],[ABRIL]])</f>
        <v>3132179</v>
      </c>
      <c r="G27" s="306">
        <f>SUMIFS(Tabla3[EGRESOS],Tabla3[SOCIO],Tabla45[[#This Row],[ACTIVIDADES]],Tabla3[PERIODO],Tabla45[[#Headers],[MAYO]])</f>
        <v>10500000</v>
      </c>
      <c r="H27" s="306">
        <f>SUMIFS(Tabla3[EGRESOS],Tabla3[SOCIO],Tabla45[[#This Row],[ACTIVIDADES]],Tabla3[PERIODO],Tabla45[[#Headers],[JUNIO]])</f>
        <v>3066158</v>
      </c>
      <c r="I27" s="306">
        <f>SUMIFS(Tabla3[EGRESOS],Tabla3[SOCIO],Tabla45[[#This Row],[ACTIVIDADES]],Tabla3[PERIODO],Tabla45[[#Headers],[JULIO]])</f>
        <v>3096280</v>
      </c>
      <c r="J27" s="306">
        <f>SUMIFS(Tabla3[EGRESOS],Tabla3[SOCIO],Tabla45[[#This Row],[ACTIVIDADES]],Tabla3[PERIODO],Tabla45[[#Headers],[AGOSTO]])</f>
        <v>3536160</v>
      </c>
      <c r="K27" s="306">
        <f>SUMIFS(Tabla3[EGRESOS],Tabla3[SOCIO],Tabla45[[#This Row],[ACTIVIDADES]],Tabla3[PERIODO],Tabla45[[#Headers],[SEPTIEMBRE]])</f>
        <v>2005927</v>
      </c>
      <c r="L27" s="306">
        <f>SUMIFS(Tabla3[EGRESOS],Tabla3[SOCIO],Tabla45[[#This Row],[ACTIVIDADES]],Tabla3[PERIODO],Tabla45[[#Headers],[OCTUBRE]])</f>
        <v>10425463.970000001</v>
      </c>
      <c r="M27" s="306">
        <f>SUMIFS(Tabla3[EGRESOS],Tabla3[SOCIO],Tabla45[[#This Row],[ACTIVIDADES]],Tabla3[PERIODO],Tabla45[[#Headers],[NOVIEMBRE]])</f>
        <v>2391133</v>
      </c>
      <c r="N27" s="306">
        <f>SUMIFS(Tabla3[EGRESOS],Tabla3[SOCIO],Tabla45[[#This Row],[ACTIVIDADES]],Tabla3[PERIODO],Tabla45[[#Headers],[DICIEMBRE]])</f>
        <v>750000</v>
      </c>
      <c r="O27" s="306">
        <f>SUM(Tabla45[[#This Row],[ENERO]:[DICIEMBRE]])</f>
        <v>43236014.890000001</v>
      </c>
    </row>
    <row r="28" spans="1:15" x14ac:dyDescent="0.25">
      <c r="A28" s="7"/>
      <c r="B28" s="304" t="s">
        <v>415</v>
      </c>
      <c r="C28" s="306">
        <f>SUMIFS(Tabla3[EGRESOS],Tabla3[SOCIO],Tabla45[[#This Row],[ACTIVIDADES]],Tabla3[PERIODO],Tabla45[[#Headers],[ENERO]])</f>
        <v>1000000</v>
      </c>
      <c r="D28" s="306">
        <f>SUMIFS(Tabla3[EGRESOS],Tabla3[SOCIO],Tabla45[[#This Row],[ACTIVIDADES]],Tabla3[PERIODO],Tabla45[[#Headers],[FEBRERO]])</f>
        <v>362000</v>
      </c>
      <c r="E28" s="306">
        <f>SUMIFS(Tabla3[EGRESOS],Tabla3[SOCIO],Tabla45[[#This Row],[ACTIVIDADES]],Tabla3[PERIODO],Tabla45[[#Headers],[MARZO]])</f>
        <v>638000</v>
      </c>
      <c r="F28" s="306">
        <f>SUMIFS(Tabla3[EGRESOS],Tabla3[SOCIO],Tabla45[[#This Row],[ACTIVIDADES]],Tabla3[PERIODO],Tabla45[[#Headers],[ABRIL]])</f>
        <v>550000</v>
      </c>
      <c r="G28" s="306">
        <f>SUMIFS(Tabla3[EGRESOS],Tabla3[SOCIO],Tabla45[[#This Row],[ACTIVIDADES]],Tabla3[PERIODO],Tabla45[[#Headers],[MAYO]])</f>
        <v>2490000</v>
      </c>
      <c r="H28" s="306">
        <f>SUMIFS(Tabla3[EGRESOS],Tabla3[SOCIO],Tabla45[[#This Row],[ACTIVIDADES]],Tabla3[PERIODO],Tabla45[[#Headers],[JUNIO]])</f>
        <v>2000000</v>
      </c>
      <c r="I28" s="306">
        <f>SUMIFS(Tabla3[EGRESOS],Tabla3[SOCIO],Tabla45[[#This Row],[ACTIVIDADES]],Tabla3[PERIODO],Tabla45[[#Headers],[JULIO]])</f>
        <v>1780000</v>
      </c>
      <c r="J28" s="306">
        <f>SUMIFS(Tabla3[EGRESOS],Tabla3[SOCIO],Tabla45[[#This Row],[ACTIVIDADES]],Tabla3[PERIODO],Tabla45[[#Headers],[AGOSTO]])</f>
        <v>3300000</v>
      </c>
      <c r="K28" s="306">
        <f>SUMIFS(Tabla3[EGRESOS],Tabla3[SOCIO],Tabla45[[#This Row],[ACTIVIDADES]],Tabla3[PERIODO],Tabla45[[#Headers],[SEPTIEMBRE]])</f>
        <v>55000</v>
      </c>
      <c r="L28" s="306">
        <f>SUMIFS(Tabla3[EGRESOS],Tabla3[SOCIO],Tabla45[[#This Row],[ACTIVIDADES]],Tabla3[PERIODO],Tabla45[[#Headers],[OCTUBRE]])</f>
        <v>1600000</v>
      </c>
      <c r="M28" s="306">
        <f>SUMIFS(Tabla3[EGRESOS],Tabla3[SOCIO],Tabla45[[#This Row],[ACTIVIDADES]],Tabla3[PERIODO],Tabla45[[#Headers],[NOVIEMBRE]])</f>
        <v>2020000</v>
      </c>
      <c r="N28" s="306">
        <f>SUMIFS(Tabla3[EGRESOS],Tabla3[SOCIO],Tabla45[[#This Row],[ACTIVIDADES]],Tabla3[PERIODO],Tabla45[[#Headers],[DICIEMBRE]])</f>
        <v>2000000</v>
      </c>
      <c r="O28" s="306">
        <f>SUM(Tabla45[[#This Row],[ENERO]:[DICIEMBRE]])</f>
        <v>17795000</v>
      </c>
    </row>
    <row r="29" spans="1:15" x14ac:dyDescent="0.25">
      <c r="A29" s="7"/>
      <c r="B29" s="304" t="s">
        <v>512</v>
      </c>
      <c r="C29" s="306">
        <f>SUMIFS(Tabla3[EGRESOS],Tabla3[SOCIO],Tabla45[[#This Row],[ACTIVIDADES]],Tabla3[PERIODO],Tabla45[[#Headers],[ENERO]])</f>
        <v>0</v>
      </c>
      <c r="D29" s="306">
        <f>SUMIFS(Tabla3[EGRESOS],Tabla3[SOCIO],Tabla45[[#This Row],[ACTIVIDADES]],Tabla3[PERIODO],Tabla45[[#Headers],[FEBRERO]])</f>
        <v>1000000</v>
      </c>
      <c r="E29" s="306">
        <f>SUMIFS(Tabla3[EGRESOS],Tabla3[SOCIO],Tabla45[[#This Row],[ACTIVIDADES]],Tabla3[PERIODO],Tabla45[[#Headers],[MARZO]])</f>
        <v>0</v>
      </c>
      <c r="F29" s="306">
        <f>SUMIFS(Tabla3[EGRESOS],Tabla3[SOCIO],Tabla45[[#This Row],[ACTIVIDADES]],Tabla3[PERIODO],Tabla45[[#Headers],[ABRIL]])</f>
        <v>0</v>
      </c>
      <c r="G29" s="306">
        <f>SUMIFS(Tabla3[EGRESOS],Tabla3[SOCIO],Tabla45[[#This Row],[ACTIVIDADES]],Tabla3[PERIODO],Tabla45[[#Headers],[MAYO]])</f>
        <v>0</v>
      </c>
      <c r="H29" s="306">
        <f>SUMIFS(Tabla3[EGRESOS],Tabla3[SOCIO],Tabla45[[#This Row],[ACTIVIDADES]],Tabla3[PERIODO],Tabla45[[#Headers],[JUNIO]])</f>
        <v>2000000</v>
      </c>
      <c r="I29" s="306">
        <f>SUMIFS(Tabla3[EGRESOS],Tabla3[SOCIO],Tabla45[[#This Row],[ACTIVIDADES]],Tabla3[PERIODO],Tabla45[[#Headers],[JULIO]])</f>
        <v>1000000</v>
      </c>
      <c r="J29" s="306">
        <f>SUMIFS(Tabla3[EGRESOS],Tabla3[SOCIO],Tabla45[[#This Row],[ACTIVIDADES]],Tabla3[PERIODO],Tabla45[[#Headers],[AGOSTO]])</f>
        <v>0</v>
      </c>
      <c r="K29" s="306">
        <f>SUMIFS(Tabla3[EGRESOS],Tabla3[SOCIO],Tabla45[[#This Row],[ACTIVIDADES]],Tabla3[PERIODO],Tabla45[[#Headers],[SEPTIEMBRE]])</f>
        <v>0</v>
      </c>
      <c r="L29" s="306">
        <f>SUMIFS(Tabla3[EGRESOS],Tabla3[SOCIO],Tabla45[[#This Row],[ACTIVIDADES]],Tabla3[PERIODO],Tabla45[[#Headers],[OCTUBRE]])</f>
        <v>0</v>
      </c>
      <c r="M29" s="306">
        <f>SUMIFS(Tabla3[EGRESOS],Tabla3[SOCIO],Tabla45[[#This Row],[ACTIVIDADES]],Tabla3[PERIODO],Tabla45[[#Headers],[NOVIEMBRE]])</f>
        <v>2000000</v>
      </c>
      <c r="N29" s="306">
        <f>SUMIFS(Tabla3[EGRESOS],Tabla3[SOCIO],Tabla45[[#This Row],[ACTIVIDADES]],Tabla3[PERIODO],Tabla45[[#Headers],[DICIEMBRE]])</f>
        <v>1000000</v>
      </c>
      <c r="O29" s="306">
        <f>SUM(Tabla45[[#This Row],[ENERO]:[DICIEMBRE]])</f>
        <v>7000000</v>
      </c>
    </row>
    <row r="30" spans="1:15" x14ac:dyDescent="0.25">
      <c r="A30" s="7"/>
      <c r="B30" s="305" t="s">
        <v>210</v>
      </c>
      <c r="C30" s="238">
        <f>SUBTOTAL(109,C31:C33)</f>
        <v>0</v>
      </c>
      <c r="D30" s="238">
        <f t="shared" ref="D30:N30" si="5">SUBTOTAL(109,D31:D33)</f>
        <v>0</v>
      </c>
      <c r="E30" s="238">
        <f t="shared" si="5"/>
        <v>350000</v>
      </c>
      <c r="F30" s="238">
        <f t="shared" si="5"/>
        <v>550000</v>
      </c>
      <c r="G30" s="238">
        <f t="shared" si="5"/>
        <v>11440500</v>
      </c>
      <c r="H30" s="238">
        <f t="shared" si="5"/>
        <v>0</v>
      </c>
      <c r="I30" s="238">
        <f t="shared" si="5"/>
        <v>0</v>
      </c>
      <c r="J30" s="238">
        <f t="shared" si="5"/>
        <v>0</v>
      </c>
      <c r="K30" s="238">
        <f t="shared" si="5"/>
        <v>0</v>
      </c>
      <c r="L30" s="238">
        <f t="shared" si="5"/>
        <v>0</v>
      </c>
      <c r="M30" s="238">
        <f t="shared" si="5"/>
        <v>0</v>
      </c>
      <c r="N30" s="238">
        <f t="shared" si="5"/>
        <v>0</v>
      </c>
      <c r="O30" s="306">
        <f>SUM(Tabla45[[#This Row],[ENERO]:[DICIEMBRE]])</f>
        <v>12340500</v>
      </c>
    </row>
    <row r="31" spans="1:15" x14ac:dyDescent="0.25">
      <c r="A31" s="7"/>
      <c r="B31" s="304" t="s">
        <v>452</v>
      </c>
      <c r="C31" s="306">
        <f>SUMIFS(Tabla3[EGRESOS],Tabla3[PROVEEDOR CLIENTE],Tabla45[[#This Row],[ACTIVIDADES]],Tabla3[PERIODO],Tabla45[[#Headers],[ENERO]])</f>
        <v>0</v>
      </c>
      <c r="D31" s="306">
        <f>SUMIFS(Tabla3[EGRESOS],Tabla3[PROVEEDOR CLIENTE],Tabla45[[#This Row],[ACTIVIDADES]],Tabla3[PERIODO],Tabla45[[#Headers],[FEBRERO]])</f>
        <v>0</v>
      </c>
      <c r="E31" s="306">
        <f>SUMIFS(Tabla3[EGRESOS],Tabla3[PROVEEDOR CLIENTE],Tabla45[[#This Row],[ACTIVIDADES]],Tabla3[PERIODO],Tabla45[[#Headers],[MARZO]])</f>
        <v>0</v>
      </c>
      <c r="F31" s="306">
        <f>SUMIFS(Tabla3[EGRESOS],Tabla3[PROVEEDOR CLIENTE],Tabla45[[#This Row],[ACTIVIDADES]],Tabla3[PERIODO],Tabla45[[#Headers],[ABRIL]])</f>
        <v>0</v>
      </c>
      <c r="G31" s="306">
        <f>SUMIFS(Tabla3[EGRESOS],Tabla3[PROVEEDOR CLIENTE],Tabla45[[#This Row],[ACTIVIDADES]],Tabla3[PERIODO],Tabla45[[#Headers],[MAYO]])</f>
        <v>8758500</v>
      </c>
      <c r="H31" s="307"/>
      <c r="I31" s="307"/>
      <c r="J31" s="307"/>
      <c r="K31" s="307"/>
      <c r="L31" s="307"/>
      <c r="M31" s="307"/>
      <c r="N31" s="307"/>
      <c r="O31" s="306">
        <f>SUM(Tabla45[[#This Row],[ENERO]:[DICIEMBRE]])</f>
        <v>8758500</v>
      </c>
    </row>
    <row r="32" spans="1:15" x14ac:dyDescent="0.25">
      <c r="A32" s="7"/>
      <c r="B32" s="304" t="s">
        <v>524</v>
      </c>
      <c r="C32" s="306">
        <f>SUMIFS(Tabla3[EGRESOS],Tabla3[PROVEEDOR CLIENTE],Tabla45[[#This Row],[ACTIVIDADES]],Tabla3[PERIODO],Tabla45[[#Headers],[ENERO]])</f>
        <v>0</v>
      </c>
      <c r="D32" s="306">
        <f>SUMIFS(Tabla3[EGRESOS],Tabla3[PROVEEDOR CLIENTE],Tabla45[[#This Row],[ACTIVIDADES]],Tabla3[PERIODO],Tabla45[[#Headers],[FEBRERO]])</f>
        <v>0</v>
      </c>
      <c r="E32" s="306">
        <f>SUMIFS(Tabla3[EGRESOS],Tabla3[PROVEEDOR CLIENTE],Tabla45[[#This Row],[ACTIVIDADES]],Tabla3[PERIODO],Tabla45[[#Headers],[MARZO]])</f>
        <v>350000</v>
      </c>
      <c r="F32" s="306">
        <f>SUMIFS(Tabla3[EGRESOS],Tabla3[PROVEEDOR CLIENTE],Tabla45[[#This Row],[ACTIVIDADES]],Tabla3[PERIODO],Tabla45[[#Headers],[ABRIL]])</f>
        <v>550000</v>
      </c>
      <c r="G32" s="306">
        <f>SUMIFS(Tabla3[EGRESOS],Tabla3[PROVEEDOR CLIENTE],Tabla45[[#This Row],[ACTIVIDADES]],Tabla3[PERIODO],Tabla45[[#Headers],[MAYO]])</f>
        <v>2682000</v>
      </c>
      <c r="H32" s="119"/>
      <c r="I32" s="119"/>
      <c r="J32" s="119"/>
      <c r="K32" s="119"/>
      <c r="L32" s="119"/>
      <c r="M32" s="119"/>
      <c r="N32" s="119"/>
      <c r="O32" s="306">
        <f>SUM(Tabla45[[#This Row],[ENERO]:[DICIEMBRE]])</f>
        <v>3582000</v>
      </c>
    </row>
    <row r="33" spans="1:15" x14ac:dyDescent="0.25">
      <c r="A33" s="7"/>
      <c r="B33" s="304"/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306">
        <f>SUM(Tabla45[[#This Row],[ENERO]:[DICIEMBRE]])</f>
        <v>0</v>
      </c>
    </row>
    <row r="34" spans="1:15" x14ac:dyDescent="0.25">
      <c r="A34" s="7"/>
      <c r="B34" s="235" t="s">
        <v>356</v>
      </c>
      <c r="C34" s="236">
        <f>C16+C25</f>
        <v>-2032678.35</v>
      </c>
      <c r="D34" s="236">
        <f t="shared" ref="D34:N34" si="6">D16+D25</f>
        <v>-2362000</v>
      </c>
      <c r="E34" s="236">
        <f t="shared" si="6"/>
        <v>2841964.43</v>
      </c>
      <c r="F34" s="236">
        <f t="shared" si="6"/>
        <v>7938821</v>
      </c>
      <c r="G34" s="236">
        <f t="shared" si="6"/>
        <v>-22433478.27</v>
      </c>
      <c r="H34" s="236">
        <f t="shared" si="6"/>
        <v>-7048685</v>
      </c>
      <c r="I34" s="236">
        <f t="shared" si="6"/>
        <v>-5876280</v>
      </c>
      <c r="J34" s="236">
        <f t="shared" si="6"/>
        <v>-6836160</v>
      </c>
      <c r="K34" s="236">
        <f t="shared" si="6"/>
        <v>-2060927</v>
      </c>
      <c r="L34" s="236">
        <f t="shared" si="6"/>
        <v>-12025463.970000001</v>
      </c>
      <c r="M34" s="236">
        <f t="shared" si="6"/>
        <v>-6411133</v>
      </c>
      <c r="N34" s="236">
        <f t="shared" si="6"/>
        <v>-3750000</v>
      </c>
      <c r="O34" s="235"/>
    </row>
    <row r="35" spans="1:15" x14ac:dyDescent="0.25">
      <c r="A35" s="7"/>
      <c r="B35" s="304" t="s">
        <v>1378</v>
      </c>
      <c r="C35" s="119">
        <f>C34</f>
        <v>-2032678.35</v>
      </c>
      <c r="D35" s="126">
        <f>Tabla45[[#This Row],[ENERO]]+D34</f>
        <v>-4394678.3499999996</v>
      </c>
      <c r="E35" s="126">
        <f>Tabla45[[#This Row],[FEBRERO]]+E34</f>
        <v>-1552713.9199999995</v>
      </c>
      <c r="F35" s="126">
        <f>Tabla45[[#This Row],[MARZO]]+F34</f>
        <v>6386107.0800000001</v>
      </c>
      <c r="G35" s="126">
        <f>Tabla45[[#This Row],[ABRIL]]+G34</f>
        <v>-16047371.189999999</v>
      </c>
      <c r="H35" s="126">
        <f>Tabla45[[#This Row],[MAYO]]+H34</f>
        <v>-23096056.189999998</v>
      </c>
      <c r="I35" s="126">
        <f>Tabla45[[#This Row],[JUNIO]]+I34</f>
        <v>-28972336.189999998</v>
      </c>
      <c r="J35" s="126">
        <f>Tabla45[[#This Row],[JULIO]]+J34</f>
        <v>-35808496.189999998</v>
      </c>
      <c r="K35" s="126">
        <f>Tabla45[[#This Row],[AGOSTO]]+K34</f>
        <v>-37869423.189999998</v>
      </c>
      <c r="L35" s="126">
        <f>Tabla45[[#This Row],[SEPTIEMBRE]]+L34</f>
        <v>-49894887.159999996</v>
      </c>
      <c r="M35" s="126">
        <f>Tabla45[[#This Row],[OCTUBRE]]+M34</f>
        <v>-56306020.159999996</v>
      </c>
      <c r="N35" s="126">
        <f>Tabla45[[#This Row],[NOVIEMBRE]]+N34</f>
        <v>-60056020.159999996</v>
      </c>
      <c r="O35" s="229"/>
    </row>
    <row r="36" spans="1:15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</sheetData>
  <phoneticPr fontId="18" type="noConversion"/>
  <pageMargins left="0.25" right="0.25" top="0.75" bottom="0.75" header="0.3" footer="0.3"/>
  <pageSetup paperSize="5" orientation="landscape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4132-FDC8-402D-8DC9-6095B8B3C89C}">
  <sheetPr codeName="Hoja7"/>
  <dimension ref="A1:AK20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17" style="1" bestFit="1" customWidth="1"/>
    <col min="2" max="2" width="3.5703125" customWidth="1"/>
    <col min="3" max="4" width="12.42578125" customWidth="1"/>
    <col min="5" max="5" width="15.85546875" customWidth="1"/>
    <col min="6" max="6" width="11" customWidth="1"/>
    <col min="7" max="7" width="14.7109375" customWidth="1"/>
    <col min="8" max="8" width="17.42578125" customWidth="1"/>
    <col min="9" max="10" width="14" customWidth="1"/>
    <col min="11" max="11" width="2.5703125" customWidth="1"/>
    <col min="12" max="12" width="19.42578125" bestFit="1" customWidth="1"/>
    <col min="13" max="14" width="14.7109375" customWidth="1"/>
    <col min="15" max="15" width="2.5703125" customWidth="1"/>
    <col min="16" max="16" width="19.7109375" customWidth="1"/>
    <col min="17" max="17" width="21.5703125" customWidth="1"/>
    <col min="18" max="18" width="2.85546875" customWidth="1"/>
    <col min="19" max="19" width="21" customWidth="1"/>
    <col min="20" max="20" width="2.5703125" customWidth="1"/>
    <col min="21" max="21" width="17.42578125" bestFit="1" customWidth="1"/>
    <col min="22" max="22" width="18.28515625" customWidth="1"/>
    <col min="23" max="23" width="12" customWidth="1"/>
    <col min="24" max="24" width="18.140625" customWidth="1"/>
    <col min="25" max="25" width="4.5703125" customWidth="1"/>
  </cols>
  <sheetData>
    <row r="1" spans="1:37" x14ac:dyDescent="0.25">
      <c r="A1" s="3" t="s">
        <v>310</v>
      </c>
      <c r="C1" s="3" t="s">
        <v>184</v>
      </c>
      <c r="D1" s="3"/>
      <c r="E1" s="3"/>
      <c r="F1" s="3"/>
      <c r="G1" s="428"/>
      <c r="H1" s="428"/>
      <c r="I1" s="428"/>
      <c r="J1" s="428"/>
      <c r="L1" s="4" t="s">
        <v>1379</v>
      </c>
      <c r="M1" s="4"/>
      <c r="N1" s="4"/>
      <c r="P1" s="3" t="s">
        <v>215</v>
      </c>
      <c r="Q1" s="4"/>
      <c r="S1" s="3" t="s">
        <v>286</v>
      </c>
      <c r="T1" s="7"/>
      <c r="U1" s="3" t="s">
        <v>225</v>
      </c>
      <c r="V1" s="3"/>
      <c r="W1" s="3"/>
      <c r="X1" s="3"/>
      <c r="Y1" s="7"/>
      <c r="Z1" s="3" t="s">
        <v>276</v>
      </c>
      <c r="AA1" s="3"/>
      <c r="AB1" s="3"/>
      <c r="AC1" s="3"/>
      <c r="AD1" s="3"/>
    </row>
    <row r="2" spans="1:37" x14ac:dyDescent="0.25">
      <c r="A2" s="10" t="s">
        <v>184</v>
      </c>
      <c r="C2" s="5" t="s">
        <v>199</v>
      </c>
      <c r="D2" s="5"/>
      <c r="E2" s="5"/>
      <c r="F2" s="5" t="s">
        <v>203</v>
      </c>
      <c r="G2" s="5" t="s">
        <v>210</v>
      </c>
      <c r="H2" s="5" t="s">
        <v>196</v>
      </c>
      <c r="I2" s="5" t="s">
        <v>185</v>
      </c>
      <c r="J2" s="5" t="s">
        <v>189</v>
      </c>
      <c r="L2" s="5" t="s">
        <v>1380</v>
      </c>
      <c r="M2" s="5" t="s">
        <v>212</v>
      </c>
      <c r="N2" s="5" t="s">
        <v>61</v>
      </c>
      <c r="P2" s="5" t="s">
        <v>1381</v>
      </c>
      <c r="Q2" s="5" t="s">
        <v>1382</v>
      </c>
      <c r="S2" s="5" t="s">
        <v>143</v>
      </c>
      <c r="T2" s="7"/>
      <c r="U2" s="5" t="s">
        <v>236</v>
      </c>
      <c r="V2" s="5" t="s">
        <v>226</v>
      </c>
      <c r="W2" s="5" t="s">
        <v>233</v>
      </c>
      <c r="X2" s="5" t="s">
        <v>1383</v>
      </c>
      <c r="Y2" s="7"/>
      <c r="Z2" s="5" t="s">
        <v>1384</v>
      </c>
      <c r="AA2" s="5" t="s">
        <v>1385</v>
      </c>
      <c r="AB2" s="5" t="s">
        <v>1386</v>
      </c>
      <c r="AC2" s="5" t="s">
        <v>282</v>
      </c>
      <c r="AD2" s="5" t="s">
        <v>1387</v>
      </c>
    </row>
    <row r="3" spans="1:37" x14ac:dyDescent="0.25">
      <c r="A3" s="10" t="s">
        <v>215</v>
      </c>
      <c r="C3" s="6" t="s">
        <v>1388</v>
      </c>
      <c r="D3" s="6" t="s">
        <v>189</v>
      </c>
      <c r="E3" s="6" t="s">
        <v>1389</v>
      </c>
      <c r="F3" s="6" t="s">
        <v>204</v>
      </c>
      <c r="G3" s="6" t="s">
        <v>1390</v>
      </c>
      <c r="H3" s="6" t="s">
        <v>1391</v>
      </c>
      <c r="I3" s="6" t="s">
        <v>443</v>
      </c>
      <c r="J3" s="6" t="s">
        <v>235</v>
      </c>
      <c r="L3" s="6" t="s">
        <v>1392</v>
      </c>
      <c r="M3" s="6"/>
      <c r="N3" s="6" t="s">
        <v>1393</v>
      </c>
      <c r="P3" s="6" t="s">
        <v>1394</v>
      </c>
      <c r="Q3" s="6" t="s">
        <v>1394</v>
      </c>
      <c r="S3" s="6" t="s">
        <v>1394</v>
      </c>
      <c r="T3" s="7"/>
      <c r="U3" s="6" t="s">
        <v>243</v>
      </c>
      <c r="V3" s="6" t="s">
        <v>1395</v>
      </c>
      <c r="W3" s="6" t="s">
        <v>1396</v>
      </c>
      <c r="X3" s="6" t="s">
        <v>1397</v>
      </c>
      <c r="Y3" s="7"/>
      <c r="Z3" s="6" t="s">
        <v>1398</v>
      </c>
      <c r="AA3" s="6" t="s">
        <v>289</v>
      </c>
      <c r="AB3" s="6" t="s">
        <v>289</v>
      </c>
      <c r="AC3" s="6" t="s">
        <v>289</v>
      </c>
    </row>
    <row r="4" spans="1:37" x14ac:dyDescent="0.25">
      <c r="A4" s="10" t="s">
        <v>286</v>
      </c>
      <c r="C4" s="429" t="s">
        <v>1399</v>
      </c>
      <c r="D4" s="429"/>
      <c r="E4" s="429"/>
      <c r="F4" s="6" t="s">
        <v>206</v>
      </c>
      <c r="G4" s="6" t="s">
        <v>1400</v>
      </c>
      <c r="H4" s="6" t="s">
        <v>1401</v>
      </c>
      <c r="I4" s="6" t="s">
        <v>188</v>
      </c>
      <c r="J4" s="6" t="s">
        <v>1402</v>
      </c>
      <c r="L4" s="6"/>
      <c r="M4" s="6"/>
      <c r="N4" s="6"/>
      <c r="P4" s="6" t="s">
        <v>1403</v>
      </c>
      <c r="Q4" s="6" t="s">
        <v>1403</v>
      </c>
      <c r="S4" s="6" t="s">
        <v>33</v>
      </c>
      <c r="T4" s="7"/>
      <c r="U4" s="6" t="s">
        <v>227</v>
      </c>
      <c r="V4" s="6" t="s">
        <v>1404</v>
      </c>
      <c r="W4" s="6" t="s">
        <v>1402</v>
      </c>
      <c r="X4" s="6" t="s">
        <v>1405</v>
      </c>
      <c r="Y4" s="7"/>
      <c r="Z4" s="6" t="s">
        <v>289</v>
      </c>
      <c r="AA4" s="6" t="s">
        <v>1406</v>
      </c>
      <c r="AB4" s="6" t="s">
        <v>202</v>
      </c>
      <c r="AC4" s="6"/>
    </row>
    <row r="5" spans="1:37" x14ac:dyDescent="0.25">
      <c r="A5" s="10" t="s">
        <v>225</v>
      </c>
      <c r="C5" s="429" t="s">
        <v>392</v>
      </c>
      <c r="D5" s="429"/>
      <c r="E5" s="429"/>
      <c r="F5" s="6"/>
      <c r="G5" s="6"/>
      <c r="H5" s="6" t="s">
        <v>1407</v>
      </c>
      <c r="I5" s="6" t="s">
        <v>186</v>
      </c>
      <c r="J5" s="6"/>
      <c r="L5" s="6"/>
      <c r="M5" s="6"/>
      <c r="N5" s="6"/>
      <c r="P5" s="6" t="s">
        <v>1408</v>
      </c>
      <c r="Q5" s="6" t="s">
        <v>1408</v>
      </c>
      <c r="S5" s="6" t="s">
        <v>1409</v>
      </c>
      <c r="T5" s="7"/>
      <c r="U5" s="6" t="s">
        <v>240</v>
      </c>
      <c r="V5" s="6" t="s">
        <v>1410</v>
      </c>
      <c r="W5" s="6"/>
      <c r="X5" s="6"/>
      <c r="Y5" s="7"/>
      <c r="Z5" s="6" t="s">
        <v>202</v>
      </c>
      <c r="AA5" s="6"/>
      <c r="AB5" s="6"/>
      <c r="AC5" s="6"/>
    </row>
    <row r="6" spans="1:37" x14ac:dyDescent="0.25">
      <c r="A6" s="10" t="s">
        <v>60</v>
      </c>
      <c r="C6" s="429" t="s">
        <v>389</v>
      </c>
      <c r="D6" s="429"/>
      <c r="E6" s="429"/>
      <c r="F6" s="6"/>
      <c r="G6" s="6"/>
      <c r="H6" s="6" t="s">
        <v>273</v>
      </c>
      <c r="I6" s="6" t="s">
        <v>1411</v>
      </c>
      <c r="J6" s="6"/>
      <c r="L6" s="6"/>
      <c r="M6" s="6"/>
      <c r="N6" s="6"/>
      <c r="P6" s="6" t="s">
        <v>1412</v>
      </c>
      <c r="Q6" s="6" t="s">
        <v>1412</v>
      </c>
      <c r="S6" s="6" t="s">
        <v>289</v>
      </c>
      <c r="T6" s="7"/>
      <c r="U6" s="6" t="s">
        <v>33</v>
      </c>
      <c r="V6" s="6" t="s">
        <v>1413</v>
      </c>
      <c r="W6" s="6"/>
      <c r="X6" s="6"/>
      <c r="Y6" s="7"/>
    </row>
    <row r="7" spans="1:37" x14ac:dyDescent="0.25">
      <c r="H7" s="6" t="s">
        <v>417</v>
      </c>
      <c r="I7" s="6" t="s">
        <v>1414</v>
      </c>
      <c r="P7" s="6" t="s">
        <v>1415</v>
      </c>
      <c r="Q7" s="6" t="s">
        <v>1415</v>
      </c>
      <c r="S7" s="6" t="s">
        <v>1416</v>
      </c>
      <c r="T7" s="7"/>
      <c r="U7" s="6" t="s">
        <v>239</v>
      </c>
      <c r="V7" s="6" t="s">
        <v>1417</v>
      </c>
      <c r="W7" s="6"/>
      <c r="X7" s="6"/>
      <c r="Y7" s="7"/>
    </row>
    <row r="8" spans="1:37" x14ac:dyDescent="0.25">
      <c r="H8" s="6" t="s">
        <v>421</v>
      </c>
      <c r="I8" s="6" t="s">
        <v>202</v>
      </c>
      <c r="P8" s="6" t="s">
        <v>328</v>
      </c>
      <c r="Q8" s="6" t="s">
        <v>328</v>
      </c>
      <c r="S8" s="6" t="s">
        <v>217</v>
      </c>
      <c r="T8" s="7"/>
      <c r="U8" s="6" t="s">
        <v>237</v>
      </c>
      <c r="V8" s="6" t="s">
        <v>1418</v>
      </c>
      <c r="W8" s="6"/>
      <c r="X8" s="6"/>
      <c r="Y8" s="7"/>
    </row>
    <row r="9" spans="1:37" x14ac:dyDescent="0.25">
      <c r="H9" s="6" t="s">
        <v>1419</v>
      </c>
      <c r="P9" s="6" t="s">
        <v>327</v>
      </c>
      <c r="Q9" s="6" t="s">
        <v>327</v>
      </c>
      <c r="S9" s="6" t="s">
        <v>1420</v>
      </c>
      <c r="T9" s="7"/>
      <c r="U9" s="6" t="s">
        <v>214</v>
      </c>
      <c r="V9" s="6" t="s">
        <v>1421</v>
      </c>
      <c r="W9" s="6"/>
      <c r="X9" s="6"/>
      <c r="Y9" s="7"/>
    </row>
    <row r="10" spans="1:37" x14ac:dyDescent="0.25">
      <c r="P10" s="6" t="s">
        <v>544</v>
      </c>
      <c r="Q10" s="6" t="s">
        <v>544</v>
      </c>
      <c r="S10" s="6" t="s">
        <v>290</v>
      </c>
      <c r="T10" s="7"/>
      <c r="U10" s="6" t="s">
        <v>1422</v>
      </c>
      <c r="V10" s="6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P11" s="6" t="s">
        <v>1423</v>
      </c>
      <c r="Q11" s="6" t="s">
        <v>1423</v>
      </c>
      <c r="S11" s="6" t="s">
        <v>291</v>
      </c>
      <c r="T11" s="7"/>
      <c r="U11" s="6" t="s">
        <v>1389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P12" s="6" t="s">
        <v>329</v>
      </c>
      <c r="Q12" s="6" t="s">
        <v>329</v>
      </c>
      <c r="S12" s="6" t="s">
        <v>225</v>
      </c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P13" s="6" t="s">
        <v>1424</v>
      </c>
      <c r="Q13" s="6" t="s">
        <v>1424</v>
      </c>
      <c r="S13" s="6" t="s">
        <v>288</v>
      </c>
      <c r="T13" s="7"/>
      <c r="U13" s="7"/>
      <c r="V13" s="7"/>
      <c r="W13" s="7"/>
      <c r="X13" s="7"/>
      <c r="Y13" s="7"/>
      <c r="Z13" s="7"/>
      <c r="AA13" s="7"/>
      <c r="AB13" s="9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P14" s="6" t="s">
        <v>33</v>
      </c>
      <c r="Q14" s="6" t="s">
        <v>33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P15" s="6" t="s">
        <v>291</v>
      </c>
      <c r="Q15" s="6" t="s">
        <v>291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2"/>
      <c r="P16" s="6" t="s">
        <v>1425</v>
      </c>
      <c r="Q16" s="6" t="s">
        <v>1425</v>
      </c>
      <c r="S16" s="8"/>
      <c r="T16" s="8"/>
      <c r="U16" s="8"/>
      <c r="V16" s="8"/>
      <c r="W16" s="8"/>
      <c r="X16" s="8"/>
      <c r="Y16" s="8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2"/>
      <c r="P17" s="6" t="s">
        <v>1426</v>
      </c>
      <c r="Q17" s="6"/>
      <c r="S17" s="8"/>
      <c r="T17" s="8"/>
      <c r="U17" s="8"/>
      <c r="V17" s="8"/>
      <c r="W17" s="8"/>
      <c r="X17" s="8"/>
      <c r="Y17" s="8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2"/>
      <c r="P18" s="6" t="s">
        <v>1427</v>
      </c>
      <c r="S18" s="8"/>
      <c r="T18" s="8"/>
      <c r="U18" s="8"/>
      <c r="V18" s="8"/>
      <c r="W18" s="8"/>
      <c r="X18" s="8"/>
      <c r="Y18" s="8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S19" s="8"/>
      <c r="T19" s="8"/>
      <c r="U19" s="8"/>
      <c r="V19" s="8"/>
      <c r="W19" s="8"/>
      <c r="X19" s="8"/>
      <c r="Y19" s="8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</sheetData>
  <sheetProtection sheet="1" objects="1" scenarios="1"/>
  <mergeCells count="4">
    <mergeCell ref="G1:J1"/>
    <mergeCell ref="C4:E4"/>
    <mergeCell ref="C5:E5"/>
    <mergeCell ref="C6:E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972E70-5E18-4DCC-A993-E1CD9AC2D8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BALANCE</vt:lpstr>
      <vt:lpstr>EPN</vt:lpstr>
      <vt:lpstr>RESUMEN</vt:lpstr>
      <vt:lpstr>ACTIVIDADES</vt:lpstr>
      <vt:lpstr>MOV</vt:lpstr>
      <vt:lpstr>RDOS</vt:lpstr>
      <vt:lpstr>CAPITAL</vt:lpstr>
      <vt:lpstr>LISTA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</dc:creator>
  <cp:keywords/>
  <dc:description/>
  <cp:lastModifiedBy>Kevin Toledo</cp:lastModifiedBy>
  <cp:revision/>
  <dcterms:created xsi:type="dcterms:W3CDTF">2023-12-14T13:45:41Z</dcterms:created>
  <dcterms:modified xsi:type="dcterms:W3CDTF">2026-02-26T13:06:02Z</dcterms:modified>
  <cp:category/>
  <cp:contentStatus/>
</cp:coreProperties>
</file>