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2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Kevin\Dropbox\Administracion\2025\FINANZAS 2025\"/>
    </mc:Choice>
  </mc:AlternateContent>
  <xr:revisionPtr revIDLastSave="0" documentId="13_ncr:1_{56AEFB12-0A3D-4BC1-9323-180CD2811A5E}" xr6:coauthVersionLast="47" xr6:coauthVersionMax="47" xr10:uidLastSave="{00000000-0000-0000-0000-000000000000}"/>
  <bookViews>
    <workbookView xWindow="-120" yWindow="-120" windowWidth="20730" windowHeight="11160" activeTab="2" xr2:uid="{CE3AB319-23DC-49A2-B43D-7578FB3CD1E7}"/>
  </bookViews>
  <sheets>
    <sheet name="RESUMEN" sheetId="39" r:id="rId1"/>
    <sheet name="ACTIVIDADES" sheetId="45" r:id="rId2"/>
    <sheet name="MOV" sheetId="38" r:id="rId3"/>
    <sheet name="RDOS" sheetId="41" r:id="rId4"/>
    <sheet name="CAPITAL" sheetId="46" state="hidden" r:id="rId5"/>
    <sheet name="LISTA" sheetId="9" state="hidden" r:id="rId6"/>
  </sheets>
  <externalReferences>
    <externalReference r:id="rId7"/>
    <externalReference r:id="rId8"/>
    <externalReference r:id="rId9"/>
  </externalReferences>
  <definedNames>
    <definedName name="_xlchart.v1.0" hidden="1">ACTIVIDADES!$C$16:$N$16</definedName>
    <definedName name="_xlchart.v1.1" hidden="1">ACTIVIDADES!$C$38:$N$38</definedName>
    <definedName name="ACT">#REF!</definedName>
    <definedName name="ACTIVIDAD">#REF!</definedName>
    <definedName name="ADMINISTRACION">#REF!</definedName>
    <definedName name="AGRICULTURA">#REF!</definedName>
    <definedName name="AMORTBI">'[1]Bal1202-200603'!$U$226</definedName>
    <definedName name="AMORTBU">'[1]Bal1202-200603'!$U$225</definedName>
    <definedName name="BASEDATOS">#REF!</definedName>
    <definedName name="BOVINOS">#REF!</definedName>
    <definedName name="CAPRINOS">#REF!</definedName>
    <definedName name="COMBUSTIBLE">#REF!</definedName>
    <definedName name="EOAF">'[1]Bal1202-200603'!$E$10:$R$251</definedName>
    <definedName name="EOAF1">'[1]Bal1202-200603'!$R$10:$R$251</definedName>
    <definedName name="EST">#REF!</definedName>
    <definedName name="ESTADO">[2]LISTAS!$O$3:$O$6</definedName>
    <definedName name="ESTRUCTURA">#REF!</definedName>
    <definedName name="FORRAJE">#REF!</definedName>
    <definedName name="FR">#REF!</definedName>
    <definedName name="GANADERIA">#REF!</definedName>
    <definedName name="GENERAL">#REF!</definedName>
    <definedName name="IMPUESTOS">#REF!</definedName>
    <definedName name="INTERESES">#REF!</definedName>
    <definedName name="MAQUINARIA">#REF!</definedName>
    <definedName name="OVINO">#REF!</definedName>
    <definedName name="PORCINOS">#REF!</definedName>
    <definedName name="SEGUROS">#REF!</definedName>
    <definedName name="SEMILLAS">[3]!Tabla4[#All]</definedName>
    <definedName name="SOCIOS">#REF!</definedName>
    <definedName name="SUELDOS">#REF!</definedName>
    <definedName name="TIPO_FACT">[2]LISTAS!$S$3:$S$7</definedName>
  </definedNames>
  <calcPr calcId="191028"/>
  <pivotCaches>
    <pivotCache cacheId="0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06" i="38" l="1"/>
  <c r="A107" i="38"/>
  <c r="A108" i="38"/>
  <c r="A109" i="38"/>
  <c r="G106" i="38"/>
  <c r="G107" i="38"/>
  <c r="G108" i="38"/>
  <c r="G109" i="38"/>
  <c r="J106" i="38"/>
  <c r="J107" i="38"/>
  <c r="J108" i="38"/>
  <c r="J109" i="38"/>
  <c r="K106" i="38"/>
  <c r="K107" i="38"/>
  <c r="K108" i="38"/>
  <c r="K109" i="38"/>
  <c r="A312" i="38"/>
  <c r="A313" i="38"/>
  <c r="A314" i="38"/>
  <c r="A315" i="38"/>
  <c r="A316" i="38"/>
  <c r="G312" i="38"/>
  <c r="G313" i="38"/>
  <c r="G314" i="38"/>
  <c r="G315" i="38"/>
  <c r="G316" i="38"/>
  <c r="J312" i="38"/>
  <c r="J313" i="38"/>
  <c r="J314" i="38"/>
  <c r="J315" i="38"/>
  <c r="J316" i="38"/>
  <c r="K312" i="38"/>
  <c r="K313" i="38"/>
  <c r="K314" i="38"/>
  <c r="K315" i="38"/>
  <c r="K316" i="38"/>
  <c r="A102" i="38"/>
  <c r="A103" i="38"/>
  <c r="A104" i="38"/>
  <c r="A105" i="38"/>
  <c r="G102" i="38"/>
  <c r="G103" i="38"/>
  <c r="G104" i="38"/>
  <c r="G105" i="38"/>
  <c r="J102" i="38"/>
  <c r="J103" i="38"/>
  <c r="J104" i="38"/>
  <c r="J105" i="38"/>
  <c r="K102" i="38"/>
  <c r="K103" i="38"/>
  <c r="K104" i="38"/>
  <c r="K105" i="38"/>
  <c r="G169" i="38"/>
  <c r="G170" i="38"/>
  <c r="G171" i="38"/>
  <c r="G172" i="38"/>
  <c r="J169" i="38"/>
  <c r="J170" i="38"/>
  <c r="J171" i="38"/>
  <c r="J172" i="38"/>
  <c r="K169" i="38"/>
  <c r="K170" i="38"/>
  <c r="K171" i="38"/>
  <c r="K172" i="38"/>
  <c r="A309" i="38"/>
  <c r="A310" i="38"/>
  <c r="A311" i="38"/>
  <c r="G309" i="38"/>
  <c r="G310" i="38"/>
  <c r="G311" i="38"/>
  <c r="J309" i="38"/>
  <c r="J310" i="38"/>
  <c r="J311" i="38"/>
  <c r="K309" i="38"/>
  <c r="K310" i="38"/>
  <c r="K311" i="38"/>
  <c r="A99" i="38"/>
  <c r="A100" i="38"/>
  <c r="A101" i="38"/>
  <c r="G99" i="38"/>
  <c r="G100" i="38"/>
  <c r="G101" i="38"/>
  <c r="J99" i="38"/>
  <c r="J100" i="38"/>
  <c r="J101" i="38"/>
  <c r="K99" i="38"/>
  <c r="K100" i="38"/>
  <c r="K101" i="38"/>
  <c r="G168" i="38"/>
  <c r="J168" i="38"/>
  <c r="K168" i="38"/>
  <c r="G181" i="38"/>
  <c r="G182" i="38"/>
  <c r="G183" i="38"/>
  <c r="J181" i="38"/>
  <c r="J182" i="38"/>
  <c r="J183" i="38"/>
  <c r="K181" i="38"/>
  <c r="K182" i="38"/>
  <c r="K183" i="38"/>
  <c r="A308" i="38"/>
  <c r="G308" i="38"/>
  <c r="J308" i="38"/>
  <c r="K308" i="38"/>
  <c r="G352" i="38"/>
  <c r="J352" i="38"/>
  <c r="K352" i="38"/>
  <c r="A352" i="38"/>
  <c r="K347" i="38"/>
  <c r="K348" i="38"/>
  <c r="K349" i="38"/>
  <c r="K350" i="38"/>
  <c r="K351" i="38"/>
  <c r="G347" i="38"/>
  <c r="G348" i="38"/>
  <c r="G349" i="38"/>
  <c r="G350" i="38"/>
  <c r="G351" i="38"/>
  <c r="A347" i="38"/>
  <c r="A348" i="38"/>
  <c r="A349" i="38"/>
  <c r="A350" i="38"/>
  <c r="A351" i="38"/>
  <c r="J347" i="38"/>
  <c r="J348" i="38"/>
  <c r="J349" i="38"/>
  <c r="J350" i="38"/>
  <c r="J351" i="38"/>
  <c r="G98" i="38"/>
  <c r="G97" i="38"/>
  <c r="G96" i="38"/>
  <c r="G95" i="38"/>
  <c r="A98" i="38"/>
  <c r="A97" i="38"/>
  <c r="A96" i="38"/>
  <c r="A95" i="38"/>
  <c r="J98" i="38"/>
  <c r="J97" i="38"/>
  <c r="J96" i="38"/>
  <c r="J95" i="38"/>
  <c r="K98" i="38"/>
  <c r="K97" i="38"/>
  <c r="K96" i="38"/>
  <c r="K95" i="38"/>
  <c r="A305" i="38"/>
  <c r="A306" i="38"/>
  <c r="A307" i="38"/>
  <c r="G305" i="38"/>
  <c r="G306" i="38"/>
  <c r="G307" i="38"/>
  <c r="J305" i="38"/>
  <c r="J306" i="38"/>
  <c r="J307" i="38"/>
  <c r="K305" i="38"/>
  <c r="K306" i="38"/>
  <c r="K307" i="38"/>
  <c r="K345" i="38"/>
  <c r="K346" i="38"/>
  <c r="A341" i="38"/>
  <c r="G328" i="38"/>
  <c r="G329" i="38"/>
  <c r="G330" i="38"/>
  <c r="G331" i="38"/>
  <c r="G332" i="38"/>
  <c r="G333" i="38"/>
  <c r="G334" i="38"/>
  <c r="G335" i="38"/>
  <c r="G341" i="38"/>
  <c r="G336" i="38"/>
  <c r="G337" i="38"/>
  <c r="G338" i="38"/>
  <c r="G339" i="38"/>
  <c r="G340" i="38"/>
  <c r="G342" i="38"/>
  <c r="G343" i="38"/>
  <c r="G344" i="38"/>
  <c r="G345" i="38"/>
  <c r="G346" i="38"/>
  <c r="A346" i="38"/>
  <c r="A344" i="38"/>
  <c r="A343" i="38"/>
  <c r="A342" i="38"/>
  <c r="A345" i="38"/>
  <c r="J346" i="38"/>
  <c r="J345" i="38"/>
  <c r="A328" i="38"/>
  <c r="A329" i="38"/>
  <c r="A330" i="38"/>
  <c r="A331" i="38"/>
  <c r="A332" i="38"/>
  <c r="A333" i="38"/>
  <c r="A334" i="38"/>
  <c r="A335" i="38"/>
  <c r="A336" i="38"/>
  <c r="A337" i="38"/>
  <c r="A338" i="38"/>
  <c r="A339" i="38"/>
  <c r="A340" i="38"/>
  <c r="K339" i="38"/>
  <c r="K340" i="38"/>
  <c r="K342" i="38"/>
  <c r="K343" i="38"/>
  <c r="K344" i="38"/>
  <c r="K328" i="38"/>
  <c r="K329" i="38"/>
  <c r="K330" i="38"/>
  <c r="K331" i="38"/>
  <c r="K332" i="38"/>
  <c r="K333" i="38"/>
  <c r="K334" i="38"/>
  <c r="K335" i="38"/>
  <c r="K341" i="38"/>
  <c r="K336" i="38"/>
  <c r="K337" i="38"/>
  <c r="K338" i="38"/>
  <c r="J328" i="38"/>
  <c r="J329" i="38"/>
  <c r="J330" i="38"/>
  <c r="J331" i="38"/>
  <c r="J332" i="38"/>
  <c r="J333" i="38"/>
  <c r="J334" i="38"/>
  <c r="J335" i="38"/>
  <c r="J341" i="38"/>
  <c r="J336" i="38"/>
  <c r="J337" i="38"/>
  <c r="J338" i="38"/>
  <c r="J339" i="38"/>
  <c r="J340" i="38"/>
  <c r="J342" i="38"/>
  <c r="J343" i="38"/>
  <c r="J344" i="38"/>
  <c r="G28" i="38"/>
  <c r="G29" i="38"/>
  <c r="G30" i="38"/>
  <c r="G31" i="38"/>
  <c r="G32" i="38"/>
  <c r="G33" i="38"/>
  <c r="G34" i="38"/>
  <c r="G35" i="38"/>
  <c r="G36" i="38"/>
  <c r="G37" i="38"/>
  <c r="G38" i="38"/>
  <c r="G39" i="38"/>
  <c r="G40" i="38"/>
  <c r="G41" i="38"/>
  <c r="G42" i="38"/>
  <c r="G43" i="38"/>
  <c r="G44" i="38"/>
  <c r="G45" i="38"/>
  <c r="G46" i="38"/>
  <c r="G47" i="38"/>
  <c r="G48" i="38"/>
  <c r="G49" i="38"/>
  <c r="G50" i="38"/>
  <c r="G51" i="38"/>
  <c r="G52" i="38"/>
  <c r="G53" i="38"/>
  <c r="G54" i="38"/>
  <c r="G55" i="38"/>
  <c r="G56" i="38"/>
  <c r="G57" i="38"/>
  <c r="G58" i="38"/>
  <c r="G59" i="38"/>
  <c r="G60" i="38"/>
  <c r="G61" i="38"/>
  <c r="G62" i="38"/>
  <c r="G63" i="38"/>
  <c r="G64" i="38"/>
  <c r="G65" i="38"/>
  <c r="G66" i="38"/>
  <c r="G67" i="38"/>
  <c r="G68" i="38"/>
  <c r="A49" i="38"/>
  <c r="A50" i="38"/>
  <c r="A51" i="38"/>
  <c r="A52" i="38"/>
  <c r="A53" i="38"/>
  <c r="A54" i="38"/>
  <c r="A55" i="38"/>
  <c r="A56" i="38"/>
  <c r="J49" i="38"/>
  <c r="J50" i="38"/>
  <c r="J51" i="38"/>
  <c r="J52" i="38"/>
  <c r="J53" i="38"/>
  <c r="J54" i="38"/>
  <c r="J55" i="38"/>
  <c r="J56" i="38"/>
  <c r="K49" i="38"/>
  <c r="K50" i="38"/>
  <c r="K51" i="38"/>
  <c r="K52" i="38"/>
  <c r="K53" i="38"/>
  <c r="K54" i="38"/>
  <c r="K55" i="38"/>
  <c r="K56" i="38"/>
  <c r="A33" i="38"/>
  <c r="A34" i="38"/>
  <c r="A35" i="38"/>
  <c r="A36" i="38"/>
  <c r="A37" i="38"/>
  <c r="A38" i="38"/>
  <c r="A39" i="38"/>
  <c r="A40" i="38"/>
  <c r="A41" i="38"/>
  <c r="A42" i="38"/>
  <c r="A43" i="38"/>
  <c r="A44" i="38"/>
  <c r="A45" i="38"/>
  <c r="A46" i="38"/>
  <c r="A47" i="38"/>
  <c r="A48" i="38"/>
  <c r="A57" i="38"/>
  <c r="A58" i="38"/>
  <c r="A59" i="38"/>
  <c r="A60" i="38"/>
  <c r="J33" i="38"/>
  <c r="J34" i="38"/>
  <c r="J35" i="38"/>
  <c r="J36" i="38"/>
  <c r="J37" i="38"/>
  <c r="J38" i="38"/>
  <c r="J39" i="38"/>
  <c r="J40" i="38"/>
  <c r="J41" i="38"/>
  <c r="J42" i="38"/>
  <c r="K33" i="38"/>
  <c r="K34" i="38"/>
  <c r="K35" i="38"/>
  <c r="K36" i="38"/>
  <c r="K37" i="38"/>
  <c r="K38" i="38"/>
  <c r="K39" i="38"/>
  <c r="K40" i="38"/>
  <c r="K41" i="38"/>
  <c r="K42" i="38"/>
  <c r="J43" i="38"/>
  <c r="J44" i="38"/>
  <c r="J45" i="38"/>
  <c r="J46" i="38"/>
  <c r="J47" i="38"/>
  <c r="J48" i="38"/>
  <c r="J57" i="38"/>
  <c r="J58" i="38"/>
  <c r="J59" i="38"/>
  <c r="J60" i="38"/>
  <c r="K43" i="38"/>
  <c r="K44" i="38"/>
  <c r="K45" i="38"/>
  <c r="K46" i="38"/>
  <c r="K47" i="38"/>
  <c r="K48" i="38"/>
  <c r="K57" i="38"/>
  <c r="K58" i="38"/>
  <c r="K59" i="38"/>
  <c r="K60" i="38"/>
  <c r="A28" i="38"/>
  <c r="A29" i="38"/>
  <c r="A30" i="38"/>
  <c r="A31" i="38"/>
  <c r="A32" i="38"/>
  <c r="A61" i="38"/>
  <c r="A62" i="38"/>
  <c r="A63" i="38"/>
  <c r="A64" i="38"/>
  <c r="A65" i="38"/>
  <c r="A66" i="38"/>
  <c r="A67" i="38"/>
  <c r="A68" i="38"/>
  <c r="J29" i="38"/>
  <c r="J30" i="38"/>
  <c r="J31" i="38"/>
  <c r="J32" i="38"/>
  <c r="K29" i="38"/>
  <c r="K30" i="38"/>
  <c r="K31" i="38"/>
  <c r="K32" i="38"/>
  <c r="J61" i="38"/>
  <c r="J62" i="38"/>
  <c r="J63" i="38"/>
  <c r="J64" i="38"/>
  <c r="K61" i="38"/>
  <c r="K62" i="38"/>
  <c r="K63" i="38"/>
  <c r="K64" i="38"/>
  <c r="J28" i="38"/>
  <c r="J65" i="38"/>
  <c r="J66" i="38"/>
  <c r="J67" i="38"/>
  <c r="J68" i="38"/>
  <c r="K28" i="38"/>
  <c r="K65" i="38"/>
  <c r="K66" i="38"/>
  <c r="K67" i="38"/>
  <c r="K68" i="38"/>
  <c r="G86" i="38"/>
  <c r="G87" i="38"/>
  <c r="G88" i="38"/>
  <c r="G89" i="38"/>
  <c r="G90" i="38"/>
  <c r="G91" i="38"/>
  <c r="G92" i="38"/>
  <c r="G93" i="38"/>
  <c r="G94" i="38"/>
  <c r="A94" i="38"/>
  <c r="A93" i="38"/>
  <c r="A110" i="38"/>
  <c r="A92" i="38"/>
  <c r="A91" i="38"/>
  <c r="A90" i="38"/>
  <c r="A89" i="38"/>
  <c r="A88" i="38"/>
  <c r="A87" i="38"/>
  <c r="A86" i="38"/>
  <c r="J88" i="38"/>
  <c r="J89" i="38"/>
  <c r="J90" i="38"/>
  <c r="J91" i="38"/>
  <c r="K88" i="38"/>
  <c r="K89" i="38"/>
  <c r="K90" i="38"/>
  <c r="K91" i="38"/>
  <c r="J86" i="38"/>
  <c r="J87" i="38"/>
  <c r="J92" i="38"/>
  <c r="J93" i="38"/>
  <c r="J94" i="38"/>
  <c r="K86" i="38"/>
  <c r="K87" i="38"/>
  <c r="K92" i="38"/>
  <c r="K93" i="38"/>
  <c r="K94" i="38"/>
  <c r="G167" i="38"/>
  <c r="G154" i="38"/>
  <c r="G155" i="38"/>
  <c r="G156" i="38"/>
  <c r="G157" i="38"/>
  <c r="G158" i="38"/>
  <c r="G159" i="38"/>
  <c r="G160" i="38"/>
  <c r="G161" i="38"/>
  <c r="G162" i="38"/>
  <c r="G163" i="38"/>
  <c r="G164" i="38"/>
  <c r="G165" i="38"/>
  <c r="G166" i="38"/>
  <c r="J156" i="38"/>
  <c r="J157" i="38"/>
  <c r="J158" i="38"/>
  <c r="J159" i="38"/>
  <c r="J160" i="38"/>
  <c r="K156" i="38"/>
  <c r="K157" i="38"/>
  <c r="K158" i="38"/>
  <c r="K159" i="38"/>
  <c r="K160" i="38"/>
  <c r="J161" i="38"/>
  <c r="J162" i="38"/>
  <c r="J163" i="38"/>
  <c r="J164" i="38"/>
  <c r="J165" i="38"/>
  <c r="K161" i="38"/>
  <c r="K162" i="38"/>
  <c r="K163" i="38"/>
  <c r="K164" i="38"/>
  <c r="K165" i="38"/>
  <c r="J166" i="38"/>
  <c r="J167" i="38"/>
  <c r="K166" i="38"/>
  <c r="K167" i="38"/>
  <c r="J154" i="38"/>
  <c r="J155" i="38"/>
  <c r="K154" i="38"/>
  <c r="K155" i="38"/>
  <c r="A303" i="38"/>
  <c r="A304" i="38"/>
  <c r="A288" i="38"/>
  <c r="A289" i="38"/>
  <c r="A290" i="38"/>
  <c r="A291" i="38"/>
  <c r="A292" i="38"/>
  <c r="A293" i="38"/>
  <c r="A294" i="38"/>
  <c r="A295" i="38"/>
  <c r="A296" i="38"/>
  <c r="A297" i="38"/>
  <c r="A298" i="38"/>
  <c r="A299" i="38"/>
  <c r="A300" i="38"/>
  <c r="A301" i="38"/>
  <c r="A302" i="38"/>
  <c r="A279" i="38"/>
  <c r="A280" i="38"/>
  <c r="A281" i="38"/>
  <c r="A282" i="38"/>
  <c r="A283" i="38"/>
  <c r="A284" i="38"/>
  <c r="A285" i="38"/>
  <c r="A286" i="38"/>
  <c r="A287" i="38"/>
  <c r="A278" i="38"/>
  <c r="G286" i="38"/>
  <c r="G287" i="38"/>
  <c r="G288" i="38"/>
  <c r="G289" i="38"/>
  <c r="G290" i="38"/>
  <c r="G291" i="38"/>
  <c r="G292" i="38"/>
  <c r="G293" i="38"/>
  <c r="G294" i="38"/>
  <c r="G295" i="38"/>
  <c r="G296" i="38"/>
  <c r="G297" i="38"/>
  <c r="G298" i="38"/>
  <c r="G299" i="38"/>
  <c r="G300" i="38"/>
  <c r="G301" i="38"/>
  <c r="G302" i="38"/>
  <c r="G303" i="38"/>
  <c r="G304" i="38"/>
  <c r="J286" i="38"/>
  <c r="J287" i="38"/>
  <c r="J288" i="38"/>
  <c r="J289" i="38"/>
  <c r="J290" i="38"/>
  <c r="J291" i="38"/>
  <c r="K286" i="38"/>
  <c r="K287" i="38"/>
  <c r="K288" i="38"/>
  <c r="K289" i="38"/>
  <c r="K290" i="38"/>
  <c r="K291" i="38"/>
  <c r="J292" i="38"/>
  <c r="J293" i="38"/>
  <c r="J294" i="38"/>
  <c r="J295" i="38"/>
  <c r="J296" i="38"/>
  <c r="J297" i="38"/>
  <c r="K292" i="38"/>
  <c r="K293" i="38"/>
  <c r="K294" i="38"/>
  <c r="K295" i="38"/>
  <c r="K296" i="38"/>
  <c r="K297" i="38"/>
  <c r="J298" i="38"/>
  <c r="J299" i="38"/>
  <c r="J300" i="38"/>
  <c r="J301" i="38"/>
  <c r="J302" i="38"/>
  <c r="J303" i="38"/>
  <c r="K298" i="38"/>
  <c r="K299" i="38"/>
  <c r="K300" i="38"/>
  <c r="K301" i="38"/>
  <c r="K302" i="38"/>
  <c r="K303" i="38"/>
  <c r="J304" i="38"/>
  <c r="K304" i="38"/>
  <c r="A27" i="38"/>
  <c r="G27" i="38"/>
  <c r="J27" i="38"/>
  <c r="K27" i="38"/>
  <c r="G153" i="38"/>
  <c r="J153" i="38"/>
  <c r="K153" i="38"/>
  <c r="G151" i="38"/>
  <c r="G152" i="38"/>
  <c r="J151" i="38"/>
  <c r="J152" i="38"/>
  <c r="K151" i="38"/>
  <c r="K152" i="38"/>
  <c r="G285" i="38"/>
  <c r="J285" i="38"/>
  <c r="K285" i="38"/>
  <c r="G21" i="38"/>
  <c r="G22" i="38"/>
  <c r="G23" i="38"/>
  <c r="G24" i="38"/>
  <c r="G25" i="38"/>
  <c r="G26" i="38"/>
  <c r="A26" i="38"/>
  <c r="A25" i="38"/>
  <c r="A24" i="38"/>
  <c r="A23" i="38"/>
  <c r="A22" i="38"/>
  <c r="A21" i="38"/>
  <c r="J21" i="38"/>
  <c r="K21" i="38"/>
  <c r="J22" i="38"/>
  <c r="K22" i="38"/>
  <c r="J23" i="38"/>
  <c r="K23" i="38"/>
  <c r="J24" i="38"/>
  <c r="K24" i="38"/>
  <c r="J25" i="38"/>
  <c r="K25" i="38"/>
  <c r="J26" i="38"/>
  <c r="K26" i="38"/>
  <c r="J71" i="38"/>
  <c r="K71" i="38"/>
  <c r="J72" i="38"/>
  <c r="K72" i="38"/>
  <c r="J73" i="38"/>
  <c r="K73" i="38"/>
  <c r="J74" i="38"/>
  <c r="K74" i="38"/>
  <c r="J75" i="38"/>
  <c r="K75" i="38"/>
  <c r="J76" i="38"/>
  <c r="K76" i="38"/>
  <c r="J77" i="38"/>
  <c r="K77" i="38"/>
  <c r="J78" i="38"/>
  <c r="K78" i="38"/>
  <c r="J79" i="38"/>
  <c r="K79" i="38"/>
  <c r="J80" i="38"/>
  <c r="K80" i="38"/>
  <c r="J81" i="38"/>
  <c r="K81" i="38"/>
  <c r="J82" i="38"/>
  <c r="K82" i="38"/>
  <c r="J83" i="38"/>
  <c r="K83" i="38"/>
  <c r="J84" i="38"/>
  <c r="K84" i="38"/>
  <c r="J85" i="38"/>
  <c r="K85" i="38"/>
  <c r="G71" i="38"/>
  <c r="G72" i="38"/>
  <c r="G73" i="38"/>
  <c r="G74" i="38"/>
  <c r="G75" i="38"/>
  <c r="G76" i="38"/>
  <c r="G77" i="38"/>
  <c r="G78" i="38"/>
  <c r="G79" i="38"/>
  <c r="G80" i="38"/>
  <c r="G81" i="38"/>
  <c r="G82" i="38"/>
  <c r="G83" i="38"/>
  <c r="G84" i="38"/>
  <c r="G85" i="38"/>
  <c r="A71" i="38"/>
  <c r="A72" i="38"/>
  <c r="A73" i="38"/>
  <c r="A74" i="38"/>
  <c r="A75" i="38"/>
  <c r="A76" i="38"/>
  <c r="A77" i="38"/>
  <c r="A78" i="38"/>
  <c r="A79" i="38"/>
  <c r="A80" i="38"/>
  <c r="A81" i="38"/>
  <c r="A82" i="38"/>
  <c r="A83" i="38"/>
  <c r="A84" i="38"/>
  <c r="A85" i="38"/>
  <c r="G132" i="38"/>
  <c r="G133" i="38"/>
  <c r="G134" i="38"/>
  <c r="G135" i="38"/>
  <c r="G136" i="38"/>
  <c r="G137" i="38"/>
  <c r="G138" i="38"/>
  <c r="G139" i="38"/>
  <c r="G140" i="38"/>
  <c r="G141" i="38"/>
  <c r="G142" i="38"/>
  <c r="G143" i="38"/>
  <c r="G144" i="38"/>
  <c r="G145" i="38"/>
  <c r="G146" i="38"/>
  <c r="G147" i="38"/>
  <c r="G148" i="38"/>
  <c r="G149" i="38"/>
  <c r="G150" i="38"/>
  <c r="A133" i="38"/>
  <c r="A132" i="38"/>
  <c r="J135" i="38"/>
  <c r="K135" i="38"/>
  <c r="J136" i="38"/>
  <c r="K136" i="38"/>
  <c r="J137" i="38"/>
  <c r="K137" i="38"/>
  <c r="J138" i="38"/>
  <c r="K138" i="38"/>
  <c r="J139" i="38"/>
  <c r="K139" i="38"/>
  <c r="J140" i="38"/>
  <c r="K140" i="38"/>
  <c r="J141" i="38"/>
  <c r="K141" i="38"/>
  <c r="J132" i="38"/>
  <c r="K132" i="38"/>
  <c r="J133" i="38"/>
  <c r="K133" i="38"/>
  <c r="J134" i="38"/>
  <c r="K134" i="38"/>
  <c r="J142" i="38"/>
  <c r="K142" i="38"/>
  <c r="J143" i="38"/>
  <c r="K143" i="38"/>
  <c r="J144" i="38"/>
  <c r="K144" i="38"/>
  <c r="J145" i="38"/>
  <c r="K145" i="38"/>
  <c r="J146" i="38"/>
  <c r="K146" i="38"/>
  <c r="J147" i="38"/>
  <c r="K147" i="38"/>
  <c r="J148" i="38"/>
  <c r="K148" i="38"/>
  <c r="J149" i="38"/>
  <c r="K149" i="38"/>
  <c r="J150" i="38"/>
  <c r="K150" i="38"/>
  <c r="G281" i="38"/>
  <c r="G282" i="38"/>
  <c r="G283" i="38"/>
  <c r="G284" i="38"/>
  <c r="J281" i="38"/>
  <c r="J282" i="38"/>
  <c r="J283" i="38"/>
  <c r="J284" i="38"/>
  <c r="K281" i="38"/>
  <c r="K282" i="38"/>
  <c r="K283" i="38"/>
  <c r="K284" i="38"/>
  <c r="A131" i="38"/>
  <c r="G131" i="38"/>
  <c r="J131" i="38"/>
  <c r="K131" i="38"/>
  <c r="A275" i="38"/>
  <c r="A276" i="38"/>
  <c r="A277" i="38"/>
  <c r="G275" i="38"/>
  <c r="G276" i="38"/>
  <c r="G277" i="38"/>
  <c r="G278" i="38"/>
  <c r="G279" i="38"/>
  <c r="G280" i="38"/>
  <c r="J276" i="38"/>
  <c r="J277" i="38"/>
  <c r="J278" i="38"/>
  <c r="K276" i="38"/>
  <c r="K277" i="38"/>
  <c r="K278" i="38"/>
  <c r="J279" i="38"/>
  <c r="J280" i="38"/>
  <c r="K279" i="38"/>
  <c r="K280" i="38"/>
  <c r="J275" i="38"/>
  <c r="K275" i="38"/>
  <c r="A176" i="38"/>
  <c r="A177" i="38"/>
  <c r="A178" i="38"/>
  <c r="A179" i="38"/>
  <c r="A180" i="38"/>
  <c r="G176" i="38"/>
  <c r="G177" i="38"/>
  <c r="G178" i="38"/>
  <c r="G179" i="38"/>
  <c r="G180" i="38"/>
  <c r="J178" i="38"/>
  <c r="J179" i="38"/>
  <c r="J180" i="38"/>
  <c r="K178" i="38"/>
  <c r="K179" i="38"/>
  <c r="K180" i="38"/>
  <c r="J176" i="38"/>
  <c r="K176" i="38"/>
  <c r="J177" i="38"/>
  <c r="K177" i="38"/>
  <c r="A273" i="38"/>
  <c r="A274" i="38"/>
  <c r="J273" i="38"/>
  <c r="K273" i="38"/>
  <c r="J274" i="38"/>
  <c r="K274" i="38"/>
  <c r="G273" i="38"/>
  <c r="G274" i="38"/>
  <c r="J130" i="38"/>
  <c r="K130" i="38"/>
  <c r="A130" i="38"/>
  <c r="G130" i="38"/>
  <c r="G19" i="38"/>
  <c r="G20" i="38"/>
  <c r="A19" i="38"/>
  <c r="A20" i="38"/>
  <c r="J19" i="38"/>
  <c r="J20" i="38"/>
  <c r="K19" i="38"/>
  <c r="K20" i="38"/>
  <c r="J129" i="38"/>
  <c r="K129" i="38"/>
  <c r="A129" i="38"/>
  <c r="G129" i="38"/>
  <c r="J270" i="38"/>
  <c r="K270" i="38"/>
  <c r="J271" i="38"/>
  <c r="K271" i="38"/>
  <c r="J272" i="38"/>
  <c r="K272" i="38"/>
  <c r="A270" i="38"/>
  <c r="A271" i="38"/>
  <c r="A272" i="38"/>
  <c r="G270" i="38"/>
  <c r="G271" i="38"/>
  <c r="G272" i="38"/>
  <c r="G13" i="38"/>
  <c r="G14" i="38"/>
  <c r="G15" i="38"/>
  <c r="G16" i="38"/>
  <c r="G17" i="38"/>
  <c r="G18" i="38"/>
  <c r="A13" i="38"/>
  <c r="A14" i="38"/>
  <c r="A15" i="38"/>
  <c r="A16" i="38"/>
  <c r="A17" i="38"/>
  <c r="A18" i="38"/>
  <c r="J13" i="38"/>
  <c r="J14" i="38"/>
  <c r="J15" i="38"/>
  <c r="J16" i="38"/>
  <c r="J17" i="38"/>
  <c r="J18" i="38"/>
  <c r="K13" i="38"/>
  <c r="K14" i="38"/>
  <c r="K15" i="38"/>
  <c r="K16" i="38"/>
  <c r="K17" i="38"/>
  <c r="K18" i="38"/>
  <c r="A128" i="38"/>
  <c r="G128" i="38"/>
  <c r="J128" i="38"/>
  <c r="K128" i="38"/>
  <c r="A266" i="38"/>
  <c r="A267" i="38"/>
  <c r="A268" i="38"/>
  <c r="A269" i="38"/>
  <c r="G266" i="38"/>
  <c r="G267" i="38"/>
  <c r="G268" i="38"/>
  <c r="G269" i="38"/>
  <c r="J266" i="38"/>
  <c r="J267" i="38"/>
  <c r="J268" i="38"/>
  <c r="J269" i="38"/>
  <c r="K266" i="38"/>
  <c r="K267" i="38"/>
  <c r="K268" i="38"/>
  <c r="K269" i="38"/>
  <c r="G126" i="38"/>
  <c r="G127" i="38"/>
  <c r="A126" i="38"/>
  <c r="A127" i="38"/>
  <c r="J126" i="38"/>
  <c r="J127" i="38"/>
  <c r="K126" i="38"/>
  <c r="K127" i="38"/>
  <c r="A262" i="38"/>
  <c r="A263" i="38"/>
  <c r="A264" i="38"/>
  <c r="A265" i="38"/>
  <c r="G262" i="38"/>
  <c r="G263" i="38"/>
  <c r="G264" i="38"/>
  <c r="G265" i="38"/>
  <c r="J262" i="38"/>
  <c r="J263" i="38"/>
  <c r="J264" i="38"/>
  <c r="J265" i="38"/>
  <c r="K262" i="38"/>
  <c r="K263" i="38"/>
  <c r="K264" i="38"/>
  <c r="K265" i="38"/>
  <c r="A125" i="38"/>
  <c r="G125" i="38"/>
  <c r="J125" i="38"/>
  <c r="K125" i="38"/>
  <c r="A257" i="38"/>
  <c r="A258" i="38"/>
  <c r="A259" i="38"/>
  <c r="A260" i="38"/>
  <c r="A261" i="38"/>
  <c r="G257" i="38"/>
  <c r="G258" i="38"/>
  <c r="G259" i="38"/>
  <c r="G260" i="38"/>
  <c r="G261" i="38"/>
  <c r="J257" i="38"/>
  <c r="J258" i="38"/>
  <c r="J259" i="38"/>
  <c r="J260" i="38"/>
  <c r="J261" i="38"/>
  <c r="K257" i="38"/>
  <c r="K258" i="38"/>
  <c r="K259" i="38"/>
  <c r="K260" i="38"/>
  <c r="K261" i="38"/>
  <c r="G318" i="38"/>
  <c r="J318" i="38"/>
  <c r="K318" i="38"/>
  <c r="A318" i="38"/>
  <c r="G321" i="38"/>
  <c r="G322" i="38"/>
  <c r="G323" i="38"/>
  <c r="G324" i="38"/>
  <c r="G325" i="38"/>
  <c r="G326" i="38"/>
  <c r="G327" i="38"/>
  <c r="J321" i="38"/>
  <c r="K321" i="38"/>
  <c r="J322" i="38"/>
  <c r="K322" i="38"/>
  <c r="J323" i="38"/>
  <c r="K323" i="38"/>
  <c r="J324" i="38"/>
  <c r="K324" i="38"/>
  <c r="J325" i="38"/>
  <c r="K325" i="38"/>
  <c r="J326" i="38"/>
  <c r="K326" i="38"/>
  <c r="J327" i="38"/>
  <c r="K327" i="38"/>
  <c r="A321" i="38"/>
  <c r="A322" i="38"/>
  <c r="A324" i="38"/>
  <c r="A325" i="38"/>
  <c r="A326" i="38"/>
  <c r="A327" i="38"/>
  <c r="G252" i="38"/>
  <c r="J252" i="38"/>
  <c r="K252" i="38"/>
  <c r="G173" i="38"/>
  <c r="G174" i="38"/>
  <c r="G175" i="38"/>
  <c r="G184" i="38"/>
  <c r="A173" i="38"/>
  <c r="A174" i="38"/>
  <c r="A175" i="38"/>
  <c r="J173" i="38"/>
  <c r="J174" i="38"/>
  <c r="J175" i="38"/>
  <c r="K173" i="38"/>
  <c r="K174" i="38"/>
  <c r="K175" i="38"/>
  <c r="A251" i="38"/>
  <c r="A253" i="38"/>
  <c r="A254" i="38"/>
  <c r="A255" i="38"/>
  <c r="A256" i="38"/>
  <c r="G251" i="38"/>
  <c r="G253" i="38"/>
  <c r="G254" i="38"/>
  <c r="G255" i="38"/>
  <c r="G256" i="38"/>
  <c r="J253" i="38"/>
  <c r="J254" i="38"/>
  <c r="K253" i="38"/>
  <c r="K254" i="38"/>
  <c r="J255" i="38"/>
  <c r="J256" i="38"/>
  <c r="K255" i="38"/>
  <c r="K256" i="38"/>
  <c r="J251" i="38"/>
  <c r="K251" i="38"/>
  <c r="A247" i="38"/>
  <c r="A248" i="38"/>
  <c r="A249" i="38"/>
  <c r="A250" i="38"/>
  <c r="G247" i="38"/>
  <c r="G248" i="38"/>
  <c r="G249" i="38"/>
  <c r="G250" i="38"/>
  <c r="J247" i="38"/>
  <c r="J248" i="38"/>
  <c r="K247" i="38"/>
  <c r="K248" i="38"/>
  <c r="J249" i="38"/>
  <c r="J250" i="38"/>
  <c r="K249" i="38"/>
  <c r="K250" i="38"/>
  <c r="K241" i="38"/>
  <c r="K242" i="38"/>
  <c r="K243" i="38"/>
  <c r="K244" i="38"/>
  <c r="K245" i="38"/>
  <c r="K246" i="38"/>
  <c r="A241" i="38"/>
  <c r="A242" i="38"/>
  <c r="A243" i="38"/>
  <c r="A244" i="38"/>
  <c r="A245" i="38"/>
  <c r="A246" i="38"/>
  <c r="G232" i="38"/>
  <c r="G233" i="38"/>
  <c r="G234" i="38"/>
  <c r="G235" i="38"/>
  <c r="G236" i="38"/>
  <c r="G237" i="38"/>
  <c r="G238" i="38"/>
  <c r="G239" i="38"/>
  <c r="G240" i="38"/>
  <c r="G241" i="38"/>
  <c r="G242" i="38"/>
  <c r="G243" i="38"/>
  <c r="G244" i="38"/>
  <c r="G245" i="38"/>
  <c r="G246" i="38"/>
  <c r="G219" i="38"/>
  <c r="G220" i="38"/>
  <c r="G221" i="38"/>
  <c r="G222" i="38"/>
  <c r="G223" i="38"/>
  <c r="G224" i="38"/>
  <c r="G225" i="38"/>
  <c r="G226" i="38"/>
  <c r="G227" i="38"/>
  <c r="G228" i="38"/>
  <c r="G229" i="38"/>
  <c r="G230" i="38"/>
  <c r="G231" i="38"/>
  <c r="J241" i="38"/>
  <c r="J242" i="38"/>
  <c r="J243" i="38"/>
  <c r="J244" i="38"/>
  <c r="J245" i="38"/>
  <c r="J246" i="38"/>
  <c r="J205" i="38"/>
  <c r="K205" i="38"/>
  <c r="G205" i="38"/>
  <c r="G70" i="38"/>
  <c r="J12" i="38"/>
  <c r="K12" i="38"/>
  <c r="G12" i="38"/>
  <c r="A12" i="38"/>
  <c r="J70" i="38"/>
  <c r="K70" i="38"/>
  <c r="A70" i="38"/>
  <c r="G120" i="38"/>
  <c r="G121" i="38"/>
  <c r="G122" i="38"/>
  <c r="G123" i="38"/>
  <c r="G124" i="38"/>
  <c r="J124" i="38"/>
  <c r="K124" i="38"/>
  <c r="A124" i="38"/>
  <c r="A226" i="38"/>
  <c r="A227" i="38"/>
  <c r="A228" i="38"/>
  <c r="A229" i="38"/>
  <c r="A230" i="38"/>
  <c r="A231" i="38"/>
  <c r="A232" i="38"/>
  <c r="A233" i="38"/>
  <c r="A234" i="38"/>
  <c r="A235" i="38"/>
  <c r="A236" i="38"/>
  <c r="A237" i="38"/>
  <c r="A238" i="38"/>
  <c r="A239" i="38"/>
  <c r="A240" i="38"/>
  <c r="J228" i="38"/>
  <c r="J229" i="38"/>
  <c r="J230" i="38"/>
  <c r="J231" i="38"/>
  <c r="J232" i="38"/>
  <c r="J233" i="38"/>
  <c r="J234" i="38"/>
  <c r="J235" i="38"/>
  <c r="K228" i="38"/>
  <c r="K229" i="38"/>
  <c r="K230" i="38"/>
  <c r="K231" i="38"/>
  <c r="K232" i="38"/>
  <c r="K233" i="38"/>
  <c r="K234" i="38"/>
  <c r="K235" i="38"/>
  <c r="J226" i="38"/>
  <c r="J227" i="38"/>
  <c r="J236" i="38"/>
  <c r="K226" i="38"/>
  <c r="K227" i="38"/>
  <c r="K236" i="38"/>
  <c r="J237" i="38"/>
  <c r="J238" i="38"/>
  <c r="J239" i="38"/>
  <c r="K237" i="38"/>
  <c r="K238" i="38"/>
  <c r="K239" i="38"/>
  <c r="J240" i="38"/>
  <c r="K240" i="38"/>
  <c r="G10" i="38"/>
  <c r="J10" i="38"/>
  <c r="K10" i="38"/>
  <c r="G11" i="38"/>
  <c r="J11" i="38"/>
  <c r="K11" i="38"/>
  <c r="A10" i="38"/>
  <c r="A11" i="38"/>
  <c r="G69" i="38"/>
  <c r="J69" i="38"/>
  <c r="K69" i="38"/>
  <c r="A69" i="38"/>
  <c r="A123" i="38"/>
  <c r="J123" i="38"/>
  <c r="K123" i="38"/>
  <c r="A219" i="38" l="1"/>
  <c r="A220" i="38"/>
  <c r="A221" i="38"/>
  <c r="A222" i="38"/>
  <c r="A223" i="38"/>
  <c r="A224" i="38"/>
  <c r="A225" i="38"/>
  <c r="J219" i="38"/>
  <c r="J220" i="38"/>
  <c r="J221" i="38"/>
  <c r="K219" i="38"/>
  <c r="K220" i="38"/>
  <c r="K221" i="38"/>
  <c r="J222" i="38"/>
  <c r="J223" i="38"/>
  <c r="J224" i="38"/>
  <c r="K222" i="38"/>
  <c r="K223" i="38"/>
  <c r="K224" i="38"/>
  <c r="J225" i="38"/>
  <c r="K225" i="38"/>
  <c r="A121" i="38"/>
  <c r="A122" i="38"/>
  <c r="J121" i="38"/>
  <c r="K121" i="38"/>
  <c r="J122" i="38"/>
  <c r="K122" i="38"/>
  <c r="J216" i="38"/>
  <c r="K216" i="38"/>
  <c r="J217" i="38"/>
  <c r="K217" i="38"/>
  <c r="J218" i="38"/>
  <c r="K218" i="38"/>
  <c r="A216" i="38"/>
  <c r="A217" i="38"/>
  <c r="A218" i="38"/>
  <c r="G216" i="38"/>
  <c r="G217" i="38"/>
  <c r="G218" i="38"/>
  <c r="G319" i="38"/>
  <c r="J319" i="38"/>
  <c r="K319" i="38"/>
  <c r="G320" i="38"/>
  <c r="J320" i="38"/>
  <c r="K320" i="38"/>
  <c r="A319" i="38"/>
  <c r="A320" i="38"/>
  <c r="A317" i="38"/>
  <c r="A323" i="38"/>
  <c r="G317" i="38" l="1"/>
  <c r="J317" i="38"/>
  <c r="K317" i="38"/>
  <c r="A211" i="38"/>
  <c r="A212" i="38"/>
  <c r="A213" i="38"/>
  <c r="A214" i="38"/>
  <c r="A215" i="38"/>
  <c r="J211" i="38"/>
  <c r="K211" i="38"/>
  <c r="J212" i="38"/>
  <c r="K212" i="38"/>
  <c r="J213" i="38"/>
  <c r="K213" i="38"/>
  <c r="J214" i="38"/>
  <c r="K214" i="38"/>
  <c r="J215" i="38"/>
  <c r="K215" i="38"/>
  <c r="G211" i="38"/>
  <c r="G212" i="38"/>
  <c r="G213" i="38"/>
  <c r="G214" i="38"/>
  <c r="G215" i="38"/>
  <c r="A204" i="38"/>
  <c r="A206" i="38"/>
  <c r="A207" i="38"/>
  <c r="A208" i="38"/>
  <c r="A209" i="38"/>
  <c r="A210" i="38"/>
  <c r="G204" i="38"/>
  <c r="G206" i="38"/>
  <c r="G207" i="38"/>
  <c r="G208" i="38"/>
  <c r="G209" i="38"/>
  <c r="G210" i="38"/>
  <c r="J208" i="38"/>
  <c r="J209" i="38"/>
  <c r="J210" i="38"/>
  <c r="K208" i="38"/>
  <c r="K209" i="38"/>
  <c r="K210" i="38"/>
  <c r="J204" i="38"/>
  <c r="J206" i="38"/>
  <c r="J207" i="38"/>
  <c r="K204" i="38"/>
  <c r="K206" i="38"/>
  <c r="K207" i="38"/>
  <c r="G202" i="38"/>
  <c r="G203" i="38"/>
  <c r="A202" i="38"/>
  <c r="A203" i="38"/>
  <c r="J202" i="38"/>
  <c r="J203" i="38"/>
  <c r="K202" i="38"/>
  <c r="K203" i="38"/>
  <c r="A199" i="38"/>
  <c r="A200" i="38"/>
  <c r="A201" i="38"/>
  <c r="G199" i="38"/>
  <c r="G200" i="38"/>
  <c r="G201" i="38"/>
  <c r="J199" i="38"/>
  <c r="J200" i="38"/>
  <c r="J201" i="38"/>
  <c r="K199" i="38"/>
  <c r="K200" i="38"/>
  <c r="K201" i="38"/>
  <c r="G4" i="38"/>
  <c r="G5" i="38"/>
  <c r="G6" i="38"/>
  <c r="G7" i="38"/>
  <c r="G8" i="38"/>
  <c r="G9" i="38"/>
  <c r="A4" i="38"/>
  <c r="A5" i="38"/>
  <c r="A6" i="38"/>
  <c r="A7" i="38"/>
  <c r="A8" i="38"/>
  <c r="A9" i="38"/>
  <c r="A111" i="38"/>
  <c r="A112" i="38"/>
  <c r="A113" i="38"/>
  <c r="A114" i="38"/>
  <c r="A115" i="38"/>
  <c r="A116" i="38"/>
  <c r="A117" i="38"/>
  <c r="A118" i="38"/>
  <c r="A119" i="38"/>
  <c r="A120" i="38"/>
  <c r="G110" i="38"/>
  <c r="G111" i="38"/>
  <c r="G112" i="38"/>
  <c r="G113" i="38"/>
  <c r="G114" i="38"/>
  <c r="G115" i="38"/>
  <c r="G116" i="38"/>
  <c r="G117" i="38"/>
  <c r="G118" i="38"/>
  <c r="G119" i="38"/>
  <c r="J7" i="38"/>
  <c r="J8" i="38"/>
  <c r="J9" i="38"/>
  <c r="K7" i="38"/>
  <c r="K8" i="38"/>
  <c r="K9" i="38"/>
  <c r="J6" i="38"/>
  <c r="J110" i="38"/>
  <c r="J111" i="38"/>
  <c r="K6" i="38"/>
  <c r="K110" i="38"/>
  <c r="K111" i="38"/>
  <c r="J112" i="38"/>
  <c r="J113" i="38"/>
  <c r="J114" i="38"/>
  <c r="K112" i="38"/>
  <c r="K113" i="38"/>
  <c r="K114" i="38"/>
  <c r="A193" i="38" l="1"/>
  <c r="A194" i="38"/>
  <c r="A195" i="38"/>
  <c r="A196" i="38"/>
  <c r="A197" i="38"/>
  <c r="A198" i="38"/>
  <c r="G193" i="38"/>
  <c r="G194" i="38"/>
  <c r="G195" i="38"/>
  <c r="G196" i="38"/>
  <c r="G197" i="38"/>
  <c r="G198" i="38"/>
  <c r="J197" i="38"/>
  <c r="J198" i="38"/>
  <c r="K197" i="38"/>
  <c r="K198" i="38"/>
  <c r="J193" i="38"/>
  <c r="J194" i="38"/>
  <c r="J195" i="38"/>
  <c r="J196" i="38"/>
  <c r="K193" i="38"/>
  <c r="K194" i="38"/>
  <c r="K195" i="38"/>
  <c r="K196" i="38"/>
  <c r="J4" i="38"/>
  <c r="J5" i="38"/>
  <c r="J115" i="38"/>
  <c r="J116" i="38"/>
  <c r="J117" i="38"/>
  <c r="J118" i="38"/>
  <c r="J119" i="38"/>
  <c r="J120" i="38"/>
  <c r="K4" i="38"/>
  <c r="K5" i="38"/>
  <c r="K115" i="38"/>
  <c r="K116" i="38"/>
  <c r="K117" i="38"/>
  <c r="K118" i="38"/>
  <c r="K119" i="38"/>
  <c r="K120" i="38"/>
  <c r="K185" i="38"/>
  <c r="K186" i="38"/>
  <c r="K187" i="38"/>
  <c r="K188" i="38"/>
  <c r="K189" i="38"/>
  <c r="K190" i="38"/>
  <c r="K191" i="38"/>
  <c r="K192" i="38"/>
  <c r="K184" i="38"/>
  <c r="J185" i="38"/>
  <c r="J186" i="38"/>
  <c r="J187" i="38"/>
  <c r="J188" i="38"/>
  <c r="J189" i="38"/>
  <c r="J190" i="38"/>
  <c r="J191" i="38"/>
  <c r="J192" i="38"/>
  <c r="J184" i="38"/>
  <c r="G185" i="38"/>
  <c r="G186" i="38"/>
  <c r="G187" i="38"/>
  <c r="G188" i="38"/>
  <c r="G189" i="38"/>
  <c r="G190" i="38"/>
  <c r="G191" i="38"/>
  <c r="G192" i="38"/>
  <c r="A185" i="38"/>
  <c r="A186" i="38"/>
  <c r="A187" i="38"/>
  <c r="A188" i="38"/>
  <c r="A189" i="38"/>
  <c r="A190" i="38"/>
  <c r="A191" i="38"/>
  <c r="A192" i="38"/>
  <c r="A184" i="38"/>
  <c r="P30" i="45" l="1"/>
  <c r="C27" i="45"/>
  <c r="D27" i="45"/>
  <c r="E27" i="45"/>
  <c r="F27" i="45"/>
  <c r="G27" i="45"/>
  <c r="H27" i="45"/>
  <c r="I27" i="45"/>
  <c r="J27" i="45"/>
  <c r="K27" i="45"/>
  <c r="L27" i="45"/>
  <c r="R26" i="45"/>
  <c r="S26" i="45" s="1"/>
  <c r="G104" i="45" l="1"/>
  <c r="G105" i="45"/>
  <c r="F102" i="45"/>
  <c r="G102" i="45" s="1"/>
  <c r="N18" i="45"/>
  <c r="N28" i="45"/>
  <c r="D26" i="45"/>
  <c r="N16" i="45" l="1"/>
  <c r="N54" i="45"/>
  <c r="N55" i="45"/>
  <c r="N56" i="45"/>
  <c r="P19" i="45"/>
  <c r="P25" i="45"/>
  <c r="P37" i="45"/>
  <c r="D67" i="45" s="1"/>
  <c r="S37" i="45"/>
  <c r="P36" i="45"/>
  <c r="N57" i="45" l="1"/>
  <c r="C67" i="45"/>
  <c r="N51" i="45"/>
  <c r="G67" i="45"/>
  <c r="N66" i="45"/>
  <c r="N67" i="45"/>
  <c r="J67" i="45"/>
  <c r="F67" i="45"/>
  <c r="I67" i="45"/>
  <c r="E67" i="45"/>
  <c r="H67" i="45"/>
  <c r="P31" i="45" l="1"/>
  <c r="P29" i="45"/>
  <c r="S36" i="45"/>
  <c r="D36" i="45"/>
  <c r="D66" i="45" s="1"/>
  <c r="N59" i="45" l="1"/>
  <c r="N61" i="45"/>
  <c r="P38" i="45" l="1"/>
  <c r="R43" i="45"/>
  <c r="N38" i="45"/>
  <c r="R17" i="45"/>
  <c r="R39" i="45"/>
  <c r="R40" i="45"/>
  <c r="R41" i="45"/>
  <c r="R42" i="45"/>
  <c r="M31" i="45" l="1"/>
  <c r="M61" i="45" s="1"/>
  <c r="M34" i="45"/>
  <c r="M29" i="45"/>
  <c r="M27" i="45"/>
  <c r="M35" i="45"/>
  <c r="M30" i="45"/>
  <c r="L26" i="45"/>
  <c r="M32" i="45"/>
  <c r="M36" i="45"/>
  <c r="M66" i="45" s="1"/>
  <c r="M37" i="45"/>
  <c r="M67" i="45" s="1"/>
  <c r="M33" i="45"/>
  <c r="M23" i="45"/>
  <c r="M25" i="45"/>
  <c r="M24" i="45"/>
  <c r="M21" i="45"/>
  <c r="M22" i="45"/>
  <c r="M20" i="45"/>
  <c r="M19" i="45"/>
  <c r="M26" i="45"/>
  <c r="K41" i="45"/>
  <c r="M39" i="45"/>
  <c r="L42" i="45"/>
  <c r="M40" i="45"/>
  <c r="M41" i="45"/>
  <c r="M42" i="45"/>
  <c r="L41" i="45"/>
  <c r="M43" i="45"/>
  <c r="L32" i="45"/>
  <c r="G26" i="45"/>
  <c r="L30" i="45"/>
  <c r="J26" i="45"/>
  <c r="C26" i="45"/>
  <c r="K26" i="45"/>
  <c r="L21" i="45"/>
  <c r="L25" i="45"/>
  <c r="L57" i="45" s="1"/>
  <c r="E26" i="45"/>
  <c r="I26" i="45"/>
  <c r="L37" i="45"/>
  <c r="L67" i="45" s="1"/>
  <c r="L19" i="45"/>
  <c r="L23" i="45"/>
  <c r="L55" i="45" s="1"/>
  <c r="L40" i="45"/>
  <c r="L35" i="45"/>
  <c r="L36" i="45"/>
  <c r="L66" i="45" s="1"/>
  <c r="L29" i="45"/>
  <c r="L22" i="45"/>
  <c r="L54" i="45" s="1"/>
  <c r="F26" i="45"/>
  <c r="L43" i="45"/>
  <c r="L39" i="45"/>
  <c r="L33" i="45"/>
  <c r="L31" i="45"/>
  <c r="L61" i="45" s="1"/>
  <c r="L20" i="45"/>
  <c r="L24" i="45"/>
  <c r="L56" i="45" s="1"/>
  <c r="H26" i="45"/>
  <c r="L17" i="45"/>
  <c r="L34" i="45"/>
  <c r="K30" i="45"/>
  <c r="K22" i="45"/>
  <c r="K54" i="45" s="1"/>
  <c r="K29" i="45"/>
  <c r="K42" i="45"/>
  <c r="K24" i="45"/>
  <c r="K56" i="45" s="1"/>
  <c r="K36" i="45"/>
  <c r="K66" i="45" s="1"/>
  <c r="K32" i="45"/>
  <c r="K17" i="45"/>
  <c r="K19" i="45"/>
  <c r="K23" i="45"/>
  <c r="K55" i="45" s="1"/>
  <c r="K34" i="45"/>
  <c r="K31" i="45"/>
  <c r="K61" i="45" s="1"/>
  <c r="K35" i="45"/>
  <c r="K40" i="45"/>
  <c r="K20" i="45"/>
  <c r="K43" i="45"/>
  <c r="K39" i="45"/>
  <c r="K25" i="45"/>
  <c r="K57" i="45" s="1"/>
  <c r="K21" i="45"/>
  <c r="K37" i="45"/>
  <c r="K33" i="45"/>
  <c r="R38" i="45"/>
  <c r="J25" i="45"/>
  <c r="J57" i="45" s="1"/>
  <c r="J22" i="45"/>
  <c r="J54" i="45" s="1"/>
  <c r="I25" i="45"/>
  <c r="I57" i="45" s="1"/>
  <c r="I36" i="45"/>
  <c r="I66" i="45" s="1"/>
  <c r="J33" i="45"/>
  <c r="J23" i="45"/>
  <c r="J55" i="45" s="1"/>
  <c r="J36" i="45"/>
  <c r="J66" i="45" s="1"/>
  <c r="J32" i="45"/>
  <c r="J24" i="45"/>
  <c r="J56" i="45" s="1"/>
  <c r="J21" i="45"/>
  <c r="I29" i="45"/>
  <c r="J35" i="45"/>
  <c r="J31" i="45"/>
  <c r="J61" i="45" s="1"/>
  <c r="J29" i="45"/>
  <c r="J20" i="45"/>
  <c r="J19" i="45"/>
  <c r="J17" i="45"/>
  <c r="I19" i="45"/>
  <c r="H36" i="45"/>
  <c r="H66" i="45" s="1"/>
  <c r="J34" i="45"/>
  <c r="J30" i="45"/>
  <c r="I42" i="45"/>
  <c r="J41" i="45"/>
  <c r="I40" i="45"/>
  <c r="I43" i="45"/>
  <c r="J40" i="45"/>
  <c r="I39" i="45"/>
  <c r="J43" i="45"/>
  <c r="J39" i="45"/>
  <c r="H40" i="45"/>
  <c r="J42" i="45"/>
  <c r="I41" i="45"/>
  <c r="I22" i="45"/>
  <c r="I54" i="45" s="1"/>
  <c r="I33" i="45"/>
  <c r="I32" i="45"/>
  <c r="I35" i="45"/>
  <c r="I31" i="45"/>
  <c r="I61" i="45" s="1"/>
  <c r="I34" i="45"/>
  <c r="I30" i="45"/>
  <c r="E36" i="45"/>
  <c r="E66" i="45" s="1"/>
  <c r="C36" i="45"/>
  <c r="C66" i="45" s="1"/>
  <c r="F36" i="45"/>
  <c r="F66" i="45" s="1"/>
  <c r="I23" i="45"/>
  <c r="I55" i="45" s="1"/>
  <c r="G36" i="45"/>
  <c r="G66" i="45" s="1"/>
  <c r="I24" i="45"/>
  <c r="I56" i="45" s="1"/>
  <c r="E43" i="45"/>
  <c r="C43" i="45"/>
  <c r="H43" i="45"/>
  <c r="D43" i="45"/>
  <c r="G43" i="45"/>
  <c r="F43" i="45"/>
  <c r="H19" i="45"/>
  <c r="F17" i="45"/>
  <c r="H25" i="45"/>
  <c r="H57" i="45" s="1"/>
  <c r="H21" i="45"/>
  <c r="G17" i="45"/>
  <c r="I21" i="45"/>
  <c r="D17" i="45"/>
  <c r="I17" i="45"/>
  <c r="G19" i="45"/>
  <c r="E17" i="45"/>
  <c r="H17" i="45"/>
  <c r="G21" i="45"/>
  <c r="H22" i="45"/>
  <c r="H54" i="45" s="1"/>
  <c r="H23" i="45"/>
  <c r="H55" i="45" s="1"/>
  <c r="H42" i="45"/>
  <c r="H31" i="45"/>
  <c r="H61" i="45" s="1"/>
  <c r="H39" i="45"/>
  <c r="H29" i="45"/>
  <c r="H33" i="45"/>
  <c r="H30" i="45"/>
  <c r="H34" i="45"/>
  <c r="H41" i="45"/>
  <c r="H20" i="45"/>
  <c r="H24" i="45"/>
  <c r="H56" i="45" s="1"/>
  <c r="H32" i="45"/>
  <c r="H35" i="45"/>
  <c r="G29" i="45"/>
  <c r="F29" i="45"/>
  <c r="K18" i="45" l="1"/>
  <c r="L18" i="45"/>
  <c r="M28" i="45"/>
  <c r="M59" i="45"/>
  <c r="M18" i="45"/>
  <c r="I18" i="45"/>
  <c r="H18" i="45"/>
  <c r="J18" i="45"/>
  <c r="O26" i="45"/>
  <c r="Q26" i="45" s="1"/>
  <c r="M38" i="45"/>
  <c r="L28" i="45"/>
  <c r="L59" i="45"/>
  <c r="L51" i="45"/>
  <c r="L38" i="45"/>
  <c r="H59" i="45"/>
  <c r="H28" i="45"/>
  <c r="F59" i="45"/>
  <c r="J51" i="45"/>
  <c r="K59" i="45"/>
  <c r="K28" i="45"/>
  <c r="G51" i="45"/>
  <c r="H51" i="45"/>
  <c r="G59" i="45"/>
  <c r="I59" i="45"/>
  <c r="I28" i="45"/>
  <c r="K51" i="45"/>
  <c r="I51" i="45"/>
  <c r="J59" i="45"/>
  <c r="J28" i="45"/>
  <c r="K38" i="45"/>
  <c r="O37" i="45"/>
  <c r="Q37" i="45" s="1"/>
  <c r="K67" i="45"/>
  <c r="O67" i="45" s="1"/>
  <c r="O36" i="45"/>
  <c r="Q36" i="45" s="1"/>
  <c r="I38" i="45"/>
  <c r="J38" i="45"/>
  <c r="O43" i="45"/>
  <c r="Q43" i="45" s="1"/>
  <c r="H38" i="45"/>
  <c r="F2" i="38"/>
  <c r="I16" i="45" l="1"/>
  <c r="I44" i="45" s="1"/>
  <c r="H16" i="45"/>
  <c r="K16" i="45"/>
  <c r="L16" i="45"/>
  <c r="J16" i="45"/>
  <c r="G31" i="46" l="1"/>
  <c r="F31" i="46"/>
  <c r="E31" i="46"/>
  <c r="D31" i="46"/>
  <c r="C31" i="46"/>
  <c r="G22" i="46"/>
  <c r="F22" i="46"/>
  <c r="E22" i="46"/>
  <c r="D22" i="46"/>
  <c r="C22" i="46"/>
  <c r="H30" i="46"/>
  <c r="I30" i="46"/>
  <c r="J30" i="46"/>
  <c r="K30" i="46"/>
  <c r="L30" i="46"/>
  <c r="M30" i="46"/>
  <c r="N30" i="46"/>
  <c r="H21" i="46"/>
  <c r="I21" i="46"/>
  <c r="J21" i="46"/>
  <c r="K21" i="46"/>
  <c r="L21" i="46"/>
  <c r="M21" i="46"/>
  <c r="N21" i="46"/>
  <c r="J17" i="46"/>
  <c r="K17" i="46"/>
  <c r="L17" i="46"/>
  <c r="M17" i="46"/>
  <c r="N17" i="46"/>
  <c r="C19" i="46"/>
  <c r="D19" i="46"/>
  <c r="G19" i="46"/>
  <c r="F19" i="46"/>
  <c r="E19" i="46"/>
  <c r="L28" i="46"/>
  <c r="G29" i="46"/>
  <c r="G28" i="46"/>
  <c r="C29" i="46"/>
  <c r="N29" i="46"/>
  <c r="M29" i="46"/>
  <c r="L29" i="46"/>
  <c r="K29" i="46"/>
  <c r="J29" i="46"/>
  <c r="I29" i="46"/>
  <c r="H29" i="46"/>
  <c r="F29" i="46"/>
  <c r="E29" i="46"/>
  <c r="D29" i="46"/>
  <c r="E28" i="46"/>
  <c r="N28" i="46"/>
  <c r="M28" i="46"/>
  <c r="K28" i="46"/>
  <c r="J28" i="46"/>
  <c r="I28" i="46"/>
  <c r="H28" i="46"/>
  <c r="F28" i="46"/>
  <c r="D28" i="46"/>
  <c r="C28" i="46"/>
  <c r="O33" i="46"/>
  <c r="O20" i="46"/>
  <c r="O24" i="46"/>
  <c r="M16" i="46" l="1"/>
  <c r="L16" i="46"/>
  <c r="N16" i="46"/>
  <c r="J16" i="46"/>
  <c r="O31" i="46"/>
  <c r="O22" i="46"/>
  <c r="K16" i="46"/>
  <c r="O19" i="46"/>
  <c r="O28" i="46"/>
  <c r="O29" i="46"/>
  <c r="G18" i="46" l="1"/>
  <c r="G17" i="46" s="1"/>
  <c r="K27" i="46"/>
  <c r="K26" i="46" s="1"/>
  <c r="K25" i="46" s="1"/>
  <c r="K34" i="46" s="1"/>
  <c r="G27" i="46"/>
  <c r="G26" i="46" s="1"/>
  <c r="C27" i="46"/>
  <c r="E18" i="46"/>
  <c r="E17" i="46" s="1"/>
  <c r="I18" i="46"/>
  <c r="I17" i="46" s="1"/>
  <c r="I16" i="46" s="1"/>
  <c r="D18" i="46"/>
  <c r="D17" i="46" s="1"/>
  <c r="M27" i="46"/>
  <c r="M26" i="46" s="1"/>
  <c r="M25" i="46" s="1"/>
  <c r="M34" i="46" s="1"/>
  <c r="H18" i="46"/>
  <c r="H17" i="46" s="1"/>
  <c r="H16" i="46" s="1"/>
  <c r="L27" i="46"/>
  <c r="L26" i="46" s="1"/>
  <c r="L25" i="46" s="1"/>
  <c r="L34" i="46" s="1"/>
  <c r="D27" i="46"/>
  <c r="D26" i="46" s="1"/>
  <c r="F18" i="46"/>
  <c r="F17" i="46" s="1"/>
  <c r="N27" i="46"/>
  <c r="N26" i="46" s="1"/>
  <c r="N25" i="46" s="1"/>
  <c r="N34" i="46" s="1"/>
  <c r="J27" i="46"/>
  <c r="J26" i="46" s="1"/>
  <c r="J25" i="46" s="1"/>
  <c r="J34" i="46" s="1"/>
  <c r="F27" i="46"/>
  <c r="F26" i="46" s="1"/>
  <c r="I27" i="46"/>
  <c r="I26" i="46" s="1"/>
  <c r="I25" i="46" s="1"/>
  <c r="E27" i="46"/>
  <c r="E26" i="46" s="1"/>
  <c r="C18" i="46"/>
  <c r="H27" i="46"/>
  <c r="H26" i="46" s="1"/>
  <c r="H25" i="46" s="1"/>
  <c r="E32" i="46"/>
  <c r="E30" i="46" s="1"/>
  <c r="G23" i="46"/>
  <c r="G21" i="46" s="1"/>
  <c r="C23" i="46"/>
  <c r="D32" i="46"/>
  <c r="D30" i="46" s="1"/>
  <c r="F23" i="46"/>
  <c r="F21" i="46" s="1"/>
  <c r="E23" i="46"/>
  <c r="E21" i="46" s="1"/>
  <c r="F32" i="46"/>
  <c r="F30" i="46" s="1"/>
  <c r="C32" i="46"/>
  <c r="D23" i="46"/>
  <c r="D21" i="46" s="1"/>
  <c r="G32" i="46"/>
  <c r="G30" i="46" s="1"/>
  <c r="F25" i="46" l="1"/>
  <c r="G25" i="46"/>
  <c r="I34" i="46"/>
  <c r="H34" i="46"/>
  <c r="F16" i="46"/>
  <c r="C26" i="46"/>
  <c r="O26" i="46" s="1"/>
  <c r="O27" i="46"/>
  <c r="D16" i="46"/>
  <c r="C21" i="46"/>
  <c r="O21" i="46" s="1"/>
  <c r="O23" i="46"/>
  <c r="C17" i="46"/>
  <c r="O18" i="46"/>
  <c r="O32" i="46"/>
  <c r="C30" i="46"/>
  <c r="D25" i="46"/>
  <c r="E25" i="46"/>
  <c r="E16" i="46"/>
  <c r="G16" i="46"/>
  <c r="C25" i="46" l="1"/>
  <c r="G34" i="46"/>
  <c r="D34" i="46"/>
  <c r="F34" i="46"/>
  <c r="C16" i="46"/>
  <c r="O17" i="46"/>
  <c r="E34" i="46"/>
  <c r="C34" i="46" l="1"/>
  <c r="C35" i="46" s="1"/>
  <c r="D35" i="46" s="1"/>
  <c r="E35" i="46" s="1"/>
  <c r="F35" i="46" s="1"/>
  <c r="G35" i="46" s="1"/>
  <c r="H35" i="46" s="1"/>
  <c r="I35" i="46" s="1"/>
  <c r="J35" i="46" s="1"/>
  <c r="K35" i="46" s="1"/>
  <c r="L35" i="46" s="1"/>
  <c r="M35" i="46" s="1"/>
  <c r="N35" i="46" s="1"/>
  <c r="G32" i="45" l="1"/>
  <c r="G20" i="45"/>
  <c r="G22" i="45"/>
  <c r="G54" i="45" s="1"/>
  <c r="G25" i="45"/>
  <c r="G57" i="45" s="1"/>
  <c r="G40" i="45"/>
  <c r="G34" i="45"/>
  <c r="G33" i="45"/>
  <c r="G23" i="45"/>
  <c r="G55" i="45" s="1"/>
  <c r="G39" i="45"/>
  <c r="G30" i="45"/>
  <c r="G35" i="45"/>
  <c r="G24" i="45"/>
  <c r="G56" i="45" s="1"/>
  <c r="G41" i="45"/>
  <c r="G42" i="45"/>
  <c r="G31" i="45"/>
  <c r="G61" i="45" s="1"/>
  <c r="F39" i="45"/>
  <c r="F32" i="45"/>
  <c r="F25" i="45"/>
  <c r="F57" i="45" s="1"/>
  <c r="F21" i="45"/>
  <c r="F42" i="45"/>
  <c r="F24" i="45"/>
  <c r="F56" i="45" s="1"/>
  <c r="F41" i="45"/>
  <c r="F34" i="45"/>
  <c r="F30" i="45"/>
  <c r="F23" i="45"/>
  <c r="F55" i="45" s="1"/>
  <c r="F40" i="45"/>
  <c r="F33" i="45"/>
  <c r="F22" i="45"/>
  <c r="F54" i="45" s="1"/>
  <c r="F19" i="45"/>
  <c r="F35" i="45"/>
  <c r="F31" i="45"/>
  <c r="F61" i="45" s="1"/>
  <c r="F20" i="45"/>
  <c r="E31" i="45"/>
  <c r="E61" i="45" s="1"/>
  <c r="E19" i="45"/>
  <c r="E29" i="45"/>
  <c r="E35" i="45"/>
  <c r="E22" i="45"/>
  <c r="E54" i="45" s="1"/>
  <c r="C21" i="45"/>
  <c r="C19" i="45"/>
  <c r="E33" i="45"/>
  <c r="E25" i="45"/>
  <c r="E57" i="45" s="1"/>
  <c r="E20" i="45"/>
  <c r="C34" i="45"/>
  <c r="E23" i="45"/>
  <c r="E55" i="45" s="1"/>
  <c r="E32" i="45"/>
  <c r="C25" i="45"/>
  <c r="C33" i="45"/>
  <c r="C20" i="45"/>
  <c r="C32" i="45"/>
  <c r="E24" i="45"/>
  <c r="E56" i="45" s="1"/>
  <c r="E34" i="45"/>
  <c r="E30" i="45"/>
  <c r="E21" i="45"/>
  <c r="C23" i="45"/>
  <c r="C29" i="45"/>
  <c r="C31" i="45"/>
  <c r="C61" i="45" s="1"/>
  <c r="C22" i="45"/>
  <c r="C35" i="45"/>
  <c r="C30" i="45"/>
  <c r="C24" i="45"/>
  <c r="C42" i="45"/>
  <c r="C41" i="45"/>
  <c r="C40" i="45"/>
  <c r="C39" i="45"/>
  <c r="D41" i="45"/>
  <c r="D42" i="45"/>
  <c r="E42" i="45"/>
  <c r="E39" i="45"/>
  <c r="E40" i="45"/>
  <c r="E41" i="45"/>
  <c r="D39" i="45"/>
  <c r="D21" i="45"/>
  <c r="D29" i="45"/>
  <c r="D30" i="45"/>
  <c r="D31" i="45"/>
  <c r="D61" i="45" s="1"/>
  <c r="D32" i="45"/>
  <c r="D33" i="45"/>
  <c r="D34" i="45"/>
  <c r="D35" i="45"/>
  <c r="D24" i="45"/>
  <c r="D56" i="45" s="1"/>
  <c r="D23" i="45"/>
  <c r="D55" i="45" s="1"/>
  <c r="D25" i="45"/>
  <c r="D57" i="45" s="1"/>
  <c r="D22" i="45"/>
  <c r="D54" i="45" s="1"/>
  <c r="D19" i="45"/>
  <c r="D20" i="45"/>
  <c r="C18" i="45" l="1"/>
  <c r="D18" i="45"/>
  <c r="E18" i="45"/>
  <c r="G18" i="45"/>
  <c r="F18" i="45"/>
  <c r="C56" i="45"/>
  <c r="M56" i="45"/>
  <c r="C54" i="45"/>
  <c r="M54" i="45"/>
  <c r="C55" i="45"/>
  <c r="M55" i="45"/>
  <c r="C57" i="45"/>
  <c r="M57" i="45"/>
  <c r="M16" i="45"/>
  <c r="M51" i="45"/>
  <c r="F28" i="45"/>
  <c r="C59" i="45"/>
  <c r="C28" i="45"/>
  <c r="C51" i="45"/>
  <c r="E59" i="45"/>
  <c r="E28" i="45"/>
  <c r="D51" i="45"/>
  <c r="D59" i="45"/>
  <c r="D28" i="45"/>
  <c r="E51" i="45"/>
  <c r="G28" i="45"/>
  <c r="F51" i="45"/>
  <c r="O19" i="45"/>
  <c r="E38" i="45"/>
  <c r="C38" i="45"/>
  <c r="F38" i="45"/>
  <c r="G38" i="45"/>
  <c r="P33" i="45"/>
  <c r="E63" i="45" s="1"/>
  <c r="F60" i="45"/>
  <c r="P32" i="45"/>
  <c r="E62" i="45" s="1"/>
  <c r="P34" i="45"/>
  <c r="P35" i="45"/>
  <c r="D65" i="45" s="1"/>
  <c r="S22" i="45"/>
  <c r="F16" i="45" l="1"/>
  <c r="E16" i="45"/>
  <c r="G16" i="45"/>
  <c r="D16" i="45"/>
  <c r="F63" i="45"/>
  <c r="C65" i="45"/>
  <c r="C63" i="45"/>
  <c r="G63" i="45"/>
  <c r="L64" i="45"/>
  <c r="M64" i="45"/>
  <c r="N64" i="45"/>
  <c r="K64" i="45"/>
  <c r="H64" i="45"/>
  <c r="J64" i="45"/>
  <c r="I64" i="45"/>
  <c r="D64" i="45"/>
  <c r="L62" i="45"/>
  <c r="K62" i="45"/>
  <c r="M62" i="45"/>
  <c r="N62" i="45"/>
  <c r="J62" i="45"/>
  <c r="I62" i="45"/>
  <c r="H62" i="45"/>
  <c r="C62" i="45"/>
  <c r="G64" i="45"/>
  <c r="F64" i="45"/>
  <c r="E64" i="45"/>
  <c r="L60" i="45"/>
  <c r="K60" i="45"/>
  <c r="M60" i="45"/>
  <c r="N60" i="45"/>
  <c r="I60" i="45"/>
  <c r="H60" i="45"/>
  <c r="J60" i="45"/>
  <c r="G62" i="45"/>
  <c r="G60" i="45"/>
  <c r="C60" i="45"/>
  <c r="E60" i="45"/>
  <c r="L65" i="45"/>
  <c r="K65" i="45"/>
  <c r="M65" i="45"/>
  <c r="N65" i="45"/>
  <c r="H65" i="45"/>
  <c r="I65" i="45"/>
  <c r="J65" i="45"/>
  <c r="L63" i="45"/>
  <c r="M63" i="45"/>
  <c r="N63" i="45"/>
  <c r="K63" i="45"/>
  <c r="H63" i="45"/>
  <c r="I63" i="45"/>
  <c r="J63" i="45"/>
  <c r="F62" i="45"/>
  <c r="D62" i="45"/>
  <c r="F65" i="45"/>
  <c r="D63" i="45"/>
  <c r="G65" i="45"/>
  <c r="C64" i="45"/>
  <c r="D60" i="45"/>
  <c r="E65" i="45"/>
  <c r="S30" i="45"/>
  <c r="S31" i="45"/>
  <c r="S32" i="45"/>
  <c r="S33" i="45"/>
  <c r="S34" i="45"/>
  <c r="S35" i="45"/>
  <c r="S29" i="45"/>
  <c r="S21" i="45" l="1"/>
  <c r="P21" i="45"/>
  <c r="P20" i="45"/>
  <c r="S20" i="45"/>
  <c r="S25" i="45"/>
  <c r="N52" i="45" l="1"/>
  <c r="L52" i="45"/>
  <c r="I52" i="45"/>
  <c r="M52" i="45"/>
  <c r="K52" i="45"/>
  <c r="H52" i="45"/>
  <c r="J52" i="45"/>
  <c r="F52" i="45"/>
  <c r="C52" i="45"/>
  <c r="E52" i="45"/>
  <c r="D52" i="45"/>
  <c r="G52" i="45"/>
  <c r="N53" i="45"/>
  <c r="L53" i="45"/>
  <c r="M53" i="45"/>
  <c r="K53" i="45"/>
  <c r="H53" i="45"/>
  <c r="J53" i="45"/>
  <c r="I53" i="45"/>
  <c r="G53" i="45"/>
  <c r="D53" i="45"/>
  <c r="E53" i="45"/>
  <c r="F53" i="45"/>
  <c r="C53" i="45"/>
  <c r="R23" i="45"/>
  <c r="S23" i="45" s="1"/>
  <c r="R24" i="45"/>
  <c r="S24" i="45" s="1"/>
  <c r="S17" i="45"/>
  <c r="D40" i="45"/>
  <c r="D38" i="45" s="1"/>
  <c r="N44" i="45" l="1"/>
  <c r="M44" i="45"/>
  <c r="H44" i="45"/>
  <c r="L44" i="45"/>
  <c r="K44" i="45"/>
  <c r="G44" i="45"/>
  <c r="F44" i="45"/>
  <c r="D44" i="45"/>
  <c r="O62" i="45"/>
  <c r="O54" i="45"/>
  <c r="R19" i="45" l="1"/>
  <c r="O63" i="45"/>
  <c r="O55" i="45"/>
  <c r="N50" i="45"/>
  <c r="D50" i="45"/>
  <c r="F50" i="45"/>
  <c r="G50" i="45"/>
  <c r="H50" i="45"/>
  <c r="I50" i="45"/>
  <c r="J50" i="45"/>
  <c r="K50" i="45"/>
  <c r="L50" i="45"/>
  <c r="M50" i="45"/>
  <c r="O33" i="45"/>
  <c r="O22" i="45"/>
  <c r="S19" i="45" l="1"/>
  <c r="R16" i="45"/>
  <c r="Q22" i="45"/>
  <c r="Q33" i="45"/>
  <c r="O42" i="45"/>
  <c r="Q42" i="45" s="1"/>
  <c r="O56" i="45"/>
  <c r="O30" i="45"/>
  <c r="O20" i="45"/>
  <c r="O65" i="45"/>
  <c r="O51" i="45" l="1"/>
  <c r="Q30" i="45"/>
  <c r="O35" i="45"/>
  <c r="O64" i="45"/>
  <c r="O52" i="45"/>
  <c r="O21" i="45"/>
  <c r="O53" i="45"/>
  <c r="O24" i="45"/>
  <c r="O25" i="45"/>
  <c r="O34" i="45"/>
  <c r="O29" i="45"/>
  <c r="Q34" i="45" l="1"/>
  <c r="Q19" i="45"/>
  <c r="Q20" i="45"/>
  <c r="Q25" i="45"/>
  <c r="Q24" i="45"/>
  <c r="Q21" i="45"/>
  <c r="Q35" i="45"/>
  <c r="O41" i="45"/>
  <c r="Q41" i="45" s="1"/>
  <c r="O40" i="45"/>
  <c r="Q40" i="45" s="1"/>
  <c r="O57" i="45"/>
  <c r="O39" i="45" l="1"/>
  <c r="O38" i="45" s="1"/>
  <c r="O23" i="45"/>
  <c r="Q38" i="45" l="1"/>
  <c r="Q39" i="45"/>
  <c r="C17" i="45"/>
  <c r="C16" i="45" s="1"/>
  <c r="E2" i="38"/>
  <c r="Q23" i="45"/>
  <c r="O66" i="45" l="1"/>
  <c r="O32" i="45"/>
  <c r="Q32" i="45" s="1"/>
  <c r="G2" i="38"/>
  <c r="G1" i="38" s="1"/>
  <c r="C50" i="45"/>
  <c r="J2" i="38"/>
  <c r="K2" i="38"/>
  <c r="J44" i="45" l="1"/>
  <c r="O60" i="45"/>
  <c r="O61" i="45"/>
  <c r="O31" i="45"/>
  <c r="Q31" i="45" s="1"/>
  <c r="P16" i="45" l="1"/>
  <c r="Q29" i="45"/>
  <c r="O59" i="45" l="1"/>
  <c r="O17" i="45"/>
  <c r="E50" i="45"/>
  <c r="O50" i="45" s="1"/>
  <c r="E44" i="45"/>
  <c r="Q17" i="45" l="1"/>
  <c r="O16" i="45"/>
  <c r="Q16" i="45" s="1"/>
  <c r="O30" i="46"/>
  <c r="O25" i="46" l="1"/>
  <c r="O16" i="46" l="1"/>
  <c r="C44" i="4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Kevin</author>
  </authors>
  <commentList>
    <comment ref="E204" authorId="0" shapeId="0" xr:uid="{515E8967-ECC5-4E2F-993C-9215432638BB}">
      <text>
        <r>
          <rPr>
            <b/>
            <sz val="9"/>
            <color indexed="81"/>
            <rFont val="Tahoma"/>
            <family val="2"/>
          </rPr>
          <t>Kevin:</t>
        </r>
        <r>
          <rPr>
            <sz val="9"/>
            <color indexed="81"/>
            <rFont val="Tahoma"/>
            <family val="2"/>
          </rPr>
          <t xml:space="preserve">
SON 250 EL REST ES PARA CLAUIA KINESIOLOGA- TOTAL 388.000</t>
        </r>
      </text>
    </comment>
    <comment ref="E321" authorId="0" shapeId="0" xr:uid="{CA476887-BE32-48BD-B61C-78205F09A2FF}">
      <text>
        <r>
          <rPr>
            <b/>
            <sz val="9"/>
            <color indexed="81"/>
            <rFont val="Tahoma"/>
            <family val="2"/>
          </rPr>
          <t>Kevin:</t>
        </r>
        <r>
          <rPr>
            <sz val="9"/>
            <color indexed="81"/>
            <rFont val="Tahoma"/>
            <family val="2"/>
          </rPr>
          <t xml:space="preserve">
FORMAN LS 2 M A DEVOLVER MAS 53.200 DEL SALDO ANTERIOR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3216C9-3A8A-4B0C-B0AE-C23026C7C00C}" keepAlive="1" name="Consulta - BANCO_CONSOLIDADO (2)" description="Conexión a la consulta 'BANCO_CONSOLIDADO (2)' en el libro." type="5" refreshedVersion="8" background="1" saveData="1">
    <dbPr connection="Provider=Microsoft.Mashup.OleDb.1;Data Source=$Workbook$;Location=&quot;BANCO_CONSOLIDADO (2)&quot;;Extended Properties=&quot;&quot;" command="SELECT * FROM [BANCO_CONSOLIDADO (2)]"/>
  </connection>
  <connection id="2" xr16:uid="{9BB1A0EA-1E5C-46B4-9890-46C03FCB8829}" keepAlive="1" name="Consulta - MACRO1" description="Conexión a la consulta 'MACRO1' en el libro." type="5" refreshedVersion="0" background="1">
    <dbPr connection="Provider=Microsoft.Mashup.OleDb.1;Data Source=$Workbook$;Location=MACRO1;Extended Properties=&quot;&quot;" command="SELECT * FROM [MACRO1]"/>
  </connection>
  <connection id="3" xr16:uid="{3A3EE9C8-3A48-4250-BEC9-1466FAE5EDA6}" keepAlive="1" name="Consulta - PAMPA3" description="Conexión a la consulta 'PAMPA3' en el libro." type="5" refreshedVersion="0" background="1">
    <dbPr connection="Provider=Microsoft.Mashup.OleDb.1;Data Source=$Workbook$;Location=PAMPA3;Extended Properties=&quot;&quot;" command="SELECT * FROM [PAMPA3]"/>
  </connection>
</connections>
</file>

<file path=xl/sharedStrings.xml><?xml version="1.0" encoding="utf-8"?>
<sst xmlns="http://schemas.openxmlformats.org/spreadsheetml/2006/main" count="4032" uniqueCount="469">
  <si>
    <t>MACRO</t>
  </si>
  <si>
    <t>GALICIA</t>
  </si>
  <si>
    <t>NACION</t>
  </si>
  <si>
    <t>INSUMOS</t>
  </si>
  <si>
    <t>INSUMOS 2025</t>
  </si>
  <si>
    <t xml:space="preserve">OTROS </t>
  </si>
  <si>
    <t>INVERSIONES</t>
  </si>
  <si>
    <t>INGRESOS</t>
  </si>
  <si>
    <t>EGRESOS</t>
  </si>
  <si>
    <t>HACIENDA</t>
  </si>
  <si>
    <t>TOTAL</t>
  </si>
  <si>
    <t>RESUMEN DE ACTIVIDADES 2025</t>
  </si>
  <si>
    <t>Etiquetas de fila</t>
  </si>
  <si>
    <t>Suma de EGRESOS</t>
  </si>
  <si>
    <t>Suma de INGRESOS</t>
  </si>
  <si>
    <t>Suma de EGRES USD</t>
  </si>
  <si>
    <t>Suma de INGRES USD</t>
  </si>
  <si>
    <t>ADMINISTRACION</t>
  </si>
  <si>
    <t>GASTOS_ADM</t>
  </si>
  <si>
    <t>COMISIONES</t>
  </si>
  <si>
    <t>HONORARIOS</t>
  </si>
  <si>
    <t>SEGUROS</t>
  </si>
  <si>
    <t>GASTOS_BANC</t>
  </si>
  <si>
    <t>IMPUESTOS</t>
  </si>
  <si>
    <t>GASTOS_FIN</t>
  </si>
  <si>
    <t xml:space="preserve">INTERESES </t>
  </si>
  <si>
    <t>PERSONAL</t>
  </si>
  <si>
    <t>VARIOS</t>
  </si>
  <si>
    <t>SOCIOS</t>
  </si>
  <si>
    <t>APORTES</t>
  </si>
  <si>
    <t>RETIROS</t>
  </si>
  <si>
    <t>TERCEROS</t>
  </si>
  <si>
    <t>PRESTAMOS</t>
  </si>
  <si>
    <t>SERVICIOS</t>
  </si>
  <si>
    <t>AGRICULTURA</t>
  </si>
  <si>
    <t>ASESORAMIENTO</t>
  </si>
  <si>
    <t>LABORATORIO</t>
  </si>
  <si>
    <t>MAIZ</t>
  </si>
  <si>
    <t>SOJA</t>
  </si>
  <si>
    <t>ESTRUCTURA</t>
  </si>
  <si>
    <t>MAQUINARIAS</t>
  </si>
  <si>
    <t>MANTENIMIENTO</t>
  </si>
  <si>
    <t>VEHICULOS</t>
  </si>
  <si>
    <t>HILUX</t>
  </si>
  <si>
    <t>ESTABLECIMIENTO</t>
  </si>
  <si>
    <t>PANADERIA</t>
  </si>
  <si>
    <t>SUPERMERCADO</t>
  </si>
  <si>
    <t>CONSTRUCCION</t>
  </si>
  <si>
    <t>REPARACIONES</t>
  </si>
  <si>
    <t>IVA</t>
  </si>
  <si>
    <t>OTROS</t>
  </si>
  <si>
    <t>PERROS</t>
  </si>
  <si>
    <t>GANADERIA</t>
  </si>
  <si>
    <t>COMBUSTIBLES</t>
  </si>
  <si>
    <t>VETERINARIA</t>
  </si>
  <si>
    <t>GUIAS</t>
  </si>
  <si>
    <t>FLETES</t>
  </si>
  <si>
    <t>COMPRA TERN</t>
  </si>
  <si>
    <t>Total general</t>
  </si>
  <si>
    <t>Etiquetas de columna</t>
  </si>
  <si>
    <t>ENERO</t>
  </si>
  <si>
    <t>05. GASTOS_ADM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</si>
  <si>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</si>
  <si>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</si>
  <si>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</si>
  <si>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</si>
  <si>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</si>
  <si>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</si>
  <si>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</si>
  <si>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</si>
  <si>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</si>
  <si>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SALDO INICIAL BANCOS:</t>
  </si>
  <si>
    <t>saldos con descub</t>
  </si>
  <si>
    <t>PERIODO</t>
  </si>
  <si>
    <t>FECHA</t>
  </si>
  <si>
    <t>DESCRIPCION</t>
  </si>
  <si>
    <t>N DE REFERENCIA</t>
  </si>
  <si>
    <t>SALDO</t>
  </si>
  <si>
    <t>SALDO BANCO</t>
  </si>
  <si>
    <t>TC</t>
  </si>
  <si>
    <t>EGRES USD</t>
  </si>
  <si>
    <t>INGRES USD</t>
  </si>
  <si>
    <t>MONEDA</t>
  </si>
  <si>
    <t>CUENTA</t>
  </si>
  <si>
    <t>BANCO</t>
  </si>
  <si>
    <t>ACTIVIDAD</t>
  </si>
  <si>
    <t>RUBRO</t>
  </si>
  <si>
    <t>CONCEPTO</t>
  </si>
  <si>
    <t>DETALLES</t>
  </si>
  <si>
    <t>PROVEEDOR CLIENTE</t>
  </si>
  <si>
    <t>FACTURA</t>
  </si>
  <si>
    <t>RDS</t>
  </si>
  <si>
    <t>SOCIO</t>
  </si>
  <si>
    <t>CAMPAÑA</t>
  </si>
  <si>
    <t>ARS</t>
  </si>
  <si>
    <t>CC</t>
  </si>
  <si>
    <t>DEBITO IVA FISCAL</t>
  </si>
  <si>
    <t>ARCA</t>
  </si>
  <si>
    <t>RAUL</t>
  </si>
  <si>
    <t>ANDRES TOLEDO</t>
  </si>
  <si>
    <t>KEVIN TOLEDO</t>
  </si>
  <si>
    <t>DESYUYADOR</t>
  </si>
  <si>
    <t>CLAUDIA</t>
  </si>
  <si>
    <t>IVA PERCEPCION</t>
  </si>
  <si>
    <t>ACUERDOS</t>
  </si>
  <si>
    <t>IVA REDUCCION</t>
  </si>
  <si>
    <t>INTERESES</t>
  </si>
  <si>
    <t>SANTIAGO ERRECALDE</t>
  </si>
  <si>
    <t>MONICA</t>
  </si>
  <si>
    <t>BECERRA ADRIAN</t>
  </si>
  <si>
    <t>COSECHA</t>
  </si>
  <si>
    <t>SIEMBRA</t>
  </si>
  <si>
    <t>NOVIEMBRE</t>
  </si>
  <si>
    <t>FLETES FERTILIZANTE</t>
  </si>
  <si>
    <t>SEMILLAS</t>
  </si>
  <si>
    <t>APLICACIONES</t>
  </si>
  <si>
    <t>PICADO</t>
  </si>
  <si>
    <t>COSECHA MAIZ</t>
  </si>
  <si>
    <t>DEBITO FISCAL IVA BASICO</t>
  </si>
  <si>
    <t>DEBITO FISCAL IVA PERCEPCION</t>
  </si>
  <si>
    <t>INTER.ADEL.CC C/ACUERD</t>
  </si>
  <si>
    <t>INTER.ADEL.CC S/ACUERD</t>
  </si>
  <si>
    <t>EXTRACCION</t>
  </si>
  <si>
    <t>COSECHA 114 HAS</t>
  </si>
  <si>
    <t>ACARREO</t>
  </si>
  <si>
    <t>AGRONASAJA</t>
  </si>
  <si>
    <t>IMPUTACION DE MONTOS DE LAS ACTIVIDADES PRODUCTIVAS 2025</t>
  </si>
  <si>
    <t>ACTIVIDADES</t>
  </si>
  <si>
    <t>DICIEMBRE</t>
  </si>
  <si>
    <t>ESTIMADO</t>
  </si>
  <si>
    <t>%</t>
  </si>
  <si>
    <t>USD</t>
  </si>
  <si>
    <t>USD/HA</t>
  </si>
  <si>
    <t>CAMPAÑA 2025-2026</t>
  </si>
  <si>
    <t>GIRASOL</t>
  </si>
  <si>
    <t>12 BOLSAS</t>
  </si>
  <si>
    <t>SUPRA</t>
  </si>
  <si>
    <t>TODO CAMPO</t>
  </si>
  <si>
    <t>SALDO ACUM</t>
  </si>
  <si>
    <t>FINACIERA</t>
  </si>
  <si>
    <t>AMORT. CRED</t>
  </si>
  <si>
    <t>CULTIVO PRINCIPAL</t>
  </si>
  <si>
    <t>CULTIVO COBERTURA</t>
  </si>
  <si>
    <t>HERRAMIENTAS</t>
  </si>
  <si>
    <t>OVINO</t>
  </si>
  <si>
    <t>PORCINOS</t>
  </si>
  <si>
    <t>CAPRINOS</t>
  </si>
  <si>
    <t>GALLINAS</t>
  </si>
  <si>
    <t>SUELDOS</t>
  </si>
  <si>
    <t>GASTOS_VARIOS</t>
  </si>
  <si>
    <t>APORTE</t>
  </si>
  <si>
    <t>BIENES PERSONALES</t>
  </si>
  <si>
    <t>CUOTAS PRESTAMOS</t>
  </si>
  <si>
    <t>PLAZO FIJO</t>
  </si>
  <si>
    <t>ANALISIS LAB.</t>
  </si>
  <si>
    <t>DESMALEZADORA</t>
  </si>
  <si>
    <t xml:space="preserve">HILUX </t>
  </si>
  <si>
    <t>GENERADOR HONDA</t>
  </si>
  <si>
    <t>ESQUILA</t>
  </si>
  <si>
    <t>WALTER MEDINA</t>
  </si>
  <si>
    <t xml:space="preserve">DEVOLUCION </t>
  </si>
  <si>
    <t>GANANCIAS</t>
  </si>
  <si>
    <t>DHUSTER</t>
  </si>
  <si>
    <t>FERTILIZANTES</t>
  </si>
  <si>
    <t>MIXER</t>
  </si>
  <si>
    <t>PINCHES ROLLOS</t>
  </si>
  <si>
    <t>VETERINARIO</t>
  </si>
  <si>
    <t>INMOBILIARIOS</t>
  </si>
  <si>
    <t>HERBICIDAS</t>
  </si>
  <si>
    <t>MEDICAMENTOS</t>
  </si>
  <si>
    <t>PALA CARGADORA</t>
  </si>
  <si>
    <t>MULTAS</t>
  </si>
  <si>
    <t>INSECTICIDAS</t>
  </si>
  <si>
    <t xml:space="preserve">REPUESTOS_SEM </t>
  </si>
  <si>
    <t>ESCRIBANIA</t>
  </si>
  <si>
    <t>FUNGICIDA</t>
  </si>
  <si>
    <t>FORRAJERIA</t>
  </si>
  <si>
    <t>REPUESTOS_SEM PLA</t>
  </si>
  <si>
    <t>TRACTOR 780</t>
  </si>
  <si>
    <t>TASAS</t>
  </si>
  <si>
    <t>VENTA HAC.</t>
  </si>
  <si>
    <t>TRACTOR JD</t>
  </si>
  <si>
    <t xml:space="preserve">ALQUILERES </t>
  </si>
  <si>
    <t>GRANOS</t>
  </si>
  <si>
    <t>INOCULANTE</t>
  </si>
  <si>
    <t>ASESORAMIENTO PROF.</t>
  </si>
  <si>
    <t>VENTA CEREALES</t>
  </si>
  <si>
    <t>EXTRACCION MAIZ</t>
  </si>
  <si>
    <t>SOJA P EXPELLER</t>
  </si>
  <si>
    <t>FALLA LA SIEMBRA</t>
  </si>
  <si>
    <t>RESULTADO ANUAL</t>
  </si>
  <si>
    <t>CHEQUE P/CAMARA</t>
  </si>
  <si>
    <t>DBCR 25413 S/DB TASA GRAL</t>
  </si>
  <si>
    <t>DGR SELLOS CORDOBA</t>
  </si>
  <si>
    <t>N61672743</t>
  </si>
  <si>
    <t>N60458309</t>
  </si>
  <si>
    <t>LA YUNTA VETERINARIA</t>
  </si>
  <si>
    <t>CULT. COBERTURA</t>
  </si>
  <si>
    <t>COSTOS_OP</t>
  </si>
  <si>
    <t>SELLOS</t>
  </si>
  <si>
    <t>TASA GENERAL</t>
  </si>
  <si>
    <t>ALFALFA</t>
  </si>
  <si>
    <t>PALO VERDE</t>
  </si>
  <si>
    <t>FA9445</t>
  </si>
  <si>
    <t>IMP. DEB. LEY 25413 GRAL.</t>
  </si>
  <si>
    <t>IMP. ING. BRUTOS</t>
  </si>
  <si>
    <t>PERCEP. IVA</t>
  </si>
  <si>
    <t>IMPUESTO DE SELLOS</t>
  </si>
  <si>
    <t>INTERESES SOBRE SALDOS DEUDORES</t>
  </si>
  <si>
    <t>COMISION SERVICIO DE CUENTA</t>
  </si>
  <si>
    <t>PERCEPCION IVA</t>
  </si>
  <si>
    <t>IIBB</t>
  </si>
  <si>
    <t>GRAVAMEN LEY 25413 S/DEB</t>
  </si>
  <si>
    <t>RETEN. I.V.A. RG.2408</t>
  </si>
  <si>
    <t>I.V.A. BASE</t>
  </si>
  <si>
    <t>COMISION PAQUETES</t>
  </si>
  <si>
    <t>RETENCIONES</t>
  </si>
  <si>
    <t>N60458308</t>
  </si>
  <si>
    <t>N60458303</t>
  </si>
  <si>
    <t xml:space="preserve">PICCIOCHI FEDE </t>
  </si>
  <si>
    <t>FA385</t>
  </si>
  <si>
    <t xml:space="preserve">CORTI </t>
  </si>
  <si>
    <t>FA312</t>
  </si>
  <si>
    <t>FA09</t>
  </si>
  <si>
    <t>CORRALES TRANQUERAS</t>
  </si>
  <si>
    <t>COM. SERV DESC NO AUTORIZ.</t>
  </si>
  <si>
    <t>DUSTER</t>
  </si>
  <si>
    <t>TALLER CBA</t>
  </si>
  <si>
    <t>RENVOL</t>
  </si>
  <si>
    <t>TRANSF. MACRONLINE E-SET D/T</t>
  </si>
  <si>
    <t>COMISION TRF. MACROL E-SET</t>
  </si>
  <si>
    <t>SUELDO</t>
  </si>
  <si>
    <t xml:space="preserve">PERIODO DIC </t>
  </si>
  <si>
    <t>10. SUELDOS Y JORNALES</t>
  </si>
  <si>
    <t>LEO FERNANDEZ</t>
  </si>
  <si>
    <t>02. FACT PAGADAS 26</t>
  </si>
  <si>
    <t>FLETES MADERAS</t>
  </si>
  <si>
    <t>EFECTIVO</t>
  </si>
  <si>
    <t>-</t>
  </si>
  <si>
    <t>DEVOLUCION</t>
  </si>
  <si>
    <t>ADRIAN BECERRA</t>
  </si>
  <si>
    <t>25/26</t>
  </si>
  <si>
    <t>JULIO TOLEDO</t>
  </si>
  <si>
    <t>05/01 -07/01</t>
  </si>
  <si>
    <t>CUOTA DE PRESTAMO</t>
  </si>
  <si>
    <t>AMORT. CREDITOS</t>
  </si>
  <si>
    <t>CUOTA 1</t>
  </si>
  <si>
    <t>DBCR 25413 S/CR TASA GRAL</t>
  </si>
  <si>
    <t>TEF DATANET PR OLEGA S.A. 33568425249</t>
  </si>
  <si>
    <t>TRANSF. MACRONLINE E-SET M/T</t>
  </si>
  <si>
    <t>INTERBANKING</t>
  </si>
  <si>
    <t>FINANCIERA</t>
  </si>
  <si>
    <t>TRANSF. PROPIAS</t>
  </si>
  <si>
    <t>06. COMPENSATORIOS</t>
  </si>
  <si>
    <t>24/25</t>
  </si>
  <si>
    <t>CULT. PRINCIPAL</t>
  </si>
  <si>
    <t>MANI</t>
  </si>
  <si>
    <t>OLEGA SA</t>
  </si>
  <si>
    <t>ALQUILER- CUOTA 3</t>
  </si>
  <si>
    <t>TRANSFER. CASH MISMA TITULARIDAD</t>
  </si>
  <si>
    <t>HACIA CC GALICIA</t>
  </si>
  <si>
    <t>DATANET EXENTO - 07089208823-G &amp; E SA</t>
  </si>
  <si>
    <t>PAMPA</t>
  </si>
  <si>
    <t>DESDE CC MACRO</t>
  </si>
  <si>
    <t>DEB.TRAN.INTERB</t>
  </si>
  <si>
    <t>RETIRO</t>
  </si>
  <si>
    <t>12. UTILIDADES CLAUDIA</t>
  </si>
  <si>
    <t>18. CANC CREDITO GALICIA</t>
  </si>
  <si>
    <t>HACIA CC PAMPA</t>
  </si>
  <si>
    <t>COMISION TRANSFERE</t>
  </si>
  <si>
    <t>TRF MO CCDO DIST T - 30708920882</t>
  </si>
  <si>
    <t>N62945839</t>
  </si>
  <si>
    <t>N60458307</t>
  </si>
  <si>
    <t>FACUNDO DE DIOS</t>
  </si>
  <si>
    <t>FA906</t>
  </si>
  <si>
    <t>TOSQUITAS CEREALES</t>
  </si>
  <si>
    <t>FA851</t>
  </si>
  <si>
    <t>HACIA CC MACRO</t>
  </si>
  <si>
    <t>HACIA CC NACION</t>
  </si>
  <si>
    <t>VERO MICOLINI</t>
  </si>
  <si>
    <t>MONICA ERRECALDE</t>
  </si>
  <si>
    <t>RAUL ERRECALDE</t>
  </si>
  <si>
    <t>FLETES UREA</t>
  </si>
  <si>
    <t>01. FACT PAGADAS 25</t>
  </si>
  <si>
    <t>CRED BE O BCO-MIS TIT IBK - CUIT/CUIL: 30708920882</t>
  </si>
  <si>
    <t>TRANSF:2601190000415848845479-20307048346</t>
  </si>
  <si>
    <t>COMISION TRANSFERENCIAS</t>
  </si>
  <si>
    <t>AFIP</t>
  </si>
  <si>
    <t>N60458310</t>
  </si>
  <si>
    <t>CRISTIAN OLMEDO</t>
  </si>
  <si>
    <t>MERLO</t>
  </si>
  <si>
    <t>PLAN DE PAGOS</t>
  </si>
  <si>
    <t>PLAN DE PAGOS VEPS</t>
  </si>
  <si>
    <t>JORNALES</t>
  </si>
  <si>
    <t>POLIZA DE SEGUROS</t>
  </si>
  <si>
    <t>EL NORTE SEGUROS</t>
  </si>
  <si>
    <t>SANCORSEG - SANCOR SEGUROS</t>
  </si>
  <si>
    <t>DB TR..AUT.SDO.MISMO TIT.</t>
  </si>
  <si>
    <t>CR TRANSF AUT SDO MISMO TIT</t>
  </si>
  <si>
    <t>TEF DATANET PAGOS AFIP</t>
  </si>
  <si>
    <t>CA</t>
  </si>
  <si>
    <t>HACIA CA MACRO</t>
  </si>
  <si>
    <t>PRESTAMO</t>
  </si>
  <si>
    <t>HUINCAGRO</t>
  </si>
  <si>
    <t>BULONES</t>
  </si>
  <si>
    <t>FA581</t>
  </si>
  <si>
    <t>LAVADO</t>
  </si>
  <si>
    <t>SEGURO</t>
  </si>
  <si>
    <t>SANCHEZ</t>
  </si>
  <si>
    <t>(en blanco)</t>
  </si>
  <si>
    <t>13. UTILIDADES ADL MONICA</t>
  </si>
  <si>
    <t>07. GASTOS_ESTRUCTURA</t>
  </si>
  <si>
    <t>14. A CTA DE HONORARIOS RAUL</t>
  </si>
  <si>
    <t>15. APORTE SOCIO RAUL</t>
  </si>
  <si>
    <t>16. INGRESOS AGROPECUARIOS</t>
  </si>
  <si>
    <t xml:space="preserve">F931- PERIODO DIC </t>
  </si>
  <si>
    <t>SALDO A FAVOR DEVUELTO</t>
  </si>
  <si>
    <t>N63415091</t>
  </si>
  <si>
    <t>N60458315</t>
  </si>
  <si>
    <t>ESPINAGRO</t>
  </si>
  <si>
    <t>FA2788</t>
  </si>
  <si>
    <t>VETERINARIA EL CALDEN</t>
  </si>
  <si>
    <t>FA6168</t>
  </si>
  <si>
    <t>N68698178</t>
  </si>
  <si>
    <t>CHEQUE 48 HS.</t>
  </si>
  <si>
    <t>GOMERIA OCHOA</t>
  </si>
  <si>
    <t>N63667578</t>
  </si>
  <si>
    <t>N60458316</t>
  </si>
  <si>
    <t>N60458312</t>
  </si>
  <si>
    <t>CLERICI</t>
  </si>
  <si>
    <t>FA239</t>
  </si>
  <si>
    <t>ALCIDES</t>
  </si>
  <si>
    <t>TODO CAMPO COMB</t>
  </si>
  <si>
    <t>FA578</t>
  </si>
  <si>
    <t>COMBUSTIBLE</t>
  </si>
  <si>
    <t>N68698176</t>
  </si>
  <si>
    <t xml:space="preserve">CHEQUE GALICIA </t>
  </si>
  <si>
    <t>HA COMBUSTIBLE</t>
  </si>
  <si>
    <t>FA4963</t>
  </si>
  <si>
    <t>COMISION CHQ PAG CLEARING</t>
  </si>
  <si>
    <t>N68698175</t>
  </si>
  <si>
    <t xml:space="preserve">CHEQUE 48 HS. </t>
  </si>
  <si>
    <t>PANADERIA PICCO</t>
  </si>
  <si>
    <t>PM/TOT. RES. AGRONACION</t>
  </si>
  <si>
    <t>N60458317</t>
  </si>
  <si>
    <t>GUSTAVO SALINAS</t>
  </si>
  <si>
    <t>FA721</t>
  </si>
  <si>
    <t>MANTENIMIENTO MENSUAL PAQUETE</t>
  </si>
  <si>
    <t>N68698177</t>
  </si>
  <si>
    <t>FA 386</t>
  </si>
  <si>
    <t>CHEQUE CANJE INTERNO</t>
  </si>
  <si>
    <t>TRANSF:2602020000804581431001-23338858094</t>
  </si>
  <si>
    <t>N63746274</t>
  </si>
  <si>
    <t>TODO CAMPO INS</t>
  </si>
  <si>
    <t>MELANIA ALANIZ</t>
  </si>
  <si>
    <t>COMISION CHEQUE PAGADO POR CLEARING</t>
  </si>
  <si>
    <t>N32841150</t>
  </si>
  <si>
    <t>N32841148</t>
  </si>
  <si>
    <t>N32841147</t>
  </si>
  <si>
    <t>MADERA MENDEZ</t>
  </si>
  <si>
    <t>FA4888</t>
  </si>
  <si>
    <t>CORRALES</t>
  </si>
  <si>
    <t>FA997</t>
  </si>
  <si>
    <t>FERRETERIA BULTOR</t>
  </si>
  <si>
    <t>FERRETERIA</t>
  </si>
  <si>
    <t>COM. MANTENIMIENTO DE CUENTA</t>
  </si>
  <si>
    <t>INTERESES DESCUBIERTO</t>
  </si>
  <si>
    <t>INTERESES EXCESO DESCUBIERTO</t>
  </si>
  <si>
    <t>IVA 10,5%</t>
  </si>
  <si>
    <t>IMP. DEBITOS Y CRED. POR DEBITO</t>
  </si>
  <si>
    <t>INTERESES ACUERDO SALDO DEUDOR</t>
  </si>
  <si>
    <t>IVA PERCEPCION ALICUOTA REDUCIDA</t>
  </si>
  <si>
    <t>REFERTILIZADA</t>
  </si>
  <si>
    <t>TRF INMED PROVEED</t>
  </si>
  <si>
    <t>SOJA ENLIST CANON</t>
  </si>
  <si>
    <t>EL JAQUE SA</t>
  </si>
  <si>
    <t>FA8650</t>
  </si>
  <si>
    <t>TRANSF INMED CP</t>
  </si>
  <si>
    <t>COMISION CHEQUE CONSULTA</t>
  </si>
  <si>
    <t>TEF DATANET MT G E S A 30708920882</t>
  </si>
  <si>
    <t>TRANSF ERRECALDE 20164045693 VAR VARIOS 45010</t>
  </si>
  <si>
    <t>TRANSF ERRECALDE 20416806102 VAR VARIOS 00416</t>
  </si>
  <si>
    <t>TRANSF ERRECALDE 20164045693 VAR VARIOS VARIO</t>
  </si>
  <si>
    <t>N60458311</t>
  </si>
  <si>
    <t>N60458322</t>
  </si>
  <si>
    <t>DB/CR - COMEX- SUC.:811</t>
  </si>
  <si>
    <t>CREDITOS</t>
  </si>
  <si>
    <t xml:space="preserve">MACRO </t>
  </si>
  <si>
    <t>CANJE 90TN SOJA</t>
  </si>
  <si>
    <t>COOPERATIVA ELECT VH</t>
  </si>
  <si>
    <t>TRANSFERENCIA DE CUENTA PROPIA</t>
  </si>
  <si>
    <t>CHEQUE GALICIA NRO. 68698174</t>
  </si>
  <si>
    <t>TRANSFERENCIA DE TERCEROS</t>
  </si>
  <si>
    <t>IMP. CRE. LEY 25413</t>
  </si>
  <si>
    <t>N32841149</t>
  </si>
  <si>
    <t>CUOTA 2</t>
  </si>
  <si>
    <t>COM. TRANSF. PAMPA DIGITAL</t>
  </si>
  <si>
    <t>TRANSF. PROPIA ENVIADA PD - 30708920882-G &amp; E S.A.</t>
  </si>
  <si>
    <t>CHEQUERA</t>
  </si>
  <si>
    <t>COM TRANSFE ELECTRONICA</t>
  </si>
  <si>
    <t>DEB.TRAN.INTERBMISMO TIT</t>
  </si>
  <si>
    <t>GRAVAMEN LEY 25413 S/CRED</t>
  </si>
  <si>
    <t>COMIS. CANJE O/BANCOS</t>
  </si>
  <si>
    <t>CAM.FED.DIST.PZA. O/BCOS.</t>
  </si>
  <si>
    <t>DEB.TRAN.INTERB HABERES</t>
  </si>
  <si>
    <t>COMIS.DE COMPROMISO</t>
  </si>
  <si>
    <t>DEBITO PAGO PRESTAMO</t>
  </si>
  <si>
    <t>CPRA.VTA.NO GRAVADA</t>
  </si>
  <si>
    <t>TRANSF.INTER.MMO.TITULAR - CUIT/CUIL: 30708920882</t>
  </si>
  <si>
    <t>DESDE CC PAMPA</t>
  </si>
  <si>
    <t>SGR NACION</t>
  </si>
  <si>
    <t>17. CANC CREDITO SGR</t>
  </si>
  <si>
    <t>DESDE CC NACION</t>
  </si>
  <si>
    <t>DESDE CC GALICIA</t>
  </si>
  <si>
    <t>BPAS</t>
  </si>
  <si>
    <t>CENTRO GANADERO</t>
  </si>
  <si>
    <t>GOMERIA CARLITOS</t>
  </si>
  <si>
    <t>FA457</t>
  </si>
  <si>
    <t>GOMERIA</t>
  </si>
  <si>
    <t>REPUESTOS</t>
  </si>
  <si>
    <t>FAVA TRANSP</t>
  </si>
  <si>
    <t>ARREGLO TELEFONO</t>
  </si>
  <si>
    <t>JULIO ARNAUDO</t>
  </si>
  <si>
    <t>FAECYS</t>
  </si>
  <si>
    <t>OSECAC</t>
  </si>
  <si>
    <t>VIDAL COMISIONES</t>
  </si>
  <si>
    <t>MADERERA MENDEZ</t>
  </si>
  <si>
    <t>YANOSKI</t>
  </si>
  <si>
    <t>ZALAZAR</t>
  </si>
  <si>
    <t>ARREGLO HELADERAS</t>
  </si>
  <si>
    <t>SENASA</t>
  </si>
  <si>
    <t>NORMA TOLEDO</t>
  </si>
  <si>
    <t>VACACIONES</t>
  </si>
  <si>
    <t>AGROBULONES</t>
  </si>
  <si>
    <t>43 VAQUILLONAS</t>
  </si>
  <si>
    <t>PERIODO ENERO</t>
  </si>
  <si>
    <t>08. FLETES</t>
  </si>
  <si>
    <t>09. SERVICIOS SOCIALES</t>
  </si>
  <si>
    <t>TRANSF G Y E SA 30708920882 VAR VARIOS 451580</t>
  </si>
  <si>
    <t>TRANSF. ENVIADA PAMPA DIGITAL - 20170457715-BECERRA ADRIAN OSCAR</t>
  </si>
  <si>
    <t>ACREDITACION PRESTAMO COMERCIAL</t>
  </si>
  <si>
    <t>6 MESES</t>
  </si>
  <si>
    <t>SEGURO ECOGAS</t>
  </si>
  <si>
    <t>EXPENSAS RAUL</t>
  </si>
  <si>
    <t>SEGURO TOYOTA</t>
  </si>
  <si>
    <t>F931- PERIODO ENERO</t>
  </si>
  <si>
    <t>N32841160</t>
  </si>
  <si>
    <t>GARELLO</t>
  </si>
  <si>
    <t>TRANSF. ENVIADA PAMPA DIGITAL - 20164045693-ERRECALDE RAUL ALBERTO</t>
  </si>
  <si>
    <t>CLAUDIA ERRECALDE</t>
  </si>
  <si>
    <t>MICHIGAN</t>
  </si>
  <si>
    <t>ARRANQUE PALA</t>
  </si>
  <si>
    <t>N64384624</t>
  </si>
  <si>
    <t>N64325212</t>
  </si>
  <si>
    <t>N64324238</t>
  </si>
  <si>
    <t>AGROBULON</t>
  </si>
  <si>
    <t>FA2962</t>
  </si>
  <si>
    <t>MECANICA DELTA</t>
  </si>
  <si>
    <t>N32841159</t>
  </si>
  <si>
    <t>FAVA</t>
  </si>
  <si>
    <t>TRANSF. ENVIADA PAMPA DIGITAL - 27200806536-ERRECALDE CLAUDIA BEATRIZ</t>
  </si>
  <si>
    <t>PRESTAMO DE 1.5 M</t>
  </si>
  <si>
    <t>PRESTAMO DE 5M</t>
  </si>
  <si>
    <t>TRANSF G Y E SA 30708920882 VAR VARIOS 454359</t>
  </si>
  <si>
    <t>TRANSF. ENVIADA PAMPA DIGITAL - 20142207517-MALDONADO ANDRES</t>
  </si>
  <si>
    <t>19. CANCELACION CREDITO PAMPA</t>
  </si>
  <si>
    <t>04. CREDITOS</t>
  </si>
  <si>
    <t>20. TERCEROS</t>
  </si>
  <si>
    <t>ASIGNACIONES RESULTADOS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</si>
</sst>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[$USD]\ * #,##0.00_-;\-[$USD]\ * #,##0.00_-;_-[$USD]\ * &quot;-&quot;??_-;_-@_-"/>
    <numFmt numFmtId="166" formatCode="dd/mm/yyyy;@"/>
    <numFmt numFmtId="167" formatCode="0.0%"/>
    <numFmt numFmtId="168" formatCode="_(* #,##0.00_);_(* \(#,##0.00\);_(* &quot;-&quot;??_);_(@_)"/>
    <numFmt numFmtId="169" formatCode="&quot;$&quot;\ #,##0.00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name val="Calibri"/>
      <family val="2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11"/>
      <color rgb="FFC000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69D44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FF5D5D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indexed="65"/>
      </top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5"/>
      </left>
      <right/>
      <top style="thin">
        <color rgb="FFABABAB"/>
      </top>
      <bottom/>
      <diagonal/>
    </border>
  </borders>
  <cellStyleXfs count="13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3" fillId="0" borderId="0"/>
    <xf numFmtId="9" fontId="1" fillId="0" borderId="0" applyFont="0" applyFill="0" applyBorder="0" applyAlignment="0" applyProtection="0"/>
    <xf numFmtId="168" fontId="9" fillId="0" borderId="0" applyFont="0" applyFill="0" applyBorder="0" applyAlignment="0" applyProtection="0"/>
  </cellStyleXfs>
  <cellXfs count="148">
    <xf numFmtId="0" fontId="0" fillId="0" borderId="0" xfId="0"/>
    <xf numFmtId="0" fontId="2" fillId="0" borderId="0" xfId="0" applyFont="1"/>
    <xf numFmtId="0" fontId="7" fillId="0" borderId="0" xfId="0" applyFont="1"/>
    <xf numFmtId="0" fontId="4" fillId="3" borderId="0" xfId="0" applyFont="1" applyFill="1"/>
    <xf numFmtId="0" fontId="5" fillId="3" borderId="0" xfId="0" applyFont="1" applyFill="1"/>
    <xf numFmtId="0" fontId="2" fillId="4" borderId="0" xfId="0" applyFont="1" applyFill="1"/>
    <xf numFmtId="0" fontId="0" fillId="5" borderId="0" xfId="0" applyFill="1"/>
    <xf numFmtId="0" fontId="0" fillId="2" borderId="0" xfId="0" applyFill="1"/>
    <xf numFmtId="0" fontId="6" fillId="2" borderId="0" xfId="0" applyFont="1" applyFill="1"/>
    <xf numFmtId="0" fontId="5" fillId="2" borderId="0" xfId="0" applyFont="1" applyFill="1" applyAlignment="1">
      <alignment horizontal="center"/>
    </xf>
    <xf numFmtId="0" fontId="4" fillId="6" borderId="0" xfId="0" applyFont="1" applyFill="1"/>
    <xf numFmtId="165" fontId="0" fillId="0" borderId="0" xfId="0" applyNumberFormat="1"/>
    <xf numFmtId="0" fontId="0" fillId="9" borderId="0" xfId="0" applyFill="1"/>
    <xf numFmtId="0" fontId="3" fillId="2" borderId="0" xfId="0" applyFont="1" applyFill="1" applyAlignment="1">
      <alignment vertical="center"/>
    </xf>
    <xf numFmtId="165" fontId="0" fillId="2" borderId="0" xfId="0" applyNumberFormat="1" applyFill="1"/>
    <xf numFmtId="44" fontId="10" fillId="2" borderId="0" xfId="0" applyNumberFormat="1" applyFont="1" applyFill="1" applyAlignment="1">
      <alignment horizontal="center" vertical="center"/>
    </xf>
    <xf numFmtId="44" fontId="0" fillId="2" borderId="0" xfId="1" applyFont="1" applyFill="1"/>
    <xf numFmtId="0" fontId="2" fillId="2" borderId="0" xfId="0" applyFont="1" applyFill="1" applyAlignment="1">
      <alignment horizontal="right" vertical="center"/>
    </xf>
    <xf numFmtId="44" fontId="0" fillId="2" borderId="0" xfId="0" applyNumberFormat="1" applyFill="1"/>
    <xf numFmtId="44" fontId="16" fillId="2" borderId="0" xfId="1" applyFont="1" applyFill="1"/>
    <xf numFmtId="0" fontId="3" fillId="2" borderId="0" xfId="0" applyFont="1" applyFill="1"/>
    <xf numFmtId="0" fontId="0" fillId="2" borderId="1" xfId="0" applyFill="1" applyBorder="1"/>
    <xf numFmtId="0" fontId="0" fillId="2" borderId="2" xfId="0" applyFill="1" applyBorder="1"/>
    <xf numFmtId="0" fontId="2" fillId="2" borderId="1" xfId="0" applyFont="1" applyFill="1" applyBorder="1"/>
    <xf numFmtId="0" fontId="2" fillId="2" borderId="4" xfId="0" applyFont="1" applyFill="1" applyBorder="1"/>
    <xf numFmtId="0" fontId="2" fillId="2" borderId="5" xfId="0" applyFont="1" applyFill="1" applyBorder="1"/>
    <xf numFmtId="0" fontId="2" fillId="2" borderId="1" xfId="0" applyFont="1" applyFill="1" applyBorder="1" applyAlignment="1">
      <alignment horizontal="left"/>
    </xf>
    <xf numFmtId="44" fontId="0" fillId="2" borderId="1" xfId="0" applyNumberFormat="1" applyFill="1" applyBorder="1"/>
    <xf numFmtId="44" fontId="0" fillId="2" borderId="4" xfId="0" applyNumberFormat="1" applyFill="1" applyBorder="1"/>
    <xf numFmtId="44" fontId="2" fillId="2" borderId="5" xfId="0" applyNumberFormat="1" applyFont="1" applyFill="1" applyBorder="1"/>
    <xf numFmtId="44" fontId="0" fillId="2" borderId="3" xfId="0" applyNumberFormat="1" applyFill="1" applyBorder="1"/>
    <xf numFmtId="44" fontId="0" fillId="2" borderId="6" xfId="0" applyNumberFormat="1" applyFill="1" applyBorder="1"/>
    <xf numFmtId="44" fontId="2" fillId="2" borderId="7" xfId="0" applyNumberFormat="1" applyFont="1" applyFill="1" applyBorder="1"/>
    <xf numFmtId="0" fontId="2" fillId="2" borderId="8" xfId="0" applyFont="1" applyFill="1" applyBorder="1" applyAlignment="1">
      <alignment horizontal="left"/>
    </xf>
    <xf numFmtId="44" fontId="2" fillId="2" borderId="8" xfId="0" applyNumberFormat="1" applyFont="1" applyFill="1" applyBorder="1"/>
    <xf numFmtId="0" fontId="2" fillId="2" borderId="11" xfId="0" applyFont="1" applyFill="1" applyBorder="1"/>
    <xf numFmtId="165" fontId="0" fillId="2" borderId="6" xfId="0" applyNumberFormat="1" applyFill="1" applyBorder="1"/>
    <xf numFmtId="165" fontId="0" fillId="2" borderId="12" xfId="0" applyNumberFormat="1" applyFill="1" applyBorder="1"/>
    <xf numFmtId="0" fontId="2" fillId="2" borderId="0" xfId="0" applyFont="1" applyFill="1"/>
    <xf numFmtId="0" fontId="2" fillId="2" borderId="15" xfId="0" applyFont="1" applyFill="1" applyBorder="1"/>
    <xf numFmtId="0" fontId="2" fillId="2" borderId="14" xfId="0" applyFont="1" applyFill="1" applyBorder="1"/>
    <xf numFmtId="44" fontId="2" fillId="2" borderId="14" xfId="1" applyFont="1" applyFill="1" applyBorder="1"/>
    <xf numFmtId="44" fontId="2" fillId="2" borderId="0" xfId="1" applyFont="1" applyFill="1" applyBorder="1" applyAlignment="1">
      <alignment horizontal="center"/>
    </xf>
    <xf numFmtId="44" fontId="2" fillId="2" borderId="0" xfId="1" applyFont="1" applyFill="1" applyBorder="1"/>
    <xf numFmtId="167" fontId="1" fillId="2" borderId="0" xfId="11" applyNumberFormat="1" applyFont="1" applyFill="1" applyBorder="1" applyAlignment="1">
      <alignment horizontal="center"/>
    </xf>
    <xf numFmtId="167" fontId="2" fillId="2" borderId="0" xfId="0" applyNumberFormat="1" applyFont="1" applyFill="1" applyAlignment="1">
      <alignment horizontal="center"/>
    </xf>
    <xf numFmtId="10" fontId="0" fillId="2" borderId="0" xfId="11" applyNumberFormat="1" applyFont="1" applyFill="1"/>
    <xf numFmtId="0" fontId="2" fillId="10" borderId="15" xfId="0" applyFont="1" applyFill="1" applyBorder="1"/>
    <xf numFmtId="0" fontId="0" fillId="10" borderId="0" xfId="0" applyFill="1" applyAlignment="1">
      <alignment horizontal="right"/>
    </xf>
    <xf numFmtId="0" fontId="0" fillId="10" borderId="0" xfId="0" applyFill="1"/>
    <xf numFmtId="169" fontId="0" fillId="10" borderId="0" xfId="0" applyNumberFormat="1" applyFill="1" applyAlignment="1">
      <alignment horizontal="right"/>
    </xf>
    <xf numFmtId="0" fontId="0" fillId="2" borderId="3" xfId="0" applyFill="1" applyBorder="1" applyAlignment="1">
      <alignment horizontal="left" indent="2"/>
    </xf>
    <xf numFmtId="166" fontId="0" fillId="10" borderId="0" xfId="0" applyNumberFormat="1" applyFill="1"/>
    <xf numFmtId="166" fontId="0" fillId="10" borderId="0" xfId="0" applyNumberFormat="1" applyFill="1" applyAlignment="1">
      <alignment horizontal="center"/>
    </xf>
    <xf numFmtId="44" fontId="0" fillId="10" borderId="0" xfId="1" applyFont="1" applyFill="1"/>
    <xf numFmtId="44" fontId="6" fillId="10" borderId="0" xfId="1" applyFont="1" applyFill="1"/>
    <xf numFmtId="165" fontId="2" fillId="8" borderId="0" xfId="0" applyNumberFormat="1" applyFont="1" applyFill="1" applyAlignment="1">
      <alignment horizontal="center" vertical="center"/>
    </xf>
    <xf numFmtId="44" fontId="2" fillId="2" borderId="0" xfId="1" applyFont="1" applyFill="1"/>
    <xf numFmtId="165" fontId="2" fillId="2" borderId="9" xfId="0" applyNumberFormat="1" applyFont="1" applyFill="1" applyBorder="1"/>
    <xf numFmtId="165" fontId="2" fillId="2" borderId="13" xfId="0" applyNumberFormat="1" applyFont="1" applyFill="1" applyBorder="1"/>
    <xf numFmtId="0" fontId="0" fillId="2" borderId="4" xfId="0" applyFill="1" applyBorder="1"/>
    <xf numFmtId="0" fontId="0" fillId="2" borderId="15" xfId="0" applyFill="1" applyBorder="1"/>
    <xf numFmtId="44" fontId="17" fillId="2" borderId="0" xfId="1" applyFont="1" applyFill="1"/>
    <xf numFmtId="0" fontId="18" fillId="2" borderId="1" xfId="0" applyFont="1" applyFill="1" applyBorder="1"/>
    <xf numFmtId="0" fontId="19" fillId="2" borderId="1" xfId="0" applyFont="1" applyFill="1" applyBorder="1"/>
    <xf numFmtId="0" fontId="20" fillId="2" borderId="0" xfId="0" applyFont="1" applyFill="1"/>
    <xf numFmtId="44" fontId="2" fillId="12" borderId="8" xfId="0" applyNumberFormat="1" applyFont="1" applyFill="1" applyBorder="1"/>
    <xf numFmtId="44" fontId="2" fillId="11" borderId="9" xfId="0" applyNumberFormat="1" applyFont="1" applyFill="1" applyBorder="1"/>
    <xf numFmtId="44" fontId="2" fillId="12" borderId="10" xfId="0" applyNumberFormat="1" applyFont="1" applyFill="1" applyBorder="1"/>
    <xf numFmtId="44" fontId="2" fillId="11" borderId="10" xfId="0" applyNumberFormat="1" applyFont="1" applyFill="1" applyBorder="1"/>
    <xf numFmtId="44" fontId="10" fillId="11" borderId="0" xfId="1" applyFont="1" applyFill="1" applyAlignment="1">
      <alignment horizontal="center" vertical="center"/>
    </xf>
    <xf numFmtId="44" fontId="10" fillId="12" borderId="0" xfId="1" applyFont="1" applyFill="1" applyAlignment="1">
      <alignment horizontal="center" vertical="center"/>
    </xf>
    <xf numFmtId="44" fontId="2" fillId="2" borderId="15" xfId="1" applyFont="1" applyFill="1" applyBorder="1"/>
    <xf numFmtId="44" fontId="2" fillId="2" borderId="14" xfId="0" applyNumberFormat="1" applyFont="1" applyFill="1" applyBorder="1"/>
    <xf numFmtId="0" fontId="0" fillId="2" borderId="0" xfId="0" applyFill="1" applyAlignment="1">
      <alignment horizontal="right"/>
    </xf>
    <xf numFmtId="0" fontId="2" fillId="2" borderId="0" xfId="0" applyFont="1" applyFill="1" applyAlignment="1">
      <alignment horizontal="right"/>
    </xf>
    <xf numFmtId="44" fontId="1" fillId="2" borderId="0" xfId="1" applyFont="1" applyFill="1" applyBorder="1"/>
    <xf numFmtId="44" fontId="0" fillId="2" borderId="0" xfId="1" applyFont="1" applyFill="1" applyBorder="1"/>
    <xf numFmtId="0" fontId="0" fillId="2" borderId="0" xfId="0" applyFill="1" applyAlignment="1">
      <alignment vertical="center"/>
    </xf>
    <xf numFmtId="44" fontId="0" fillId="2" borderId="0" xfId="0" applyNumberFormat="1" applyFill="1" applyAlignment="1">
      <alignment vertical="center"/>
    </xf>
    <xf numFmtId="0" fontId="0" fillId="2" borderId="3" xfId="0" applyFill="1" applyBorder="1" applyAlignment="1">
      <alignment horizontal="left" indent="1"/>
    </xf>
    <xf numFmtId="44" fontId="0" fillId="0" borderId="0" xfId="1" applyFont="1"/>
    <xf numFmtId="0" fontId="0" fillId="10" borderId="15" xfId="0" applyFill="1" applyBorder="1"/>
    <xf numFmtId="44" fontId="0" fillId="2" borderId="15" xfId="1" applyFont="1" applyFill="1" applyBorder="1"/>
    <xf numFmtId="10" fontId="0" fillId="2" borderId="15" xfId="11" applyNumberFormat="1" applyFont="1" applyFill="1" applyBorder="1"/>
    <xf numFmtId="165" fontId="0" fillId="2" borderId="15" xfId="0" applyNumberFormat="1" applyFill="1" applyBorder="1"/>
    <xf numFmtId="10" fontId="2" fillId="2" borderId="15" xfId="11" applyNumberFormat="1" applyFont="1" applyFill="1" applyBorder="1"/>
    <xf numFmtId="165" fontId="2" fillId="2" borderId="15" xfId="0" applyNumberFormat="1" applyFont="1" applyFill="1" applyBorder="1"/>
    <xf numFmtId="0" fontId="2" fillId="10" borderId="14" xfId="0" applyFont="1" applyFill="1" applyBorder="1" applyAlignment="1">
      <alignment horizontal="left"/>
    </xf>
    <xf numFmtId="0" fontId="2" fillId="7" borderId="0" xfId="0" applyFont="1" applyFill="1" applyAlignment="1">
      <alignment horizontal="center"/>
    </xf>
    <xf numFmtId="167" fontId="2" fillId="7" borderId="0" xfId="0" applyNumberFormat="1" applyFont="1" applyFill="1" applyAlignment="1">
      <alignment horizontal="center"/>
    </xf>
    <xf numFmtId="0" fontId="2" fillId="10" borderId="14" xfId="0" applyFont="1" applyFill="1" applyBorder="1" applyAlignment="1">
      <alignment horizontal="center"/>
    </xf>
    <xf numFmtId="167" fontId="2" fillId="10" borderId="14" xfId="0" applyNumberFormat="1" applyFont="1" applyFill="1" applyBorder="1" applyAlignment="1">
      <alignment horizontal="center"/>
    </xf>
    <xf numFmtId="0" fontId="0" fillId="10" borderId="15" xfId="0" applyFill="1" applyBorder="1" applyAlignment="1">
      <alignment horizontal="right"/>
    </xf>
    <xf numFmtId="0" fontId="2" fillId="7" borderId="15" xfId="0" applyFont="1" applyFill="1" applyBorder="1"/>
    <xf numFmtId="44" fontId="2" fillId="10" borderId="15" xfId="1" applyFont="1" applyFill="1" applyBorder="1"/>
    <xf numFmtId="0" fontId="2" fillId="13" borderId="14" xfId="0" applyFont="1" applyFill="1" applyBorder="1"/>
    <xf numFmtId="44" fontId="2" fillId="13" borderId="14" xfId="0" applyNumberFormat="1" applyFont="1" applyFill="1" applyBorder="1"/>
    <xf numFmtId="10" fontId="2" fillId="13" borderId="14" xfId="11" applyNumberFormat="1" applyFont="1" applyFill="1" applyBorder="1"/>
    <xf numFmtId="165" fontId="2" fillId="13" borderId="14" xfId="0" applyNumberFormat="1" applyFont="1" applyFill="1" applyBorder="1"/>
    <xf numFmtId="0" fontId="0" fillId="13" borderId="14" xfId="0" applyFill="1" applyBorder="1"/>
    <xf numFmtId="10" fontId="0" fillId="10" borderId="15" xfId="11" applyNumberFormat="1" applyFont="1" applyFill="1" applyBorder="1"/>
    <xf numFmtId="165" fontId="0" fillId="10" borderId="15" xfId="0" applyNumberFormat="1" applyFill="1" applyBorder="1"/>
    <xf numFmtId="44" fontId="14" fillId="2" borderId="0" xfId="1" applyFont="1" applyFill="1" applyAlignment="1">
      <alignment vertical="center"/>
    </xf>
    <xf numFmtId="44" fontId="21" fillId="2" borderId="0" xfId="1" applyFont="1" applyFill="1"/>
    <xf numFmtId="44" fontId="2" fillId="2" borderId="1" xfId="0" applyNumberFormat="1" applyFont="1" applyFill="1" applyBorder="1"/>
    <xf numFmtId="44" fontId="2" fillId="2" borderId="4" xfId="0" applyNumberFormat="1" applyFont="1" applyFill="1" applyBorder="1"/>
    <xf numFmtId="0" fontId="2" fillId="2" borderId="3" xfId="0" applyFont="1" applyFill="1" applyBorder="1" applyAlignment="1">
      <alignment horizontal="left"/>
    </xf>
    <xf numFmtId="44" fontId="2" fillId="2" borderId="3" xfId="0" applyNumberFormat="1" applyFont="1" applyFill="1" applyBorder="1"/>
    <xf numFmtId="44" fontId="2" fillId="2" borderId="6" xfId="0" applyNumberFormat="1" applyFont="1" applyFill="1" applyBorder="1"/>
    <xf numFmtId="165" fontId="2" fillId="2" borderId="6" xfId="0" applyNumberFormat="1" applyFont="1" applyFill="1" applyBorder="1"/>
    <xf numFmtId="165" fontId="2" fillId="2" borderId="12" xfId="0" applyNumberFormat="1" applyFont="1" applyFill="1" applyBorder="1"/>
    <xf numFmtId="44" fontId="2" fillId="2" borderId="9" xfId="0" applyNumberFormat="1" applyFont="1" applyFill="1" applyBorder="1"/>
    <xf numFmtId="0" fontId="2" fillId="10" borderId="1" xfId="0" applyFont="1" applyFill="1" applyBorder="1" applyAlignment="1">
      <alignment horizontal="left"/>
    </xf>
    <xf numFmtId="44" fontId="2" fillId="10" borderId="1" xfId="0" applyNumberFormat="1" applyFont="1" applyFill="1" applyBorder="1"/>
    <xf numFmtId="44" fontId="2" fillId="10" borderId="4" xfId="0" applyNumberFormat="1" applyFont="1" applyFill="1" applyBorder="1"/>
    <xf numFmtId="165" fontId="2" fillId="10" borderId="4" xfId="0" applyNumberFormat="1" applyFont="1" applyFill="1" applyBorder="1"/>
    <xf numFmtId="165" fontId="2" fillId="10" borderId="11" xfId="0" applyNumberFormat="1" applyFont="1" applyFill="1" applyBorder="1"/>
    <xf numFmtId="0" fontId="2" fillId="10" borderId="3" xfId="0" applyFont="1" applyFill="1" applyBorder="1" applyAlignment="1">
      <alignment horizontal="left"/>
    </xf>
    <xf numFmtId="44" fontId="2" fillId="10" borderId="3" xfId="0" applyNumberFormat="1" applyFont="1" applyFill="1" applyBorder="1"/>
    <xf numFmtId="44" fontId="2" fillId="10" borderId="6" xfId="0" applyNumberFormat="1" applyFont="1" applyFill="1" applyBorder="1"/>
    <xf numFmtId="165" fontId="2" fillId="10" borderId="6" xfId="0" applyNumberFormat="1" applyFont="1" applyFill="1" applyBorder="1"/>
    <xf numFmtId="165" fontId="2" fillId="10" borderId="12" xfId="0" applyNumberFormat="1" applyFont="1" applyFill="1" applyBorder="1"/>
    <xf numFmtId="0" fontId="0" fillId="2" borderId="16" xfId="0" applyFill="1" applyBorder="1"/>
    <xf numFmtId="44" fontId="22" fillId="2" borderId="0" xfId="1" applyFont="1" applyFill="1"/>
    <xf numFmtId="166" fontId="23" fillId="10" borderId="0" xfId="0" applyNumberFormat="1" applyFont="1" applyFill="1"/>
    <xf numFmtId="166" fontId="23" fillId="10" borderId="0" xfId="0" applyNumberFormat="1" applyFont="1" applyFill="1" applyAlignment="1">
      <alignment horizontal="center"/>
    </xf>
    <xf numFmtId="0" fontId="23" fillId="10" borderId="0" xfId="0" applyFont="1" applyFill="1"/>
    <xf numFmtId="44" fontId="23" fillId="10" borderId="0" xfId="1" applyFont="1" applyFill="1"/>
    <xf numFmtId="44" fontId="24" fillId="2" borderId="0" xfId="1" applyFont="1" applyFill="1"/>
    <xf numFmtId="44" fontId="25" fillId="2" borderId="0" xfId="1" applyFont="1" applyFill="1"/>
    <xf numFmtId="44" fontId="23" fillId="2" borderId="0" xfId="1" applyFont="1" applyFill="1"/>
    <xf numFmtId="165" fontId="23" fillId="2" borderId="0" xfId="0" applyNumberFormat="1" applyFont="1" applyFill="1"/>
    <xf numFmtId="0" fontId="23" fillId="2" borderId="0" xfId="0" applyFont="1" applyFill="1"/>
    <xf numFmtId="166" fontId="6" fillId="10" borderId="0" xfId="0" applyNumberFormat="1" applyFont="1" applyFill="1"/>
    <xf numFmtId="166" fontId="6" fillId="10" borderId="0" xfId="0" applyNumberFormat="1" applyFont="1" applyFill="1" applyAlignment="1">
      <alignment horizontal="center"/>
    </xf>
    <xf numFmtId="0" fontId="6" fillId="10" borderId="0" xfId="0" applyFont="1" applyFill="1"/>
    <xf numFmtId="44" fontId="26" fillId="2" borderId="0" xfId="1" applyFont="1" applyFill="1"/>
    <xf numFmtId="44" fontId="6" fillId="2" borderId="0" xfId="1" applyFont="1" applyFill="1"/>
    <xf numFmtId="165" fontId="6" fillId="2" borderId="0" xfId="0" applyNumberFormat="1" applyFont="1" applyFill="1"/>
    <xf numFmtId="44" fontId="14" fillId="0" borderId="0" xfId="1" applyFont="1"/>
    <xf numFmtId="44" fontId="27" fillId="2" borderId="0" xfId="1" applyFont="1" applyFill="1"/>
    <xf numFmtId="44" fontId="6" fillId="0" borderId="0" xfId="1" applyFont="1"/>
    <xf numFmtId="44" fontId="7" fillId="0" borderId="0" xfId="1" applyFont="1"/>
    <xf numFmtId="44" fontId="28" fillId="2" borderId="0" xfId="1" applyFont="1" applyFill="1"/>
    <xf numFmtId="44" fontId="0" fillId="2" borderId="7" xfId="0" applyNumberFormat="1" applyFill="1" applyBorder="1"/>
    <xf numFmtId="0" fontId="4" fillId="3" borderId="0" xfId="0" applyFont="1" applyFill="1" applyAlignment="1">
      <alignment horizontal="center"/>
    </xf>
    <xf numFmtId="0" fontId="0" fillId="7" borderId="0" xfId="0" applyFill="1" applyAlignment="1">
      <alignment horizontal="center"/>
    </xf>
  </cellXfs>
  <cellStyles count="13">
    <cellStyle name="Hipervínculo 2" xfId="3" xr:uid="{F1DBD3DD-DA4E-4E09-8FEF-72D0051675C3}"/>
    <cellStyle name="Hyperlink" xfId="4" xr:uid="{13592B8A-7BEE-4256-9EAC-EA380D394220}"/>
    <cellStyle name="Millares 2" xfId="7" xr:uid="{01471E9E-0054-4605-9C69-15E4A9A3EF2C}"/>
    <cellStyle name="Millares 3" xfId="12" xr:uid="{3F5AEFD8-B3CF-4C68-911D-2F25969CF7EF}"/>
    <cellStyle name="Moneda" xfId="1" builtinId="4"/>
    <cellStyle name="Moneda 2" xfId="2" xr:uid="{E7F2EE38-A63B-4BEB-A9EC-44AD72B1966B}"/>
    <cellStyle name="Moneda 2 2" xfId="6" xr:uid="{E6730077-4323-46B0-AF3B-98A17C1AE784}"/>
    <cellStyle name="Moneda 3" xfId="8" xr:uid="{46EB06B5-4572-484E-A38E-7FBF1F210DAA}"/>
    <cellStyle name="Moneda 4" xfId="9" xr:uid="{00601BAA-0AFE-497B-82B1-844BAC834250}"/>
    <cellStyle name="Normal" xfId="0" builtinId="0"/>
    <cellStyle name="Normal 2" xfId="5" xr:uid="{DB1BECC0-8B85-48BD-9DF0-CFD3AFA28BE2}"/>
    <cellStyle name="Normal 3" xfId="10" xr:uid="{4430A685-A73B-4370-9A31-182DDA51BC2D}"/>
    <cellStyle name="Porcentaje" xfId="11" builtinId="5"/>
  </cellStyles>
  <dxfs count="233">
    <dxf>
      <font>
        <b/>
      </font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ill>
        <patternFill>
          <bgColor rgb="FF99FF66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b/>
      </font>
    </dxf>
    <dxf>
      <font>
        <color theme="4" tint="-0.499984740745262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b/>
      </font>
    </dxf>
    <dxf>
      <fill>
        <patternFill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/>
      </font>
    </dxf>
    <dxf>
      <font>
        <b val="0"/>
      </font>
    </dxf>
    <dxf>
      <font>
        <b/>
      </font>
    </dxf>
    <dxf>
      <font>
        <b val="0"/>
      </font>
    </dxf>
    <dxf>
      <font>
        <b val="0"/>
      </font>
    </dxf>
    <dxf>
      <font>
        <b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/>
      </font>
    </dxf>
    <dxf>
      <font>
        <b/>
      </font>
    </dxf>
    <dxf>
      <font>
        <b val="0"/>
      </font>
    </dxf>
    <dxf>
      <font>
        <b val="0"/>
      </font>
    </dxf>
    <dxf>
      <font>
        <b/>
      </font>
    </dxf>
    <dxf>
      <font>
        <b val="0"/>
      </font>
    </dxf>
    <dxf>
      <font>
        <b val="0"/>
      </font>
    </dxf>
    <dxf>
      <font>
        <b val="0"/>
      </font>
    </dxf>
    <dxf>
      <font>
        <b/>
      </font>
    </dxf>
    <dxf>
      <font>
        <b val="0"/>
      </font>
    </dxf>
    <dxf>
      <font>
        <b/>
      </font>
    </dxf>
    <dxf>
      <font>
        <b val="0"/>
      </font>
    </dxf>
    <dxf>
      <font>
        <b/>
      </font>
    </dxf>
    <dxf>
      <font>
        <b val="0"/>
      </font>
    </dxf>
    <dxf>
      <font>
        <b/>
      </font>
    </dxf>
    <dxf>
      <font>
        <b val="0"/>
      </font>
    </dxf>
    <dxf>
      <font>
        <b/>
      </font>
    </dxf>
    <dxf>
      <font>
        <b/>
      </font>
    </dxf>
    <dxf>
      <font>
        <b/>
      </font>
    </dxf>
    <dxf>
      <font>
        <b val="0"/>
      </font>
    </dxf>
    <dxf>
      <font>
        <b/>
      </font>
    </dxf>
    <dxf>
      <fill>
        <patternFill>
          <bgColor rgb="FFFF5D5D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b/>
      </font>
    </dxf>
    <dxf>
      <font>
        <color rgb="FFC0000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indexed="64"/>
          <bgColor theme="0"/>
        </patternFill>
      </fill>
    </dxf>
    <dxf>
      <font>
        <b/>
      </font>
      <fill>
        <patternFill>
          <fgColor indexed="64"/>
          <bgColor theme="0"/>
        </patternFill>
      </fill>
    </dxf>
    <dxf>
      <font>
        <b/>
      </font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/>
        </patternFill>
      </fill>
    </dxf>
    <dxf>
      <font>
        <b/>
      </font>
    </dxf>
    <dxf>
      <fill>
        <patternFill>
          <bgColor rgb="FF99FF66"/>
        </patternFill>
      </fill>
    </dxf>
    <dxf>
      <fill>
        <patternFill>
          <bgColor rgb="FFFF5D5D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b/>
      </font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i val="0"/>
      </font>
    </dxf>
    <dxf>
      <font>
        <b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65" formatCode="_-[$USD]\ * #,##0.00_-;\-[$USD]\ * #,##0.00_-;_-[$USD]\ * &quot;-&quot;??_-;_-@_-"/>
      <fill>
        <patternFill>
          <bgColor theme="0"/>
        </patternFill>
      </fill>
    </dxf>
    <dxf>
      <numFmt numFmtId="165" formatCode="_-[$USD]\ * #,##0.00_-;\-[$USD]\ * #,##0.00_-;_-[$USD]\ * &quot;-&quot;??_-;_-@_-"/>
      <fill>
        <patternFill>
          <bgColor theme="0"/>
        </patternFill>
      </fill>
    </dxf>
    <dxf>
      <fill>
        <patternFill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numFmt numFmtId="166" formatCode="dd/mm/yyyy;@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numFmt numFmtId="166" formatCode="dd/mm/yyyy;@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rgb="FF69D44C"/>
        </patternFill>
      </fill>
    </dxf>
    <dxf>
      <font>
        <strike val="0"/>
      </font>
      <fill>
        <patternFill>
          <bgColor theme="0"/>
        </patternFill>
      </fill>
      <border>
        <horizontal style="hair">
          <color auto="1"/>
        </horizontal>
      </border>
    </dxf>
  </dxfs>
  <tableStyles count="1" defaultTableStyle="TableStyleMedium2" defaultPivotStyle="PivotStyleLight16">
    <tableStyle name="SIMPLE" pivot="0" count="1" xr9:uid="{7D061920-DE3F-4771-A4EB-7C22F4744C3E}">
      <tableStyleElement type="wholeTable" dxfId="232"/>
    </tableStyle>
  </tableStyles>
  <colors>
    <mruColors>
      <color rgb="FFFF5D5D"/>
      <color rgb="FFCC6600"/>
      <color rgb="FFFFD653"/>
      <color rgb="FF69D44C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9320307432761685E-2"/>
          <c:y val="5.8243283972118164E-2"/>
          <c:w val="0.89179079247616455"/>
          <c:h val="0.8275894600711822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ACTIVIDADES!$B$16</c:f>
              <c:strCache>
                <c:ptCount val="1"/>
                <c:pt idx="0">
                  <c:v>AGRICULTURA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2.1339826119686437E-3"/>
                  <c:y val="-1.1197067214129042E-2"/>
                </c:manualLayout>
              </c:layout>
              <c:spPr>
                <a:solidFill>
                  <a:schemeClr val="bg1"/>
                </a:solidFill>
                <a:ln>
                  <a:solidFill>
                    <a:schemeClr val="tx1"/>
                  </a:solidFill>
                </a:ln>
                <a:effectLst/>
              </c:spPr>
              <c:txPr>
                <a:bodyPr rot="0" spcFirstLastPara="1" vertOverflow="ellipsis" vert="horz" wrap="square" lIns="0" tIns="36000" rIns="0" bIns="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ln>
                        <a:noFill/>
                      </a:ln>
                      <a:solidFill>
                        <a:srgbClr val="00B05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layout>
                    <c:manualLayout>
                      <c:w val="5.9646727897809178E-2"/>
                      <c:h val="9.038512434367559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2234-4021-83A3-9A2F7792BBA3}"/>
                </c:ext>
              </c:extLst>
            </c:dLbl>
            <c:dLbl>
              <c:idx val="1"/>
              <c:layout>
                <c:manualLayout>
                  <c:x val="-1.2237154734659464E-2"/>
                  <c:y val="-9.958931981041419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2EB-4E98-9B0F-A0D053E6955C}"/>
                </c:ext>
              </c:extLst>
            </c:dLbl>
            <c:dLbl>
              <c:idx val="2"/>
              <c:layout>
                <c:manualLayout>
                  <c:x val="-5.5141990625861594E-3"/>
                  <c:y val="-0.15374416936821708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EC1-49B9-B546-E819CBEA9564}"/>
                </c:ext>
              </c:extLst>
            </c:dLbl>
            <c:dLbl>
              <c:idx val="3"/>
              <c:layout>
                <c:manualLayout>
                  <c:x val="-1.0944780551079763E-2"/>
                  <c:y val="-0.11517204068564139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4DA-4EA1-9736-FD365A4A2BBF}"/>
                </c:ext>
              </c:extLst>
            </c:dLbl>
            <c:dLbl>
              <c:idx val="4"/>
              <c:layout>
                <c:manualLayout>
                  <c:x val="-1.0760134606998638E-2"/>
                  <c:y val="-0.1057712296778427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826-444F-AFAF-6C3DBEE42DD1}"/>
                </c:ext>
              </c:extLst>
            </c:dLbl>
            <c:dLbl>
              <c:idx val="5"/>
              <c:layout>
                <c:manualLayout>
                  <c:x val="-2.083433301244874E-2"/>
                  <c:y val="-7.813860602503497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826-444F-AFAF-6C3DBEE42DD1}"/>
                </c:ext>
              </c:extLst>
            </c:dLbl>
            <c:dLbl>
              <c:idx val="6"/>
              <c:layout>
                <c:manualLayout>
                  <c:x val="-4.5952930659596478E-3"/>
                  <c:y val="-0.100469706596180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826-444F-AFAF-6C3DBEE42DD1}"/>
                </c:ext>
              </c:extLst>
            </c:dLbl>
            <c:dLbl>
              <c:idx val="7"/>
              <c:layout>
                <c:manualLayout>
                  <c:x val="-5.1216481952295152E-3"/>
                  <c:y val="-6.877327765203473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234-4021-83A3-9A2F7792BBA3}"/>
                </c:ext>
              </c:extLst>
            </c:dLbl>
            <c:dLbl>
              <c:idx val="8"/>
              <c:layout>
                <c:manualLayout>
                  <c:x val="-1.6094916035182122E-2"/>
                  <c:y val="-3.685142961622817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234-4021-83A3-9A2F7792BBA3}"/>
                </c:ext>
              </c:extLst>
            </c:dLbl>
            <c:dLbl>
              <c:idx val="9"/>
              <c:layout>
                <c:manualLayout>
                  <c:x val="-9.1954022988505746E-3"/>
                  <c:y val="-3.15499065345656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4EF-4EBA-95DF-871D9E7D13CF}"/>
                </c:ext>
              </c:extLst>
            </c:dLbl>
            <c:dLbl>
              <c:idx val="10"/>
              <c:layout>
                <c:manualLayout>
                  <c:x val="-2.3403319099219302E-2"/>
                  <c:y val="-4.122163789512001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4EF-4EBA-95DF-871D9E7D13CF}"/>
                </c:ext>
              </c:extLst>
            </c:dLbl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  <a:effectLst/>
            </c:spPr>
            <c:txPr>
              <a:bodyPr rot="0" spcFirstLastPara="1" vertOverflow="ellipsis" vert="horz" wrap="square" lIns="0" tIns="36000" rIns="0" bIns="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ln>
                      <a:noFill/>
                    </a:ln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ACTIVIDADES!$C$15:$N$15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ACTIVIDADES!$C$16:$N$16</c:f>
              <c:numCache>
                <c:formatCode>_("$"* #,##0.00_);_("$"* \(#,##0.00\);_("$"* "-"??_);_(@_)</c:formatCode>
                <c:ptCount val="12"/>
                <c:pt idx="0">
                  <c:v>3129704.7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25-4A3A-B96E-52A06C939A20}"/>
            </c:ext>
          </c:extLst>
        </c:ser>
        <c:ser>
          <c:idx val="1"/>
          <c:order val="1"/>
          <c:tx>
            <c:strRef>
              <c:f>ACTIVIDADES!$B$38</c:f>
              <c:strCache>
                <c:ptCount val="1"/>
                <c:pt idx="0">
                  <c:v>GANADERIA</c:v>
                </c:pt>
              </c:strCache>
            </c:strRef>
          </c:tx>
          <c:spPr>
            <a:solidFill>
              <a:srgbClr val="CC660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1.0476685238694061E-3"/>
                  <c:y val="-0.19780650526103113"/>
                </c:manualLayout>
              </c:layout>
              <c:spPr>
                <a:solidFill>
                  <a:schemeClr val="bg1"/>
                </a:solidFill>
                <a:ln>
                  <a:solidFill>
                    <a:schemeClr val="tx1"/>
                  </a:solidFill>
                </a:ln>
                <a:effectLst/>
              </c:spPr>
              <c:txPr>
                <a:bodyPr rot="0" spcFirstLastPara="1" vertOverflow="ellipsis" vert="horz" wrap="square" lIns="0" tIns="36000" rIns="0" bIns="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CC66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layout>
                    <c:manualLayout>
                      <c:w val="6.9980541804873619E-2"/>
                      <c:h val="7.855270924527182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A285-4577-8F4B-D0F4E5491065}"/>
                </c:ext>
              </c:extLst>
            </c:dLbl>
            <c:dLbl>
              <c:idx val="1"/>
              <c:layout>
                <c:manualLayout>
                  <c:x val="1.340847758946905E-2"/>
                  <c:y val="-3.264193680083555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F16-4445-B5F1-16AA86E12F5B}"/>
                </c:ext>
              </c:extLst>
            </c:dLbl>
            <c:dLbl>
              <c:idx val="2"/>
              <c:layout>
                <c:manualLayout>
                  <c:x val="-1.6712539613726574E-3"/>
                  <c:y val="-2.872882834670124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EC1-49B9-B546-E819CBEA9564}"/>
                </c:ext>
              </c:extLst>
            </c:dLbl>
            <c:dLbl>
              <c:idx val="3"/>
              <c:layout>
                <c:manualLayout>
                  <c:x val="4.1457717913301814E-3"/>
                  <c:y val="-4.5108864897988538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4DA-4EA1-9736-FD365A4A2BBF}"/>
                </c:ext>
              </c:extLst>
            </c:dLbl>
            <c:dLbl>
              <c:idx val="4"/>
              <c:layout>
                <c:manualLayout>
                  <c:x val="4.9697372975625164E-3"/>
                  <c:y val="2.719639596616807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FB0-44EE-ACC6-7EE9D398BD61}"/>
                </c:ext>
              </c:extLst>
            </c:dLbl>
            <c:dLbl>
              <c:idx val="5"/>
              <c:layout>
                <c:manualLayout>
                  <c:x val="2.3162981707952317E-3"/>
                  <c:y val="7.325118616360917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826-444F-AFAF-6C3DBEE42DD1}"/>
                </c:ext>
              </c:extLst>
            </c:dLbl>
            <c:dLbl>
              <c:idx val="8"/>
              <c:layout>
                <c:manualLayout>
                  <c:x val="2.5608194622279128E-3"/>
                  <c:y val="-1.927583699361071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234-4021-83A3-9A2F7792BBA3}"/>
                </c:ext>
              </c:extLst>
            </c:dLbl>
            <c:dLbl>
              <c:idx val="10"/>
              <c:layout>
                <c:manualLayout>
                  <c:x val="5.8277260796945835E-3"/>
                  <c:y val="-4.815619706303970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69F-4651-BDD6-229293E917F3}"/>
                </c:ext>
              </c:extLst>
            </c:dLbl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  <a:effectLst/>
            </c:spPr>
            <c:txPr>
              <a:bodyPr rot="0" spcFirstLastPara="1" vertOverflow="ellipsis" vert="horz" wrap="square" lIns="0" tIns="36000" rIns="0" bIns="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CC6600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ACTIVIDADES!$C$38:$N$38</c:f>
              <c:numCache>
                <c:formatCode>_("$"* #,##0.00_);_("$"* \(#,##0.00\);_("$"* "-"??_);_(@_)</c:formatCode>
                <c:ptCount val="12"/>
                <c:pt idx="0">
                  <c:v>1187657.08</c:v>
                </c:pt>
                <c:pt idx="1">
                  <c:v>1370600.02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85-4577-8F4B-D0F4E549106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694916095"/>
        <c:axId val="1694916575"/>
      </c:barChart>
      <c:catAx>
        <c:axId val="1694916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694916575"/>
        <c:crosses val="autoZero"/>
        <c:auto val="1"/>
        <c:lblAlgn val="ctr"/>
        <c:lblOffset val="100"/>
        <c:noMultiLvlLbl val="0"/>
      </c:catAx>
      <c:valAx>
        <c:axId val="1694916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694916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2221530664104653"/>
          <c:y val="0.27799809479123272"/>
          <c:w val="0.19470280855091623"/>
          <c:h val="0.136515471681100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8803602408274696E-2"/>
          <c:y val="7.9120370370370396E-2"/>
          <c:w val="0.87341857593778705"/>
          <c:h val="0.83662839020122481"/>
        </c:manualLayout>
      </c:layout>
      <c:lineChart>
        <c:grouping val="standard"/>
        <c:varyColors val="0"/>
        <c:ser>
          <c:idx val="0"/>
          <c:order val="0"/>
          <c:tx>
            <c:strRef>
              <c:f>ACTIVIDADES!$B$18</c:f>
              <c:strCache>
                <c:ptCount val="1"/>
                <c:pt idx="0">
                  <c:v>SOJA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5.3503818542240907E-2"/>
                  <c:y val="-0.1782061096529600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D57B-4229-86B7-A485F9F20A22}"/>
                </c:ext>
              </c:extLst>
            </c:dLbl>
            <c:dLbl>
              <c:idx val="1"/>
              <c:layout>
                <c:manualLayout>
                  <c:x val="-5.5804052577680549E-2"/>
                  <c:y val="-0.1226505540974045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D57B-4229-86B7-A485F9F20A22}"/>
                </c:ext>
              </c:extLst>
            </c:dLbl>
            <c:dLbl>
              <c:idx val="2"/>
              <c:layout>
                <c:manualLayout>
                  <c:x val="-5.0454671099913966E-2"/>
                  <c:y val="-0.1272801837270341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D57B-4229-86B7-A485F9F20A22}"/>
                </c:ext>
              </c:extLst>
            </c:dLbl>
            <c:dLbl>
              <c:idx val="3"/>
              <c:layout>
                <c:manualLayout>
                  <c:x val="-4.9117325730472304E-2"/>
                  <c:y val="-6.7094998541848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D57B-4229-86B7-A485F9F20A22}"/>
                </c:ext>
              </c:extLst>
            </c:dLbl>
            <c:dLbl>
              <c:idx val="4"/>
              <c:layout>
                <c:manualLayout>
                  <c:x val="-5.7141397947122204E-2"/>
                  <c:y val="-0.1643172207640712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D57B-4229-86B7-A485F9F20A22}"/>
                </c:ext>
              </c:extLst>
            </c:dLbl>
            <c:dLbl>
              <c:idx val="5"/>
              <c:layout>
                <c:manualLayout>
                  <c:x val="-5.9816088686005624E-2"/>
                  <c:y val="-0.2615394429862933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D57B-4229-86B7-A485F9F20A22}"/>
                </c:ext>
              </c:extLst>
            </c:dLbl>
            <c:dLbl>
              <c:idx val="6"/>
              <c:layout>
                <c:manualLayout>
                  <c:x val="-5.0829127803357681E-2"/>
                  <c:y val="-0.2245024059492564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D57B-4229-86B7-A485F9F20A22}"/>
                </c:ext>
              </c:extLst>
            </c:dLbl>
            <c:dLbl>
              <c:idx val="7"/>
              <c:layout>
                <c:manualLayout>
                  <c:x val="-5.0829127803357577E-2"/>
                  <c:y val="-0.233761665208515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57B-4229-86B7-A485F9F20A22}"/>
                </c:ext>
              </c:extLst>
            </c:dLbl>
            <c:dLbl>
              <c:idx val="8"/>
              <c:layout>
                <c:manualLayout>
                  <c:x val="-4.7779980361030601E-2"/>
                  <c:y val="-0.2059838874307378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D57B-4229-86B7-A485F9F20A22}"/>
                </c:ext>
              </c:extLst>
            </c:dLbl>
            <c:dLbl>
              <c:idx val="9"/>
              <c:layout>
                <c:manualLayout>
                  <c:x val="-4.3767944252705623E-2"/>
                  <c:y val="-0.1596875911344415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D57B-4229-86B7-A485F9F20A22}"/>
                </c:ext>
              </c:extLst>
            </c:dLbl>
            <c:spPr>
              <a:solidFill>
                <a:srgbClr val="69D44C">
                  <a:alpha val="22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</c:trendlineLbl>
          </c:trendline>
          <c:val>
            <c:numRef>
              <c:f>ACTIVIDADES!$C$18:$N$18</c:f>
              <c:numCache>
                <c:formatCode>_("$"* #,##0.00_);_("$"* \(#,##0.00\);_("$"* "-"??_);_(@_)</c:formatCode>
                <c:ptCount val="12"/>
                <c:pt idx="0">
                  <c:v>3129704.7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7B-4229-86B7-A485F9F20A22}"/>
            </c:ext>
          </c:extLst>
        </c:ser>
        <c:ser>
          <c:idx val="1"/>
          <c:order val="1"/>
          <c:tx>
            <c:strRef>
              <c:f>ACTIVIDADES!$B$28</c:f>
              <c:strCache>
                <c:ptCount val="1"/>
                <c:pt idx="0">
                  <c:v>MAIZ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solidFill>
                  <a:srgbClr val="CC6600"/>
                </a:solidFill>
              </a:ln>
              <a:effectLst/>
            </c:spPr>
          </c:marker>
          <c:dLbls>
            <c:dLbl>
              <c:idx val="3"/>
              <c:layout>
                <c:manualLayout>
                  <c:x val="-5.5804052577680549E-2"/>
                  <c:y val="-0.1967246281714784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D57B-4229-86B7-A485F9F20A22}"/>
                </c:ext>
              </c:extLst>
            </c:dLbl>
            <c:dLbl>
              <c:idx val="5"/>
              <c:layout>
                <c:manualLayout>
                  <c:x val="-6.1153434055447278E-2"/>
                  <c:y val="-0.2013542578011081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D57B-4229-86B7-A485F9F20A22}"/>
                </c:ext>
              </c:extLst>
            </c:dLbl>
            <c:dLbl>
              <c:idx val="6"/>
              <c:layout>
                <c:manualLayout>
                  <c:x val="-4.9117325730472255E-2"/>
                  <c:y val="-0.2198727763196267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D57B-4229-86B7-A485F9F20A22}"/>
                </c:ext>
              </c:extLst>
            </c:dLbl>
            <c:dLbl>
              <c:idx val="7"/>
              <c:layout>
                <c:manualLayout>
                  <c:x val="-4.3767944252705623E-2"/>
                  <c:y val="-0.1735764800233304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D57B-4229-86B7-A485F9F20A22}"/>
                </c:ext>
              </c:extLst>
            </c:dLbl>
            <c:dLbl>
              <c:idx val="8"/>
              <c:layout>
                <c:manualLayout>
                  <c:x val="-5.3129361838797233E-2"/>
                  <c:y val="-0.1689468503937006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D57B-4229-86B7-A485F9F20A22}"/>
                </c:ext>
              </c:extLst>
            </c:dLbl>
            <c:spPr>
              <a:solidFill>
                <a:srgbClr val="FFC000">
                  <a:alpha val="32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ACTIVIDADES!$C$28:$N$28</c:f>
              <c:numCache>
                <c:formatCode>_("$"* #,##0.00_);_("$"* \(#,##0.00\);_("$"*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57B-4229-86B7-A485F9F20A2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89614256"/>
        <c:axId val="1889610416"/>
      </c:lineChart>
      <c:catAx>
        <c:axId val="1889614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889610416"/>
        <c:crosses val="autoZero"/>
        <c:auto val="1"/>
        <c:lblAlgn val="ctr"/>
        <c:lblOffset val="100"/>
        <c:noMultiLvlLbl val="0"/>
      </c:catAx>
      <c:valAx>
        <c:axId val="1889610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889614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18015942451638"/>
          <c:y val="6.4814814814814811E-2"/>
          <c:w val="0.88461815884125594"/>
          <c:h val="0.82778579760863225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CC66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C6600"/>
              </a:solidFill>
              <a:ln w="9525">
                <a:solidFill>
                  <a:srgbClr val="CC6600"/>
                </a:solidFill>
              </a:ln>
              <a:effectLst/>
            </c:spPr>
          </c:marker>
          <c:dLbls>
            <c:spPr>
              <a:solidFill>
                <a:schemeClr val="bg1">
                  <a:lumMod val="9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</c:trendlineLbl>
          </c:trendline>
          <c:val>
            <c:numRef>
              <c:f>ACTIVIDADES!$C$38:$N$38</c:f>
              <c:numCache>
                <c:formatCode>_("$"* #,##0.00_);_("$"* \(#,##0.00\);_("$"* "-"??_);_(@_)</c:formatCode>
                <c:ptCount val="12"/>
                <c:pt idx="0">
                  <c:v>1187657.08</c:v>
                </c:pt>
                <c:pt idx="1">
                  <c:v>1370600.02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B8-4711-BBEB-957FDC960E4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89628656"/>
        <c:axId val="1889623376"/>
      </c:lineChart>
      <c:catAx>
        <c:axId val="188962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889623376"/>
        <c:crosses val="autoZero"/>
        <c:auto val="1"/>
        <c:lblAlgn val="ctr"/>
        <c:lblOffset val="100"/>
        <c:noMultiLvlLbl val="0"/>
      </c:catAx>
      <c:valAx>
        <c:axId val="1889623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889628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7794724478337851E-2"/>
          <c:y val="7.944937629876879E-2"/>
          <c:w val="0.88331631774374664"/>
          <c:h val="0.80638336774453157"/>
        </c:manualLayout>
      </c:layout>
      <c:barChart>
        <c:barDir val="col"/>
        <c:grouping val="clustered"/>
        <c:varyColors val="0"/>
        <c:ser>
          <c:idx val="0"/>
          <c:order val="0"/>
          <c:tx>
            <c:v>Raul Aportes</c:v>
          </c:tx>
          <c:invertIfNegative val="0"/>
          <c:dLbls>
            <c:dLbl>
              <c:idx val="2"/>
              <c:layout>
                <c:manualLayout>
                  <c:x val="-8.7489063867019835E-4"/>
                  <c:y val="1.086227811873572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DC0-4ACE-AB56-15DC48D49537}"/>
                </c:ext>
              </c:extLst>
            </c:dLbl>
            <c:dLbl>
              <c:idx val="3"/>
              <c:layout>
                <c:manualLayout>
                  <c:x val="-8.7489063867023044E-4"/>
                  <c:y val="-5.805752194287880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159-4910-BBB2-79CCFF2EFC14}"/>
                </c:ext>
              </c:extLst>
            </c:dLbl>
            <c:dLbl>
              <c:idx val="4"/>
              <c:layout>
                <c:manualLayout>
                  <c:x val="-2.6246719160104987E-3"/>
                  <c:y val="-2.539220834735254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9DC0-4ACE-AB56-15DC48D49537}"/>
                </c:ext>
              </c:extLst>
            </c:dLbl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  <a:effectLst/>
            </c:spPr>
            <c:txPr>
              <a:bodyPr rot="0" spcFirstLastPara="1" vertOverflow="ellipsis" vert="horz" wrap="square" lIns="0" tIns="36000" rIns="0" bIns="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ln>
                      <a:noFill/>
                    </a:ln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CAPITAL!$C$15:$N$15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CAPITAL!$C$18:$N$18</c:f>
              <c:numCache>
                <c:formatCode>_("$"* #,##0.00_);_("$"* \(#,##0.00\);_("$"* "-"??_);_(@_)</c:formatCode>
                <c:ptCount val="12"/>
                <c:pt idx="0">
                  <c:v>135000</c:v>
                </c:pt>
                <c:pt idx="1">
                  <c:v>1510000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159-4910-BBB2-79CCFF2EFC14}"/>
            </c:ext>
          </c:extLst>
        </c:ser>
        <c:ser>
          <c:idx val="1"/>
          <c:order val="1"/>
          <c:tx>
            <c:v>Raul retiros</c:v>
          </c:tx>
          <c:invertIfNegative val="0"/>
          <c:dLbls>
            <c:dLbl>
              <c:idx val="0"/>
              <c:layout>
                <c:manualLayout>
                  <c:x val="0"/>
                  <c:y val="1.169006711644732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B28-43E2-B57A-15A4FD4BF407}"/>
                </c:ext>
              </c:extLst>
            </c:dLbl>
            <c:dLbl>
              <c:idx val="1"/>
              <c:layout>
                <c:manualLayout>
                  <c:x val="-1.7497812773403325E-3"/>
                  <c:y val="1.0870209531220127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B28-43E2-B57A-15A4FD4BF407}"/>
                </c:ext>
              </c:extLst>
            </c:dLbl>
            <c:dLbl>
              <c:idx val="2"/>
              <c:layout>
                <c:manualLayout>
                  <c:x val="-3.499562554680665E-3"/>
                  <c:y val="1.16900671164472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B28-43E2-B57A-15A4FD4BF407}"/>
                </c:ext>
              </c:extLst>
            </c:dLbl>
            <c:dLbl>
              <c:idx val="3"/>
              <c:layout>
                <c:manualLayout>
                  <c:x val="-2.6246719160104987E-3"/>
                  <c:y val="1.0870209531220127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B28-43E2-B57A-15A4FD4BF407}"/>
                </c:ext>
              </c:extLst>
            </c:dLbl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rgbClr val="FF0000"/>
                    </a:solidFill>
                  </a:defRPr>
                </a:pPr>
                <a:endParaRPr lang="es-A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CAPITAL!$C$27:$N$27</c:f>
              <c:numCache>
                <c:formatCode>_("$"* #,##0.00_);_("$"* \(#,##0.00\);_("$"* "-"??_);_(@_)</c:formatCode>
                <c:ptCount val="12"/>
                <c:pt idx="0">
                  <c:v>2795658</c:v>
                </c:pt>
                <c:pt idx="1">
                  <c:v>3093067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B28-43E2-B57A-15A4FD4BF40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694916095"/>
        <c:axId val="1694916575"/>
      </c:barChart>
      <c:catAx>
        <c:axId val="1694916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694916575"/>
        <c:crosses val="autoZero"/>
        <c:auto val="1"/>
        <c:lblAlgn val="ctr"/>
        <c:lblOffset val="100"/>
        <c:noMultiLvlLbl val="0"/>
      </c:catAx>
      <c:valAx>
        <c:axId val="1694916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  <a:alpha val="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694916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383243433153527"/>
          <c:y val="9.7746310014702326E-2"/>
          <c:w val="5.4900903135139602E-2"/>
          <c:h val="0.1789276563344017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_xlchart.v1.1</cx:f>
      </cx:numDim>
    </cx:data>
  </cx:chartData>
  <cx:chart>
    <cx:plotArea>
      <cx:plotAreaRegion>
        <cx:series layoutId="waterfall" uniqueId="{60D88776-E508-4342-8DCC-AF4B3D198C9A}" formatIdx="0">
          <cx:spPr>
            <a:solidFill>
              <a:srgbClr val="CC6600"/>
            </a:solidFill>
          </cx:spPr>
          <cx:dataId val="0"/>
          <cx:layoutPr>
            <cx:subtotals/>
          </cx:layoutPr>
        </cx:series>
      </cx:plotAreaRegion>
      <cx:axis id="0">
        <cx:catScaling gapWidth="0.550000012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_xlchart.v1.0</cx:f>
      </cx:numDim>
    </cx:data>
  </cx:chartData>
  <cx:chart>
    <cx:plotArea>
      <cx:plotAreaRegion>
        <cx:series layoutId="waterfall" uniqueId="{E3D33E09-BEAC-48A2-AEC1-62B17E23B425}" formatIdx="0">
          <cx:dataId val="0"/>
          <cx:layoutPr>
            <cx:subtotals/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microsoft.com/office/2014/relationships/chartEx" Target="../charts/chartEx2.xml"/><Relationship Id="rId4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1</xdr:row>
      <xdr:rowOff>14287</xdr:rowOff>
    </xdr:from>
    <xdr:to>
      <xdr:col>14</xdr:col>
      <xdr:colOff>962025</xdr:colOff>
      <xdr:row>13</xdr:row>
      <xdr:rowOff>123825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A5905DE6-E6B4-8A6F-C3F4-BAE30B41DF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66674</xdr:colOff>
      <xdr:row>68</xdr:row>
      <xdr:rowOff>33337</xdr:rowOff>
    </xdr:from>
    <xdr:to>
      <xdr:col>10</xdr:col>
      <xdr:colOff>28575</xdr:colOff>
      <xdr:row>82</xdr:row>
      <xdr:rowOff>109537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B4D2666-DF38-C8FA-EC11-239B3F3A4B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76200</xdr:colOff>
      <xdr:row>82</xdr:row>
      <xdr:rowOff>166687</xdr:rowOff>
    </xdr:from>
    <xdr:to>
      <xdr:col>10</xdr:col>
      <xdr:colOff>9525</xdr:colOff>
      <xdr:row>97</xdr:row>
      <xdr:rowOff>52387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21E033F-347F-6270-B4BC-54B60A9075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228600</xdr:colOff>
      <xdr:row>83</xdr:row>
      <xdr:rowOff>4762</xdr:rowOff>
    </xdr:from>
    <xdr:to>
      <xdr:col>14</xdr:col>
      <xdr:colOff>895350</xdr:colOff>
      <xdr:row>97</xdr:row>
      <xdr:rowOff>80962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3E5BBA0F-A81A-F5B9-EB21-D1B4E51507C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582275" y="15863887"/>
              <a:ext cx="4695825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10</xdr:col>
      <xdr:colOff>242887</xdr:colOff>
      <xdr:row>67</xdr:row>
      <xdr:rowOff>185737</xdr:rowOff>
    </xdr:from>
    <xdr:to>
      <xdr:col>14</xdr:col>
      <xdr:colOff>909637</xdr:colOff>
      <xdr:row>82</xdr:row>
      <xdr:rowOff>71437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Gráfico 6">
              <a:extLst>
                <a:ext uri="{FF2B5EF4-FFF2-40B4-BE49-F238E27FC236}">
                  <a16:creationId xmlns:a16="http://schemas.microsoft.com/office/drawing/2014/main" id="{B3B38970-629E-E4B6-F245-7F0D89FF76C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596562" y="12996862"/>
              <a:ext cx="4695825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1</xdr:row>
      <xdr:rowOff>14287</xdr:rowOff>
    </xdr:from>
    <xdr:to>
      <xdr:col>14</xdr:col>
      <xdr:colOff>962025</xdr:colOff>
      <xdr:row>13</xdr:row>
      <xdr:rowOff>123825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D78B2E0-582E-4C63-8EFE-461F5C1E43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INFORMAT\04-05-MAY\cierre_2003_prueba_final\AUXILIARES\archivos%20auxiliares\pablo_2002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evin\Desktop\01.xlsx" TargetMode="External"/><Relationship Id="rId1" Type="http://schemas.openxmlformats.org/officeDocument/2006/relationships/externalLinkPath" Target="/Users/Kevin/Desktop/01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evin\Dropbox\ADMINISTRACION%20G&amp;E%20SA\ACTIVIDADES\AGRICULTURA.xlsx" TargetMode="External"/><Relationship Id="rId1" Type="http://schemas.openxmlformats.org/officeDocument/2006/relationships/externalLinkPath" Target="/Users/Kevin/Dropbox/ADMINISTRACION%20G&amp;E%20SA/ACTIVIDADES/AGRICULTUR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P_EERR"/>
      <sheetName val="EEPN"/>
      <sheetName val="EOAF"/>
      <sheetName val="Anexo A"/>
      <sheetName val="Bal1202-200603"/>
      <sheetName val="Saldos"/>
      <sheetName val="Hoja1"/>
      <sheetName val="Ajustes No Contabilizad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_DINAMICA"/>
      <sheetName val="Hoja2"/>
      <sheetName val="20 10 2022"/>
      <sheetName val="BD_ADM"/>
      <sheetName val="Borrador Ganaderia"/>
      <sheetName val="Borrador Agricultura"/>
      <sheetName val="DIA A DIAvehic asist pagos "/>
      <sheetName val="Walter Medina PAGO"/>
      <sheetName val="Aplicaciones camp 2023 2024"/>
      <sheetName val="DIARIO GRAL"/>
      <sheetName val="MOV HACIENDA"/>
      <sheetName val="Tropa ingresada 30 03 2023 "/>
      <sheetName val="REMITOS INSUMOS"/>
      <sheetName val="ORDEN DE TRABAJO"/>
      <sheetName val="BD COMERCIAL"/>
      <sheetName val="REMITOS"/>
      <sheetName val="LISTAS"/>
      <sheetName val="BORRADOR"/>
      <sheetName val="COMPRA VENTA HACIEND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3">
          <cell r="A3" t="str">
            <v>ADMINISTRACION</v>
          </cell>
          <cell r="O3" t="str">
            <v>PAGADO</v>
          </cell>
          <cell r="S3" t="str">
            <v>A</v>
          </cell>
        </row>
        <row r="4">
          <cell r="O4" t="str">
            <v>PENDIENTE</v>
          </cell>
          <cell r="S4" t="str">
            <v>B</v>
          </cell>
        </row>
        <row r="5">
          <cell r="O5" t="str">
            <v>CONTRATO SOJA</v>
          </cell>
          <cell r="S5" t="str">
            <v>C</v>
          </cell>
        </row>
        <row r="6">
          <cell r="O6" t="str">
            <v>CONTRATO MAIZ</v>
          </cell>
          <cell r="S6" t="str">
            <v>X</v>
          </cell>
        </row>
        <row r="7">
          <cell r="S7" t="str">
            <v>NOTA DE DEBITO</v>
          </cell>
        </row>
      </sheetData>
      <sheetData sheetId="17" refreshError="1"/>
      <sheetData sheetId="1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RICULTURA"/>
      <sheetName val="FACTURAS"/>
      <sheetName val="REMITO_INSUMOS"/>
      <sheetName val="REMITO_SEMILLAS"/>
      <sheetName val="REMITO_COSECHA"/>
      <sheetName val="LISTAS (2)"/>
      <sheetName val="LISTA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vin" refreshedDate="46078.379219212962" createdVersion="8" refreshedVersion="8" minRefreshableVersion="3" recordCount="349" xr:uid="{777AA83C-B1EE-4C92-8F11-6EE859611451}">
  <cacheSource type="worksheet">
    <worksheetSource name="Tabla3"/>
  </cacheSource>
  <cacheFields count="23">
    <cacheField name="PERIODO" numFmtId="166">
      <sharedItems containsBlank="1" count="13">
        <s v="ENERO"/>
        <s v="FEBRERO"/>
        <m u="1"/>
        <s v="MARZO" u="1"/>
        <s v="ABRIL" u="1"/>
        <s v="MAYO" u="1"/>
        <s v="JUNIO" u="1"/>
        <s v="JULIO" u="1"/>
        <s v="AGOSTO" u="1"/>
        <s v="SEPTIEMBRE" u="1"/>
        <s v="OCTUBRE" u="1"/>
        <s v="NOVIEMBRE" u="1"/>
        <s v="DICIEMBRE" u="1"/>
      </sharedItems>
    </cacheField>
    <cacheField name="FECHA" numFmtId="166">
      <sharedItems containsSemiMixedTypes="0" containsNonDate="0" containsDate="1" containsString="0" minDate="2026-01-02T00:00:00" maxDate="2026-02-25T00:00:00"/>
    </cacheField>
    <cacheField name="DESCRIPCION" numFmtId="0">
      <sharedItems/>
    </cacheField>
    <cacheField name="N DE REFERENCIA" numFmtId="0">
      <sharedItems containsBlank="1"/>
    </cacheField>
    <cacheField name="EGRESOS" numFmtId="44">
      <sharedItems containsSemiMixedTypes="0" containsString="0" containsNumber="1" minValue="0" maxValue="50750000"/>
    </cacheField>
    <cacheField name="INGRESOS" numFmtId="44">
      <sharedItems containsSemiMixedTypes="0" containsString="0" containsNumber="1" minValue="0" maxValue="64686741.090000004"/>
    </cacheField>
    <cacheField name="SALDO" numFmtId="44">
      <sharedItems containsSemiMixedTypes="0" containsString="0" containsNumber="1" minValue="-64686741.090000004" maxValue="50750000"/>
    </cacheField>
    <cacheField name="SALDO BANCO" numFmtId="44">
      <sharedItems containsString="0" containsBlank="1" containsNumber="1" minValue="-21980569.109999999" maxValue="27095850.420000002"/>
    </cacheField>
    <cacheField name="TC" numFmtId="44">
      <sharedItems containsSemiMixedTypes="0" containsString="0" containsNumber="1" containsInteger="1" minValue="1450" maxValue="1450"/>
    </cacheField>
    <cacheField name="EGRES USD" numFmtId="165">
      <sharedItems containsSemiMixedTypes="0" containsString="0" containsNumber="1" minValue="0" maxValue="35000"/>
    </cacheField>
    <cacheField name="INGRES USD" numFmtId="165">
      <sharedItems containsSemiMixedTypes="0" containsString="0" containsNumber="1" minValue="0" maxValue="44611.545579310347"/>
    </cacheField>
    <cacheField name="MONEDA" numFmtId="0">
      <sharedItems/>
    </cacheField>
    <cacheField name="CUENTA" numFmtId="0">
      <sharedItems/>
    </cacheField>
    <cacheField name="BANCO" numFmtId="0">
      <sharedItems/>
    </cacheField>
    <cacheField name="ACTIVIDAD" numFmtId="0">
      <sharedItems containsBlank="1" count="11">
        <s v="ADMINISTRACION"/>
        <s v="FINANCIERA"/>
        <s v="AGRICULTURA"/>
        <s v="ESTRUCTURA"/>
        <s v="GANADERIA"/>
        <m u="1"/>
        <s v="FINANICERA" u="1"/>
        <s v="OTROS" u="1"/>
        <s v="ESTABLECIMIENTO" u="1"/>
        <s v="GANADERIA " u="1"/>
        <s v="ADD" u="1"/>
      </sharedItems>
    </cacheField>
    <cacheField name="RUBRO" numFmtId="0">
      <sharedItems containsBlank="1" count="37">
        <s v="GASTOS_BANC"/>
        <s v="SOCIOS"/>
        <s v="INTERBANKING"/>
        <s v="GASTOS_FIN"/>
        <s v="AMORT. CREDITOS"/>
        <s v="CULT. PRINCIPAL"/>
        <s v="CREDITOS"/>
        <s v="TERCEROS"/>
        <s v="VEHICULOS"/>
        <s v="COSTOS_OP"/>
        <s v="ESTABLECIMIENTO"/>
        <s v="MAQUINARIAS"/>
        <s v="PERSONAL"/>
        <s v="GASTOS_ADM"/>
        <s v="CULT. COBERTURA"/>
        <m u="1"/>
        <s v="CULT PRINCIPAL" u="1"/>
        <s v="SOCIAL" u="1"/>
        <s v="PERROS" u="1"/>
        <s v="GASTOS_OF" u="1"/>
        <s v="COMPRA TERN" u="1"/>
        <s v="OVEJAS" u="1"/>
        <s v="VARIOS" u="1"/>
        <s v="INSUMOS" u="1"/>
        <s v="AJUSTES" u="1"/>
        <s v="VENTAS NOV" u="1"/>
        <s v="REGALO" u="1"/>
        <s v="INVERSIONES" u="1"/>
        <s v="CHANCHOS" u="1"/>
        <s v="HONORARIOS" u="1"/>
        <s v="CONSEJO CS EC" u="1"/>
        <s v="COMPRA" u="1"/>
        <s v="VENTAS" u="1"/>
        <s v="IVA" u="1"/>
        <s v="ALIMENTO" u="1"/>
        <s v="PLAN DE PAGOS" u="1"/>
        <s v="AYUDA SOCIAL" u="1"/>
      </sharedItems>
    </cacheField>
    <cacheField name="CONCEPTO" numFmtId="0">
      <sharedItems containsBlank="1" count="134">
        <s v="COMISIONES"/>
        <s v="IMPUESTOS"/>
        <s v="RETIRO"/>
        <s v="TRANSF. PROPIAS"/>
        <s v="INTERESES "/>
        <s v="CUOTA 1"/>
        <s v="SOJA"/>
        <s v="6 MESES"/>
        <s v="DEVOLUCION"/>
        <s v="PRESTAMO DE 1.5 M"/>
        <s v="PRESTAMO DE 5M"/>
        <m/>
        <s v="COMBUSTIBLE"/>
        <s v="PANADERIA"/>
        <s v="DUSTER"/>
        <s v="FERRETERIA"/>
        <s v="VETERINARIA"/>
        <s v="CORRALES"/>
        <s v="ASESORAMIENTO"/>
        <s v="SERVICIOS"/>
        <s v="APORTES"/>
        <s v="CUOTA 2"/>
        <s v="MICHIGAN"/>
        <s v="JORNALES"/>
        <s v="SUELDO"/>
        <s v="MANTENIMIENTO"/>
        <s v="ALFALFA"/>
        <s v="REPARACIONES"/>
        <s v="CONSTRUCCION"/>
        <s v="MANI"/>
        <s v="HILUX"/>
        <s v="PLAN DE PAGOS"/>
        <s v="SUPERMERCADO"/>
        <s v="SEGUROS"/>
        <s v="PRESTAMO"/>
        <s v="SALDO A FAVOR DEVUELTO"/>
        <s v="REPUESTOS"/>
        <s v="MAIZ"/>
        <s v="LABORATORIO"/>
        <s v="CANJE 90TN SOJA"/>
        <s v="GUIAS"/>
        <s v="F931" u="1"/>
        <s v="A CTA DE HONORARIOS" u="1"/>
        <s v="INSUMOS" u="1"/>
        <s v="VARIOS" u="1"/>
        <s v="AYUDA SOCIAL" u="1"/>
        <s v="PAMPA 6 MESES" u="1"/>
        <s v="CUOTA 1 PAMPA" u="1"/>
        <s v="CUOTA 2 PAMPA" u="1"/>
        <s v="CUOTA 3 PAMPA" u="1"/>
        <s v="CUOTA 4 PAMPA" u="1"/>
        <s v="CUOTA 5 PAMPA" u="1"/>
        <s v="CUOTA 6 PAMPA" u="1"/>
        <s v="JUDICIAL" u="1"/>
        <s v="FLETES" u="1"/>
        <s v="CUOTA NACION" u="1"/>
        <s v="RETIROS" u="1"/>
        <s v="CREDITO SGR" u="1"/>
        <s v="CREDITO NACION" u="1"/>
        <s v="TARJETA AGRONACION" u="1"/>
        <s v="TARJETA CORPORATIVA" u="1"/>
        <s v="PILETA" u="1"/>
        <s v="ALIMENTOS" u="1"/>
        <s v="CANCELACION GALICIA" u="1"/>
        <s v="GALICIA A SOLA FIRMA 6MESES" u="1"/>
        <s v="COMBUSTIBLES" u="1"/>
        <s v="REPARACIONES " u="1"/>
        <s v="SEMBRADORA" u="1"/>
        <s v="CUOTA 1- 203 TERNEROS" u="1"/>
        <s v="GALICIA A SOLA FIRMA 1 AÑO " u="1"/>
        <s v="CANCELACION" u="1"/>
        <s v="ESQUILADO" u="1"/>
        <s v="ALIMENTACION" u="1"/>
        <s v="GALICIA A SOLA FIRMA 3MESES" u="1"/>
        <s v="ESCRIBANA" u="1"/>
        <s v="JOHN DEERE" u="1"/>
        <s v="MACRO A SOLA FIRMA " u="1"/>
        <s v="LUBRICANTES" u="1"/>
        <s v="HONORARIOS" u="1"/>
        <s v="IVA" u="1"/>
        <s v="SALDO RECUPERO" u="1"/>
        <s v="39 NOVILLOS" u="1"/>
        <s v="A KVIN POR CUMPLE" u="1"/>
        <s v="PRESTAMOS" u="1"/>
        <s v="CONTRATO FW 90 TN" u="1"/>
        <s v="SUSCRIPCION" u="1"/>
        <s v="RESCATE" u="1"/>
        <s v="CUOTA 1- 68 TERNEROS" u="1"/>
        <s v="CERTIFICACIONES" u="1"/>
        <s v="38 NOVILLOS" u="1"/>
        <s v="A CTA DE JUBILACION" u="1"/>
        <s v="INDUMENTARIA" u="1"/>
        <s v="SUPLEMENTOS" u="1"/>
        <s v="CANCELACION MACRO USD" u="1"/>
        <s v="CUOTA 2- 68 TERNEROS" u="1"/>
        <s v="CUOTA 1- 63+17 TERNEROS" u="1"/>
        <s v="CUOTA 1- 25+55 TERNEROS" u="1"/>
        <s v="53 NOVILLOS" u="1"/>
        <s v="CUOTA 1- 22+43 TERNEROS" u="1"/>
        <s v="CUOTA 2- 203 TERNEROS" u="1"/>
        <s v="CONTRATO FW 120 TN" u="1"/>
        <s v="CUOTA 2- 43 TERNEROS" u="1"/>
        <s v="CUOTA 2- 160 TENERNOS" u="1"/>
        <s v="CREDITO MACRO USD" u="1"/>
        <s v="CONTADORA" u="1"/>
        <s v="40MIL USD VTO 30/07/26" u="1"/>
        <s v="MACRO USD" u="1"/>
        <s v="GIRASOL" u="1"/>
        <s v="APORTES (EN REALIDAD EL DEVUELVE)" u="1"/>
        <s v="ALQUILER" u="1"/>
        <s v="ARTICULOS KIOSCO" u="1"/>
        <s v="OTROS" u="1"/>
        <s v="TRAMITES" u="1"/>
        <s v="CALEFACCION" u="1"/>
        <s v="CONTABLE" u="1"/>
        <s v="APROBACION ACTAS" u="1"/>
        <s v="TASA MUNICIPAL" u="1"/>
        <s v="RECIBIDOS" u="1"/>
        <s v="52 NOVILLOS" u="1"/>
        <s v="CUOTA 1-63+17 TERNEROS" u="1"/>
        <s v="PERROS" u="1"/>
        <s v="CONTRATO FW" u="1"/>
        <s v="CONTRATO MANI" u="1"/>
        <s v="HACIENDA" u="1"/>
        <s v="CUOTA 21 PAMPA" u="1"/>
        <s v="COSECHA" u="1"/>
        <s v="SIEMBRA" u="1"/>
        <s v="APLICACIONES" u="1"/>
        <s v="ENTRE CUENTAS" u="1"/>
        <s v="GASTOS VARIOS" u="1"/>
        <s v="DSMLZ, MICHIGAN" u="1"/>
        <s v="VIAJES O VIATICOS" u="1"/>
        <s v="OTORGADO" u="1"/>
        <s v=" MICHIGAN" u="1"/>
      </sharedItems>
    </cacheField>
    <cacheField name="DETALLES" numFmtId="0">
      <sharedItems containsBlank="1"/>
    </cacheField>
    <cacheField name="PROVEEDOR CLIENTE" numFmtId="0">
      <sharedItems containsBlank="1"/>
    </cacheField>
    <cacheField name="FACTURA" numFmtId="0">
      <sharedItems containsBlank="1"/>
    </cacheField>
    <cacheField name="RDS" numFmtId="0">
      <sharedItems containsBlank="1" count="81">
        <s v="05. GASTOS_ADM"/>
        <s v="12. UTILIDADES CLAUDIA"/>
        <s v="06. COMPENSATORIOS"/>
        <s v="17. CANC CREDITO SGR"/>
        <s v="16. INGRESOS AGROPECUARIOS"/>
        <s v="19. CANCELACION CREDITO PAMPA"/>
        <s v="20. TERCEROS"/>
        <s v="15. APORTE SOCIO RAUL"/>
        <s v="13. UTILIDADES ADL MONICA"/>
        <s v="14. A CTA DE HONORARIOS RAUL"/>
        <s v="18. CANC CREDITO GALICIA"/>
        <s v="02. FACT PAGADAS 26"/>
        <s v="08. FLETES"/>
        <s v="10. SUELDOS Y JORNALES"/>
        <s v="01. FACT PAGADAS 25"/>
        <s v="04. CREDITOS"/>
        <s v="07. GASTOS_ESTRUCTURA"/>
        <s v="09. SERVICIOS SOCIALES"/>
        <m u="1"/>
        <s v="17. TERCEROS" u="1"/>
        <s v="20. A CTA DE HONORARIOS" u="1"/>
        <s v="15. INGRESOS AGROPECUARIOS" u="1"/>
        <s v="UTILIDADES ADL " u="1"/>
        <s v="02. FACT PAGADAS 25" u="1"/>
        <s v="16. APORTE SOCIO RAUL" u="1"/>
        <s v="06. GASTOS_ESTRUCTURA" u="1"/>
        <s v="01. FACT PAGADAS 24" u="1"/>
        <s v="04. SIN FACTURA 25" u="1"/>
        <s v="03. SIN FACTURA 24" u="1"/>
        <s v="08. CREDITOS" u="1"/>
        <s v="18. CANC PARCIAL CREDITO PAMPA" u="1"/>
        <s v="07. CANC PRESTAMO 2023" u="1"/>
        <s v="13. UTILIDADES MONICA" u="1"/>
        <s v="16. APORTE SOCIO CLAUDIA" u="1"/>
        <s v="22. CANC CREDITO NACION " u="1"/>
        <s v="22. COSTOS GANADEROS" u="1"/>
        <s v="09. PLAN DE PAGOS RENTAS CUOTA 2" u="1"/>
        <s v="19. AJUSTES" u="1"/>
        <s v="15. INGRESOS GANADEROS" u="1"/>
        <s v="21. INVERSIONES" u="1"/>
        <s v="23. CANCELACION FOWARD 90TN" u="1"/>
        <s v="19. CANC CREDITO MACRO USD" u="1"/>
        <s v="24. CANCELACION FOWARD 120TN" u="1"/>
        <s v="02. FACT PAGADAS 24" u="1"/>
        <s v="11. DEVOLUCIONES RAUL" u="1"/>
        <s v="14. UTILIDADES RAUL" u="1"/>
        <s v="15. TERCEROS" u="1"/>
        <s v="17. CANC CREDITO GALICIA" u="1"/>
        <s v="16. INGRESOS GANADEROS" u="1"/>
        <s v="16. APORTE SOCIO" u="1"/>
        <s v="10. SUELDOS" u="1"/>
        <s v="15. INGRESOS AGROPECUARIO" u="1"/>
        <s v="6. COMPENSATORIOS" u="1"/>
        <s v="5. GASTOS_ADM" u="1"/>
        <s v="4. SIN FACTURA 25" u="1"/>
        <s v="3. SIN FACTURA 24" u="1"/>
        <s v="7. CANC PRESTAMO 2023" u="1"/>
        <s v="9. PLAN DE PAGOS RENTAS CUOTA 2" u="1"/>
        <s v="8. CREDITOS" u="1"/>
        <s v="2. FACT PAGADAS 25" u="1"/>
        <s v="1. FACT PAGADAS 24" u="1"/>
        <s v="COMPENSATORIOS" u="1"/>
        <s v="GASTOS_ADM" u="1"/>
        <s v="DEVOLUCIONES RAUL" u="1"/>
        <s v="SUELDOS" u="1"/>
        <s v="UTILIDADES RAUL" u="1"/>
        <s v="FACT PAGADAS 25" u="1"/>
        <s v="SIN FACTURA 25" u="1"/>
        <s v="UTILIDADES CLAUDIA" u="1"/>
        <s v="SIN FACTURA 24" u="1"/>
        <s v="CANC PRESTAMO 2023" u="1"/>
        <s v="FACT PAGADAS 24" u="1"/>
        <s v="UTILIDADES MONICA" u="1"/>
        <s v="PLAN DE PAGOS RENTAS CUOTA 2" u="1"/>
        <s v="CREDITOS" u="1"/>
        <s v="SIN FACT 25" u="1"/>
        <s v="FUTURAS UTILIDADES MONICA" u="1"/>
        <s v="FUTURAS UTILIDADES" u="1"/>
        <s v="PLAN DE PAGOS RENTAS" u="1"/>
        <s v="SIN FACT 24" u="1"/>
        <s v="FACT PAGADA 24" u="1"/>
      </sharedItems>
    </cacheField>
    <cacheField name="SOCIO" numFmtId="0">
      <sharedItems containsBlank="1"/>
    </cacheField>
    <cacheField name="CAMPAÑA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9">
  <r>
    <x v="0"/>
    <d v="2026-01-02T00:00:00"/>
    <s v="COMISION PAQUETES"/>
    <m/>
    <n v="50000"/>
    <n v="0"/>
    <n v="50000"/>
    <n v="-8712582.8100000005"/>
    <n v="1450"/>
    <n v="34.482758620689658"/>
    <n v="0"/>
    <s v="ARS"/>
    <s v="CC"/>
    <s v="NACION"/>
    <x v="0"/>
    <x v="0"/>
    <x v="0"/>
    <m/>
    <m/>
    <m/>
    <x v="0"/>
    <m/>
    <s v="25/26"/>
  </r>
  <r>
    <x v="0"/>
    <d v="2026-01-02T00:00:00"/>
    <s v="I.V.A. BASE"/>
    <m/>
    <n v="10500"/>
    <n v="0"/>
    <n v="10500"/>
    <n v="-8716463.6099999994"/>
    <n v="1450"/>
    <n v="7.2413793103448274"/>
    <n v="0"/>
    <s v="ARS"/>
    <s v="CC"/>
    <s v="NACION"/>
    <x v="0"/>
    <x v="0"/>
    <x v="1"/>
    <s v="DEBITO IVA FISCAL"/>
    <m/>
    <m/>
    <x v="0"/>
    <m/>
    <s v="25/26"/>
  </r>
  <r>
    <x v="0"/>
    <d v="2026-01-02T00:00:00"/>
    <s v="RETEN. I.V.A. RG.2408"/>
    <m/>
    <n v="1500"/>
    <n v="0"/>
    <n v="1500"/>
    <n v="-8720344.4100000001"/>
    <n v="1450"/>
    <n v="1.0344827586206897"/>
    <n v="0"/>
    <s v="ARS"/>
    <s v="CC"/>
    <s v="NACION"/>
    <x v="0"/>
    <x v="0"/>
    <x v="1"/>
    <s v="RETENCIONES"/>
    <m/>
    <m/>
    <x v="0"/>
    <m/>
    <s v="25/26"/>
  </r>
  <r>
    <x v="0"/>
    <d v="2026-01-02T00:00:00"/>
    <s v="GRAVAMEN LEY 25413 S/DEB"/>
    <m/>
    <n v="300"/>
    <n v="0"/>
    <n v="300"/>
    <n v="-8724225.2100000009"/>
    <n v="1450"/>
    <n v="0.20689655172413793"/>
    <n v="0"/>
    <s v="ARS"/>
    <s v="CC"/>
    <s v="NACION"/>
    <x v="0"/>
    <x v="0"/>
    <x v="1"/>
    <s v="TASA GENERAL"/>
    <m/>
    <m/>
    <x v="0"/>
    <m/>
    <s v="25/26"/>
  </r>
  <r>
    <x v="0"/>
    <d v="2026-01-02T00:00:00"/>
    <s v="GRAVAMEN LEY 25413 S/DEB"/>
    <m/>
    <n v="63"/>
    <n v="0"/>
    <n v="63"/>
    <n v="-8728106.0099999998"/>
    <n v="1450"/>
    <n v="4.3448275862068966E-2"/>
    <n v="0"/>
    <s v="ARS"/>
    <s v="CC"/>
    <s v="NACION"/>
    <x v="0"/>
    <x v="0"/>
    <x v="1"/>
    <s v="TASA GENERAL"/>
    <m/>
    <m/>
    <x v="0"/>
    <m/>
    <s v="25/26"/>
  </r>
  <r>
    <x v="0"/>
    <d v="2026-01-02T00:00:00"/>
    <s v="GRAVAMEN LEY 25413 S/DEB"/>
    <m/>
    <n v="9"/>
    <n v="0"/>
    <n v="9"/>
    <n v="-8731986.8100000005"/>
    <n v="1450"/>
    <n v="6.2068965517241377E-3"/>
    <n v="0"/>
    <s v="ARS"/>
    <s v="CC"/>
    <s v="NACION"/>
    <x v="0"/>
    <x v="0"/>
    <x v="1"/>
    <s v="TASA GENERAL"/>
    <m/>
    <m/>
    <x v="0"/>
    <m/>
    <s v="25/26"/>
  </r>
  <r>
    <x v="0"/>
    <d v="2026-01-14T00:00:00"/>
    <s v="DEB.TRAN.INTERB"/>
    <m/>
    <n v="600000"/>
    <n v="0"/>
    <n v="600000"/>
    <n v="-8735867.6099999994"/>
    <n v="1450"/>
    <n v="413.79310344827587"/>
    <n v="0"/>
    <s v="ARS"/>
    <s v="CC"/>
    <s v="NACION"/>
    <x v="0"/>
    <x v="1"/>
    <x v="2"/>
    <m/>
    <s v="CLAUDIA ERRECALDE"/>
    <m/>
    <x v="1"/>
    <s v="CLAUDIA"/>
    <s v="25/26"/>
  </r>
  <r>
    <x v="0"/>
    <d v="2026-01-14T00:00:00"/>
    <s v="GRAVAMEN LEY 25413 S/DEB"/>
    <m/>
    <n v="3600"/>
    <n v="0"/>
    <n v="3600"/>
    <n v="-8739748.4100000001"/>
    <n v="1450"/>
    <n v="2.4827586206896552"/>
    <n v="0"/>
    <s v="ARS"/>
    <s v="CC"/>
    <s v="NACION"/>
    <x v="0"/>
    <x v="0"/>
    <x v="1"/>
    <s v="TASA GENERAL"/>
    <m/>
    <m/>
    <x v="0"/>
    <m/>
    <s v="25/26"/>
  </r>
  <r>
    <x v="0"/>
    <d v="2026-01-15T00:00:00"/>
    <s v="CRED BE O BCO-MIS TIT IBK - CUIT/CUIL: 30708920882"/>
    <m/>
    <n v="0"/>
    <n v="2700000"/>
    <n v="-2700000"/>
    <n v="71294.17"/>
    <n v="1450"/>
    <n v="0"/>
    <n v="1862.0689655172414"/>
    <s v="ARS"/>
    <s v="CC"/>
    <s v="NACION"/>
    <x v="1"/>
    <x v="2"/>
    <x v="3"/>
    <s v="DESDE CC MACRO"/>
    <m/>
    <m/>
    <x v="2"/>
    <m/>
    <s v="24/25"/>
  </r>
  <r>
    <x v="0"/>
    <d v="2026-01-27T00:00:00"/>
    <s v="INTERESES"/>
    <m/>
    <n v="19690.77"/>
    <n v="0"/>
    <n v="19690.77"/>
    <m/>
    <n v="1450"/>
    <n v="13.579841379310345"/>
    <n v="0"/>
    <s v="ARS"/>
    <s v="CC"/>
    <s v="NACION"/>
    <x v="0"/>
    <x v="3"/>
    <x v="4"/>
    <m/>
    <m/>
    <m/>
    <x v="0"/>
    <m/>
    <s v="25/26"/>
  </r>
  <r>
    <x v="0"/>
    <d v="2026-01-27T00:00:00"/>
    <s v="INTERESES"/>
    <m/>
    <n v="38029.83"/>
    <n v="0"/>
    <n v="38029.83"/>
    <m/>
    <n v="1450"/>
    <n v="26.227468965517243"/>
    <n v="0"/>
    <s v="ARS"/>
    <s v="CC"/>
    <s v="NACION"/>
    <x v="0"/>
    <x v="3"/>
    <x v="4"/>
    <m/>
    <m/>
    <m/>
    <x v="0"/>
    <m/>
    <s v="25/26"/>
  </r>
  <r>
    <x v="0"/>
    <d v="2026-01-27T00:00:00"/>
    <s v="INTERESES"/>
    <m/>
    <n v="5622.29"/>
    <n v="0"/>
    <n v="5622.29"/>
    <m/>
    <n v="1450"/>
    <n v="3.8774413793103446"/>
    <n v="0"/>
    <s v="ARS"/>
    <s v="CC"/>
    <s v="NACION"/>
    <x v="0"/>
    <x v="3"/>
    <x v="4"/>
    <m/>
    <m/>
    <m/>
    <x v="0"/>
    <m/>
    <s v="25/26"/>
  </r>
  <r>
    <x v="0"/>
    <d v="2026-01-27T00:00:00"/>
    <s v="GRAVAMEN LEY 25413 S/DEB"/>
    <m/>
    <n v="118.14"/>
    <n v="0"/>
    <n v="118.14"/>
    <m/>
    <n v="1450"/>
    <n v="8.1475862068965524E-2"/>
    <n v="0"/>
    <s v="ARS"/>
    <s v="CC"/>
    <s v="NACION"/>
    <x v="0"/>
    <x v="0"/>
    <x v="1"/>
    <s v="TASA GENERAL"/>
    <m/>
    <m/>
    <x v="0"/>
    <m/>
    <s v="25/26"/>
  </r>
  <r>
    <x v="0"/>
    <d v="2026-01-27T00:00:00"/>
    <s v="GRAVAMEN LEY 25413 S/DEB"/>
    <m/>
    <n v="228.18"/>
    <n v="0"/>
    <n v="228.18"/>
    <m/>
    <n v="1450"/>
    <n v="0.15736551724137932"/>
    <n v="0"/>
    <s v="ARS"/>
    <s v="CC"/>
    <s v="NACION"/>
    <x v="0"/>
    <x v="0"/>
    <x v="1"/>
    <s v="TASA GENERAL"/>
    <m/>
    <m/>
    <x v="0"/>
    <m/>
    <s v="25/26"/>
  </r>
  <r>
    <x v="0"/>
    <d v="2026-01-27T00:00:00"/>
    <s v="GRAVAMEN LEY 25413 S/DEB"/>
    <m/>
    <n v="33.729999999999997"/>
    <n v="0"/>
    <n v="33.729999999999997"/>
    <n v="7571.23"/>
    <n v="1450"/>
    <n v="2.3262068965517239E-2"/>
    <n v="0"/>
    <s v="ARS"/>
    <s v="CC"/>
    <s v="NACION"/>
    <x v="0"/>
    <x v="0"/>
    <x v="1"/>
    <s v="TASA GENERAL"/>
    <m/>
    <m/>
    <x v="0"/>
    <m/>
    <s v="25/26"/>
  </r>
  <r>
    <x v="0"/>
    <d v="2026-01-08T00:00:00"/>
    <s v="GRAVAMEN LEY 25413 S/DEB"/>
    <m/>
    <n v="296.56"/>
    <n v="0"/>
    <n v="296.56"/>
    <m/>
    <n v="1450"/>
    <n v="0.20452413793103449"/>
    <n v="0"/>
    <s v="ARS"/>
    <s v="CC"/>
    <s v="NACION"/>
    <x v="0"/>
    <x v="0"/>
    <x v="1"/>
    <s v="TASA GENERAL"/>
    <m/>
    <m/>
    <x v="0"/>
    <m/>
    <s v="25/26"/>
  </r>
  <r>
    <x v="0"/>
    <d v="2026-01-28T00:00:00"/>
    <s v="PM/TOT. RES. AGRONACION"/>
    <m/>
    <n v="49426.18"/>
    <n v="0"/>
    <n v="49426.18"/>
    <n v="-42151.1"/>
    <n v="1450"/>
    <n v="34.087020689655169"/>
    <n v="0"/>
    <s v="ARS"/>
    <s v="CC"/>
    <s v="NACION"/>
    <x v="0"/>
    <x v="0"/>
    <x v="0"/>
    <m/>
    <m/>
    <m/>
    <x v="0"/>
    <m/>
    <s v="25/26"/>
  </r>
  <r>
    <x v="1"/>
    <d v="2026-02-02T00:00:00"/>
    <s v="COMISION PAQUETES"/>
    <m/>
    <n v="50000"/>
    <n v="0"/>
    <n v="50000"/>
    <m/>
    <n v="1450"/>
    <n v="34.482758620689658"/>
    <n v="0"/>
    <s v="ARS"/>
    <s v="CC"/>
    <s v="NACION"/>
    <x v="0"/>
    <x v="0"/>
    <x v="0"/>
    <m/>
    <m/>
    <m/>
    <x v="0"/>
    <m/>
    <s v="25/26"/>
  </r>
  <r>
    <x v="1"/>
    <d v="2026-02-02T00:00:00"/>
    <s v="I.V.A. BASE"/>
    <m/>
    <n v="10500"/>
    <n v="0"/>
    <n v="10500"/>
    <m/>
    <n v="1450"/>
    <n v="7.2413793103448274"/>
    <n v="0"/>
    <s v="ARS"/>
    <s v="CC"/>
    <s v="NACION"/>
    <x v="0"/>
    <x v="0"/>
    <x v="1"/>
    <s v="DEBITO IVA FISCAL"/>
    <m/>
    <m/>
    <x v="0"/>
    <m/>
    <s v="25/26"/>
  </r>
  <r>
    <x v="1"/>
    <d v="2026-02-02T00:00:00"/>
    <s v="RETEN. I.V.A. RG.2408"/>
    <m/>
    <n v="1500"/>
    <n v="0"/>
    <n v="1500"/>
    <m/>
    <n v="1450"/>
    <n v="1.0344827586206897"/>
    <n v="0"/>
    <s v="ARS"/>
    <s v="CC"/>
    <s v="NACION"/>
    <x v="0"/>
    <x v="0"/>
    <x v="1"/>
    <s v="RETENCIONES"/>
    <m/>
    <m/>
    <x v="0"/>
    <m/>
    <s v="25/26"/>
  </r>
  <r>
    <x v="1"/>
    <d v="2026-02-02T00:00:00"/>
    <s v="GRAVAMEN LEY 25413 S/DEB"/>
    <m/>
    <n v="300"/>
    <n v="0"/>
    <n v="300"/>
    <m/>
    <n v="1450"/>
    <n v="0.20689655172413793"/>
    <n v="0"/>
    <s v="ARS"/>
    <s v="CC"/>
    <s v="NACION"/>
    <x v="0"/>
    <x v="0"/>
    <x v="1"/>
    <s v="TASA GENERAL"/>
    <m/>
    <m/>
    <x v="0"/>
    <m/>
    <s v="25/26"/>
  </r>
  <r>
    <x v="1"/>
    <d v="2026-02-02T00:00:00"/>
    <s v="GRAVAMEN LEY 25413 S/DEB"/>
    <m/>
    <n v="63"/>
    <n v="0"/>
    <n v="63"/>
    <m/>
    <n v="1450"/>
    <n v="4.3448275862068966E-2"/>
    <n v="0"/>
    <s v="ARS"/>
    <s v="CC"/>
    <s v="NACION"/>
    <x v="0"/>
    <x v="0"/>
    <x v="1"/>
    <s v="TASA GENERAL"/>
    <m/>
    <m/>
    <x v="0"/>
    <m/>
    <s v="25/26"/>
  </r>
  <r>
    <x v="1"/>
    <d v="2026-02-02T00:00:00"/>
    <s v="GRAVAMEN LEY 25413 S/DEB"/>
    <m/>
    <n v="9"/>
    <n v="0"/>
    <n v="9"/>
    <n v="-104523.51"/>
    <n v="1450"/>
    <n v="6.2068965517241377E-3"/>
    <n v="0"/>
    <s v="ARS"/>
    <s v="CC"/>
    <s v="NACION"/>
    <x v="0"/>
    <x v="0"/>
    <x v="1"/>
    <s v="TASA GENERAL"/>
    <m/>
    <m/>
    <x v="0"/>
    <m/>
    <s v="25/26"/>
  </r>
  <r>
    <x v="1"/>
    <d v="2026-02-04T00:00:00"/>
    <s v="CRED BE O BCO-MIS TIT IBK - CUIT/CUIL: 30708920882"/>
    <s v="-"/>
    <n v="0"/>
    <n v="150000"/>
    <n v="-150000"/>
    <n v="45476.49"/>
    <n v="1450"/>
    <n v="0"/>
    <n v="103.44827586206897"/>
    <s v="ARS"/>
    <s v="CC"/>
    <s v="NACION"/>
    <x v="1"/>
    <x v="2"/>
    <x v="3"/>
    <s v="DESDE CC MACRO"/>
    <m/>
    <m/>
    <x v="2"/>
    <m/>
    <s v="24/25"/>
  </r>
  <r>
    <x v="1"/>
    <d v="2026-02-09T00:00:00"/>
    <s v="CRED BE O BCO-MIS TIT IBK - CUIT/CUIL: 30708920882"/>
    <m/>
    <n v="0"/>
    <n v="30000000"/>
    <n v="-30000000"/>
    <m/>
    <n v="1450"/>
    <n v="0"/>
    <n v="20689.655172413793"/>
    <s v="ARS"/>
    <s v="CC"/>
    <s v="NACION"/>
    <x v="1"/>
    <x v="2"/>
    <x v="3"/>
    <s v="DESDE CC MACRO"/>
    <m/>
    <m/>
    <x v="2"/>
    <m/>
    <s v="25/26"/>
  </r>
  <r>
    <x v="1"/>
    <d v="2026-02-09T00:00:00"/>
    <s v="CRED BE O BCO-MIS TIT IBK - CUIT/CUIL: 30708920882"/>
    <m/>
    <n v="0"/>
    <n v="1700000"/>
    <n v="-1700000"/>
    <m/>
    <n v="1450"/>
    <n v="0"/>
    <n v="1172.4137931034484"/>
    <s v="ARS"/>
    <s v="CC"/>
    <s v="NACION"/>
    <x v="1"/>
    <x v="2"/>
    <x v="3"/>
    <s v="DESDE CC GALICIA"/>
    <m/>
    <m/>
    <x v="2"/>
    <m/>
    <s v="25/26"/>
  </r>
  <r>
    <x v="1"/>
    <d v="2026-02-09T00:00:00"/>
    <s v="TRANSF.INTER.MMO.TITULAR - CUIT/CUIL: 30708920882"/>
    <m/>
    <n v="0"/>
    <n v="19500000"/>
    <n v="-19500000"/>
    <m/>
    <n v="1450"/>
    <n v="0"/>
    <n v="13448.275862068966"/>
    <s v="ARS"/>
    <s v="CC"/>
    <s v="NACION"/>
    <x v="1"/>
    <x v="2"/>
    <x v="3"/>
    <s v="DESDE CC PAMPA"/>
    <m/>
    <m/>
    <x v="2"/>
    <m/>
    <s v="25/26"/>
  </r>
  <r>
    <x v="1"/>
    <d v="2026-02-09T00:00:00"/>
    <s v="CRED BE O BCO-MIS TIT IBK - CUIT/CUIL: 30708920882"/>
    <m/>
    <n v="0"/>
    <n v="3500000"/>
    <n v="-3500000"/>
    <m/>
    <n v="1450"/>
    <n v="0"/>
    <n v="2413.7931034482758"/>
    <s v="ARS"/>
    <s v="CC"/>
    <s v="NACION"/>
    <x v="1"/>
    <x v="2"/>
    <x v="3"/>
    <s v="DESDE CC MACRO"/>
    <m/>
    <m/>
    <x v="2"/>
    <m/>
    <s v="25/26"/>
  </r>
  <r>
    <x v="1"/>
    <d v="2026-02-09T00:00:00"/>
    <s v="CPRA.VTA.NO GRAVADA"/>
    <m/>
    <n v="50750000"/>
    <n v="0"/>
    <n v="50750000"/>
    <m/>
    <n v="1450"/>
    <n v="35000"/>
    <n v="0"/>
    <s v="ARS"/>
    <s v="CC"/>
    <s v="NACION"/>
    <x v="1"/>
    <x v="4"/>
    <x v="5"/>
    <s v="SGR NACION"/>
    <s v="NACION"/>
    <m/>
    <x v="3"/>
    <s v="NACION"/>
    <s v="25/26"/>
  </r>
  <r>
    <x v="1"/>
    <d v="2026-02-09T00:00:00"/>
    <s v="CPRA.VTA.NO GRAVADA"/>
    <m/>
    <n v="3880200"/>
    <n v="0"/>
    <n v="3880200"/>
    <m/>
    <n v="1450"/>
    <n v="2676"/>
    <n v="0"/>
    <s v="ARS"/>
    <s v="CC"/>
    <s v="NACION"/>
    <x v="1"/>
    <x v="4"/>
    <x v="5"/>
    <s v="SGR NACION"/>
    <s v="NACION"/>
    <m/>
    <x v="3"/>
    <s v="NACION"/>
    <s v="25/26"/>
  </r>
  <r>
    <x v="1"/>
    <d v="2026-02-09T00:00:00"/>
    <s v="DEBITO PAGO PRESTAMO"/>
    <m/>
    <n v="465508"/>
    <n v="0"/>
    <n v="465508"/>
    <m/>
    <n v="1450"/>
    <n v="321.04000000000002"/>
    <n v="0"/>
    <s v="ARS"/>
    <s v="CC"/>
    <s v="NACION"/>
    <x v="1"/>
    <x v="4"/>
    <x v="5"/>
    <s v="SGR NACION"/>
    <s v="NACION"/>
    <m/>
    <x v="3"/>
    <s v="NACION"/>
    <s v="25/26"/>
  </r>
  <r>
    <x v="1"/>
    <d v="2026-02-09T00:00:00"/>
    <s v="COMIS.DE COMPROMISO"/>
    <m/>
    <n v="37500"/>
    <n v="0"/>
    <n v="37500"/>
    <m/>
    <n v="1450"/>
    <n v="25.862068965517242"/>
    <n v="0"/>
    <s v="ARS"/>
    <s v="CC"/>
    <s v="NACION"/>
    <x v="0"/>
    <x v="0"/>
    <x v="0"/>
    <m/>
    <m/>
    <m/>
    <x v="0"/>
    <m/>
    <s v="25/26"/>
  </r>
  <r>
    <x v="1"/>
    <d v="2026-02-09T00:00:00"/>
    <s v="I.V.A. BASE"/>
    <m/>
    <n v="7875"/>
    <n v="0"/>
    <n v="7875"/>
    <m/>
    <n v="1450"/>
    <n v="5.431034482758621"/>
    <n v="0"/>
    <s v="ARS"/>
    <s v="CC"/>
    <s v="NACION"/>
    <x v="0"/>
    <x v="0"/>
    <x v="1"/>
    <s v="DEBITO IVA FISCAL"/>
    <m/>
    <m/>
    <x v="0"/>
    <m/>
    <s v="25/26"/>
  </r>
  <r>
    <x v="1"/>
    <d v="2026-02-09T00:00:00"/>
    <s v="RETEN. I.V.A. RG.2408"/>
    <m/>
    <n v="1125"/>
    <n v="0"/>
    <n v="1125"/>
    <m/>
    <n v="1450"/>
    <n v="0.77586206896551724"/>
    <n v="0"/>
    <s v="ARS"/>
    <s v="CC"/>
    <s v="NACION"/>
    <x v="0"/>
    <x v="0"/>
    <x v="1"/>
    <s v="RETENCIONES"/>
    <m/>
    <m/>
    <x v="0"/>
    <m/>
    <s v="25/26"/>
  </r>
  <r>
    <x v="1"/>
    <d v="2026-02-09T00:00:00"/>
    <s v="GRAVAMEN LEY 25413 S/DEB"/>
    <m/>
    <n v="2793.05"/>
    <n v="0"/>
    <n v="2793.05"/>
    <m/>
    <n v="1450"/>
    <n v="1.926241379310345"/>
    <n v="0"/>
    <s v="ARS"/>
    <s v="CC"/>
    <s v="NACION"/>
    <x v="0"/>
    <x v="0"/>
    <x v="1"/>
    <s v="TASA GENERAL"/>
    <m/>
    <m/>
    <x v="0"/>
    <m/>
    <s v="25/26"/>
  </r>
  <r>
    <x v="1"/>
    <d v="2026-02-09T00:00:00"/>
    <s v="GRAVAMEN LEY 25413 S/DEB"/>
    <m/>
    <n v="47.25"/>
    <n v="0"/>
    <n v="47.25"/>
    <m/>
    <n v="1450"/>
    <n v="3.2586206896551721E-2"/>
    <n v="0"/>
    <s v="ARS"/>
    <s v="CC"/>
    <s v="NACION"/>
    <x v="0"/>
    <x v="0"/>
    <x v="1"/>
    <s v="TASA GENERAL"/>
    <m/>
    <m/>
    <x v="0"/>
    <m/>
    <s v="25/26"/>
  </r>
  <r>
    <x v="1"/>
    <d v="2026-02-09T00:00:00"/>
    <s v="GRAVAMEN LEY 25413 S/DEB"/>
    <m/>
    <n v="6.75"/>
    <n v="0"/>
    <n v="6.75"/>
    <m/>
    <n v="1450"/>
    <n v="4.655172413793103E-3"/>
    <n v="0"/>
    <s v="ARS"/>
    <s v="CC"/>
    <s v="NACION"/>
    <x v="0"/>
    <x v="0"/>
    <x v="1"/>
    <s v="TASA GENERAL"/>
    <m/>
    <m/>
    <x v="0"/>
    <m/>
    <s v="25/26"/>
  </r>
  <r>
    <x v="1"/>
    <d v="2026-02-10T00:00:00"/>
    <s v="DEB.TRAN.INTERBMISMO TIT"/>
    <m/>
    <n v="700000"/>
    <n v="0"/>
    <n v="700000"/>
    <m/>
    <n v="1450"/>
    <n v="482.75862068965517"/>
    <n v="0"/>
    <s v="ARS"/>
    <s v="CC"/>
    <s v="NACION"/>
    <x v="1"/>
    <x v="2"/>
    <x v="3"/>
    <s v="HACIA CC GALICIA"/>
    <m/>
    <m/>
    <x v="2"/>
    <m/>
    <s v="25/26"/>
  </r>
  <r>
    <x v="1"/>
    <d v="2026-02-10T00:00:00"/>
    <s v="DEB.TRAN.INTERB HABERES"/>
    <m/>
    <n v="1074278"/>
    <n v="0"/>
    <n v="1074278"/>
    <m/>
    <n v="1450"/>
    <n v="740.88137931034487"/>
    <n v="0"/>
    <s v="ARS"/>
    <s v="CC"/>
    <s v="NACION"/>
    <x v="0"/>
    <x v="3"/>
    <x v="4"/>
    <m/>
    <m/>
    <m/>
    <x v="0"/>
    <m/>
    <s v="25/26"/>
  </r>
  <r>
    <x v="1"/>
    <d v="2026-02-10T00:00:00"/>
    <s v="CAM.FED.DIST.PZA. O/BCOS."/>
    <m/>
    <n v="0"/>
    <n v="702900"/>
    <n v="-702900"/>
    <m/>
    <n v="1450"/>
    <n v="0"/>
    <n v="484.75862068965517"/>
    <s v="ARS"/>
    <s v="CC"/>
    <s v="NACION"/>
    <x v="2"/>
    <x v="5"/>
    <x v="6"/>
    <s v="BPAS"/>
    <s v="CENTRO GANADERO"/>
    <m/>
    <x v="4"/>
    <m/>
    <s v="25/26"/>
  </r>
  <r>
    <x v="1"/>
    <d v="2026-02-10T00:00:00"/>
    <s v="COMIS. CANJE O/BANCOS"/>
    <m/>
    <n v="3514.5"/>
    <n v="0"/>
    <n v="3514.5"/>
    <m/>
    <n v="1450"/>
    <n v="2.423793103448276"/>
    <n v="0"/>
    <s v="ARS"/>
    <s v="CC"/>
    <s v="NACION"/>
    <x v="0"/>
    <x v="0"/>
    <x v="0"/>
    <m/>
    <m/>
    <m/>
    <x v="0"/>
    <m/>
    <s v="25/26"/>
  </r>
  <r>
    <x v="1"/>
    <d v="2026-02-10T00:00:00"/>
    <s v="I.V.A. BASE"/>
    <m/>
    <n v="738.05"/>
    <n v="0"/>
    <n v="738.05"/>
    <m/>
    <n v="1450"/>
    <n v="0.50900000000000001"/>
    <n v="0"/>
    <s v="ARS"/>
    <s v="CC"/>
    <s v="NACION"/>
    <x v="0"/>
    <x v="0"/>
    <x v="1"/>
    <s v="DEBITO IVA FISCAL"/>
    <m/>
    <m/>
    <x v="0"/>
    <m/>
    <s v="25/26"/>
  </r>
  <r>
    <x v="1"/>
    <d v="2026-02-10T00:00:00"/>
    <s v="RETEN. I.V.A. RG.2408"/>
    <m/>
    <n v="105.44"/>
    <n v="0"/>
    <n v="105.44"/>
    <m/>
    <n v="1450"/>
    <n v="7.2717241379310349E-2"/>
    <n v="0"/>
    <s v="ARS"/>
    <s v="CC"/>
    <s v="NACION"/>
    <x v="0"/>
    <x v="0"/>
    <x v="1"/>
    <s v="RETENCIONES"/>
    <m/>
    <m/>
    <x v="0"/>
    <m/>
    <s v="25/26"/>
  </r>
  <r>
    <x v="1"/>
    <d v="2026-02-10T00:00:00"/>
    <s v="GRAVAMEN LEY 25413 S/DEB"/>
    <m/>
    <n v="6445.67"/>
    <n v="0"/>
    <n v="6445.67"/>
    <m/>
    <n v="1450"/>
    <n v="4.4452896551724139"/>
    <n v="0"/>
    <s v="ARS"/>
    <s v="CC"/>
    <s v="NACION"/>
    <x v="0"/>
    <x v="0"/>
    <x v="1"/>
    <s v="TASA GENERAL"/>
    <m/>
    <m/>
    <x v="0"/>
    <m/>
    <s v="25/26"/>
  </r>
  <r>
    <x v="1"/>
    <d v="2026-02-10T00:00:00"/>
    <s v="GRAVAMEN LEY 25413 S/CRED"/>
    <m/>
    <n v="4217.3999999999996"/>
    <n v="0"/>
    <n v="4217.3999999999996"/>
    <m/>
    <n v="1450"/>
    <n v="2.9085517241379306"/>
    <n v="0"/>
    <s v="ARS"/>
    <s v="CC"/>
    <s v="NACION"/>
    <x v="0"/>
    <x v="0"/>
    <x v="1"/>
    <s v="TASA GENERAL"/>
    <m/>
    <m/>
    <x v="0"/>
    <m/>
    <s v="25/26"/>
  </r>
  <r>
    <x v="1"/>
    <d v="2026-02-10T00:00:00"/>
    <s v="GRAVAMEN LEY 25413 S/DEB"/>
    <m/>
    <n v="21.09"/>
    <n v="0"/>
    <n v="21.09"/>
    <m/>
    <n v="1450"/>
    <n v="1.4544827586206897E-2"/>
    <n v="0"/>
    <s v="ARS"/>
    <s v="CC"/>
    <s v="NACION"/>
    <x v="0"/>
    <x v="0"/>
    <x v="1"/>
    <s v="TASA GENERAL"/>
    <m/>
    <m/>
    <x v="0"/>
    <m/>
    <s v="25/26"/>
  </r>
  <r>
    <x v="1"/>
    <d v="2026-02-10T00:00:00"/>
    <s v="GRAVAMEN LEY 25413 S/DEB"/>
    <m/>
    <n v="4.43"/>
    <n v="0"/>
    <n v="4.43"/>
    <m/>
    <n v="1450"/>
    <n v="3.0551724137931032E-3"/>
    <n v="0"/>
    <s v="ARS"/>
    <s v="CC"/>
    <s v="NACION"/>
    <x v="0"/>
    <x v="0"/>
    <x v="1"/>
    <s v="TASA GENERAL"/>
    <m/>
    <m/>
    <x v="0"/>
    <m/>
    <s v="25/26"/>
  </r>
  <r>
    <x v="1"/>
    <d v="2026-02-10T00:00:00"/>
    <s v="GRAVAMEN LEY 25413 S/DEB"/>
    <m/>
    <n v="0.63"/>
    <n v="0"/>
    <n v="0.63"/>
    <m/>
    <n v="1450"/>
    <n v="4.3448275862068968E-4"/>
    <n v="0"/>
    <s v="ARS"/>
    <s v="CC"/>
    <s v="NACION"/>
    <x v="0"/>
    <x v="0"/>
    <x v="1"/>
    <s v="TASA GENERAL"/>
    <m/>
    <m/>
    <x v="0"/>
    <m/>
    <s v="25/26"/>
  </r>
  <r>
    <x v="1"/>
    <d v="2026-02-11T00:00:00"/>
    <s v="DEB.TRAN.INTERBMISMO TIT"/>
    <m/>
    <n v="300"/>
    <n v="0"/>
    <n v="300"/>
    <m/>
    <n v="1450"/>
    <n v="0.20689655172413793"/>
    <n v="0"/>
    <s v="ARS"/>
    <s v="CC"/>
    <s v="NACION"/>
    <x v="1"/>
    <x v="2"/>
    <x v="3"/>
    <s v="HACIA CC GALICIA"/>
    <m/>
    <m/>
    <x v="2"/>
    <m/>
    <s v="25/26"/>
  </r>
  <r>
    <x v="1"/>
    <d v="2026-02-11T00:00:00"/>
    <s v="DEB.TRAN.INTERBMISMO TIT"/>
    <m/>
    <n v="300000"/>
    <n v="0"/>
    <n v="300000"/>
    <m/>
    <n v="1450"/>
    <n v="206.89655172413794"/>
    <n v="0"/>
    <s v="ARS"/>
    <s v="CC"/>
    <s v="NACION"/>
    <x v="1"/>
    <x v="2"/>
    <x v="3"/>
    <s v="HACIA CC GALICIA"/>
    <m/>
    <m/>
    <x v="2"/>
    <m/>
    <s v="25/26"/>
  </r>
  <r>
    <x v="1"/>
    <d v="2026-02-11T00:00:00"/>
    <s v="COM TRANSFE ELECTRONICA"/>
    <m/>
    <n v="956"/>
    <n v="0"/>
    <n v="956"/>
    <m/>
    <n v="1450"/>
    <n v="0.65931034482758621"/>
    <n v="0"/>
    <s v="ARS"/>
    <s v="CC"/>
    <s v="NACION"/>
    <x v="0"/>
    <x v="0"/>
    <x v="0"/>
    <m/>
    <m/>
    <m/>
    <x v="0"/>
    <m/>
    <s v="25/26"/>
  </r>
  <r>
    <x v="1"/>
    <d v="2026-02-11T00:00:00"/>
    <s v="COM TRANSFE ELECTRONICA"/>
    <m/>
    <n v="956"/>
    <n v="0"/>
    <n v="956"/>
    <m/>
    <n v="1450"/>
    <n v="0.65931034482758621"/>
    <n v="0"/>
    <s v="ARS"/>
    <s v="CC"/>
    <s v="NACION"/>
    <x v="0"/>
    <x v="0"/>
    <x v="0"/>
    <m/>
    <m/>
    <m/>
    <x v="0"/>
    <m/>
    <s v="25/26"/>
  </r>
  <r>
    <x v="1"/>
    <d v="2026-02-11T00:00:00"/>
    <s v="I.V.A. BASE"/>
    <m/>
    <n v="401.52"/>
    <n v="0"/>
    <n v="401.52"/>
    <m/>
    <n v="1450"/>
    <n v="0.2769103448275862"/>
    <n v="0"/>
    <s v="ARS"/>
    <s v="CC"/>
    <s v="NACION"/>
    <x v="0"/>
    <x v="0"/>
    <x v="1"/>
    <s v="DEBITO IVA FISCAL"/>
    <m/>
    <m/>
    <x v="0"/>
    <m/>
    <s v="25/26"/>
  </r>
  <r>
    <x v="1"/>
    <d v="2026-02-11T00:00:00"/>
    <s v="GRAVAMEN LEY 25413 S/DEB"/>
    <m/>
    <n v="5.74"/>
    <n v="0"/>
    <n v="5.74"/>
    <m/>
    <n v="1450"/>
    <n v="3.9586206896551727E-3"/>
    <n v="0"/>
    <s v="ARS"/>
    <s v="CC"/>
    <s v="NACION"/>
    <x v="0"/>
    <x v="0"/>
    <x v="1"/>
    <s v="TASA GENERAL"/>
    <m/>
    <m/>
    <x v="0"/>
    <m/>
    <s v="25/26"/>
  </r>
  <r>
    <x v="1"/>
    <d v="2026-02-11T00:00:00"/>
    <s v="GRAVAMEN LEY 25413 S/DEB"/>
    <m/>
    <n v="5.74"/>
    <n v="0"/>
    <n v="5.74"/>
    <m/>
    <n v="1450"/>
    <n v="3.9586206896551727E-3"/>
    <n v="0"/>
    <s v="ARS"/>
    <s v="CC"/>
    <s v="NACION"/>
    <x v="0"/>
    <x v="0"/>
    <x v="1"/>
    <s v="TASA GENERAL"/>
    <m/>
    <m/>
    <x v="0"/>
    <m/>
    <s v="25/26"/>
  </r>
  <r>
    <x v="1"/>
    <d v="2026-02-11T00:00:00"/>
    <s v="GRAVAMEN LEY 25413 S/DEB"/>
    <m/>
    <n v="2.41"/>
    <n v="0"/>
    <n v="2.41"/>
    <m/>
    <n v="1450"/>
    <n v="1.6620689655172415E-3"/>
    <n v="0"/>
    <s v="ARS"/>
    <s v="CC"/>
    <s v="NACION"/>
    <x v="0"/>
    <x v="0"/>
    <x v="1"/>
    <s v="TASA GENERAL"/>
    <m/>
    <m/>
    <x v="0"/>
    <m/>
    <s v="25/26"/>
  </r>
  <r>
    <x v="1"/>
    <d v="2026-02-12T00:00:00"/>
    <s v="DEB.TRAN.INTERBMISMO TIT"/>
    <m/>
    <n v="1200000"/>
    <n v="0"/>
    <n v="1200000"/>
    <m/>
    <n v="1450"/>
    <n v="827.58620689655174"/>
    <n v="0"/>
    <s v="ARS"/>
    <s v="CC"/>
    <s v="NACION"/>
    <x v="1"/>
    <x v="2"/>
    <x v="3"/>
    <s v="HACIA CC GALICIA"/>
    <m/>
    <m/>
    <x v="2"/>
    <m/>
    <s v="25/26"/>
  </r>
  <r>
    <x v="1"/>
    <d v="2026-02-12T00:00:00"/>
    <s v="COM TRANSFE ELECTRONICA"/>
    <m/>
    <n v="535"/>
    <n v="0"/>
    <n v="535"/>
    <m/>
    <n v="1450"/>
    <n v="0.36896551724137933"/>
    <n v="0"/>
    <s v="ARS"/>
    <s v="CC"/>
    <s v="NACION"/>
    <x v="0"/>
    <x v="0"/>
    <x v="0"/>
    <m/>
    <m/>
    <m/>
    <x v="0"/>
    <m/>
    <s v="25/26"/>
  </r>
  <r>
    <x v="1"/>
    <d v="2026-02-12T00:00:00"/>
    <s v="I.V.A. BASE"/>
    <m/>
    <n v="112.35"/>
    <n v="0"/>
    <n v="112.35"/>
    <m/>
    <n v="1450"/>
    <n v="7.7482758620689651E-2"/>
    <n v="0"/>
    <s v="ARS"/>
    <s v="CC"/>
    <s v="NACION"/>
    <x v="0"/>
    <x v="0"/>
    <x v="1"/>
    <s v="DEBITO IVA FISCAL"/>
    <m/>
    <m/>
    <x v="0"/>
    <m/>
    <s v="25/26"/>
  </r>
  <r>
    <x v="1"/>
    <d v="2026-02-12T00:00:00"/>
    <s v="GRAVAMEN LEY 25413 S/DEB"/>
    <m/>
    <n v="3.21"/>
    <n v="0"/>
    <n v="3.21"/>
    <m/>
    <n v="1450"/>
    <n v="2.2137931034482759E-3"/>
    <n v="0"/>
    <s v="ARS"/>
    <s v="CC"/>
    <s v="NACION"/>
    <x v="0"/>
    <x v="0"/>
    <x v="1"/>
    <s v="TASA GENERAL"/>
    <m/>
    <m/>
    <x v="0"/>
    <m/>
    <s v="25/26"/>
  </r>
  <r>
    <x v="1"/>
    <d v="2026-02-12T00:00:00"/>
    <s v="GRAVAMEN LEY 25413 S/DEB"/>
    <m/>
    <n v="0.67"/>
    <n v="0"/>
    <n v="0.67"/>
    <m/>
    <n v="1450"/>
    <n v="4.620689655172414E-4"/>
    <n v="0"/>
    <s v="ARS"/>
    <s v="CC"/>
    <s v="NACION"/>
    <x v="0"/>
    <x v="0"/>
    <x v="1"/>
    <s v="TASA GENERAL"/>
    <m/>
    <m/>
    <x v="0"/>
    <m/>
    <s v="25/26"/>
  </r>
  <r>
    <x v="1"/>
    <d v="2026-02-13T00:00:00"/>
    <s v="COM TRANSFE ELECTRONICA"/>
    <m/>
    <n v="956"/>
    <n v="0"/>
    <n v="956"/>
    <m/>
    <n v="1450"/>
    <n v="0.65931034482758621"/>
    <n v="0"/>
    <s v="ARS"/>
    <s v="CC"/>
    <s v="NACION"/>
    <x v="0"/>
    <x v="0"/>
    <x v="0"/>
    <m/>
    <m/>
    <m/>
    <x v="0"/>
    <m/>
    <s v="25/26"/>
  </r>
  <r>
    <x v="1"/>
    <d v="2026-02-13T00:00:00"/>
    <s v="I.V.A. BASE"/>
    <m/>
    <n v="200.76"/>
    <n v="0"/>
    <n v="200.76"/>
    <m/>
    <n v="1450"/>
    <n v="0.1384551724137931"/>
    <n v="0"/>
    <s v="ARS"/>
    <s v="CC"/>
    <s v="NACION"/>
    <x v="0"/>
    <x v="0"/>
    <x v="1"/>
    <s v="DEBITO IVA FISCAL"/>
    <m/>
    <m/>
    <x v="0"/>
    <m/>
    <s v="25/26"/>
  </r>
  <r>
    <x v="1"/>
    <d v="2026-02-13T00:00:00"/>
    <s v="GRAVAMEN LEY 25413 S/DEB"/>
    <m/>
    <n v="5.74"/>
    <n v="0"/>
    <n v="5.74"/>
    <m/>
    <n v="1450"/>
    <n v="3.9586206896551727E-3"/>
    <n v="0"/>
    <s v="ARS"/>
    <s v="CC"/>
    <s v="NACION"/>
    <x v="0"/>
    <x v="0"/>
    <x v="1"/>
    <s v="TASA GENERAL"/>
    <m/>
    <m/>
    <x v="0"/>
    <m/>
    <s v="25/26"/>
  </r>
  <r>
    <x v="1"/>
    <d v="2026-02-13T00:00:00"/>
    <s v="GRAVAMEN LEY 25413 S/DEB"/>
    <m/>
    <n v="1.2"/>
    <n v="0"/>
    <n v="1.2"/>
    <n v="-2990446.11"/>
    <n v="1450"/>
    <n v="8.275862068965517E-4"/>
    <n v="0"/>
    <s v="ARS"/>
    <s v="CC"/>
    <s v="NACION"/>
    <x v="0"/>
    <x v="0"/>
    <x v="1"/>
    <s v="TASA GENERAL"/>
    <m/>
    <m/>
    <x v="0"/>
    <m/>
    <s v="25/26"/>
  </r>
  <r>
    <x v="0"/>
    <d v="2026-01-13T00:00:00"/>
    <s v="DATANET EXENTO - 07089208823-G &amp; E SA"/>
    <m/>
    <n v="0"/>
    <n v="1500000"/>
    <n v="-1500000"/>
    <n v="-8735867.6099999994"/>
    <n v="1450"/>
    <n v="0"/>
    <n v="1034.4827586206898"/>
    <s v="ARS"/>
    <s v="CC"/>
    <s v="PAMPA"/>
    <x v="1"/>
    <x v="2"/>
    <x v="3"/>
    <s v="DESDE CC MACRO"/>
    <m/>
    <m/>
    <x v="2"/>
    <m/>
    <s v="24/25"/>
  </r>
  <r>
    <x v="0"/>
    <d v="2026-01-15T00:00:00"/>
    <s v="DATANET EXENTO - 07089208823-G &amp; E SA"/>
    <m/>
    <n v="0"/>
    <n v="20000000"/>
    <n v="-20000000"/>
    <n v="203836.75"/>
    <n v="1450"/>
    <n v="0"/>
    <n v="13793.103448275862"/>
    <s v="ARS"/>
    <s v="CC"/>
    <s v="PAMPA"/>
    <x v="1"/>
    <x v="2"/>
    <x v="3"/>
    <s v="DESDE CC MACRO"/>
    <m/>
    <m/>
    <x v="2"/>
    <m/>
    <s v="24/25"/>
  </r>
  <r>
    <x v="0"/>
    <d v="2026-01-31T00:00:00"/>
    <s v="IVA PERCEPCION ALICUOTA REDUCIDA"/>
    <m/>
    <n v="7123.86"/>
    <n v="0"/>
    <n v="7123.86"/>
    <m/>
    <n v="1450"/>
    <n v="4.9130068965517237"/>
    <n v="0"/>
    <s v="ARS"/>
    <s v="CC"/>
    <s v="PAMPA"/>
    <x v="0"/>
    <x v="0"/>
    <x v="1"/>
    <s v="IVA PERCEPCION"/>
    <m/>
    <m/>
    <x v="0"/>
    <m/>
    <s v="25/26"/>
  </r>
  <r>
    <x v="0"/>
    <d v="2026-01-31T00:00:00"/>
    <s v="IVA PERCEPCION ALICUOTA REDUCIDA"/>
    <m/>
    <n v="396.31"/>
    <n v="0"/>
    <n v="396.31"/>
    <m/>
    <n v="1450"/>
    <n v="0.27331724137931035"/>
    <n v="0"/>
    <s v="ARS"/>
    <s v="CC"/>
    <s v="PAMPA"/>
    <x v="0"/>
    <x v="0"/>
    <x v="1"/>
    <s v="IVA PERCEPCION"/>
    <m/>
    <m/>
    <x v="0"/>
    <m/>
    <s v="25/26"/>
  </r>
  <r>
    <x v="0"/>
    <d v="2026-01-31T00:00:00"/>
    <s v="IVA PERCEPCION ALICUOTA REDUCIDA"/>
    <m/>
    <n v="198.15"/>
    <n v="0"/>
    <n v="198.15"/>
    <m/>
    <n v="1450"/>
    <n v="0.1366551724137931"/>
    <n v="0"/>
    <s v="ARS"/>
    <s v="CC"/>
    <s v="PAMPA"/>
    <x v="0"/>
    <x v="0"/>
    <x v="1"/>
    <s v="IVA PERCEPCION"/>
    <m/>
    <m/>
    <x v="0"/>
    <m/>
    <s v="25/26"/>
  </r>
  <r>
    <x v="0"/>
    <d v="2026-01-31T00:00:00"/>
    <s v="INTERESES ACUERDO SALDO DEUDOR"/>
    <m/>
    <n v="474923.92"/>
    <n v="0"/>
    <n v="474923.92"/>
    <m/>
    <n v="1450"/>
    <n v="327.53373793103447"/>
    <n v="0"/>
    <s v="ARS"/>
    <s v="CC"/>
    <s v="PAMPA"/>
    <x v="0"/>
    <x v="3"/>
    <x v="4"/>
    <m/>
    <m/>
    <m/>
    <x v="0"/>
    <m/>
    <s v="25/26"/>
  </r>
  <r>
    <x v="0"/>
    <d v="2026-01-31T00:00:00"/>
    <s v="IMP. DEBITOS Y CRED. POR DEBITO"/>
    <m/>
    <n v="3888.01"/>
    <n v="0"/>
    <n v="3888.01"/>
    <m/>
    <n v="1450"/>
    <n v="2.6813862068965517"/>
    <n v="0"/>
    <s v="ARS"/>
    <s v="CC"/>
    <s v="PAMPA"/>
    <x v="0"/>
    <x v="0"/>
    <x v="1"/>
    <s v="DEBITO IVA FISCAL"/>
    <m/>
    <m/>
    <x v="0"/>
    <m/>
    <s v="25/26"/>
  </r>
  <r>
    <x v="0"/>
    <d v="2026-01-31T00:00:00"/>
    <s v="IVA 10,5%"/>
    <m/>
    <n v="49867.01"/>
    <n v="0"/>
    <n v="49867.01"/>
    <m/>
    <n v="1450"/>
    <n v="34.391041379310344"/>
    <n v="0"/>
    <s v="ARS"/>
    <s v="CC"/>
    <s v="PAMPA"/>
    <x v="0"/>
    <x v="0"/>
    <x v="1"/>
    <s v="DEBITO IVA FISCAL"/>
    <m/>
    <m/>
    <x v="0"/>
    <m/>
    <s v="25/26"/>
  </r>
  <r>
    <x v="0"/>
    <d v="2026-01-31T00:00:00"/>
    <s v="IVA 10,5%"/>
    <m/>
    <n v="2774.14"/>
    <n v="0"/>
    <n v="2774.14"/>
    <m/>
    <n v="1450"/>
    <n v="1.9132"/>
    <n v="0"/>
    <s v="ARS"/>
    <s v="CC"/>
    <s v="PAMPA"/>
    <x v="0"/>
    <x v="0"/>
    <x v="1"/>
    <s v="DEBITO IVA FISCAL"/>
    <m/>
    <m/>
    <x v="0"/>
    <m/>
    <s v="25/26"/>
  </r>
  <r>
    <x v="0"/>
    <d v="2026-01-31T00:00:00"/>
    <s v="IVA 10,5%"/>
    <m/>
    <n v="1387.07"/>
    <n v="0"/>
    <n v="1387.07"/>
    <m/>
    <n v="1450"/>
    <n v="0.95660000000000001"/>
    <n v="0"/>
    <s v="ARS"/>
    <s v="CC"/>
    <s v="PAMPA"/>
    <x v="0"/>
    <x v="0"/>
    <x v="1"/>
    <s v="DEBITO IVA FISCAL"/>
    <m/>
    <m/>
    <x v="0"/>
    <m/>
    <s v="25/26"/>
  </r>
  <r>
    <x v="0"/>
    <d v="2026-01-31T00:00:00"/>
    <s v="INTERESES EXCESO DESCUBIERTO"/>
    <m/>
    <n v="13210.2"/>
    <n v="0"/>
    <n v="13210.2"/>
    <m/>
    <n v="1450"/>
    <n v="9.1104827586206909"/>
    <n v="0"/>
    <s v="ARS"/>
    <s v="CC"/>
    <s v="PAMPA"/>
    <x v="0"/>
    <x v="3"/>
    <x v="4"/>
    <m/>
    <m/>
    <m/>
    <x v="0"/>
    <m/>
    <s v="25/26"/>
  </r>
  <r>
    <x v="0"/>
    <d v="2026-01-31T00:00:00"/>
    <s v="IVA"/>
    <m/>
    <n v="10500"/>
    <n v="0"/>
    <n v="10500"/>
    <m/>
    <n v="1450"/>
    <n v="7.2413793103448274"/>
    <n v="0"/>
    <s v="ARS"/>
    <s v="CC"/>
    <s v="PAMPA"/>
    <x v="0"/>
    <x v="0"/>
    <x v="1"/>
    <s v="DEBITO IVA FISCAL"/>
    <m/>
    <m/>
    <x v="0"/>
    <m/>
    <s v="25/26"/>
  </r>
  <r>
    <x v="0"/>
    <d v="2026-01-31T00:00:00"/>
    <s v="INTERESES DESCUBIERTO"/>
    <m/>
    <n v="26420.400000000001"/>
    <n v="0"/>
    <n v="26420.400000000001"/>
    <m/>
    <n v="1450"/>
    <n v="18.220965517241382"/>
    <n v="0"/>
    <s v="ARS"/>
    <s v="CC"/>
    <s v="PAMPA"/>
    <x v="0"/>
    <x v="3"/>
    <x v="4"/>
    <m/>
    <m/>
    <m/>
    <x v="0"/>
    <m/>
    <s v="25/26"/>
  </r>
  <r>
    <x v="0"/>
    <d v="2026-01-31T00:00:00"/>
    <s v="IMPUESTO DE SELLOS"/>
    <m/>
    <n v="9192.08"/>
    <n v="0"/>
    <n v="9192.08"/>
    <m/>
    <n v="1450"/>
    <n v="6.3393655172413794"/>
    <n v="0"/>
    <s v="ARS"/>
    <s v="CC"/>
    <s v="PAMPA"/>
    <x v="0"/>
    <x v="0"/>
    <x v="1"/>
    <s v="SELLOS"/>
    <m/>
    <m/>
    <x v="0"/>
    <m/>
    <s v="25/26"/>
  </r>
  <r>
    <x v="0"/>
    <d v="2026-01-31T00:00:00"/>
    <s v="IMPUESTO DE SELLOS"/>
    <m/>
    <n v="511.36"/>
    <n v="0"/>
    <n v="511.36"/>
    <m/>
    <n v="1450"/>
    <n v="0.35266206896551727"/>
    <n v="0"/>
    <s v="ARS"/>
    <s v="CC"/>
    <s v="PAMPA"/>
    <x v="0"/>
    <x v="0"/>
    <x v="1"/>
    <s v="SELLOS"/>
    <m/>
    <m/>
    <x v="0"/>
    <m/>
    <s v="25/26"/>
  </r>
  <r>
    <x v="0"/>
    <d v="2026-01-31T00:00:00"/>
    <s v="COM. MANTENIMIENTO DE CUENTA"/>
    <m/>
    <n v="50000"/>
    <n v="0"/>
    <n v="50000"/>
    <m/>
    <n v="1450"/>
    <n v="34.482758620689658"/>
    <n v="0"/>
    <s v="ARS"/>
    <s v="CC"/>
    <s v="PAMPA"/>
    <x v="0"/>
    <x v="0"/>
    <x v="0"/>
    <m/>
    <m/>
    <m/>
    <x v="0"/>
    <m/>
    <s v="25/26"/>
  </r>
  <r>
    <x v="0"/>
    <d v="2026-01-31T00:00:00"/>
    <s v="IVA PERCEPCION"/>
    <m/>
    <n v="1500"/>
    <n v="0"/>
    <n v="1500"/>
    <n v="-448055.76"/>
    <n v="1450"/>
    <n v="1.0344827586206897"/>
    <n v="0"/>
    <s v="ARS"/>
    <s v="CC"/>
    <s v="PAMPA"/>
    <x v="0"/>
    <x v="0"/>
    <x v="1"/>
    <s v="IVA PERCEPCION"/>
    <m/>
    <m/>
    <x v="0"/>
    <m/>
    <s v="25/26"/>
  </r>
  <r>
    <x v="1"/>
    <d v="2026-02-06T00:00:00"/>
    <s v="IMP. DEBITOS Y CRED. POR DEBITO"/>
    <m/>
    <n v="223.2"/>
    <n v="0"/>
    <n v="223.2"/>
    <m/>
    <n v="1450"/>
    <n v="0.15393103448275861"/>
    <n v="0"/>
    <s v="ARS"/>
    <s v="CC"/>
    <s v="PAMPA"/>
    <x v="0"/>
    <x v="0"/>
    <x v="1"/>
    <s v="DEBITO IVA FISCAL"/>
    <m/>
    <m/>
    <x v="0"/>
    <m/>
    <s v="25/26"/>
  </r>
  <r>
    <x v="1"/>
    <d v="2026-02-06T00:00:00"/>
    <s v="IVA"/>
    <m/>
    <n v="6300"/>
    <n v="0"/>
    <n v="6300"/>
    <m/>
    <n v="1450"/>
    <n v="4.3448275862068968"/>
    <n v="0"/>
    <s v="ARS"/>
    <s v="CC"/>
    <s v="PAMPA"/>
    <x v="0"/>
    <x v="0"/>
    <x v="1"/>
    <s v="DEBITO IVA FISCAL"/>
    <m/>
    <m/>
    <x v="0"/>
    <m/>
    <s v="25/26"/>
  </r>
  <r>
    <x v="1"/>
    <d v="2026-02-06T00:00:00"/>
    <s v="CHEQUERA"/>
    <m/>
    <n v="30000"/>
    <n v="0"/>
    <n v="30000"/>
    <m/>
    <n v="1450"/>
    <n v="20.689655172413794"/>
    <n v="0"/>
    <s v="ARS"/>
    <s v="CC"/>
    <s v="PAMPA"/>
    <x v="0"/>
    <x v="0"/>
    <x v="0"/>
    <m/>
    <m/>
    <m/>
    <x v="0"/>
    <m/>
    <s v="25/26"/>
  </r>
  <r>
    <x v="1"/>
    <d v="2026-02-06T00:00:00"/>
    <s v="IVA PERCEPCION"/>
    <m/>
    <n v="900"/>
    <n v="0"/>
    <n v="900"/>
    <m/>
    <n v="1450"/>
    <n v="0.62068965517241381"/>
    <n v="0"/>
    <s v="ARS"/>
    <s v="CC"/>
    <s v="PAMPA"/>
    <x v="0"/>
    <x v="0"/>
    <x v="1"/>
    <s v="PERCEPCION IVA"/>
    <m/>
    <m/>
    <x v="0"/>
    <m/>
    <s v="25/26"/>
  </r>
  <r>
    <x v="1"/>
    <d v="2026-02-09T00:00:00"/>
    <s v="IMP. DEBITOS Y CRED. POR DEBITO"/>
    <m/>
    <n v="54.31"/>
    <n v="0"/>
    <n v="54.31"/>
    <m/>
    <n v="1450"/>
    <n v="3.7455172413793106E-2"/>
    <n v="0"/>
    <s v="ARS"/>
    <s v="CC"/>
    <s v="PAMPA"/>
    <x v="0"/>
    <x v="0"/>
    <x v="1"/>
    <s v="DEBITO IVA FISCAL"/>
    <m/>
    <m/>
    <x v="0"/>
    <m/>
    <s v="25/26"/>
  </r>
  <r>
    <x v="1"/>
    <d v="2026-02-09T00:00:00"/>
    <s v="TRANSF. PROPIA ENVIADA PD - 30708920882-G &amp; E S.A."/>
    <m/>
    <n v="19500000"/>
    <n v="0"/>
    <n v="19500000"/>
    <m/>
    <n v="1450"/>
    <n v="13448.275862068966"/>
    <n v="0"/>
    <s v="ARS"/>
    <s v="CC"/>
    <s v="PAMPA"/>
    <x v="1"/>
    <x v="2"/>
    <x v="3"/>
    <s v="HACIA CC NACION"/>
    <m/>
    <m/>
    <x v="2"/>
    <m/>
    <s v="24/25"/>
  </r>
  <r>
    <x v="1"/>
    <d v="2026-02-09T00:00:00"/>
    <s v="COM. TRANSF. PAMPA DIGITAL"/>
    <m/>
    <n v="7300"/>
    <n v="0"/>
    <n v="7300"/>
    <m/>
    <n v="1450"/>
    <n v="5.0344827586206895"/>
    <n v="0"/>
    <s v="ARS"/>
    <s v="CC"/>
    <s v="PAMPA"/>
    <x v="0"/>
    <x v="0"/>
    <x v="0"/>
    <m/>
    <m/>
    <m/>
    <x v="0"/>
    <m/>
    <s v="25/26"/>
  </r>
  <r>
    <x v="1"/>
    <d v="2026-02-09T00:00:00"/>
    <s v="IVA"/>
    <m/>
    <n v="1533"/>
    <n v="0"/>
    <n v="1533"/>
    <m/>
    <n v="1450"/>
    <n v="1.0572413793103448"/>
    <n v="0"/>
    <s v="ARS"/>
    <s v="CC"/>
    <s v="PAMPA"/>
    <x v="0"/>
    <x v="0"/>
    <x v="1"/>
    <s v="DEBITO IVA FISCAL"/>
    <m/>
    <m/>
    <x v="0"/>
    <m/>
    <s v="25/26"/>
  </r>
  <r>
    <x v="1"/>
    <d v="2026-02-09T00:00:00"/>
    <s v="IVA PERCEPCION"/>
    <m/>
    <n v="219"/>
    <n v="0"/>
    <n v="219"/>
    <n v="-19994585.27"/>
    <n v="1450"/>
    <n v="0.15103448275862069"/>
    <n v="0"/>
    <s v="ARS"/>
    <s v="CC"/>
    <s v="PAMPA"/>
    <x v="0"/>
    <x v="0"/>
    <x v="1"/>
    <s v="PERCEPCION IVA"/>
    <m/>
    <m/>
    <x v="0"/>
    <m/>
    <s v="25/26"/>
  </r>
  <r>
    <x v="1"/>
    <d v="2026-02-18T00:00:00"/>
    <s v="ACREDITACION PRESTAMO COMERCIAL"/>
    <m/>
    <n v="0"/>
    <n v="29496000"/>
    <n v="-29496000"/>
    <m/>
    <n v="1450"/>
    <n v="0"/>
    <n v="20342.068965517243"/>
    <s v="ARS"/>
    <s v="CC"/>
    <s v="PAMPA"/>
    <x v="1"/>
    <x v="6"/>
    <x v="7"/>
    <s v="PAMPA"/>
    <s v="PAMPA"/>
    <m/>
    <x v="5"/>
    <m/>
    <s v="25/26"/>
  </r>
  <r>
    <x v="1"/>
    <d v="2026-02-19T00:00:00"/>
    <s v="IMP. DEBITOS Y CRED. POR DEBITO"/>
    <m/>
    <n v="7073.91"/>
    <n v="0"/>
    <n v="7073.91"/>
    <m/>
    <n v="1450"/>
    <n v="4.8785586206896552"/>
    <n v="0"/>
    <s v="ARS"/>
    <s v="CC"/>
    <s v="PAMPA"/>
    <x v="0"/>
    <x v="0"/>
    <x v="1"/>
    <s v="DEBITO IVA FISCAL"/>
    <m/>
    <m/>
    <x v="0"/>
    <m/>
    <s v="25/26"/>
  </r>
  <r>
    <x v="1"/>
    <d v="2026-02-19T00:00:00"/>
    <s v="TRANSF. PROPIA ENVIADA PD - 30708920882-G &amp; E S.A."/>
    <m/>
    <n v="2000000"/>
    <n v="0"/>
    <n v="2000000"/>
    <m/>
    <n v="1450"/>
    <n v="1379.3103448275863"/>
    <n v="0"/>
    <s v="ARS"/>
    <s v="CC"/>
    <s v="PAMPA"/>
    <x v="1"/>
    <x v="2"/>
    <x v="3"/>
    <s v="HACIA CC MACRO"/>
    <m/>
    <m/>
    <x v="2"/>
    <m/>
    <s v="25/26"/>
  </r>
  <r>
    <x v="1"/>
    <d v="2026-02-19T00:00:00"/>
    <s v="TRANSF. ENVIADA PAMPA DIGITAL - 20170457715-BECERRA ADRIAN OSCAR"/>
    <m/>
    <n v="1178985"/>
    <n v="0"/>
    <n v="1178985"/>
    <n v="6315355.8200000003"/>
    <n v="1450"/>
    <n v="813.09310344827588"/>
    <n v="0"/>
    <s v="ARS"/>
    <s v="CC"/>
    <s v="PAMPA"/>
    <x v="0"/>
    <x v="7"/>
    <x v="8"/>
    <m/>
    <s v="ADRIAN BECERRA"/>
    <m/>
    <x v="6"/>
    <m/>
    <s v="25/26"/>
  </r>
  <r>
    <x v="1"/>
    <d v="2026-02-20T00:00:00"/>
    <s v="IMP. DEBITOS Y CRED. POR DEBITO"/>
    <m/>
    <n v="19338"/>
    <n v="0"/>
    <n v="19338"/>
    <m/>
    <n v="1450"/>
    <n v="13.336551724137932"/>
    <n v="0"/>
    <s v="ARS"/>
    <s v="CC"/>
    <s v="PAMPA"/>
    <x v="0"/>
    <x v="0"/>
    <x v="1"/>
    <s v="DEBITO IVA FISCAL"/>
    <m/>
    <m/>
    <x v="0"/>
    <m/>
    <s v="25/26"/>
  </r>
  <r>
    <x v="1"/>
    <d v="2026-02-20T00:00:00"/>
    <s v="TRANSF. ENVIADA PAMPA DIGITAL - 20164045693-ERRECALDE RAUL ALBERTO"/>
    <m/>
    <n v="1510000"/>
    <n v="0"/>
    <n v="1510000"/>
    <m/>
    <n v="1450"/>
    <n v="1041.3793103448277"/>
    <n v="0"/>
    <s v="ARS"/>
    <s v="CC"/>
    <s v="PAMPA"/>
    <x v="0"/>
    <x v="1"/>
    <x v="8"/>
    <m/>
    <s v="RAUL ERRECALDE"/>
    <m/>
    <x v="7"/>
    <s v="RAUL"/>
    <s v="25/26"/>
  </r>
  <r>
    <x v="1"/>
    <d v="2026-02-20T00:00:00"/>
    <s v="TRANSF. ENVIADA PAMPA DIGITAL - 20170457715-BECERRA ADRIAN OSCAR"/>
    <m/>
    <n v="1713000"/>
    <n v="0"/>
    <n v="1713000"/>
    <m/>
    <n v="1450"/>
    <n v="1181.3793103448277"/>
    <n v="0"/>
    <s v="ARS"/>
    <s v="CC"/>
    <s v="PAMPA"/>
    <x v="0"/>
    <x v="1"/>
    <x v="9"/>
    <m/>
    <s v="CLAUDIA ERRECALDE"/>
    <m/>
    <x v="1"/>
    <s v="CLAUDIA"/>
    <s v="25/26"/>
  </r>
  <r>
    <x v="1"/>
    <d v="2026-02-23T00:00:00"/>
    <s v="IMP. DEBITOS Y CRED. POR DEBITO"/>
    <m/>
    <n v="39000"/>
    <n v="0"/>
    <n v="39000"/>
    <m/>
    <n v="1450"/>
    <n v="26.896551724137932"/>
    <n v="0"/>
    <s v="ARS"/>
    <s v="CC"/>
    <s v="PAMPA"/>
    <x v="0"/>
    <x v="0"/>
    <x v="1"/>
    <s v="DEBITO IVA FISCAL"/>
    <m/>
    <m/>
    <x v="0"/>
    <m/>
    <s v="25/26"/>
  </r>
  <r>
    <x v="1"/>
    <d v="2026-02-23T00:00:00"/>
    <s v="TRANSF. PROPIA ENVIADA PD - 30708920882-G &amp; E S.A."/>
    <m/>
    <n v="1000000"/>
    <n v="0"/>
    <n v="1000000"/>
    <m/>
    <n v="1450"/>
    <n v="689.65517241379314"/>
    <n v="0"/>
    <s v="ARS"/>
    <s v="CC"/>
    <s v="PAMPA"/>
    <x v="1"/>
    <x v="2"/>
    <x v="3"/>
    <m/>
    <m/>
    <m/>
    <x v="2"/>
    <m/>
    <s v="25/26"/>
  </r>
  <r>
    <x v="1"/>
    <d v="2026-02-23T00:00:00"/>
    <s v="TRANSF. ENVIADA PAMPA DIGITAL - 27200806536-ERRECALDE CLAUDIA BEATRIZ"/>
    <m/>
    <n v="1500000"/>
    <n v="0"/>
    <n v="1500000"/>
    <m/>
    <n v="1450"/>
    <n v="1034.4827586206898"/>
    <n v="0"/>
    <s v="ARS"/>
    <s v="CC"/>
    <s v="PAMPA"/>
    <x v="0"/>
    <x v="1"/>
    <x v="9"/>
    <m/>
    <s v="CLAUDIA ERRECALDE"/>
    <m/>
    <x v="1"/>
    <m/>
    <s v="25/26"/>
  </r>
  <r>
    <x v="1"/>
    <d v="2026-02-23T00:00:00"/>
    <s v="TRANSF. ENVIADA PAMPA DIGITAL - 27200806536-ERRECALDE CLAUDIA BEATRIZ"/>
    <m/>
    <n v="5000000"/>
    <n v="0"/>
    <n v="5000000"/>
    <n v="-4465982.18"/>
    <n v="1450"/>
    <n v="3448.2758620689656"/>
    <n v="0"/>
    <s v="ARS"/>
    <s v="CC"/>
    <s v="PAMPA"/>
    <x v="0"/>
    <x v="1"/>
    <x v="10"/>
    <m/>
    <s v="CLAUDIA ERRECALDE"/>
    <m/>
    <x v="1"/>
    <m/>
    <s v="25/26"/>
  </r>
  <r>
    <x v="1"/>
    <d v="2026-02-24T00:00:00"/>
    <s v="IMP. DEBITOS Y CRED. POR DEBITO"/>
    <m/>
    <n v="12000"/>
    <n v="0"/>
    <n v="12000"/>
    <m/>
    <n v="1450"/>
    <n v="8.2758620689655178"/>
    <n v="0"/>
    <s v="ARS"/>
    <s v="CC"/>
    <s v="PAMPA"/>
    <x v="0"/>
    <x v="0"/>
    <x v="1"/>
    <s v="DEBITO IVA FISCAL"/>
    <m/>
    <m/>
    <x v="0"/>
    <m/>
    <s v="25/26"/>
  </r>
  <r>
    <x v="1"/>
    <d v="2026-02-24T00:00:00"/>
    <s v="TRANSF. PROPIA ENVIADA PD - 30708920882-G &amp; E S.A."/>
    <m/>
    <n v="2000000"/>
    <n v="0"/>
    <n v="2000000"/>
    <m/>
    <n v="1450"/>
    <n v="1379.3103448275863"/>
    <n v="0"/>
    <s v="ARS"/>
    <s v="CC"/>
    <s v="PAMPA"/>
    <x v="1"/>
    <x v="2"/>
    <x v="3"/>
    <s v="HACIA CC MACRO"/>
    <m/>
    <m/>
    <x v="2"/>
    <m/>
    <s v="25/26"/>
  </r>
  <r>
    <x v="1"/>
    <d v="2026-02-24T00:00:00"/>
    <s v="TRANSF. ENVIADA PAMPA DIGITAL - 20142207517-MALDONADO ANDRES"/>
    <m/>
    <n v="1000000"/>
    <n v="0"/>
    <n v="1000000"/>
    <m/>
    <n v="1450"/>
    <n v="689.65517241379314"/>
    <n v="0"/>
    <s v="ARS"/>
    <s v="CC"/>
    <s v="PAMPA"/>
    <x v="0"/>
    <x v="1"/>
    <x v="2"/>
    <m/>
    <s v="MONICA ERRECALDE"/>
    <m/>
    <x v="8"/>
    <s v="MONICA"/>
    <s v="25/26"/>
  </r>
  <r>
    <x v="1"/>
    <d v="2026-02-24T00:00:00"/>
    <s v="TRANSF. ENVIADA PAMPA DIGITAL - 20164045693-ERRECALDE RAUL ALBERTO"/>
    <m/>
    <n v="1000000"/>
    <n v="0"/>
    <n v="1000000"/>
    <n v="-8477982.1799999997"/>
    <n v="1450"/>
    <n v="689.65517241379314"/>
    <n v="0"/>
    <s v="ARS"/>
    <s v="CC"/>
    <s v="PAMPA"/>
    <x v="0"/>
    <x v="1"/>
    <x v="8"/>
    <m/>
    <s v="RAUL ERRECALDE"/>
    <m/>
    <x v="9"/>
    <s v="RAUL"/>
    <s v="25/26"/>
  </r>
  <r>
    <x v="0"/>
    <d v="2026-01-02T00:00:00"/>
    <s v="COMISION SERVICIO DE CUENTA"/>
    <m/>
    <n v="55000"/>
    <n v="0"/>
    <n v="55000"/>
    <n v="-8743635.8100000005"/>
    <n v="1450"/>
    <n v="37.931034482758619"/>
    <n v="0"/>
    <s v="ARS"/>
    <s v="CC"/>
    <s v="GALICIA"/>
    <x v="0"/>
    <x v="0"/>
    <x v="0"/>
    <m/>
    <m/>
    <m/>
    <x v="0"/>
    <m/>
    <s v="25/26"/>
  </r>
  <r>
    <x v="0"/>
    <d v="2026-01-02T00:00:00"/>
    <s v="IVA"/>
    <m/>
    <n v="11550"/>
    <n v="0"/>
    <n v="11550"/>
    <n v="-8755185.8100000005"/>
    <n v="1450"/>
    <n v="7.9655172413793105"/>
    <n v="0"/>
    <s v="ARS"/>
    <s v="CC"/>
    <s v="GALICIA"/>
    <x v="0"/>
    <x v="0"/>
    <x v="1"/>
    <s v="DEBITO IVA FISCAL"/>
    <m/>
    <m/>
    <x v="0"/>
    <m/>
    <s v="25/26"/>
  </r>
  <r>
    <x v="0"/>
    <d v="2026-01-02T00:00:00"/>
    <s v="PERCEP. IVA"/>
    <m/>
    <n v="1650"/>
    <n v="0"/>
    <n v="1650"/>
    <n v="-8756835.8100000005"/>
    <n v="1450"/>
    <n v="1.1379310344827587"/>
    <n v="0"/>
    <s v="ARS"/>
    <s v="CC"/>
    <s v="GALICIA"/>
    <x v="0"/>
    <x v="0"/>
    <x v="1"/>
    <s v="PERCEPCION IVA"/>
    <m/>
    <m/>
    <x v="0"/>
    <m/>
    <s v="25/26"/>
  </r>
  <r>
    <x v="0"/>
    <d v="2026-01-02T00:00:00"/>
    <s v="IMP. ING. BRUTOS"/>
    <m/>
    <n v="3300"/>
    <n v="0"/>
    <n v="3300"/>
    <n v="-8760135.8100000005"/>
    <n v="1450"/>
    <n v="2.2758620689655173"/>
    <n v="0"/>
    <s v="ARS"/>
    <s v="CC"/>
    <s v="GALICIA"/>
    <x v="0"/>
    <x v="0"/>
    <x v="1"/>
    <s v="IIBB"/>
    <m/>
    <m/>
    <x v="0"/>
    <m/>
    <s v="25/26"/>
  </r>
  <r>
    <x v="0"/>
    <d v="2026-01-02T00:00:00"/>
    <s v="IMP. DEB. LEY 25413 GRAL."/>
    <m/>
    <n v="429"/>
    <n v="0"/>
    <n v="429"/>
    <n v="-8760564.8100000005"/>
    <n v="1450"/>
    <n v="0.29586206896551726"/>
    <n v="0"/>
    <s v="ARS"/>
    <s v="CC"/>
    <s v="GALICIA"/>
    <x v="0"/>
    <x v="0"/>
    <x v="1"/>
    <s v="TASA GENERAL"/>
    <m/>
    <m/>
    <x v="0"/>
    <m/>
    <s v="25/26"/>
  </r>
  <r>
    <x v="0"/>
    <d v="2026-01-02T00:00:00"/>
    <s v="INTERESES SOBRE SALDOS DEUDORES"/>
    <m/>
    <n v="334458.75"/>
    <n v="0"/>
    <n v="334458.75"/>
    <n v="-9095023.5600000005"/>
    <n v="1450"/>
    <n v="230.66120689655173"/>
    <n v="0"/>
    <s v="ARS"/>
    <s v="CC"/>
    <s v="GALICIA"/>
    <x v="0"/>
    <x v="3"/>
    <x v="4"/>
    <m/>
    <m/>
    <m/>
    <x v="0"/>
    <m/>
    <s v="25/26"/>
  </r>
  <r>
    <x v="0"/>
    <d v="2026-01-02T00:00:00"/>
    <s v="IMPUESTO DE SELLOS"/>
    <m/>
    <n v="8482.25"/>
    <n v="0"/>
    <n v="8482.25"/>
    <n v="-9103505.8100000005"/>
    <n v="1450"/>
    <n v="5.8498275862068967"/>
    <n v="0"/>
    <s v="ARS"/>
    <s v="CC"/>
    <s v="GALICIA"/>
    <x v="0"/>
    <x v="0"/>
    <x v="1"/>
    <s v="SELLOS"/>
    <m/>
    <m/>
    <x v="0"/>
    <m/>
    <s v="25/26"/>
  </r>
  <r>
    <x v="0"/>
    <d v="2026-01-02T00:00:00"/>
    <s v="IVA"/>
    <m/>
    <n v="35118.17"/>
    <n v="0"/>
    <n v="35118.17"/>
    <n v="-9138623.9800000004"/>
    <n v="1450"/>
    <n v="24.219427586206894"/>
    <n v="0"/>
    <s v="ARS"/>
    <s v="CC"/>
    <s v="GALICIA"/>
    <x v="0"/>
    <x v="0"/>
    <x v="1"/>
    <s v="DEBITO IVA FISCAL"/>
    <m/>
    <m/>
    <x v="0"/>
    <m/>
    <s v="25/26"/>
  </r>
  <r>
    <x v="0"/>
    <d v="2026-01-02T00:00:00"/>
    <s v="PERCEP. IVA"/>
    <m/>
    <n v="5016.88"/>
    <n v="0"/>
    <n v="5016.88"/>
    <n v="-9143640.8599999994"/>
    <n v="1450"/>
    <n v="3.4599172413793102"/>
    <n v="0"/>
    <s v="ARS"/>
    <s v="CC"/>
    <s v="GALICIA"/>
    <x v="0"/>
    <x v="0"/>
    <x v="1"/>
    <s v="PERCEPCION IVA"/>
    <m/>
    <m/>
    <x v="0"/>
    <m/>
    <s v="25/26"/>
  </r>
  <r>
    <x v="0"/>
    <d v="2026-01-02T00:00:00"/>
    <s v="IMP. ING. BRUTOS"/>
    <m/>
    <n v="20067.53"/>
    <n v="0"/>
    <n v="20067.53"/>
    <n v="-9163708.3900000006"/>
    <n v="1450"/>
    <n v="13.839675862068965"/>
    <n v="0"/>
    <s v="ARS"/>
    <s v="CC"/>
    <s v="GALICIA"/>
    <x v="0"/>
    <x v="0"/>
    <x v="1"/>
    <s v="IIBB"/>
    <m/>
    <m/>
    <x v="0"/>
    <m/>
    <s v="25/26"/>
  </r>
  <r>
    <x v="0"/>
    <d v="2026-01-02T00:00:00"/>
    <s v="IMP. DEB. LEY 25413 GRAL."/>
    <m/>
    <n v="2418.86"/>
    <n v="0"/>
    <n v="2418.86"/>
    <n v="-9166127.25"/>
    <n v="1450"/>
    <n v="1.6681793103448277"/>
    <n v="0"/>
    <s v="ARS"/>
    <s v="CC"/>
    <s v="GALICIA"/>
    <x v="0"/>
    <x v="0"/>
    <x v="1"/>
    <s v="TASA GENERAL"/>
    <m/>
    <m/>
    <x v="0"/>
    <m/>
    <s v="25/26"/>
  </r>
  <r>
    <x v="0"/>
    <d v="2026-01-12T00:00:00"/>
    <s v="CUOTA DE PRESTAMO"/>
    <m/>
    <n v="1820705.53"/>
    <n v="0"/>
    <n v="1820705.53"/>
    <n v="-10986832.779999999"/>
    <n v="1450"/>
    <n v="1255.6589862068965"/>
    <n v="0"/>
    <s v="ARS"/>
    <s v="CC"/>
    <s v="GALICIA"/>
    <x v="1"/>
    <x v="4"/>
    <x v="5"/>
    <s v="GALICIA"/>
    <s v="GALICIA"/>
    <m/>
    <x v="10"/>
    <m/>
    <s v="25/26"/>
  </r>
  <r>
    <x v="0"/>
    <d v="2026-01-12T00:00:00"/>
    <s v="IMP. DEB. LEY 25413 GRAL."/>
    <m/>
    <n v="10924.23"/>
    <n v="0"/>
    <n v="10924.23"/>
    <n v="-10997757.01"/>
    <n v="1450"/>
    <n v="7.533951724137931"/>
    <n v="0"/>
    <s v="ARS"/>
    <s v="CC"/>
    <s v="GALICIA"/>
    <x v="0"/>
    <x v="0"/>
    <x v="1"/>
    <s v="TASA GENERAL"/>
    <m/>
    <m/>
    <x v="0"/>
    <m/>
    <s v="25/26"/>
  </r>
  <r>
    <x v="0"/>
    <d v="2026-01-13T00:00:00"/>
    <s v="TRANSFER. CASH MISMA TITULARIDAD"/>
    <m/>
    <n v="0"/>
    <n v="2500000"/>
    <n v="-2500000"/>
    <n v="-8497757.0099999998"/>
    <n v="1450"/>
    <n v="0"/>
    <n v="1724.1379310344828"/>
    <s v="ARS"/>
    <s v="CC"/>
    <s v="GALICIA"/>
    <x v="1"/>
    <x v="2"/>
    <x v="3"/>
    <s v="DESDE CC MACRO"/>
    <m/>
    <m/>
    <x v="2"/>
    <m/>
    <s v="25/26"/>
  </r>
  <r>
    <x v="0"/>
    <d v="2026-01-15T00:00:00"/>
    <s v="TRANSFER. CASH MISMA TITULARIDAD"/>
    <m/>
    <n v="0"/>
    <n v="8500000"/>
    <n v="-8500000"/>
    <n v="2242.9899999999998"/>
    <n v="1450"/>
    <n v="0"/>
    <n v="5862.0689655172409"/>
    <s v="ARS"/>
    <s v="CC"/>
    <s v="GALICIA"/>
    <x v="1"/>
    <x v="2"/>
    <x v="3"/>
    <s v="DESDE CC MACRO"/>
    <m/>
    <m/>
    <x v="2"/>
    <m/>
    <s v="25/26"/>
  </r>
  <r>
    <x v="0"/>
    <d v="2026-01-26T00:00:00"/>
    <s v="CHEQUE 48 HS."/>
    <s v="N68698178"/>
    <n v="114598"/>
    <n v="0"/>
    <n v="114598"/>
    <n v="-112355.01"/>
    <n v="1450"/>
    <n v="79.033103448275867"/>
    <n v="0"/>
    <s v="ARS"/>
    <s v="CC"/>
    <s v="GALICIA"/>
    <x v="3"/>
    <x v="8"/>
    <x v="11"/>
    <m/>
    <s v="GOMERIA OCHOA"/>
    <m/>
    <x v="11"/>
    <m/>
    <s v="25/26"/>
  </r>
  <r>
    <x v="0"/>
    <d v="2026-01-26T00:00:00"/>
    <s v="IMP. DEB. LEY 25413 GRAL."/>
    <m/>
    <n v="687.59"/>
    <n v="0"/>
    <n v="687.59"/>
    <n v="-113042.6"/>
    <n v="1450"/>
    <n v="0.47420000000000001"/>
    <n v="0"/>
    <s v="ARS"/>
    <s v="CC"/>
    <s v="GALICIA"/>
    <x v="0"/>
    <x v="0"/>
    <x v="1"/>
    <s v="TASA GENERAL"/>
    <m/>
    <m/>
    <x v="0"/>
    <m/>
    <s v="25/26"/>
  </r>
  <r>
    <x v="0"/>
    <d v="2026-01-26T00:00:00"/>
    <s v="CHEQUE GALICIA "/>
    <s v="N68698176"/>
    <n v="2483359.58"/>
    <n v="0"/>
    <n v="2483359.58"/>
    <n v="-2596402.1800000002"/>
    <n v="1450"/>
    <n v="1712.6617793103449"/>
    <n v="0"/>
    <s v="ARS"/>
    <s v="CC"/>
    <s v="GALICIA"/>
    <x v="4"/>
    <x v="9"/>
    <x v="12"/>
    <m/>
    <s v="HA COMBUSTIBLE"/>
    <s v="FA4963"/>
    <x v="11"/>
    <m/>
    <s v="25/26"/>
  </r>
  <r>
    <x v="0"/>
    <d v="2026-01-26T00:00:00"/>
    <s v="IMP. DEB. LEY 25413 GRAL."/>
    <m/>
    <n v="14900.16"/>
    <n v="0"/>
    <n v="14900.16"/>
    <n v="-2611302.34"/>
    <n v="1450"/>
    <n v="10.275972413793104"/>
    <n v="0"/>
    <s v="ARS"/>
    <s v="CC"/>
    <s v="GALICIA"/>
    <x v="0"/>
    <x v="0"/>
    <x v="1"/>
    <s v="TASA GENERAL"/>
    <m/>
    <m/>
    <x v="0"/>
    <m/>
    <s v="25/26"/>
  </r>
  <r>
    <x v="0"/>
    <d v="2026-01-29T00:00:00"/>
    <s v="CHEQUE 48 HS. "/>
    <s v="N68698175"/>
    <n v="283000"/>
    <n v="0"/>
    <n v="283000"/>
    <n v="-2894302.34"/>
    <n v="1450"/>
    <n v="195.17241379310346"/>
    <n v="0"/>
    <s v="ARS"/>
    <s v="CC"/>
    <s v="GALICIA"/>
    <x v="3"/>
    <x v="10"/>
    <x v="13"/>
    <m/>
    <s v="PANADERIA PICCO"/>
    <m/>
    <x v="11"/>
    <m/>
    <s v="25/26"/>
  </r>
  <r>
    <x v="0"/>
    <d v="2026-01-29T00:00:00"/>
    <s v="IMP. DEB. LEY 25413 GRAL."/>
    <m/>
    <n v="1698"/>
    <n v="0"/>
    <n v="1698"/>
    <n v="-2896000.34"/>
    <n v="1450"/>
    <n v="1.1710344827586208"/>
    <n v="0"/>
    <s v="ARS"/>
    <s v="CC"/>
    <s v="GALICIA"/>
    <x v="0"/>
    <x v="0"/>
    <x v="1"/>
    <s v="TASA GENERAL"/>
    <m/>
    <m/>
    <x v="0"/>
    <m/>
    <s v="25/26"/>
  </r>
  <r>
    <x v="0"/>
    <d v="2026-01-30T00:00:00"/>
    <s v="CHEQUE GALICIA "/>
    <s v="N68698177"/>
    <n v="310000"/>
    <n v="0"/>
    <n v="310000"/>
    <n v="-3206000.34"/>
    <n v="1450"/>
    <n v="213.79310344827587"/>
    <n v="0"/>
    <s v="ARS"/>
    <s v="CC"/>
    <s v="GALICIA"/>
    <x v="3"/>
    <x v="8"/>
    <x v="14"/>
    <m/>
    <s v="LEO FERNANDEZ"/>
    <s v="FA 386"/>
    <x v="11"/>
    <m/>
    <s v="25/26"/>
  </r>
  <r>
    <x v="0"/>
    <d v="2026-01-30T00:00:00"/>
    <s v="IMP. DEB. LEY 25413 GRAL."/>
    <m/>
    <n v="1860"/>
    <n v="0"/>
    <n v="1860"/>
    <n v="-3207860.34"/>
    <n v="1450"/>
    <n v="1.2827586206896551"/>
    <n v="0"/>
    <s v="ARS"/>
    <s v="CC"/>
    <s v="GALICIA"/>
    <x v="0"/>
    <x v="0"/>
    <x v="1"/>
    <s v="TASA GENERAL"/>
    <m/>
    <m/>
    <x v="0"/>
    <m/>
    <s v="25/26"/>
  </r>
  <r>
    <x v="1"/>
    <d v="2026-02-02T00:00:00"/>
    <s v="COMISION SERVICIO DE CUENTA"/>
    <m/>
    <n v="60000"/>
    <n v="0"/>
    <n v="60000"/>
    <n v="-3267860.34"/>
    <n v="1450"/>
    <n v="41.379310344827587"/>
    <n v="0"/>
    <s v="ARS"/>
    <s v="CC"/>
    <s v="GALICIA"/>
    <x v="0"/>
    <x v="0"/>
    <x v="0"/>
    <m/>
    <m/>
    <m/>
    <x v="0"/>
    <m/>
    <s v="25/26"/>
  </r>
  <r>
    <x v="1"/>
    <d v="2026-02-02T00:00:00"/>
    <s v="IVA"/>
    <m/>
    <n v="12600"/>
    <n v="0"/>
    <n v="12600"/>
    <n v="-3280460.34"/>
    <n v="1450"/>
    <n v="8.6896551724137936"/>
    <n v="0"/>
    <s v="ARS"/>
    <s v="CC"/>
    <s v="GALICIA"/>
    <x v="0"/>
    <x v="0"/>
    <x v="1"/>
    <s v="DEBITO IVA FISCAL"/>
    <m/>
    <m/>
    <x v="0"/>
    <m/>
    <s v="25/26"/>
  </r>
  <r>
    <x v="1"/>
    <d v="2026-02-02T00:00:00"/>
    <s v="PERCEP. IVA"/>
    <m/>
    <n v="1800"/>
    <n v="0"/>
    <n v="1800"/>
    <n v="-3282260.34"/>
    <n v="1450"/>
    <n v="1.2413793103448276"/>
    <n v="0"/>
    <s v="ARS"/>
    <s v="CC"/>
    <s v="GALICIA"/>
    <x v="0"/>
    <x v="0"/>
    <x v="1"/>
    <s v="IVA PERCEPCION"/>
    <m/>
    <m/>
    <x v="0"/>
    <m/>
    <s v="25/26"/>
  </r>
  <r>
    <x v="1"/>
    <d v="2026-02-02T00:00:00"/>
    <s v="IMP. ING. BRUTOS"/>
    <m/>
    <n v="3600"/>
    <n v="0"/>
    <n v="3600"/>
    <n v="-3285860.34"/>
    <n v="1450"/>
    <n v="2.4827586206896552"/>
    <n v="0"/>
    <s v="ARS"/>
    <s v="CC"/>
    <s v="GALICIA"/>
    <x v="0"/>
    <x v="0"/>
    <x v="1"/>
    <s v="IIBB"/>
    <m/>
    <m/>
    <x v="0"/>
    <m/>
    <s v="25/26"/>
  </r>
  <r>
    <x v="1"/>
    <d v="2026-02-02T00:00:00"/>
    <s v="COMISION CHEQUE PAGADO POR CLEARING"/>
    <m/>
    <n v="4200"/>
    <n v="0"/>
    <n v="4200"/>
    <n v="-3290060.34"/>
    <n v="1450"/>
    <n v="2.896551724137931"/>
    <n v="0"/>
    <s v="ARS"/>
    <s v="CC"/>
    <s v="GALICIA"/>
    <x v="0"/>
    <x v="0"/>
    <x v="0"/>
    <m/>
    <m/>
    <m/>
    <x v="0"/>
    <m/>
    <s v="25/26"/>
  </r>
  <r>
    <x v="1"/>
    <d v="2026-02-02T00:00:00"/>
    <s v="IVA"/>
    <m/>
    <n v="882"/>
    <n v="0"/>
    <n v="882"/>
    <n v="-3290942.34"/>
    <n v="1450"/>
    <n v="0.60827586206896556"/>
    <n v="0"/>
    <s v="ARS"/>
    <s v="CC"/>
    <s v="GALICIA"/>
    <x v="0"/>
    <x v="0"/>
    <x v="1"/>
    <s v="DEBITO IVA FISCAL"/>
    <m/>
    <m/>
    <x v="0"/>
    <m/>
    <s v="25/26"/>
  </r>
  <r>
    <x v="1"/>
    <d v="2026-02-02T00:00:00"/>
    <s v="PERCEP. IVA"/>
    <m/>
    <n v="126"/>
    <n v="0"/>
    <n v="126"/>
    <n v="-3291068.34"/>
    <n v="1450"/>
    <n v="8.6896551724137933E-2"/>
    <n v="0"/>
    <s v="ARS"/>
    <s v="CC"/>
    <s v="GALICIA"/>
    <x v="0"/>
    <x v="0"/>
    <x v="1"/>
    <s v="PERCEPCION IVA"/>
    <m/>
    <m/>
    <x v="0"/>
    <m/>
    <s v="25/26"/>
  </r>
  <r>
    <x v="1"/>
    <d v="2026-02-02T00:00:00"/>
    <s v="IMP. ING. BRUTOS"/>
    <m/>
    <n v="252"/>
    <n v="0"/>
    <n v="252"/>
    <n v="-3291320.34"/>
    <n v="1450"/>
    <n v="0.17379310344827587"/>
    <n v="0"/>
    <s v="ARS"/>
    <s v="CC"/>
    <s v="GALICIA"/>
    <x v="0"/>
    <x v="0"/>
    <x v="1"/>
    <s v="IIBB"/>
    <m/>
    <m/>
    <x v="0"/>
    <m/>
    <s v="25/26"/>
  </r>
  <r>
    <x v="1"/>
    <d v="2026-02-02T00:00:00"/>
    <s v="IMP. DEB. LEY 25413 GRAL."/>
    <m/>
    <n v="500.76"/>
    <n v="0"/>
    <n v="500.76"/>
    <n v="-3291821.1"/>
    <n v="1450"/>
    <n v="0.34535172413793103"/>
    <n v="0"/>
    <s v="ARS"/>
    <s v="CC"/>
    <s v="GALICIA"/>
    <x v="0"/>
    <x v="0"/>
    <x v="1"/>
    <s v="TASA GENERAL"/>
    <m/>
    <m/>
    <x v="0"/>
    <m/>
    <s v="25/26"/>
  </r>
  <r>
    <x v="1"/>
    <d v="2026-02-02T00:00:00"/>
    <s v="IMP. ING. BRUTOS"/>
    <m/>
    <n v="14100.65"/>
    <n v="0"/>
    <n v="14100.65"/>
    <n v="-3305921.75"/>
    <n v="1450"/>
    <n v="9.7245862068965518"/>
    <n v="0"/>
    <s v="ARS"/>
    <s v="CC"/>
    <s v="GALICIA"/>
    <x v="0"/>
    <x v="0"/>
    <x v="1"/>
    <s v="IIBB"/>
    <m/>
    <m/>
    <x v="0"/>
    <m/>
    <s v="25/26"/>
  </r>
  <r>
    <x v="1"/>
    <d v="2026-02-02T00:00:00"/>
    <s v="PERCEP. IVA"/>
    <m/>
    <n v="3525.16"/>
    <n v="0"/>
    <n v="3525.16"/>
    <n v="-3309446.91"/>
    <n v="1450"/>
    <n v="2.4311448275862069"/>
    <n v="0"/>
    <s v="ARS"/>
    <s v="CC"/>
    <s v="GALICIA"/>
    <x v="0"/>
    <x v="0"/>
    <x v="1"/>
    <s v="PERCEPCION IVA"/>
    <m/>
    <m/>
    <x v="0"/>
    <m/>
    <s v="25/26"/>
  </r>
  <r>
    <x v="1"/>
    <d v="2026-02-02T00:00:00"/>
    <s v="IVA"/>
    <m/>
    <n v="24676.13"/>
    <n v="0"/>
    <n v="24676.13"/>
    <n v="-3334123.04"/>
    <n v="1450"/>
    <n v="17.018020689655174"/>
    <n v="0"/>
    <s v="ARS"/>
    <s v="CC"/>
    <s v="GALICIA"/>
    <x v="0"/>
    <x v="0"/>
    <x v="1"/>
    <s v="DEBITO IVA FISCAL"/>
    <m/>
    <m/>
    <x v="0"/>
    <m/>
    <s v="25/26"/>
  </r>
  <r>
    <x v="1"/>
    <d v="2026-02-02T00:00:00"/>
    <s v="IMPUESTO DE SELLOS"/>
    <m/>
    <n v="4783.1899999999996"/>
    <n v="0"/>
    <n v="4783.1899999999996"/>
    <n v="-3338906.23"/>
    <n v="1450"/>
    <n v="3.2987517241379307"/>
    <n v="0"/>
    <s v="ARS"/>
    <s v="CC"/>
    <s v="GALICIA"/>
    <x v="0"/>
    <x v="0"/>
    <x v="1"/>
    <s v="SELLOS"/>
    <m/>
    <m/>
    <x v="0"/>
    <m/>
    <s v="25/26"/>
  </r>
  <r>
    <x v="1"/>
    <d v="2026-02-02T00:00:00"/>
    <s v="INTERESES SOBRE SALDOS DEUDORES"/>
    <m/>
    <n v="235010.77"/>
    <n v="0"/>
    <n v="235010.77"/>
    <n v="-3573917"/>
    <n v="1450"/>
    <n v="162.07639310344828"/>
    <n v="0"/>
    <s v="ARS"/>
    <s v="CC"/>
    <s v="GALICIA"/>
    <x v="0"/>
    <x v="3"/>
    <x v="4"/>
    <m/>
    <m/>
    <m/>
    <x v="0"/>
    <m/>
    <s v="25/26"/>
  </r>
  <r>
    <x v="1"/>
    <d v="2026-02-02T00:00:00"/>
    <s v="IMP. DEB. LEY 25413 GRAL."/>
    <m/>
    <n v="1692.58"/>
    <n v="0"/>
    <n v="1692.58"/>
    <n v="-3575609.58"/>
    <n v="1450"/>
    <n v="1.1672965517241378"/>
    <n v="0"/>
    <s v="ARS"/>
    <s v="CC"/>
    <s v="GALICIA"/>
    <x v="0"/>
    <x v="0"/>
    <x v="1"/>
    <s v="TASA GENERAL"/>
    <m/>
    <m/>
    <x v="0"/>
    <m/>
    <s v="25/26"/>
  </r>
  <r>
    <x v="1"/>
    <d v="2026-02-03T00:00:00"/>
    <s v="CHEQUE 48 HS. "/>
    <s v="N32841147"/>
    <n v="562654.07999999996"/>
    <n v="0"/>
    <n v="562654.07999999996"/>
    <n v="-4138263.66"/>
    <n v="1450"/>
    <n v="388.03729655172413"/>
    <n v="0"/>
    <s v="ARS"/>
    <s v="CC"/>
    <s v="GALICIA"/>
    <x v="3"/>
    <x v="10"/>
    <x v="15"/>
    <m/>
    <s v="FERRETERIA BULTOR"/>
    <m/>
    <x v="11"/>
    <m/>
    <s v="25/26"/>
  </r>
  <r>
    <x v="1"/>
    <d v="2026-02-02T00:00:00"/>
    <s v="CHEQUE GALICIA "/>
    <s v="N32841148"/>
    <n v="662600.02"/>
    <n v="0"/>
    <n v="662600.02"/>
    <n v="-4800863.68"/>
    <n v="1450"/>
    <n v="456.96553103448275"/>
    <n v="0"/>
    <s v="ARS"/>
    <s v="CC"/>
    <s v="GALICIA"/>
    <x v="4"/>
    <x v="9"/>
    <x v="16"/>
    <m/>
    <s v="LA YUNTA VETERINARIA"/>
    <s v="FA997"/>
    <x v="11"/>
    <m/>
    <s v="25/26"/>
  </r>
  <r>
    <x v="1"/>
    <d v="2026-02-03T00:00:00"/>
    <s v="CHEQUE 48 HS. "/>
    <s v="N32841150"/>
    <n v="1500000"/>
    <n v="0"/>
    <n v="1500000"/>
    <n v="-6300863.6799999997"/>
    <n v="1450"/>
    <n v="1034.4827586206898"/>
    <n v="0"/>
    <s v="ARS"/>
    <s v="CC"/>
    <s v="GALICIA"/>
    <x v="3"/>
    <x v="10"/>
    <x v="17"/>
    <m/>
    <s v="MADERA MENDEZ"/>
    <s v="FA4888"/>
    <x v="11"/>
    <m/>
    <s v="25/26"/>
  </r>
  <r>
    <x v="1"/>
    <d v="2026-02-03T00:00:00"/>
    <s v="TRF INMED PROVEED"/>
    <m/>
    <n v="589918.56000000006"/>
    <n v="0"/>
    <n v="589918.56000000006"/>
    <n v="-6894757.8399999999"/>
    <n v="1450"/>
    <n v="406.8403862068966"/>
    <n v="0"/>
    <s v="ARS"/>
    <s v="CC"/>
    <s v="GALICIA"/>
    <x v="2"/>
    <x v="5"/>
    <x v="6"/>
    <s v="SOJA ENLIST CANON"/>
    <s v="EL JAQUE SA"/>
    <s v="FA8650"/>
    <x v="11"/>
    <m/>
    <s v="25/26"/>
  </r>
  <r>
    <x v="1"/>
    <d v="2026-02-03T00:00:00"/>
    <s v="IMP. DEB. LEY 25413 GRAL."/>
    <m/>
    <n v="15915.44"/>
    <n v="0"/>
    <n v="15915.44"/>
    <n v="-6910673.2800000003"/>
    <n v="1450"/>
    <n v="10.97616551724138"/>
    <n v="0"/>
    <s v="ARS"/>
    <s v="CC"/>
    <s v="GALICIA"/>
    <x v="0"/>
    <x v="0"/>
    <x v="1"/>
    <s v="TASA GENERAL"/>
    <m/>
    <m/>
    <x v="0"/>
    <m/>
    <s v="25/26"/>
  </r>
  <r>
    <x v="1"/>
    <d v="2026-02-04T00:00:00"/>
    <s v="TRANSF INMED CP"/>
    <m/>
    <n v="150000"/>
    <n v="0"/>
    <n v="150000"/>
    <n v="-7060673.2800000003"/>
    <n v="1450"/>
    <n v="103.44827586206897"/>
    <n v="0"/>
    <s v="ARS"/>
    <s v="CC"/>
    <s v="GALICIA"/>
    <x v="1"/>
    <x v="2"/>
    <x v="3"/>
    <s v="HACIA CC NACION"/>
    <m/>
    <m/>
    <x v="2"/>
    <m/>
    <s v="25/26"/>
  </r>
  <r>
    <x v="1"/>
    <d v="2026-02-09T00:00:00"/>
    <s v="TRANSF INMED CP"/>
    <m/>
    <n v="1700000"/>
    <n v="0"/>
    <n v="1700000"/>
    <n v="-8760673.2799999993"/>
    <n v="1450"/>
    <n v="1172.4137931034484"/>
    <n v="0"/>
    <s v="ARS"/>
    <s v="CC"/>
    <s v="GALICIA"/>
    <x v="1"/>
    <x v="2"/>
    <x v="3"/>
    <s v="HACIA CC NACION"/>
    <m/>
    <m/>
    <x v="2"/>
    <m/>
    <s v="25/26"/>
  </r>
  <r>
    <x v="1"/>
    <d v="2026-02-10T00:00:00"/>
    <s v="CHEQUE 48 HS. "/>
    <s v="N32841149"/>
    <n v="660000"/>
    <n v="0"/>
    <n v="660000"/>
    <n v="-9420673.2799999993"/>
    <n v="1450"/>
    <n v="455.17241379310343"/>
    <n v="0"/>
    <s v="ARS"/>
    <s v="CC"/>
    <s v="GALICIA"/>
    <x v="4"/>
    <x v="9"/>
    <x v="18"/>
    <s v="HONORARIOS"/>
    <s v="PICCIOCHI FEDE "/>
    <m/>
    <x v="11"/>
    <m/>
    <s v="25/26"/>
  </r>
  <r>
    <x v="1"/>
    <d v="2026-02-10T00:00:00"/>
    <s v="TRANSFERENCIA DE CUENTA PROPIA"/>
    <m/>
    <n v="0"/>
    <n v="700000"/>
    <n v="-700000"/>
    <n v="-8720673.2799999993"/>
    <n v="1450"/>
    <n v="0"/>
    <n v="482.75862068965517"/>
    <s v="ARS"/>
    <s v="CC"/>
    <s v="GALICIA"/>
    <x v="1"/>
    <x v="2"/>
    <x v="3"/>
    <s v="DESDE CC NACION"/>
    <m/>
    <m/>
    <x v="2"/>
    <m/>
    <s v="25/26"/>
  </r>
  <r>
    <x v="1"/>
    <d v="2026-02-10T00:00:00"/>
    <s v="IMP. DEB. LEY 25413 GRAL."/>
    <m/>
    <n v="3960"/>
    <n v="0"/>
    <n v="3960"/>
    <n v="-8724633.2799999993"/>
    <n v="1450"/>
    <n v="2.7310344827586208"/>
    <n v="0"/>
    <s v="ARS"/>
    <s v="CC"/>
    <s v="GALICIA"/>
    <x v="0"/>
    <x v="0"/>
    <x v="1"/>
    <s v="TASA GENERAL"/>
    <m/>
    <m/>
    <x v="0"/>
    <m/>
    <s v="25/26"/>
  </r>
  <r>
    <x v="1"/>
    <d v="2026-02-10T00:00:00"/>
    <s v="CHEQUE GALICIA NRO. 68698174"/>
    <m/>
    <n v="360000"/>
    <n v="0"/>
    <n v="360000"/>
    <n v="-9084633.2799999993"/>
    <n v="1450"/>
    <n v="248.27586206896552"/>
    <n v="0"/>
    <s v="ARS"/>
    <s v="CC"/>
    <s v="GALICIA"/>
    <x v="3"/>
    <x v="10"/>
    <x v="19"/>
    <s v="GOMERIA"/>
    <s v="GOMERIA CARLITOS"/>
    <s v="FA457"/>
    <x v="12"/>
    <m/>
    <s v="25/26"/>
  </r>
  <r>
    <x v="1"/>
    <d v="2026-02-10T00:00:00"/>
    <s v="IMP. DEB. LEY 25413 GRAL."/>
    <m/>
    <n v="2160"/>
    <n v="0"/>
    <n v="2160"/>
    <n v="-9086793.2799999993"/>
    <n v="1450"/>
    <n v="1.4896551724137932"/>
    <n v="0"/>
    <s v="ARS"/>
    <s v="CC"/>
    <s v="GALICIA"/>
    <x v="0"/>
    <x v="0"/>
    <x v="1"/>
    <s v="TASA GENERAL"/>
    <m/>
    <m/>
    <x v="0"/>
    <m/>
    <s v="25/26"/>
  </r>
  <r>
    <x v="1"/>
    <d v="2026-02-11T00:00:00"/>
    <s v="TRANSFERENCIA DE CUENTA PROPIA"/>
    <m/>
    <n v="0"/>
    <n v="300"/>
    <n v="-300"/>
    <n v="-9086493.2799999993"/>
    <n v="1450"/>
    <n v="0"/>
    <n v="0.20689655172413793"/>
    <s v="ARS"/>
    <s v="CC"/>
    <s v="GALICIA"/>
    <x v="1"/>
    <x v="2"/>
    <x v="3"/>
    <s v="DESDE CC NACION"/>
    <m/>
    <m/>
    <x v="2"/>
    <m/>
    <s v="25/26"/>
  </r>
  <r>
    <x v="1"/>
    <d v="2026-02-11T00:00:00"/>
    <s v="TRANSFERENCIA DE CUENTA PROPIA"/>
    <m/>
    <n v="0"/>
    <n v="300000"/>
    <n v="-300000"/>
    <n v="-8786493.2799999993"/>
    <n v="1450"/>
    <n v="0"/>
    <n v="206.89655172413794"/>
    <s v="ARS"/>
    <s v="CC"/>
    <s v="GALICIA"/>
    <x v="1"/>
    <x v="2"/>
    <x v="3"/>
    <s v="DESDE CC NACION"/>
    <m/>
    <m/>
    <x v="2"/>
    <m/>
    <s v="25/26"/>
  </r>
  <r>
    <x v="1"/>
    <d v="2026-02-12T00:00:00"/>
    <s v="TRANSFERENCIA DE CUENTA PROPIA"/>
    <m/>
    <n v="0"/>
    <n v="1200000"/>
    <n v="-1200000"/>
    <n v="-7586493.2800000003"/>
    <n v="1450"/>
    <n v="0"/>
    <n v="827.58620689655174"/>
    <s v="ARS"/>
    <s v="CC"/>
    <s v="GALICIA"/>
    <x v="1"/>
    <x v="2"/>
    <x v="3"/>
    <s v="DESDE CC NACION"/>
    <m/>
    <m/>
    <x v="2"/>
    <m/>
    <s v="25/26"/>
  </r>
  <r>
    <x v="1"/>
    <d v="2026-02-12T00:00:00"/>
    <s v="TRANSFERENCIA DE TERCEROS"/>
    <m/>
    <n v="0"/>
    <n v="800000"/>
    <n v="-800000"/>
    <n v="-6786493.2800000003"/>
    <n v="1450"/>
    <n v="0"/>
    <n v="551.72413793103453"/>
    <s v="ARS"/>
    <s v="CC"/>
    <s v="GALICIA"/>
    <x v="0"/>
    <x v="1"/>
    <x v="20"/>
    <m/>
    <s v="RAUL ERRECALDE"/>
    <m/>
    <x v="7"/>
    <s v="RAUL"/>
    <s v="25/26"/>
  </r>
  <r>
    <x v="1"/>
    <d v="2026-02-12T00:00:00"/>
    <s v="IMP. CRE. LEY 25413"/>
    <m/>
    <n v="4800"/>
    <n v="0"/>
    <n v="4800"/>
    <n v="-6791293.2800000003"/>
    <n v="1450"/>
    <n v="3.3103448275862069"/>
    <n v="0"/>
    <s v="ARS"/>
    <s v="CC"/>
    <s v="GALICIA"/>
    <x v="0"/>
    <x v="0"/>
    <x v="1"/>
    <s v="TASA GENERAL"/>
    <m/>
    <m/>
    <x v="0"/>
    <m/>
    <s v="25/26"/>
  </r>
  <r>
    <x v="1"/>
    <d v="2026-02-12T00:00:00"/>
    <s v="CUOTA DE PRESTAMO"/>
    <m/>
    <n v="1810333.56"/>
    <n v="0"/>
    <n v="1810333.56"/>
    <n v="-8601626.8399999999"/>
    <n v="1450"/>
    <n v="1248.5059034482758"/>
    <n v="0"/>
    <s v="ARS"/>
    <s v="CC"/>
    <s v="GALICIA"/>
    <x v="1"/>
    <x v="4"/>
    <x v="21"/>
    <s v="GALICIA"/>
    <s v="GALICIA"/>
    <m/>
    <x v="10"/>
    <m/>
    <s v="25/26"/>
  </r>
  <r>
    <x v="1"/>
    <d v="2026-02-12T00:00:00"/>
    <s v="IMP. DEB. LEY 25413 GRAL."/>
    <m/>
    <n v="10862"/>
    <n v="0"/>
    <n v="10862"/>
    <n v="-8612488.8399999999"/>
    <n v="1450"/>
    <n v="7.4910344827586206"/>
    <n v="0"/>
    <s v="ARS"/>
    <s v="CC"/>
    <s v="GALICIA"/>
    <x v="0"/>
    <x v="0"/>
    <x v="1"/>
    <s v="TASA GENERAL"/>
    <m/>
    <m/>
    <x v="0"/>
    <m/>
    <s v="25/26"/>
  </r>
  <r>
    <x v="1"/>
    <d v="2026-02-13T00:00:00"/>
    <s v="TRANSF INMED CP"/>
    <m/>
    <n v="80000"/>
    <n v="0"/>
    <n v="80000"/>
    <n v="-8692488.8399999999"/>
    <n v="1450"/>
    <n v="55.172413793103445"/>
    <n v="0"/>
    <s v="ARS"/>
    <s v="CC"/>
    <s v="GALICIA"/>
    <x v="1"/>
    <x v="2"/>
    <x v="3"/>
    <s v="HACIA CC MACRO"/>
    <m/>
    <m/>
    <x v="2"/>
    <m/>
    <s v="25/26"/>
  </r>
  <r>
    <x v="1"/>
    <d v="2026-02-23T00:00:00"/>
    <s v="CHEQUE 48 HS. "/>
    <s v="N32841160"/>
    <n v="795300"/>
    <n v="0"/>
    <n v="795300"/>
    <n v="-9487788.8399999999"/>
    <n v="1450"/>
    <n v="548.48275862068965"/>
    <n v="0"/>
    <s v="ARS"/>
    <s v="CC"/>
    <s v="GALICIA"/>
    <x v="3"/>
    <x v="11"/>
    <x v="22"/>
    <s v="ARRANQUE PALA"/>
    <s v="GARELLO"/>
    <m/>
    <x v="11"/>
    <m/>
    <s v="25/26"/>
  </r>
  <r>
    <x v="1"/>
    <d v="2026-02-23T00:00:00"/>
    <s v="TRANSFERENCIA DE CUENTA PROPIA"/>
    <m/>
    <n v="0"/>
    <n v="1000000"/>
    <n v="-1000000"/>
    <n v="-8487788.8399999999"/>
    <n v="1450"/>
    <n v="0"/>
    <n v="689.65517241379314"/>
    <s v="ARS"/>
    <s v="CC"/>
    <s v="GALICIA"/>
    <x v="1"/>
    <x v="2"/>
    <x v="3"/>
    <m/>
    <m/>
    <m/>
    <x v="2"/>
    <m/>
    <s v="25/26"/>
  </r>
  <r>
    <x v="1"/>
    <d v="2026-02-23T00:00:00"/>
    <s v="TRF INMED PROVEED"/>
    <m/>
    <n v="20000"/>
    <n v="0"/>
    <n v="20000"/>
    <n v="-8507788.8399999999"/>
    <n v="1450"/>
    <n v="13.793103448275861"/>
    <n v="0"/>
    <s v="ARS"/>
    <s v="CC"/>
    <s v="GALICIA"/>
    <x v="3"/>
    <x v="10"/>
    <x v="19"/>
    <m/>
    <s v="FAVA"/>
    <m/>
    <x v="12"/>
    <m/>
    <s v="25/26"/>
  </r>
  <r>
    <x v="1"/>
    <d v="2026-02-23T00:00:00"/>
    <s v="IMP. DEB. LEY 25413 GRAL."/>
    <m/>
    <n v="4891.8"/>
    <n v="0"/>
    <n v="4891.8"/>
    <n v="-8512680.6400000006"/>
    <n v="1450"/>
    <n v="3.3736551724137933"/>
    <n v="0"/>
    <s v="ARS"/>
    <s v="CC"/>
    <s v="GALICIA"/>
    <x v="0"/>
    <x v="0"/>
    <x v="1"/>
    <s v="TASA GENERAL"/>
    <m/>
    <m/>
    <x v="0"/>
    <m/>
    <s v="25/26"/>
  </r>
  <r>
    <x v="1"/>
    <d v="2026-02-24T00:00:00"/>
    <s v="CHEQUE 48 HS. "/>
    <s v="N32841159"/>
    <n v="100000"/>
    <n v="0"/>
    <n v="100000"/>
    <n v="-8612680.6400000006"/>
    <n v="1450"/>
    <n v="68.965517241379317"/>
    <n v="0"/>
    <s v="ARS"/>
    <s v="CC"/>
    <s v="GALICIA"/>
    <x v="0"/>
    <x v="12"/>
    <x v="23"/>
    <m/>
    <s v="CRISTIAN OLMEDO"/>
    <m/>
    <x v="11"/>
    <m/>
    <s v="25/26"/>
  </r>
  <r>
    <x v="0"/>
    <d v="2026-01-20T00:00:00"/>
    <s v="TEF DATANET PAGOS AFIP"/>
    <m/>
    <n v="1427167.52"/>
    <n v="0"/>
    <n v="1427167.52"/>
    <n v="-1427167.52"/>
    <n v="1450"/>
    <n v="984.25346206896552"/>
    <n v="0"/>
    <s v="ARS"/>
    <s v="CA"/>
    <s v="MACRO"/>
    <x v="0"/>
    <x v="12"/>
    <x v="24"/>
    <s v="F931- PERIODO DIC "/>
    <s v="ANDRES TOLEDO"/>
    <m/>
    <x v="13"/>
    <m/>
    <s v="25/26"/>
  </r>
  <r>
    <x v="0"/>
    <d v="2026-01-20T00:00:00"/>
    <s v="DBCR 25413 S/DB TASA GRAL"/>
    <m/>
    <n v="8563.01"/>
    <n v="0"/>
    <n v="8563.01"/>
    <n v="-1435730.53"/>
    <n v="1450"/>
    <n v="5.9055241379310344"/>
    <n v="0"/>
    <s v="ARS"/>
    <s v="CA"/>
    <s v="MACRO"/>
    <x v="0"/>
    <x v="0"/>
    <x v="1"/>
    <s v="TASA GENERAL"/>
    <m/>
    <m/>
    <x v="0"/>
    <m/>
    <s v="25/26"/>
  </r>
  <r>
    <x v="0"/>
    <d v="2026-01-20T00:00:00"/>
    <s v="CR TRANSF AUT SDO MISMO TIT"/>
    <m/>
    <n v="0"/>
    <n v="1435730.53"/>
    <n v="-1435730.53"/>
    <n v="0"/>
    <n v="1450"/>
    <n v="0"/>
    <n v="990.15898620689654"/>
    <s v="ARS"/>
    <s v="CA"/>
    <s v="MACRO"/>
    <x v="1"/>
    <x v="2"/>
    <x v="3"/>
    <s v="DESDE CC MACRO"/>
    <m/>
    <m/>
    <x v="2"/>
    <m/>
    <s v="24/25"/>
  </r>
  <r>
    <x v="0"/>
    <d v="2026-01-29T00:00:00"/>
    <s v="DEBITO FISCAL IVA BASICO"/>
    <m/>
    <n v="0"/>
    <n v="11277"/>
    <n v="-11277"/>
    <n v="-11277"/>
    <n v="1450"/>
    <n v="0"/>
    <n v="7.777241379310345"/>
    <s v="ARS"/>
    <s v="CA"/>
    <s v="MACRO"/>
    <x v="0"/>
    <x v="0"/>
    <x v="1"/>
    <s v="DEBITO IVA FISCAL"/>
    <m/>
    <m/>
    <x v="0"/>
    <m/>
    <s v="25/26"/>
  </r>
  <r>
    <x v="0"/>
    <d v="2026-01-29T00:00:00"/>
    <s v="DEBITO FISCAL IVA PERCEPCION"/>
    <m/>
    <n v="0"/>
    <n v="1611"/>
    <n v="-1611"/>
    <n v="-12888"/>
    <n v="1450"/>
    <n v="0"/>
    <n v="1.1110344827586207"/>
    <s v="ARS"/>
    <s v="CA"/>
    <s v="MACRO"/>
    <x v="0"/>
    <x v="0"/>
    <x v="1"/>
    <s v="PERCEPCION IVA"/>
    <m/>
    <m/>
    <x v="0"/>
    <m/>
    <s v="25/26"/>
  </r>
  <r>
    <x v="0"/>
    <d v="2026-01-29T00:00:00"/>
    <s v="MANTENIMIENTO MENSUAL PAQUETE"/>
    <m/>
    <n v="0"/>
    <n v="53700"/>
    <n v="-53700"/>
    <n v="-66588"/>
    <n v="1450"/>
    <n v="0"/>
    <n v="37.03448275862069"/>
    <s v="ARS"/>
    <s v="CA"/>
    <s v="MACRO"/>
    <x v="0"/>
    <x v="13"/>
    <x v="25"/>
    <m/>
    <m/>
    <m/>
    <x v="0"/>
    <m/>
    <s v="25/26"/>
  </r>
  <r>
    <x v="0"/>
    <d v="2026-01-29T00:00:00"/>
    <s v="DBCR 25413 S/DB TASA GRAL"/>
    <m/>
    <n v="0"/>
    <n v="399.53"/>
    <n v="-399.53"/>
    <n v="-66987.53"/>
    <n v="1450"/>
    <n v="0"/>
    <n v="0.27553793103448276"/>
    <s v="ARS"/>
    <s v="CA"/>
    <s v="MACRO"/>
    <x v="0"/>
    <x v="0"/>
    <x v="1"/>
    <s v="TASA GENERAL"/>
    <m/>
    <m/>
    <x v="0"/>
    <m/>
    <s v="25/26"/>
  </r>
  <r>
    <x v="0"/>
    <d v="2026-01-29T00:00:00"/>
    <s v="CR TRANSF AUT SDO MISMO TIT"/>
    <m/>
    <n v="0"/>
    <n v="66987.53"/>
    <n v="-66987.53"/>
    <n v="0"/>
    <n v="1450"/>
    <n v="0"/>
    <n v="46.198296551724134"/>
    <s v="ARS"/>
    <s v="CA"/>
    <s v="MACRO"/>
    <x v="1"/>
    <x v="2"/>
    <x v="3"/>
    <s v="DESDE CC MACRO"/>
    <m/>
    <m/>
    <x v="2"/>
    <m/>
    <s v="25/26"/>
  </r>
  <r>
    <x v="1"/>
    <d v="2026-02-20T00:00:00"/>
    <s v="TEF DATANET PAGOS AFIP"/>
    <m/>
    <n v="947191.21"/>
    <n v="0"/>
    <n v="947191.21"/>
    <n v="22062.823333333301"/>
    <n v="1450"/>
    <n v="653.23531724137933"/>
    <n v="0"/>
    <s v="ARS"/>
    <s v="CA"/>
    <s v="MACRO"/>
    <x v="0"/>
    <x v="12"/>
    <x v="24"/>
    <s v="F931- PERIODO ENERO"/>
    <s v="ANDRES TOLEDO"/>
    <m/>
    <x v="13"/>
    <m/>
    <s v="25/26"/>
  </r>
  <r>
    <x v="1"/>
    <d v="2026-02-20T00:00:00"/>
    <s v="DBCR 25413 S/DB TASA GRAL"/>
    <m/>
    <n v="5683.15"/>
    <n v="0"/>
    <n v="5683.15"/>
    <n v="55356.823333333297"/>
    <n v="1450"/>
    <n v="3.9194137931034478"/>
    <n v="0"/>
    <s v="ARS"/>
    <s v="CA"/>
    <s v="MACRO"/>
    <x v="0"/>
    <x v="0"/>
    <x v="1"/>
    <s v="TASA GENERAL"/>
    <m/>
    <m/>
    <x v="0"/>
    <m/>
    <s v="25/26"/>
  </r>
  <r>
    <x v="1"/>
    <d v="2026-02-20T00:00:00"/>
    <s v="CR TRANSF AUT SDO MISMO TIT"/>
    <m/>
    <n v="0"/>
    <n v="952874.36"/>
    <n v="-952874.36"/>
    <n v="88650.823333333305"/>
    <n v="1450"/>
    <n v="0"/>
    <n v="657.15473103448278"/>
    <s v="ARS"/>
    <s v="CA"/>
    <s v="MACRO"/>
    <x v="1"/>
    <x v="2"/>
    <x v="3"/>
    <s v="DESDE CC MACRO"/>
    <m/>
    <m/>
    <x v="2"/>
    <m/>
    <s v="25/26"/>
  </r>
  <r>
    <x v="0"/>
    <d v="2026-01-02T00:00:00"/>
    <s v="DEBITO FISCAL IVA BASICO"/>
    <m/>
    <n v="10347.709999999999"/>
    <n v="0"/>
    <n v="10347.709999999999"/>
    <n v="-5846075.1500000004"/>
    <n v="1450"/>
    <n v="7.1363517241379304"/>
    <n v="0"/>
    <s v="ARS"/>
    <s v="CC"/>
    <s v="MACRO"/>
    <x v="0"/>
    <x v="0"/>
    <x v="1"/>
    <s v="DEBITO IVA FISCAL"/>
    <m/>
    <m/>
    <x v="0"/>
    <m/>
    <s v="25/26"/>
  </r>
  <r>
    <x v="0"/>
    <d v="2026-01-02T00:00:00"/>
    <s v="DEBITO FISCAL IVA PERCEPCION"/>
    <m/>
    <n v="1478.24"/>
    <n v="0"/>
    <n v="1478.24"/>
    <n v="-5847553.3899999997"/>
    <n v="1450"/>
    <n v="1.0194758620689655"/>
    <n v="0"/>
    <s v="ARS"/>
    <s v="CC"/>
    <s v="MACRO"/>
    <x v="0"/>
    <x v="0"/>
    <x v="1"/>
    <s v="IVA PERCEPCION"/>
    <s v="ARCA"/>
    <m/>
    <x v="0"/>
    <m/>
    <s v="25/26"/>
  </r>
  <r>
    <x v="0"/>
    <d v="2026-01-02T00:00:00"/>
    <s v="INTER.ADEL.CC C/ACUERD"/>
    <m/>
    <n v="98549.6"/>
    <n v="0"/>
    <n v="98549.6"/>
    <n v="-5946102.9900000002"/>
    <n v="1450"/>
    <n v="67.965241379310342"/>
    <n v="0"/>
    <s v="ARS"/>
    <s v="CC"/>
    <s v="MACRO"/>
    <x v="0"/>
    <x v="3"/>
    <x v="4"/>
    <s v="ACUERDOS"/>
    <m/>
    <m/>
    <x v="0"/>
    <m/>
    <s v="25/26"/>
  </r>
  <r>
    <x v="0"/>
    <d v="2026-01-02T00:00:00"/>
    <s v="DEBITO FISCAL IVA BASICO"/>
    <m/>
    <n v="12150.76"/>
    <n v="0"/>
    <n v="12150.76"/>
    <n v="-5958253.75"/>
    <n v="1450"/>
    <n v="8.3798344827586213"/>
    <n v="0"/>
    <s v="ARS"/>
    <s v="CC"/>
    <s v="MACRO"/>
    <x v="0"/>
    <x v="0"/>
    <x v="1"/>
    <s v="DEBITO IVA FISCAL"/>
    <m/>
    <m/>
    <x v="0"/>
    <m/>
    <s v="25/26"/>
  </r>
  <r>
    <x v="0"/>
    <d v="2026-01-02T00:00:00"/>
    <s v="DEBITO FISCAL IVA PERCEPCION"/>
    <m/>
    <n v="1735.82"/>
    <n v="0"/>
    <n v="1735.82"/>
    <n v="-5959989.5700000003"/>
    <n v="1450"/>
    <n v="1.1971172413793103"/>
    <n v="0"/>
    <s v="ARS"/>
    <s v="CC"/>
    <s v="MACRO"/>
    <x v="0"/>
    <x v="0"/>
    <x v="1"/>
    <s v="IVA PERCEPCION"/>
    <s v="ARCA"/>
    <m/>
    <x v="0"/>
    <m/>
    <s v="25/26"/>
  </r>
  <r>
    <x v="0"/>
    <d v="2026-01-02T00:00:00"/>
    <s v="INTER.ADEL.CC C/ACUERD"/>
    <m/>
    <n v="115721.5"/>
    <n v="0"/>
    <n v="115721.5"/>
    <n v="-6075711.0700000003"/>
    <n v="1450"/>
    <n v="79.807931034482763"/>
    <n v="0"/>
    <s v="ARS"/>
    <s v="CC"/>
    <s v="MACRO"/>
    <x v="0"/>
    <x v="3"/>
    <x v="4"/>
    <s v="ACUERDOS"/>
    <m/>
    <m/>
    <x v="0"/>
    <m/>
    <s v="25/26"/>
  </r>
  <r>
    <x v="0"/>
    <d v="2026-01-02T00:00:00"/>
    <s v="DEBITO FISCAL IVA BASICO"/>
    <m/>
    <n v="634.67999999999995"/>
    <n v="0"/>
    <n v="634.67999999999995"/>
    <n v="-6076345.75"/>
    <n v="1450"/>
    <n v="0.4377103448275862"/>
    <n v="0"/>
    <s v="ARS"/>
    <s v="CC"/>
    <s v="MACRO"/>
    <x v="0"/>
    <x v="0"/>
    <x v="1"/>
    <s v="DEBITO IVA FISCAL"/>
    <m/>
    <m/>
    <x v="0"/>
    <m/>
    <s v="25/26"/>
  </r>
  <r>
    <x v="0"/>
    <d v="2026-01-02T00:00:00"/>
    <s v="DEBITO FISCAL IVA PERCEPCION"/>
    <m/>
    <n v="90.67"/>
    <n v="0"/>
    <n v="90.67"/>
    <n v="-6076436.4199999999"/>
    <n v="1450"/>
    <n v="6.2531034482758624E-2"/>
    <n v="0"/>
    <s v="ARS"/>
    <s v="CC"/>
    <s v="MACRO"/>
    <x v="0"/>
    <x v="0"/>
    <x v="1"/>
    <s v="IVA PERCEPCION"/>
    <s v="ARCA"/>
    <m/>
    <x v="0"/>
    <m/>
    <s v="25/26"/>
  </r>
  <r>
    <x v="0"/>
    <d v="2026-01-02T00:00:00"/>
    <s v="INTER.ADEL.CC S/ACUERD"/>
    <m/>
    <n v="6044.54"/>
    <n v="0"/>
    <n v="6044.54"/>
    <n v="-6082480.96"/>
    <n v="1450"/>
    <n v="4.1686482758620693"/>
    <n v="0"/>
    <s v="ARS"/>
    <s v="CC"/>
    <s v="MACRO"/>
    <x v="0"/>
    <x v="3"/>
    <x v="4"/>
    <s v="ACUERDOS"/>
    <m/>
    <m/>
    <x v="0"/>
    <m/>
    <s v="25/26"/>
  </r>
  <r>
    <x v="0"/>
    <d v="2026-01-02T00:00:00"/>
    <s v="DGR SELLOS CORDOBA"/>
    <m/>
    <n v="2800"/>
    <n v="0"/>
    <n v="2800"/>
    <n v="-6085280.96"/>
    <n v="1450"/>
    <n v="1.9310344827586208"/>
    <n v="0"/>
    <s v="ARS"/>
    <s v="CC"/>
    <s v="MACRO"/>
    <x v="0"/>
    <x v="0"/>
    <x v="1"/>
    <s v="SELLOS"/>
    <m/>
    <m/>
    <x v="0"/>
    <m/>
    <s v="25/26"/>
  </r>
  <r>
    <x v="0"/>
    <d v="2026-01-02T00:00:00"/>
    <s v="DGR SELLOS CORDOBA"/>
    <m/>
    <n v="2679.51"/>
    <n v="0"/>
    <n v="2679.51"/>
    <n v="-6087960.4699999997"/>
    <n v="1450"/>
    <n v="1.847937931034483"/>
    <n v="0"/>
    <s v="ARS"/>
    <s v="CC"/>
    <s v="MACRO"/>
    <x v="0"/>
    <x v="0"/>
    <x v="1"/>
    <s v="SELLOS"/>
    <m/>
    <m/>
    <x v="0"/>
    <m/>
    <s v="25/26"/>
  </r>
  <r>
    <x v="0"/>
    <d v="2026-01-02T00:00:00"/>
    <s v="DGR SELLOS CORDOBA"/>
    <m/>
    <n v="141.07"/>
    <n v="0"/>
    <n v="141.07"/>
    <n v="-6088101.54"/>
    <n v="1450"/>
    <n v="9.7289655172413794E-2"/>
    <n v="0"/>
    <s v="ARS"/>
    <s v="CC"/>
    <s v="MACRO"/>
    <x v="0"/>
    <x v="0"/>
    <x v="1"/>
    <s v="SELLOS"/>
    <m/>
    <m/>
    <x v="0"/>
    <m/>
    <s v="25/26"/>
  </r>
  <r>
    <x v="0"/>
    <d v="2026-01-02T00:00:00"/>
    <s v="DBCR 25413 S/DB TASA GRAL"/>
    <m/>
    <n v="1514.25"/>
    <n v="0"/>
    <n v="1514.25"/>
    <n v="-6089615.79"/>
    <n v="1450"/>
    <n v="1.0443103448275861"/>
    <n v="0"/>
    <s v="ARS"/>
    <s v="CC"/>
    <s v="MACRO"/>
    <x v="0"/>
    <x v="0"/>
    <x v="1"/>
    <s v="TASA GENERAL"/>
    <m/>
    <m/>
    <x v="0"/>
    <m/>
    <s v="25/26"/>
  </r>
  <r>
    <x v="0"/>
    <d v="2026-01-05T00:00:00"/>
    <s v="CHEQUE P/CAMARA"/>
    <s v="N60458309"/>
    <n v="183780.02"/>
    <n v="0"/>
    <n v="183780.02"/>
    <n v="-6273395.8099999996"/>
    <n v="1450"/>
    <n v="126.74484137931034"/>
    <n v="0"/>
    <s v="ARS"/>
    <s v="CC"/>
    <s v="MACRO"/>
    <x v="4"/>
    <x v="9"/>
    <x v="16"/>
    <s v="INSUMOS"/>
    <s v="LA YUNTA VETERINARIA"/>
    <s v="FA9445"/>
    <x v="11"/>
    <m/>
    <s v="25/26"/>
  </r>
  <r>
    <x v="0"/>
    <d v="2026-01-05T00:00:00"/>
    <s v="CHEQUE P/CAMARA"/>
    <s v="N61672743"/>
    <n v="565228"/>
    <n v="0"/>
    <n v="565228"/>
    <n v="-6838623.8099999996"/>
    <n v="1450"/>
    <n v="389.81241379310347"/>
    <n v="0"/>
    <s v="ARS"/>
    <s v="CC"/>
    <s v="MACRO"/>
    <x v="2"/>
    <x v="14"/>
    <x v="26"/>
    <s v="SEMILLAS"/>
    <s v="PALO VERDE"/>
    <s v="FA09"/>
    <x v="11"/>
    <m/>
    <s v="25/26"/>
  </r>
  <r>
    <x v="0"/>
    <d v="2026-01-05T00:00:00"/>
    <s v="DBCR 25413 S/DB TASA GRAL"/>
    <m/>
    <n v="4494.05"/>
    <n v="0"/>
    <n v="4494.05"/>
    <n v="-6843117.8600000003"/>
    <n v="1450"/>
    <n v="3.099344827586207"/>
    <n v="0"/>
    <s v="ARS"/>
    <s v="CC"/>
    <s v="MACRO"/>
    <x v="0"/>
    <x v="0"/>
    <x v="1"/>
    <s v="TASA GENERAL"/>
    <m/>
    <m/>
    <x v="0"/>
    <m/>
    <s v="25/26"/>
  </r>
  <r>
    <x v="0"/>
    <d v="2026-01-06T00:00:00"/>
    <s v="CHEQUE P/CAMARA"/>
    <s v="N60458303"/>
    <n v="920000"/>
    <n v="0"/>
    <n v="920000"/>
    <n v="-7763117.8600000003"/>
    <n v="1450"/>
    <n v="634.48275862068965"/>
    <n v="0"/>
    <s v="ARS"/>
    <s v="CC"/>
    <s v="MACRO"/>
    <x v="3"/>
    <x v="10"/>
    <x v="27"/>
    <m/>
    <s v="CORTI "/>
    <s v="FA312"/>
    <x v="11"/>
    <m/>
    <s v="25/26"/>
  </r>
  <r>
    <x v="0"/>
    <d v="2026-01-06T00:00:00"/>
    <s v="CHEQUE P/CAMARA"/>
    <s v="N60458308"/>
    <n v="617000"/>
    <n v="0"/>
    <n v="617000"/>
    <n v="-8380117.8600000003"/>
    <n v="1450"/>
    <n v="425.51724137931035"/>
    <n v="0"/>
    <s v="ARS"/>
    <s v="CC"/>
    <s v="MACRO"/>
    <x v="4"/>
    <x v="9"/>
    <x v="18"/>
    <s v="HONORARIOS"/>
    <s v="PICCIOCHI FEDE "/>
    <s v="FA385"/>
    <x v="11"/>
    <m/>
    <s v="25/26"/>
  </r>
  <r>
    <x v="0"/>
    <d v="2026-01-06T00:00:00"/>
    <s v="DBCR 25413 S/DB TASA GRAL"/>
    <m/>
    <n v="9222"/>
    <n v="0"/>
    <n v="9222"/>
    <n v="-8389339.8599999994"/>
    <n v="1450"/>
    <n v="6.36"/>
    <n v="0"/>
    <s v="ARS"/>
    <s v="CC"/>
    <s v="MACRO"/>
    <x v="0"/>
    <x v="0"/>
    <x v="1"/>
    <s v="TASA GENERAL"/>
    <m/>
    <m/>
    <x v="0"/>
    <m/>
    <s v="25/26"/>
  </r>
  <r>
    <x v="0"/>
    <d v="2026-01-08T00:00:00"/>
    <s v="CHEQUE P/CAMARA"/>
    <m/>
    <n v="2000000"/>
    <n v="0"/>
    <n v="2000000"/>
    <n v="-10389339.859999999"/>
    <n v="1450"/>
    <n v="1379.3103448275863"/>
    <n v="0"/>
    <s v="ARS"/>
    <s v="CC"/>
    <s v="MACRO"/>
    <x v="3"/>
    <x v="10"/>
    <x v="28"/>
    <s v="CORRALES TRANQUERAS"/>
    <s v="CRISTIAN OLMEDO"/>
    <m/>
    <x v="11"/>
    <m/>
    <s v="25/26"/>
  </r>
  <r>
    <x v="0"/>
    <d v="2026-01-08T00:00:00"/>
    <s v="TRANSF. MACRONLINE E-SET D/T"/>
    <m/>
    <n v="250000"/>
    <n v="0"/>
    <n v="250000"/>
    <n v="-10777339.859999999"/>
    <n v="1450"/>
    <n v="172.41379310344828"/>
    <n v="0"/>
    <s v="ARS"/>
    <s v="CC"/>
    <s v="MACRO"/>
    <x v="3"/>
    <x v="8"/>
    <x v="14"/>
    <s v="TALLER CBA"/>
    <s v="RENVOL"/>
    <m/>
    <x v="11"/>
    <m/>
    <s v="25/26"/>
  </r>
  <r>
    <x v="0"/>
    <d v="2026-01-08T00:00:00"/>
    <s v="TRANSF. MACRONLINE E-SET D/T"/>
    <m/>
    <n v="138000"/>
    <n v="0"/>
    <n v="138000"/>
    <n v="-11165339.859999999"/>
    <n v="1450"/>
    <n v="95.172413793103445"/>
    <n v="0"/>
    <s v="ARS"/>
    <s v="CC"/>
    <s v="MACRO"/>
    <x v="0"/>
    <x v="1"/>
    <x v="2"/>
    <m/>
    <s v="CLAUDIA ERRECALDE"/>
    <m/>
    <x v="1"/>
    <s v="CLAUDIA"/>
    <s v="25/26"/>
  </r>
  <r>
    <x v="0"/>
    <d v="2026-01-08T00:00:00"/>
    <s v="COMISION PAQUETES"/>
    <m/>
    <n v="121"/>
    <n v="0"/>
    <n v="121"/>
    <n v="-10777460.859999999"/>
    <n v="1450"/>
    <n v="8.344827586206896E-2"/>
    <n v="0"/>
    <s v="ARS"/>
    <s v="CC"/>
    <s v="MACRO"/>
    <x v="0"/>
    <x v="0"/>
    <x v="0"/>
    <m/>
    <m/>
    <m/>
    <x v="0"/>
    <m/>
    <s v="25/26"/>
  </r>
  <r>
    <x v="0"/>
    <d v="2026-01-08T00:00:00"/>
    <s v="DEBITO FISCAL IVA BASICO"/>
    <m/>
    <n v="2709"/>
    <n v="0"/>
    <n v="2709"/>
    <n v="-10780169.859999999"/>
    <n v="1450"/>
    <n v="1.8682758620689655"/>
    <n v="0"/>
    <s v="ARS"/>
    <s v="CC"/>
    <s v="MACRO"/>
    <x v="0"/>
    <x v="0"/>
    <x v="1"/>
    <s v="DEBITO IVA FISCAL"/>
    <m/>
    <m/>
    <x v="0"/>
    <m/>
    <s v="25/26"/>
  </r>
  <r>
    <x v="0"/>
    <d v="2026-01-08T00:00:00"/>
    <s v="DEBITO FISCAL IVA PERCEPCION"/>
    <m/>
    <n v="387"/>
    <n v="0"/>
    <n v="387"/>
    <n v="-10780556.859999999"/>
    <n v="1450"/>
    <n v="0.26689655172413795"/>
    <n v="0"/>
    <s v="ARS"/>
    <s v="CC"/>
    <s v="MACRO"/>
    <x v="0"/>
    <x v="0"/>
    <x v="1"/>
    <s v="IVA PERCEPCION"/>
    <s v="ARCA"/>
    <m/>
    <x v="0"/>
    <m/>
    <s v="25/26"/>
  </r>
  <r>
    <x v="0"/>
    <d v="2026-01-08T00:00:00"/>
    <s v="COM. SERV DESC NO AUTORIZ."/>
    <m/>
    <n v="12900"/>
    <n v="0"/>
    <n v="12900"/>
    <n v="-10793456.859999999"/>
    <n v="1450"/>
    <n v="8.8965517241379306"/>
    <n v="0"/>
    <s v="ARS"/>
    <s v="CC"/>
    <s v="MACRO"/>
    <x v="0"/>
    <x v="0"/>
    <x v="0"/>
    <m/>
    <m/>
    <m/>
    <x v="0"/>
    <m/>
    <s v="25/26"/>
  </r>
  <r>
    <x v="0"/>
    <d v="2026-01-08T00:00:00"/>
    <s v="DBCR 25413 S/DB TASA GRAL"/>
    <m/>
    <n v="14424.71"/>
    <n v="0"/>
    <n v="14424.71"/>
    <n v="-10807881.57"/>
    <n v="1450"/>
    <n v="9.9480758620689649"/>
    <n v="0"/>
    <s v="ARS"/>
    <s v="CC"/>
    <s v="MACRO"/>
    <x v="0"/>
    <x v="0"/>
    <x v="1"/>
    <s v="TASA GENERAL"/>
    <m/>
    <m/>
    <x v="0"/>
    <m/>
    <s v="25/26"/>
  </r>
  <r>
    <x v="0"/>
    <d v="2026-01-09T00:00:00"/>
    <s v="TRANSF. MACRONLINE E-SET D/T"/>
    <m/>
    <n v="800000"/>
    <n v="0"/>
    <n v="800000"/>
    <n v="-11607881.57"/>
    <n v="1450"/>
    <n v="551.72413793103453"/>
    <n v="0"/>
    <s v="ARS"/>
    <s v="CC"/>
    <s v="MACRO"/>
    <x v="0"/>
    <x v="12"/>
    <x v="24"/>
    <s v="PERIODO DIC "/>
    <s v="KEVIN TOLEDO"/>
    <m/>
    <x v="13"/>
    <m/>
    <s v="25/26"/>
  </r>
  <r>
    <x v="0"/>
    <d v="2026-01-09T00:00:00"/>
    <s v="COMISION TRF. MACROL E-SET"/>
    <m/>
    <n v="121"/>
    <n v="0"/>
    <n v="121"/>
    <n v="-11608002.57"/>
    <n v="1450"/>
    <n v="8.344827586206896E-2"/>
    <n v="0"/>
    <s v="ARS"/>
    <s v="CC"/>
    <s v="MACRO"/>
    <x v="0"/>
    <x v="0"/>
    <x v="0"/>
    <m/>
    <m/>
    <m/>
    <x v="0"/>
    <m/>
    <s v="25/26"/>
  </r>
  <r>
    <x v="0"/>
    <d v="2026-01-09T00:00:00"/>
    <s v="TRANSF. MACRONLINE E-SET D/T"/>
    <m/>
    <n v="330000"/>
    <n v="0"/>
    <n v="330000"/>
    <n v="-11938002.57"/>
    <n v="1450"/>
    <n v="227.58620689655172"/>
    <n v="0"/>
    <s v="ARS"/>
    <s v="CC"/>
    <s v="MACRO"/>
    <x v="3"/>
    <x v="10"/>
    <x v="19"/>
    <s v="FLETES MADERAS"/>
    <s v="LEO FERNANDEZ"/>
    <m/>
    <x v="11"/>
    <m/>
    <s v="25/26"/>
  </r>
  <r>
    <x v="0"/>
    <d v="2026-01-09T00:00:00"/>
    <s v="COMISION TRF. MACROL E-SET"/>
    <m/>
    <n v="121"/>
    <n v="0"/>
    <n v="121"/>
    <n v="-11938123.57"/>
    <n v="1450"/>
    <n v="8.344827586206896E-2"/>
    <n v="0"/>
    <s v="ARS"/>
    <s v="CC"/>
    <s v="MACRO"/>
    <x v="0"/>
    <x v="0"/>
    <x v="0"/>
    <m/>
    <m/>
    <m/>
    <x v="0"/>
    <m/>
    <s v="25/26"/>
  </r>
  <r>
    <x v="0"/>
    <d v="2026-01-09T00:00:00"/>
    <s v="DBCR 25413 S/DB TASA GRAL"/>
    <m/>
    <n v="6781.46"/>
    <n v="0"/>
    <n v="6781.46"/>
    <n v="-11944905.029999999"/>
    <n v="1450"/>
    <n v="4.6768689655172411"/>
    <n v="0"/>
    <s v="ARS"/>
    <s v="CC"/>
    <s v="MACRO"/>
    <x v="0"/>
    <x v="0"/>
    <x v="1"/>
    <s v="TASA GENERAL"/>
    <m/>
    <m/>
    <x v="0"/>
    <m/>
    <s v="25/26"/>
  </r>
  <r>
    <x v="0"/>
    <d v="2026-01-12T00:00:00"/>
    <s v="TRANSF. MACRONLINE E-SET D/T"/>
    <m/>
    <n v="1250000"/>
    <n v="0"/>
    <n v="1250000"/>
    <n v="-13194905.029999999"/>
    <n v="1450"/>
    <n v="862.06896551724139"/>
    <n v="0"/>
    <s v="ARS"/>
    <s v="CC"/>
    <s v="MACRO"/>
    <x v="0"/>
    <x v="1"/>
    <x v="8"/>
    <m/>
    <s v="RAUL ERRECALDE"/>
    <m/>
    <x v="9"/>
    <s v="RAUL"/>
    <s v="25/26"/>
  </r>
  <r>
    <x v="0"/>
    <d v="2026-01-12T00:00:00"/>
    <s v="COMISION TRF. MACROL E-SET"/>
    <m/>
    <n v="121"/>
    <n v="0"/>
    <n v="121"/>
    <n v="-13195026.029999999"/>
    <n v="1450"/>
    <n v="8.344827586206896E-2"/>
    <n v="0"/>
    <s v="ARS"/>
    <s v="CC"/>
    <s v="MACRO"/>
    <x v="0"/>
    <x v="0"/>
    <x v="0"/>
    <m/>
    <m/>
    <m/>
    <x v="0"/>
    <m/>
    <s v="25/26"/>
  </r>
  <r>
    <x v="0"/>
    <d v="2026-01-12T00:00:00"/>
    <s v="DBCR 25413 S/DB TASA GRAL"/>
    <m/>
    <n v="7500.73"/>
    <n v="0"/>
    <n v="7500.73"/>
    <n v="-13202526.76"/>
    <n v="1450"/>
    <n v="5.1729172413793103"/>
    <n v="0"/>
    <s v="ARS"/>
    <s v="CC"/>
    <s v="MACRO"/>
    <x v="0"/>
    <x v="0"/>
    <x v="1"/>
    <s v="TASA GENERAL"/>
    <m/>
    <m/>
    <x v="0"/>
    <m/>
    <s v="25/26"/>
  </r>
  <r>
    <x v="0"/>
    <d v="2026-01-13T00:00:00"/>
    <s v="TRANSF. MACRONLINE E-SET M/T"/>
    <m/>
    <n v="2500000"/>
    <n v="0"/>
    <n v="2500000"/>
    <n v="-13205107.67"/>
    <n v="1450"/>
    <n v="1724.1379310344828"/>
    <n v="0"/>
    <s v="ARS"/>
    <s v="CC"/>
    <s v="MACRO"/>
    <x v="1"/>
    <x v="2"/>
    <x v="3"/>
    <s v="HACIA CC GALICIA"/>
    <m/>
    <m/>
    <x v="2"/>
    <m/>
    <s v="24/25"/>
  </r>
  <r>
    <x v="0"/>
    <d v="2026-01-13T00:00:00"/>
    <s v="COMISION TRF. MACROL E-SET"/>
    <m/>
    <n v="121"/>
    <n v="0"/>
    <n v="121"/>
    <n v="-13208918.535"/>
    <n v="1450"/>
    <n v="8.344827586206896E-2"/>
    <n v="0"/>
    <s v="ARS"/>
    <s v="CC"/>
    <s v="MACRO"/>
    <x v="0"/>
    <x v="0"/>
    <x v="0"/>
    <m/>
    <m/>
    <m/>
    <x v="0"/>
    <m/>
    <s v="25/26"/>
  </r>
  <r>
    <x v="0"/>
    <d v="2026-01-13T00:00:00"/>
    <s v="TRANSF. MACRONLINE E-SET M/T"/>
    <m/>
    <n v="1500000"/>
    <n v="0"/>
    <n v="1500000"/>
    <n v="-13212729.4"/>
    <n v="1450"/>
    <n v="1034.4827586206898"/>
    <n v="0"/>
    <s v="ARS"/>
    <s v="CC"/>
    <s v="MACRO"/>
    <x v="1"/>
    <x v="2"/>
    <x v="3"/>
    <s v="HACIA CC PAMPA"/>
    <m/>
    <m/>
    <x v="2"/>
    <m/>
    <s v="24/25"/>
  </r>
  <r>
    <x v="0"/>
    <d v="2026-01-13T00:00:00"/>
    <s v="COMISION TRF. MACROL E-SET"/>
    <m/>
    <n v="121"/>
    <n v="0"/>
    <n v="121"/>
    <n v="-13216540.265000001"/>
    <n v="1450"/>
    <n v="8.344827586206896E-2"/>
    <n v="0"/>
    <s v="ARS"/>
    <s v="CC"/>
    <s v="MACRO"/>
    <x v="0"/>
    <x v="0"/>
    <x v="0"/>
    <m/>
    <m/>
    <m/>
    <x v="0"/>
    <m/>
    <s v="25/26"/>
  </r>
  <r>
    <x v="0"/>
    <d v="2026-01-13T00:00:00"/>
    <s v="DBCR 25413 S/DB TASA GRAL"/>
    <m/>
    <n v="1.46"/>
    <n v="0"/>
    <n v="1.46"/>
    <n v="-13220351.130000001"/>
    <n v="1450"/>
    <n v="1.0068965517241379E-3"/>
    <n v="0"/>
    <s v="ARS"/>
    <s v="CC"/>
    <s v="MACRO"/>
    <x v="0"/>
    <x v="0"/>
    <x v="1"/>
    <s v="TASA GENERAL"/>
    <m/>
    <m/>
    <x v="0"/>
    <m/>
    <s v="25/26"/>
  </r>
  <r>
    <x v="0"/>
    <d v="2026-01-14T00:00:00"/>
    <s v="TEF DATANET PR OLEGA S.A. 33568425249"/>
    <m/>
    <n v="0"/>
    <n v="64686741.090000004"/>
    <n v="-64686741.090000004"/>
    <n v="-13224161.994999999"/>
    <n v="1450"/>
    <n v="0"/>
    <n v="44611.545579310347"/>
    <s v="ARS"/>
    <s v="CC"/>
    <s v="MACRO"/>
    <x v="2"/>
    <x v="5"/>
    <x v="29"/>
    <s v="ALQUILER- CUOTA 3"/>
    <s v="OLEGA SA"/>
    <m/>
    <x v="4"/>
    <m/>
    <s v="25/26"/>
  </r>
  <r>
    <x v="0"/>
    <d v="2026-01-14T00:00:00"/>
    <s v="DBCR 25413 S/CR TASA GRAL"/>
    <m/>
    <n v="388120.45"/>
    <n v="0"/>
    <n v="388120.45"/>
    <n v="-13227972.859999999"/>
    <n v="1450"/>
    <n v="267.66927586206896"/>
    <n v="0"/>
    <s v="ARS"/>
    <s v="CC"/>
    <s v="MACRO"/>
    <x v="0"/>
    <x v="0"/>
    <x v="1"/>
    <s v="TASA GENERAL"/>
    <m/>
    <m/>
    <x v="0"/>
    <m/>
    <s v="25/26"/>
  </r>
  <r>
    <x v="0"/>
    <d v="2026-01-15T00:00:00"/>
    <s v="TRANSF. MACRONLINE E-SET M/T"/>
    <m/>
    <n v="20000000"/>
    <n v="0"/>
    <n v="20000000"/>
    <n v="27095850.420000002"/>
    <n v="1450"/>
    <n v="13793.103448275862"/>
    <n v="0"/>
    <s v="ARS"/>
    <s v="CC"/>
    <s v="MACRO"/>
    <x v="1"/>
    <x v="2"/>
    <x v="3"/>
    <s v="HACIA CC MACRO"/>
    <m/>
    <m/>
    <x v="2"/>
    <m/>
    <s v="25/26"/>
  </r>
  <r>
    <x v="0"/>
    <d v="2026-01-15T00:00:00"/>
    <s v="COMISION TRF. MACROL E-SET"/>
    <m/>
    <n v="121"/>
    <n v="0"/>
    <n v="121"/>
    <n v="27095729.420000002"/>
    <n v="1450"/>
    <n v="8.344827586206896E-2"/>
    <n v="0"/>
    <s v="ARS"/>
    <s v="CC"/>
    <s v="MACRO"/>
    <x v="0"/>
    <x v="0"/>
    <x v="0"/>
    <m/>
    <m/>
    <m/>
    <x v="0"/>
    <m/>
    <s v="25/26"/>
  </r>
  <r>
    <x v="0"/>
    <d v="2026-01-15T00:00:00"/>
    <s v="TRANSF. MACRONLINE E-SET M/T"/>
    <m/>
    <n v="8500000"/>
    <n v="0"/>
    <n v="8500000"/>
    <n v="18595729.420000002"/>
    <n v="1450"/>
    <n v="5862.0689655172409"/>
    <n v="0"/>
    <s v="ARS"/>
    <s v="CC"/>
    <s v="MACRO"/>
    <x v="1"/>
    <x v="2"/>
    <x v="3"/>
    <s v="HACIA CC GALICIA"/>
    <m/>
    <m/>
    <x v="2"/>
    <m/>
    <s v="25/26"/>
  </r>
  <r>
    <x v="0"/>
    <d v="2026-01-15T00:00:00"/>
    <s v="COMISION TRF. MACROL E-SET"/>
    <m/>
    <n v="121"/>
    <n v="0"/>
    <n v="121"/>
    <n v="18595608.420000002"/>
    <n v="1450"/>
    <n v="8.344827586206896E-2"/>
    <n v="0"/>
    <s v="ARS"/>
    <s v="CC"/>
    <s v="MACRO"/>
    <x v="0"/>
    <x v="0"/>
    <x v="0"/>
    <m/>
    <m/>
    <m/>
    <x v="0"/>
    <m/>
    <s v="25/26"/>
  </r>
  <r>
    <x v="0"/>
    <d v="2026-01-15T00:00:00"/>
    <s v="TRANSF. MACRONLINE E-SET M/T"/>
    <m/>
    <n v="2700000"/>
    <n v="0"/>
    <n v="2700000"/>
    <n v="15895608.42"/>
    <n v="1450"/>
    <n v="1862.0689655172414"/>
    <n v="0"/>
    <s v="ARS"/>
    <s v="CC"/>
    <s v="MACRO"/>
    <x v="1"/>
    <x v="2"/>
    <x v="3"/>
    <s v="HACIA CC NACION"/>
    <m/>
    <m/>
    <x v="2"/>
    <m/>
    <s v="25/26"/>
  </r>
  <r>
    <x v="0"/>
    <d v="2026-01-15T00:00:00"/>
    <s v="COMISION TRF. MACROL E-SET"/>
    <m/>
    <n v="121"/>
    <n v="0"/>
    <n v="121"/>
    <n v="15895487.42"/>
    <n v="1450"/>
    <n v="8.344827586206896E-2"/>
    <n v="0"/>
    <s v="ARS"/>
    <s v="CC"/>
    <s v="MACRO"/>
    <x v="0"/>
    <x v="0"/>
    <x v="0"/>
    <m/>
    <m/>
    <m/>
    <x v="0"/>
    <m/>
    <s v="25/26"/>
  </r>
  <r>
    <x v="0"/>
    <d v="2026-01-15T00:00:00"/>
    <s v="TRF MO CCDO DIST T - 30708920882"/>
    <m/>
    <n v="484800"/>
    <n v="0"/>
    <n v="484800"/>
    <n v="15410687.42"/>
    <n v="1450"/>
    <n v="334.34482758620692"/>
    <n v="0"/>
    <s v="ARS"/>
    <s v="CC"/>
    <s v="MACRO"/>
    <x v="3"/>
    <x v="8"/>
    <x v="30"/>
    <s v="TALLER CBA"/>
    <s v="VERO MICOLINI"/>
    <m/>
    <x v="11"/>
    <m/>
    <s v="25/26"/>
  </r>
  <r>
    <x v="0"/>
    <d v="2026-01-15T00:00:00"/>
    <s v="COMISION TRANSFERE"/>
    <m/>
    <n v="121"/>
    <n v="0"/>
    <n v="121"/>
    <n v="15410566.42"/>
    <n v="1450"/>
    <n v="8.344827586206896E-2"/>
    <n v="0"/>
    <s v="ARS"/>
    <s v="CC"/>
    <s v="MACRO"/>
    <x v="0"/>
    <x v="0"/>
    <x v="0"/>
    <m/>
    <m/>
    <m/>
    <x v="0"/>
    <m/>
    <s v="25/26"/>
  </r>
  <r>
    <x v="0"/>
    <d v="2026-01-15T00:00:00"/>
    <s v="TRANSF. MACRONLINE E-SET D/T"/>
    <m/>
    <n v="2000000"/>
    <n v="0"/>
    <n v="2000000"/>
    <n v="13410566.42"/>
    <n v="1450"/>
    <n v="1379.3103448275863"/>
    <n v="0"/>
    <s v="ARS"/>
    <s v="CC"/>
    <s v="MACRO"/>
    <x v="0"/>
    <x v="1"/>
    <x v="2"/>
    <m/>
    <s v="MONICA ERRECALDE"/>
    <m/>
    <x v="8"/>
    <s v="MONICA"/>
    <s v="25/26"/>
  </r>
  <r>
    <x v="0"/>
    <d v="2026-01-15T00:00:00"/>
    <s v="COMISION TRF. MACROL E-SET"/>
    <m/>
    <n v="121"/>
    <n v="0"/>
    <n v="121"/>
    <n v="13410445.42"/>
    <n v="1450"/>
    <n v="8.344827586206896E-2"/>
    <n v="0"/>
    <s v="ARS"/>
    <s v="CC"/>
    <s v="MACRO"/>
    <x v="0"/>
    <x v="0"/>
    <x v="0"/>
    <m/>
    <m/>
    <m/>
    <x v="0"/>
    <m/>
    <s v="25/26"/>
  </r>
  <r>
    <x v="0"/>
    <d v="2026-01-15T00:00:00"/>
    <s v="TRANSF. MACRONLINE E-SET D/T"/>
    <m/>
    <n v="1000000"/>
    <n v="0"/>
    <n v="1000000"/>
    <n v="12410445.42"/>
    <n v="1450"/>
    <n v="689.65517241379314"/>
    <n v="0"/>
    <s v="ARS"/>
    <s v="CC"/>
    <s v="MACRO"/>
    <x v="0"/>
    <x v="1"/>
    <x v="2"/>
    <m/>
    <s v="RAUL ERRECALDE"/>
    <m/>
    <x v="9"/>
    <s v="RAUL"/>
    <s v="25/26"/>
  </r>
  <r>
    <x v="0"/>
    <d v="2026-01-15T00:00:00"/>
    <s v="COMISION TRF. MACROL E-SET"/>
    <m/>
    <n v="121"/>
    <n v="0"/>
    <n v="121"/>
    <n v="12410324.42"/>
    <n v="1450"/>
    <n v="8.344827586206896E-2"/>
    <n v="0"/>
    <s v="ARS"/>
    <s v="CC"/>
    <s v="MACRO"/>
    <x v="0"/>
    <x v="0"/>
    <x v="0"/>
    <m/>
    <m/>
    <m/>
    <x v="0"/>
    <m/>
    <s v="25/26"/>
  </r>
  <r>
    <x v="0"/>
    <d v="2026-01-15T00:00:00"/>
    <s v="DBCR 25413 S/DB TASA GRAL"/>
    <m/>
    <n v="20913.18"/>
    <n v="0"/>
    <n v="20913.18"/>
    <n v="12389411.24"/>
    <n v="1450"/>
    <n v="14.422882758620689"/>
    <n v="0"/>
    <s v="ARS"/>
    <s v="CC"/>
    <s v="MACRO"/>
    <x v="0"/>
    <x v="0"/>
    <x v="1"/>
    <s v="TASA GENERAL"/>
    <m/>
    <m/>
    <x v="0"/>
    <m/>
    <s v="25/26"/>
  </r>
  <r>
    <x v="0"/>
    <d v="2026-01-16T00:00:00"/>
    <s v="CHEQUE P/CAMARA"/>
    <s v="N60458307"/>
    <n v="500000"/>
    <n v="0"/>
    <n v="500000"/>
    <n v="11889411.24"/>
    <n v="1450"/>
    <n v="344.82758620689657"/>
    <n v="0"/>
    <s v="ARS"/>
    <s v="CC"/>
    <s v="MACRO"/>
    <x v="2"/>
    <x v="5"/>
    <x v="6"/>
    <s v="FLETES UREA"/>
    <s v="FACUNDO DE DIOS"/>
    <s v="FA906"/>
    <x v="14"/>
    <m/>
    <s v="25/26"/>
  </r>
  <r>
    <x v="0"/>
    <d v="2026-01-16T00:00:00"/>
    <s v="CHEQUE P/CAMARA"/>
    <s v="N62945839"/>
    <n v="1969057.2"/>
    <n v="0"/>
    <n v="1969057.2"/>
    <n v="9920354.0399999991"/>
    <n v="1450"/>
    <n v="1357.9704827586206"/>
    <n v="0"/>
    <s v="ARS"/>
    <s v="CC"/>
    <s v="MACRO"/>
    <x v="2"/>
    <x v="5"/>
    <x v="6"/>
    <s v="INSUMOS"/>
    <s v="TOSQUITAS CEREALES"/>
    <s v="FA851"/>
    <x v="14"/>
    <m/>
    <s v="25/26"/>
  </r>
  <r>
    <x v="0"/>
    <d v="2026-01-16T00:00:00"/>
    <s v="TRANSF. MACRONLINE E-SET D/T"/>
    <m/>
    <n v="209000"/>
    <n v="0"/>
    <n v="209000"/>
    <n v="9711354.0399999991"/>
    <n v="1450"/>
    <n v="144.13793103448276"/>
    <n v="0"/>
    <s v="ARS"/>
    <s v="CC"/>
    <s v="MACRO"/>
    <x v="3"/>
    <x v="8"/>
    <x v="30"/>
    <s v="POLIZA DE SEGUROS"/>
    <s v="EL NORTE SEGUROS"/>
    <m/>
    <x v="0"/>
    <m/>
    <s v="25/26"/>
  </r>
  <r>
    <x v="0"/>
    <d v="2026-01-16T00:00:00"/>
    <s v="AFIP"/>
    <m/>
    <n v="199559.81"/>
    <n v="0"/>
    <n v="199559.81"/>
    <n v="9511794.2300000004"/>
    <n v="1450"/>
    <n v="137.62745517241379"/>
    <n v="0"/>
    <s v="ARS"/>
    <s v="CC"/>
    <s v="MACRO"/>
    <x v="0"/>
    <x v="13"/>
    <x v="31"/>
    <s v="PLAN DE PAGOS VEPS"/>
    <s v="AFIP"/>
    <m/>
    <x v="0"/>
    <m/>
    <s v="24/25"/>
  </r>
  <r>
    <x v="0"/>
    <d v="2026-01-16T00:00:00"/>
    <s v="DBCR 25413 S/DB TASA GRAL"/>
    <m/>
    <n v="17265.7"/>
    <n v="0"/>
    <n v="17265.7"/>
    <n v="9494528.5299999993"/>
    <n v="1450"/>
    <n v="11.907379310344828"/>
    <n v="0"/>
    <s v="ARS"/>
    <s v="CC"/>
    <s v="MACRO"/>
    <x v="0"/>
    <x v="0"/>
    <x v="1"/>
    <s v="TASA GENERAL"/>
    <m/>
    <m/>
    <x v="0"/>
    <m/>
    <s v="25/26"/>
  </r>
  <r>
    <x v="0"/>
    <d v="2026-01-19T00:00:00"/>
    <s v="COMISION TRANSFERENCIAS"/>
    <m/>
    <n v="121"/>
    <n v="0"/>
    <n v="121"/>
    <n v="9494407.5299999993"/>
    <n v="1450"/>
    <n v="8.344827586206896E-2"/>
    <n v="0"/>
    <s v="ARS"/>
    <s v="CC"/>
    <s v="MACRO"/>
    <x v="0"/>
    <x v="0"/>
    <x v="0"/>
    <m/>
    <m/>
    <m/>
    <x v="0"/>
    <m/>
    <s v="25/26"/>
  </r>
  <r>
    <x v="0"/>
    <d v="2026-01-19T00:00:00"/>
    <s v="TRANSF:2601190000415848845479-20307048346"/>
    <m/>
    <n v="400000"/>
    <n v="0"/>
    <n v="400000"/>
    <n v="9094407.5299999993"/>
    <n v="1450"/>
    <n v="275.86206896551727"/>
    <n v="0"/>
    <s v="ARS"/>
    <s v="CC"/>
    <s v="MACRO"/>
    <x v="0"/>
    <x v="12"/>
    <x v="23"/>
    <m/>
    <s v="CRISTIAN OLMEDO"/>
    <m/>
    <x v="13"/>
    <m/>
    <s v="25/26"/>
  </r>
  <r>
    <x v="0"/>
    <d v="2026-01-19T00:00:00"/>
    <s v="CHEQUE P/CAMARA"/>
    <s v="N60458310"/>
    <n v="750000"/>
    <n v="0"/>
    <n v="750000"/>
    <n v="8344407.5300000003"/>
    <n v="1450"/>
    <n v="517.24137931034488"/>
    <n v="0"/>
    <s v="ARS"/>
    <s v="CC"/>
    <s v="MACRO"/>
    <x v="3"/>
    <x v="10"/>
    <x v="32"/>
    <m/>
    <s v="MERLO"/>
    <m/>
    <x v="14"/>
    <m/>
    <s v="24/25"/>
  </r>
  <r>
    <x v="0"/>
    <d v="2026-01-19T00:00:00"/>
    <s v="TRANSF. MACRONLINE E-SET D/T"/>
    <m/>
    <n v="1300000"/>
    <n v="0"/>
    <n v="1300000"/>
    <n v="7044407.5300000003"/>
    <n v="1450"/>
    <n v="896.55172413793105"/>
    <n v="0"/>
    <s v="ARS"/>
    <s v="CC"/>
    <s v="MACRO"/>
    <x v="0"/>
    <x v="1"/>
    <x v="2"/>
    <m/>
    <s v="CLAUDIA ERRECALDE"/>
    <m/>
    <x v="1"/>
    <s v="CLAUDIA"/>
    <s v="25/26"/>
  </r>
  <r>
    <x v="0"/>
    <d v="2026-01-19T00:00:00"/>
    <s v="COMISION TRF. MACROL E-SET"/>
    <m/>
    <n v="121"/>
    <n v="0"/>
    <n v="121"/>
    <n v="7044286.5300000003"/>
    <n v="1450"/>
    <n v="8.344827586206896E-2"/>
    <n v="0"/>
    <s v="ARS"/>
    <s v="CC"/>
    <s v="MACRO"/>
    <x v="0"/>
    <x v="0"/>
    <x v="0"/>
    <m/>
    <m/>
    <m/>
    <x v="0"/>
    <m/>
    <s v="25/26"/>
  </r>
  <r>
    <x v="0"/>
    <d v="2026-01-19T00:00:00"/>
    <s v="SANCORSEG - SANCOR SEGUROS"/>
    <m/>
    <n v="8067"/>
    <n v="0"/>
    <n v="8067"/>
    <n v="7036219.5300000003"/>
    <n v="1450"/>
    <n v="5.5634482758620694"/>
    <n v="0"/>
    <s v="ARS"/>
    <s v="CC"/>
    <s v="MACRO"/>
    <x v="0"/>
    <x v="13"/>
    <x v="33"/>
    <m/>
    <m/>
    <m/>
    <x v="0"/>
    <m/>
    <s v="25/26"/>
  </r>
  <r>
    <x v="0"/>
    <d v="2026-01-19T00:00:00"/>
    <s v="DBCR 25413 S/DB TASA GRAL"/>
    <m/>
    <n v="14749.86"/>
    <n v="0"/>
    <n v="14749.86"/>
    <n v="7021469.6699999999"/>
    <n v="1450"/>
    <n v="10.172317241379311"/>
    <n v="0"/>
    <s v="ARS"/>
    <s v="CC"/>
    <s v="MACRO"/>
    <x v="0"/>
    <x v="0"/>
    <x v="1"/>
    <s v="TASA GENERAL"/>
    <m/>
    <m/>
    <x v="0"/>
    <m/>
    <s v="25/26"/>
  </r>
  <r>
    <x v="0"/>
    <d v="2026-01-20T00:00:00"/>
    <s v="TRANSF. MACRONLINE E-SET D/T"/>
    <m/>
    <n v="1500000"/>
    <n v="0"/>
    <n v="1500000"/>
    <n v="5070969.67"/>
    <n v="1450"/>
    <n v="1034.4827586206898"/>
    <n v="0"/>
    <s v="ARS"/>
    <s v="CC"/>
    <s v="MACRO"/>
    <x v="0"/>
    <x v="7"/>
    <x v="34"/>
    <m/>
    <s v="ADRIAN BECERRA"/>
    <m/>
    <x v="6"/>
    <m/>
    <s v="25/26"/>
  </r>
  <r>
    <x v="0"/>
    <d v="2026-01-20T00:00:00"/>
    <s v="TRANSF. MACRONLINE E-SET D/T"/>
    <m/>
    <n v="450500"/>
    <n v="0"/>
    <n v="450500"/>
    <n v="5070969.67"/>
    <n v="1450"/>
    <n v="310.68965517241378"/>
    <n v="0"/>
    <s v="ARS"/>
    <s v="CC"/>
    <s v="MACRO"/>
    <x v="0"/>
    <x v="7"/>
    <x v="35"/>
    <m/>
    <s v="ADRIAN BECERRA"/>
    <m/>
    <x v="6"/>
    <m/>
    <s v="25/26"/>
  </r>
  <r>
    <x v="0"/>
    <d v="2026-01-20T00:00:00"/>
    <s v="COMISION TRF. MACROL E-SET"/>
    <m/>
    <n v="121"/>
    <n v="0"/>
    <n v="121"/>
    <n v="5070848.67"/>
    <n v="1450"/>
    <n v="8.344827586206896E-2"/>
    <n v="0"/>
    <s v="ARS"/>
    <s v="CC"/>
    <s v="MACRO"/>
    <x v="0"/>
    <x v="0"/>
    <x v="0"/>
    <m/>
    <m/>
    <m/>
    <x v="0"/>
    <m/>
    <s v="25/26"/>
  </r>
  <r>
    <x v="0"/>
    <d v="2026-01-20T00:00:00"/>
    <s v="TRANSF. MACRONLINE E-SET D/T"/>
    <m/>
    <n v="74052"/>
    <n v="0"/>
    <n v="74052"/>
    <n v="4996796.67"/>
    <n v="1450"/>
    <n v="51.070344827586204"/>
    <n v="0"/>
    <s v="ARS"/>
    <s v="CC"/>
    <s v="MACRO"/>
    <x v="3"/>
    <x v="10"/>
    <x v="28"/>
    <s v="BULONES"/>
    <s v="HUINCAGRO"/>
    <s v="FA581"/>
    <x v="11"/>
    <m/>
    <s v="25/26"/>
  </r>
  <r>
    <x v="0"/>
    <d v="2026-01-20T00:00:00"/>
    <s v="DBCR 25413 S/DB TASA GRAL"/>
    <m/>
    <n v="12148.04"/>
    <n v="0"/>
    <n v="12148.04"/>
    <n v="4984648.63"/>
    <n v="1450"/>
    <n v="8.3779586206896557"/>
    <n v="0"/>
    <s v="ARS"/>
    <s v="CC"/>
    <s v="MACRO"/>
    <x v="0"/>
    <x v="0"/>
    <x v="1"/>
    <s v="TASA GENERAL"/>
    <m/>
    <m/>
    <x v="0"/>
    <m/>
    <s v="25/26"/>
  </r>
  <r>
    <x v="0"/>
    <d v="2026-01-20T00:00:00"/>
    <s v="DB TR..AUT.SDO.MISMO TIT."/>
    <m/>
    <n v="1435730.53"/>
    <n v="0"/>
    <n v="1435730.53"/>
    <n v="3548918.1"/>
    <n v="1450"/>
    <n v="990.15898620689654"/>
    <n v="0"/>
    <s v="ARS"/>
    <s v="CC"/>
    <s v="MACRO"/>
    <x v="1"/>
    <x v="2"/>
    <x v="3"/>
    <s v="HACIA CA MACRO"/>
    <m/>
    <m/>
    <x v="2"/>
    <m/>
    <s v="24/25"/>
  </r>
  <r>
    <x v="0"/>
    <d v="2026-01-23T00:00:00"/>
    <s v="TRANSF. MACRONLINE E-SET D/T"/>
    <m/>
    <n v="545658"/>
    <n v="0"/>
    <n v="545658"/>
    <n v="3003260.1"/>
    <n v="1450"/>
    <n v="376.31586206896554"/>
    <n v="0"/>
    <s v="ARS"/>
    <s v="CC"/>
    <s v="MACRO"/>
    <x v="0"/>
    <x v="1"/>
    <x v="2"/>
    <m/>
    <s v="RAUL ERRECALDE"/>
    <m/>
    <x v="9"/>
    <s v="RAUL"/>
    <s v="25/26"/>
  </r>
  <r>
    <x v="0"/>
    <d v="2026-01-23T00:00:00"/>
    <s v="COMISION TRF. MACROL E-SET"/>
    <m/>
    <n v="121"/>
    <n v="0"/>
    <n v="121"/>
    <n v="3003139.1"/>
    <n v="1450"/>
    <n v="8.344827586206896E-2"/>
    <n v="0"/>
    <s v="ARS"/>
    <s v="CC"/>
    <s v="MACRO"/>
    <x v="0"/>
    <x v="0"/>
    <x v="0"/>
    <m/>
    <m/>
    <m/>
    <x v="0"/>
    <m/>
    <s v="25/26"/>
  </r>
  <r>
    <x v="0"/>
    <d v="2026-01-23T00:00:00"/>
    <s v="DBCR 25413 S/DB TASA GRAL"/>
    <m/>
    <n v="3274.68"/>
    <n v="0"/>
    <n v="3274.68"/>
    <n v="2999864.42"/>
    <n v="1450"/>
    <n v="2.2584"/>
    <n v="0"/>
    <s v="ARS"/>
    <s v="CC"/>
    <s v="MACRO"/>
    <x v="0"/>
    <x v="0"/>
    <x v="1"/>
    <s v="TASA GENERAL"/>
    <m/>
    <m/>
    <x v="0"/>
    <m/>
    <s v="25/26"/>
  </r>
  <r>
    <x v="0"/>
    <d v="2026-01-26T00:00:00"/>
    <s v="CHEQUE P/CAMARA"/>
    <s v="N60458315"/>
    <n v="386877.06"/>
    <n v="0"/>
    <n v="386877.06"/>
    <n v="2612987.36"/>
    <n v="1450"/>
    <n v="266.81176551724138"/>
    <n v="0"/>
    <s v="ARS"/>
    <s v="CC"/>
    <s v="MACRO"/>
    <x v="4"/>
    <x v="9"/>
    <x v="16"/>
    <m/>
    <s v="VETERINARIA EL CALDEN"/>
    <s v="FA6168"/>
    <x v="11"/>
    <m/>
    <s v="25/26"/>
  </r>
  <r>
    <x v="0"/>
    <d v="2026-01-26T00:00:00"/>
    <s v="CHEQUE P/CAMARA"/>
    <s v="N63415091"/>
    <n v="374999.99"/>
    <n v="0"/>
    <n v="374999.99"/>
    <n v="2237987.37"/>
    <n v="1450"/>
    <n v="258.62068275862066"/>
    <n v="0"/>
    <s v="ARS"/>
    <s v="CC"/>
    <s v="MACRO"/>
    <x v="3"/>
    <x v="10"/>
    <x v="36"/>
    <m/>
    <s v="ESPINAGRO"/>
    <s v="FA2788"/>
    <x v="11"/>
    <m/>
    <s v="25/26"/>
  </r>
  <r>
    <x v="0"/>
    <d v="2026-01-26T00:00:00"/>
    <s v="DBCR 25413 S/DB TASA GRAL"/>
    <m/>
    <n v="4571.26"/>
    <n v="0"/>
    <n v="4571.26"/>
    <n v="2233416.11"/>
    <n v="1450"/>
    <n v="3.1525931034482761"/>
    <n v="0"/>
    <s v="ARS"/>
    <s v="CC"/>
    <s v="MACRO"/>
    <x v="0"/>
    <x v="0"/>
    <x v="1"/>
    <s v="TASA GENERAL"/>
    <m/>
    <m/>
    <x v="0"/>
    <m/>
    <s v="25/26"/>
  </r>
  <r>
    <x v="0"/>
    <d v="2026-01-27T00:00:00"/>
    <s v="CHEQUE P/CAMARA"/>
    <s v="N60458312"/>
    <n v="3129704.7"/>
    <n v="0"/>
    <n v="3129704.7"/>
    <n v="-896288.59"/>
    <n v="1450"/>
    <n v="2158.4170344827589"/>
    <n v="0"/>
    <s v="ARS"/>
    <s v="CC"/>
    <s v="MACRO"/>
    <x v="2"/>
    <x v="5"/>
    <x v="6"/>
    <s v="APLICACIONES"/>
    <s v="CLERICI"/>
    <s v="FA239"/>
    <x v="11"/>
    <m/>
    <s v="25/26"/>
  </r>
  <r>
    <x v="0"/>
    <d v="2026-01-27T00:00:00"/>
    <s v="CHEQUE P/CAMARA"/>
    <s v="N60458316"/>
    <n v="215000"/>
    <n v="0"/>
    <n v="215000"/>
    <n v="-1111288.5900000001"/>
    <n v="1450"/>
    <n v="148.27586206896552"/>
    <n v="0"/>
    <s v="ARS"/>
    <s v="CC"/>
    <s v="MACRO"/>
    <x v="3"/>
    <x v="10"/>
    <x v="27"/>
    <m/>
    <s v="ALCIDES"/>
    <m/>
    <x v="11"/>
    <m/>
    <s v="25/26"/>
  </r>
  <r>
    <x v="0"/>
    <d v="2026-01-27T00:00:00"/>
    <s v="CHEQUE P/CAMARA"/>
    <s v="N63667578"/>
    <n v="257495"/>
    <n v="0"/>
    <n v="257495"/>
    <n v="-1368783.59"/>
    <n v="1450"/>
    <n v="177.58275862068965"/>
    <n v="0"/>
    <s v="ARS"/>
    <s v="CC"/>
    <s v="MACRO"/>
    <x v="4"/>
    <x v="9"/>
    <x v="12"/>
    <m/>
    <s v="TODO CAMPO COMB"/>
    <s v="FA578"/>
    <x v="11"/>
    <m/>
    <s v="25/26"/>
  </r>
  <r>
    <x v="0"/>
    <d v="2026-01-27T00:00:00"/>
    <s v="DEBITO FISCAL IVA BASICO"/>
    <m/>
    <n v="2047.5"/>
    <n v="0"/>
    <n v="2047.5"/>
    <n v="-1370831.09"/>
    <n v="1450"/>
    <n v="1.4120689655172414"/>
    <n v="0"/>
    <s v="ARS"/>
    <s v="CC"/>
    <s v="MACRO"/>
    <x v="0"/>
    <x v="0"/>
    <x v="1"/>
    <s v="DEBITO IVA FISCAL"/>
    <m/>
    <m/>
    <x v="0"/>
    <m/>
    <s v="25/26"/>
  </r>
  <r>
    <x v="0"/>
    <d v="2026-01-27T00:00:00"/>
    <s v="DEBITO FISCAL IVA PERCEPCION"/>
    <m/>
    <n v="292.5"/>
    <n v="0"/>
    <n v="292.5"/>
    <n v="-1371123.59"/>
    <n v="1450"/>
    <n v="0.20172413793103447"/>
    <n v="0"/>
    <s v="ARS"/>
    <s v="CC"/>
    <s v="MACRO"/>
    <x v="0"/>
    <x v="0"/>
    <x v="1"/>
    <s v="IVA PERCEPCION"/>
    <m/>
    <m/>
    <x v="0"/>
    <m/>
    <s v="25/26"/>
  </r>
  <r>
    <x v="0"/>
    <d v="2026-01-27T00:00:00"/>
    <s v="COMISION CHQ PAG CLEARING"/>
    <m/>
    <n v="9750"/>
    <n v="0"/>
    <n v="9750"/>
    <n v="-1380873.59"/>
    <n v="1450"/>
    <n v="6.7241379310344831"/>
    <n v="0"/>
    <s v="ARS"/>
    <s v="CC"/>
    <s v="MACRO"/>
    <x v="0"/>
    <x v="0"/>
    <x v="0"/>
    <m/>
    <m/>
    <m/>
    <x v="0"/>
    <m/>
    <s v="25/26"/>
  </r>
  <r>
    <x v="0"/>
    <d v="2026-01-27T00:00:00"/>
    <s v="DBCR 25413 S/DB TASA GRAL"/>
    <m/>
    <n v="21685.74"/>
    <n v="0"/>
    <n v="21685.74"/>
    <n v="-1402559.33"/>
    <n v="1450"/>
    <n v="14.955682758620691"/>
    <n v="0"/>
    <s v="ARS"/>
    <s v="CC"/>
    <s v="MACRO"/>
    <x v="0"/>
    <x v="0"/>
    <x v="1"/>
    <s v="TASA GENERAL"/>
    <m/>
    <m/>
    <x v="0"/>
    <m/>
    <s v="25/26"/>
  </r>
  <r>
    <x v="0"/>
    <d v="2026-01-28T00:00:00"/>
    <s v="TRANSF. MACRONLINE E-SET D/T"/>
    <m/>
    <n v="1500000"/>
    <n v="0"/>
    <n v="1500000"/>
    <n v="-2902559.33"/>
    <n v="1450"/>
    <n v="1034.4827586206898"/>
    <n v="0"/>
    <s v="ARS"/>
    <s v="CC"/>
    <s v="MACRO"/>
    <x v="0"/>
    <x v="7"/>
    <x v="34"/>
    <m/>
    <s v="ADRIAN BECERRA"/>
    <m/>
    <x v="6"/>
    <m/>
    <s v="25/26"/>
  </r>
  <r>
    <x v="0"/>
    <d v="2026-01-28T00:00:00"/>
    <s v="COMISION TRF. MACROL E-SET"/>
    <m/>
    <n v="121"/>
    <n v="0"/>
    <n v="121"/>
    <n v="-2902680.33"/>
    <n v="1450"/>
    <n v="8.344827586206896E-2"/>
    <n v="0"/>
    <s v="ARS"/>
    <s v="CC"/>
    <s v="MACRO"/>
    <x v="0"/>
    <x v="0"/>
    <x v="0"/>
    <m/>
    <m/>
    <m/>
    <x v="0"/>
    <m/>
    <s v="25/26"/>
  </r>
  <r>
    <x v="0"/>
    <d v="2026-01-28T00:00:00"/>
    <s v="DBCR 25413 S/DB TASA GRAL"/>
    <m/>
    <n v="9000.73"/>
    <n v="0"/>
    <n v="9000.73"/>
    <n v="-2911681.06"/>
    <n v="1450"/>
    <n v="6.2073999999999998"/>
    <n v="0"/>
    <s v="ARS"/>
    <s v="CC"/>
    <s v="MACRO"/>
    <x v="0"/>
    <x v="0"/>
    <x v="1"/>
    <s v="TASA GENERAL"/>
    <m/>
    <m/>
    <x v="0"/>
    <m/>
    <s v="25/26"/>
  </r>
  <r>
    <x v="0"/>
    <d v="2026-01-29T00:00:00"/>
    <s v="DB TR..AUT.SDO.MISMO TIT."/>
    <m/>
    <n v="66987.53"/>
    <n v="0"/>
    <n v="66987.53"/>
    <n v="-2978668.59"/>
    <n v="1450"/>
    <n v="46.198296551724134"/>
    <n v="0"/>
    <s v="ARS"/>
    <s v="CC"/>
    <s v="MACRO"/>
    <x v="1"/>
    <x v="2"/>
    <x v="3"/>
    <s v="HACIA CC MACRO"/>
    <m/>
    <m/>
    <x v="2"/>
    <m/>
    <s v="25/26"/>
  </r>
  <r>
    <x v="0"/>
    <d v="2026-01-30T00:00:00"/>
    <s v="CHEQUE P/CAMARA"/>
    <s v="N60458317"/>
    <n v="858585"/>
    <n v="0"/>
    <n v="858585"/>
    <n v="-3837253.59"/>
    <n v="1450"/>
    <n v="592.12758620689658"/>
    <n v="0"/>
    <s v="ARS"/>
    <s v="CC"/>
    <s v="MACRO"/>
    <x v="2"/>
    <x v="5"/>
    <x v="37"/>
    <s v="REFERTILIZADA"/>
    <s v="GUSTAVO SALINAS"/>
    <s v="FA721"/>
    <x v="11"/>
    <m/>
    <s v="25/26"/>
  </r>
  <r>
    <x v="0"/>
    <d v="2026-01-30T00:00:00"/>
    <s v="TRANSF. MACRONLINE E-SET D/T"/>
    <m/>
    <n v="550000"/>
    <n v="0"/>
    <n v="550000"/>
    <n v="-4387253.59"/>
    <n v="1450"/>
    <n v="379.31034482758622"/>
    <n v="0"/>
    <s v="ARS"/>
    <s v="CC"/>
    <s v="MACRO"/>
    <x v="0"/>
    <x v="1"/>
    <x v="2"/>
    <m/>
    <s v="CLAUDIA ERRECALDE"/>
    <m/>
    <x v="1"/>
    <s v="CLAUDIA"/>
    <s v="25/26"/>
  </r>
  <r>
    <x v="0"/>
    <d v="2026-01-30T00:00:00"/>
    <s v="COMISION TRF. MACROL E-SET"/>
    <m/>
    <n v="121"/>
    <n v="0"/>
    <n v="121"/>
    <n v="-4387374.59"/>
    <n v="1450"/>
    <n v="8.344827586206896E-2"/>
    <n v="0"/>
    <s v="ARS"/>
    <s v="CC"/>
    <s v="MACRO"/>
    <x v="0"/>
    <x v="0"/>
    <x v="0"/>
    <m/>
    <m/>
    <m/>
    <x v="0"/>
    <m/>
    <s v="25/26"/>
  </r>
  <r>
    <x v="0"/>
    <d v="2026-01-30T00:00:00"/>
    <s v="DBCR 25413 S/DB TASA GRAL"/>
    <m/>
    <n v="8452.24"/>
    <n v="0"/>
    <n v="8452.24"/>
    <n v="-4395826.83"/>
    <n v="1450"/>
    <n v="5.8291310344827583"/>
    <n v="0"/>
    <s v="ARS"/>
    <s v="CC"/>
    <s v="MACRO"/>
    <x v="0"/>
    <x v="0"/>
    <x v="1"/>
    <s v="TASA GENERAL"/>
    <m/>
    <m/>
    <x v="0"/>
    <m/>
    <s v="25/26"/>
  </r>
  <r>
    <x v="1"/>
    <d v="2026-02-02T00:00:00"/>
    <s v="DEBITO FISCAL IVA BASICO"/>
    <m/>
    <n v="20589.080000000002"/>
    <n v="0"/>
    <n v="20589.080000000002"/>
    <n v="-4416415.91"/>
    <n v="1450"/>
    <n v="14.199365517241381"/>
    <n v="0"/>
    <s v="ARS"/>
    <s v="CC"/>
    <s v="MACRO"/>
    <x v="0"/>
    <x v="0"/>
    <x v="1"/>
    <s v="DEBITO IVA FISCAL"/>
    <m/>
    <m/>
    <x v="0"/>
    <m/>
    <s v="25/26"/>
  </r>
  <r>
    <x v="1"/>
    <d v="2026-02-02T00:00:00"/>
    <s v="DEBITO FISCAL IVA PERCEPCION"/>
    <m/>
    <n v="2941.3"/>
    <n v="0"/>
    <n v="2941.3"/>
    <n v="-4419357.21"/>
    <n v="1450"/>
    <n v="2.0284827586206897"/>
    <n v="0"/>
    <s v="ARS"/>
    <s v="CC"/>
    <s v="MACRO"/>
    <x v="0"/>
    <x v="0"/>
    <x v="1"/>
    <s v="IVA PERCEPCION"/>
    <m/>
    <m/>
    <x v="0"/>
    <m/>
    <s v="25/26"/>
  </r>
  <r>
    <x v="1"/>
    <d v="2026-02-02T00:00:00"/>
    <s v="INTER.ADEL.CC C/ACUERD"/>
    <m/>
    <n v="196086.43"/>
    <n v="0"/>
    <n v="196086.43"/>
    <n v="-4615443.6399999997"/>
    <n v="1450"/>
    <n v="135.23202068965517"/>
    <n v="0"/>
    <s v="ARS"/>
    <s v="CC"/>
    <s v="MACRO"/>
    <x v="0"/>
    <x v="3"/>
    <x v="4"/>
    <s v="ACUERDOS"/>
    <m/>
    <m/>
    <x v="0"/>
    <m/>
    <s v="25/26"/>
  </r>
  <r>
    <x v="1"/>
    <d v="2026-02-02T00:00:00"/>
    <s v="TRANSF:2602020000804581431001-23338858094"/>
    <m/>
    <n v="48000"/>
    <n v="0"/>
    <n v="48000"/>
    <n v="-4663443.6399999997"/>
    <n v="1450"/>
    <n v="33.103448275862071"/>
    <n v="0"/>
    <s v="ARS"/>
    <s v="CC"/>
    <s v="MACRO"/>
    <x v="4"/>
    <x v="9"/>
    <x v="38"/>
    <m/>
    <s v="MELANIA ALANIZ"/>
    <m/>
    <x v="11"/>
    <m/>
    <s v="25/26"/>
  </r>
  <r>
    <x v="1"/>
    <d v="2026-02-02T00:00:00"/>
    <s v="DGR SELLOS CORDOBA"/>
    <m/>
    <n v="4695.29"/>
    <n v="0"/>
    <n v="4695.29"/>
    <n v="-4668138.93"/>
    <n v="1450"/>
    <n v="3.2381310344827585"/>
    <n v="0"/>
    <s v="ARS"/>
    <s v="CC"/>
    <s v="MACRO"/>
    <x v="0"/>
    <x v="0"/>
    <x v="1"/>
    <s v="SELLOS"/>
    <m/>
    <m/>
    <x v="0"/>
    <m/>
    <s v="25/26"/>
  </r>
  <r>
    <x v="1"/>
    <d v="2026-02-02T00:00:00"/>
    <s v="DBCR 25413 S/DB TASA GRAL"/>
    <m/>
    <n v="1633.87"/>
    <n v="0"/>
    <n v="1633.87"/>
    <n v="-4669772.8"/>
    <n v="1450"/>
    <n v="1.1268068965517242"/>
    <n v="0"/>
    <s v="ARS"/>
    <s v="CC"/>
    <s v="MACRO"/>
    <x v="0"/>
    <x v="0"/>
    <x v="1"/>
    <s v="TASA GENERAL"/>
    <m/>
    <m/>
    <x v="0"/>
    <m/>
    <s v="25/26"/>
  </r>
  <r>
    <x v="1"/>
    <d v="2026-02-03T00:00:00"/>
    <s v="CHEQUE CANJE INTERNO"/>
    <s v="N63746274"/>
    <n v="10000000"/>
    <n v="0"/>
    <n v="10000000"/>
    <n v="-14669772.800000001"/>
    <n v="1450"/>
    <n v="6896.5517241379312"/>
    <n v="0"/>
    <s v="ARS"/>
    <s v="CC"/>
    <s v="MACRO"/>
    <x v="2"/>
    <x v="5"/>
    <x v="6"/>
    <s v="INSUMOS"/>
    <s v="TODO CAMPO INS"/>
    <m/>
    <x v="14"/>
    <m/>
    <s v="25/26"/>
  </r>
  <r>
    <x v="1"/>
    <d v="2026-02-03T00:00:00"/>
    <s v="DBCR 25413 S/DB TASA GRAL"/>
    <m/>
    <n v="60000"/>
    <n v="0"/>
    <n v="60000"/>
    <n v="-14729772.800000001"/>
    <n v="1450"/>
    <n v="41.379310344827587"/>
    <n v="0"/>
    <s v="ARS"/>
    <s v="CC"/>
    <s v="MACRO"/>
    <x v="0"/>
    <x v="0"/>
    <x v="1"/>
    <s v="TASA GENERAL"/>
    <m/>
    <m/>
    <x v="0"/>
    <m/>
    <s v="25/26"/>
  </r>
  <r>
    <x v="1"/>
    <d v="2026-02-06T00:00:00"/>
    <s v="DB/CR - COMEX- SUC.:811"/>
    <m/>
    <n v="0"/>
    <n v="28420000"/>
    <n v="-28420000"/>
    <n v="13690227.199999999"/>
    <n v="1450"/>
    <n v="0"/>
    <n v="19600"/>
    <s v="ARS"/>
    <s v="CC"/>
    <s v="MACRO"/>
    <x v="1"/>
    <x v="6"/>
    <x v="39"/>
    <s v="MACRO "/>
    <m/>
    <m/>
    <x v="15"/>
    <m/>
    <s v="25/26"/>
  </r>
  <r>
    <x v="1"/>
    <d v="2026-02-09T00:00:00"/>
    <s v="TRANSF. MACRONLINE E-SET M/T"/>
    <m/>
    <n v="30000000"/>
    <n v="0"/>
    <n v="30000000"/>
    <n v="-16309772.800000001"/>
    <n v="1450"/>
    <n v="20689.655172413793"/>
    <n v="0"/>
    <s v="ARS"/>
    <s v="CC"/>
    <s v="MACRO"/>
    <x v="1"/>
    <x v="2"/>
    <x v="3"/>
    <s v="HACIA CC NACION"/>
    <m/>
    <m/>
    <x v="2"/>
    <m/>
    <s v="25/26"/>
  </r>
  <r>
    <x v="1"/>
    <d v="2026-02-09T00:00:00"/>
    <s v="COMISION TRF. MACROL E-SET"/>
    <m/>
    <n v="121"/>
    <n v="0"/>
    <n v="121"/>
    <n v="-16309893.800000001"/>
    <n v="1450"/>
    <n v="8.344827586206896E-2"/>
    <n v="0"/>
    <s v="ARS"/>
    <s v="CC"/>
    <s v="MACRO"/>
    <x v="0"/>
    <x v="0"/>
    <x v="0"/>
    <m/>
    <m/>
    <m/>
    <x v="0"/>
    <m/>
    <s v="25/26"/>
  </r>
  <r>
    <x v="1"/>
    <d v="2026-02-09T00:00:00"/>
    <s v="TRANSF. MACRONLINE E-SET M/T"/>
    <m/>
    <n v="3500000"/>
    <n v="0"/>
    <n v="3500000"/>
    <n v="-19809893.800000001"/>
    <n v="1450"/>
    <n v="2413.7931034482758"/>
    <n v="0"/>
    <s v="ARS"/>
    <s v="CC"/>
    <s v="MACRO"/>
    <x v="1"/>
    <x v="2"/>
    <x v="3"/>
    <s v="HACIA CC NACION"/>
    <m/>
    <m/>
    <x v="2"/>
    <m/>
    <s v="25/26"/>
  </r>
  <r>
    <x v="1"/>
    <d v="2026-02-09T00:00:00"/>
    <s v="COMISION TRF. MACROL E-SET"/>
    <m/>
    <n v="121"/>
    <n v="0"/>
    <n v="121"/>
    <n v="-19810014.800000001"/>
    <n v="1450"/>
    <n v="8.344827586206896E-2"/>
    <n v="0"/>
    <s v="ARS"/>
    <s v="CC"/>
    <s v="MACRO"/>
    <x v="0"/>
    <x v="0"/>
    <x v="0"/>
    <m/>
    <m/>
    <m/>
    <x v="0"/>
    <m/>
    <s v="25/26"/>
  </r>
  <r>
    <x v="1"/>
    <d v="2026-02-09T00:00:00"/>
    <s v="DBCR 25413 S/DB TASA GRAL"/>
    <m/>
    <n v="1.46"/>
    <n v="0"/>
    <n v="1.46"/>
    <n v="-19810016.260000002"/>
    <n v="1450"/>
    <n v="1.0068965517241379E-3"/>
    <n v="0"/>
    <s v="ARS"/>
    <s v="CC"/>
    <s v="MACRO"/>
    <x v="0"/>
    <x v="0"/>
    <x v="1"/>
    <s v="TASA GENERAL"/>
    <m/>
    <m/>
    <x v="0"/>
    <m/>
    <s v="25/26"/>
  </r>
  <r>
    <x v="1"/>
    <d v="2026-02-10T00:00:00"/>
    <s v="TRF MO CCDO DIST T - 30708920882"/>
    <m/>
    <n v="6303"/>
    <n v="0"/>
    <n v="6303"/>
    <n v="-19816319.260000002"/>
    <n v="1450"/>
    <n v="4.3468965517241376"/>
    <n v="0"/>
    <s v="ARS"/>
    <s v="CC"/>
    <s v="MACRO"/>
    <x v="0"/>
    <x v="0"/>
    <x v="1"/>
    <s v="TASA GENERAL"/>
    <m/>
    <m/>
    <x v="0"/>
    <m/>
    <s v="25/26"/>
  </r>
  <r>
    <x v="1"/>
    <d v="2026-02-10T00:00:00"/>
    <s v="DBCR 25413 S/DB TASA GRAL"/>
    <m/>
    <n v="37.82"/>
    <n v="0"/>
    <n v="37.82"/>
    <n v="-19816357.079999998"/>
    <n v="1450"/>
    <n v="2.6082758620689657E-2"/>
    <n v="0"/>
    <s v="ARS"/>
    <s v="CC"/>
    <s v="MACRO"/>
    <x v="0"/>
    <x v="0"/>
    <x v="1"/>
    <s v="TASA GENERAL"/>
    <m/>
    <m/>
    <x v="0"/>
    <m/>
    <s v="25/26"/>
  </r>
  <r>
    <x v="1"/>
    <d v="2026-02-13T00:00:00"/>
    <s v="CHEQUE P/CAMARA"/>
    <s v="N60458311"/>
    <n v="764212.03"/>
    <n v="0"/>
    <n v="764212.03"/>
    <n v="-20580569.109999999"/>
    <n v="1450"/>
    <n v="527.04277931034483"/>
    <n v="0"/>
    <s v="ARS"/>
    <s v="CC"/>
    <s v="MACRO"/>
    <x v="3"/>
    <x v="10"/>
    <x v="32"/>
    <m/>
    <s v="MERLO"/>
    <m/>
    <x v="14"/>
    <m/>
    <s v="25/26"/>
  </r>
  <r>
    <x v="1"/>
    <d v="2026-02-13T00:00:00"/>
    <s v="CHEQUE P/CAMARA"/>
    <s v="N60458322"/>
    <n v="1400000"/>
    <n v="0"/>
    <n v="1400000"/>
    <n v="-21980569.109999999"/>
    <n v="1450"/>
    <n v="965.51724137931035"/>
    <n v="0"/>
    <s v="ARS"/>
    <s v="CC"/>
    <s v="MACRO"/>
    <x v="3"/>
    <x v="10"/>
    <x v="19"/>
    <m/>
    <s v="COOPERATIVA ELECT VH"/>
    <m/>
    <x v="14"/>
    <m/>
    <s v="25/26"/>
  </r>
  <r>
    <x v="1"/>
    <d v="2026-02-13T00:00:00"/>
    <s v="TRANSF ERRECALDE 20164045693 VAR VARIOS VARIO"/>
    <m/>
    <n v="0"/>
    <n v="200000"/>
    <n v="-200000"/>
    <n v="-21780569.109999999"/>
    <n v="1450"/>
    <n v="0"/>
    <n v="137.93103448275863"/>
    <s v="ARS"/>
    <s v="CC"/>
    <s v="MACRO"/>
    <x v="0"/>
    <x v="1"/>
    <x v="20"/>
    <m/>
    <s v="RAUL ERRECALDE"/>
    <m/>
    <x v="7"/>
    <s v="RAUL"/>
    <s v="25/26"/>
  </r>
  <r>
    <x v="1"/>
    <d v="2026-02-13T00:00:00"/>
    <s v="TRANSF ERRECALDE 20416806102 VAR VARIOS 00416"/>
    <m/>
    <n v="0"/>
    <n v="1200000"/>
    <n v="-1200000"/>
    <n v="-20580569.109999999"/>
    <n v="1450"/>
    <n v="0"/>
    <n v="827.58620689655174"/>
    <s v="ARS"/>
    <s v="CC"/>
    <s v="MACRO"/>
    <x v="0"/>
    <x v="7"/>
    <x v="20"/>
    <m/>
    <s v="SANTIAGO ERRECALDE"/>
    <m/>
    <x v="6"/>
    <m/>
    <s v="25/26"/>
  </r>
  <r>
    <x v="1"/>
    <d v="2026-02-13T00:00:00"/>
    <s v="TRANSF ERRECALDE 20164045693 VAR VARIOS 45010"/>
    <m/>
    <n v="0"/>
    <n v="510000"/>
    <n v="-510000"/>
    <n v="-20070569.109999999"/>
    <n v="1450"/>
    <n v="0"/>
    <n v="351.72413793103448"/>
    <s v="ARS"/>
    <s v="CC"/>
    <s v="MACRO"/>
    <x v="0"/>
    <x v="1"/>
    <x v="20"/>
    <m/>
    <s v="RAUL ERRECALDE"/>
    <m/>
    <x v="7"/>
    <s v="RAUL"/>
    <s v="25/26"/>
  </r>
  <r>
    <x v="1"/>
    <d v="2026-02-13T00:00:00"/>
    <s v="TEF DATANET MT G E S A 30708920882"/>
    <m/>
    <n v="0"/>
    <n v="80000"/>
    <n v="-80000"/>
    <n v="-19990569.109999999"/>
    <n v="1450"/>
    <n v="0"/>
    <n v="55.172413793103445"/>
    <s v="ARS"/>
    <s v="CC"/>
    <s v="MACRO"/>
    <x v="1"/>
    <x v="2"/>
    <x v="3"/>
    <s v="DESDE CC GALICIA"/>
    <m/>
    <m/>
    <x v="2"/>
    <m/>
    <s v="25/26"/>
  </r>
  <r>
    <x v="1"/>
    <d v="2026-02-13T00:00:00"/>
    <s v="DEBITO FISCAL IVA BASICO"/>
    <m/>
    <n v="3885"/>
    <n v="0"/>
    <n v="3885"/>
    <n v="-19994454.109999999"/>
    <n v="1450"/>
    <n v="2.6793103448275861"/>
    <n v="0"/>
    <s v="ARS"/>
    <s v="CC"/>
    <s v="MACRO"/>
    <x v="0"/>
    <x v="0"/>
    <x v="1"/>
    <s v="DEBITO IVA FISCAL"/>
    <m/>
    <m/>
    <x v="0"/>
    <m/>
    <s v="25/26"/>
  </r>
  <r>
    <x v="1"/>
    <d v="2026-02-13T00:00:00"/>
    <s v="DEBITO FISCAL IVA PERCEPCION"/>
    <m/>
    <n v="555"/>
    <n v="0"/>
    <n v="555"/>
    <n v="-19995009.109999999"/>
    <n v="1450"/>
    <n v="0.38275862068965516"/>
    <n v="0"/>
    <s v="ARS"/>
    <s v="CC"/>
    <s v="MACRO"/>
    <x v="0"/>
    <x v="0"/>
    <x v="1"/>
    <s v="IVA PERCEPCION"/>
    <m/>
    <m/>
    <x v="0"/>
    <m/>
    <s v="25/26"/>
  </r>
  <r>
    <x v="1"/>
    <d v="2026-02-13T00:00:00"/>
    <s v="COMISION CHEQUE CONSULTA"/>
    <m/>
    <n v="18500"/>
    <n v="0"/>
    <n v="18500"/>
    <n v="-20013509.109999999"/>
    <n v="1450"/>
    <n v="12.758620689655173"/>
    <n v="0"/>
    <s v="ARS"/>
    <s v="CC"/>
    <s v="MACRO"/>
    <x v="0"/>
    <x v="0"/>
    <x v="0"/>
    <m/>
    <m/>
    <m/>
    <x v="0"/>
    <m/>
    <s v="25/26"/>
  </r>
  <r>
    <x v="1"/>
    <d v="2026-02-13T00:00:00"/>
    <s v="DBCR 25413 S/CR TASA GRAL"/>
    <m/>
    <n v="11460"/>
    <n v="0"/>
    <n v="11460"/>
    <n v="-20024969.109999999"/>
    <n v="1450"/>
    <n v="7.9034482758620692"/>
    <n v="0"/>
    <s v="ARS"/>
    <s v="CC"/>
    <s v="MACRO"/>
    <x v="0"/>
    <x v="0"/>
    <x v="1"/>
    <s v="TASA GENERAL"/>
    <m/>
    <m/>
    <x v="0"/>
    <m/>
    <s v="25/26"/>
  </r>
  <r>
    <x v="1"/>
    <d v="2026-02-13T00:00:00"/>
    <s v="DBCR 25413 S/DB TASA GRAL"/>
    <m/>
    <n v="13122.91"/>
    <n v="0"/>
    <n v="13122.91"/>
    <n v="-20038092.02"/>
    <n v="1450"/>
    <n v="9.0502827586206891"/>
    <n v="0"/>
    <s v="ARS"/>
    <s v="CC"/>
    <s v="MACRO"/>
    <x v="0"/>
    <x v="0"/>
    <x v="1"/>
    <s v="TASA GENERAL"/>
    <m/>
    <m/>
    <x v="0"/>
    <m/>
    <s v="25/26"/>
  </r>
  <r>
    <x v="1"/>
    <d v="2026-02-19T00:00:00"/>
    <s v="TRANSF G Y E SA 30708920882 VAR VARIOS 451580"/>
    <m/>
    <n v="0"/>
    <n v="2000000"/>
    <n v="-2000000"/>
    <n v="-18038092.02"/>
    <n v="1450"/>
    <n v="0"/>
    <n v="1379.3103448275863"/>
    <s v="ARS"/>
    <s v="CC"/>
    <s v="MACRO"/>
    <x v="1"/>
    <x v="2"/>
    <x v="3"/>
    <m/>
    <m/>
    <m/>
    <x v="2"/>
    <m/>
    <s v="25/26"/>
  </r>
  <r>
    <x v="1"/>
    <d v="2026-02-19T00:00:00"/>
    <s v="SANCORSEG - SANCOR SEGUROS"/>
    <m/>
    <n v="8067"/>
    <n v="0"/>
    <n v="8067"/>
    <n v="-18046159.02"/>
    <n v="1450"/>
    <n v="5.5634482758620694"/>
    <n v="0"/>
    <s v="ARS"/>
    <s v="CC"/>
    <s v="MACRO"/>
    <x v="0"/>
    <x v="13"/>
    <x v="33"/>
    <m/>
    <m/>
    <m/>
    <x v="0"/>
    <m/>
    <s v="25/26"/>
  </r>
  <r>
    <x v="1"/>
    <d v="2026-02-19T00:00:00"/>
    <s v="DBCR 25413 S/DB TASA GRAL"/>
    <m/>
    <n v="48.4"/>
    <n v="0"/>
    <n v="48.4"/>
    <n v="-18046207.420000002"/>
    <n v="1450"/>
    <n v="3.3379310344827585E-2"/>
    <n v="0"/>
    <s v="ARS"/>
    <s v="CC"/>
    <s v="MACRO"/>
    <x v="0"/>
    <x v="0"/>
    <x v="1"/>
    <s v="TASA GENERAL"/>
    <m/>
    <m/>
    <x v="0"/>
    <m/>
    <s v="25/26"/>
  </r>
  <r>
    <x v="1"/>
    <d v="2026-02-20T00:00:00"/>
    <s v="DB TR..AUT.SDO.MISMO TIT."/>
    <m/>
    <n v="952874.36"/>
    <n v="0"/>
    <n v="952874.36"/>
    <n v="-18999081.780000001"/>
    <n v="1450"/>
    <n v="657.15473103448278"/>
    <n v="0"/>
    <s v="ARS"/>
    <s v="CC"/>
    <s v="MACRO"/>
    <x v="1"/>
    <x v="2"/>
    <x v="3"/>
    <s v="HACIA CA MACRO"/>
    <m/>
    <m/>
    <x v="2"/>
    <m/>
    <s v="25/26"/>
  </r>
  <r>
    <x v="1"/>
    <d v="2026-02-24T00:00:00"/>
    <s v="CHEQUE P/CAMARA"/>
    <s v="N64324238"/>
    <n v="399972.69"/>
    <n v="0"/>
    <n v="399972.69"/>
    <n v="-19399054.469999999"/>
    <n v="1450"/>
    <n v="275.84323448275865"/>
    <n v="0"/>
    <s v="ARS"/>
    <s v="CC"/>
    <s v="MACRO"/>
    <x v="3"/>
    <x v="11"/>
    <x v="11"/>
    <m/>
    <s v="AGROBULON"/>
    <m/>
    <x v="11"/>
    <m/>
    <s v="25/26"/>
  </r>
  <r>
    <x v="1"/>
    <d v="2026-02-24T00:00:00"/>
    <s v="CHEQUE P/CAMARA"/>
    <s v="N64325212"/>
    <n v="347459.91"/>
    <n v="0"/>
    <n v="347459.91"/>
    <n v="-19746514.379999999"/>
    <n v="1450"/>
    <n v="239.627524137931"/>
    <n v="0"/>
    <s v="ARS"/>
    <s v="CC"/>
    <s v="MACRO"/>
    <x v="3"/>
    <x v="11"/>
    <x v="11"/>
    <m/>
    <s v="ESPINAGRO"/>
    <s v="FA2962"/>
    <x v="11"/>
    <m/>
    <s v="25/26"/>
  </r>
  <r>
    <x v="1"/>
    <d v="2026-02-24T00:00:00"/>
    <s v="CHEQUE P/CAMARA"/>
    <s v="N64384624"/>
    <n v="1000000"/>
    <n v="0"/>
    <n v="1000000"/>
    <n v="-20746514.379999999"/>
    <n v="1450"/>
    <n v="689.65517241379314"/>
    <n v="0"/>
    <s v="ARS"/>
    <s v="CC"/>
    <s v="MACRO"/>
    <x v="3"/>
    <x v="8"/>
    <x v="30"/>
    <m/>
    <s v="MECANICA DELTA"/>
    <m/>
    <x v="11"/>
    <m/>
    <s v="25/26"/>
  </r>
  <r>
    <x v="1"/>
    <d v="2026-02-24T00:00:00"/>
    <s v="TRANSF G Y E SA 30708920882 VAR VARIOS 454359"/>
    <m/>
    <n v="0"/>
    <n v="2000000"/>
    <n v="-2000000"/>
    <n v="-18746514.379999999"/>
    <n v="1450"/>
    <n v="0"/>
    <n v="1379.3103448275863"/>
    <s v="ARS"/>
    <s v="CC"/>
    <s v="MACRO"/>
    <x v="1"/>
    <x v="2"/>
    <x v="3"/>
    <s v="DESDE CC PAMPA"/>
    <m/>
    <m/>
    <x v="2"/>
    <m/>
    <s v="25/26"/>
  </r>
  <r>
    <x v="1"/>
    <d v="2026-02-24T00:00:00"/>
    <s v="DEBITO FISCAL IVA BASICO"/>
    <m/>
    <n v="3885"/>
    <n v="0"/>
    <n v="3885"/>
    <n v="-18750399.379999999"/>
    <n v="1450"/>
    <n v="2.6793103448275861"/>
    <n v="0"/>
    <s v="ARS"/>
    <s v="CC"/>
    <s v="MACRO"/>
    <x v="0"/>
    <x v="0"/>
    <x v="1"/>
    <s v="DEBITO IVA FISCAL"/>
    <m/>
    <m/>
    <x v="0"/>
    <m/>
    <s v="25/26"/>
  </r>
  <r>
    <x v="1"/>
    <d v="2026-02-24T00:00:00"/>
    <s v="DEBITO FISCAL IVA PERCEPCION"/>
    <m/>
    <n v="555"/>
    <n v="0"/>
    <n v="555"/>
    <n v="-18750954.379999999"/>
    <n v="1450"/>
    <n v="0.38275862068965516"/>
    <n v="0"/>
    <s v="ARS"/>
    <s v="CC"/>
    <s v="MACRO"/>
    <x v="0"/>
    <x v="0"/>
    <x v="1"/>
    <s v="IVA PERCEPCION"/>
    <m/>
    <m/>
    <x v="0"/>
    <m/>
    <s v="25/26"/>
  </r>
  <r>
    <x v="1"/>
    <d v="2026-02-24T00:00:00"/>
    <s v="COMISION CHEQUE CONSULTA"/>
    <m/>
    <n v="18500"/>
    <n v="0"/>
    <n v="18500"/>
    <n v="-18769454.379999999"/>
    <n v="1450"/>
    <n v="12.758620689655173"/>
    <n v="0"/>
    <s v="ARS"/>
    <s v="CC"/>
    <s v="MACRO"/>
    <x v="0"/>
    <x v="0"/>
    <x v="0"/>
    <m/>
    <m/>
    <m/>
    <x v="0"/>
    <m/>
    <s v="25/26"/>
  </r>
  <r>
    <x v="1"/>
    <d v="2026-02-24T00:00:00"/>
    <s v="DBCR 25413 S/DB TASA GRAL"/>
    <m/>
    <n v="10622.24"/>
    <n v="0"/>
    <n v="10622.24"/>
    <n v="-18780076.620000001"/>
    <n v="1450"/>
    <n v="7.3256827586206894"/>
    <n v="0"/>
    <s v="ARS"/>
    <s v="CC"/>
    <s v="MACRO"/>
    <x v="0"/>
    <x v="0"/>
    <x v="1"/>
    <s v="TASA GENERAL"/>
    <m/>
    <m/>
    <x v="0"/>
    <m/>
    <s v="25/26"/>
  </r>
  <r>
    <x v="0"/>
    <d v="2026-01-10T00:00:00"/>
    <s v="EFECTIVO"/>
    <m/>
    <n v="0"/>
    <n v="2000000"/>
    <n v="-2000000"/>
    <n v="-11947246.1833333"/>
    <n v="1450"/>
    <n v="0"/>
    <n v="1379.3103448275863"/>
    <s v="-"/>
    <s v="-"/>
    <s v="-"/>
    <x v="0"/>
    <x v="7"/>
    <x v="8"/>
    <m/>
    <s v="ADRIAN BECERRA"/>
    <m/>
    <x v="6"/>
    <m/>
    <s v="25/26"/>
  </r>
  <r>
    <x v="0"/>
    <d v="2026-01-09T00:00:00"/>
    <s v="EFECTIVO"/>
    <m/>
    <n v="0"/>
    <n v="450500"/>
    <n v="-450500"/>
    <n v="-11947246.1833333"/>
    <n v="1450"/>
    <n v="0"/>
    <n v="310.68965517241378"/>
    <s v="-"/>
    <s v="-"/>
    <s v="-"/>
    <x v="0"/>
    <x v="7"/>
    <x v="8"/>
    <m/>
    <s v="ADRIAN BECERRA"/>
    <m/>
    <x v="6"/>
    <m/>
    <s v="25/26"/>
  </r>
  <r>
    <x v="0"/>
    <d v="2026-01-10T00:00:00"/>
    <s v="EFECTIVO"/>
    <m/>
    <n v="0"/>
    <n v="135000"/>
    <n v="-135000"/>
    <n v="-11954148.643333299"/>
    <n v="1450"/>
    <n v="0"/>
    <n v="93.103448275862064"/>
    <s v="-"/>
    <s v="-"/>
    <s v="-"/>
    <x v="0"/>
    <x v="1"/>
    <x v="20"/>
    <m/>
    <s v="RAUL ERRECALDE"/>
    <m/>
    <x v="7"/>
    <s v="RAUL"/>
    <s v="25/26"/>
  </r>
  <r>
    <x v="0"/>
    <d v="2026-01-10T00:00:00"/>
    <s v="EFECTIVO"/>
    <m/>
    <n v="135000"/>
    <n v="0"/>
    <n v="135000"/>
    <n v="-11957599.8733333"/>
    <n v="1450"/>
    <n v="93.103448275862064"/>
    <n v="0"/>
    <s v="-"/>
    <s v="-"/>
    <s v="-"/>
    <x v="0"/>
    <x v="12"/>
    <x v="23"/>
    <s v="05/01 -07/01"/>
    <s v="JULIO TOLEDO"/>
    <m/>
    <x v="13"/>
    <m/>
    <s v="25/26"/>
  </r>
  <r>
    <x v="0"/>
    <d v="2026-01-04T00:00:00"/>
    <s v="EFECTIVO"/>
    <m/>
    <n v="320000"/>
    <n v="0"/>
    <n v="320000"/>
    <n v="-11961051.1033333"/>
    <n v="1450"/>
    <n v="220.68965517241378"/>
    <n v="0"/>
    <s v="-"/>
    <s v="-"/>
    <s v="-"/>
    <x v="0"/>
    <x v="12"/>
    <x v="23"/>
    <m/>
    <s v="JULIO TOLEDO"/>
    <m/>
    <x v="13"/>
    <m/>
    <s v="25/26"/>
  </r>
  <r>
    <x v="0"/>
    <d v="2026-01-04T00:00:00"/>
    <s v="EFECTIVO"/>
    <m/>
    <n v="25000"/>
    <n v="0"/>
    <n v="25000"/>
    <n v="-11964502.3333333"/>
    <n v="1450"/>
    <n v="17.241379310344829"/>
    <n v="0"/>
    <s v="-"/>
    <s v="-"/>
    <s v="-"/>
    <x v="3"/>
    <x v="8"/>
    <x v="14"/>
    <s v="LAVADO"/>
    <m/>
    <m/>
    <x v="16"/>
    <m/>
    <s v="25/26"/>
  </r>
  <r>
    <x v="0"/>
    <d v="2026-01-10T00:00:00"/>
    <s v="EFECTIVO"/>
    <m/>
    <n v="1500000"/>
    <n v="0"/>
    <n v="1500000"/>
    <n v="-11967953.563333301"/>
    <n v="1450"/>
    <n v="1034.4827586206898"/>
    <n v="0"/>
    <s v="-"/>
    <s v="-"/>
    <s v="-"/>
    <x v="0"/>
    <x v="12"/>
    <x v="24"/>
    <m/>
    <s v="ANDRES TOLEDO"/>
    <m/>
    <x v="13"/>
    <m/>
    <s v="25/26"/>
  </r>
  <r>
    <x v="0"/>
    <d v="2026-01-10T00:00:00"/>
    <s v="EFECTIVO"/>
    <m/>
    <n v="4807"/>
    <n v="0"/>
    <n v="4807"/>
    <n v="-11971404.793333299"/>
    <n v="1450"/>
    <n v="3.3151724137931033"/>
    <n v="0"/>
    <s v="-"/>
    <s v="-"/>
    <s v="-"/>
    <x v="0"/>
    <x v="12"/>
    <x v="23"/>
    <s v="SEGURO"/>
    <s v="JULIO TOLEDO"/>
    <m/>
    <x v="13"/>
    <m/>
    <s v="25/26"/>
  </r>
  <r>
    <x v="0"/>
    <d v="2026-01-10T00:00:00"/>
    <s v="EFECTIVO"/>
    <m/>
    <n v="200000"/>
    <n v="0"/>
    <n v="200000"/>
    <n v="-11974856.0233333"/>
    <n v="1450"/>
    <n v="137.93103448275863"/>
    <n v="0"/>
    <s v="-"/>
    <s v="-"/>
    <s v="-"/>
    <x v="0"/>
    <x v="12"/>
    <x v="23"/>
    <m/>
    <s v="CRISTIAN OLMEDO"/>
    <m/>
    <x v="13"/>
    <m/>
    <s v="25/26"/>
  </r>
  <r>
    <x v="0"/>
    <d v="2026-01-10T00:00:00"/>
    <s v="EFECTIVO"/>
    <m/>
    <n v="337500"/>
    <n v="0"/>
    <n v="337500"/>
    <n v="-11978307.2533333"/>
    <n v="1450"/>
    <n v="232.75862068965517"/>
    <n v="0"/>
    <s v="-"/>
    <s v="-"/>
    <s v="-"/>
    <x v="0"/>
    <x v="12"/>
    <x v="23"/>
    <m/>
    <s v="JULIO TOLEDO"/>
    <m/>
    <x v="13"/>
    <m/>
    <s v="25/26"/>
  </r>
  <r>
    <x v="0"/>
    <d v="2026-01-10T00:00:00"/>
    <s v="EFECTIVO"/>
    <m/>
    <n v="10000"/>
    <n v="0"/>
    <n v="10000"/>
    <n v="-11981758.483333301"/>
    <n v="1450"/>
    <n v="6.8965517241379306"/>
    <n v="0"/>
    <s v="-"/>
    <s v="-"/>
    <s v="-"/>
    <x v="3"/>
    <x v="8"/>
    <x v="14"/>
    <m/>
    <s v="SANCHEZ"/>
    <m/>
    <x v="16"/>
    <m/>
    <s v="25/26"/>
  </r>
  <r>
    <x v="0"/>
    <d v="2026-01-10T00:00:00"/>
    <s v="EFECTIVO"/>
    <m/>
    <n v="4000"/>
    <n v="0"/>
    <n v="4000"/>
    <m/>
    <n v="1450"/>
    <n v="2.7586206896551726"/>
    <n v="0"/>
    <s v="-"/>
    <s v="-"/>
    <s v="-"/>
    <x v="3"/>
    <x v="10"/>
    <x v="19"/>
    <s v="AGROBULONES"/>
    <s v="FAVA TRANSP"/>
    <m/>
    <x v="12"/>
    <m/>
    <s v="25/26"/>
  </r>
  <r>
    <x v="0"/>
    <d v="2026-01-10T00:00:00"/>
    <s v="EFECTIVO"/>
    <m/>
    <n v="54000"/>
    <n v="0"/>
    <n v="54000"/>
    <m/>
    <n v="1450"/>
    <n v="37.241379310344826"/>
    <n v="0"/>
    <s v="-"/>
    <s v="-"/>
    <s v="-"/>
    <x v="0"/>
    <x v="12"/>
    <x v="11"/>
    <s v="ARREGLO TELEFONO"/>
    <s v="ANDRES TOLEDO"/>
    <m/>
    <x v="13"/>
    <m/>
    <s v="25/26"/>
  </r>
  <r>
    <x v="0"/>
    <d v="2026-01-10T00:00:00"/>
    <s v="EFECTIVO"/>
    <m/>
    <n v="30000"/>
    <n v="0"/>
    <n v="30000"/>
    <m/>
    <n v="1450"/>
    <n v="20.689655172413794"/>
    <n v="0"/>
    <s v="-"/>
    <s v="-"/>
    <s v="-"/>
    <x v="0"/>
    <x v="12"/>
    <x v="11"/>
    <m/>
    <s v="JULIO ARNAUDO"/>
    <m/>
    <x v="6"/>
    <m/>
    <m/>
  </r>
  <r>
    <x v="0"/>
    <d v="2026-01-26T00:00:00"/>
    <s v="EFECTIVO"/>
    <m/>
    <n v="247500"/>
    <n v="0"/>
    <n v="247500"/>
    <m/>
    <n v="1450"/>
    <n v="170.68965517241378"/>
    <n v="0"/>
    <s v="-"/>
    <s v="-"/>
    <s v="-"/>
    <x v="0"/>
    <x v="12"/>
    <x v="23"/>
    <m/>
    <s v="JULIO TOLEDO"/>
    <m/>
    <x v="13"/>
    <m/>
    <s v="25/26"/>
  </r>
  <r>
    <x v="0"/>
    <d v="2026-01-10T00:00:00"/>
    <s v="EFECTIVO"/>
    <m/>
    <n v="5080"/>
    <n v="0"/>
    <n v="5080"/>
    <m/>
    <n v="1450"/>
    <n v="3.5034482758620689"/>
    <n v="0"/>
    <s v="-"/>
    <s v="-"/>
    <s v="-"/>
    <x v="0"/>
    <x v="12"/>
    <x v="24"/>
    <s v="FAECYS"/>
    <s v="ANDRES TOLEDO"/>
    <m/>
    <x v="13"/>
    <m/>
    <s v="25/26"/>
  </r>
  <r>
    <x v="0"/>
    <d v="2026-01-10T00:00:00"/>
    <s v="EFECTIVO"/>
    <m/>
    <n v="8500"/>
    <n v="0"/>
    <n v="8500"/>
    <m/>
    <n v="1450"/>
    <n v="5.8620689655172411"/>
    <n v="0"/>
    <s v="-"/>
    <s v="-"/>
    <s v="-"/>
    <x v="0"/>
    <x v="12"/>
    <x v="24"/>
    <s v="OSECAC"/>
    <s v="ANDRES TOLEDO"/>
    <m/>
    <x v="13"/>
    <m/>
    <s v="25/26"/>
  </r>
  <r>
    <x v="0"/>
    <d v="2026-01-10T00:00:00"/>
    <s v="EFECTIVO"/>
    <m/>
    <n v="6000"/>
    <n v="0"/>
    <n v="6000"/>
    <m/>
    <n v="1450"/>
    <n v="4.1379310344827589"/>
    <n v="0"/>
    <s v="-"/>
    <s v="-"/>
    <s v="-"/>
    <x v="3"/>
    <x v="10"/>
    <x v="19"/>
    <s v="MADERERA MENDEZ"/>
    <s v="VIDAL COMISIONES"/>
    <m/>
    <x v="12"/>
    <m/>
    <s v="25/26"/>
  </r>
  <r>
    <x v="0"/>
    <d v="2026-01-10T00:00:00"/>
    <s v="EFECTIVO"/>
    <m/>
    <n v="8000"/>
    <n v="0"/>
    <n v="8000"/>
    <m/>
    <n v="1450"/>
    <n v="5.5172413793103452"/>
    <n v="0"/>
    <s v="-"/>
    <s v="-"/>
    <s v="-"/>
    <x v="3"/>
    <x v="10"/>
    <x v="19"/>
    <s v="MADERERA MENDEZ"/>
    <s v="YANOSKI"/>
    <m/>
    <x v="12"/>
    <m/>
    <s v="25/26"/>
  </r>
  <r>
    <x v="0"/>
    <d v="2026-01-10T00:00:00"/>
    <s v="EFECTIVO"/>
    <m/>
    <n v="4807"/>
    <n v="0"/>
    <n v="4807"/>
    <m/>
    <n v="1450"/>
    <n v="3.3151724137931033"/>
    <n v="0"/>
    <s v="-"/>
    <s v="-"/>
    <s v="-"/>
    <x v="0"/>
    <x v="12"/>
    <x v="23"/>
    <m/>
    <s v="JULIO TOLEDO"/>
    <m/>
    <x v="13"/>
    <m/>
    <s v="25/26"/>
  </r>
  <r>
    <x v="0"/>
    <d v="2026-01-10T00:00:00"/>
    <s v="EFECTIVO"/>
    <m/>
    <n v="220000"/>
    <n v="0"/>
    <n v="220000"/>
    <m/>
    <n v="1450"/>
    <n v="151.72413793103448"/>
    <n v="0"/>
    <s v="-"/>
    <s v="-"/>
    <s v="-"/>
    <x v="0"/>
    <x v="12"/>
    <x v="23"/>
    <s v="SEGURO"/>
    <s v="JULIO TOLEDO"/>
    <m/>
    <x v="13"/>
    <m/>
    <s v="25/26"/>
  </r>
  <r>
    <x v="0"/>
    <d v="2026-01-10T00:00:00"/>
    <s v="EFECTIVO"/>
    <m/>
    <n v="26724"/>
    <n v="0"/>
    <n v="26724"/>
    <m/>
    <n v="1450"/>
    <n v="18.430344827586207"/>
    <n v="0"/>
    <s v="-"/>
    <s v="-"/>
    <s v="-"/>
    <x v="0"/>
    <x v="12"/>
    <x v="11"/>
    <s v="ARREGLO HELADERAS"/>
    <s v="ZALAZAR"/>
    <m/>
    <x v="16"/>
    <m/>
    <m/>
  </r>
  <r>
    <x v="0"/>
    <d v="2026-01-10T00:00:00"/>
    <s v="EFECTIVO"/>
    <m/>
    <n v="150000"/>
    <n v="0"/>
    <n v="150000"/>
    <m/>
    <n v="1450"/>
    <n v="103.44827586206897"/>
    <n v="0"/>
    <s v="-"/>
    <s v="-"/>
    <s v="-"/>
    <x v="4"/>
    <x v="9"/>
    <x v="40"/>
    <s v="43 VAQUILLONAS"/>
    <s v="SENASA"/>
    <m/>
    <x v="11"/>
    <m/>
    <s v="25/26"/>
  </r>
  <r>
    <x v="0"/>
    <d v="2026-01-10T00:00:00"/>
    <s v="EFECTIVO"/>
    <m/>
    <n v="500000"/>
    <n v="0"/>
    <n v="500000"/>
    <m/>
    <n v="1450"/>
    <n v="344.82758620689657"/>
    <n v="0"/>
    <s v="-"/>
    <s v="-"/>
    <s v="-"/>
    <x v="0"/>
    <x v="12"/>
    <x v="23"/>
    <m/>
    <s v="CRISTIAN OLMEDO"/>
    <m/>
    <x v="13"/>
    <m/>
    <s v="25/26"/>
  </r>
  <r>
    <x v="1"/>
    <d v="2026-02-04T00:00:00"/>
    <s v="EFECTIVO"/>
    <m/>
    <n v="292500"/>
    <n v="0"/>
    <n v="292500"/>
    <m/>
    <n v="1450"/>
    <n v="201.72413793103448"/>
    <n v="0"/>
    <s v="-"/>
    <s v="-"/>
    <s v="-"/>
    <x v="0"/>
    <x v="12"/>
    <x v="24"/>
    <s v="PERIODO ENERO"/>
    <s v="ANDRES TOLEDO"/>
    <m/>
    <x v="13"/>
    <m/>
    <s v="25/26"/>
  </r>
  <r>
    <x v="1"/>
    <d v="2026-02-06T00:00:00"/>
    <s v="EFECTIVO"/>
    <m/>
    <n v="750000"/>
    <n v="0"/>
    <n v="750000"/>
    <m/>
    <n v="1450"/>
    <n v="517.24137931034488"/>
    <n v="0"/>
    <s v="-"/>
    <s v="-"/>
    <s v="-"/>
    <x v="0"/>
    <x v="12"/>
    <x v="24"/>
    <s v="PERIODO ENERO"/>
    <s v="ANDRES TOLEDO"/>
    <m/>
    <x v="13"/>
    <m/>
    <s v="25/26"/>
  </r>
  <r>
    <x v="1"/>
    <d v="2026-02-06T00:00:00"/>
    <s v="EFECTIVO"/>
    <m/>
    <n v="30000"/>
    <n v="0"/>
    <n v="30000"/>
    <m/>
    <n v="1450"/>
    <n v="20.689655172413794"/>
    <n v="0"/>
    <s v="-"/>
    <s v="-"/>
    <s v="-"/>
    <x v="0"/>
    <x v="12"/>
    <x v="11"/>
    <m/>
    <s v="NORMA TOLEDO"/>
    <m/>
    <x v="17"/>
    <m/>
    <s v="25/26"/>
  </r>
  <r>
    <x v="1"/>
    <d v="2026-02-06T00:00:00"/>
    <s v="EFECTIVO"/>
    <m/>
    <n v="180000"/>
    <n v="0"/>
    <n v="180000"/>
    <m/>
    <n v="1450"/>
    <n v="124.13793103448276"/>
    <n v="0"/>
    <s v="-"/>
    <s v="-"/>
    <s v="-"/>
    <x v="0"/>
    <x v="12"/>
    <x v="23"/>
    <m/>
    <s v="JULIO TOLEDO"/>
    <m/>
    <x v="13"/>
    <m/>
    <s v="25/26"/>
  </r>
  <r>
    <x v="1"/>
    <d v="2026-02-09T00:00:00"/>
    <s v="EFECTIVO"/>
    <m/>
    <n v="4807"/>
    <n v="0"/>
    <n v="4807"/>
    <m/>
    <n v="1450"/>
    <n v="3.3151724137931033"/>
    <n v="0"/>
    <s v="-"/>
    <s v="-"/>
    <s v="-"/>
    <x v="0"/>
    <x v="12"/>
    <x v="23"/>
    <s v="SEGURO"/>
    <s v="JULIO TOLEDO"/>
    <m/>
    <x v="13"/>
    <m/>
    <s v="25/26"/>
  </r>
  <r>
    <x v="1"/>
    <d v="2026-02-10T00:00:00"/>
    <s v="EFECTIVO"/>
    <m/>
    <n v="712000"/>
    <n v="0"/>
    <n v="712000"/>
    <m/>
    <n v="1450"/>
    <n v="491.0344827586207"/>
    <n v="0"/>
    <s v="-"/>
    <s v="-"/>
    <s v="-"/>
    <x v="0"/>
    <x v="12"/>
    <x v="24"/>
    <s v="VACACIONES"/>
    <s v="ANDRES TOLEDO"/>
    <m/>
    <x v="13"/>
    <m/>
    <s v="25/26"/>
  </r>
  <r>
    <x v="1"/>
    <d v="2026-02-19T00:00:00"/>
    <s v="EFECTIVO"/>
    <m/>
    <n v="0"/>
    <n v="1074765"/>
    <n v="-1074765"/>
    <m/>
    <n v="1450"/>
    <n v="0"/>
    <n v="741.21724137931039"/>
    <s v="-"/>
    <s v="-"/>
    <s v="-"/>
    <x v="0"/>
    <x v="7"/>
    <x v="20"/>
    <m/>
    <s v="ADRIAN BECERRA"/>
    <m/>
    <x v="6"/>
    <m/>
    <s v="25/26"/>
  </r>
  <r>
    <x v="1"/>
    <d v="2026-02-20T00:00:00"/>
    <s v="EFECTIVO"/>
    <m/>
    <n v="43947"/>
    <n v="0"/>
    <n v="43947"/>
    <m/>
    <n v="1450"/>
    <n v="30.308275862068964"/>
    <n v="0"/>
    <s v="-"/>
    <s v="-"/>
    <s v="-"/>
    <x v="0"/>
    <x v="1"/>
    <x v="8"/>
    <s v="SEGURO ECOGAS"/>
    <s v="RAUL ERRECALDE"/>
    <m/>
    <x v="9"/>
    <s v="RAUL"/>
    <s v="25/26"/>
  </r>
  <r>
    <x v="1"/>
    <d v="2026-02-20T00:00:00"/>
    <s v="EFECTIVO"/>
    <m/>
    <n v="235000"/>
    <n v="0"/>
    <n v="235000"/>
    <m/>
    <n v="1450"/>
    <n v="162.06896551724137"/>
    <n v="0"/>
    <s v="-"/>
    <s v="-"/>
    <s v="-"/>
    <x v="0"/>
    <x v="1"/>
    <x v="8"/>
    <s v="EXPENSAS RAUL"/>
    <s v="RAUL ERRECALDE"/>
    <m/>
    <x v="9"/>
    <s v="RAUL"/>
    <s v="25/26"/>
  </r>
  <r>
    <x v="1"/>
    <d v="2026-02-20T00:00:00"/>
    <s v="EFECTIVO"/>
    <m/>
    <n v="200000"/>
    <n v="0"/>
    <n v="200000"/>
    <m/>
    <n v="1450"/>
    <n v="137.93103448275863"/>
    <n v="0"/>
    <s v="-"/>
    <s v="-"/>
    <s v="-"/>
    <x v="0"/>
    <x v="1"/>
    <x v="8"/>
    <s v="EFECTIVO"/>
    <s v="RAUL ERRECALDE"/>
    <m/>
    <x v="9"/>
    <s v="RAUL"/>
    <s v="25/26"/>
  </r>
  <r>
    <x v="1"/>
    <d v="2026-02-20T00:00:00"/>
    <s v="EFECTIVO"/>
    <m/>
    <n v="495000"/>
    <n v="0"/>
    <n v="495000"/>
    <m/>
    <n v="1450"/>
    <n v="341.37931034482756"/>
    <n v="0"/>
    <s v="-"/>
    <s v="-"/>
    <s v="-"/>
    <x v="0"/>
    <x v="12"/>
    <x v="23"/>
    <m/>
    <s v="JULIO TOLEDO"/>
    <m/>
    <x v="13"/>
    <m/>
    <s v="25/26"/>
  </r>
  <r>
    <x v="1"/>
    <d v="2026-02-20T00:00:00"/>
    <s v="EFECTIVO"/>
    <m/>
    <n v="104120"/>
    <n v="0"/>
    <n v="104120"/>
    <m/>
    <n v="1450"/>
    <n v="71.806896551724137"/>
    <n v="0"/>
    <s v="-"/>
    <s v="-"/>
    <s v="-"/>
    <x v="0"/>
    <x v="1"/>
    <x v="8"/>
    <s v="SEGURO TOYOTA"/>
    <s v="RAUL ERRECALDE"/>
    <m/>
    <x v="9"/>
    <s v="RAUL"/>
    <s v="25/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10862E-2270-48C1-87DD-D7D48FD9F1AB}" name="TablaDiná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E69" firstHeaderRow="0" firstDataRow="1" firstDataCol="1"/>
  <pivotFields count="23">
    <pivotField showAll="0">
      <items count="14">
        <item x="0"/>
        <item x="1"/>
        <item m="1" x="3"/>
        <item m="1" x="4"/>
        <item m="1" x="2"/>
        <item m="1" x="5"/>
        <item m="1" x="6"/>
        <item m="1" x="7"/>
        <item m="1" x="8"/>
        <item m="1" x="9"/>
        <item m="1" x="10"/>
        <item m="1" x="11"/>
        <item m="1" x="12"/>
        <item t="default"/>
      </items>
    </pivotField>
    <pivotField numFmtId="166" showAll="0"/>
    <pivotField showAll="0"/>
    <pivotField showAll="0"/>
    <pivotField dataField="1" numFmtId="44" showAll="0"/>
    <pivotField dataField="1" numFmtId="44" showAll="0"/>
    <pivotField showAll="0"/>
    <pivotField showAll="0"/>
    <pivotField showAll="0"/>
    <pivotField dataField="1" numFmtId="165" showAll="0"/>
    <pivotField dataField="1" numFmtId="165" showAll="0"/>
    <pivotField showAll="0"/>
    <pivotField showAll="0"/>
    <pivotField showAll="0"/>
    <pivotField axis="axisRow" showAll="0">
      <items count="12">
        <item x="0"/>
        <item x="2"/>
        <item x="3"/>
        <item x="1"/>
        <item m="1" x="9"/>
        <item m="1" x="5"/>
        <item m="1" x="7"/>
        <item m="1" x="10"/>
        <item x="4"/>
        <item m="1" x="8"/>
        <item m="1" x="6"/>
        <item t="default"/>
      </items>
    </pivotField>
    <pivotField axis="axisRow" showAll="0">
      <items count="38">
        <item x="4"/>
        <item x="9"/>
        <item x="5"/>
        <item x="13"/>
        <item x="0"/>
        <item x="3"/>
        <item x="11"/>
        <item x="2"/>
        <item x="12"/>
        <item x="8"/>
        <item m="1" x="15"/>
        <item x="1"/>
        <item x="10"/>
        <item m="1" x="35"/>
        <item x="6"/>
        <item m="1" x="21"/>
        <item m="1" x="36"/>
        <item x="7"/>
        <item m="1" x="33"/>
        <item x="14"/>
        <item m="1" x="34"/>
        <item m="1" x="17"/>
        <item m="1" x="24"/>
        <item m="1" x="32"/>
        <item sd="0" m="1" x="26"/>
        <item m="1" x="27"/>
        <item m="1" x="31"/>
        <item m="1" x="29"/>
        <item m="1" x="30"/>
        <item m="1" x="18"/>
        <item m="1" x="20"/>
        <item m="1" x="25"/>
        <item m="1" x="19"/>
        <item m="1" x="28"/>
        <item m="1" x="22"/>
        <item m="1" x="23"/>
        <item m="1" x="16"/>
        <item t="default"/>
      </items>
    </pivotField>
    <pivotField axis="axisRow" showAll="0">
      <items count="135">
        <item m="1" x="133"/>
        <item x="26"/>
        <item x="20"/>
        <item x="18"/>
        <item m="1" x="70"/>
        <item m="1" x="65"/>
        <item x="0"/>
        <item m="1" x="104"/>
        <item m="1" x="55"/>
        <item x="8"/>
        <item m="1" x="130"/>
        <item x="14"/>
        <item x="30"/>
        <item m="1" x="78"/>
        <item x="1"/>
        <item m="1" x="43"/>
        <item x="4"/>
        <item x="23"/>
        <item x="38"/>
        <item x="37"/>
        <item x="25"/>
        <item x="22"/>
        <item m="1" x="132"/>
        <item m="1" x="111"/>
        <item x="13"/>
        <item m="1" x="120"/>
        <item m="1" x="61"/>
        <item m="1" x="56"/>
        <item x="33"/>
        <item x="19"/>
        <item x="6"/>
        <item x="24"/>
        <item x="32"/>
        <item x="3"/>
        <item x="16"/>
        <item m="1" x="131"/>
        <item x="11"/>
        <item m="1" x="45"/>
        <item m="1" x="117"/>
        <item m="1" x="129"/>
        <item x="5"/>
        <item m="1" x="47"/>
        <item m="1" x="63"/>
        <item m="1" x="80"/>
        <item m="1" x="123"/>
        <item m="1" x="42"/>
        <item m="1" x="128"/>
        <item m="1" x="126"/>
        <item m="1" x="127"/>
        <item m="1" x="125"/>
        <item x="28"/>
        <item m="1" x="66"/>
        <item m="1" x="82"/>
        <item m="1" x="124"/>
        <item x="34"/>
        <item m="1" x="121"/>
        <item m="1" x="85"/>
        <item x="40"/>
        <item m="1" x="86"/>
        <item m="1" x="54"/>
        <item m="1" x="108"/>
        <item m="1" x="48"/>
        <item m="1" x="49"/>
        <item m="1" x="67"/>
        <item m="1" x="81"/>
        <item m="1" x="72"/>
        <item m="1" x="89"/>
        <item m="1" x="90"/>
        <item m="1" x="114"/>
        <item m="1" x="116"/>
        <item x="29"/>
        <item m="1" x="91"/>
        <item m="1" x="92"/>
        <item m="1" x="93"/>
        <item m="1" x="122"/>
        <item m="1" x="50"/>
        <item m="1" x="68"/>
        <item m="1" x="87"/>
        <item m="1" x="94"/>
        <item m="1" x="119"/>
        <item m="1" x="96"/>
        <item m="1" x="109"/>
        <item m="1" x="118"/>
        <item m="1" x="64"/>
        <item m="1" x="76"/>
        <item m="1" x="100"/>
        <item m="1" x="71"/>
        <item m="1" x="77"/>
        <item m="1" x="115"/>
        <item m="1" x="62"/>
        <item m="1" x="79"/>
        <item m="1" x="84"/>
        <item m="1" x="95"/>
        <item m="1" x="113"/>
        <item m="1" x="98"/>
        <item m="1" x="97"/>
        <item m="1" x="99"/>
        <item m="1" x="57"/>
        <item m="1" x="101"/>
        <item m="1" x="75"/>
        <item m="1" x="46"/>
        <item m="1" x="51"/>
        <item m="1" x="58"/>
        <item m="1" x="69"/>
        <item m="1" x="102"/>
        <item m="1" x="83"/>
        <item m="1" x="52"/>
        <item m="1" x="112"/>
        <item m="1" x="88"/>
        <item m="1" x="103"/>
        <item x="27"/>
        <item m="1" x="44"/>
        <item m="1" x="110"/>
        <item m="1" x="59"/>
        <item m="1" x="60"/>
        <item m="1" x="53"/>
        <item m="1" x="105"/>
        <item m="1" x="73"/>
        <item m="1" x="74"/>
        <item m="1" x="106"/>
        <item x="31"/>
        <item m="1" x="107"/>
        <item x="2"/>
        <item m="1" x="41"/>
        <item x="35"/>
        <item x="12"/>
        <item x="15"/>
        <item x="17"/>
        <item x="21"/>
        <item x="39"/>
        <item x="36"/>
        <item x="7"/>
        <item x="9"/>
        <item x="1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3">
    <field x="14"/>
    <field x="15"/>
    <field x="16"/>
  </rowFields>
  <rowItems count="66">
    <i>
      <x/>
    </i>
    <i r="1">
      <x v="3"/>
    </i>
    <i r="2">
      <x v="20"/>
    </i>
    <i r="2">
      <x v="28"/>
    </i>
    <i r="2">
      <x v="120"/>
    </i>
    <i r="1">
      <x v="4"/>
    </i>
    <i r="2">
      <x v="6"/>
    </i>
    <i r="2">
      <x v="14"/>
    </i>
    <i r="1">
      <x v="5"/>
    </i>
    <i r="2">
      <x v="16"/>
    </i>
    <i r="1">
      <x v="8"/>
    </i>
    <i r="2">
      <x v="17"/>
    </i>
    <i r="2">
      <x v="31"/>
    </i>
    <i r="2">
      <x v="36"/>
    </i>
    <i r="1">
      <x v="11"/>
    </i>
    <i r="2">
      <x v="2"/>
    </i>
    <i r="2">
      <x v="9"/>
    </i>
    <i r="2">
      <x v="122"/>
    </i>
    <i r="2">
      <x v="132"/>
    </i>
    <i r="2">
      <x v="133"/>
    </i>
    <i r="1">
      <x v="17"/>
    </i>
    <i r="2">
      <x v="2"/>
    </i>
    <i r="2">
      <x v="9"/>
    </i>
    <i r="2">
      <x v="54"/>
    </i>
    <i r="2">
      <x v="124"/>
    </i>
    <i>
      <x v="1"/>
    </i>
    <i r="1">
      <x v="2"/>
    </i>
    <i r="2">
      <x v="19"/>
    </i>
    <i r="2">
      <x v="30"/>
    </i>
    <i r="2">
      <x v="70"/>
    </i>
    <i r="1">
      <x v="19"/>
    </i>
    <i r="2">
      <x v="1"/>
    </i>
    <i>
      <x v="2"/>
    </i>
    <i r="1">
      <x v="6"/>
    </i>
    <i r="2">
      <x v="21"/>
    </i>
    <i r="2">
      <x v="36"/>
    </i>
    <i r="1">
      <x v="9"/>
    </i>
    <i r="2">
      <x v="11"/>
    </i>
    <i r="2">
      <x v="12"/>
    </i>
    <i r="2">
      <x v="36"/>
    </i>
    <i r="1">
      <x v="12"/>
    </i>
    <i r="2">
      <x v="24"/>
    </i>
    <i r="2">
      <x v="29"/>
    </i>
    <i r="2">
      <x v="32"/>
    </i>
    <i r="2">
      <x v="50"/>
    </i>
    <i r="2">
      <x v="110"/>
    </i>
    <i r="2">
      <x v="126"/>
    </i>
    <i r="2">
      <x v="127"/>
    </i>
    <i r="2">
      <x v="130"/>
    </i>
    <i>
      <x v="3"/>
    </i>
    <i r="1">
      <x/>
    </i>
    <i r="2">
      <x v="40"/>
    </i>
    <i r="2">
      <x v="128"/>
    </i>
    <i r="1">
      <x v="7"/>
    </i>
    <i r="2">
      <x v="33"/>
    </i>
    <i r="1">
      <x v="14"/>
    </i>
    <i r="2">
      <x v="129"/>
    </i>
    <i r="2">
      <x v="131"/>
    </i>
    <i>
      <x v="8"/>
    </i>
    <i r="1">
      <x v="1"/>
    </i>
    <i r="2">
      <x v="3"/>
    </i>
    <i r="2">
      <x v="18"/>
    </i>
    <i r="2">
      <x v="34"/>
    </i>
    <i r="2">
      <x v="57"/>
    </i>
    <i r="2">
      <x v="12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EGRESOS" fld="4" baseField="0" baseItem="0" numFmtId="44"/>
    <dataField name="Suma de INGRESOS" fld="5" baseField="0" baseItem="0" numFmtId="44"/>
    <dataField name="Suma de EGRES USD" fld="9" baseField="0" baseItem="0" numFmtId="165"/>
    <dataField name="Suma de INGRES USD" fld="10" baseField="0" baseItem="0" numFmtId="165"/>
  </dataFields>
  <formats count="35">
    <format dxfId="207">
      <pivotArea field="14" type="button" dataOnly="0" labelOnly="1" outline="0" axis="axisRow" fieldPosition="0"/>
    </format>
    <format dxfId="206">
      <pivotArea dataOnly="0" labelOnly="1" outline="0" fieldPosition="0">
        <references count="1">
          <reference field="4294967294" count="3">
            <x v="0"/>
            <x v="2"/>
            <x v="3"/>
          </reference>
        </references>
      </pivotArea>
    </format>
    <format dxfId="205">
      <pivotArea grandRow="1" outline="0" collapsedLevelsAreSubtotals="1" fieldPosition="0"/>
    </format>
    <format dxfId="204">
      <pivotArea dataOnly="0" labelOnly="1" grandRow="1" outline="0" fieldPosition="0"/>
    </format>
    <format dxfId="203">
      <pivotArea collapsedLevelsAreSubtotals="1" fieldPosition="0">
        <references count="1">
          <reference field="14" count="1">
            <x v="0"/>
          </reference>
        </references>
      </pivotArea>
    </format>
    <format dxfId="202">
      <pivotArea collapsedLevelsAreSubtotals="1" fieldPosition="0">
        <references count="2">
          <reference field="14" count="1" selected="0">
            <x v="0"/>
          </reference>
          <reference field="15" count="5">
            <x v="3"/>
            <x v="4"/>
            <x v="5"/>
            <x v="8"/>
            <x v="11"/>
          </reference>
        </references>
      </pivotArea>
    </format>
    <format dxfId="201">
      <pivotArea collapsedLevelsAreSubtotals="1" fieldPosition="0">
        <references count="1">
          <reference field="14" count="1">
            <x v="1"/>
          </reference>
        </references>
      </pivotArea>
    </format>
    <format dxfId="200">
      <pivotArea collapsedLevelsAreSubtotals="1" fieldPosition="0">
        <references count="2">
          <reference field="14" count="1" selected="0">
            <x v="1"/>
          </reference>
          <reference field="15" count="1">
            <x v="2"/>
          </reference>
        </references>
      </pivotArea>
    </format>
    <format dxfId="199">
      <pivotArea field="14" type="button" dataOnly="0" labelOnly="1" outline="0" axis="axisRow" fieldPosition="0"/>
    </format>
    <format dxfId="198">
      <pivotArea dataOnly="0" labelOnly="1" fieldPosition="0">
        <references count="1">
          <reference field="14" count="2">
            <x v="0"/>
            <x v="1"/>
          </reference>
        </references>
      </pivotArea>
    </format>
    <format dxfId="197">
      <pivotArea dataOnly="0" labelOnly="1" fieldPosition="0">
        <references count="2">
          <reference field="14" count="1" selected="0">
            <x v="0"/>
          </reference>
          <reference field="15" count="5">
            <x v="3"/>
            <x v="4"/>
            <x v="5"/>
            <x v="8"/>
            <x v="11"/>
          </reference>
        </references>
      </pivotArea>
    </format>
    <format dxfId="196">
      <pivotArea dataOnly="0" labelOnly="1" fieldPosition="0">
        <references count="2">
          <reference field="14" count="1" selected="0">
            <x v="1"/>
          </reference>
          <reference field="15" count="1">
            <x v="2"/>
          </reference>
        </references>
      </pivotArea>
    </format>
    <format dxfId="195">
      <pivotArea dataOnly="0" labelOnly="1" outline="0" fieldPosition="0">
        <references count="1">
          <reference field="4294967294" count="3">
            <x v="0"/>
            <x v="2"/>
            <x v="3"/>
          </reference>
        </references>
      </pivotArea>
    </format>
    <format dxfId="194">
      <pivotArea dataOnly="0" fieldPosition="0">
        <references count="1">
          <reference field="14" count="1">
            <x v="0"/>
          </reference>
        </references>
      </pivotArea>
    </format>
    <format dxfId="193">
      <pivotArea dataOnly="0" fieldPosition="0">
        <references count="1">
          <reference field="14" count="1">
            <x v="0"/>
          </reference>
        </references>
      </pivotArea>
    </format>
    <format dxfId="192">
      <pivotArea dataOnly="0" fieldPosition="0">
        <references count="1">
          <reference field="14" count="1">
            <x v="1"/>
          </reference>
        </references>
      </pivotArea>
    </format>
    <format dxfId="191">
      <pivotArea dataOnly="0" fieldPosition="0">
        <references count="1">
          <reference field="14" count="1">
            <x v="2"/>
          </reference>
        </references>
      </pivotArea>
    </format>
    <format dxfId="190">
      <pivotArea dataOnly="0" fieldPosition="0">
        <references count="1">
          <reference field="14" count="1">
            <x v="3"/>
          </reference>
        </references>
      </pivotArea>
    </format>
    <format dxfId="189">
      <pivotArea dataOnly="0" fieldPosition="0">
        <references count="1">
          <reference field="14" count="1">
            <x v="4"/>
          </reference>
        </references>
      </pivotArea>
    </format>
    <format dxfId="188">
      <pivotArea type="all" dataOnly="0" outline="0" fieldPosition="0"/>
    </format>
    <format dxfId="187">
      <pivotArea outline="0" collapsedLevelsAreSubtotals="1" fieldPosition="0"/>
    </format>
    <format dxfId="186">
      <pivotArea field="0" type="button" dataOnly="0" labelOnly="1" outline="0"/>
    </format>
    <format dxfId="185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84">
      <pivotArea dataOnly="0" fieldPosition="0">
        <references count="1">
          <reference field="14" count="1">
            <x v="0"/>
          </reference>
        </references>
      </pivotArea>
    </format>
    <format dxfId="183">
      <pivotArea dataOnly="0" fieldPosition="0">
        <references count="1">
          <reference field="14" count="1">
            <x v="1"/>
          </reference>
        </references>
      </pivotArea>
    </format>
    <format dxfId="182">
      <pivotArea dataOnly="0" fieldPosition="0">
        <references count="1">
          <reference field="14" count="1">
            <x v="2"/>
          </reference>
        </references>
      </pivotArea>
    </format>
    <format dxfId="181">
      <pivotArea dataOnly="0" fieldPosition="0">
        <references count="1">
          <reference field="14" count="1">
            <x v="3"/>
          </reference>
        </references>
      </pivotArea>
    </format>
    <format dxfId="180">
      <pivotArea dataOnly="0" fieldPosition="0">
        <references count="1">
          <reference field="14" count="1">
            <x v="4"/>
          </reference>
        </references>
      </pivotArea>
    </format>
    <format dxfId="179">
      <pivotArea dataOnly="0" fieldPosition="0">
        <references count="1">
          <reference field="14" count="1">
            <x v="6"/>
          </reference>
        </references>
      </pivotArea>
    </format>
    <format dxfId="178">
      <pivotArea dataOnly="0" fieldPosition="0">
        <references count="1">
          <reference field="14" count="1">
            <x v="6"/>
          </reference>
        </references>
      </pivotArea>
    </format>
    <format dxfId="177">
      <pivotArea grandRow="1" outline="0" collapsedLevelsAreSubtotals="1" fieldPosition="0"/>
    </format>
    <format dxfId="176">
      <pivotArea dataOnly="0" labelOnly="1" grandRow="1" outline="0" fieldPosition="0"/>
    </format>
    <format dxfId="175">
      <pivotArea field="0" grandRow="1" outline="0" collapsedLevelsAreSubtotals="1">
        <references count="1">
          <reference field="4294967294" count="1" selected="0">
            <x v="0"/>
          </reference>
        </references>
      </pivotArea>
    </format>
    <format dxfId="174">
      <pivotArea field="0" grandRow="1" outline="0" collapsedLevelsAreSubtotals="1">
        <references count="1">
          <reference field="4294967294" count="1" selected="0">
            <x v="1"/>
          </reference>
        </references>
      </pivotArea>
    </format>
    <format dxfId="173">
      <pivotArea dataOnly="0" fieldPosition="0">
        <references count="1">
          <reference field="14" count="1">
            <x v="8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9C3347-C6B7-43D6-ADF0-4CA96FF46852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L3:R38" firstHeaderRow="1" firstDataRow="2" firstDataCol="1"/>
  <pivotFields count="23">
    <pivotField axis="axisRow" showAll="0">
      <items count="14">
        <item x="0"/>
        <item x="1"/>
        <item m="1" x="3"/>
        <item m="1" x="4"/>
        <item m="1" x="5"/>
        <item m="1" x="6"/>
        <item m="1" x="2"/>
        <item m="1" x="7"/>
        <item m="1" x="8"/>
        <item m="1" x="9"/>
        <item m="1" x="10"/>
        <item m="1" x="11"/>
        <item m="1" x="12"/>
        <item t="default"/>
      </items>
    </pivotField>
    <pivotField numFmtId="166" showAll="0"/>
    <pivotField showAll="0"/>
    <pivotField showAll="0"/>
    <pivotField numFmtId="44" showAll="0"/>
    <pivotField dataField="1" numFmtId="44" showAll="0"/>
    <pivotField showAll="0"/>
    <pivotField showAll="0"/>
    <pivotField numFmtId="44" showAll="0"/>
    <pivotField numFmtId="165" showAll="0"/>
    <pivotField numFmtId="165" showAll="0"/>
    <pivotField showAll="0"/>
    <pivotField showAll="0"/>
    <pivotField showAll="0"/>
    <pivotField axis="axisCol" showAll="0">
      <items count="12">
        <item x="0"/>
        <item x="2"/>
        <item x="3"/>
        <item x="1"/>
        <item m="1" x="9"/>
        <item m="1" x="5"/>
        <item m="1" x="7"/>
        <item m="1" x="10"/>
        <item x="4"/>
        <item m="1" x="8"/>
        <item m="1" x="6"/>
        <item t="default"/>
      </items>
    </pivotField>
    <pivotField showAll="0"/>
    <pivotField showAll="0"/>
    <pivotField showAll="0"/>
    <pivotField showAll="0"/>
    <pivotField showAll="0"/>
    <pivotField axis="axisRow" showAll="0" sortType="ascending">
      <items count="82">
        <item m="1" x="26"/>
        <item x="14"/>
        <item m="1" x="43"/>
        <item m="1" x="23"/>
        <item x="11"/>
        <item m="1" x="28"/>
        <item x="15"/>
        <item m="1" x="27"/>
        <item x="0"/>
        <item x="2"/>
        <item m="1" x="25"/>
        <item m="1" x="31"/>
        <item x="16"/>
        <item m="1" x="29"/>
        <item x="12"/>
        <item m="1" x="36"/>
        <item x="17"/>
        <item m="1" x="60"/>
        <item m="1" x="50"/>
        <item x="13"/>
        <item m="1" x="44"/>
        <item x="1"/>
        <item x="8"/>
        <item m="1" x="32"/>
        <item x="9"/>
        <item m="1" x="45"/>
        <item x="7"/>
        <item m="1" x="51"/>
        <item m="1" x="21"/>
        <item m="1" x="38"/>
        <item m="1" x="46"/>
        <item m="1" x="49"/>
        <item m="1" x="33"/>
        <item m="1" x="24"/>
        <item x="4"/>
        <item m="1" x="48"/>
        <item m="1" x="47"/>
        <item x="3"/>
        <item m="1" x="19"/>
        <item x="10"/>
        <item m="1" x="30"/>
        <item m="1" x="37"/>
        <item m="1" x="41"/>
        <item x="5"/>
        <item m="1" x="59"/>
        <item m="1" x="20"/>
        <item x="6"/>
        <item m="1" x="39"/>
        <item m="1" x="34"/>
        <item m="1" x="35"/>
        <item m="1" x="40"/>
        <item m="1" x="42"/>
        <item m="1" x="55"/>
        <item m="1" x="54"/>
        <item m="1" x="53"/>
        <item m="1" x="52"/>
        <item m="1" x="56"/>
        <item m="1" x="58"/>
        <item m="1" x="57"/>
        <item m="1" x="70"/>
        <item m="1" x="61"/>
        <item m="1" x="74"/>
        <item m="1" x="63"/>
        <item m="1" x="80"/>
        <item m="1" x="71"/>
        <item m="1" x="66"/>
        <item m="1" x="77"/>
        <item m="1" x="76"/>
        <item m="1" x="62"/>
        <item m="1" x="78"/>
        <item m="1" x="73"/>
        <item m="1" x="79"/>
        <item m="1" x="75"/>
        <item m="1" x="69"/>
        <item m="1" x="67"/>
        <item m="1" x="64"/>
        <item m="1" x="22"/>
        <item m="1" x="68"/>
        <item m="1" x="72"/>
        <item m="1" x="65"/>
        <item m="1" x="18"/>
        <item t="default"/>
      </items>
    </pivotField>
    <pivotField showAll="0"/>
    <pivotField showAll="0"/>
  </pivotFields>
  <rowFields count="2">
    <field x="0"/>
    <field x="20"/>
  </rowFields>
  <rowItems count="34">
    <i>
      <x/>
    </i>
    <i r="1">
      <x v="1"/>
    </i>
    <i r="1">
      <x v="4"/>
    </i>
    <i r="1">
      <x v="8"/>
    </i>
    <i r="1">
      <x v="9"/>
    </i>
    <i r="1">
      <x v="12"/>
    </i>
    <i r="1">
      <x v="14"/>
    </i>
    <i r="1">
      <x v="19"/>
    </i>
    <i r="1">
      <x v="21"/>
    </i>
    <i r="1">
      <x v="22"/>
    </i>
    <i r="1">
      <x v="24"/>
    </i>
    <i r="1">
      <x v="26"/>
    </i>
    <i r="1">
      <x v="34"/>
    </i>
    <i r="1">
      <x v="39"/>
    </i>
    <i r="1">
      <x v="46"/>
    </i>
    <i>
      <x v="1"/>
    </i>
    <i r="1">
      <x v="1"/>
    </i>
    <i r="1">
      <x v="4"/>
    </i>
    <i r="1">
      <x v="6"/>
    </i>
    <i r="1">
      <x v="8"/>
    </i>
    <i r="1">
      <x v="9"/>
    </i>
    <i r="1">
      <x v="14"/>
    </i>
    <i r="1">
      <x v="16"/>
    </i>
    <i r="1">
      <x v="19"/>
    </i>
    <i r="1">
      <x v="21"/>
    </i>
    <i r="1">
      <x v="22"/>
    </i>
    <i r="1">
      <x v="24"/>
    </i>
    <i r="1">
      <x v="26"/>
    </i>
    <i r="1">
      <x v="34"/>
    </i>
    <i r="1">
      <x v="37"/>
    </i>
    <i r="1">
      <x v="39"/>
    </i>
    <i r="1">
      <x v="43"/>
    </i>
    <i r="1">
      <x v="46"/>
    </i>
    <i t="grand">
      <x/>
    </i>
  </rowItems>
  <colFields count="1">
    <field x="14"/>
  </colFields>
  <colItems count="6">
    <i>
      <x/>
    </i>
    <i>
      <x v="1"/>
    </i>
    <i>
      <x v="2"/>
    </i>
    <i>
      <x v="3"/>
    </i>
    <i>
      <x v="8"/>
    </i>
    <i t="grand">
      <x/>
    </i>
  </colItems>
  <dataFields count="1">
    <dataField name="Suma de INGRESOS" fld="5" baseField="0" baseItem="0" numFmtId="44"/>
  </dataFields>
  <formats count="70">
    <format dxfId="81">
      <pivotArea dataOnly="0" labelOnly="1" fieldPosition="0">
        <references count="1">
          <reference field="20" count="0"/>
        </references>
      </pivotArea>
    </format>
    <format dxfId="80">
      <pivotArea dataOnly="0" labelOnly="1" fieldPosition="0">
        <references count="1">
          <reference field="14" count="0"/>
        </references>
      </pivotArea>
    </format>
    <format dxfId="79">
      <pivotArea dataOnly="0" labelOnly="1" grandCol="1" outline="0" fieldPosition="0"/>
    </format>
    <format dxfId="78">
      <pivotArea grandCol="1" outline="0" collapsedLevelsAreSubtotals="1" fieldPosition="0"/>
    </format>
    <format dxfId="77">
      <pivotArea collapsedLevelsAreSubtotals="1" fieldPosition="0">
        <references count="1">
          <reference field="20" count="0"/>
        </references>
      </pivotArea>
    </format>
    <format dxfId="76">
      <pivotArea type="origin" dataOnly="0" labelOnly="1" outline="0" fieldPosition="0"/>
    </format>
    <format dxfId="75">
      <pivotArea field="14" type="button" dataOnly="0" labelOnly="1" outline="0" axis="axisCol" fieldPosition="0"/>
    </format>
    <format dxfId="74">
      <pivotArea type="topRight" dataOnly="0" labelOnly="1" outline="0" fieldPosition="0"/>
    </format>
    <format dxfId="73">
      <pivotArea field="20" type="button" dataOnly="0" labelOnly="1" outline="0" axis="axisRow" fieldPosition="1"/>
    </format>
    <format dxfId="72">
      <pivotArea dataOnly="0" labelOnly="1" fieldPosition="0">
        <references count="1">
          <reference field="20" count="0"/>
        </references>
      </pivotArea>
    </format>
    <format dxfId="71">
      <pivotArea dataOnly="0" labelOnly="1" fieldPosition="0">
        <references count="1">
          <reference field="14" count="0"/>
        </references>
      </pivotArea>
    </format>
    <format dxfId="70">
      <pivotArea dataOnly="0" labelOnly="1" grandCol="1" outline="0" fieldPosition="0"/>
    </format>
    <format dxfId="69">
      <pivotArea collapsedLevelsAreSubtotals="1" fieldPosition="0">
        <references count="1">
          <reference field="20" count="6">
            <x v="64"/>
            <x v="65"/>
            <x v="68"/>
            <x v="73"/>
            <x v="75"/>
            <x v="79"/>
          </reference>
        </references>
      </pivotArea>
    </format>
    <format dxfId="68">
      <pivotArea dataOnly="0" grandRow="1" fieldPosition="0"/>
    </format>
    <format dxfId="67">
      <pivotArea type="all" dataOnly="0" outline="0" fieldPosition="0"/>
    </format>
    <format dxfId="66">
      <pivotArea type="origin" dataOnly="0" labelOnly="1" outline="0" fieldPosition="0"/>
    </format>
    <format dxfId="65">
      <pivotArea type="origin" dataOnly="0" labelOnly="1" outline="0" fieldPosition="0"/>
    </format>
    <format dxfId="64">
      <pivotArea type="origin" dataOnly="0" labelOnly="1" outline="0" fieldPosition="0"/>
    </format>
    <format dxfId="63">
      <pivotArea type="all" dataOnly="0" outline="0" fieldPosition="0"/>
    </format>
    <format dxfId="62">
      <pivotArea outline="0" collapsedLevelsAreSubtotals="1" fieldPosition="0"/>
    </format>
    <format dxfId="61">
      <pivotArea field="14" type="button" dataOnly="0" labelOnly="1" outline="0" axis="axisCol" fieldPosition="0"/>
    </format>
    <format dxfId="60">
      <pivotArea type="topRight" dataOnly="0" labelOnly="1" outline="0" fieldPosition="0"/>
    </format>
    <format dxfId="59">
      <pivotArea field="20" type="button" dataOnly="0" labelOnly="1" outline="0" axis="axisRow" fieldPosition="1"/>
    </format>
    <format dxfId="58">
      <pivotArea dataOnly="0" labelOnly="1" fieldPosition="0">
        <references count="1">
          <reference field="20" count="0"/>
        </references>
      </pivotArea>
    </format>
    <format dxfId="57">
      <pivotArea dataOnly="0" labelOnly="1" fieldPosition="0">
        <references count="1">
          <reference field="14" count="0"/>
        </references>
      </pivotArea>
    </format>
    <format dxfId="56">
      <pivotArea dataOnly="0" labelOnly="1" grandCol="1" outline="0" fieldPosition="0"/>
    </format>
    <format dxfId="55">
      <pivotArea grandRow="1" grandCol="1" outline="0" collapsedLevelsAreSubtotals="1" fieldPosition="0"/>
    </format>
    <format dxfId="54">
      <pivotArea dataOnly="0" labelOnly="1" fieldPosition="0">
        <references count="2">
          <reference field="0" count="1" selected="0">
            <x v="0"/>
          </reference>
          <reference field="20" count="11">
            <x v="0"/>
            <x v="3"/>
            <x v="5"/>
            <x v="7"/>
            <x v="8"/>
            <x v="9"/>
            <x v="11"/>
            <x v="13"/>
            <x v="15"/>
            <x v="19"/>
            <x v="45"/>
          </reference>
        </references>
      </pivotArea>
    </format>
    <format dxfId="53">
      <pivotArea dataOnly="0" labelOnly="1" fieldPosition="0">
        <references count="2">
          <reference field="0" count="1" selected="0">
            <x v="1"/>
          </reference>
          <reference field="20" count="11">
            <x v="3"/>
            <x v="5"/>
            <x v="7"/>
            <x v="8"/>
            <x v="9"/>
            <x v="15"/>
            <x v="19"/>
            <x v="21"/>
            <x v="23"/>
            <x v="28"/>
            <x v="45"/>
          </reference>
        </references>
      </pivotArea>
    </format>
    <format dxfId="52">
      <pivotArea dataOnly="0" labelOnly="1" fieldPosition="0">
        <references count="2">
          <reference field="0" count="1" selected="0">
            <x v="2"/>
          </reference>
          <reference field="20" count="13">
            <x v="3"/>
            <x v="5"/>
            <x v="7"/>
            <x v="8"/>
            <x v="9"/>
            <x v="13"/>
            <x v="15"/>
            <x v="19"/>
            <x v="21"/>
            <x v="32"/>
            <x v="33"/>
            <x v="38"/>
            <x v="45"/>
          </reference>
        </references>
      </pivotArea>
    </format>
    <format dxfId="51">
      <pivotArea dataOnly="0" labelOnly="1" fieldPosition="0">
        <references count="2">
          <reference field="0" count="1" selected="0">
            <x v="3"/>
          </reference>
          <reference field="20" count="14">
            <x v="3"/>
            <x v="5"/>
            <x v="7"/>
            <x v="8"/>
            <x v="9"/>
            <x v="13"/>
            <x v="19"/>
            <x v="21"/>
            <x v="33"/>
            <x v="38"/>
            <x v="39"/>
            <x v="40"/>
            <x v="41"/>
            <x v="45"/>
          </reference>
        </references>
      </pivotArea>
    </format>
    <format dxfId="50">
      <pivotArea dataOnly="0" labelOnly="1" fieldPosition="0">
        <references count="2">
          <reference field="0" count="1" selected="0">
            <x v="4"/>
          </reference>
          <reference field="20" count="13">
            <x v="3"/>
            <x v="7"/>
            <x v="8"/>
            <x v="9"/>
            <x v="15"/>
            <x v="19"/>
            <x v="21"/>
            <x v="28"/>
            <x v="29"/>
            <x v="33"/>
            <x v="38"/>
            <x v="40"/>
            <x v="45"/>
          </reference>
        </references>
      </pivotArea>
    </format>
    <format dxfId="49">
      <pivotArea dataOnly="0" labelOnly="1" fieldPosition="0">
        <references count="2">
          <reference field="0" count="1" selected="0">
            <x v="5"/>
          </reference>
          <reference field="20" count="17">
            <x v="3"/>
            <x v="7"/>
            <x v="8"/>
            <x v="9"/>
            <x v="13"/>
            <x v="15"/>
            <x v="19"/>
            <x v="21"/>
            <x v="23"/>
            <x v="28"/>
            <x v="29"/>
            <x v="33"/>
            <x v="38"/>
            <x v="40"/>
            <x v="45"/>
            <x v="47"/>
            <x v="49"/>
          </reference>
        </references>
      </pivotArea>
    </format>
    <format dxfId="48">
      <pivotArea dataOnly="0" labelOnly="1" fieldPosition="0">
        <references count="2">
          <reference field="0" count="1" selected="0">
            <x v="7"/>
          </reference>
          <reference field="20" count="15">
            <x v="3"/>
            <x v="7"/>
            <x v="8"/>
            <x v="9"/>
            <x v="19"/>
            <x v="21"/>
            <x v="23"/>
            <x v="28"/>
            <x v="29"/>
            <x v="38"/>
            <x v="42"/>
            <x v="45"/>
            <x v="47"/>
            <x v="49"/>
            <x v="80"/>
          </reference>
        </references>
      </pivotArea>
    </format>
    <format dxfId="47">
      <pivotArea dataOnly="0" labelOnly="1" fieldPosition="0">
        <references count="1">
          <reference field="0" count="0"/>
        </references>
      </pivotArea>
    </format>
    <format dxfId="46">
      <pivotArea dataOnly="0" labelOnly="1" fieldPosition="0">
        <references count="2">
          <reference field="0" count="1" selected="0">
            <x v="11"/>
          </reference>
          <reference field="20" count="12">
            <x v="0"/>
            <x v="3"/>
            <x v="7"/>
            <x v="8"/>
            <x v="9"/>
            <x v="13"/>
            <x v="19"/>
            <x v="21"/>
            <x v="23"/>
            <x v="33"/>
            <x v="45"/>
            <x v="80"/>
          </reference>
        </references>
      </pivotArea>
    </format>
    <format dxfId="45">
      <pivotArea dataOnly="0" labelOnly="1" fieldPosition="0">
        <references count="2">
          <reference field="0" count="1" selected="0">
            <x v="10"/>
          </reference>
          <reference field="20" count="13">
            <x v="7"/>
            <x v="8"/>
            <x v="9"/>
            <x v="13"/>
            <x v="19"/>
            <x v="21"/>
            <x v="28"/>
            <x v="33"/>
            <x v="38"/>
            <x v="39"/>
            <x v="45"/>
            <x v="48"/>
            <x v="80"/>
          </reference>
        </references>
      </pivotArea>
    </format>
    <format dxfId="44">
      <pivotArea dataOnly="0" labelOnly="1" fieldPosition="0">
        <references count="2">
          <reference field="0" count="1" selected="0">
            <x v="10"/>
          </reference>
          <reference field="20" count="7">
            <x v="0"/>
            <x v="3"/>
            <x v="7"/>
            <x v="8"/>
            <x v="9"/>
            <x v="13"/>
            <x v="19"/>
          </reference>
        </references>
      </pivotArea>
    </format>
    <format dxfId="43">
      <pivotArea dataOnly="0" labelOnly="1" fieldPosition="0">
        <references count="2">
          <reference field="0" count="1" selected="0">
            <x v="9"/>
          </reference>
          <reference field="20" count="10">
            <x v="13"/>
            <x v="19"/>
            <x v="21"/>
            <x v="28"/>
            <x v="33"/>
            <x v="38"/>
            <x v="40"/>
            <x v="45"/>
            <x v="48"/>
            <x v="49"/>
          </reference>
        </references>
      </pivotArea>
    </format>
    <format dxfId="42">
      <pivotArea dataOnly="0" labelOnly="1" fieldPosition="0">
        <references count="2">
          <reference field="0" count="1" selected="0">
            <x v="9"/>
          </reference>
          <reference field="20" count="10">
            <x v="0"/>
            <x v="3"/>
            <x v="7"/>
            <x v="8"/>
            <x v="9"/>
            <x v="13"/>
            <x v="19"/>
            <x v="21"/>
            <x v="28"/>
            <x v="33"/>
          </reference>
        </references>
      </pivotArea>
    </format>
    <format dxfId="41">
      <pivotArea dataOnly="0" labelOnly="1" fieldPosition="0">
        <references count="2">
          <reference field="0" count="1" selected="0">
            <x v="8"/>
          </reference>
          <reference field="20" count="10">
            <x v="21"/>
            <x v="28"/>
            <x v="29"/>
            <x v="38"/>
            <x v="40"/>
            <x v="42"/>
            <x v="45"/>
            <x v="47"/>
            <x v="49"/>
            <x v="51"/>
          </reference>
        </references>
      </pivotArea>
    </format>
    <format dxfId="40">
      <pivotArea dataOnly="0" labelOnly="1" fieldPosition="0">
        <references count="2">
          <reference field="0" count="1" selected="0">
            <x v="8"/>
          </reference>
          <reference field="20" count="11">
            <x v="0"/>
            <x v="3"/>
            <x v="7"/>
            <x v="8"/>
            <x v="9"/>
            <x v="13"/>
            <x v="19"/>
            <x v="21"/>
            <x v="28"/>
            <x v="29"/>
            <x v="38"/>
          </reference>
        </references>
      </pivotArea>
    </format>
    <format dxfId="39">
      <pivotArea type="origin" dataOnly="0" labelOnly="1" outline="0" fieldPosition="0"/>
    </format>
    <format dxfId="38">
      <pivotArea field="0" type="button" dataOnly="0" labelOnly="1" outline="0" axis="axisRow" fieldPosition="0"/>
    </format>
    <format dxfId="37">
      <pivotArea dataOnly="0" labelOnly="1" fieldPosition="0">
        <references count="1">
          <reference field="0" count="0"/>
        </references>
      </pivotArea>
    </format>
    <format dxfId="36">
      <pivotArea dataOnly="0" labelOnly="1" fieldPosition="0">
        <references count="2">
          <reference field="0" count="1" selected="0">
            <x v="0"/>
          </reference>
          <reference field="20" count="11">
            <x v="0"/>
            <x v="3"/>
            <x v="5"/>
            <x v="7"/>
            <x v="8"/>
            <x v="9"/>
            <x v="11"/>
            <x v="13"/>
            <x v="15"/>
            <x v="19"/>
            <x v="45"/>
          </reference>
        </references>
      </pivotArea>
    </format>
    <format dxfId="35">
      <pivotArea dataOnly="0" labelOnly="1" fieldPosition="0">
        <references count="2">
          <reference field="0" count="1" selected="0">
            <x v="1"/>
          </reference>
          <reference field="20" count="11">
            <x v="3"/>
            <x v="5"/>
            <x v="7"/>
            <x v="8"/>
            <x v="9"/>
            <x v="15"/>
            <x v="19"/>
            <x v="21"/>
            <x v="23"/>
            <x v="28"/>
            <x v="45"/>
          </reference>
        </references>
      </pivotArea>
    </format>
    <format dxfId="34">
      <pivotArea dataOnly="0" labelOnly="1" fieldPosition="0">
        <references count="2">
          <reference field="0" count="1" selected="0">
            <x v="2"/>
          </reference>
          <reference field="20" count="13">
            <x v="3"/>
            <x v="5"/>
            <x v="7"/>
            <x v="8"/>
            <x v="9"/>
            <x v="13"/>
            <x v="15"/>
            <x v="19"/>
            <x v="21"/>
            <x v="32"/>
            <x v="33"/>
            <x v="38"/>
            <x v="45"/>
          </reference>
        </references>
      </pivotArea>
    </format>
    <format dxfId="33">
      <pivotArea dataOnly="0" labelOnly="1" fieldPosition="0">
        <references count="2">
          <reference field="0" count="1" selected="0">
            <x v="3"/>
          </reference>
          <reference field="20" count="14">
            <x v="3"/>
            <x v="5"/>
            <x v="7"/>
            <x v="8"/>
            <x v="9"/>
            <x v="13"/>
            <x v="19"/>
            <x v="21"/>
            <x v="33"/>
            <x v="38"/>
            <x v="39"/>
            <x v="40"/>
            <x v="41"/>
            <x v="45"/>
          </reference>
        </references>
      </pivotArea>
    </format>
    <format dxfId="32">
      <pivotArea dataOnly="0" labelOnly="1" fieldPosition="0">
        <references count="2">
          <reference field="0" count="1" selected="0">
            <x v="4"/>
          </reference>
          <reference field="20" count="13">
            <x v="3"/>
            <x v="7"/>
            <x v="8"/>
            <x v="9"/>
            <x v="15"/>
            <x v="19"/>
            <x v="21"/>
            <x v="28"/>
            <x v="29"/>
            <x v="33"/>
            <x v="38"/>
            <x v="40"/>
            <x v="45"/>
          </reference>
        </references>
      </pivotArea>
    </format>
    <format dxfId="31">
      <pivotArea dataOnly="0" labelOnly="1" fieldPosition="0">
        <references count="2">
          <reference field="0" count="1" selected="0">
            <x v="5"/>
          </reference>
          <reference field="20" count="18">
            <x v="3"/>
            <x v="7"/>
            <x v="8"/>
            <x v="9"/>
            <x v="13"/>
            <x v="15"/>
            <x v="19"/>
            <x v="21"/>
            <x v="23"/>
            <x v="28"/>
            <x v="29"/>
            <x v="33"/>
            <x v="38"/>
            <x v="40"/>
            <x v="45"/>
            <x v="47"/>
            <x v="49"/>
            <x v="50"/>
          </reference>
        </references>
      </pivotArea>
    </format>
    <format dxfId="30">
      <pivotArea dataOnly="0" labelOnly="1" fieldPosition="0">
        <references count="2">
          <reference field="0" count="1" selected="0">
            <x v="7"/>
          </reference>
          <reference field="20" count="16">
            <x v="0"/>
            <x v="3"/>
            <x v="7"/>
            <x v="8"/>
            <x v="9"/>
            <x v="19"/>
            <x v="21"/>
            <x v="23"/>
            <x v="28"/>
            <x v="29"/>
            <x v="38"/>
            <x v="40"/>
            <x v="42"/>
            <x v="45"/>
            <x v="47"/>
            <x v="49"/>
          </reference>
        </references>
      </pivotArea>
    </format>
    <format dxfId="29">
      <pivotArea dataOnly="0" labelOnly="1" fieldPosition="0">
        <references count="2">
          <reference field="0" count="1" selected="0">
            <x v="8"/>
          </reference>
          <reference field="20" count="17">
            <x v="0"/>
            <x v="3"/>
            <x v="7"/>
            <x v="8"/>
            <x v="9"/>
            <x v="13"/>
            <x v="19"/>
            <x v="21"/>
            <x v="28"/>
            <x v="29"/>
            <x v="38"/>
            <x v="40"/>
            <x v="42"/>
            <x v="45"/>
            <x v="47"/>
            <x v="49"/>
            <x v="51"/>
          </reference>
        </references>
      </pivotArea>
    </format>
    <format dxfId="28">
      <pivotArea dataOnly="0" labelOnly="1" fieldPosition="0">
        <references count="2">
          <reference field="0" count="1" selected="0">
            <x v="9"/>
          </reference>
          <reference field="20" count="15">
            <x v="0"/>
            <x v="3"/>
            <x v="7"/>
            <x v="8"/>
            <x v="9"/>
            <x v="13"/>
            <x v="19"/>
            <x v="21"/>
            <x v="28"/>
            <x v="33"/>
            <x v="38"/>
            <x v="40"/>
            <x v="45"/>
            <x v="48"/>
            <x v="49"/>
          </reference>
        </references>
      </pivotArea>
    </format>
    <format dxfId="27">
      <pivotArea dataOnly="0" labelOnly="1" fieldPosition="0">
        <references count="2">
          <reference field="0" count="1" selected="0">
            <x v="10"/>
          </reference>
          <reference field="20" count="14">
            <x v="0"/>
            <x v="3"/>
            <x v="7"/>
            <x v="8"/>
            <x v="9"/>
            <x v="13"/>
            <x v="19"/>
            <x v="21"/>
            <x v="28"/>
            <x v="33"/>
            <x v="38"/>
            <x v="39"/>
            <x v="45"/>
            <x v="48"/>
          </reference>
        </references>
      </pivotArea>
    </format>
    <format dxfId="26">
      <pivotArea dataOnly="0" labelOnly="1" fieldPosition="0">
        <references count="2">
          <reference field="0" count="1" selected="0">
            <x v="11"/>
          </reference>
          <reference field="20" count="12">
            <x v="0"/>
            <x v="3"/>
            <x v="7"/>
            <x v="8"/>
            <x v="9"/>
            <x v="13"/>
            <x v="19"/>
            <x v="21"/>
            <x v="23"/>
            <x v="33"/>
            <x v="38"/>
            <x v="45"/>
          </reference>
        </references>
      </pivotArea>
    </format>
    <format dxfId="25">
      <pivotArea dataOnly="0" labelOnly="1" fieldPosition="0">
        <references count="2">
          <reference field="0" count="1" selected="0">
            <x v="12"/>
          </reference>
          <reference field="20" count="1">
            <x v="8"/>
          </reference>
        </references>
      </pivotArea>
    </format>
    <format dxfId="24">
      <pivotArea dataOnly="0" labelOnly="1" fieldPosition="0">
        <references count="2">
          <reference field="0" count="1" selected="0">
            <x v="1"/>
          </reference>
          <reference field="20" count="9">
            <x v="1"/>
            <x v="4"/>
            <x v="8"/>
            <x v="9"/>
            <x v="26"/>
            <x v="34"/>
            <x v="37"/>
            <x v="38"/>
            <x v="39"/>
          </reference>
        </references>
      </pivotArea>
    </format>
    <format dxfId="23">
      <pivotArea dataOnly="0" labelOnly="1" fieldPosition="0">
        <references count="2">
          <reference field="0" count="1" selected="0">
            <x v="0"/>
          </reference>
          <reference field="20" count="14">
            <x v="1"/>
            <x v="4"/>
            <x v="8"/>
            <x v="9"/>
            <x v="12"/>
            <x v="19"/>
            <x v="21"/>
            <x v="22"/>
            <x v="24"/>
            <x v="26"/>
            <x v="34"/>
            <x v="38"/>
            <x v="39"/>
            <x v="80"/>
          </reference>
        </references>
      </pivotArea>
    </format>
    <format dxfId="22">
      <pivotArea dataOnly="0" labelOnly="1" fieldPosition="0">
        <references count="2">
          <reference field="0" count="1" selected="0">
            <x v="1"/>
          </reference>
          <reference field="20" count="1">
            <x v="80"/>
          </reference>
        </references>
      </pivotArea>
    </format>
    <format dxfId="21">
      <pivotArea field="20" grandCol="1" collapsedLevelsAreSubtotals="1" axis="axisRow" fieldPosition="1">
        <references count="2">
          <reference field="0" count="1" selected="0">
            <x v="1"/>
          </reference>
          <reference field="20" count="10">
            <x v="1"/>
            <x v="4"/>
            <x v="8"/>
            <x v="9"/>
            <x v="26"/>
            <x v="34"/>
            <x v="37"/>
            <x v="38"/>
            <x v="39"/>
            <x v="80"/>
          </reference>
        </references>
      </pivotArea>
    </format>
    <format dxfId="20">
      <pivotArea field="20" grandCol="1" collapsedLevelsAreSubtotals="1" axis="axisRow" fieldPosition="1">
        <references count="2">
          <reference field="0" count="1" selected="0">
            <x v="0"/>
          </reference>
          <reference field="20" count="14">
            <x v="1"/>
            <x v="4"/>
            <x v="8"/>
            <x v="9"/>
            <x v="12"/>
            <x v="19"/>
            <x v="21"/>
            <x v="22"/>
            <x v="24"/>
            <x v="26"/>
            <x v="34"/>
            <x v="38"/>
            <x v="39"/>
            <x v="80"/>
          </reference>
        </references>
      </pivotArea>
    </format>
    <format dxfId="19">
      <pivotArea collapsedLevelsAreSubtotals="1" fieldPosition="0">
        <references count="3">
          <reference field="0" count="1" selected="0">
            <x v="1"/>
          </reference>
          <reference field="14" count="0" selected="0"/>
          <reference field="20" count="3">
            <x v="38"/>
            <x v="39"/>
            <x v="80"/>
          </reference>
        </references>
      </pivotArea>
    </format>
    <format dxfId="18">
      <pivotArea field="14" grandRow="1" outline="0" collapsedLevelsAreSubtotals="1" axis="axisCol" fieldPosition="0">
        <references count="1">
          <reference field="14" count="0" selected="0"/>
        </references>
      </pivotArea>
    </format>
    <format dxfId="17">
      <pivotArea dataOnly="0" labelOnly="1" grandRow="1" outline="0" fieldPosition="0"/>
    </format>
    <format dxfId="16">
      <pivotArea dataOnly="0" labelOnly="1" fieldPosition="0">
        <references count="2">
          <reference field="0" count="1" selected="0">
            <x v="1"/>
          </reference>
          <reference field="20" count="3">
            <x v="38"/>
            <x v="39"/>
            <x v="80"/>
          </reference>
        </references>
      </pivotArea>
    </format>
    <format dxfId="15">
      <pivotArea dataOnly="0" labelOnly="1" fieldPosition="0">
        <references count="2">
          <reference field="0" count="1" selected="0">
            <x v="1"/>
          </reference>
          <reference field="20" count="15">
            <x v="6"/>
            <x v="8"/>
            <x v="9"/>
            <x v="14"/>
            <x v="16"/>
            <x v="19"/>
            <x v="21"/>
            <x v="22"/>
            <x v="24"/>
            <x v="26"/>
            <x v="34"/>
            <x v="37"/>
            <x v="39"/>
            <x v="43"/>
            <x v="46"/>
          </reference>
        </references>
      </pivotArea>
    </format>
    <format dxfId="14">
      <pivotArea dataOnly="0" labelOnly="1" fieldPosition="0">
        <references count="2">
          <reference field="0" count="1" selected="0">
            <x v="0"/>
          </reference>
          <reference field="20" count="9">
            <x v="14"/>
            <x v="19"/>
            <x v="21"/>
            <x v="22"/>
            <x v="24"/>
            <x v="26"/>
            <x v="34"/>
            <x v="39"/>
            <x v="46"/>
          </reference>
        </references>
      </pivotArea>
    </format>
    <format dxfId="13">
      <pivotArea field="20" grandCol="1" collapsedLevelsAreSubtotals="1" axis="axisRow" fieldPosition="1">
        <references count="2">
          <reference field="0" count="1" selected="0">
            <x v="0"/>
          </reference>
          <reference field="20" count="1">
            <x v="46"/>
          </reference>
        </references>
      </pivotArea>
    </format>
    <format dxfId="12">
      <pivotArea field="20" grandCol="1" collapsedLevelsAreSubtotals="1" axis="axisRow" fieldPosition="1">
        <references count="2">
          <reference field="0" count="1" selected="0">
            <x v="1"/>
          </reference>
          <reference field="20" count="16">
            <x v="4"/>
            <x v="6"/>
            <x v="8"/>
            <x v="9"/>
            <x v="14"/>
            <x v="16"/>
            <x v="19"/>
            <x v="21"/>
            <x v="22"/>
            <x v="24"/>
            <x v="26"/>
            <x v="34"/>
            <x v="37"/>
            <x v="39"/>
            <x v="43"/>
            <x v="46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63EFF1-8BB2-4366-8E39-7F25A56B26CA}" name="TablaDiná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B3:H38" firstHeaderRow="1" firstDataRow="2" firstDataCol="1"/>
  <pivotFields count="23">
    <pivotField axis="axisRow" showAll="0">
      <items count="14">
        <item x="0"/>
        <item x="1"/>
        <item m="1" x="3"/>
        <item m="1" x="4"/>
        <item m="1" x="5"/>
        <item m="1" x="6"/>
        <item m="1" x="2"/>
        <item m="1" x="7"/>
        <item m="1" x="8"/>
        <item m="1" x="9"/>
        <item m="1" x="10"/>
        <item m="1" x="11"/>
        <item m="1" x="12"/>
        <item t="default"/>
      </items>
    </pivotField>
    <pivotField numFmtId="166" showAll="0"/>
    <pivotField showAll="0"/>
    <pivotField showAll="0"/>
    <pivotField dataField="1" numFmtId="44" showAll="0"/>
    <pivotField numFmtId="44" showAll="0"/>
    <pivotField showAll="0"/>
    <pivotField showAll="0"/>
    <pivotField showAll="0"/>
    <pivotField numFmtId="165" showAll="0"/>
    <pivotField numFmtId="165" showAll="0"/>
    <pivotField showAll="0"/>
    <pivotField showAll="0"/>
    <pivotField showAll="0"/>
    <pivotField axis="axisCol" showAll="0">
      <items count="12">
        <item x="0"/>
        <item x="2"/>
        <item x="3"/>
        <item x="1"/>
        <item m="1" x="9"/>
        <item m="1" x="5"/>
        <item m="1" x="7"/>
        <item m="1" x="10"/>
        <item x="4"/>
        <item m="1" x="8"/>
        <item m="1" x="6"/>
        <item t="default"/>
      </items>
    </pivotField>
    <pivotField showAll="0"/>
    <pivotField showAll="0"/>
    <pivotField showAll="0"/>
    <pivotField showAll="0"/>
    <pivotField showAll="0"/>
    <pivotField axis="axisRow" showAll="0" sortType="ascending">
      <items count="82">
        <item m="1" x="26"/>
        <item x="14"/>
        <item m="1" x="43"/>
        <item m="1" x="23"/>
        <item x="11"/>
        <item m="1" x="28"/>
        <item x="15"/>
        <item m="1" x="27"/>
        <item x="0"/>
        <item x="2"/>
        <item m="1" x="25"/>
        <item m="1" x="31"/>
        <item x="16"/>
        <item m="1" x="29"/>
        <item x="12"/>
        <item m="1" x="36"/>
        <item x="17"/>
        <item m="1" x="60"/>
        <item m="1" x="50"/>
        <item x="13"/>
        <item m="1" x="44"/>
        <item x="1"/>
        <item x="8"/>
        <item m="1" x="32"/>
        <item x="9"/>
        <item m="1" x="45"/>
        <item x="7"/>
        <item m="1" x="51"/>
        <item m="1" x="21"/>
        <item m="1" x="38"/>
        <item m="1" x="46"/>
        <item m="1" x="49"/>
        <item m="1" x="33"/>
        <item m="1" x="24"/>
        <item x="4"/>
        <item m="1" x="48"/>
        <item m="1" x="47"/>
        <item x="3"/>
        <item m="1" x="19"/>
        <item x="10"/>
        <item m="1" x="30"/>
        <item m="1" x="37"/>
        <item m="1" x="41"/>
        <item x="5"/>
        <item m="1" x="59"/>
        <item m="1" x="20"/>
        <item x="6"/>
        <item m="1" x="39"/>
        <item m="1" x="34"/>
        <item m="1" x="35"/>
        <item m="1" x="40"/>
        <item m="1" x="42"/>
        <item m="1" x="55"/>
        <item m="1" x="54"/>
        <item m="1" x="53"/>
        <item m="1" x="52"/>
        <item m="1" x="56"/>
        <item m="1" x="58"/>
        <item m="1" x="57"/>
        <item m="1" x="70"/>
        <item m="1" x="61"/>
        <item m="1" x="74"/>
        <item m="1" x="63"/>
        <item m="1" x="80"/>
        <item m="1" x="71"/>
        <item m="1" x="66"/>
        <item m="1" x="77"/>
        <item m="1" x="76"/>
        <item m="1" x="62"/>
        <item m="1" x="78"/>
        <item m="1" x="73"/>
        <item m="1" x="79"/>
        <item m="1" x="75"/>
        <item m="1" x="69"/>
        <item m="1" x="67"/>
        <item m="1" x="64"/>
        <item m="1" x="22"/>
        <item m="1" x="68"/>
        <item m="1" x="72"/>
        <item m="1" x="65"/>
        <item m="1" x="18"/>
        <item t="default"/>
      </items>
    </pivotField>
    <pivotField showAll="0"/>
    <pivotField showAll="0"/>
  </pivotFields>
  <rowFields count="2">
    <field x="0"/>
    <field x="20"/>
  </rowFields>
  <rowItems count="34">
    <i>
      <x/>
    </i>
    <i r="1">
      <x v="1"/>
    </i>
    <i r="1">
      <x v="4"/>
    </i>
    <i r="1">
      <x v="8"/>
    </i>
    <i r="1">
      <x v="9"/>
    </i>
    <i r="1">
      <x v="12"/>
    </i>
    <i r="1">
      <x v="14"/>
    </i>
    <i r="1">
      <x v="19"/>
    </i>
    <i r="1">
      <x v="21"/>
    </i>
    <i r="1">
      <x v="22"/>
    </i>
    <i r="1">
      <x v="24"/>
    </i>
    <i r="1">
      <x v="26"/>
    </i>
    <i r="1">
      <x v="34"/>
    </i>
    <i r="1">
      <x v="39"/>
    </i>
    <i r="1">
      <x v="46"/>
    </i>
    <i>
      <x v="1"/>
    </i>
    <i r="1">
      <x v="1"/>
    </i>
    <i r="1">
      <x v="4"/>
    </i>
    <i r="1">
      <x v="6"/>
    </i>
    <i r="1">
      <x v="8"/>
    </i>
    <i r="1">
      <x v="9"/>
    </i>
    <i r="1">
      <x v="14"/>
    </i>
    <i r="1">
      <x v="16"/>
    </i>
    <i r="1">
      <x v="19"/>
    </i>
    <i r="1">
      <x v="21"/>
    </i>
    <i r="1">
      <x v="22"/>
    </i>
    <i r="1">
      <x v="24"/>
    </i>
    <i r="1">
      <x v="26"/>
    </i>
    <i r="1">
      <x v="34"/>
    </i>
    <i r="1">
      <x v="37"/>
    </i>
    <i r="1">
      <x v="39"/>
    </i>
    <i r="1">
      <x v="43"/>
    </i>
    <i r="1">
      <x v="46"/>
    </i>
    <i t="grand">
      <x/>
    </i>
  </rowItems>
  <colFields count="1">
    <field x="14"/>
  </colFields>
  <colItems count="6">
    <i>
      <x/>
    </i>
    <i>
      <x v="1"/>
    </i>
    <i>
      <x v="2"/>
    </i>
    <i>
      <x v="3"/>
    </i>
    <i>
      <x v="8"/>
    </i>
    <i t="grand">
      <x/>
    </i>
  </colItems>
  <dataFields count="1">
    <dataField name="Suma de EGRESOS" fld="4" baseField="0" baseItem="0" numFmtId="44"/>
  </dataFields>
  <formats count="76">
    <format dxfId="157">
      <pivotArea grandRow="1" outline="0" collapsedLevelsAreSubtotals="1" fieldPosition="0"/>
    </format>
    <format dxfId="156">
      <pivotArea dataOnly="0" labelOnly="1" grandRow="1" outline="0" fieldPosition="0"/>
    </format>
    <format dxfId="155">
      <pivotArea grandCol="1" outline="0" collapsedLevelsAreSubtotals="1" fieldPosition="0"/>
    </format>
    <format dxfId="154">
      <pivotArea dataOnly="0" labelOnly="1" fieldPosition="0">
        <references count="1">
          <reference field="20" count="0"/>
        </references>
      </pivotArea>
    </format>
    <format dxfId="153">
      <pivotArea dataOnly="0" labelOnly="1" grandCol="1" outline="0" fieldPosition="0"/>
    </format>
    <format dxfId="152">
      <pivotArea collapsedLevelsAreSubtotals="1" fieldPosition="0">
        <references count="1">
          <reference field="20" count="0"/>
        </references>
      </pivotArea>
    </format>
    <format dxfId="151">
      <pivotArea type="origin" dataOnly="0" labelOnly="1" outline="0" fieldPosition="0"/>
    </format>
    <format dxfId="150">
      <pivotArea field="14" type="button" dataOnly="0" labelOnly="1" outline="0" axis="axisCol" fieldPosition="0"/>
    </format>
    <format dxfId="149">
      <pivotArea type="topRight" dataOnly="0" labelOnly="1" outline="0" fieldPosition="0"/>
    </format>
    <format dxfId="148">
      <pivotArea field="20" type="button" dataOnly="0" labelOnly="1" outline="0" axis="axisRow" fieldPosition="1"/>
    </format>
    <format dxfId="147">
      <pivotArea dataOnly="0" labelOnly="1" fieldPosition="0">
        <references count="1">
          <reference field="20" count="0"/>
        </references>
      </pivotArea>
    </format>
    <format dxfId="146">
      <pivotArea dataOnly="0" labelOnly="1" grandCol="1" outline="0" fieldPosition="0"/>
    </format>
    <format dxfId="145">
      <pivotArea type="all" dataOnly="0" outline="0" fieldPosition="0"/>
    </format>
    <format dxfId="144">
      <pivotArea type="origin" dataOnly="0" labelOnly="1" outline="0" fieldPosition="0"/>
    </format>
    <format dxfId="143">
      <pivotArea type="origin" dataOnly="0" labelOnly="1" outline="0" fieldPosition="0"/>
    </format>
    <format dxfId="142">
      <pivotArea type="origin" dataOnly="0" labelOnly="1" outline="0" fieldPosition="0"/>
    </format>
    <format dxfId="141">
      <pivotArea type="all" dataOnly="0" outline="0" fieldPosition="0"/>
    </format>
    <format dxfId="140">
      <pivotArea outline="0" collapsedLevelsAreSubtotals="1" fieldPosition="0"/>
    </format>
    <format dxfId="139">
      <pivotArea type="origin" dataOnly="0" labelOnly="1" outline="0" fieldPosition="0"/>
    </format>
    <format dxfId="138">
      <pivotArea field="14" type="button" dataOnly="0" labelOnly="1" outline="0" axis="axisCol" fieldPosition="0"/>
    </format>
    <format dxfId="137">
      <pivotArea type="topRight" dataOnly="0" labelOnly="1" outline="0" fieldPosition="0"/>
    </format>
    <format dxfId="136">
      <pivotArea field="20" type="button" dataOnly="0" labelOnly="1" outline="0" axis="axisRow" fieldPosition="1"/>
    </format>
    <format dxfId="135">
      <pivotArea dataOnly="0" labelOnly="1" fieldPosition="0">
        <references count="1">
          <reference field="20" count="0"/>
        </references>
      </pivotArea>
    </format>
    <format dxfId="134">
      <pivotArea dataOnly="0" labelOnly="1" fieldPosition="0">
        <references count="1">
          <reference field="14" count="0"/>
        </references>
      </pivotArea>
    </format>
    <format dxfId="133">
      <pivotArea dataOnly="0" labelOnly="1" grandCol="1" outline="0" fieldPosition="0"/>
    </format>
    <format dxfId="132">
      <pivotArea grandRow="1" grandCol="1" outline="0" collapsedLevelsAreSubtotals="1" fieldPosition="0"/>
    </format>
    <format dxfId="131">
      <pivotArea dataOnly="0" labelOnly="1" fieldPosition="0">
        <references count="1">
          <reference field="0" count="1">
            <x v="0"/>
          </reference>
        </references>
      </pivotArea>
    </format>
    <format dxfId="130">
      <pivotArea dataOnly="0" labelOnly="1" fieldPosition="0">
        <references count="2">
          <reference field="0" count="1" selected="0">
            <x v="0"/>
          </reference>
          <reference field="20" count="11">
            <x v="0"/>
            <x v="3"/>
            <x v="5"/>
            <x v="7"/>
            <x v="8"/>
            <x v="9"/>
            <x v="11"/>
            <x v="13"/>
            <x v="15"/>
            <x v="19"/>
            <x v="45"/>
          </reference>
        </references>
      </pivotArea>
    </format>
    <format dxfId="129">
      <pivotArea dataOnly="0" labelOnly="1" fieldPosition="0">
        <references count="1">
          <reference field="14" count="0"/>
        </references>
      </pivotArea>
    </format>
    <format dxfId="128">
      <pivotArea dataOnly="0" labelOnly="1" grandCol="1" outline="0" fieldPosition="0"/>
    </format>
    <format dxfId="127">
      <pivotArea dataOnly="0" fieldPosition="0">
        <references count="1">
          <reference field="0" count="1">
            <x v="1"/>
          </reference>
        </references>
      </pivotArea>
    </format>
    <format dxfId="126">
      <pivotArea dataOnly="0" labelOnly="1" fieldPosition="0">
        <references count="2">
          <reference field="0" count="1" selected="0">
            <x v="1"/>
          </reference>
          <reference field="20" count="11">
            <x v="3"/>
            <x v="5"/>
            <x v="7"/>
            <x v="8"/>
            <x v="9"/>
            <x v="15"/>
            <x v="19"/>
            <x v="21"/>
            <x v="23"/>
            <x v="28"/>
            <x v="45"/>
          </reference>
        </references>
      </pivotArea>
    </format>
    <format dxfId="125">
      <pivotArea dataOnly="0" fieldPosition="0">
        <references count="1">
          <reference field="0" count="1">
            <x v="2"/>
          </reference>
        </references>
      </pivotArea>
    </format>
    <format dxfId="124">
      <pivotArea dataOnly="0" labelOnly="1" fieldPosition="0">
        <references count="2">
          <reference field="0" count="1" selected="0">
            <x v="2"/>
          </reference>
          <reference field="20" count="13">
            <x v="3"/>
            <x v="5"/>
            <x v="7"/>
            <x v="8"/>
            <x v="9"/>
            <x v="13"/>
            <x v="15"/>
            <x v="19"/>
            <x v="21"/>
            <x v="32"/>
            <x v="33"/>
            <x v="38"/>
            <x v="45"/>
          </reference>
        </references>
      </pivotArea>
    </format>
    <format dxfId="123">
      <pivotArea dataOnly="0" fieldPosition="0">
        <references count="1">
          <reference field="0" count="1">
            <x v="3"/>
          </reference>
        </references>
      </pivotArea>
    </format>
    <format dxfId="122">
      <pivotArea dataOnly="0" labelOnly="1" fieldPosition="0">
        <references count="2">
          <reference field="0" count="1" selected="0">
            <x v="3"/>
          </reference>
          <reference field="20" count="14">
            <x v="3"/>
            <x v="5"/>
            <x v="7"/>
            <x v="8"/>
            <x v="9"/>
            <x v="13"/>
            <x v="19"/>
            <x v="21"/>
            <x v="33"/>
            <x v="38"/>
            <x v="39"/>
            <x v="40"/>
            <x v="41"/>
            <x v="45"/>
          </reference>
        </references>
      </pivotArea>
    </format>
    <format dxfId="121">
      <pivotArea dataOnly="0" fieldPosition="0">
        <references count="1">
          <reference field="0" count="1">
            <x v="4"/>
          </reference>
        </references>
      </pivotArea>
    </format>
    <format dxfId="120">
      <pivotArea dataOnly="0" labelOnly="1" fieldPosition="0">
        <references count="2">
          <reference field="0" count="1" selected="0">
            <x v="4"/>
          </reference>
          <reference field="20" count="13">
            <x v="3"/>
            <x v="7"/>
            <x v="8"/>
            <x v="9"/>
            <x v="15"/>
            <x v="19"/>
            <x v="21"/>
            <x v="28"/>
            <x v="29"/>
            <x v="33"/>
            <x v="38"/>
            <x v="40"/>
            <x v="45"/>
          </reference>
        </references>
      </pivotArea>
    </format>
    <format dxfId="119">
      <pivotArea dataOnly="0" fieldPosition="0">
        <references count="1">
          <reference field="0" count="1">
            <x v="5"/>
          </reference>
        </references>
      </pivotArea>
    </format>
    <format dxfId="118">
      <pivotArea dataOnly="0" labelOnly="1" fieldPosition="0">
        <references count="2">
          <reference field="0" count="1" selected="0">
            <x v="5"/>
          </reference>
          <reference field="20" count="15">
            <x v="3"/>
            <x v="7"/>
            <x v="8"/>
            <x v="9"/>
            <x v="13"/>
            <x v="15"/>
            <x v="19"/>
            <x v="21"/>
            <x v="23"/>
            <x v="28"/>
            <x v="29"/>
            <x v="33"/>
            <x v="38"/>
            <x v="45"/>
            <x v="47"/>
          </reference>
        </references>
      </pivotArea>
    </format>
    <format dxfId="117">
      <pivotArea dataOnly="0" labelOnly="1" fieldPosition="0">
        <references count="2">
          <reference field="0" count="1" selected="0">
            <x v="5"/>
          </reference>
          <reference field="20" count="4">
            <x v="40"/>
            <x v="45"/>
            <x v="47"/>
            <x v="49"/>
          </reference>
        </references>
      </pivotArea>
    </format>
    <format dxfId="116">
      <pivotArea dataOnly="0" labelOnly="1" fieldPosition="0">
        <references count="2">
          <reference field="0" count="1" selected="0">
            <x v="7"/>
          </reference>
          <reference field="20" count="15">
            <x v="3"/>
            <x v="7"/>
            <x v="8"/>
            <x v="9"/>
            <x v="19"/>
            <x v="21"/>
            <x v="23"/>
            <x v="28"/>
            <x v="29"/>
            <x v="38"/>
            <x v="42"/>
            <x v="45"/>
            <x v="47"/>
            <x v="49"/>
            <x v="80"/>
          </reference>
        </references>
      </pivotArea>
    </format>
    <format dxfId="115">
      <pivotArea collapsedLevelsAreSubtotals="1" fieldPosition="0">
        <references count="2">
          <reference field="0" count="1">
            <x v="0"/>
          </reference>
          <reference field="14" count="0" selected="0"/>
        </references>
      </pivotArea>
    </format>
    <format dxfId="114">
      <pivotArea dataOnly="0" fieldPosition="0">
        <references count="1">
          <reference field="20" count="9">
            <x v="3"/>
            <x v="7"/>
            <x v="8"/>
            <x v="9"/>
            <x v="13"/>
            <x v="28"/>
            <x v="29"/>
            <x v="45"/>
            <x v="49"/>
          </reference>
        </references>
      </pivotArea>
    </format>
    <format dxfId="113">
      <pivotArea dataOnly="0" fieldPosition="0">
        <references count="1">
          <reference field="20" count="1">
            <x v="40"/>
          </reference>
        </references>
      </pivotArea>
    </format>
    <format dxfId="112">
      <pivotArea dataOnly="0" fieldPosition="0">
        <references count="1">
          <reference field="0" count="1">
            <x v="8"/>
          </reference>
        </references>
      </pivotArea>
    </format>
    <format dxfId="111">
      <pivotArea dataOnly="0" fieldPosition="0">
        <references count="1">
          <reference field="0" count="1">
            <x v="7"/>
          </reference>
        </references>
      </pivotArea>
    </format>
    <format dxfId="110">
      <pivotArea collapsedLevelsAreSubtotals="1" fieldPosition="0">
        <references count="3">
          <reference field="0" count="1" selected="0">
            <x v="7"/>
          </reference>
          <reference field="14" count="4" selected="0">
            <x v="2"/>
            <x v="3"/>
            <x v="6"/>
            <x v="8"/>
          </reference>
          <reference field="20" count="15">
            <x v="3"/>
            <x v="7"/>
            <x v="8"/>
            <x v="9"/>
            <x v="19"/>
            <x v="21"/>
            <x v="23"/>
            <x v="28"/>
            <x v="29"/>
            <x v="38"/>
            <x v="40"/>
            <x v="42"/>
            <x v="45"/>
            <x v="47"/>
            <x v="49"/>
          </reference>
        </references>
      </pivotArea>
    </format>
    <format dxfId="109">
      <pivotArea field="20" grandCol="1" collapsedLevelsAreSubtotals="1" axis="axisRow" fieldPosition="1">
        <references count="2">
          <reference field="0" count="1" selected="0">
            <x v="7"/>
          </reference>
          <reference field="20" count="15">
            <x v="3"/>
            <x v="7"/>
            <x v="8"/>
            <x v="9"/>
            <x v="19"/>
            <x v="21"/>
            <x v="23"/>
            <x v="28"/>
            <x v="29"/>
            <x v="38"/>
            <x v="40"/>
            <x v="42"/>
            <x v="45"/>
            <x v="47"/>
            <x v="49"/>
          </reference>
        </references>
      </pivotArea>
    </format>
    <format dxfId="108">
      <pivotArea collapsedLevelsAreSubtotals="1" fieldPosition="0">
        <references count="2">
          <reference field="0" count="1" selected="0">
            <x v="8"/>
          </reference>
          <reference field="20" count="12">
            <x v="3"/>
            <x v="7"/>
            <x v="8"/>
            <x v="9"/>
            <x v="13"/>
            <x v="19"/>
            <x v="21"/>
            <x v="28"/>
            <x v="29"/>
            <x v="38"/>
            <x v="45"/>
            <x v="49"/>
          </reference>
        </references>
      </pivotArea>
    </format>
    <format dxfId="107">
      <pivotArea dataOnly="0" labelOnly="1" fieldPosition="0">
        <references count="2">
          <reference field="0" count="1" selected="0">
            <x v="8"/>
          </reference>
          <reference field="20" count="12">
            <x v="3"/>
            <x v="7"/>
            <x v="8"/>
            <x v="9"/>
            <x v="13"/>
            <x v="19"/>
            <x v="21"/>
            <x v="28"/>
            <x v="29"/>
            <x v="38"/>
            <x v="45"/>
            <x v="49"/>
          </reference>
        </references>
      </pivotArea>
    </format>
    <format dxfId="106">
      <pivotArea dataOnly="0" fieldPosition="0">
        <references count="1">
          <reference field="20" count="14">
            <x v="0"/>
            <x v="3"/>
            <x v="7"/>
            <x v="8"/>
            <x v="9"/>
            <x v="13"/>
            <x v="19"/>
            <x v="21"/>
            <x v="28"/>
            <x v="29"/>
            <x v="38"/>
            <x v="42"/>
            <x v="45"/>
            <x v="47"/>
          </reference>
        </references>
      </pivotArea>
    </format>
    <format dxfId="105">
      <pivotArea dataOnly="0" labelOnly="1" fieldPosition="0">
        <references count="2">
          <reference field="0" count="1" selected="0">
            <x v="10"/>
          </reference>
          <reference field="20" count="10">
            <x v="9"/>
            <x v="13"/>
            <x v="19"/>
            <x v="21"/>
            <x v="28"/>
            <x v="33"/>
            <x v="38"/>
            <x v="39"/>
            <x v="45"/>
            <x v="48"/>
          </reference>
        </references>
      </pivotArea>
    </format>
    <format dxfId="104">
      <pivotArea dataOnly="0" fieldPosition="0">
        <references count="1">
          <reference field="0" count="1">
            <x v="11"/>
          </reference>
        </references>
      </pivotArea>
    </format>
    <format dxfId="103">
      <pivotArea dataOnly="0" labelOnly="1" fieldPosition="0">
        <references count="2">
          <reference field="0" count="1" selected="0">
            <x v="11"/>
          </reference>
          <reference field="20" count="5">
            <x v="19"/>
            <x v="21"/>
            <x v="23"/>
            <x v="33"/>
            <x v="45"/>
          </reference>
        </references>
      </pivotArea>
    </format>
    <format dxfId="102">
      <pivotArea dataOnly="0" labelOnly="1" fieldPosition="0">
        <references count="2">
          <reference field="0" count="1" selected="0">
            <x v="10"/>
          </reference>
          <reference field="20" count="1">
            <x v="80"/>
          </reference>
        </references>
      </pivotArea>
    </format>
    <format dxfId="101">
      <pivotArea dataOnly="0" fieldPosition="0">
        <references count="1">
          <reference field="0" count="1">
            <x v="10"/>
          </reference>
        </references>
      </pivotArea>
    </format>
    <format dxfId="100">
      <pivotArea dataOnly="0" labelOnly="1" fieldPosition="0">
        <references count="2">
          <reference field="0" count="1" selected="0">
            <x v="9"/>
          </reference>
          <reference field="20" count="6">
            <x v="28"/>
            <x v="33"/>
            <x v="38"/>
            <x v="40"/>
            <x v="45"/>
            <x v="48"/>
          </reference>
        </references>
      </pivotArea>
    </format>
    <format dxfId="99">
      <pivotArea dataOnly="0" fieldPosition="0">
        <references count="1">
          <reference field="0" count="1">
            <x v="9"/>
          </reference>
        </references>
      </pivotArea>
    </format>
    <format dxfId="98">
      <pivotArea dataOnly="0" labelOnly="1" fieldPosition="0">
        <references count="2">
          <reference field="0" count="1" selected="0">
            <x v="8"/>
          </reference>
          <reference field="20" count="3">
            <x v="47"/>
            <x v="49"/>
            <x v="51"/>
          </reference>
        </references>
      </pivotArea>
    </format>
    <format dxfId="97">
      <pivotArea dataOnly="0" labelOnly="1" fieldPosition="0">
        <references count="2">
          <reference field="0" count="0" selected="0"/>
          <reference field="20" count="13">
            <x v="1"/>
            <x v="4"/>
            <x v="8"/>
            <x v="9"/>
            <x v="12"/>
            <x v="19"/>
            <x v="21"/>
            <x v="22"/>
            <x v="24"/>
            <x v="26"/>
            <x v="34"/>
            <x v="38"/>
            <x v="39"/>
          </reference>
        </references>
      </pivotArea>
    </format>
    <format dxfId="96">
      <pivotArea field="20" grandCol="1" collapsedLevelsAreSubtotals="1" axis="axisRow" fieldPosition="1">
        <references count="2">
          <reference field="0" count="1" selected="0">
            <x v="0"/>
          </reference>
          <reference field="20" count="14">
            <x v="1"/>
            <x v="4"/>
            <x v="8"/>
            <x v="9"/>
            <x v="12"/>
            <x v="19"/>
            <x v="21"/>
            <x v="22"/>
            <x v="24"/>
            <x v="26"/>
            <x v="34"/>
            <x v="38"/>
            <x v="39"/>
            <x v="80"/>
          </reference>
        </references>
      </pivotArea>
    </format>
    <format dxfId="95">
      <pivotArea field="20" grandCol="1" collapsedLevelsAreSubtotals="1" axis="axisRow" fieldPosition="1">
        <references count="2">
          <reference field="0" count="1" selected="0">
            <x v="1"/>
          </reference>
          <reference field="20" count="10">
            <x v="1"/>
            <x v="4"/>
            <x v="8"/>
            <x v="9"/>
            <x v="26"/>
            <x v="34"/>
            <x v="37"/>
            <x v="38"/>
            <x v="39"/>
            <x v="80"/>
          </reference>
        </references>
      </pivotArea>
    </format>
    <format dxfId="94">
      <pivotArea collapsedLevelsAreSubtotals="1" fieldPosition="0">
        <references count="3">
          <reference field="0" count="1" selected="0">
            <x v="1"/>
          </reference>
          <reference field="14" count="0" selected="0"/>
          <reference field="20" count="1">
            <x v="80"/>
          </reference>
        </references>
      </pivotArea>
    </format>
    <format dxfId="93">
      <pivotArea field="14" grandRow="1" outline="0" collapsedLevelsAreSubtotals="1" axis="axisCol" fieldPosition="0">
        <references count="1">
          <reference field="14" count="0" selected="0"/>
        </references>
      </pivotArea>
    </format>
    <format dxfId="92">
      <pivotArea dataOnly="0" labelOnly="1" grandRow="1" outline="0" fieldPosition="0"/>
    </format>
    <format dxfId="91">
      <pivotArea dataOnly="0" labelOnly="1" fieldPosition="0">
        <references count="2">
          <reference field="0" count="1" selected="0">
            <x v="1"/>
          </reference>
          <reference field="20" count="1">
            <x v="80"/>
          </reference>
        </references>
      </pivotArea>
    </format>
    <format dxfId="90">
      <pivotArea collapsedLevelsAreSubtotals="1" fieldPosition="0">
        <references count="2">
          <reference field="0" count="1" selected="0">
            <x v="1"/>
          </reference>
          <reference field="20" count="9">
            <x v="1"/>
            <x v="4"/>
            <x v="8"/>
            <x v="9"/>
            <x v="14"/>
            <x v="16"/>
            <x v="19"/>
            <x v="26"/>
            <x v="34"/>
          </reference>
        </references>
      </pivotArea>
    </format>
    <format dxfId="89">
      <pivotArea dataOnly="0" labelOnly="1" fieldPosition="0">
        <references count="2">
          <reference field="0" count="1" selected="0">
            <x v="1"/>
          </reference>
          <reference field="20" count="9">
            <x v="1"/>
            <x v="4"/>
            <x v="8"/>
            <x v="9"/>
            <x v="14"/>
            <x v="16"/>
            <x v="19"/>
            <x v="26"/>
            <x v="34"/>
          </reference>
        </references>
      </pivotArea>
    </format>
    <format dxfId="88">
      <pivotArea collapsedLevelsAreSubtotals="1" fieldPosition="0">
        <references count="2">
          <reference field="0" count="1" selected="0">
            <x v="0"/>
          </reference>
          <reference field="20" count="8">
            <x v="8"/>
            <x v="9"/>
            <x v="12"/>
            <x v="14"/>
            <x v="19"/>
            <x v="21"/>
            <x v="22"/>
            <x v="24"/>
          </reference>
        </references>
      </pivotArea>
    </format>
    <format dxfId="87">
      <pivotArea dataOnly="0" labelOnly="1" fieldPosition="0">
        <references count="2">
          <reference field="0" count="1" selected="0">
            <x v="0"/>
          </reference>
          <reference field="20" count="8">
            <x v="8"/>
            <x v="9"/>
            <x v="12"/>
            <x v="14"/>
            <x v="19"/>
            <x v="21"/>
            <x v="22"/>
            <x v="24"/>
          </reference>
        </references>
      </pivotArea>
    </format>
    <format dxfId="86">
      <pivotArea dataOnly="0" labelOnly="1" fieldPosition="0">
        <references count="2">
          <reference field="0" count="1" selected="0">
            <x v="1"/>
          </reference>
          <reference field="20" count="6">
            <x v="26"/>
            <x v="34"/>
            <x v="37"/>
            <x v="39"/>
            <x v="43"/>
            <x v="46"/>
          </reference>
        </references>
      </pivotArea>
    </format>
    <format dxfId="85">
      <pivotArea dataOnly="0" labelOnly="1" fieldPosition="0">
        <references count="2">
          <reference field="0" count="1" selected="0">
            <x v="1"/>
          </reference>
          <reference field="20" count="6">
            <x v="4"/>
            <x v="6"/>
            <x v="8"/>
            <x v="9"/>
            <x v="14"/>
            <x v="16"/>
          </reference>
        </references>
      </pivotArea>
    </format>
    <format dxfId="84">
      <pivotArea dataOnly="0" labelOnly="1" fieldPosition="0">
        <references count="2">
          <reference field="0" count="1" selected="0">
            <x v="0"/>
          </reference>
          <reference field="20" count="1">
            <x v="46"/>
          </reference>
        </references>
      </pivotArea>
    </format>
    <format dxfId="83">
      <pivotArea field="20" grandCol="1" collapsedLevelsAreSubtotals="1" axis="axisRow" fieldPosition="1">
        <references count="2">
          <reference field="0" count="1" selected="0">
            <x v="1"/>
          </reference>
          <reference field="20" count="17">
            <x v="1"/>
            <x v="4"/>
            <x v="6"/>
            <x v="8"/>
            <x v="9"/>
            <x v="14"/>
            <x v="16"/>
            <x v="19"/>
            <x v="21"/>
            <x v="22"/>
            <x v="24"/>
            <x v="26"/>
            <x v="34"/>
            <x v="37"/>
            <x v="39"/>
            <x v="43"/>
            <x v="46"/>
          </reference>
        </references>
      </pivotArea>
    </format>
    <format dxfId="82">
      <pivotArea field="20" grandCol="1" collapsedLevelsAreSubtotals="1" axis="axisRow" fieldPosition="1">
        <references count="2">
          <reference field="0" count="1" selected="0">
            <x v="0"/>
          </reference>
          <reference field="20" count="1">
            <x v="46"/>
          </reference>
        </references>
      </pivotArea>
    </format>
  </formats>
  <chartFormats count="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6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DC45B7F-102C-481F-BD60-6732EA64B760}" name="Tabla4" displayName="Tabla4" ref="B15:S44" totalsRowShown="0" headerRowDxfId="172" headerRowBorderDxfId="171">
  <autoFilter ref="B15:S44" xr:uid="{6DC45B7F-102C-481F-BD60-6732EA64B760}"/>
  <tableColumns count="18">
    <tableColumn id="1" xr3:uid="{B92A3346-42A2-455E-8D51-66C02B31FDAC}" name="ACTIVIDADES" dataDxfId="170"/>
    <tableColumn id="2" xr3:uid="{FB92DE02-0B9D-444E-8273-F8BD5E18A296}" name="ENERO" dataDxfId="169" dataCellStyle="Moneda"/>
    <tableColumn id="3" xr3:uid="{E0119841-9881-4E58-919B-B70BCF9A14FE}" name="FEBRERO" dataDxfId="168"/>
    <tableColumn id="4" xr3:uid="{C956C100-CABA-45BF-9CA5-FA76B3C7872F}" name="MARZO" dataDxfId="167"/>
    <tableColumn id="5" xr3:uid="{EA447E1B-4BF2-4DD7-95BD-8BD8EE636483}" name="ABRIL" dataDxfId="166"/>
    <tableColumn id="6" xr3:uid="{B90D5AE1-799C-41A3-A029-A08700E1284D}" name="MAYO" dataDxfId="165"/>
    <tableColumn id="7" xr3:uid="{E99A3171-5F36-42BD-8BC2-EC00105A1120}" name="JUNIO" dataDxfId="164"/>
    <tableColumn id="8" xr3:uid="{39C96888-A323-42D3-B759-941F16C99EC6}" name="JULIO" dataDxfId="163"/>
    <tableColumn id="9" xr3:uid="{530EFB57-825D-4E81-9072-DE21E49B7515}" name="AGOSTO" dataDxfId="162"/>
    <tableColumn id="10" xr3:uid="{699AC05D-2B65-4194-A219-5035FA69ABF4}" name="SEPTIEMBRE"/>
    <tableColumn id="11" xr3:uid="{2B5BAF8A-50CB-4FF4-A5B9-470DD8B73AD6}" name="OCTUBRE"/>
    <tableColumn id="12" xr3:uid="{984B87F9-FE80-4E79-A679-311B6B99195A}" name="NOVIEMBRE"/>
    <tableColumn id="13" xr3:uid="{F8AFB600-3994-4628-8D2F-D8F7B2C1C35F}" name="DICIEMBRE"/>
    <tableColumn id="14" xr3:uid="{98526441-BF58-49D5-B6B9-7EB417B231F0}" name="TOTAL" dataDxfId="161"/>
    <tableColumn id="16" xr3:uid="{8C600B8E-B9E8-4BC0-95B3-4BF476F842E7}" name="ESTIMADO" dataDxfId="160"/>
    <tableColumn id="17" xr3:uid="{D84FA478-493A-4C9D-8410-1F2A1444DA82}" name="%"/>
    <tableColumn id="18" xr3:uid="{86C9E430-BC38-480E-A3D9-50FEEDBFE144}" name="USD" dataDxfId="159" dataCellStyle="Porcentaje"/>
    <tableColumn id="15" xr3:uid="{083452BD-6D8B-4A12-A02E-57BA9346182D}" name="USD/HA" dataDxfId="158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EF4BB5B-153B-4CF9-ADC7-D0451CA37337}" name="Tabla3" displayName="Tabla3" ref="A3:W352" totalsRowShown="0" headerRowDxfId="231">
  <autoFilter ref="A3:W352" xr:uid="{0EF4BB5B-153B-4CF9-ADC7-D0451CA37337}"/>
  <tableColumns count="23">
    <tableColumn id="24" xr3:uid="{7BFB5508-A8A2-4146-8D8C-C5393CD29EC9}" name="PERIODO" dataDxfId="230"/>
    <tableColumn id="1" xr3:uid="{EC4D0EA9-1942-4647-83E8-C9C545AC8BFF}" name="FECHA" dataDxfId="229"/>
    <tableColumn id="2" xr3:uid="{8137ADDA-EF80-41B5-B0D1-A3F08FBEF5AF}" name="DESCRIPCION" dataDxfId="228"/>
    <tableColumn id="3" xr3:uid="{DB9B8163-DAF8-4650-8E05-86F593CA24E2}" name="N DE REFERENCIA" dataDxfId="227"/>
    <tableColumn id="4" xr3:uid="{A937452B-CAEF-4DB3-90DF-E63C9108AC8B}" name="EGRESOS" dataDxfId="226" dataCellStyle="Moneda"/>
    <tableColumn id="5" xr3:uid="{F11E14BC-AD3F-4FAE-A685-A34AFBC38A87}" name="INGRESOS" dataDxfId="225" dataCellStyle="Moneda"/>
    <tableColumn id="25" xr3:uid="{132F51FD-1910-4E50-9CDA-B1B3879183D5}" name="SALDO" dataDxfId="224" dataCellStyle="Moneda"/>
    <tableColumn id="6" xr3:uid="{155CBACE-7274-4DB8-84CB-7C1FC284FDAA}" name="SALDO BANCO" dataDxfId="223" dataCellStyle="Moneda"/>
    <tableColumn id="7" xr3:uid="{1D379DB2-EEA8-4830-A520-937A930B27AE}" name="TC" dataDxfId="222" dataCellStyle="Moneda"/>
    <tableColumn id="8" xr3:uid="{1A95B1EE-3A90-45E6-9146-3B47B970955C}" name="EGRES USD" dataDxfId="221">
      <calculatedColumnFormula>Tabla3[[#This Row],[EGRESOS]]/Tabla3[[#This Row],[TC]]</calculatedColumnFormula>
    </tableColumn>
    <tableColumn id="9" xr3:uid="{11AD87CF-A2FD-42EA-AB07-6108840AE3B4}" name="INGRES USD" dataDxfId="220">
      <calculatedColumnFormula>Tabla3[[#This Row],[INGRESOS]]/Tabla3[[#This Row],[TC]]</calculatedColumnFormula>
    </tableColumn>
    <tableColumn id="10" xr3:uid="{8F821B07-9CDC-41CC-90A8-99A62B118B27}" name="MONEDA" dataDxfId="219"/>
    <tableColumn id="11" xr3:uid="{1E851B8C-A268-4B35-B186-E787FEF1D7CD}" name="CUENTA" dataDxfId="218"/>
    <tableColumn id="12" xr3:uid="{81BC7936-2B27-4296-A935-3DF5E7CFFFF1}" name="BANCO" dataDxfId="217"/>
    <tableColumn id="13" xr3:uid="{D5828BF7-867B-43BA-A809-C69435615288}" name="ACTIVIDAD" dataDxfId="216"/>
    <tableColumn id="14" xr3:uid="{7F03D979-A59F-4C8C-9804-0A7F66EA5B26}" name="RUBRO" dataDxfId="215"/>
    <tableColumn id="15" xr3:uid="{C987A821-6A16-4B22-A571-705021520F0B}" name="CONCEPTO" dataDxfId="214"/>
    <tableColumn id="16" xr3:uid="{9AD6BAAF-D591-4BAE-9FF9-FDBD4C4B0544}" name="DETALLES" dataDxfId="213"/>
    <tableColumn id="17" xr3:uid="{39765891-BC94-4CD4-ADFA-EAE9A5BEEAA3}" name="PROVEEDOR CLIENTE" dataDxfId="212"/>
    <tableColumn id="18" xr3:uid="{EFCD6A85-BED8-4DFB-9B29-515CC786ED61}" name="FACTURA" dataDxfId="211"/>
    <tableColumn id="19" xr3:uid="{6838FA14-E06E-4E64-9DC4-A7DAA8A74089}" name="RDS" dataDxfId="210"/>
    <tableColumn id="20" xr3:uid="{BEC7F30D-54DF-4A7C-996A-BBFDB6F60890}" name="SOCIO" dataDxfId="209"/>
    <tableColumn id="21" xr3:uid="{7FA63E4A-827C-4788-9F2C-5E0A23267F13}" name="CAMPAÑA" dataDxfId="208"/>
  </tableColumns>
  <tableStyleInfo name="SIMPLE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2621DD7-934F-46B1-8A64-1C7BECDAD211}" name="Tabla45" displayName="Tabla45" ref="B15:O35" totalsRowShown="0" headerRowDxfId="11" headerRowBorderDxfId="10">
  <autoFilter ref="B15:O35" xr:uid="{6DC45B7F-102C-481F-BD60-6732EA64B760}"/>
  <tableColumns count="14">
    <tableColumn id="1" xr3:uid="{5DBD8364-FF48-4ACA-BD3A-A810F75F1779}" name="ACTIVIDADES" dataDxfId="9"/>
    <tableColumn id="2" xr3:uid="{53D145D3-07E3-47ED-9577-DCA455B2D41B}" name="ENERO" dataDxfId="8" dataCellStyle="Moneda"/>
    <tableColumn id="3" xr3:uid="{A34DDEE1-A0A2-46E3-86CA-5077D0670EB9}" name="FEBRERO" dataDxfId="7"/>
    <tableColumn id="4" xr3:uid="{88F8EA49-CDDF-4026-BA9A-A1D4D3D68C6D}" name="MARZO" dataDxfId="6"/>
    <tableColumn id="5" xr3:uid="{A4220652-0BC2-4851-8DFE-37E8EE28D40D}" name="ABRIL" dataDxfId="5"/>
    <tableColumn id="6" xr3:uid="{6827EA6F-67A3-49BE-AFF2-DAEDDE33758E}" name="MAYO" dataDxfId="4"/>
    <tableColumn id="7" xr3:uid="{267ED2AA-1BF8-49B7-A8C1-D9B1E8C2E579}" name="JUNIO" dataDxfId="3"/>
    <tableColumn id="8" xr3:uid="{5A75FA66-A966-4276-B8C2-0991BA74BC89}" name="JULIO" dataDxfId="2"/>
    <tableColumn id="9" xr3:uid="{8BD9389A-98BE-4995-8E3C-D497FC24CC56}" name="AGOSTO" dataDxfId="1"/>
    <tableColumn id="10" xr3:uid="{FECFA1B2-3CD5-4C5B-A864-23A6F940B9EC}" name="SEPTIEMBRE"/>
    <tableColumn id="11" xr3:uid="{F92627C8-1CDC-46BC-A26E-484B87581331}" name="OCTUBRE"/>
    <tableColumn id="12" xr3:uid="{21C1C3AE-C92E-4F2F-A4DC-0773C50B5A76}" name="NOVIEMBRE"/>
    <tableColumn id="13" xr3:uid="{32DAD0AA-1A2F-4655-B65A-08D75CA5C5F3}" name="DICIEMBRE"/>
    <tableColumn id="14" xr3:uid="{32743BEE-BE25-421B-BEA2-A38E8218B297}" name="TOTAL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Verde">
      <a:dk1>
        <a:sysClr val="windowText" lastClr="000000"/>
      </a:dk1>
      <a:lt1>
        <a:sysClr val="window" lastClr="FFFFFF"/>
      </a:lt1>
      <a:dk2>
        <a:srgbClr val="455F51"/>
      </a:dk2>
      <a:lt2>
        <a:srgbClr val="E3DED1"/>
      </a:lt2>
      <a:accent1>
        <a:srgbClr val="549E39"/>
      </a:accent1>
      <a:accent2>
        <a:srgbClr val="8AB833"/>
      </a:accent2>
      <a:accent3>
        <a:srgbClr val="C0CF3A"/>
      </a:accent3>
      <a:accent4>
        <a:srgbClr val="029676"/>
      </a:accent4>
      <a:accent5>
        <a:srgbClr val="4AB5C4"/>
      </a:accent5>
      <a:accent6>
        <a:srgbClr val="0989B1"/>
      </a:accent6>
      <a:hlink>
        <a:srgbClr val="6B9F25"/>
      </a:hlink>
      <a:folHlink>
        <a:srgbClr val="BA6906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D1B06-8AED-4CDF-86B5-E95138B5996A}">
  <sheetPr codeName="Hoja3">
    <tabColor theme="0" tint="-0.14999847407452621"/>
  </sheetPr>
  <dimension ref="A1:L277"/>
  <sheetViews>
    <sheetView zoomScaleNormal="100" workbookViewId="0">
      <selection activeCell="C7" sqref="C7"/>
    </sheetView>
  </sheetViews>
  <sheetFormatPr baseColWidth="10" defaultColWidth="11.42578125" defaultRowHeight="15" x14ac:dyDescent="0.25"/>
  <cols>
    <col min="1" max="1" width="30.7109375" bestFit="1" customWidth="1"/>
    <col min="2" max="2" width="17.140625" bestFit="1" customWidth="1"/>
    <col min="3" max="3" width="18" bestFit="1" customWidth="1"/>
    <col min="4" max="4" width="18.85546875" bestFit="1" customWidth="1"/>
    <col min="5" max="5" width="19.85546875" bestFit="1" customWidth="1"/>
    <col min="6" max="6" width="3.5703125" customWidth="1"/>
    <col min="7" max="8" width="16.7109375" customWidth="1"/>
    <col min="9" max="9" width="13" bestFit="1" customWidth="1"/>
  </cols>
  <sheetData>
    <row r="1" spans="1:12" ht="18.75" x14ac:dyDescent="0.3">
      <c r="A1" s="20" t="s">
        <v>11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x14ac:dyDescent="0.25">
      <c r="A2" s="65"/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spans="1:12" x14ac:dyDescent="0.25">
      <c r="A3" s="23" t="s">
        <v>12</v>
      </c>
      <c r="B3" s="23" t="s">
        <v>13</v>
      </c>
      <c r="C3" s="60" t="s">
        <v>14</v>
      </c>
      <c r="D3" s="24" t="s">
        <v>15</v>
      </c>
      <c r="E3" s="35" t="s">
        <v>16</v>
      </c>
      <c r="F3" s="7"/>
      <c r="G3" s="7"/>
      <c r="H3" s="7"/>
      <c r="I3" s="7"/>
      <c r="J3" s="7"/>
      <c r="K3" s="7"/>
      <c r="L3" s="7"/>
    </row>
    <row r="4" spans="1:12" x14ac:dyDescent="0.25">
      <c r="A4" s="113" t="s">
        <v>17</v>
      </c>
      <c r="B4" s="114">
        <v>38560494.25</v>
      </c>
      <c r="C4" s="115">
        <v>6437252.5300000003</v>
      </c>
      <c r="D4" s="116">
        <v>26593.444310344828</v>
      </c>
      <c r="E4" s="117">
        <v>4439.484503448276</v>
      </c>
      <c r="F4" s="7"/>
      <c r="G4" s="7"/>
      <c r="H4" s="7"/>
      <c r="I4" s="7"/>
      <c r="J4" s="7"/>
      <c r="K4" s="7"/>
      <c r="L4" s="7"/>
    </row>
    <row r="5" spans="1:12" x14ac:dyDescent="0.25">
      <c r="A5" s="80" t="s">
        <v>18</v>
      </c>
      <c r="B5" s="30">
        <v>215693.81</v>
      </c>
      <c r="C5" s="31">
        <v>53700</v>
      </c>
      <c r="D5" s="36">
        <v>148.75435172413793</v>
      </c>
      <c r="E5" s="37">
        <v>37.03448275862069</v>
      </c>
      <c r="F5" s="7"/>
      <c r="G5" s="7"/>
      <c r="H5" s="7"/>
      <c r="I5" s="7"/>
      <c r="J5" s="7"/>
      <c r="K5" s="7"/>
      <c r="L5" s="7"/>
    </row>
    <row r="6" spans="1:12" x14ac:dyDescent="0.25">
      <c r="A6" s="51" t="s">
        <v>41</v>
      </c>
      <c r="B6" s="30">
        <v>0</v>
      </c>
      <c r="C6" s="31">
        <v>53700</v>
      </c>
      <c r="D6" s="36">
        <v>0</v>
      </c>
      <c r="E6" s="37">
        <v>37.03448275862069</v>
      </c>
      <c r="F6" s="7"/>
      <c r="G6" s="7"/>
      <c r="H6" s="7"/>
      <c r="I6" s="7"/>
      <c r="J6" s="7"/>
      <c r="K6" s="7"/>
      <c r="L6" s="7"/>
    </row>
    <row r="7" spans="1:12" x14ac:dyDescent="0.25">
      <c r="A7" s="51" t="s">
        <v>21</v>
      </c>
      <c r="B7" s="30">
        <v>16134</v>
      </c>
      <c r="C7" s="31">
        <v>0</v>
      </c>
      <c r="D7" s="36">
        <v>11.126896551724139</v>
      </c>
      <c r="E7" s="37">
        <v>0</v>
      </c>
      <c r="F7" s="7"/>
      <c r="G7" s="7"/>
      <c r="H7" s="7"/>
      <c r="I7" s="7"/>
      <c r="J7" s="7"/>
      <c r="K7" s="7"/>
      <c r="L7" s="7"/>
    </row>
    <row r="8" spans="1:12" x14ac:dyDescent="0.25">
      <c r="A8" s="51" t="s">
        <v>291</v>
      </c>
      <c r="B8" s="30">
        <v>199559.81</v>
      </c>
      <c r="C8" s="31">
        <v>0</v>
      </c>
      <c r="D8" s="36">
        <v>137.62745517241379</v>
      </c>
      <c r="E8" s="37">
        <v>0</v>
      </c>
      <c r="F8" s="7"/>
      <c r="G8" s="7"/>
      <c r="H8" s="7"/>
      <c r="I8" s="7"/>
      <c r="J8" s="7"/>
      <c r="K8" s="7"/>
      <c r="L8" s="7"/>
    </row>
    <row r="9" spans="1:12" x14ac:dyDescent="0.25">
      <c r="A9" s="80" t="s">
        <v>22</v>
      </c>
      <c r="B9" s="30">
        <v>1654959.7100000002</v>
      </c>
      <c r="C9" s="31">
        <v>13287.53</v>
      </c>
      <c r="D9" s="36">
        <v>1141.3515241379309</v>
      </c>
      <c r="E9" s="37">
        <v>9.1638137931034489</v>
      </c>
      <c r="F9" s="7"/>
      <c r="G9" s="7"/>
      <c r="H9" s="7"/>
      <c r="I9" s="7"/>
      <c r="J9" s="7"/>
      <c r="K9" s="7"/>
      <c r="L9" s="7"/>
    </row>
    <row r="10" spans="1:12" x14ac:dyDescent="0.25">
      <c r="A10" s="51" t="s">
        <v>19</v>
      </c>
      <c r="B10" s="30">
        <v>462413.68</v>
      </c>
      <c r="C10" s="31">
        <v>0</v>
      </c>
      <c r="D10" s="36">
        <v>318.90598620689622</v>
      </c>
      <c r="E10" s="37">
        <v>0</v>
      </c>
      <c r="F10" s="7"/>
      <c r="G10" s="7"/>
      <c r="H10" s="7"/>
      <c r="I10" s="7"/>
      <c r="J10" s="7"/>
      <c r="K10" s="7"/>
      <c r="L10" s="7"/>
    </row>
    <row r="11" spans="1:12" x14ac:dyDescent="0.25">
      <c r="A11" s="51" t="s">
        <v>23</v>
      </c>
      <c r="B11" s="30">
        <v>1192546.0300000003</v>
      </c>
      <c r="C11" s="31">
        <v>13287.53</v>
      </c>
      <c r="D11" s="36">
        <v>822.44553793103466</v>
      </c>
      <c r="E11" s="37">
        <v>9.1638137931034489</v>
      </c>
      <c r="F11" s="7"/>
      <c r="G11" s="7"/>
      <c r="H11" s="7"/>
      <c r="I11" s="7"/>
      <c r="J11" s="7"/>
      <c r="K11" s="7"/>
      <c r="L11" s="7"/>
    </row>
    <row r="12" spans="1:12" x14ac:dyDescent="0.25">
      <c r="A12" s="80" t="s">
        <v>24</v>
      </c>
      <c r="B12" s="30">
        <v>2638047</v>
      </c>
      <c r="C12" s="31">
        <v>0</v>
      </c>
      <c r="D12" s="36">
        <v>1819.3427586206899</v>
      </c>
      <c r="E12" s="37">
        <v>0</v>
      </c>
      <c r="F12" s="7"/>
      <c r="G12" s="7"/>
      <c r="H12" s="7"/>
      <c r="I12" s="7"/>
      <c r="J12" s="7"/>
      <c r="K12" s="7"/>
      <c r="L12" s="7"/>
    </row>
    <row r="13" spans="1:12" x14ac:dyDescent="0.25">
      <c r="A13" s="51" t="s">
        <v>25</v>
      </c>
      <c r="B13" s="30">
        <v>2638047</v>
      </c>
      <c r="C13" s="31">
        <v>0</v>
      </c>
      <c r="D13" s="36">
        <v>1819.3427586206899</v>
      </c>
      <c r="E13" s="37">
        <v>0</v>
      </c>
      <c r="F13" s="7"/>
      <c r="G13" s="7"/>
      <c r="H13" s="7"/>
      <c r="I13" s="7"/>
      <c r="J13" s="7"/>
      <c r="K13" s="7"/>
      <c r="L13" s="7"/>
    </row>
    <row r="14" spans="1:12" x14ac:dyDescent="0.25">
      <c r="A14" s="80" t="s">
        <v>26</v>
      </c>
      <c r="B14" s="30">
        <v>9732583.7300000004</v>
      </c>
      <c r="C14" s="31">
        <v>0</v>
      </c>
      <c r="D14" s="36">
        <v>6712.1267103448272</v>
      </c>
      <c r="E14" s="37">
        <v>0</v>
      </c>
      <c r="F14" s="7"/>
      <c r="G14" s="7"/>
      <c r="H14" s="7"/>
      <c r="I14" s="7"/>
      <c r="J14" s="7"/>
      <c r="K14" s="7"/>
      <c r="L14" s="7"/>
    </row>
    <row r="15" spans="1:12" x14ac:dyDescent="0.25">
      <c r="A15" s="51" t="s">
        <v>293</v>
      </c>
      <c r="B15" s="30">
        <v>3149421</v>
      </c>
      <c r="C15" s="31">
        <v>0</v>
      </c>
      <c r="D15" s="36">
        <v>2172.0144827586205</v>
      </c>
      <c r="E15" s="37">
        <v>0</v>
      </c>
      <c r="F15" s="7"/>
      <c r="G15" s="7"/>
      <c r="H15" s="7"/>
      <c r="I15" s="7"/>
      <c r="J15" s="7"/>
      <c r="K15" s="7"/>
      <c r="L15" s="7"/>
    </row>
    <row r="16" spans="1:12" x14ac:dyDescent="0.25">
      <c r="A16" s="51" t="s">
        <v>231</v>
      </c>
      <c r="B16" s="30">
        <v>6442438.7300000004</v>
      </c>
      <c r="C16" s="31">
        <v>0</v>
      </c>
      <c r="D16" s="36">
        <v>4443.0611931034482</v>
      </c>
      <c r="E16" s="37">
        <v>0</v>
      </c>
      <c r="F16" s="7"/>
      <c r="G16" s="7"/>
      <c r="H16" s="7"/>
      <c r="I16" s="7"/>
      <c r="J16" s="7"/>
      <c r="K16" s="7"/>
      <c r="L16" s="7"/>
    </row>
    <row r="17" spans="1:12" x14ac:dyDescent="0.25">
      <c r="A17" s="51" t="s">
        <v>309</v>
      </c>
      <c r="B17" s="30">
        <v>140724</v>
      </c>
      <c r="C17" s="31">
        <v>0</v>
      </c>
      <c r="D17" s="36">
        <v>97.051034482758624</v>
      </c>
      <c r="E17" s="37">
        <v>0</v>
      </c>
      <c r="F17" s="7"/>
      <c r="G17" s="7"/>
      <c r="H17" s="7"/>
      <c r="I17" s="7"/>
      <c r="J17" s="7"/>
      <c r="K17" s="7"/>
      <c r="L17" s="7"/>
    </row>
    <row r="18" spans="1:12" x14ac:dyDescent="0.25">
      <c r="A18" s="80" t="s">
        <v>28</v>
      </c>
      <c r="B18" s="30">
        <v>19689725</v>
      </c>
      <c r="C18" s="31">
        <v>1645000</v>
      </c>
      <c r="D18" s="36">
        <v>13579.120689655172</v>
      </c>
      <c r="E18" s="37">
        <v>1134.4827586206898</v>
      </c>
      <c r="F18" s="7"/>
      <c r="G18" s="7"/>
      <c r="H18" s="7"/>
      <c r="I18" s="7"/>
      <c r="J18" s="7"/>
      <c r="K18" s="7"/>
      <c r="L18" s="7"/>
    </row>
    <row r="19" spans="1:12" x14ac:dyDescent="0.25">
      <c r="A19" s="51" t="s">
        <v>29</v>
      </c>
      <c r="B19" s="30">
        <v>0</v>
      </c>
      <c r="C19" s="31">
        <v>1645000</v>
      </c>
      <c r="D19" s="36">
        <v>0</v>
      </c>
      <c r="E19" s="37">
        <v>1134.4827586206898</v>
      </c>
      <c r="F19" s="7"/>
      <c r="G19" s="7"/>
      <c r="H19" s="7"/>
      <c r="I19" s="7"/>
      <c r="J19" s="7"/>
      <c r="K19" s="7"/>
      <c r="L19" s="7"/>
    </row>
    <row r="20" spans="1:12" x14ac:dyDescent="0.25">
      <c r="A20" s="51" t="s">
        <v>239</v>
      </c>
      <c r="B20" s="30">
        <v>4343067</v>
      </c>
      <c r="C20" s="31">
        <v>0</v>
      </c>
      <c r="D20" s="36">
        <v>2995.2186206896554</v>
      </c>
      <c r="E20" s="37">
        <v>0</v>
      </c>
      <c r="F20" s="7"/>
      <c r="G20" s="7"/>
      <c r="H20" s="7"/>
      <c r="I20" s="7"/>
      <c r="J20" s="7"/>
      <c r="K20" s="7"/>
      <c r="L20" s="7"/>
    </row>
    <row r="21" spans="1:12" x14ac:dyDescent="0.25">
      <c r="A21" s="51" t="s">
        <v>265</v>
      </c>
      <c r="B21" s="30">
        <v>7133658</v>
      </c>
      <c r="C21" s="31">
        <v>0</v>
      </c>
      <c r="D21" s="36">
        <v>4919.7641379310344</v>
      </c>
      <c r="E21" s="37">
        <v>0</v>
      </c>
      <c r="F21" s="7"/>
      <c r="G21" s="7"/>
      <c r="H21" s="7"/>
      <c r="I21" s="7"/>
      <c r="J21" s="7"/>
      <c r="K21" s="7"/>
      <c r="L21" s="7"/>
    </row>
    <row r="22" spans="1:12" x14ac:dyDescent="0.25">
      <c r="A22" s="51" t="s">
        <v>461</v>
      </c>
      <c r="B22" s="30">
        <v>3213000</v>
      </c>
      <c r="C22" s="31">
        <v>0</v>
      </c>
      <c r="D22" s="36">
        <v>2215.8620689655172</v>
      </c>
      <c r="E22" s="37">
        <v>0</v>
      </c>
      <c r="F22" s="7"/>
      <c r="G22" s="7"/>
      <c r="H22" s="7"/>
      <c r="I22" s="7"/>
      <c r="J22" s="7"/>
      <c r="K22" s="7"/>
      <c r="L22" s="7"/>
    </row>
    <row r="23" spans="1:12" x14ac:dyDescent="0.25">
      <c r="A23" s="51" t="s">
        <v>462</v>
      </c>
      <c r="B23" s="30">
        <v>5000000</v>
      </c>
      <c r="C23" s="31">
        <v>0</v>
      </c>
      <c r="D23" s="36">
        <v>3448.2758620689656</v>
      </c>
      <c r="E23" s="37">
        <v>0</v>
      </c>
      <c r="F23" s="7"/>
      <c r="G23" s="7"/>
      <c r="H23" s="7"/>
      <c r="I23" s="7"/>
      <c r="J23" s="7"/>
      <c r="K23" s="7"/>
      <c r="L23" s="7"/>
    </row>
    <row r="24" spans="1:12" x14ac:dyDescent="0.25">
      <c r="A24" s="80" t="s">
        <v>31</v>
      </c>
      <c r="B24" s="30">
        <v>4629485</v>
      </c>
      <c r="C24" s="31">
        <v>4725265</v>
      </c>
      <c r="D24" s="36">
        <v>3192.7482758620695</v>
      </c>
      <c r="E24" s="37">
        <v>3258.8034482758621</v>
      </c>
      <c r="F24" s="7"/>
      <c r="G24" s="7"/>
      <c r="H24" s="7"/>
      <c r="I24" s="7"/>
      <c r="J24" s="7"/>
      <c r="K24" s="7"/>
      <c r="L24" s="7"/>
    </row>
    <row r="25" spans="1:12" x14ac:dyDescent="0.25">
      <c r="A25" s="51" t="s">
        <v>29</v>
      </c>
      <c r="B25" s="30">
        <v>0</v>
      </c>
      <c r="C25" s="31">
        <v>2274765</v>
      </c>
      <c r="D25" s="36">
        <v>0</v>
      </c>
      <c r="E25" s="37">
        <v>1568.8034482758621</v>
      </c>
      <c r="F25" s="7"/>
      <c r="G25" s="7"/>
      <c r="H25" s="7"/>
      <c r="I25" s="7"/>
      <c r="J25" s="7"/>
      <c r="K25" s="7"/>
      <c r="L25" s="7"/>
    </row>
    <row r="26" spans="1:12" x14ac:dyDescent="0.25">
      <c r="A26" s="51" t="s">
        <v>239</v>
      </c>
      <c r="B26" s="30">
        <v>1178985</v>
      </c>
      <c r="C26" s="31">
        <v>2450500</v>
      </c>
      <c r="D26" s="36">
        <v>813.09310344827588</v>
      </c>
      <c r="E26" s="37">
        <v>1690</v>
      </c>
      <c r="F26" s="7"/>
      <c r="G26" s="7"/>
      <c r="H26" s="7"/>
      <c r="I26" s="7"/>
      <c r="J26" s="7"/>
      <c r="K26" s="7"/>
      <c r="L26" s="7"/>
    </row>
    <row r="27" spans="1:12" x14ac:dyDescent="0.25">
      <c r="A27" s="51" t="s">
        <v>302</v>
      </c>
      <c r="B27" s="30">
        <v>3000000</v>
      </c>
      <c r="C27" s="31">
        <v>0</v>
      </c>
      <c r="D27" s="36">
        <v>2068.9655172413795</v>
      </c>
      <c r="E27" s="37">
        <v>0</v>
      </c>
      <c r="F27" s="7"/>
      <c r="G27" s="7"/>
      <c r="H27" s="7"/>
      <c r="I27" s="7"/>
      <c r="J27" s="7"/>
      <c r="K27" s="7"/>
      <c r="L27" s="7"/>
    </row>
    <row r="28" spans="1:12" x14ac:dyDescent="0.25">
      <c r="A28" s="51" t="s">
        <v>316</v>
      </c>
      <c r="B28" s="30">
        <v>450500</v>
      </c>
      <c r="C28" s="31">
        <v>0</v>
      </c>
      <c r="D28" s="36">
        <v>310.68965517241378</v>
      </c>
      <c r="E28" s="37">
        <v>0</v>
      </c>
      <c r="F28" s="7"/>
      <c r="G28" s="7"/>
      <c r="H28" s="7"/>
      <c r="I28" s="7"/>
      <c r="J28" s="7"/>
      <c r="K28" s="7"/>
      <c r="L28" s="7"/>
    </row>
    <row r="29" spans="1:12" x14ac:dyDescent="0.25">
      <c r="A29" s="118" t="s">
        <v>34</v>
      </c>
      <c r="B29" s="119">
        <v>17612493.460000001</v>
      </c>
      <c r="C29" s="120">
        <v>65389641.090000004</v>
      </c>
      <c r="D29" s="121">
        <v>12146.547213793103</v>
      </c>
      <c r="E29" s="122">
        <v>45096.304199999999</v>
      </c>
      <c r="F29" s="7"/>
      <c r="G29" s="7"/>
      <c r="H29" s="7"/>
      <c r="I29" s="7"/>
      <c r="J29" s="7"/>
      <c r="K29" s="7"/>
      <c r="L29" s="7"/>
    </row>
    <row r="30" spans="1:12" x14ac:dyDescent="0.25">
      <c r="A30" s="80" t="s">
        <v>255</v>
      </c>
      <c r="B30" s="30">
        <v>17047265.460000001</v>
      </c>
      <c r="C30" s="31">
        <v>65389641.090000004</v>
      </c>
      <c r="D30" s="36">
        <v>11756.7348</v>
      </c>
      <c r="E30" s="37">
        <v>45096.304199999999</v>
      </c>
      <c r="F30" s="7"/>
      <c r="G30" s="7"/>
      <c r="H30" s="7"/>
      <c r="I30" s="7"/>
      <c r="J30" s="7"/>
      <c r="K30" s="7"/>
      <c r="L30" s="7"/>
    </row>
    <row r="31" spans="1:12" x14ac:dyDescent="0.25">
      <c r="A31" s="51" t="s">
        <v>37</v>
      </c>
      <c r="B31" s="30">
        <v>858585</v>
      </c>
      <c r="C31" s="31">
        <v>0</v>
      </c>
      <c r="D31" s="36">
        <v>592.12758620689658</v>
      </c>
      <c r="E31" s="37">
        <v>0</v>
      </c>
      <c r="F31" s="7"/>
      <c r="G31" s="7"/>
      <c r="H31" s="7"/>
      <c r="I31" s="7"/>
      <c r="J31" s="7"/>
      <c r="K31" s="7"/>
      <c r="L31" s="7"/>
    </row>
    <row r="32" spans="1:12" x14ac:dyDescent="0.25">
      <c r="A32" s="51" t="s">
        <v>38</v>
      </c>
      <c r="B32" s="30">
        <v>16188680.460000001</v>
      </c>
      <c r="C32" s="31">
        <v>702900</v>
      </c>
      <c r="D32" s="36">
        <v>11164.607213793104</v>
      </c>
      <c r="E32" s="37">
        <v>484.75862068965517</v>
      </c>
      <c r="F32" s="7"/>
      <c r="G32" s="7"/>
      <c r="H32" s="7"/>
      <c r="I32" s="7"/>
      <c r="J32" s="7"/>
      <c r="K32" s="7"/>
      <c r="L32" s="7"/>
    </row>
    <row r="33" spans="1:12" x14ac:dyDescent="0.25">
      <c r="A33" s="51" t="s">
        <v>256</v>
      </c>
      <c r="B33" s="30">
        <v>0</v>
      </c>
      <c r="C33" s="31">
        <v>64686741.090000004</v>
      </c>
      <c r="D33" s="36">
        <v>0</v>
      </c>
      <c r="E33" s="37">
        <v>44611.545579310347</v>
      </c>
      <c r="F33" s="7"/>
      <c r="G33" s="7"/>
      <c r="H33" s="7"/>
      <c r="I33" s="7"/>
      <c r="J33" s="7"/>
      <c r="K33" s="7"/>
      <c r="L33" s="7"/>
    </row>
    <row r="34" spans="1:12" x14ac:dyDescent="0.25">
      <c r="A34" s="80" t="s">
        <v>197</v>
      </c>
      <c r="B34" s="30">
        <v>565228</v>
      </c>
      <c r="C34" s="31">
        <v>0</v>
      </c>
      <c r="D34" s="36">
        <v>389.81241379310347</v>
      </c>
      <c r="E34" s="37">
        <v>0</v>
      </c>
      <c r="F34" s="7"/>
      <c r="G34" s="7"/>
      <c r="H34" s="7"/>
      <c r="I34" s="7"/>
      <c r="J34" s="7"/>
      <c r="K34" s="7"/>
      <c r="L34" s="7"/>
    </row>
    <row r="35" spans="1:12" x14ac:dyDescent="0.25">
      <c r="A35" s="51" t="s">
        <v>201</v>
      </c>
      <c r="B35" s="30">
        <v>565228</v>
      </c>
      <c r="C35" s="31">
        <v>0</v>
      </c>
      <c r="D35" s="36">
        <v>389.81241379310347</v>
      </c>
      <c r="E35" s="37">
        <v>0</v>
      </c>
      <c r="F35" s="7"/>
      <c r="G35" s="7"/>
      <c r="H35" s="7"/>
      <c r="I35" s="7"/>
      <c r="J35" s="7"/>
      <c r="K35" s="7"/>
      <c r="L35" s="7"/>
    </row>
    <row r="36" spans="1:12" x14ac:dyDescent="0.25">
      <c r="A36" s="118" t="s">
        <v>39</v>
      </c>
      <c r="B36" s="119">
        <v>13518048.699999999</v>
      </c>
      <c r="C36" s="120">
        <v>0</v>
      </c>
      <c r="D36" s="121">
        <v>9322.7922068965527</v>
      </c>
      <c r="E36" s="122">
        <v>0</v>
      </c>
      <c r="F36" s="7"/>
      <c r="G36" s="7"/>
      <c r="H36" s="7"/>
      <c r="I36" s="7"/>
      <c r="J36" s="7"/>
      <c r="K36" s="7"/>
      <c r="L36" s="7"/>
    </row>
    <row r="37" spans="1:12" x14ac:dyDescent="0.25">
      <c r="A37" s="80" t="s">
        <v>40</v>
      </c>
      <c r="B37" s="30">
        <v>1542732.6</v>
      </c>
      <c r="C37" s="31">
        <v>0</v>
      </c>
      <c r="D37" s="36">
        <v>1063.9535172413794</v>
      </c>
      <c r="E37" s="37">
        <v>0</v>
      </c>
      <c r="F37" s="7"/>
      <c r="G37" s="7"/>
      <c r="H37" s="7"/>
      <c r="I37" s="7"/>
      <c r="J37" s="7"/>
      <c r="K37" s="7"/>
      <c r="L37" s="7"/>
    </row>
    <row r="38" spans="1:12" x14ac:dyDescent="0.25">
      <c r="A38" s="51" t="s">
        <v>450</v>
      </c>
      <c r="B38" s="30">
        <v>795300</v>
      </c>
      <c r="C38" s="31">
        <v>0</v>
      </c>
      <c r="D38" s="36">
        <v>548.48275862068965</v>
      </c>
      <c r="E38" s="37">
        <v>0</v>
      </c>
      <c r="F38" s="7"/>
      <c r="G38" s="7"/>
      <c r="H38" s="7"/>
      <c r="I38" s="7"/>
      <c r="J38" s="7"/>
      <c r="K38" s="7"/>
      <c r="L38" s="7"/>
    </row>
    <row r="39" spans="1:12" x14ac:dyDescent="0.25">
      <c r="A39" s="51" t="s">
        <v>309</v>
      </c>
      <c r="B39" s="30">
        <v>747432.6</v>
      </c>
      <c r="C39" s="31">
        <v>0</v>
      </c>
      <c r="D39" s="36">
        <v>515.47075862068959</v>
      </c>
      <c r="E39" s="37">
        <v>0</v>
      </c>
      <c r="F39" s="7"/>
      <c r="G39" s="7"/>
      <c r="H39" s="7"/>
      <c r="I39" s="7"/>
      <c r="J39" s="7"/>
      <c r="K39" s="7"/>
      <c r="L39" s="7"/>
    </row>
    <row r="40" spans="1:12" x14ac:dyDescent="0.25">
      <c r="A40" s="80" t="s">
        <v>42</v>
      </c>
      <c r="B40" s="30">
        <v>2403398</v>
      </c>
      <c r="C40" s="31">
        <v>0</v>
      </c>
      <c r="D40" s="36">
        <v>1657.5158620689656</v>
      </c>
      <c r="E40" s="37">
        <v>0</v>
      </c>
      <c r="F40" s="7"/>
      <c r="G40" s="7"/>
      <c r="H40" s="7"/>
      <c r="I40" s="7"/>
      <c r="J40" s="7"/>
      <c r="K40" s="7"/>
      <c r="L40" s="7"/>
    </row>
    <row r="41" spans="1:12" x14ac:dyDescent="0.25">
      <c r="A41" s="51" t="s">
        <v>226</v>
      </c>
      <c r="B41" s="30">
        <v>595000</v>
      </c>
      <c r="C41" s="31">
        <v>0</v>
      </c>
      <c r="D41" s="36">
        <v>410.34482758620692</v>
      </c>
      <c r="E41" s="37">
        <v>0</v>
      </c>
      <c r="F41" s="7"/>
      <c r="G41" s="7"/>
      <c r="H41" s="7"/>
      <c r="I41" s="7"/>
      <c r="J41" s="7"/>
      <c r="K41" s="7"/>
      <c r="L41" s="7"/>
    </row>
    <row r="42" spans="1:12" x14ac:dyDescent="0.25">
      <c r="A42" s="51" t="s">
        <v>43</v>
      </c>
      <c r="B42" s="30">
        <v>1693800</v>
      </c>
      <c r="C42" s="31">
        <v>0</v>
      </c>
      <c r="D42" s="36">
        <v>1168.1379310344828</v>
      </c>
      <c r="E42" s="37">
        <v>0</v>
      </c>
      <c r="F42" s="7"/>
      <c r="G42" s="7"/>
      <c r="H42" s="16"/>
      <c r="I42" s="7"/>
      <c r="J42" s="7"/>
      <c r="K42" s="7"/>
      <c r="L42" s="7"/>
    </row>
    <row r="43" spans="1:12" x14ac:dyDescent="0.25">
      <c r="A43" s="51" t="s">
        <v>309</v>
      </c>
      <c r="B43" s="30">
        <v>114598</v>
      </c>
      <c r="C43" s="31">
        <v>0</v>
      </c>
      <c r="D43" s="36">
        <v>79.033103448275867</v>
      </c>
      <c r="E43" s="37">
        <v>0</v>
      </c>
      <c r="F43" s="7"/>
      <c r="G43" s="7"/>
      <c r="H43" s="7"/>
      <c r="I43" s="7"/>
      <c r="J43" s="7"/>
      <c r="K43" s="7"/>
      <c r="L43" s="7"/>
    </row>
    <row r="44" spans="1:12" x14ac:dyDescent="0.25">
      <c r="A44" s="80" t="s">
        <v>44</v>
      </c>
      <c r="B44" s="30">
        <v>9571918.0999999996</v>
      </c>
      <c r="C44" s="31">
        <v>0</v>
      </c>
      <c r="D44" s="36">
        <v>6601.3228275862075</v>
      </c>
      <c r="E44" s="37">
        <v>0</v>
      </c>
      <c r="F44" s="7"/>
      <c r="G44" s="7"/>
      <c r="H44" s="7"/>
      <c r="I44" s="7"/>
      <c r="J44" s="7"/>
      <c r="K44" s="7"/>
      <c r="L44" s="7"/>
    </row>
    <row r="45" spans="1:12" x14ac:dyDescent="0.25">
      <c r="A45" s="51" t="s">
        <v>45</v>
      </c>
      <c r="B45" s="30">
        <v>283000</v>
      </c>
      <c r="C45" s="31">
        <v>0</v>
      </c>
      <c r="D45" s="36">
        <v>195.17241379310346</v>
      </c>
      <c r="E45" s="37">
        <v>0</v>
      </c>
      <c r="F45" s="7"/>
      <c r="G45" s="7"/>
      <c r="H45" s="7"/>
      <c r="I45" s="7"/>
      <c r="J45" s="7"/>
      <c r="K45" s="7"/>
      <c r="L45" s="7"/>
    </row>
    <row r="46" spans="1:12" x14ac:dyDescent="0.25">
      <c r="A46" s="51" t="s">
        <v>33</v>
      </c>
      <c r="B46" s="30">
        <v>2128000</v>
      </c>
      <c r="C46" s="31">
        <v>0</v>
      </c>
      <c r="D46" s="36">
        <v>1467.5862068965516</v>
      </c>
      <c r="E46" s="37">
        <v>0</v>
      </c>
      <c r="F46" s="7"/>
      <c r="G46" s="7"/>
      <c r="H46" s="7"/>
      <c r="I46" s="7"/>
      <c r="J46" s="7"/>
      <c r="K46" s="7"/>
      <c r="L46" s="7"/>
    </row>
    <row r="47" spans="1:12" x14ac:dyDescent="0.25">
      <c r="A47" s="51" t="s">
        <v>46</v>
      </c>
      <c r="B47" s="30">
        <v>1514212.03</v>
      </c>
      <c r="C47" s="31">
        <v>0</v>
      </c>
      <c r="D47" s="36">
        <v>1044.2841586206896</v>
      </c>
      <c r="E47" s="37">
        <v>0</v>
      </c>
      <c r="F47" s="7"/>
      <c r="G47" s="7"/>
      <c r="H47" s="7"/>
      <c r="I47" s="7"/>
      <c r="J47" s="7"/>
      <c r="K47" s="7"/>
      <c r="L47" s="7"/>
    </row>
    <row r="48" spans="1:12" x14ac:dyDescent="0.25">
      <c r="A48" s="51" t="s">
        <v>47</v>
      </c>
      <c r="B48" s="30">
        <v>2074052</v>
      </c>
      <c r="C48" s="31">
        <v>0</v>
      </c>
      <c r="D48" s="36">
        <v>1430.3806896551725</v>
      </c>
      <c r="E48" s="37">
        <v>0</v>
      </c>
      <c r="F48" s="7"/>
      <c r="G48" s="7"/>
      <c r="H48" s="7"/>
      <c r="I48" s="7"/>
      <c r="J48" s="7"/>
      <c r="K48" s="7"/>
      <c r="L48" s="7"/>
    </row>
    <row r="49" spans="1:12" x14ac:dyDescent="0.25">
      <c r="A49" s="51" t="s">
        <v>48</v>
      </c>
      <c r="B49" s="30">
        <v>1135000</v>
      </c>
      <c r="C49" s="31">
        <v>0</v>
      </c>
      <c r="D49" s="36">
        <v>782.75862068965512</v>
      </c>
      <c r="E49" s="37">
        <v>0</v>
      </c>
      <c r="F49" s="7"/>
      <c r="G49" s="7"/>
      <c r="H49" s="7"/>
      <c r="I49" s="7"/>
      <c r="J49" s="7"/>
      <c r="K49" s="7"/>
      <c r="L49" s="7"/>
    </row>
    <row r="50" spans="1:12" x14ac:dyDescent="0.25">
      <c r="A50" s="51" t="s">
        <v>364</v>
      </c>
      <c r="B50" s="30">
        <v>562654.07999999996</v>
      </c>
      <c r="C50" s="31">
        <v>0</v>
      </c>
      <c r="D50" s="36">
        <v>388.03729655172413</v>
      </c>
      <c r="E50" s="37">
        <v>0</v>
      </c>
      <c r="F50" s="7"/>
      <c r="G50" s="7"/>
      <c r="H50" s="7"/>
      <c r="I50" s="7"/>
      <c r="J50" s="7"/>
      <c r="K50" s="7"/>
      <c r="L50" s="7"/>
    </row>
    <row r="51" spans="1:12" x14ac:dyDescent="0.25">
      <c r="A51" s="51" t="s">
        <v>361</v>
      </c>
      <c r="B51" s="30">
        <v>1500000</v>
      </c>
      <c r="C51" s="31">
        <v>0</v>
      </c>
      <c r="D51" s="36">
        <v>1034.4827586206898</v>
      </c>
      <c r="E51" s="37">
        <v>0</v>
      </c>
      <c r="F51" s="7"/>
      <c r="G51" s="7"/>
      <c r="H51" s="7"/>
      <c r="I51" s="7"/>
      <c r="J51" s="7"/>
      <c r="K51" s="7"/>
      <c r="L51" s="7"/>
    </row>
    <row r="52" spans="1:12" x14ac:dyDescent="0.25">
      <c r="A52" s="51" t="s">
        <v>419</v>
      </c>
      <c r="B52" s="30">
        <v>374999.99</v>
      </c>
      <c r="C52" s="31">
        <v>0</v>
      </c>
      <c r="D52" s="36">
        <v>258.62068275862066</v>
      </c>
      <c r="E52" s="37">
        <v>0</v>
      </c>
      <c r="F52" s="7"/>
      <c r="G52" s="7"/>
      <c r="H52" s="7"/>
      <c r="I52" s="7"/>
      <c r="J52" s="7"/>
      <c r="K52" s="7"/>
      <c r="L52" s="7"/>
    </row>
    <row r="53" spans="1:12" x14ac:dyDescent="0.25">
      <c r="A53" s="118" t="s">
        <v>251</v>
      </c>
      <c r="B53" s="119">
        <v>158512639.50999999</v>
      </c>
      <c r="C53" s="120">
        <v>157701892.42000002</v>
      </c>
      <c r="D53" s="121">
        <v>109319.06173103447</v>
      </c>
      <c r="E53" s="122">
        <v>108759.92580689653</v>
      </c>
      <c r="F53" s="7"/>
      <c r="G53" s="7"/>
      <c r="H53" s="7"/>
      <c r="I53" s="7"/>
      <c r="J53" s="7"/>
      <c r="K53" s="7"/>
      <c r="L53" s="7"/>
    </row>
    <row r="54" spans="1:12" x14ac:dyDescent="0.25">
      <c r="A54" s="80" t="s">
        <v>245</v>
      </c>
      <c r="B54" s="30">
        <v>58726747.090000004</v>
      </c>
      <c r="C54" s="31">
        <v>0</v>
      </c>
      <c r="D54" s="36">
        <v>40501.204889655171</v>
      </c>
      <c r="E54" s="37">
        <v>0</v>
      </c>
      <c r="F54" s="7"/>
      <c r="G54" s="7"/>
      <c r="H54" s="7"/>
      <c r="I54" s="7"/>
      <c r="J54" s="7"/>
      <c r="K54" s="7"/>
      <c r="L54" s="7"/>
    </row>
    <row r="55" spans="1:12" x14ac:dyDescent="0.25">
      <c r="A55" s="51" t="s">
        <v>246</v>
      </c>
      <c r="B55" s="30">
        <v>56916413.530000001</v>
      </c>
      <c r="C55" s="31">
        <v>0</v>
      </c>
      <c r="D55" s="36">
        <v>39252.698986206895</v>
      </c>
      <c r="E55" s="37">
        <v>0</v>
      </c>
      <c r="F55" s="7"/>
      <c r="G55" s="7"/>
      <c r="H55" s="7"/>
      <c r="I55" s="7"/>
      <c r="J55" s="7"/>
      <c r="K55" s="7"/>
      <c r="L55" s="7"/>
    </row>
    <row r="56" spans="1:12" x14ac:dyDescent="0.25">
      <c r="A56" s="51" t="s">
        <v>395</v>
      </c>
      <c r="B56" s="30">
        <v>1810333.56</v>
      </c>
      <c r="C56" s="31">
        <v>0</v>
      </c>
      <c r="D56" s="36">
        <v>1248.5059034482758</v>
      </c>
      <c r="E56" s="37">
        <v>0</v>
      </c>
      <c r="F56" s="7"/>
      <c r="G56" s="7"/>
      <c r="H56" s="7"/>
      <c r="I56" s="7"/>
      <c r="J56" s="7"/>
      <c r="K56" s="7"/>
      <c r="L56" s="7"/>
    </row>
    <row r="57" spans="1:12" x14ac:dyDescent="0.25">
      <c r="A57" s="80" t="s">
        <v>250</v>
      </c>
      <c r="B57" s="30">
        <v>99785892.420000002</v>
      </c>
      <c r="C57" s="31">
        <v>99785892.420000002</v>
      </c>
      <c r="D57" s="36">
        <v>68817.856841379296</v>
      </c>
      <c r="E57" s="37">
        <v>68817.856841379282</v>
      </c>
      <c r="F57" s="7"/>
      <c r="G57" s="7"/>
      <c r="H57" s="7"/>
      <c r="I57" s="7"/>
      <c r="J57" s="7"/>
      <c r="K57" s="7"/>
      <c r="L57" s="7"/>
    </row>
    <row r="58" spans="1:12" x14ac:dyDescent="0.25">
      <c r="A58" s="51" t="s">
        <v>252</v>
      </c>
      <c r="B58" s="30">
        <v>99785892.420000002</v>
      </c>
      <c r="C58" s="31">
        <v>99785892.420000002</v>
      </c>
      <c r="D58" s="36">
        <v>68817.856841379296</v>
      </c>
      <c r="E58" s="37">
        <v>68817.856841379282</v>
      </c>
      <c r="F58" s="7"/>
      <c r="G58" s="7"/>
      <c r="H58" s="7"/>
      <c r="I58" s="7"/>
      <c r="J58" s="7"/>
      <c r="K58" s="7"/>
      <c r="L58" s="7"/>
    </row>
    <row r="59" spans="1:12" x14ac:dyDescent="0.25">
      <c r="A59" s="80" t="s">
        <v>386</v>
      </c>
      <c r="B59" s="30">
        <v>0</v>
      </c>
      <c r="C59" s="31">
        <v>57916000</v>
      </c>
      <c r="D59" s="36">
        <v>0</v>
      </c>
      <c r="E59" s="37">
        <v>39942.068965517246</v>
      </c>
      <c r="F59" s="7"/>
      <c r="G59" s="7"/>
      <c r="H59" s="7"/>
      <c r="I59" s="7"/>
      <c r="J59" s="7"/>
      <c r="K59" s="7"/>
      <c r="L59" s="7"/>
    </row>
    <row r="60" spans="1:12" x14ac:dyDescent="0.25">
      <c r="A60" s="51" t="s">
        <v>388</v>
      </c>
      <c r="B60" s="30">
        <v>0</v>
      </c>
      <c r="C60" s="31">
        <v>28420000</v>
      </c>
      <c r="D60" s="36">
        <v>0</v>
      </c>
      <c r="E60" s="37">
        <v>19600</v>
      </c>
      <c r="F60" s="7"/>
      <c r="G60" s="7"/>
      <c r="H60" s="7"/>
      <c r="I60" s="7"/>
      <c r="J60" s="7"/>
      <c r="K60" s="7"/>
      <c r="L60" s="7"/>
    </row>
    <row r="61" spans="1:12" x14ac:dyDescent="0.25">
      <c r="A61" s="51" t="s">
        <v>441</v>
      </c>
      <c r="B61" s="30">
        <v>0</v>
      </c>
      <c r="C61" s="31">
        <v>29496000</v>
      </c>
      <c r="D61" s="36">
        <v>0</v>
      </c>
      <c r="E61" s="37">
        <v>20342.068965517243</v>
      </c>
      <c r="F61" s="7"/>
      <c r="G61" s="7"/>
      <c r="H61" s="7"/>
      <c r="I61" s="7"/>
      <c r="J61" s="7"/>
      <c r="K61" s="7"/>
      <c r="L61" s="7"/>
    </row>
    <row r="62" spans="1:12" x14ac:dyDescent="0.25">
      <c r="A62" s="107" t="s">
        <v>52</v>
      </c>
      <c r="B62" s="108">
        <v>5449111.6799999997</v>
      </c>
      <c r="C62" s="109">
        <v>0</v>
      </c>
      <c r="D62" s="110">
        <v>3758.0080551724141</v>
      </c>
      <c r="E62" s="111">
        <v>0</v>
      </c>
      <c r="F62" s="7"/>
      <c r="G62" s="7"/>
      <c r="H62" s="7"/>
      <c r="I62" s="7"/>
      <c r="J62" s="7"/>
      <c r="K62" s="7"/>
      <c r="L62" s="7"/>
    </row>
    <row r="63" spans="1:12" x14ac:dyDescent="0.25">
      <c r="A63" s="80" t="s">
        <v>198</v>
      </c>
      <c r="B63" s="30">
        <v>5449111.6799999997</v>
      </c>
      <c r="C63" s="31">
        <v>0</v>
      </c>
      <c r="D63" s="36">
        <v>3758.0080551724141</v>
      </c>
      <c r="E63" s="37">
        <v>0</v>
      </c>
      <c r="F63" s="7"/>
      <c r="G63" s="7"/>
      <c r="H63" s="7"/>
      <c r="I63" s="7"/>
      <c r="J63" s="7"/>
      <c r="K63" s="7"/>
      <c r="L63" s="7"/>
    </row>
    <row r="64" spans="1:12" x14ac:dyDescent="0.25">
      <c r="A64" s="51" t="s">
        <v>35</v>
      </c>
      <c r="B64" s="30">
        <v>1277000</v>
      </c>
      <c r="C64" s="31">
        <v>0</v>
      </c>
      <c r="D64" s="36">
        <v>880.68965517241372</v>
      </c>
      <c r="E64" s="37">
        <v>0</v>
      </c>
      <c r="F64" s="7"/>
      <c r="G64" s="7"/>
      <c r="H64" s="7"/>
      <c r="I64" s="7"/>
      <c r="J64" s="7"/>
      <c r="K64" s="7"/>
      <c r="L64" s="7"/>
    </row>
    <row r="65" spans="1:12" x14ac:dyDescent="0.25">
      <c r="A65" s="51" t="s">
        <v>36</v>
      </c>
      <c r="B65" s="30">
        <v>48000</v>
      </c>
      <c r="C65" s="31">
        <v>0</v>
      </c>
      <c r="D65" s="36">
        <v>33.103448275862071</v>
      </c>
      <c r="E65" s="37">
        <v>0</v>
      </c>
      <c r="F65" s="7"/>
      <c r="G65" s="7"/>
      <c r="H65" s="7"/>
      <c r="I65" s="7"/>
      <c r="J65" s="7"/>
      <c r="K65" s="7"/>
      <c r="L65" s="7"/>
    </row>
    <row r="66" spans="1:12" x14ac:dyDescent="0.25">
      <c r="A66" s="51" t="s">
        <v>54</v>
      </c>
      <c r="B66" s="30">
        <v>1233257.1000000001</v>
      </c>
      <c r="C66" s="31">
        <v>0</v>
      </c>
      <c r="D66" s="36">
        <v>850.52213793103442</v>
      </c>
      <c r="E66" s="37">
        <v>0</v>
      </c>
      <c r="F66" s="7"/>
      <c r="G66" s="7"/>
      <c r="H66" s="7"/>
      <c r="I66" s="7"/>
      <c r="J66" s="7"/>
      <c r="K66" s="7"/>
      <c r="L66" s="7"/>
    </row>
    <row r="67" spans="1:12" x14ac:dyDescent="0.25">
      <c r="A67" s="51" t="s">
        <v>55</v>
      </c>
      <c r="B67" s="30">
        <v>150000</v>
      </c>
      <c r="C67" s="31">
        <v>0</v>
      </c>
      <c r="D67" s="36">
        <v>103.44827586206897</v>
      </c>
      <c r="E67" s="37">
        <v>0</v>
      </c>
      <c r="F67" s="7"/>
      <c r="G67" s="7"/>
      <c r="H67" s="7"/>
      <c r="I67" s="7"/>
      <c r="J67" s="7"/>
      <c r="K67" s="7"/>
      <c r="L67" s="7"/>
    </row>
    <row r="68" spans="1:12" x14ac:dyDescent="0.25">
      <c r="A68" s="51" t="s">
        <v>334</v>
      </c>
      <c r="B68" s="30">
        <v>2740854.58</v>
      </c>
      <c r="C68" s="31">
        <v>0</v>
      </c>
      <c r="D68" s="36">
        <v>1890.2445379310345</v>
      </c>
      <c r="E68" s="37">
        <v>0</v>
      </c>
      <c r="F68" s="7"/>
      <c r="G68" s="7"/>
      <c r="H68" s="7"/>
      <c r="I68" s="7"/>
      <c r="J68" s="7"/>
      <c r="K68" s="7"/>
      <c r="L68" s="7"/>
    </row>
    <row r="69" spans="1:12" x14ac:dyDescent="0.25">
      <c r="A69" s="33" t="s">
        <v>58</v>
      </c>
      <c r="B69" s="66">
        <v>233652787.60000002</v>
      </c>
      <c r="C69" s="67">
        <v>229528786.04000002</v>
      </c>
      <c r="D69" s="58">
        <v>161139.85351724131</v>
      </c>
      <c r="E69" s="59">
        <v>158295.71451034481</v>
      </c>
      <c r="F69" s="7"/>
      <c r="G69" s="7"/>
      <c r="H69" s="7"/>
      <c r="I69" s="7"/>
      <c r="J69" s="7"/>
      <c r="K69" s="7"/>
      <c r="L69" s="7"/>
    </row>
    <row r="70" spans="1:12" x14ac:dyDescent="0.25">
      <c r="F70" s="7"/>
      <c r="G70" s="7"/>
      <c r="H70" s="7"/>
      <c r="I70" s="7"/>
      <c r="J70" s="7"/>
      <c r="K70" s="7"/>
      <c r="L70" s="7"/>
    </row>
    <row r="71" spans="1:12" x14ac:dyDescent="0.25">
      <c r="F71" s="7"/>
      <c r="G71" s="7"/>
      <c r="H71" s="7"/>
      <c r="I71" s="7"/>
      <c r="J71" s="7"/>
      <c r="K71" s="7"/>
      <c r="L71" s="7"/>
    </row>
    <row r="72" spans="1:12" x14ac:dyDescent="0.25">
      <c r="F72" s="7"/>
      <c r="G72" s="7"/>
      <c r="H72" s="7"/>
      <c r="I72" s="7"/>
      <c r="J72" s="7"/>
      <c r="K72" s="7"/>
      <c r="L72" s="7"/>
    </row>
    <row r="73" spans="1:12" x14ac:dyDescent="0.25">
      <c r="F73" s="7"/>
      <c r="G73" s="7"/>
      <c r="H73" s="7"/>
      <c r="I73" s="7"/>
      <c r="J73" s="7"/>
      <c r="K73" s="7"/>
      <c r="L73" s="7"/>
    </row>
    <row r="74" spans="1:12" x14ac:dyDescent="0.25">
      <c r="F74" s="7"/>
      <c r="G74" s="7"/>
      <c r="H74" s="7"/>
      <c r="I74" s="7"/>
      <c r="J74" s="7"/>
      <c r="K74" s="7"/>
      <c r="L74" s="7"/>
    </row>
    <row r="75" spans="1:12" x14ac:dyDescent="0.25">
      <c r="F75" s="7"/>
      <c r="G75" s="7"/>
      <c r="H75" s="7"/>
      <c r="I75" s="7"/>
      <c r="J75" s="7"/>
      <c r="K75" s="7"/>
      <c r="L75" s="7"/>
    </row>
    <row r="76" spans="1:12" x14ac:dyDescent="0.25">
      <c r="F76" s="7"/>
      <c r="G76" s="7"/>
      <c r="H76" s="7"/>
      <c r="I76" s="7"/>
      <c r="J76" s="7"/>
      <c r="K76" s="7"/>
      <c r="L76" s="7"/>
    </row>
    <row r="77" spans="1:12" x14ac:dyDescent="0.25">
      <c r="F77" s="7"/>
      <c r="G77" s="7"/>
      <c r="H77" s="7"/>
      <c r="I77" s="7"/>
      <c r="J77" s="7"/>
      <c r="K77" s="7"/>
      <c r="L77" s="7"/>
    </row>
    <row r="78" spans="1:12" x14ac:dyDescent="0.25">
      <c r="F78" s="7"/>
      <c r="G78" s="7"/>
      <c r="H78" s="7"/>
      <c r="I78" s="7"/>
      <c r="J78" s="7"/>
      <c r="K78" s="7"/>
      <c r="L78" s="7"/>
    </row>
    <row r="79" spans="1:12" x14ac:dyDescent="0.25">
      <c r="F79" s="7"/>
      <c r="G79" s="7"/>
      <c r="H79" s="7"/>
      <c r="I79" s="7"/>
      <c r="J79" s="7"/>
      <c r="K79" s="7"/>
      <c r="L79" s="7"/>
    </row>
    <row r="80" spans="1:12" x14ac:dyDescent="0.25">
      <c r="F80" s="7"/>
      <c r="G80" s="7"/>
      <c r="H80" s="7"/>
      <c r="I80" s="7"/>
      <c r="J80" s="7"/>
      <c r="K80" s="7"/>
      <c r="L80" s="7"/>
    </row>
    <row r="81" spans="6:12" x14ac:dyDescent="0.25">
      <c r="F81" s="7"/>
      <c r="G81" s="7"/>
      <c r="H81" s="7"/>
      <c r="I81" s="7"/>
      <c r="J81" s="7"/>
      <c r="K81" s="7"/>
      <c r="L81" s="7"/>
    </row>
    <row r="82" spans="6:12" x14ac:dyDescent="0.25">
      <c r="F82" s="7"/>
      <c r="G82" s="7"/>
      <c r="H82" s="7"/>
      <c r="I82" s="7"/>
      <c r="J82" s="7"/>
      <c r="K82" s="7"/>
      <c r="L82" s="7"/>
    </row>
    <row r="83" spans="6:12" x14ac:dyDescent="0.25">
      <c r="F83" s="7"/>
      <c r="G83" s="7"/>
      <c r="H83" s="7"/>
      <c r="I83" s="7"/>
      <c r="J83" s="7"/>
      <c r="K83" s="7"/>
      <c r="L83" s="7"/>
    </row>
    <row r="84" spans="6:12" x14ac:dyDescent="0.25">
      <c r="F84" s="7"/>
      <c r="G84" s="7"/>
      <c r="H84" s="7"/>
      <c r="I84" s="7"/>
      <c r="J84" s="7"/>
      <c r="K84" s="7"/>
      <c r="L84" s="7"/>
    </row>
    <row r="85" spans="6:12" x14ac:dyDescent="0.25">
      <c r="F85" s="7"/>
      <c r="G85" s="7"/>
      <c r="H85" s="7"/>
      <c r="I85" s="7"/>
      <c r="J85" s="7"/>
      <c r="K85" s="7"/>
      <c r="L85" s="7"/>
    </row>
    <row r="86" spans="6:12" x14ac:dyDescent="0.25">
      <c r="F86" s="7"/>
      <c r="G86" s="7"/>
      <c r="H86" s="7"/>
      <c r="I86" s="7"/>
      <c r="J86" s="7"/>
      <c r="K86" s="7"/>
      <c r="L86" s="7"/>
    </row>
    <row r="87" spans="6:12" x14ac:dyDescent="0.25">
      <c r="F87" s="7"/>
      <c r="G87" s="7"/>
      <c r="H87" s="7"/>
      <c r="I87" s="7"/>
      <c r="J87" s="7"/>
      <c r="K87" s="7"/>
      <c r="L87" s="7"/>
    </row>
    <row r="88" spans="6:12" x14ac:dyDescent="0.25">
      <c r="F88" s="7"/>
      <c r="G88" s="7"/>
      <c r="H88" s="7"/>
      <c r="I88" s="7"/>
      <c r="J88" s="7"/>
      <c r="K88" s="7"/>
      <c r="L88" s="7"/>
    </row>
    <row r="89" spans="6:12" x14ac:dyDescent="0.25">
      <c r="F89" s="7"/>
      <c r="G89" s="7"/>
      <c r="H89" s="7"/>
      <c r="I89" s="7"/>
      <c r="J89" s="7"/>
      <c r="K89" s="7"/>
      <c r="L89" s="7"/>
    </row>
    <row r="90" spans="6:12" x14ac:dyDescent="0.25">
      <c r="F90" s="7"/>
      <c r="G90" s="7"/>
      <c r="H90" s="7"/>
      <c r="I90" s="7"/>
      <c r="J90" s="7"/>
      <c r="K90" s="7"/>
      <c r="L90" s="7"/>
    </row>
    <row r="91" spans="6:12" x14ac:dyDescent="0.25">
      <c r="F91" s="7"/>
      <c r="G91" s="7"/>
      <c r="H91" s="7"/>
      <c r="I91" s="7"/>
      <c r="J91" s="7"/>
      <c r="K91" s="7"/>
      <c r="L91" s="7"/>
    </row>
    <row r="92" spans="6:12" x14ac:dyDescent="0.25">
      <c r="F92" s="7"/>
      <c r="G92" s="7"/>
      <c r="H92" s="7"/>
      <c r="I92" s="7"/>
      <c r="J92" s="7"/>
      <c r="K92" s="7"/>
      <c r="L92" s="7"/>
    </row>
    <row r="93" spans="6:12" x14ac:dyDescent="0.25">
      <c r="F93" s="7"/>
      <c r="G93" s="7"/>
      <c r="H93" s="7"/>
      <c r="I93" s="7"/>
      <c r="J93" s="7"/>
      <c r="K93" s="7"/>
      <c r="L93" s="7"/>
    </row>
    <row r="94" spans="6:12" x14ac:dyDescent="0.25">
      <c r="F94" s="7"/>
      <c r="G94" s="7"/>
      <c r="H94" s="7"/>
      <c r="I94" s="7"/>
      <c r="J94" s="7"/>
      <c r="K94" s="7"/>
      <c r="L94" s="7"/>
    </row>
    <row r="95" spans="6:12" x14ac:dyDescent="0.25">
      <c r="F95" s="7"/>
      <c r="G95" s="7"/>
      <c r="H95" s="7"/>
      <c r="I95" s="7"/>
      <c r="J95" s="7"/>
      <c r="K95" s="7"/>
      <c r="L95" s="7"/>
    </row>
    <row r="96" spans="6:12" x14ac:dyDescent="0.25">
      <c r="F96" s="7"/>
      <c r="G96" s="7"/>
      <c r="H96" s="7"/>
      <c r="I96" s="7"/>
      <c r="J96" s="7"/>
      <c r="K96" s="7"/>
      <c r="L96" s="7"/>
    </row>
    <row r="97" spans="6:12" x14ac:dyDescent="0.25">
      <c r="F97" s="7"/>
      <c r="G97" s="7"/>
      <c r="H97" s="7"/>
      <c r="I97" s="7"/>
      <c r="J97" s="7"/>
      <c r="K97" s="7"/>
      <c r="L97" s="7"/>
    </row>
    <row r="98" spans="6:12" x14ac:dyDescent="0.25">
      <c r="F98" s="7"/>
      <c r="G98" s="7"/>
      <c r="H98" s="7"/>
      <c r="I98" s="7"/>
      <c r="J98" s="7"/>
      <c r="K98" s="7"/>
      <c r="L98" s="7"/>
    </row>
    <row r="99" spans="6:12" x14ac:dyDescent="0.25">
      <c r="F99" s="7"/>
      <c r="G99" s="7"/>
      <c r="H99" s="7"/>
      <c r="I99" s="7"/>
      <c r="J99" s="7"/>
      <c r="K99" s="7"/>
      <c r="L99" s="7"/>
    </row>
    <row r="100" spans="6:12" x14ac:dyDescent="0.25">
      <c r="F100" s="7"/>
      <c r="G100" s="7"/>
      <c r="H100" s="7"/>
      <c r="I100" s="7"/>
      <c r="J100" s="7"/>
      <c r="K100" s="7"/>
      <c r="L100" s="7"/>
    </row>
    <row r="101" spans="6:12" x14ac:dyDescent="0.25">
      <c r="F101" s="7"/>
      <c r="G101" s="7"/>
      <c r="H101" s="7"/>
      <c r="I101" s="7"/>
      <c r="J101" s="7"/>
      <c r="K101" s="7"/>
      <c r="L101" s="7"/>
    </row>
    <row r="102" spans="6:12" x14ac:dyDescent="0.25">
      <c r="F102" s="7"/>
      <c r="G102" s="7"/>
      <c r="H102" s="7"/>
      <c r="I102" s="7"/>
      <c r="J102" s="7"/>
      <c r="K102" s="7"/>
      <c r="L102" s="7"/>
    </row>
    <row r="103" spans="6:12" x14ac:dyDescent="0.25">
      <c r="F103" s="7"/>
      <c r="G103" s="7"/>
      <c r="H103" s="7"/>
      <c r="I103" s="7"/>
      <c r="J103" s="7"/>
      <c r="K103" s="7"/>
      <c r="L103" s="7"/>
    </row>
    <row r="104" spans="6:12" x14ac:dyDescent="0.25">
      <c r="F104" s="7"/>
      <c r="G104" s="7"/>
      <c r="H104" s="7"/>
      <c r="I104" s="7"/>
      <c r="J104" s="7"/>
      <c r="K104" s="7"/>
      <c r="L104" s="7"/>
    </row>
    <row r="105" spans="6:12" x14ac:dyDescent="0.25">
      <c r="F105" s="7"/>
      <c r="G105" s="7"/>
      <c r="H105" s="7"/>
      <c r="I105" s="7"/>
      <c r="J105" s="7"/>
      <c r="K105" s="7"/>
      <c r="L105" s="7"/>
    </row>
    <row r="106" spans="6:12" x14ac:dyDescent="0.25">
      <c r="F106" s="7"/>
      <c r="G106" s="7"/>
      <c r="H106" s="7"/>
      <c r="I106" s="7"/>
      <c r="J106" s="7"/>
      <c r="K106" s="7"/>
      <c r="L106" s="7"/>
    </row>
    <row r="107" spans="6:12" x14ac:dyDescent="0.25">
      <c r="F107" s="7"/>
      <c r="G107" s="7"/>
      <c r="H107" s="7"/>
      <c r="I107" s="7"/>
      <c r="J107" s="7"/>
      <c r="K107" s="7"/>
      <c r="L107" s="7"/>
    </row>
    <row r="108" spans="6:12" x14ac:dyDescent="0.25">
      <c r="F108" s="7"/>
      <c r="G108" s="7"/>
      <c r="H108" s="7"/>
      <c r="I108" s="7"/>
      <c r="J108" s="7"/>
      <c r="K108" s="7"/>
      <c r="L108" s="7"/>
    </row>
    <row r="109" spans="6:12" x14ac:dyDescent="0.25">
      <c r="F109" s="7"/>
      <c r="G109" s="7"/>
      <c r="H109" s="7"/>
      <c r="I109" s="7"/>
      <c r="J109" s="7"/>
      <c r="K109" s="7"/>
      <c r="L109" s="7"/>
    </row>
    <row r="110" spans="6:12" x14ac:dyDescent="0.25">
      <c r="F110" s="7"/>
      <c r="G110" s="7"/>
      <c r="H110" s="7"/>
      <c r="I110" s="7"/>
      <c r="J110" s="7"/>
      <c r="K110" s="7"/>
      <c r="L110" s="7"/>
    </row>
    <row r="111" spans="6:12" x14ac:dyDescent="0.25">
      <c r="F111" s="7"/>
      <c r="G111" s="7"/>
      <c r="H111" s="7"/>
      <c r="I111" s="7"/>
      <c r="J111" s="7"/>
      <c r="K111" s="7"/>
      <c r="L111" s="7"/>
    </row>
    <row r="112" spans="6:12" x14ac:dyDescent="0.25">
      <c r="F112" s="7"/>
      <c r="G112" s="7"/>
      <c r="H112" s="7"/>
      <c r="I112" s="7"/>
      <c r="J112" s="7"/>
      <c r="K112" s="7"/>
      <c r="L112" s="7"/>
    </row>
    <row r="113" spans="6:12" x14ac:dyDescent="0.25">
      <c r="F113" s="7"/>
      <c r="G113" s="7"/>
      <c r="H113" s="7"/>
      <c r="I113" s="7"/>
      <c r="J113" s="7"/>
      <c r="K113" s="7"/>
      <c r="L113" s="7"/>
    </row>
    <row r="114" spans="6:12" x14ac:dyDescent="0.25">
      <c r="F114" s="7"/>
      <c r="G114" s="7"/>
      <c r="H114" s="7"/>
      <c r="I114" s="7"/>
      <c r="J114" s="7"/>
      <c r="K114" s="7"/>
      <c r="L114" s="7"/>
    </row>
    <row r="115" spans="6:12" x14ac:dyDescent="0.25">
      <c r="F115" s="7"/>
      <c r="G115" s="7"/>
      <c r="H115" s="7"/>
      <c r="I115" s="7"/>
      <c r="J115" s="7"/>
      <c r="K115" s="7"/>
      <c r="L115" s="7"/>
    </row>
    <row r="116" spans="6:12" x14ac:dyDescent="0.25">
      <c r="F116" s="7"/>
      <c r="G116" s="7"/>
      <c r="H116" s="7"/>
      <c r="I116" s="7"/>
      <c r="J116" s="7"/>
      <c r="K116" s="7"/>
      <c r="L116" s="7"/>
    </row>
    <row r="117" spans="6:12" x14ac:dyDescent="0.25">
      <c r="F117" s="7"/>
      <c r="G117" s="7"/>
      <c r="H117" s="7"/>
      <c r="I117" s="7"/>
      <c r="J117" s="7"/>
      <c r="K117" s="7"/>
      <c r="L117" s="7"/>
    </row>
    <row r="118" spans="6:12" x14ac:dyDescent="0.25">
      <c r="F118" s="7"/>
      <c r="G118" s="7"/>
      <c r="H118" s="7"/>
      <c r="I118" s="7"/>
      <c r="J118" s="7"/>
      <c r="K118" s="7"/>
      <c r="L118" s="7"/>
    </row>
    <row r="119" spans="6:12" x14ac:dyDescent="0.25">
      <c r="F119" s="7"/>
      <c r="G119" s="7"/>
      <c r="H119" s="7"/>
      <c r="I119" s="7"/>
      <c r="J119" s="7"/>
      <c r="K119" s="7"/>
      <c r="L119" s="7"/>
    </row>
    <row r="120" spans="6:12" x14ac:dyDescent="0.25">
      <c r="F120" s="7"/>
      <c r="G120" s="7"/>
      <c r="H120" s="7"/>
      <c r="I120" s="7"/>
      <c r="J120" s="7"/>
      <c r="K120" s="7"/>
      <c r="L120" s="7"/>
    </row>
    <row r="121" spans="6:12" x14ac:dyDescent="0.25">
      <c r="F121" s="7"/>
      <c r="G121" s="7"/>
      <c r="H121" s="7"/>
      <c r="I121" s="7"/>
      <c r="J121" s="7"/>
      <c r="K121" s="7"/>
      <c r="L121" s="7"/>
    </row>
    <row r="122" spans="6:12" x14ac:dyDescent="0.25">
      <c r="F122" s="7"/>
      <c r="G122" s="7"/>
      <c r="H122" s="7"/>
      <c r="I122" s="7"/>
      <c r="J122" s="7"/>
      <c r="K122" s="7"/>
      <c r="L122" s="7"/>
    </row>
    <row r="123" spans="6:12" x14ac:dyDescent="0.25">
      <c r="F123" s="7"/>
      <c r="G123" s="7"/>
      <c r="H123" s="7"/>
      <c r="I123" s="7"/>
      <c r="J123" s="7"/>
      <c r="K123" s="7"/>
      <c r="L123" s="7"/>
    </row>
    <row r="124" spans="6:12" x14ac:dyDescent="0.25">
      <c r="F124" s="7"/>
      <c r="G124" s="7"/>
      <c r="H124" s="7"/>
      <c r="I124" s="7"/>
      <c r="J124" s="7"/>
      <c r="K124" s="7"/>
      <c r="L124" s="7"/>
    </row>
    <row r="125" spans="6:12" x14ac:dyDescent="0.25">
      <c r="F125" s="7"/>
      <c r="G125" s="7"/>
      <c r="H125" s="7"/>
      <c r="I125" s="7"/>
      <c r="J125" s="7"/>
      <c r="K125" s="7"/>
      <c r="L125" s="7"/>
    </row>
    <row r="126" spans="6:12" x14ac:dyDescent="0.25">
      <c r="F126" s="7"/>
      <c r="G126" s="7"/>
      <c r="H126" s="7"/>
      <c r="I126" s="7"/>
      <c r="J126" s="7"/>
      <c r="K126" s="7"/>
      <c r="L126" s="7"/>
    </row>
    <row r="127" spans="6:12" x14ac:dyDescent="0.25">
      <c r="F127" s="7"/>
      <c r="G127" s="7"/>
      <c r="H127" s="7"/>
      <c r="I127" s="7"/>
      <c r="J127" s="7"/>
      <c r="K127" s="7"/>
      <c r="L127" s="7"/>
    </row>
    <row r="128" spans="6:12" x14ac:dyDescent="0.25">
      <c r="F128" s="7"/>
      <c r="G128" s="7"/>
      <c r="H128" s="7"/>
      <c r="I128" s="7"/>
      <c r="J128" s="7"/>
      <c r="K128" s="7"/>
      <c r="L128" s="7"/>
    </row>
    <row r="129" spans="6:12" x14ac:dyDescent="0.25">
      <c r="F129" s="7"/>
      <c r="G129" s="7"/>
      <c r="H129" s="7"/>
      <c r="I129" s="7"/>
      <c r="J129" s="7"/>
      <c r="K129" s="7"/>
      <c r="L129" s="7"/>
    </row>
    <row r="130" spans="6:12" x14ac:dyDescent="0.25">
      <c r="F130" s="7"/>
      <c r="G130" s="7"/>
      <c r="H130" s="7"/>
      <c r="I130" s="7"/>
      <c r="J130" s="7"/>
      <c r="K130" s="7"/>
      <c r="L130" s="7"/>
    </row>
    <row r="131" spans="6:12" x14ac:dyDescent="0.25">
      <c r="F131" s="7"/>
      <c r="G131" s="7"/>
      <c r="H131" s="7"/>
      <c r="I131" s="7"/>
      <c r="J131" s="7"/>
      <c r="K131" s="7"/>
      <c r="L131" s="7"/>
    </row>
    <row r="132" spans="6:12" x14ac:dyDescent="0.25">
      <c r="F132" s="7"/>
      <c r="G132" s="7"/>
      <c r="H132" s="7"/>
      <c r="I132" s="7"/>
      <c r="J132" s="7"/>
      <c r="K132" s="7"/>
      <c r="L132" s="7"/>
    </row>
    <row r="133" spans="6:12" x14ac:dyDescent="0.25">
      <c r="F133" s="7"/>
      <c r="G133" s="7"/>
      <c r="H133" s="7"/>
      <c r="I133" s="7"/>
      <c r="J133" s="7"/>
      <c r="K133" s="7"/>
      <c r="L133" s="7"/>
    </row>
    <row r="134" spans="6:12" x14ac:dyDescent="0.25">
      <c r="F134" s="7"/>
      <c r="G134" s="7"/>
      <c r="H134" s="7"/>
      <c r="I134" s="7"/>
      <c r="J134" s="7"/>
      <c r="K134" s="7"/>
      <c r="L134" s="7"/>
    </row>
    <row r="135" spans="6:12" x14ac:dyDescent="0.25">
      <c r="F135" s="7"/>
      <c r="G135" s="7"/>
      <c r="H135" s="7"/>
      <c r="I135" s="7"/>
      <c r="J135" s="7"/>
      <c r="K135" s="7"/>
      <c r="L135" s="7"/>
    </row>
    <row r="136" spans="6:12" x14ac:dyDescent="0.25">
      <c r="F136" s="7"/>
      <c r="G136" s="7"/>
      <c r="H136" s="7"/>
      <c r="I136" s="7"/>
      <c r="J136" s="7"/>
      <c r="K136" s="7"/>
      <c r="L136" s="7"/>
    </row>
    <row r="137" spans="6:12" x14ac:dyDescent="0.25">
      <c r="F137" s="7"/>
      <c r="G137" s="7"/>
      <c r="H137" s="7"/>
      <c r="I137" s="7"/>
      <c r="J137" s="7"/>
      <c r="K137" s="7"/>
      <c r="L137" s="7"/>
    </row>
    <row r="138" spans="6:12" x14ac:dyDescent="0.25">
      <c r="F138" s="7"/>
      <c r="G138" s="7"/>
      <c r="H138" s="7"/>
      <c r="I138" s="7"/>
      <c r="J138" s="7"/>
      <c r="K138" s="7"/>
      <c r="L138" s="7"/>
    </row>
    <row r="139" spans="6:12" x14ac:dyDescent="0.25">
      <c r="F139" s="7"/>
      <c r="G139" s="7"/>
      <c r="H139" s="7"/>
      <c r="I139" s="7"/>
      <c r="J139" s="7"/>
      <c r="K139" s="7"/>
      <c r="L139" s="7"/>
    </row>
    <row r="140" spans="6:12" x14ac:dyDescent="0.25">
      <c r="F140" s="7"/>
      <c r="G140" s="7"/>
      <c r="H140" s="7"/>
      <c r="I140" s="7"/>
      <c r="J140" s="7"/>
      <c r="K140" s="7"/>
      <c r="L140" s="7"/>
    </row>
    <row r="141" spans="6:12" x14ac:dyDescent="0.25">
      <c r="F141" s="7"/>
      <c r="G141" s="7"/>
      <c r="H141" s="7"/>
      <c r="I141" s="7"/>
      <c r="J141" s="7"/>
      <c r="K141" s="7"/>
      <c r="L141" s="7"/>
    </row>
    <row r="142" spans="6:12" x14ac:dyDescent="0.25">
      <c r="F142" s="7"/>
      <c r="G142" s="7"/>
      <c r="H142" s="7"/>
      <c r="I142" s="7"/>
      <c r="J142" s="7"/>
      <c r="K142" s="7"/>
      <c r="L142" s="7"/>
    </row>
    <row r="143" spans="6:12" x14ac:dyDescent="0.25">
      <c r="F143" s="7"/>
      <c r="G143" s="7"/>
      <c r="H143" s="7"/>
      <c r="I143" s="7"/>
      <c r="J143" s="7"/>
      <c r="K143" s="7"/>
      <c r="L143" s="7"/>
    </row>
    <row r="144" spans="6:12" x14ac:dyDescent="0.25">
      <c r="F144" s="7"/>
      <c r="G144" s="7"/>
      <c r="H144" s="7"/>
      <c r="I144" s="7"/>
      <c r="J144" s="7"/>
      <c r="K144" s="7"/>
      <c r="L144" s="7"/>
    </row>
    <row r="145" spans="6:12" x14ac:dyDescent="0.25">
      <c r="F145" s="7"/>
      <c r="G145" s="7"/>
      <c r="H145" s="7"/>
      <c r="I145" s="7"/>
      <c r="J145" s="7"/>
      <c r="K145" s="7"/>
      <c r="L145" s="7"/>
    </row>
    <row r="146" spans="6:12" x14ac:dyDescent="0.25">
      <c r="F146" s="7"/>
      <c r="G146" s="7"/>
      <c r="H146" s="7"/>
      <c r="I146" s="7"/>
      <c r="J146" s="7"/>
      <c r="K146" s="7"/>
      <c r="L146" s="7"/>
    </row>
    <row r="147" spans="6:12" x14ac:dyDescent="0.25">
      <c r="F147" s="7"/>
      <c r="G147" s="7"/>
      <c r="H147" s="7"/>
      <c r="I147" s="7"/>
      <c r="J147" s="7"/>
      <c r="K147" s="7"/>
      <c r="L147" s="7"/>
    </row>
    <row r="148" spans="6:12" x14ac:dyDescent="0.25">
      <c r="F148" s="7"/>
      <c r="G148" s="7"/>
      <c r="H148" s="7"/>
      <c r="I148" s="7"/>
      <c r="J148" s="7"/>
      <c r="K148" s="7"/>
      <c r="L148" s="7"/>
    </row>
    <row r="149" spans="6:12" x14ac:dyDescent="0.25">
      <c r="F149" s="7"/>
      <c r="G149" s="7"/>
      <c r="H149" s="7"/>
      <c r="I149" s="7"/>
      <c r="J149" s="7"/>
      <c r="K149" s="7"/>
      <c r="L149" s="7"/>
    </row>
    <row r="150" spans="6:12" x14ac:dyDescent="0.25">
      <c r="F150" s="7"/>
      <c r="G150" s="7"/>
      <c r="H150" s="7"/>
      <c r="I150" s="7"/>
      <c r="J150" s="7"/>
      <c r="K150" s="7"/>
      <c r="L150" s="7"/>
    </row>
    <row r="151" spans="6:12" x14ac:dyDescent="0.25">
      <c r="F151" s="7"/>
      <c r="G151" s="7"/>
      <c r="H151" s="7"/>
      <c r="I151" s="7"/>
      <c r="J151" s="7"/>
      <c r="K151" s="7"/>
      <c r="L151" s="7"/>
    </row>
    <row r="152" spans="6:12" x14ac:dyDescent="0.25">
      <c r="F152" s="7"/>
      <c r="G152" s="7"/>
      <c r="H152" s="7"/>
      <c r="I152" s="7"/>
      <c r="J152" s="7"/>
      <c r="K152" s="7"/>
      <c r="L152" s="7"/>
    </row>
    <row r="153" spans="6:12" x14ac:dyDescent="0.25">
      <c r="F153" s="7"/>
      <c r="G153" s="7"/>
      <c r="H153" s="7"/>
      <c r="I153" s="7"/>
      <c r="J153" s="7"/>
      <c r="K153" s="7"/>
      <c r="L153" s="7"/>
    </row>
    <row r="154" spans="6:12" x14ac:dyDescent="0.25">
      <c r="F154" s="7"/>
      <c r="G154" s="7"/>
      <c r="H154" s="7"/>
      <c r="I154" s="7"/>
      <c r="J154" s="7"/>
      <c r="K154" s="7"/>
      <c r="L154" s="7"/>
    </row>
    <row r="155" spans="6:12" x14ac:dyDescent="0.25">
      <c r="F155" s="7"/>
      <c r="G155" s="7"/>
      <c r="H155" s="7"/>
      <c r="I155" s="7"/>
      <c r="J155" s="7"/>
      <c r="K155" s="7"/>
      <c r="L155" s="7"/>
    </row>
    <row r="156" spans="6:12" x14ac:dyDescent="0.25">
      <c r="F156" s="7"/>
      <c r="G156" s="7"/>
      <c r="H156" s="7"/>
      <c r="I156" s="7"/>
      <c r="J156" s="7"/>
      <c r="K156" s="7"/>
      <c r="L156" s="7"/>
    </row>
    <row r="157" spans="6:12" x14ac:dyDescent="0.25">
      <c r="F157" s="7"/>
      <c r="G157" s="7"/>
      <c r="H157" s="7"/>
      <c r="I157" s="7"/>
      <c r="J157" s="7"/>
      <c r="K157" s="7"/>
      <c r="L157" s="7"/>
    </row>
    <row r="158" spans="6:12" x14ac:dyDescent="0.25">
      <c r="F158" s="7"/>
      <c r="G158" s="7"/>
      <c r="H158" s="7"/>
      <c r="I158" s="7"/>
      <c r="J158" s="7"/>
      <c r="K158" s="7"/>
      <c r="L158" s="7"/>
    </row>
    <row r="159" spans="6:12" x14ac:dyDescent="0.25">
      <c r="F159" s="7"/>
      <c r="G159" s="7"/>
      <c r="H159" s="7"/>
      <c r="I159" s="7"/>
      <c r="J159" s="7"/>
      <c r="K159" s="7"/>
      <c r="L159" s="7"/>
    </row>
    <row r="160" spans="6:12" x14ac:dyDescent="0.25">
      <c r="F160" s="7"/>
      <c r="G160" s="7"/>
      <c r="H160" s="7"/>
      <c r="I160" s="7"/>
      <c r="J160" s="7"/>
      <c r="K160" s="7"/>
      <c r="L160" s="7"/>
    </row>
    <row r="161" spans="6:12" x14ac:dyDescent="0.25">
      <c r="F161" s="7"/>
      <c r="G161" s="7"/>
      <c r="H161" s="7"/>
      <c r="I161" s="7"/>
      <c r="J161" s="7"/>
      <c r="K161" s="7"/>
      <c r="L161" s="7"/>
    </row>
    <row r="162" spans="6:12" x14ac:dyDescent="0.25">
      <c r="F162" s="7"/>
      <c r="G162" s="7"/>
      <c r="H162" s="7"/>
      <c r="I162" s="7"/>
      <c r="J162" s="7"/>
      <c r="K162" s="7"/>
      <c r="L162" s="7"/>
    </row>
    <row r="163" spans="6:12" x14ac:dyDescent="0.25">
      <c r="F163" s="7"/>
      <c r="G163" s="7"/>
      <c r="H163" s="7"/>
      <c r="I163" s="7"/>
      <c r="J163" s="7"/>
      <c r="K163" s="7"/>
      <c r="L163" s="7"/>
    </row>
    <row r="164" spans="6:12" x14ac:dyDescent="0.25">
      <c r="F164" s="7"/>
      <c r="G164" s="7"/>
      <c r="H164" s="7"/>
      <c r="I164" s="7"/>
      <c r="J164" s="7"/>
      <c r="K164" s="7"/>
      <c r="L164" s="7"/>
    </row>
    <row r="165" spans="6:12" x14ac:dyDescent="0.25">
      <c r="F165" s="7"/>
      <c r="G165" s="7"/>
      <c r="H165" s="7"/>
      <c r="I165" s="7"/>
      <c r="J165" s="7"/>
      <c r="K165" s="7"/>
      <c r="L165" s="7"/>
    </row>
    <row r="166" spans="6:12" x14ac:dyDescent="0.25">
      <c r="F166" s="7"/>
      <c r="G166" s="7"/>
      <c r="H166" s="7"/>
      <c r="I166" s="7"/>
      <c r="J166" s="7"/>
      <c r="K166" s="7"/>
      <c r="L166" s="7"/>
    </row>
    <row r="167" spans="6:12" x14ac:dyDescent="0.25">
      <c r="F167" s="7"/>
      <c r="G167" s="7"/>
      <c r="H167" s="7"/>
      <c r="I167" s="7"/>
      <c r="J167" s="7"/>
      <c r="K167" s="7"/>
      <c r="L167" s="7"/>
    </row>
    <row r="168" spans="6:12" x14ac:dyDescent="0.25">
      <c r="F168" s="7"/>
      <c r="G168" s="7"/>
      <c r="H168" s="7"/>
      <c r="I168" s="7"/>
      <c r="J168" s="7"/>
      <c r="K168" s="7"/>
      <c r="L168" s="7"/>
    </row>
    <row r="169" spans="6:12" x14ac:dyDescent="0.25">
      <c r="F169" s="7"/>
      <c r="G169" s="7"/>
      <c r="H169" s="7"/>
      <c r="I169" s="7"/>
      <c r="J169" s="7"/>
      <c r="K169" s="7"/>
      <c r="L169" s="7"/>
    </row>
    <row r="170" spans="6:12" x14ac:dyDescent="0.25">
      <c r="F170" s="7"/>
      <c r="G170" s="7"/>
      <c r="H170" s="7"/>
      <c r="I170" s="7"/>
      <c r="J170" s="7"/>
      <c r="K170" s="7"/>
      <c r="L170" s="7"/>
    </row>
    <row r="171" spans="6:12" x14ac:dyDescent="0.25">
      <c r="F171" s="7"/>
      <c r="G171" s="7"/>
      <c r="H171" s="7"/>
      <c r="I171" s="7"/>
      <c r="J171" s="7"/>
      <c r="K171" s="7"/>
      <c r="L171" s="7"/>
    </row>
    <row r="172" spans="6:12" x14ac:dyDescent="0.25">
      <c r="F172" s="7"/>
      <c r="G172" s="7"/>
      <c r="H172" s="7"/>
      <c r="I172" s="7"/>
      <c r="J172" s="7"/>
      <c r="K172" s="7"/>
      <c r="L172" s="7"/>
    </row>
    <row r="173" spans="6:12" x14ac:dyDescent="0.25">
      <c r="F173" s="7"/>
      <c r="G173" s="7"/>
      <c r="H173" s="7"/>
      <c r="I173" s="7"/>
      <c r="J173" s="7"/>
      <c r="K173" s="7"/>
      <c r="L173" s="7"/>
    </row>
    <row r="174" spans="6:12" x14ac:dyDescent="0.25">
      <c r="F174" s="7"/>
      <c r="G174" s="7"/>
      <c r="H174" s="7"/>
      <c r="I174" s="7"/>
      <c r="J174" s="7"/>
      <c r="K174" s="7"/>
      <c r="L174" s="7"/>
    </row>
    <row r="175" spans="6:12" x14ac:dyDescent="0.25">
      <c r="F175" s="7"/>
      <c r="G175" s="7"/>
      <c r="H175" s="7"/>
      <c r="I175" s="7"/>
      <c r="J175" s="7"/>
      <c r="K175" s="7"/>
      <c r="L175" s="7"/>
    </row>
    <row r="176" spans="6:12" x14ac:dyDescent="0.25">
      <c r="F176" s="7"/>
      <c r="G176" s="7"/>
      <c r="H176" s="7"/>
      <c r="I176" s="7"/>
      <c r="J176" s="7"/>
      <c r="K176" s="7"/>
      <c r="L176" s="7"/>
    </row>
    <row r="177" spans="6:12" x14ac:dyDescent="0.25">
      <c r="F177" s="7"/>
      <c r="G177" s="7"/>
      <c r="H177" s="7"/>
      <c r="I177" s="7"/>
      <c r="J177" s="7"/>
      <c r="K177" s="7"/>
      <c r="L177" s="7"/>
    </row>
    <row r="178" spans="6:12" x14ac:dyDescent="0.25">
      <c r="F178" s="7"/>
      <c r="G178" s="7"/>
      <c r="H178" s="7"/>
      <c r="I178" s="7"/>
      <c r="J178" s="7"/>
      <c r="K178" s="7"/>
      <c r="L178" s="7"/>
    </row>
    <row r="179" spans="6:12" x14ac:dyDescent="0.25">
      <c r="F179" s="7"/>
      <c r="G179" s="7"/>
      <c r="H179" s="7"/>
      <c r="I179" s="7"/>
      <c r="J179" s="7"/>
      <c r="K179" s="7"/>
      <c r="L179" s="7"/>
    </row>
    <row r="180" spans="6:12" x14ac:dyDescent="0.25">
      <c r="F180" s="7"/>
      <c r="G180" s="7"/>
      <c r="H180" s="7"/>
      <c r="I180" s="7"/>
      <c r="J180" s="7"/>
      <c r="K180" s="7"/>
      <c r="L180" s="7"/>
    </row>
    <row r="181" spans="6:12" x14ac:dyDescent="0.25">
      <c r="F181" s="7"/>
      <c r="G181" s="7"/>
      <c r="H181" s="7"/>
      <c r="I181" s="7"/>
      <c r="J181" s="7"/>
      <c r="K181" s="7"/>
      <c r="L181" s="7"/>
    </row>
    <row r="182" spans="6:12" x14ac:dyDescent="0.25">
      <c r="F182" s="7"/>
      <c r="G182" s="7"/>
      <c r="H182" s="7"/>
      <c r="I182" s="16"/>
      <c r="J182" s="7"/>
      <c r="K182" s="7"/>
      <c r="L182" s="7"/>
    </row>
    <row r="183" spans="6:12" x14ac:dyDescent="0.25">
      <c r="F183" s="7"/>
      <c r="G183" s="7"/>
      <c r="H183" s="7"/>
      <c r="I183" s="7"/>
      <c r="J183" s="7"/>
      <c r="K183" s="7"/>
      <c r="L183" s="7"/>
    </row>
    <row r="184" spans="6:12" x14ac:dyDescent="0.25">
      <c r="F184" s="7"/>
      <c r="G184" s="7"/>
      <c r="H184" s="7"/>
      <c r="I184" s="7"/>
      <c r="J184" s="7"/>
      <c r="K184" s="7"/>
      <c r="L184" s="7"/>
    </row>
    <row r="185" spans="6:12" x14ac:dyDescent="0.25">
      <c r="F185" s="7"/>
      <c r="G185" s="7"/>
      <c r="H185" s="7"/>
      <c r="I185" s="7"/>
      <c r="J185" s="7"/>
      <c r="K185" s="7"/>
      <c r="L185" s="7"/>
    </row>
    <row r="186" spans="6:12" x14ac:dyDescent="0.25">
      <c r="F186" s="7"/>
      <c r="G186" s="7"/>
      <c r="H186" s="7"/>
      <c r="I186" s="7"/>
      <c r="J186" s="7"/>
      <c r="K186" s="7"/>
      <c r="L186" s="7"/>
    </row>
    <row r="187" spans="6:12" x14ac:dyDescent="0.25">
      <c r="F187" s="7"/>
      <c r="G187" s="7"/>
      <c r="H187" s="7"/>
      <c r="I187" s="7"/>
      <c r="J187" s="7"/>
      <c r="K187" s="7"/>
      <c r="L187" s="7"/>
    </row>
    <row r="188" spans="6:12" x14ac:dyDescent="0.25">
      <c r="F188" s="7"/>
      <c r="G188" s="7"/>
      <c r="H188" s="7"/>
      <c r="I188" s="7"/>
      <c r="J188" s="7"/>
      <c r="K188" s="7"/>
      <c r="L188" s="7"/>
    </row>
    <row r="189" spans="6:12" x14ac:dyDescent="0.25">
      <c r="F189" s="7"/>
      <c r="G189" s="7"/>
      <c r="H189" s="7"/>
      <c r="I189" s="7"/>
      <c r="J189" s="7"/>
      <c r="K189" s="7"/>
      <c r="L189" s="7"/>
    </row>
    <row r="190" spans="6:12" x14ac:dyDescent="0.25">
      <c r="F190" s="7"/>
      <c r="G190" s="7"/>
      <c r="H190" s="7"/>
      <c r="I190" s="7"/>
      <c r="J190" s="7"/>
      <c r="K190" s="7"/>
      <c r="L190" s="7"/>
    </row>
    <row r="191" spans="6:12" x14ac:dyDescent="0.25">
      <c r="F191" s="7"/>
      <c r="G191" s="7"/>
      <c r="H191" s="7"/>
      <c r="I191" s="7"/>
      <c r="J191" s="7"/>
      <c r="K191" s="7"/>
      <c r="L191" s="7"/>
    </row>
    <row r="192" spans="6:12" x14ac:dyDescent="0.25">
      <c r="F192" s="7"/>
      <c r="G192" s="7"/>
      <c r="H192" s="7"/>
      <c r="I192" s="7"/>
      <c r="J192" s="7"/>
      <c r="K192" s="7"/>
      <c r="L192" s="7"/>
    </row>
    <row r="193" spans="6:12" x14ac:dyDescent="0.25">
      <c r="F193" s="7"/>
      <c r="G193" s="7"/>
      <c r="H193" s="7"/>
      <c r="I193" s="7"/>
      <c r="J193" s="7"/>
      <c r="K193" s="7"/>
      <c r="L193" s="7"/>
    </row>
    <row r="194" spans="6:12" x14ac:dyDescent="0.25">
      <c r="F194" s="7"/>
      <c r="G194" s="7"/>
      <c r="H194" s="7"/>
      <c r="I194" s="7"/>
      <c r="J194" s="7"/>
      <c r="K194" s="7"/>
      <c r="L194" s="7"/>
    </row>
    <row r="195" spans="6:12" x14ac:dyDescent="0.25">
      <c r="F195" s="7"/>
      <c r="G195" s="7"/>
      <c r="H195" s="7"/>
      <c r="I195" s="7"/>
      <c r="J195" s="7"/>
      <c r="K195" s="7"/>
      <c r="L195" s="7"/>
    </row>
    <row r="196" spans="6:12" x14ac:dyDescent="0.25">
      <c r="F196" s="7"/>
      <c r="G196" s="7"/>
      <c r="H196" s="7"/>
      <c r="I196" s="7"/>
      <c r="J196" s="7"/>
      <c r="K196" s="7"/>
      <c r="L196" s="7"/>
    </row>
    <row r="197" spans="6:12" x14ac:dyDescent="0.25">
      <c r="F197" s="7"/>
      <c r="G197" s="7"/>
      <c r="H197" s="7"/>
      <c r="I197" s="7"/>
      <c r="J197" s="7"/>
      <c r="K197" s="7"/>
      <c r="L197" s="7"/>
    </row>
    <row r="198" spans="6:12" x14ac:dyDescent="0.25">
      <c r="F198" s="7"/>
      <c r="G198" s="7"/>
      <c r="H198" s="7"/>
      <c r="I198" s="7"/>
      <c r="J198" s="7"/>
      <c r="K198" s="7"/>
      <c r="L198" s="7"/>
    </row>
    <row r="199" spans="6:12" x14ac:dyDescent="0.25">
      <c r="F199" s="7"/>
      <c r="G199" s="7"/>
      <c r="H199" s="7"/>
      <c r="I199" s="7"/>
      <c r="J199" s="7"/>
      <c r="K199" s="7"/>
      <c r="L199" s="7"/>
    </row>
    <row r="200" spans="6:12" x14ac:dyDescent="0.25">
      <c r="F200" s="7"/>
      <c r="G200" s="7"/>
      <c r="H200" s="7"/>
      <c r="I200" s="7"/>
      <c r="J200" s="7"/>
      <c r="K200" s="7"/>
      <c r="L200" s="7"/>
    </row>
    <row r="201" spans="6:12" x14ac:dyDescent="0.25">
      <c r="F201" s="7"/>
      <c r="G201" s="7"/>
      <c r="H201" s="7"/>
      <c r="I201" s="7"/>
      <c r="J201" s="7"/>
      <c r="K201" s="7"/>
      <c r="L201" s="7"/>
    </row>
    <row r="202" spans="6:12" x14ac:dyDescent="0.25">
      <c r="F202" s="7"/>
      <c r="G202" s="7"/>
      <c r="H202" s="7"/>
      <c r="I202" s="7"/>
      <c r="J202" s="7"/>
      <c r="K202" s="7"/>
      <c r="L202" s="7"/>
    </row>
    <row r="203" spans="6:12" x14ac:dyDescent="0.25">
      <c r="F203" s="7"/>
      <c r="G203" s="7"/>
      <c r="H203" s="7"/>
      <c r="I203" s="7"/>
      <c r="J203" s="7"/>
      <c r="K203" s="7"/>
      <c r="L203" s="7"/>
    </row>
    <row r="204" spans="6:12" x14ac:dyDescent="0.25">
      <c r="F204" s="7"/>
      <c r="G204" s="7"/>
      <c r="H204" s="7"/>
      <c r="I204" s="7"/>
      <c r="J204" s="7"/>
      <c r="K204" s="7"/>
      <c r="L204" s="7"/>
    </row>
    <row r="205" spans="6:12" x14ac:dyDescent="0.25">
      <c r="F205" s="7"/>
      <c r="G205" s="7"/>
      <c r="H205" s="7"/>
      <c r="I205" s="7"/>
      <c r="J205" s="7"/>
      <c r="K205" s="7"/>
      <c r="L205" s="7"/>
    </row>
    <row r="206" spans="6:12" x14ac:dyDescent="0.25">
      <c r="F206" s="7"/>
      <c r="G206" s="7"/>
      <c r="H206" s="7"/>
      <c r="I206" s="7"/>
      <c r="J206" s="7"/>
      <c r="K206" s="7"/>
      <c r="L206" s="7"/>
    </row>
    <row r="207" spans="6:12" x14ac:dyDescent="0.25">
      <c r="F207" s="7"/>
      <c r="G207" s="7"/>
      <c r="H207" s="7"/>
      <c r="I207" s="7"/>
      <c r="J207" s="7"/>
      <c r="K207" s="7"/>
      <c r="L207" s="7"/>
    </row>
    <row r="208" spans="6:12" x14ac:dyDescent="0.25">
      <c r="F208" s="7"/>
      <c r="G208" s="7"/>
      <c r="H208" s="7"/>
      <c r="I208" s="7"/>
      <c r="J208" s="7"/>
      <c r="K208" s="7"/>
      <c r="L208" s="7"/>
    </row>
    <row r="209" spans="6:12" x14ac:dyDescent="0.25">
      <c r="F209" s="7"/>
      <c r="G209" s="7"/>
      <c r="H209" s="7"/>
      <c r="I209" s="7"/>
      <c r="J209" s="7"/>
      <c r="K209" s="7"/>
      <c r="L209" s="7"/>
    </row>
    <row r="210" spans="6:12" x14ac:dyDescent="0.25">
      <c r="F210" s="7"/>
      <c r="G210" s="7"/>
      <c r="H210" s="7"/>
      <c r="I210" s="7"/>
      <c r="J210" s="7"/>
      <c r="K210" s="7"/>
      <c r="L210" s="7"/>
    </row>
    <row r="211" spans="6:12" x14ac:dyDescent="0.25">
      <c r="F211" s="7"/>
      <c r="G211" s="7"/>
      <c r="H211" s="7"/>
      <c r="I211" s="7"/>
      <c r="J211" s="7"/>
      <c r="K211" s="7"/>
      <c r="L211" s="7"/>
    </row>
    <row r="212" spans="6:12" x14ac:dyDescent="0.25">
      <c r="F212" s="7"/>
      <c r="G212" s="7"/>
      <c r="H212" s="7"/>
      <c r="I212" s="7"/>
      <c r="J212" s="7"/>
      <c r="K212" s="7"/>
      <c r="L212" s="7"/>
    </row>
    <row r="213" spans="6:12" x14ac:dyDescent="0.25">
      <c r="F213" s="7"/>
      <c r="G213" s="7"/>
      <c r="H213" s="7"/>
      <c r="I213" s="7"/>
      <c r="J213" s="7"/>
      <c r="K213" s="7"/>
      <c r="L213" s="7"/>
    </row>
    <row r="214" spans="6:12" x14ac:dyDescent="0.25">
      <c r="F214" s="7"/>
      <c r="G214" s="7"/>
      <c r="H214" s="7"/>
      <c r="I214" s="7"/>
      <c r="J214" s="7"/>
      <c r="K214" s="7"/>
      <c r="L214" s="7"/>
    </row>
    <row r="215" spans="6:12" x14ac:dyDescent="0.25">
      <c r="F215" s="7"/>
      <c r="G215" s="7"/>
      <c r="H215" s="7"/>
      <c r="I215" s="7"/>
      <c r="J215" s="7"/>
      <c r="K215" s="7"/>
      <c r="L215" s="7"/>
    </row>
    <row r="216" spans="6:12" x14ac:dyDescent="0.25">
      <c r="F216" s="7"/>
      <c r="G216" s="7"/>
      <c r="H216" s="7"/>
      <c r="I216" s="7"/>
      <c r="J216" s="7"/>
      <c r="K216" s="7"/>
      <c r="L216" s="7"/>
    </row>
    <row r="217" spans="6:12" x14ac:dyDescent="0.25">
      <c r="F217" s="7"/>
      <c r="G217" s="7"/>
      <c r="H217" s="7"/>
      <c r="I217" s="7"/>
      <c r="J217" s="7"/>
      <c r="K217" s="7"/>
      <c r="L217" s="7"/>
    </row>
    <row r="218" spans="6:12" x14ac:dyDescent="0.25">
      <c r="F218" s="7"/>
      <c r="G218" s="7"/>
      <c r="H218" s="7"/>
      <c r="I218" s="7"/>
      <c r="J218" s="7"/>
      <c r="K218" s="7"/>
      <c r="L218" s="7"/>
    </row>
    <row r="219" spans="6:12" x14ac:dyDescent="0.25">
      <c r="F219" s="7"/>
      <c r="G219" s="7"/>
      <c r="H219" s="7"/>
      <c r="I219" s="7"/>
      <c r="J219" s="7"/>
      <c r="K219" s="7"/>
      <c r="L219" s="7"/>
    </row>
    <row r="220" spans="6:12" x14ac:dyDescent="0.25">
      <c r="F220" s="7"/>
      <c r="G220" s="7"/>
      <c r="H220" s="7"/>
      <c r="I220" s="7"/>
      <c r="J220" s="7"/>
      <c r="K220" s="7"/>
      <c r="L220" s="7"/>
    </row>
    <row r="221" spans="6:12" x14ac:dyDescent="0.25">
      <c r="F221" s="7"/>
      <c r="G221" s="7"/>
      <c r="H221" s="7"/>
      <c r="I221" s="7"/>
      <c r="J221" s="7"/>
      <c r="K221" s="7"/>
      <c r="L221" s="7"/>
    </row>
    <row r="222" spans="6:12" x14ac:dyDescent="0.25">
      <c r="F222" s="7"/>
      <c r="G222" s="7"/>
      <c r="H222" s="7"/>
      <c r="I222" s="7"/>
      <c r="J222" s="7"/>
      <c r="K222" s="7"/>
      <c r="L222" s="7"/>
    </row>
    <row r="223" spans="6:12" x14ac:dyDescent="0.25">
      <c r="F223" s="7"/>
      <c r="G223" s="7"/>
      <c r="H223" s="7"/>
      <c r="I223" s="7"/>
      <c r="J223" s="7"/>
      <c r="K223" s="7"/>
      <c r="L223" s="7"/>
    </row>
    <row r="224" spans="6:12" x14ac:dyDescent="0.25">
      <c r="F224" s="7"/>
      <c r="G224" s="7"/>
      <c r="H224" s="7"/>
      <c r="I224" s="7"/>
      <c r="J224" s="7"/>
      <c r="K224" s="7"/>
      <c r="L224" s="7"/>
    </row>
    <row r="225" spans="6:12" x14ac:dyDescent="0.25">
      <c r="F225" s="7"/>
      <c r="G225" s="7"/>
      <c r="H225" s="7"/>
      <c r="I225" s="7"/>
      <c r="J225" s="7"/>
      <c r="K225" s="7"/>
      <c r="L225" s="7"/>
    </row>
    <row r="226" spans="6:12" x14ac:dyDescent="0.25">
      <c r="F226" s="7"/>
      <c r="G226" s="7"/>
      <c r="H226" s="7"/>
      <c r="I226" s="7"/>
      <c r="J226" s="7"/>
      <c r="K226" s="7"/>
      <c r="L226" s="7"/>
    </row>
    <row r="227" spans="6:12" x14ac:dyDescent="0.25">
      <c r="F227" s="7"/>
      <c r="G227" s="7"/>
      <c r="H227" s="7"/>
      <c r="I227" s="7"/>
      <c r="J227" s="7"/>
      <c r="K227" s="7"/>
      <c r="L227" s="7"/>
    </row>
    <row r="228" spans="6:12" x14ac:dyDescent="0.25">
      <c r="F228" s="7"/>
      <c r="G228" s="7"/>
      <c r="H228" s="7"/>
      <c r="I228" s="7"/>
      <c r="J228" s="7"/>
      <c r="K228" s="7"/>
      <c r="L228" s="7"/>
    </row>
    <row r="229" spans="6:12" x14ac:dyDescent="0.25">
      <c r="F229" s="7"/>
      <c r="G229" s="7"/>
      <c r="H229" s="7"/>
      <c r="I229" s="7"/>
      <c r="J229" s="7"/>
      <c r="K229" s="7"/>
      <c r="L229" s="7"/>
    </row>
    <row r="230" spans="6:12" x14ac:dyDescent="0.25">
      <c r="F230" s="7"/>
      <c r="G230" s="7"/>
      <c r="H230" s="7"/>
      <c r="I230" s="7"/>
      <c r="J230" s="7"/>
      <c r="K230" s="7"/>
      <c r="L230" s="7"/>
    </row>
    <row r="231" spans="6:12" x14ac:dyDescent="0.25">
      <c r="F231" s="7"/>
      <c r="G231" s="7"/>
      <c r="H231" s="7"/>
      <c r="I231" s="7"/>
      <c r="J231" s="7"/>
      <c r="K231" s="7"/>
      <c r="L231" s="7"/>
    </row>
    <row r="232" spans="6:12" x14ac:dyDescent="0.25">
      <c r="F232" s="7"/>
      <c r="G232" s="7"/>
      <c r="H232" s="7"/>
      <c r="I232" s="7"/>
      <c r="J232" s="7"/>
      <c r="K232" s="7"/>
      <c r="L232" s="7"/>
    </row>
    <row r="233" spans="6:12" x14ac:dyDescent="0.25">
      <c r="F233" s="7"/>
      <c r="G233" s="7"/>
      <c r="H233" s="7"/>
      <c r="I233" s="7"/>
      <c r="J233" s="7"/>
      <c r="K233" s="7"/>
      <c r="L233" s="7"/>
    </row>
    <row r="234" spans="6:12" x14ac:dyDescent="0.25">
      <c r="F234" s="7"/>
      <c r="G234" s="7"/>
      <c r="H234" s="7"/>
      <c r="I234" s="7"/>
      <c r="J234" s="7"/>
      <c r="K234" s="7"/>
      <c r="L234" s="7"/>
    </row>
    <row r="235" spans="6:12" x14ac:dyDescent="0.25">
      <c r="F235" s="7"/>
      <c r="G235" s="7"/>
      <c r="H235" s="7"/>
      <c r="I235" s="7"/>
      <c r="J235" s="7"/>
      <c r="K235" s="7"/>
      <c r="L235" s="7"/>
    </row>
    <row r="236" spans="6:12" x14ac:dyDescent="0.25">
      <c r="F236" s="7"/>
      <c r="G236" s="7"/>
      <c r="H236" s="7"/>
      <c r="I236" s="7"/>
      <c r="J236" s="7"/>
      <c r="K236" s="7"/>
      <c r="L236" s="7"/>
    </row>
    <row r="237" spans="6:12" x14ac:dyDescent="0.25">
      <c r="F237" s="7"/>
      <c r="G237" s="7"/>
      <c r="H237" s="7"/>
      <c r="I237" s="7"/>
      <c r="J237" s="7"/>
      <c r="K237" s="7"/>
      <c r="L237" s="7"/>
    </row>
    <row r="238" spans="6:12" x14ac:dyDescent="0.25">
      <c r="F238" s="7"/>
      <c r="G238" s="7"/>
      <c r="H238" s="7"/>
      <c r="I238" s="7"/>
      <c r="J238" s="7"/>
      <c r="K238" s="7"/>
      <c r="L238" s="7"/>
    </row>
    <row r="239" spans="6:12" x14ac:dyDescent="0.25">
      <c r="F239" s="7"/>
      <c r="G239" s="7"/>
      <c r="H239" s="7"/>
      <c r="I239" s="7"/>
      <c r="J239" s="7"/>
      <c r="K239" s="7"/>
      <c r="L239" s="7"/>
    </row>
    <row r="240" spans="6:12" x14ac:dyDescent="0.25">
      <c r="F240" s="7"/>
      <c r="G240" s="7"/>
      <c r="H240" s="7"/>
      <c r="I240" s="7"/>
      <c r="J240" s="7"/>
      <c r="K240" s="7"/>
      <c r="L240" s="7"/>
    </row>
    <row r="241" spans="6:12" x14ac:dyDescent="0.25">
      <c r="F241" s="7"/>
      <c r="G241" s="7"/>
      <c r="H241" s="7"/>
      <c r="I241" s="7"/>
      <c r="J241" s="7"/>
      <c r="K241" s="7"/>
      <c r="L241" s="7"/>
    </row>
    <row r="242" spans="6:12" x14ac:dyDescent="0.25">
      <c r="F242" s="7"/>
      <c r="G242" s="7"/>
      <c r="H242" s="7"/>
      <c r="I242" s="7"/>
      <c r="J242" s="7"/>
      <c r="K242" s="7"/>
      <c r="L242" s="7"/>
    </row>
    <row r="243" spans="6:12" x14ac:dyDescent="0.25">
      <c r="F243" s="7"/>
      <c r="G243" s="7"/>
      <c r="H243" s="7"/>
      <c r="I243" s="7"/>
      <c r="J243" s="7"/>
      <c r="K243" s="7"/>
      <c r="L243" s="7"/>
    </row>
    <row r="244" spans="6:12" x14ac:dyDescent="0.25">
      <c r="F244" s="7"/>
      <c r="G244" s="7"/>
      <c r="H244" s="7"/>
      <c r="I244" s="7"/>
      <c r="J244" s="7"/>
      <c r="K244" s="7"/>
      <c r="L244" s="7"/>
    </row>
    <row r="245" spans="6:12" x14ac:dyDescent="0.25">
      <c r="F245" s="7"/>
      <c r="G245" s="7"/>
      <c r="H245" s="7"/>
      <c r="I245" s="7"/>
      <c r="J245" s="7"/>
      <c r="K245" s="7"/>
      <c r="L245" s="7"/>
    </row>
    <row r="246" spans="6:12" x14ac:dyDescent="0.25">
      <c r="F246" s="7"/>
      <c r="G246" s="7"/>
      <c r="H246" s="7"/>
      <c r="I246" s="7"/>
      <c r="J246" s="7"/>
      <c r="K246" s="7"/>
      <c r="L246" s="7"/>
    </row>
    <row r="247" spans="6:12" x14ac:dyDescent="0.25">
      <c r="F247" s="7"/>
      <c r="G247" s="7"/>
      <c r="H247" s="7"/>
      <c r="I247" s="7"/>
      <c r="J247" s="7"/>
      <c r="K247" s="7"/>
      <c r="L247" s="7"/>
    </row>
    <row r="248" spans="6:12" x14ac:dyDescent="0.25">
      <c r="F248" s="7"/>
      <c r="G248" s="7"/>
      <c r="H248" s="7"/>
      <c r="I248" s="7"/>
      <c r="J248" s="7"/>
      <c r="K248" s="7"/>
      <c r="L248" s="7"/>
    </row>
    <row r="249" spans="6:12" x14ac:dyDescent="0.25">
      <c r="F249" s="7"/>
      <c r="G249" s="7"/>
      <c r="H249" s="7"/>
      <c r="I249" s="7"/>
      <c r="J249" s="7"/>
      <c r="K249" s="7"/>
      <c r="L249" s="7"/>
    </row>
    <row r="250" spans="6:12" x14ac:dyDescent="0.25">
      <c r="F250" s="7"/>
      <c r="G250" s="7"/>
      <c r="H250" s="7"/>
      <c r="I250" s="7"/>
      <c r="J250" s="7"/>
      <c r="K250" s="7"/>
      <c r="L250" s="7"/>
    </row>
    <row r="251" spans="6:12" x14ac:dyDescent="0.25">
      <c r="F251" s="7"/>
      <c r="G251" s="7"/>
      <c r="H251" s="7"/>
      <c r="I251" s="7"/>
      <c r="J251" s="7"/>
      <c r="K251" s="7"/>
      <c r="L251" s="7"/>
    </row>
    <row r="252" spans="6:12" x14ac:dyDescent="0.25">
      <c r="F252" s="7"/>
      <c r="G252" s="7"/>
      <c r="H252" s="7"/>
      <c r="I252" s="7"/>
      <c r="J252" s="7"/>
      <c r="K252" s="7"/>
      <c r="L252" s="7"/>
    </row>
    <row r="253" spans="6:12" x14ac:dyDescent="0.25">
      <c r="F253" s="7"/>
      <c r="G253" s="7"/>
      <c r="H253" s="7"/>
      <c r="I253" s="7"/>
      <c r="J253" s="7"/>
      <c r="K253" s="7"/>
      <c r="L253" s="7"/>
    </row>
    <row r="254" spans="6:12" x14ac:dyDescent="0.25">
      <c r="F254" s="7"/>
      <c r="G254" s="7"/>
      <c r="H254" s="7"/>
      <c r="I254" s="7"/>
      <c r="J254" s="7"/>
      <c r="K254" s="7"/>
      <c r="L254" s="7"/>
    </row>
    <row r="255" spans="6:12" x14ac:dyDescent="0.25">
      <c r="F255" s="7"/>
      <c r="G255" s="7"/>
      <c r="H255" s="7"/>
      <c r="I255" s="7"/>
      <c r="J255" s="7"/>
      <c r="K255" s="7"/>
      <c r="L255" s="7"/>
    </row>
    <row r="256" spans="6:12" x14ac:dyDescent="0.25">
      <c r="F256" s="7"/>
      <c r="G256" s="7"/>
      <c r="H256" s="7"/>
      <c r="I256" s="7"/>
      <c r="J256" s="7"/>
      <c r="K256" s="7"/>
      <c r="L256" s="7"/>
    </row>
    <row r="257" spans="6:12" x14ac:dyDescent="0.25">
      <c r="F257" s="7"/>
      <c r="G257" s="7"/>
      <c r="H257" s="7"/>
      <c r="I257" s="7"/>
      <c r="J257" s="7"/>
      <c r="K257" s="7"/>
      <c r="L257" s="7"/>
    </row>
    <row r="258" spans="6:12" x14ac:dyDescent="0.25">
      <c r="F258" s="7"/>
      <c r="G258" s="7"/>
      <c r="H258" s="7"/>
      <c r="I258" s="7"/>
      <c r="J258" s="7"/>
      <c r="K258" s="7"/>
      <c r="L258" s="7"/>
    </row>
    <row r="259" spans="6:12" x14ac:dyDescent="0.25">
      <c r="F259" s="7"/>
      <c r="G259" s="7"/>
      <c r="H259" s="7"/>
      <c r="I259" s="7"/>
      <c r="J259" s="7"/>
      <c r="K259" s="7"/>
      <c r="L259" s="7"/>
    </row>
    <row r="260" spans="6:12" x14ac:dyDescent="0.25">
      <c r="F260" s="7"/>
      <c r="G260" s="7"/>
      <c r="H260" s="7"/>
      <c r="I260" s="7"/>
      <c r="J260" s="7"/>
      <c r="K260" s="7"/>
      <c r="L260" s="7"/>
    </row>
    <row r="261" spans="6:12" x14ac:dyDescent="0.25">
      <c r="F261" s="7"/>
      <c r="G261" s="7"/>
      <c r="H261" s="7"/>
      <c r="I261" s="7"/>
      <c r="J261" s="7"/>
      <c r="K261" s="7"/>
      <c r="L261" s="7"/>
    </row>
    <row r="262" spans="6:12" x14ac:dyDescent="0.25">
      <c r="F262" s="7"/>
      <c r="G262" s="7"/>
      <c r="H262" s="7"/>
      <c r="I262" s="7"/>
      <c r="J262" s="7"/>
      <c r="K262" s="7"/>
      <c r="L262" s="7"/>
    </row>
    <row r="263" spans="6:12" x14ac:dyDescent="0.25">
      <c r="F263" s="7"/>
      <c r="G263" s="7"/>
      <c r="H263" s="7"/>
      <c r="I263" s="7"/>
      <c r="J263" s="7"/>
      <c r="K263" s="7"/>
      <c r="L263" s="7"/>
    </row>
    <row r="264" spans="6:12" x14ac:dyDescent="0.25">
      <c r="F264" s="7"/>
      <c r="G264" s="7"/>
      <c r="H264" s="7"/>
      <c r="I264" s="7"/>
      <c r="J264" s="7"/>
      <c r="K264" s="7"/>
      <c r="L264" s="7"/>
    </row>
    <row r="265" spans="6:12" x14ac:dyDescent="0.25">
      <c r="F265" s="7"/>
      <c r="G265" s="7"/>
      <c r="H265" s="7"/>
      <c r="I265" s="7"/>
      <c r="J265" s="7"/>
      <c r="K265" s="7"/>
      <c r="L265" s="7"/>
    </row>
    <row r="266" spans="6:12" x14ac:dyDescent="0.25">
      <c r="F266" s="7"/>
      <c r="G266" s="7"/>
      <c r="H266" s="7"/>
      <c r="I266" s="7"/>
      <c r="J266" s="7"/>
      <c r="K266" s="7"/>
      <c r="L266" s="7"/>
    </row>
    <row r="267" spans="6:12" x14ac:dyDescent="0.25">
      <c r="F267" s="7"/>
      <c r="G267" s="7"/>
      <c r="H267" s="7"/>
      <c r="I267" s="7"/>
      <c r="J267" s="7"/>
      <c r="K267" s="7"/>
      <c r="L267" s="7"/>
    </row>
    <row r="268" spans="6:12" x14ac:dyDescent="0.25">
      <c r="F268" s="7"/>
      <c r="G268" s="7"/>
      <c r="H268" s="7"/>
      <c r="I268" s="7"/>
      <c r="J268" s="7"/>
      <c r="K268" s="7"/>
      <c r="L268" s="7"/>
    </row>
    <row r="269" spans="6:12" x14ac:dyDescent="0.25">
      <c r="F269" s="7"/>
      <c r="G269" s="7"/>
      <c r="H269" s="7"/>
      <c r="I269" s="7"/>
      <c r="J269" s="7"/>
      <c r="K269" s="7"/>
      <c r="L269" s="7"/>
    </row>
    <row r="270" spans="6:12" x14ac:dyDescent="0.25">
      <c r="F270" s="7"/>
      <c r="G270" s="7"/>
      <c r="H270" s="7"/>
      <c r="I270" s="7"/>
      <c r="J270" s="7"/>
      <c r="K270" s="7"/>
      <c r="L270" s="7"/>
    </row>
    <row r="271" spans="6:12" x14ac:dyDescent="0.25">
      <c r="F271" s="7"/>
      <c r="G271" s="7"/>
      <c r="H271" s="7"/>
      <c r="I271" s="7"/>
      <c r="J271" s="7"/>
      <c r="K271" s="7"/>
      <c r="L271" s="7"/>
    </row>
    <row r="272" spans="6:12" x14ac:dyDescent="0.25">
      <c r="F272" s="7"/>
      <c r="G272" s="7"/>
      <c r="H272" s="7"/>
      <c r="I272" s="7"/>
      <c r="J272" s="7"/>
      <c r="K272" s="7"/>
      <c r="L272" s="7"/>
    </row>
    <row r="273" spans="6:12" x14ac:dyDescent="0.25">
      <c r="F273" s="7"/>
      <c r="G273" s="7"/>
      <c r="H273" s="7"/>
      <c r="I273" s="7"/>
      <c r="J273" s="7"/>
      <c r="K273" s="7"/>
      <c r="L273" s="7"/>
    </row>
    <row r="274" spans="6:12" x14ac:dyDescent="0.25">
      <c r="F274" s="7"/>
      <c r="G274" s="7"/>
      <c r="H274" s="7"/>
      <c r="I274" s="7"/>
      <c r="J274" s="7"/>
      <c r="K274" s="7"/>
      <c r="L274" s="7"/>
    </row>
    <row r="275" spans="6:12" x14ac:dyDescent="0.25">
      <c r="F275" s="7"/>
      <c r="G275" s="7"/>
      <c r="H275" s="7"/>
      <c r="I275" s="7"/>
      <c r="J275" s="7"/>
      <c r="K275" s="7"/>
      <c r="L275" s="7"/>
    </row>
    <row r="276" spans="6:12" x14ac:dyDescent="0.25">
      <c r="F276" s="7"/>
      <c r="G276" s="7"/>
      <c r="H276" s="7"/>
      <c r="I276" s="7"/>
      <c r="J276" s="7"/>
      <c r="K276" s="7"/>
      <c r="L276" s="7"/>
    </row>
    <row r="277" spans="6:12" x14ac:dyDescent="0.25">
      <c r="F277" s="7"/>
      <c r="G277" s="7"/>
      <c r="H277" s="7"/>
      <c r="I277" s="7"/>
      <c r="J277" s="7"/>
      <c r="K277" s="7"/>
      <c r="L277" s="7"/>
    </row>
  </sheetData>
  <pageMargins left="0.25" right="0.25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F6841-5A63-4873-8437-6C934DFC755A}">
  <dimension ref="A1:S105"/>
  <sheetViews>
    <sheetView workbookViewId="0">
      <selection activeCell="D23" sqref="D23"/>
    </sheetView>
  </sheetViews>
  <sheetFormatPr baseColWidth="10" defaultColWidth="11.42578125" defaultRowHeight="15" x14ac:dyDescent="0.25"/>
  <cols>
    <col min="1" max="1" width="1.42578125" customWidth="1"/>
    <col min="2" max="2" width="20.42578125" customWidth="1"/>
    <col min="3" max="3" width="17.28515625" customWidth="1"/>
    <col min="4" max="5" width="16.7109375" bestFit="1" customWidth="1"/>
    <col min="6" max="6" width="15.5703125" bestFit="1" customWidth="1"/>
    <col min="7" max="7" width="17.28515625" bestFit="1" customWidth="1"/>
    <col min="8" max="8" width="15.5703125" bestFit="1" customWidth="1"/>
    <col min="9" max="9" width="17.5703125" customWidth="1"/>
    <col min="10" max="10" width="16.7109375" bestFit="1" customWidth="1"/>
    <col min="11" max="13" width="15.5703125" bestFit="1" customWidth="1"/>
    <col min="14" max="14" width="13.7109375" customWidth="1"/>
    <col min="15" max="15" width="16.7109375" bestFit="1" customWidth="1"/>
    <col min="16" max="16" width="17.85546875" customWidth="1"/>
    <col min="17" max="17" width="8.28515625" customWidth="1"/>
    <col min="18" max="18" width="18.28515625" bestFit="1" customWidth="1"/>
    <col min="19" max="19" width="12" bestFit="1" customWidth="1"/>
  </cols>
  <sheetData>
    <row r="1" spans="1:19" ht="18.75" x14ac:dyDescent="0.3">
      <c r="A1" s="7"/>
      <c r="B1" s="20" t="s">
        <v>126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x14ac:dyDescent="0.2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x14ac:dyDescent="0.2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spans="1:19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spans="1:19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</row>
    <row r="6" spans="1:19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</row>
    <row r="7" spans="1:19" x14ac:dyDescent="0.2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</row>
    <row r="8" spans="1:19" x14ac:dyDescent="0.2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</row>
    <row r="9" spans="1:19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</row>
    <row r="10" spans="1:19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</row>
    <row r="11" spans="1:19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</row>
    <row r="12" spans="1:19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  <row r="13" spans="1:19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</row>
    <row r="14" spans="1:19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</row>
    <row r="15" spans="1:19" x14ac:dyDescent="0.25">
      <c r="A15" s="7"/>
      <c r="B15" s="94" t="s">
        <v>127</v>
      </c>
      <c r="C15" s="94" t="s">
        <v>60</v>
      </c>
      <c r="D15" s="94" t="s">
        <v>62</v>
      </c>
      <c r="E15" s="94" t="s">
        <v>63</v>
      </c>
      <c r="F15" s="94" t="s">
        <v>64</v>
      </c>
      <c r="G15" s="94" t="s">
        <v>65</v>
      </c>
      <c r="H15" s="94" t="s">
        <v>66</v>
      </c>
      <c r="I15" s="94" t="s">
        <v>67</v>
      </c>
      <c r="J15" s="94" t="s">
        <v>68</v>
      </c>
      <c r="K15" s="94" t="s">
        <v>69</v>
      </c>
      <c r="L15" s="94" t="s">
        <v>70</v>
      </c>
      <c r="M15" s="94" t="s">
        <v>112</v>
      </c>
      <c r="N15" s="94" t="s">
        <v>128</v>
      </c>
      <c r="O15" s="94" t="s">
        <v>10</v>
      </c>
      <c r="P15" s="94" t="s">
        <v>129</v>
      </c>
      <c r="Q15" s="94" t="s">
        <v>130</v>
      </c>
      <c r="R15" s="94" t="s">
        <v>131</v>
      </c>
      <c r="S15" s="94" t="s">
        <v>132</v>
      </c>
    </row>
    <row r="16" spans="1:19" x14ac:dyDescent="0.25">
      <c r="A16" s="7"/>
      <c r="B16" s="96" t="s">
        <v>34</v>
      </c>
      <c r="C16" s="97">
        <f>SUM(C17,C18,C28)</f>
        <v>3129704.7</v>
      </c>
      <c r="D16" s="97">
        <f t="shared" ref="D16:N16" si="0">SUM(D17,D18,D28)</f>
        <v>0</v>
      </c>
      <c r="E16" s="97">
        <f t="shared" si="0"/>
        <v>0</v>
      </c>
      <c r="F16" s="97">
        <f t="shared" si="0"/>
        <v>0</v>
      </c>
      <c r="G16" s="97" t="e">
        <f t="shared" si="0"/>
        <v>#REF!</v>
      </c>
      <c r="H16" s="97" t="e">
        <f t="shared" si="0"/>
        <v>#REF!</v>
      </c>
      <c r="I16" s="97">
        <f t="shared" si="0"/>
        <v>0</v>
      </c>
      <c r="J16" s="97">
        <f t="shared" si="0"/>
        <v>0</v>
      </c>
      <c r="K16" s="97" t="e">
        <f t="shared" si="0"/>
        <v>#REF!</v>
      </c>
      <c r="L16" s="97" t="e">
        <f t="shared" si="0"/>
        <v>#REF!</v>
      </c>
      <c r="M16" s="97">
        <f t="shared" si="0"/>
        <v>0</v>
      </c>
      <c r="N16" s="97">
        <f t="shared" si="0"/>
        <v>0</v>
      </c>
      <c r="O16" s="97">
        <f>SUM(O17:O35)</f>
        <v>3129704.7</v>
      </c>
      <c r="P16" s="97">
        <f>SUM(P17:P35)</f>
        <v>342981054.47935998</v>
      </c>
      <c r="Q16" s="98">
        <f>Tabla4[[#This Row],[TOTAL]]/Tabla4[[#This Row],[ESTIMADO]]</f>
        <v>9.1250075160881523E-3</v>
      </c>
      <c r="R16" s="99">
        <f>SUM(R17:R35)</f>
        <v>296890.57947369927</v>
      </c>
      <c r="S16" s="100"/>
    </row>
    <row r="17" spans="1:19" x14ac:dyDescent="0.25">
      <c r="A17" s="7"/>
      <c r="B17" s="48" t="s">
        <v>35</v>
      </c>
      <c r="C17" s="16">
        <f>SUMIFS(Tabla3[[#All],[EGRESOS]],Tabla3[[#All],[PERIODO]],Tabla4[[#Headers],[ENERO]],Tabla3[[#All],[ACTIVIDAD]],ACTIVIDADES!$B$16,Tabla3[[#All],[CONCEPTO]],Tabla4[[#This Row],[ACTIVIDADES]])</f>
        <v>0</v>
      </c>
      <c r="D17" s="16">
        <f>SUMIFS(Tabla3[[#All],[EGRESOS]],Tabla3[[#All],[PERIODO]],Tabla4[[#Headers],[FEBRERO]],Tabla3[[#All],[ACTIVIDAD]],ACTIVIDADES!$B$16,Tabla3[[#All],[CONCEPTO]],Tabla4[[#This Row],[ACTIVIDADES]])</f>
        <v>0</v>
      </c>
      <c r="E17" s="16">
        <f>SUMIFS(Tabla3[[#All],[EGRESOS]],Tabla3[[#All],[PERIODO]],Tabla4[[#Headers],[MARZO]],Tabla3[[#All],[ACTIVIDAD]],ACTIVIDADES!$B$16,Tabla3[[#All],[CONCEPTO]],Tabla4[[#This Row],[ACTIVIDADES]])</f>
        <v>0</v>
      </c>
      <c r="F17" s="16">
        <f>SUMIFS(Tabla3[[#All],[EGRESOS]],Tabla3[[#All],[PERIODO]],Tabla4[[#Headers],[ABRIL]],Tabla3[[#All],[ACTIVIDAD]],ACTIVIDADES!$B$16,Tabla3[[#All],[CONCEPTO]],Tabla4[[#This Row],[ACTIVIDADES]])</f>
        <v>0</v>
      </c>
      <c r="G17" s="16">
        <f>SUMIFS(Tabla3[[#All],[EGRESOS]],Tabla3[[#All],[PERIODO]],Tabla4[[#Headers],[MAYO]],Tabla3[[#All],[ACTIVIDAD]],ACTIVIDADES!$B$16,Tabla3[[#All],[CONCEPTO]],Tabla4[[#This Row],[ACTIVIDADES]])</f>
        <v>0</v>
      </c>
      <c r="H17" s="16">
        <f>SUMIFS(Tabla3[[#All],[EGRESOS]],Tabla3[[#All],[PERIODO]],Tabla4[[#Headers],[JUNIO]],Tabla3[[#All],[ACTIVIDAD]],ACTIVIDADES!$B$16,Tabla3[[#All],[CONCEPTO]],Tabla4[[#This Row],[ACTIVIDADES]])</f>
        <v>0</v>
      </c>
      <c r="I17" s="16">
        <f>SUMIFS(Tabla3[[#All],[EGRESOS]],Tabla3[[#All],[PERIODO]],Tabla4[[#Headers],[JULIO]],Tabla3[[#All],[ACTIVIDAD]],ACTIVIDADES!$B$16,Tabla3[[#All],[CONCEPTO]],Tabla4[[#This Row],[ACTIVIDADES]])</f>
        <v>0</v>
      </c>
      <c r="J17" s="16">
        <f>SUMIFS(Tabla3[[#All],[EGRESOS]],Tabla3[[#All],[PERIODO]],Tabla4[[#Headers],[AGOSTO]],Tabla3[[#All],[ACTIVIDAD]],ACTIVIDADES!$B$16,Tabla3[[#All],[CONCEPTO]],Tabla4[[#This Row],[ACTIVIDADES]])</f>
        <v>0</v>
      </c>
      <c r="K17" s="16">
        <f>SUMIFS(Tabla3[[#All],[EGRESOS]],Tabla3[[#All],[PERIODO]],Tabla4[[#Headers],[SEPTIEMBRE]],Tabla3[[#All],[ACTIVIDAD]],ACTIVIDADES!$B$16,Tabla3[[#All],[CONCEPTO]],Tabla4[[#This Row],[ACTIVIDADES]])</f>
        <v>0</v>
      </c>
      <c r="L17" s="16">
        <f>SUMIFS(Tabla3[[#All],[EGRESOS]],Tabla3[[#All],[PERIODO]],Tabla4[[#Headers],[OCTUBRE]],Tabla3[[#All],[ACTIVIDAD]],ACTIVIDADES!$B$16,Tabla3[[#All],[CONCEPTO]],Tabla4[[#This Row],[ACTIVIDADES]])</f>
        <v>0</v>
      </c>
      <c r="M17" s="16"/>
      <c r="N17" s="16"/>
      <c r="O17" s="43">
        <f>SUM(Tabla4[[#This Row],[ENERO]:[DICIEMBRE]])</f>
        <v>0</v>
      </c>
      <c r="P17" s="57">
        <v>7826025</v>
      </c>
      <c r="Q17" s="46">
        <f>Tabla4[[#This Row],[TOTAL]]/Tabla4[[#This Row],[ESTIMADO]]</f>
        <v>0</v>
      </c>
      <c r="R17" s="14">
        <f>Tabla4[[#This Row],[ESTIMADO]]/1140</f>
        <v>6864.9342105263158</v>
      </c>
      <c r="S17" s="14">
        <f>Tabla4[[#This Row],[USD]]/(350)</f>
        <v>19.614097744360901</v>
      </c>
    </row>
    <row r="18" spans="1:19" x14ac:dyDescent="0.25">
      <c r="A18" s="7"/>
      <c r="B18" s="82" t="s">
        <v>38</v>
      </c>
      <c r="C18" s="95">
        <f t="shared" ref="C18:L18" si="1">SUBTOTAL(109,C19:C27)</f>
        <v>3129704.7</v>
      </c>
      <c r="D18" s="95">
        <f t="shared" si="1"/>
        <v>0</v>
      </c>
      <c r="E18" s="95">
        <f t="shared" si="1"/>
        <v>0</v>
      </c>
      <c r="F18" s="95">
        <f t="shared" si="1"/>
        <v>0</v>
      </c>
      <c r="G18" s="95" t="e">
        <f t="shared" si="1"/>
        <v>#REF!</v>
      </c>
      <c r="H18" s="95" t="e">
        <f t="shared" si="1"/>
        <v>#REF!</v>
      </c>
      <c r="I18" s="95">
        <f t="shared" si="1"/>
        <v>0</v>
      </c>
      <c r="J18" s="95">
        <f t="shared" si="1"/>
        <v>0</v>
      </c>
      <c r="K18" s="95" t="e">
        <f t="shared" si="1"/>
        <v>#REF!</v>
      </c>
      <c r="L18" s="95" t="e">
        <f t="shared" si="1"/>
        <v>#REF!</v>
      </c>
      <c r="M18" s="95">
        <f>SUBTOTAL(109,M19:M27)</f>
        <v>0</v>
      </c>
      <c r="N18" s="95">
        <f>SUBTOTAL(109,N19:N26)</f>
        <v>0</v>
      </c>
      <c r="O18" s="95"/>
      <c r="P18" s="95"/>
      <c r="Q18" s="101"/>
      <c r="R18" s="102"/>
      <c r="S18" s="102"/>
    </row>
    <row r="19" spans="1:19" x14ac:dyDescent="0.25">
      <c r="A19" s="7"/>
      <c r="B19" s="48" t="s">
        <v>111</v>
      </c>
      <c r="C19" s="16">
        <f>SUMIFS(Tabla3[[#All],[EGRESOS]],Tabla3[[#All],[PERIODO]],Tabla4[[#Headers],[ENERO]],Tabla3[[#All],[ACTIVIDAD]],ACTIVIDADES!$B$16,Tabla3[[#All],[CONCEPTO]],ACTIVIDADES!$B$18,Tabla3[[#All],[DETALLES]],Tabla4[[#This Row],[ACTIVIDADES]])</f>
        <v>0</v>
      </c>
      <c r="D19" s="16">
        <f>SUMIFS(Tabla3[EGRESOS],Tabla3[ACTIVIDAD],ACTIVIDADES!$B$18,Tabla3[PERIODO],Tabla4[[#Headers],[FEBRERO]],Tabla3[CONCEPTO],ACTIVIDADES!B16,Tabla3[DETALLES],Tabla4[[#This Row],[ACTIVIDADES]])</f>
        <v>0</v>
      </c>
      <c r="E19" s="16">
        <f>SUMIFS(Tabla3[[#All],[EGRESOS]],Tabla3[[#All],[PERIODO]],Tabla4[[#Headers],[MARZO]],Tabla3[[#All],[ACTIVIDAD]],ACTIVIDADES!B16,Tabla3[[#All],[CONCEPTO]],ACTIVIDADES!B18,Tabla3[[#All],[DETALLES]],Tabla4[[#This Row],[ACTIVIDADES]])</f>
        <v>0</v>
      </c>
      <c r="F19" s="16">
        <f>SUMIFS(Tabla3[[#All],[EGRESOS]],Tabla3[[#All],[PERIODO]],Tabla4[[#Headers],[ABRIL]],Tabla3[[#All],[ACTIVIDAD]],ACTIVIDADES!B16,Tabla3[[#All],[CONCEPTO]],ACTIVIDADES!B18,Tabla3[[#All],[DETALLES]],Tabla4[[#This Row],[ACTIVIDADES]])</f>
        <v>0</v>
      </c>
      <c r="G19" s="16">
        <f>SUMIFS(Tabla3[[#All],[EGRESOS]],Tabla3[[#All],[PERIODO]],Tabla4[[#Headers],[MAYO]],Tabla3[[#All],[ACTIVIDAD]],ACTIVIDADES!B16,Tabla3[[#All],[CONCEPTO]],ACTIVIDADES!B18,Tabla3[[#All],[DETALLES]],Tabla4[[#This Row],[ACTIVIDADES]])</f>
        <v>0</v>
      </c>
      <c r="H19" s="16">
        <f>SUMIFS(Tabla3[[#All],[EGRESOS]],Tabla3[[#All],[PERIODO]],Tabla4[[#Headers],[JUNIO]],Tabla3[[#All],[ACTIVIDAD]],ACTIVIDADES!B16,Tabla3[[#All],[CONCEPTO]],ACTIVIDADES!B18,Tabla3[[#All],[DETALLES]],Tabla4[[#This Row],[ACTIVIDADES]])</f>
        <v>0</v>
      </c>
      <c r="I19" s="16">
        <f>SUMIFS(Tabla3[[#All],[EGRESOS]],Tabla3[[#All],[PERIODO]],Tabla4[[#Headers],[JULIO]],Tabla3[[#All],[ACTIVIDAD]],ACTIVIDADES!B16,Tabla3[[#All],[CONCEPTO]],ACTIVIDADES!B18,Tabla3[[#All],[DETALLES]],Tabla4[[#This Row],[ACTIVIDADES]])</f>
        <v>0</v>
      </c>
      <c r="J19" s="16">
        <f>SUMIFS(Tabla3[[#All],[EGRESOS]],Tabla3[[#All],[PERIODO]],Tabla4[[#Headers],[AGOSTO]],Tabla3[[#All],[ACTIVIDAD]],ACTIVIDADES!B16,Tabla3[[#All],[CONCEPTO]],ACTIVIDADES!B18,Tabla3[[#All],[DETALLES]],Tabla4[[#This Row],[ACTIVIDADES]])</f>
        <v>0</v>
      </c>
      <c r="K19" s="16">
        <f>SUMIFS(Tabla3[[#All],[EGRESOS]],Tabla3[[#All],[PERIODO]],Tabla4[[#Headers],[SEPTIEMBRE]],Tabla3[[#All],[ACTIVIDAD]],ACTIVIDADES!B16,Tabla3[[#All],[CONCEPTO]],ACTIVIDADES!B18,Tabla3[[#All],[DETALLES]],B19)</f>
        <v>0</v>
      </c>
      <c r="L19" s="16">
        <f>SUMIFS(Tabla3[[#All],[EGRESOS]],Tabla3[[#All],[PERIODO]],Tabla4[[#Headers],[OCTUBRE]],Tabla3[[#All],[ACTIVIDAD]],$B$16,Tabla3[[#All],[CONCEPTO]],$B$18,Tabla3[[#All],[DETALLES]],B19)</f>
        <v>0</v>
      </c>
      <c r="M19" s="16">
        <f>SUMIFS(Tabla3[[#All],[EGRESOS]],Tabla3[[#All],[PERIODO]],Tabla4[[#Headers],[NOVIEMBRE]],Tabla3[[#All],[ACTIVIDAD]],$B$16,Tabla3[[#All],[CONCEPTO]],$B$18,Tabla3[[#All],[DETALLES]],B19)</f>
        <v>0</v>
      </c>
      <c r="N19" s="16"/>
      <c r="O19" s="43">
        <f>SUM(Tabla4[[#This Row],[ENERO]:[DICIEMBRE]])</f>
        <v>0</v>
      </c>
      <c r="P19" s="57">
        <f>14974524*1.21</f>
        <v>18119174.039999999</v>
      </c>
      <c r="Q19" s="46">
        <f>Tabla4[[#This Row],[TOTAL]]/Tabla4[[#This Row],[ESTIMADO]]</f>
        <v>0</v>
      </c>
      <c r="R19" s="14">
        <f>Tabla4[[#This Row],[ESTIMADO]]/1140</f>
        <v>15894.012315789472</v>
      </c>
      <c r="S19" s="14">
        <f>Tabla4[[#This Row],[USD]]/(350)</f>
        <v>45.411463759398494</v>
      </c>
    </row>
    <row r="20" spans="1:19" x14ac:dyDescent="0.25">
      <c r="A20" s="7"/>
      <c r="B20" s="48" t="s">
        <v>114</v>
      </c>
      <c r="C20" s="16">
        <f>SUMIFS(Tabla3[[#All],[EGRESOS]],Tabla3[[#All],[PERIODO]],Tabla4[[#Headers],[ENERO]],Tabla3[[#All],[ACTIVIDAD]],ACTIVIDADES!$B$16,Tabla3[[#All],[CONCEPTO]],ACTIVIDADES!$B$18,Tabla3[[#All],[DETALLES]],Tabla4[[#This Row],[ACTIVIDADES]])</f>
        <v>0</v>
      </c>
      <c r="D20" s="16">
        <f>SUMIFS(Tabla3[EGRESOS],Tabla3[ACTIVIDAD],ACTIVIDADES!$B$16,Tabla3[PERIODO],Tabla4[[#Headers],[FEBRERO]],Tabla3[CONCEPTO],ACTIVIDADES!B18,Tabla3[DETALLES],Tabla4[[#This Row],[ACTIVIDADES]])</f>
        <v>0</v>
      </c>
      <c r="E20" s="16">
        <f>SUMIFS(Tabla3[[#All],[EGRESOS]],Tabla3[[#All],[PERIODO]],Tabla4[[#Headers],[MARZO]],Tabla3[[#All],[ACTIVIDAD]],ACTIVIDADES!B17,Tabla3[[#All],[CONCEPTO]],ACTIVIDADES!B18,Tabla3[[#All],[DETALLES]],Tabla4[[#This Row],[ACTIVIDADES]])</f>
        <v>0</v>
      </c>
      <c r="F20" s="16">
        <f>SUMIFS(Tabla3[[#All],[EGRESOS]],Tabla3[[#All],[PERIODO]],Tabla4[[#Headers],[ABRIL]],Tabla3[[#All],[ACTIVIDAD]],ACTIVIDADES!B16,Tabla3[[#All],[CONCEPTO]],ACTIVIDADES!B18,Tabla3[[#All],[DETALLES]],Tabla4[[#This Row],[ACTIVIDADES]])</f>
        <v>0</v>
      </c>
      <c r="G20" s="16">
        <f>SUMIFS(Tabla3[[#All],[EGRESOS]],Tabla3[[#All],[PERIODO]],Tabla4[[#Headers],[MAYO]],Tabla3[[#All],[ACTIVIDAD]],ACTIVIDADES!$B$16,Tabla3[[#All],[CONCEPTO]],ACTIVIDADES!$B$18,Tabla3[[#All],[DETALLES]],Tabla4[[#This Row],[ACTIVIDADES]])</f>
        <v>0</v>
      </c>
      <c r="H20" s="16">
        <f>SUMIFS(Tabla3[[#All],[EGRESOS]],Tabla3[[#All],[PERIODO]],Tabla4[[#Headers],[JUNIO]],Tabla3[[#All],[ACTIVIDAD]],ACTIVIDADES!B16,Tabla3[[#All],[CONCEPTO]],ACTIVIDADES!B18,Tabla3[[#All],[DETALLES]],Tabla4[[#This Row],[ACTIVIDADES]])</f>
        <v>0</v>
      </c>
      <c r="I20" s="16"/>
      <c r="J20" s="16">
        <f>SUMIFS(Tabla3[[#All],[EGRESOS]],Tabla3[[#All],[PERIODO]],Tabla4[[#Headers],[AGOSTO]],Tabla3[[#All],[ACTIVIDAD]],ACTIVIDADES!B16,Tabla3[[#All],[CONCEPTO]],ACTIVIDADES!B18,Tabla3[[#All],[DETALLES]],Tabla4[[#This Row],[ACTIVIDADES]])</f>
        <v>0</v>
      </c>
      <c r="K20" s="16">
        <f>SUMIFS(Tabla3[[#All],[EGRESOS]],Tabla3[[#All],[PERIODO]],Tabla4[[#Headers],[SEPTIEMBRE]],Tabla3[[#All],[ACTIVIDAD]],ACTIVIDADES!B16,Tabla3[[#All],[CONCEPTO]],ACTIVIDADES!B18,Tabla3[[#All],[DETALLES]],B20)</f>
        <v>0</v>
      </c>
      <c r="L20" s="16">
        <f>SUMIFS(Tabla3[[#All],[EGRESOS]],Tabla3[[#All],[PERIODO]],Tabla4[[#Headers],[OCTUBRE]],Tabla3[[#All],[ACTIVIDAD]],$B$16,Tabla3[[#All],[CONCEPTO]],$B$18,Tabla3[[#All],[DETALLES]],B20)</f>
        <v>0</v>
      </c>
      <c r="M20" s="16">
        <f>SUMIFS(Tabla3[[#All],[EGRESOS]],Tabla3[[#All],[PERIODO]],Tabla4[[#Headers],[NOVIEMBRE]],Tabla3[[#All],[ACTIVIDAD]],$B$16,Tabla3[[#All],[CONCEPTO]],$B$18,Tabla3[[#All],[DETALLES]],B20)</f>
        <v>0</v>
      </c>
      <c r="N20" s="16"/>
      <c r="O20" s="43">
        <f>SUM(Tabla4[[#This Row],[ENERO]:[DICIEMBRE]])</f>
        <v>0</v>
      </c>
      <c r="P20" s="57">
        <f>Tabla4[[#This Row],[USD]]*1140</f>
        <v>11427280.200000001</v>
      </c>
      <c r="Q20" s="46">
        <f>Tabla4[[#This Row],[TOTAL]]/Tabla4[[#This Row],[ESTIMADO]]</f>
        <v>0</v>
      </c>
      <c r="R20" s="14">
        <v>10023.93</v>
      </c>
      <c r="S20" s="14">
        <f>Tabla4[[#This Row],[USD]]/(350)</f>
        <v>28.639800000000001</v>
      </c>
    </row>
    <row r="21" spans="1:19" x14ac:dyDescent="0.25">
      <c r="A21" s="7"/>
      <c r="B21" s="48" t="s">
        <v>115</v>
      </c>
      <c r="C21" s="16">
        <f>SUMIFS(Tabla3[[#All],[EGRESOS]],Tabla3[[#All],[PERIODO]],Tabla4[[#Headers],[ENERO]],Tabla3[[#All],[ACTIVIDAD]],ACTIVIDADES!$B$16,Tabla3[[#All],[CONCEPTO]],ACTIVIDADES!$B$18,Tabla3[[#All],[DETALLES]],Tabla4[[#This Row],[ACTIVIDADES]])</f>
        <v>3129704.7</v>
      </c>
      <c r="D21" s="16">
        <f>SUMIFS(Tabla3[EGRESOS],Tabla3[ACTIVIDAD],ACTIVIDADES!$B$16,Tabla3[PERIODO],Tabla4[[#Headers],[FEBRERO]],Tabla3[CONCEPTO],ACTIVIDADES!B18,Tabla3[DETALLES],Tabla4[[#This Row],[ACTIVIDADES]])</f>
        <v>0</v>
      </c>
      <c r="E21" s="16">
        <f>SUMIFS(Tabla3[[#All],[EGRESOS]],Tabla3[[#All],[PERIODO]],Tabla4[[#Headers],[MARZO]],Tabla3[[#All],[ACTIVIDAD]],ACTIVIDADES!$B$16,Tabla3[[#All],[CONCEPTO]],ACTIVIDADES!$B$18,Tabla3[[#All],[DETALLES]],Tabla4[[#This Row],[ACTIVIDADES]])</f>
        <v>0</v>
      </c>
      <c r="F21" s="16">
        <f>SUMIFS(Tabla3[[#All],[EGRESOS]],Tabla3[[#All],[PERIODO]],Tabla4[[#Headers],[ABRIL]],Tabla3[[#All],[ACTIVIDAD]],ACTIVIDADES!B16,Tabla3[[#All],[CONCEPTO]],ACTIVIDADES!B18,Tabla3[[#All],[DETALLES]],Tabla4[[#This Row],[ACTIVIDADES]])</f>
        <v>0</v>
      </c>
      <c r="G21" s="16">
        <f>SUMIFS(Tabla3[[#All],[EGRESOS]],Tabla3[[#All],[PERIODO]],Tabla4[[#Headers],[MAYO]],Tabla3[[#All],[ACTIVIDAD]],ACTIVIDADES!$B$16,Tabla3[[#All],[CONCEPTO]],ACTIVIDADES!$B$18,Tabla3[[#All],[DETALLES]],Tabla4[[#This Row],[ACTIVIDADES]])</f>
        <v>0</v>
      </c>
      <c r="H21" s="16">
        <f>SUMIFS(Tabla3[[#All],[EGRESOS]],Tabla3[[#All],[PERIODO]],Tabla4[[#Headers],[JUNIO]],Tabla3[[#All],[ACTIVIDAD]],ACTIVIDADES!$B$16,Tabla3[[#All],[CONCEPTO]],ACTIVIDADES!$B$18,Tabla3[[#All],[DETALLES]],Tabla4[[#This Row],[ACTIVIDADES]])</f>
        <v>0</v>
      </c>
      <c r="I21" s="16">
        <f>SUMIFS(Tabla3[[#All],[EGRESOS]],Tabla3[[#All],[PERIODO]],Tabla4[[#Headers],[JULIO]],Tabla3[[#All],[ACTIVIDAD]],ACTIVIDADES!$B$16,Tabla3[[#All],[CONCEPTO]],ACTIVIDADES!$B$18,Tabla3[[#All],[DETALLES]],Tabla4[[#This Row],[ACTIVIDADES]])</f>
        <v>0</v>
      </c>
      <c r="J21" s="16">
        <f>SUMIFS(Tabla3[[#All],[EGRESOS]],Tabla3[[#All],[PERIODO]],Tabla4[[#Headers],[AGOSTO]],Tabla3[[#All],[ACTIVIDAD]],ACTIVIDADES!B16,Tabla3[[#All],[CONCEPTO]],ACTIVIDADES!B18,Tabla3[[#All],[DETALLES]],Tabla4[[#This Row],[ACTIVIDADES]])</f>
        <v>0</v>
      </c>
      <c r="K21" s="16">
        <f>SUMIFS(Tabla3[[#All],[EGRESOS]],Tabla3[[#All],[PERIODO]],Tabla4[[#Headers],[SEPTIEMBRE]],Tabla3[[#All],[ACTIVIDAD]],ACTIVIDADES!B16,Tabla3[[#All],[CONCEPTO]],ACTIVIDADES!B18,Tabla3[[#All],[DETALLES]],B21)</f>
        <v>0</v>
      </c>
      <c r="L21" s="16">
        <f>SUMIFS(Tabla3[[#All],[EGRESOS]],Tabla3[[#All],[PERIODO]],Tabla4[[#Headers],[OCTUBRE]],Tabla3[[#All],[ACTIVIDAD]],$B$16,Tabla3[[#All],[CONCEPTO]],$B$18,Tabla3[[#All],[DETALLES]],B21)</f>
        <v>0</v>
      </c>
      <c r="M21" s="16">
        <f>SUMIFS(Tabla3[[#All],[EGRESOS]],Tabla3[[#All],[PERIODO]],Tabla4[[#Headers],[NOVIEMBRE]],Tabla3[[#All],[ACTIVIDAD]],$B$16,Tabla3[[#All],[CONCEPTO]],$B$18,Tabla3[[#All],[DETALLES]],B21)</f>
        <v>0</v>
      </c>
      <c r="N21" s="16"/>
      <c r="O21" s="43">
        <f>SUM(Tabla4[[#This Row],[ENERO]:[DICIEMBRE]])</f>
        <v>3129704.7</v>
      </c>
      <c r="P21" s="57">
        <f>Tabla4[[#This Row],[USD]]*1140</f>
        <v>17912683.199999999</v>
      </c>
      <c r="Q21" s="46">
        <f>Tabla4[[#This Row],[TOTAL]]/Tabla4[[#This Row],[ESTIMADO]]</f>
        <v>0.1747200385925432</v>
      </c>
      <c r="R21" s="14">
        <v>15712.88</v>
      </c>
      <c r="S21" s="14">
        <f>Tabla4[[#This Row],[USD]]/(350)</f>
        <v>44.893942857142854</v>
      </c>
    </row>
    <row r="22" spans="1:19" x14ac:dyDescent="0.25">
      <c r="A22" s="7"/>
      <c r="B22" s="48" t="s">
        <v>4</v>
      </c>
      <c r="C22" s="16">
        <f>SUMIFS(Tabla3[[#All],[EGRESOS]],Tabla3[[#All],[PERIODO]],Tabla4[[#Headers],[ENERO]],Tabla3[[#All],[ACTIVIDAD]],ACTIVIDADES!$B$16,Tabla3[[#All],[CONCEPTO]],ACTIVIDADES!$B$18,Tabla3[[#All],[DETALLES]],Tabla4[[#This Row],[ACTIVIDADES]])</f>
        <v>0</v>
      </c>
      <c r="D22" s="16">
        <f>SUMIFS(Tabla3[EGRESOS],Tabla3[ACTIVIDAD],ACTIVIDADES!$B$16,Tabla3[PERIODO],Tabla4[[#Headers],[FEBRERO]],Tabla3[CONCEPTO],ACTIVIDADES!B18,Tabla3[DETALLES],Tabla4[[#This Row],[ACTIVIDADES]])</f>
        <v>0</v>
      </c>
      <c r="E22" s="16">
        <f>SUMIFS(Tabla3[[#All],[EGRESOS]],Tabla3[[#All],[PERIODO]],Tabla4[[#Headers],[MARZO]],Tabla3[[#All],[ACTIVIDAD]],ACTIVIDADES!$B$16,Tabla3[[#All],[CONCEPTO]],ACTIVIDADES!$B$18,Tabla3[[#All],[DETALLES]],Tabla4[[#This Row],[ACTIVIDADES]])</f>
        <v>0</v>
      </c>
      <c r="F22" s="16">
        <f>SUMIFS(Tabla3[[#All],[EGRESOS]],Tabla3[[#All],[PERIODO]],Tabla4[[#Headers],[ABRIL]],Tabla3[[#All],[ACTIVIDAD]],ACTIVIDADES!B16,Tabla3[[#All],[CONCEPTO]],ACTIVIDADES!B18,Tabla3[[#All],[DETALLES]],Tabla4[[#This Row],[ACTIVIDADES]])</f>
        <v>0</v>
      </c>
      <c r="G22" s="16">
        <f>SUMIFS(Tabla3[[#All],[EGRESOS]],Tabla3[[#All],[PERIODO]],Tabla4[[#Headers],[MAYO]],Tabla3[[#All],[ACTIVIDAD]],ACTIVIDADES!$B$16,Tabla3[[#All],[CONCEPTO]],ACTIVIDADES!$B$18,Tabla3[[#All],[DETALLES]],Tabla4[[#This Row],[ACTIVIDADES]])</f>
        <v>0</v>
      </c>
      <c r="H22" s="16">
        <f>SUMIFS(Tabla3[[#All],[EGRESOS]],Tabla3[[#All],[PERIODO]],Tabla4[[#Headers],[JUNIO]],Tabla3[[#All],[ACTIVIDAD]],ACTIVIDADES!B16,Tabla3[[#All],[CONCEPTO]],ACTIVIDADES!B18,Tabla3[[#All],[DETALLES]],Tabla4[[#This Row],[ACTIVIDADES]])</f>
        <v>0</v>
      </c>
      <c r="I22" s="16">
        <f>SUMIFS(Tabla3[[#All],[EGRESOS]],Tabla3[[#All],[PERIODO]],Tabla4[[#Headers],[JULIO]],Tabla3[[#All],[ACTIVIDAD]],ACTIVIDADES!B16,Tabla3[[#All],[CONCEPTO]],ACTIVIDADES!B18,Tabla3[[#All],[DETALLES]],Tabla4[[#This Row],[ACTIVIDADES]])</f>
        <v>0</v>
      </c>
      <c r="J22" s="16">
        <f>SUMIFS(Tabla3[[#All],[EGRESOS]],Tabla3[[#All],[PERIODO]],Tabla4[[#Headers],[AGOSTO]],Tabla3[[#All],[ACTIVIDAD]],ACTIVIDADES!B16,Tabla3[[#All],[CONCEPTO]],ACTIVIDADES!B18,Tabla3[[#All],[DETALLES]],Tabla4[[#This Row],[ACTIVIDADES]])</f>
        <v>0</v>
      </c>
      <c r="K22" s="16">
        <f>SUMIFS(Tabla3[[#All],[EGRESOS]],Tabla3[[#All],[PERIODO]],Tabla4[[#Headers],[SEPTIEMBRE]],Tabla3[[#All],[ACTIVIDAD]],ACTIVIDADES!B16,Tabla3[[#All],[CONCEPTO]],ACTIVIDADES!B18,Tabla3[[#All],[DETALLES]],B22)</f>
        <v>0</v>
      </c>
      <c r="L22" s="16">
        <f>SUMIFS(Tabla3[[#All],[EGRESOS]],Tabla3[[#All],[PERIODO]],Tabla4[[#Headers],[OCTUBRE]],Tabla3[[#All],[ACTIVIDAD]],$B$16,Tabla3[[#All],[CONCEPTO]],$B$18,Tabla3[[#All],[DETALLES]],B22)</f>
        <v>0</v>
      </c>
      <c r="M22" s="16">
        <f>SUMIFS(Tabla3[[#All],[EGRESOS]],Tabla3[[#All],[PERIODO]],Tabla4[[#Headers],[NOVIEMBRE]],Tabla3[[#All],[ACTIVIDAD]],$B$16,Tabla3[[#All],[CONCEPTO]],$B$18,Tabla3[[#All],[DETALLES]],B22)</f>
        <v>0</v>
      </c>
      <c r="N22" s="16"/>
      <c r="O22" s="43">
        <f>SUM(Tabla4[[#This Row],[ENERO]:[DICIEMBRE]])</f>
        <v>0</v>
      </c>
      <c r="P22" s="57">
        <v>52777452</v>
      </c>
      <c r="Q22" s="46">
        <f>Tabla4[[#This Row],[TOTAL]]/Tabla4[[#This Row],[ESTIMADO]]</f>
        <v>0</v>
      </c>
      <c r="R22" s="14">
        <v>47589.805368997557</v>
      </c>
      <c r="S22" s="14">
        <f>Tabla4[[#This Row],[USD]]/(350)</f>
        <v>135.97087248285015</v>
      </c>
    </row>
    <row r="23" spans="1:19" x14ac:dyDescent="0.25">
      <c r="A23" s="7"/>
      <c r="B23" s="48" t="s">
        <v>56</v>
      </c>
      <c r="C23" s="16">
        <f>SUMIFS(Tabla3[[#All],[EGRESOS]],Tabla3[[#All],[PERIODO]],Tabla4[[#Headers],[ENERO]],Tabla3[[#All],[ACTIVIDAD]],ACTIVIDADES!$B$16,Tabla3[[#All],[CONCEPTO]],ACTIVIDADES!$B$18,Tabla3[[#All],[DETALLES]],Tabla4[[#This Row],[ACTIVIDADES]])</f>
        <v>0</v>
      </c>
      <c r="D23" s="16">
        <f>SUMIFS(Tabla3[EGRESOS],Tabla3[ACTIVIDAD],ACTIVIDADES!$B$16,Tabla3[PERIODO],Tabla4[[#Headers],[FEBRERO]],Tabla3[CONCEPTO],ACTIVIDADES!B18,Tabla3[DETALLES],Tabla4[[#This Row],[ACTIVIDADES]])</f>
        <v>0</v>
      </c>
      <c r="E23" s="16">
        <f>SUMIFS(Tabla3[[#All],[EGRESOS]],Tabla3[[#All],[PERIODO]],Tabla4[[#Headers],[MARZO]],Tabla3[[#All],[ACTIVIDAD]],ACTIVIDADES!$B$16,Tabla3[[#All],[CONCEPTO]],ACTIVIDADES!$B$18,Tabla3[[#All],[DETALLES]],Tabla4[[#This Row],[ACTIVIDADES]])</f>
        <v>0</v>
      </c>
      <c r="F23" s="16">
        <f>SUMIFS(Tabla3[[#All],[EGRESOS]],Tabla3[[#All],[PERIODO]],Tabla4[[#Headers],[ABRIL]],Tabla3[[#All],[ACTIVIDAD]],ACTIVIDADES!B16,Tabla3[[#All],[CONCEPTO]],ACTIVIDADES!B18,Tabla3[[#All],[DETALLES]],Tabla4[[#This Row],[ACTIVIDADES]])</f>
        <v>0</v>
      </c>
      <c r="G23" s="16">
        <f>SUMIFS(Tabla3[[#All],[EGRESOS]],Tabla3[[#All],[PERIODO]],Tabla4[[#Headers],[MAYO]],Tabla3[[#All],[ACTIVIDAD]],ACTIVIDADES!$B$16,Tabla3[[#All],[CONCEPTO]],ACTIVIDADES!$B$18,Tabla3[[#All],[DETALLES]],Tabla4[[#This Row],[ACTIVIDADES]])</f>
        <v>0</v>
      </c>
      <c r="H23" s="16">
        <f>SUMIFS(Tabla3[[#All],[EGRESOS]],Tabla3[[#All],[PERIODO]],Tabla4[[#Headers],[JUNIO]],Tabla3[[#All],[ACTIVIDAD]],ACTIVIDADES!B16,Tabla3[[#All],[CONCEPTO]],ACTIVIDADES!B18,Tabla3[[#All],[DETALLES]],Tabla4[[#This Row],[ACTIVIDADES]])</f>
        <v>0</v>
      </c>
      <c r="I23" s="16">
        <f>SUMIFS(Tabla3[[#All],[EGRESOS]],Tabla3[[#All],[PERIODO]],Tabla4[[#Headers],[JULIO]],Tabla3[[#All],[ACTIVIDAD]],ACTIVIDADES!B16,Tabla3[[#All],[CONCEPTO]],ACTIVIDADES!B18,Tabla3[[#All],[DETALLES]],Tabla4[[#This Row],[ACTIVIDADES]])</f>
        <v>0</v>
      </c>
      <c r="J23" s="16">
        <f>SUMIFS(Tabla3[[#All],[EGRESOS]],Tabla3[[#All],[PERIODO]],Tabla4[[#Headers],[AGOSTO]],Tabla3[[#All],[ACTIVIDAD]],ACTIVIDADES!B16,Tabla3[[#All],[CONCEPTO]],ACTIVIDADES!B18,Tabla3[[#All],[DETALLES]],Tabla4[[#This Row],[ACTIVIDADES]])</f>
        <v>0</v>
      </c>
      <c r="K23" s="16">
        <f>SUMIFS(Tabla3[[#All],[EGRESOS]],Tabla3[[#All],[PERIODO]],Tabla4[[#Headers],[SEPTIEMBRE]],Tabla3[[#All],[ACTIVIDAD]],ACTIVIDADES!B16,Tabla3[[#All],[CONCEPTO]],ACTIVIDADES!B18,Tabla3[[#All],[DETALLES]],B23)</f>
        <v>0</v>
      </c>
      <c r="L23" s="16">
        <f>SUMIFS(Tabla3[[#All],[EGRESOS]],Tabla3[[#All],[PERIODO]],Tabla4[[#Headers],[OCTUBRE]],Tabla3[[#All],[ACTIVIDAD]],$B$16,Tabla3[[#All],[CONCEPTO]],$B$18,Tabla3[[#All],[DETALLES]],B23)</f>
        <v>0</v>
      </c>
      <c r="M23" s="16">
        <f>SUMIFS(Tabla3[[#All],[EGRESOS]],Tabla3[[#All],[PERIODO]],Tabla4[[#Headers],[NOVIEMBRE]],Tabla3[[#All],[ACTIVIDAD]],$B$16,Tabla3[[#All],[CONCEPTO]],$B$18,Tabla3[[#All],[DETALLES]],B23)</f>
        <v>0</v>
      </c>
      <c r="N23" s="16"/>
      <c r="O23" s="43">
        <f>SUM(Tabla4[[#This Row],[ENERO]:[DICIEMBRE]])</f>
        <v>0</v>
      </c>
      <c r="P23" s="57">
        <v>37735800.480000012</v>
      </c>
      <c r="Q23" s="46">
        <f>Tabla4[[#This Row],[TOTAL]]/Tabla4[[#This Row],[ESTIMADO]]</f>
        <v>0</v>
      </c>
      <c r="R23" s="14">
        <f>Tabla4[[#This Row],[ESTIMADO]]/1140</f>
        <v>33101.579368421066</v>
      </c>
      <c r="S23" s="14">
        <f>Tabla4[[#This Row],[USD]]/(350)</f>
        <v>94.57594105263162</v>
      </c>
    </row>
    <row r="24" spans="1:19" x14ac:dyDescent="0.25">
      <c r="A24" s="7"/>
      <c r="B24" s="48" t="s">
        <v>101</v>
      </c>
      <c r="C24" s="16">
        <f>SUMIFS(Tabla3[[#All],[EGRESOS]],Tabla3[[#All],[PERIODO]],Tabla4[[#Headers],[ENERO]],Tabla3[[#All],[ACTIVIDAD]],ACTIVIDADES!$B$16,Tabla3[[#All],[CONCEPTO]],ACTIVIDADES!$B$18,Tabla3[[#All],[DETALLES]],Tabla4[[#This Row],[ACTIVIDADES]])</f>
        <v>0</v>
      </c>
      <c r="D24" s="16">
        <f>SUMIFS(Tabla3[EGRESOS],Tabla3[ACTIVIDAD],ACTIVIDADES!$B$16,Tabla3[PERIODO],Tabla4[[#Headers],[FEBRERO]],Tabla3[CONCEPTO],ACTIVIDADES!B18,Tabla3[DETALLES],Tabla4[[#This Row],[ACTIVIDADES]])</f>
        <v>0</v>
      </c>
      <c r="E24" s="16">
        <f>SUMIFS(Tabla3[[#All],[EGRESOS]],Tabla3[[#All],[PERIODO]],Tabla4[[#Headers],[MARZO]],Tabla3[[#All],[ACTIVIDAD]],ACTIVIDADES!$B$16,Tabla3[[#All],[CONCEPTO]],ACTIVIDADES!$B$18,Tabla3[[#All],[DETALLES]],Tabla4[[#This Row],[ACTIVIDADES]])</f>
        <v>0</v>
      </c>
      <c r="F24" s="16">
        <f>SUMIFS(Tabla3[[#All],[EGRESOS]],Tabla3[[#All],[PERIODO]],Tabla4[[#Headers],[ABRIL]],Tabla3[[#All],[ACTIVIDAD]],ACTIVIDADES!B16,Tabla3[[#All],[CONCEPTO]],ACTIVIDADES!B18,Tabla3[[#All],[DETALLES]],Tabla4[[#This Row],[ACTIVIDADES]])</f>
        <v>0</v>
      </c>
      <c r="G24" s="16">
        <f>SUMIFS(Tabla3[[#All],[EGRESOS]],Tabla3[[#All],[PERIODO]],Tabla4[[#Headers],[MAYO]],Tabla3[[#All],[ACTIVIDAD]],ACTIVIDADES!$B$16,Tabla3[[#All],[CONCEPTO]],ACTIVIDADES!$B$18,Tabla3[[#All],[DETALLES]],Tabla4[[#This Row],[ACTIVIDADES]])</f>
        <v>0</v>
      </c>
      <c r="H24" s="16">
        <f>SUMIFS(Tabla3[[#All],[EGRESOS]],Tabla3[[#All],[PERIODO]],Tabla4[[#Headers],[JUNIO]],Tabla3[[#All],[ACTIVIDAD]],ACTIVIDADES!B16,Tabla3[[#All],[CONCEPTO]],ACTIVIDADES!B18,Tabla3[[#All],[DETALLES]],Tabla4[[#This Row],[ACTIVIDADES]])</f>
        <v>0</v>
      </c>
      <c r="I24" s="16">
        <f>SUMIFS(Tabla3[[#All],[EGRESOS]],Tabla3[[#All],[PERIODO]],Tabla4[[#Headers],[JULIO]],Tabla3[[#All],[ACTIVIDAD]],ACTIVIDADES!B16,Tabla3[[#All],[CONCEPTO]],ACTIVIDADES!B18,Tabla3[[#All],[DETALLES]],Tabla4[[#This Row],[ACTIVIDADES]])</f>
        <v>0</v>
      </c>
      <c r="J24" s="16">
        <f>SUMIFS(Tabla3[[#All],[EGRESOS]],Tabla3[[#All],[PERIODO]],Tabla4[[#Headers],[AGOSTO]],Tabla3[[#All],[ACTIVIDAD]],ACTIVIDADES!B16,Tabla3[[#All],[CONCEPTO]],ACTIVIDADES!B18,Tabla3[[#All],[DETALLES]],Tabla4[[#This Row],[ACTIVIDADES]])</f>
        <v>0</v>
      </c>
      <c r="K24" s="16">
        <f>SUMIFS(Tabla3[[#All],[EGRESOS]],Tabla3[[#All],[PERIODO]],Tabla4[[#Headers],[SEPTIEMBRE]],Tabla3[[#All],[ACTIVIDAD]],ACTIVIDADES!B16,Tabla3[[#All],[CONCEPTO]],ACTIVIDADES!B18,Tabla3[[#All],[DETALLES]],B24)</f>
        <v>0</v>
      </c>
      <c r="L24" s="16">
        <f>SUMIFS(Tabla3[[#All],[EGRESOS]],Tabla3[[#All],[PERIODO]],Tabla4[[#Headers],[OCTUBRE]],Tabla3[[#All],[ACTIVIDAD]],$B$16,Tabla3[[#All],[CONCEPTO]],$B$18,Tabla3[[#All],[DETALLES]],B24)</f>
        <v>0</v>
      </c>
      <c r="M24" s="16">
        <f>SUMIFS(Tabla3[[#All],[EGRESOS]],Tabla3[[#All],[PERIODO]],Tabla4[[#Headers],[NOVIEMBRE]],Tabla3[[#All],[ACTIVIDAD]],$B$16,Tabla3[[#All],[CONCEPTO]],$B$18,Tabla3[[#All],[DETALLES]],B24)</f>
        <v>0</v>
      </c>
      <c r="N24" s="16"/>
      <c r="O24" s="43">
        <f>SUM(Tabla4[[#This Row],[ENERO]:[DICIEMBRE]])</f>
        <v>0</v>
      </c>
      <c r="P24" s="57">
        <v>1100000</v>
      </c>
      <c r="Q24" s="46">
        <f>Tabla4[[#This Row],[TOTAL]]/Tabla4[[#This Row],[ESTIMADO]]</f>
        <v>0</v>
      </c>
      <c r="R24" s="14">
        <f>Tabla4[[#This Row],[ESTIMADO]]/1140</f>
        <v>964.91228070175441</v>
      </c>
      <c r="S24" s="14">
        <f>Tabla4[[#This Row],[USD]]/(350)</f>
        <v>2.7568922305764412</v>
      </c>
    </row>
    <row r="25" spans="1:19" x14ac:dyDescent="0.25">
      <c r="A25" s="7"/>
      <c r="B25" s="48" t="s">
        <v>123</v>
      </c>
      <c r="C25" s="16">
        <f>SUMIFS(Tabla3[[#All],[EGRESOS]],Tabla3[[#All],[PERIODO]],Tabla4[[#Headers],[ENERO]],Tabla3[[#All],[ACTIVIDAD]],ACTIVIDADES!$B$16,Tabla3[[#All],[CONCEPTO]],ACTIVIDADES!$B$18,Tabla3[[#All],[DETALLES]],Tabla4[[#This Row],[ACTIVIDADES]])</f>
        <v>0</v>
      </c>
      <c r="D25" s="16">
        <f>SUMIFS(Tabla3[EGRESOS],Tabla3[ACTIVIDAD],ACTIVIDADES!$B$16,Tabla3[PERIODO],Tabla4[[#Headers],[FEBRERO]],Tabla3[CONCEPTO],ACTIVIDADES!B18,Tabla3[DETALLES],Tabla4[[#This Row],[ACTIVIDADES]])</f>
        <v>0</v>
      </c>
      <c r="E25" s="16">
        <f>SUMIFS(Tabla3[[#All],[EGRESOS]],Tabla3[[#All],[PERIODO]],Tabla4[[#Headers],[MARZO]],Tabla3[[#All],[ACTIVIDAD]],ACTIVIDADES!$B$16,Tabla3[[#All],[CONCEPTO]],ACTIVIDADES!$B$18,Tabla3[[#All],[DETALLES]],Tabla4[[#This Row],[ACTIVIDADES]])</f>
        <v>0</v>
      </c>
      <c r="F25" s="16">
        <f>SUMIFS(Tabla3[[#All],[EGRESOS]],Tabla3[[#All],[PERIODO]],Tabla4[[#Headers],[ABRIL]],Tabla3[[#All],[ACTIVIDAD]],ACTIVIDADES!B16,Tabla3[[#All],[CONCEPTO]],ACTIVIDADES!B18,Tabla3[[#All],[DETALLES]],Tabla4[[#This Row],[ACTIVIDADES]])</f>
        <v>0</v>
      </c>
      <c r="G25" s="16">
        <f>SUMIFS(Tabla3[[#All],[EGRESOS]],Tabla3[[#All],[PERIODO]],Tabla4[[#Headers],[MAYO]],Tabla3[[#All],[ACTIVIDAD]],ACTIVIDADES!$B$16,Tabla3[[#All],[CONCEPTO]],ACTIVIDADES!$B$18,Tabla3[[#All],[DETALLES]],Tabla4[[#This Row],[ACTIVIDADES]])</f>
        <v>0</v>
      </c>
      <c r="H25" s="16">
        <f>SUMIFS(Tabla3[[#All],[EGRESOS]],Tabla3[[#All],[PERIODO]],Tabla4[[#Headers],[JUNIO]],Tabla3[[#All],[ACTIVIDAD]],ACTIVIDADES!$B$16,Tabla3[[#All],[CONCEPTO]],ACTIVIDADES!$B$18,Tabla3[[#All],[DETALLES]],Tabla4[[#This Row],[ACTIVIDADES]])</f>
        <v>0</v>
      </c>
      <c r="I25" s="16">
        <f>SUMIFS(Tabla3[[#All],[EGRESOS]],Tabla3[[#All],[PERIODO]],Tabla4[[#Headers],[JULIO]],Tabla3[[#All],[ACTIVIDAD]],ACTIVIDADES!B16,Tabla3[[#All],[CONCEPTO]],ACTIVIDADES!B18,Tabla3[[#All],[DETALLES]],Tabla4[[#This Row],[ACTIVIDADES]])</f>
        <v>0</v>
      </c>
      <c r="J25" s="16">
        <f>SUMIFS(Tabla3[[#All],[EGRESOS]],Tabla3[[#All],[PERIODO]],Tabla4[[#Headers],[AGOSTO]],Tabla3[[#All],[ACTIVIDAD]],ACTIVIDADES!B16,Tabla3[[#All],[CONCEPTO]],ACTIVIDADES!B18,Tabla3[[#All],[DETALLES]],Tabla4[[#This Row],[ACTIVIDADES]])</f>
        <v>0</v>
      </c>
      <c r="K25" s="16">
        <f>SUMIFS(Tabla3[[#All],[EGRESOS]],Tabla3[[#All],[PERIODO]],Tabla4[[#Headers],[SEPTIEMBRE]],Tabla3[[#All],[ACTIVIDAD]],ACTIVIDADES!B16,Tabla3[[#All],[CONCEPTO]],ACTIVIDADES!B18,Tabla3[[#All],[DETALLES]],B25)</f>
        <v>0</v>
      </c>
      <c r="L25" s="16">
        <f>SUMIFS(Tabla3[[#All],[EGRESOS]],Tabla3[[#All],[PERIODO]],Tabla4[[#Headers],[OCTUBRE]],Tabla3[[#All],[ACTIVIDAD]],$B$16,Tabla3[[#All],[CONCEPTO]],$B$18,Tabla3[[#All],[DETALLES]],B25)</f>
        <v>0</v>
      </c>
      <c r="M25" s="16">
        <f>SUMIFS(Tabla3[[#All],[EGRESOS]],Tabla3[[#All],[PERIODO]],Tabla4[[#Headers],[NOVIEMBRE]],Tabla3[[#All],[ACTIVIDAD]],$B$16,Tabla3[[#All],[CONCEPTO]],$B$18,Tabla3[[#All],[DETALLES]],B25)</f>
        <v>0</v>
      </c>
      <c r="N25" s="16"/>
      <c r="O25" s="43">
        <f>SUM(Tabla4[[#This Row],[ENERO]:[DICIEMBRE]])</f>
        <v>0</v>
      </c>
      <c r="P25" s="57">
        <f>Tabla4[[#This Row],[USD]]*1360</f>
        <v>37095360.000000007</v>
      </c>
      <c r="Q25" s="46">
        <f>Tabla4[[#This Row],[TOTAL]]/Tabla4[[#This Row],[ESTIMADO]]</f>
        <v>0</v>
      </c>
      <c r="R25" s="14">
        <v>27276.000000000004</v>
      </c>
      <c r="S25" s="14">
        <f>Tabla4[[#This Row],[USD]]/(350)</f>
        <v>77.931428571428583</v>
      </c>
    </row>
    <row r="26" spans="1:19" x14ac:dyDescent="0.25">
      <c r="A26" s="7"/>
      <c r="B26" s="48" t="s">
        <v>122</v>
      </c>
      <c r="C26" s="16">
        <f>SUMIFS(Tabla3[[#All],[EGRESOS]],Tabla3[[#All],[PERIODO]],Tabla4[[#Headers],[ENERO]],Tabla3[[#All],[ACTIVIDAD]],ACTIVIDADES!$B$16,Tabla3[[#All],[CONCEPTO]],ACTIVIDADES!$B$18,Tabla3[[#All],[DETALLES]],Tabla4[[#This Row],[ACTIVIDADES]])</f>
        <v>0</v>
      </c>
      <c r="D26" s="16">
        <f>SUMIFS(Tabla3[EGRESOS],Tabla3[ACTIVIDAD],ACTIVIDADES!$B$16,Tabla3[PERIODO],Tabla4[[#Headers],[FEBRERO]],Tabla3[CONCEPTO],ACTIVIDADES!B19,Tabla3[DETALLES],Tabla4[[#This Row],[ACTIVIDADES]])</f>
        <v>0</v>
      </c>
      <c r="E26" s="16">
        <f>SUMIFS(Tabla3[[#All],[EGRESOS]],Tabla3[[#All],[PERIODO]],Tabla4[[#Headers],[MARZO]],Tabla3[[#All],[ACTIVIDAD]],ACTIVIDADES!$B$16,Tabla3[[#All],[CONCEPTO]],ACTIVIDADES!$B$18,Tabla3[[#All],[DETALLES]],Tabla4[[#This Row],[ACTIVIDADES]])</f>
        <v>0</v>
      </c>
      <c r="F26" s="16">
        <f>SUMIFS(Tabla3[[#All],[EGRESOS]],Tabla3[[#All],[PERIODO]],Tabla4[[#Headers],[ABRIL]],Tabla3[[#All],[ACTIVIDAD]],ACTIVIDADES!B17,Tabla3[[#All],[CONCEPTO]],ACTIVIDADES!B19,Tabla3[[#All],[DETALLES]],Tabla4[[#This Row],[ACTIVIDADES]])</f>
        <v>0</v>
      </c>
      <c r="G26" s="16">
        <f>SUMIFS(Tabla3[[#All],[EGRESOS]],Tabla3[[#All],[PERIODO]],Tabla4[[#Headers],[MAYO]],Tabla3[[#All],[ACTIVIDAD]],ACTIVIDADES!$B$16,Tabla3[[#All],[CONCEPTO]],ACTIVIDADES!$B$18,Tabla3[[#All],[DETALLES]],Tabla4[[#This Row],[ACTIVIDADES]])</f>
        <v>0</v>
      </c>
      <c r="H26" s="16">
        <f>SUMIFS(Tabla3[[#All],[EGRESOS]],Tabla3[[#All],[PERIODO]],Tabla4[[#Headers],[JUNIO]],Tabla3[[#All],[ACTIVIDAD]],ACTIVIDADES!$B$16,Tabla3[[#All],[CONCEPTO]],ACTIVIDADES!$B$18,Tabla3[[#All],[DETALLES]],Tabla4[[#This Row],[ACTIVIDADES]])</f>
        <v>0</v>
      </c>
      <c r="I26" s="16">
        <f>SUMIFS(Tabla3[[#All],[EGRESOS]],Tabla3[[#All],[PERIODO]],Tabla4[[#Headers],[JULIO]],Tabla3[[#All],[ACTIVIDAD]],ACTIVIDADES!B17,Tabla3[[#All],[CONCEPTO]],ACTIVIDADES!B19,Tabla3[[#All],[DETALLES]],Tabla4[[#This Row],[ACTIVIDADES]])</f>
        <v>0</v>
      </c>
      <c r="J26" s="16">
        <f>SUMIFS(Tabla3[[#All],[EGRESOS]],Tabla3[[#All],[PERIODO]],Tabla4[[#Headers],[AGOSTO]],Tabla3[[#All],[ACTIVIDAD]],ACTIVIDADES!B17,Tabla3[[#All],[CONCEPTO]],ACTIVIDADES!B19,Tabla3[[#All],[DETALLES]],Tabla4[[#This Row],[ACTIVIDADES]])</f>
        <v>0</v>
      </c>
      <c r="K26" s="16">
        <f>SUMIFS(Tabla3[[#All],[EGRESOS]],Tabla3[[#All],[PERIODO]],Tabla4[[#Headers],[SEPTIEMBRE]],Tabla3[[#All],[ACTIVIDAD]],ACTIVIDADES!B17,Tabla3[[#All],[CONCEPTO]],ACTIVIDADES!B19,Tabla3[[#All],[DETALLES]],B26)</f>
        <v>0</v>
      </c>
      <c r="L26" s="16">
        <f>SUMIFS(Tabla3[[#All],[EGRESOS]],Tabla3[[#All],[PERIODO]],Tabla4[[#Headers],[OCTUBRE]],Tabla3[[#All],[ACTIVIDAD]],$B$16,Tabla3[[#All],[CONCEPTO]],$B$18,Tabla3[[#All],[DETALLES]],B26)</f>
        <v>0</v>
      </c>
      <c r="M26" s="16">
        <f>SUMIFS(Tabla3[[#All],[EGRESOS]],Tabla3[[#All],[PERIODO]],Tabla4[[#Headers],[NOVIEMBRE]],Tabla3[[#All],[ACTIVIDAD]],$B$16,Tabla3[[#All],[CONCEPTO]],$B$18,Tabla3[[#All],[DETALLES]],B26)</f>
        <v>0</v>
      </c>
      <c r="N26" s="16"/>
      <c r="O26" s="43">
        <f>SUM(Tabla4[[#This Row],[ENERO]:[DICIEMBRE]])</f>
        <v>0</v>
      </c>
      <c r="P26" s="57">
        <v>3550000</v>
      </c>
      <c r="Q26" s="46">
        <f>Tabla4[[#This Row],[TOTAL]]/Tabla4[[#This Row],[ESTIMADO]]</f>
        <v>0</v>
      </c>
      <c r="R26" s="14">
        <f>Tabla4[[#This Row],[ESTIMADO]]/1140</f>
        <v>3114.0350877192982</v>
      </c>
      <c r="S26" s="14">
        <f>Tabla4[[#This Row],[USD]]/(350)</f>
        <v>8.8972431077694232</v>
      </c>
    </row>
    <row r="27" spans="1:19" x14ac:dyDescent="0.25">
      <c r="A27" s="7"/>
      <c r="B27" s="48" t="s">
        <v>188</v>
      </c>
      <c r="C27" s="16">
        <f>SUMIFS(Tabla3[[#All],[FACTURA]],Tabla3[[#All],[RUBRO]],Tabla4[[#Headers],[ENERO]],Tabla3[[#All],[EGRESOS]],$B$16,Tabla3[[#All],[SALDO]],$B$18,Tabla3[[#All],[SALDO BANCO]],#REF!)</f>
        <v>0</v>
      </c>
      <c r="D27" s="16">
        <f>SUMIFS(Tabla3[[#All],[RDS]],Tabla3[[#All],[CONCEPTO]],Tabla4[[#Headers],[FEBRERO]],Tabla3[[#All],[INGRESOS]],$B$16,Tabla3[[#All],[SALDO BANCO]],$B$18,Tabla3[[#All],[TC]],#REF!)</f>
        <v>0</v>
      </c>
      <c r="E27" s="16">
        <f>SUMIFS(Tabla3[[#All],[SOCIO]],Tabla3[[#All],[DETALLES]],Tabla4[[#Headers],[MARZO]],Tabla3[[#All],[SALDO]],$B$16,Tabla3[[#All],[TC]],$B$18,Tabla3[[#All],[EGRES USD]],#REF!)</f>
        <v>0</v>
      </c>
      <c r="F27" s="16">
        <f>SUMIFS(Tabla3[[#All],[CAMPAÑA]],Tabla3[[#All],[PROVEEDOR CLIENTE]],Tabla4[[#Headers],[ABRIL]],Tabla3[[#All],[SALDO BANCO]],$B$16,Tabla3[[#All],[EGRES USD]],$B$18,Tabla3[[#All],[INGRES USD]],#REF!)</f>
        <v>0</v>
      </c>
      <c r="G27" s="16" t="e">
        <f>SUMIFS(#REF!,Tabla3[[#All],[FACTURA]],Tabla4[[#Headers],[MAYO]],Tabla3[[#All],[TC]],$B$16,Tabla3[[#All],[INGRES USD]],$B$18,Tabla3[[#All],[MONEDA]],#REF!)</f>
        <v>#REF!</v>
      </c>
      <c r="H27" s="16" t="e">
        <f>SUMIFS(#REF!,Tabla3[[#All],[RDS]],Tabla4[[#Headers],[JUNIO]],Tabla3[[#All],[EGRES USD]],$B$16,Tabla3[[#All],[MONEDA]],$B$18,Tabla3[[#All],[CUENTA]],#REF!)</f>
        <v>#REF!</v>
      </c>
      <c r="I27" s="16">
        <f>SUMIFS(Tabla3[[#All],[PERIODO]],Tabla3[[#All],[SOCIO]],Tabla4[[#Headers],[JULIO]],Tabla3[[#All],[INGRES USD]],$B$16,Tabla3[[#All],[CUENTA]],$B$18,Tabla3[[#All],[BANCO]],#REF!)</f>
        <v>0</v>
      </c>
      <c r="J27" s="16">
        <f>SUMIFS(Tabla3[[#All],[FECHA]],Tabla3[[#All],[CAMPAÑA]],Tabla4[[#Headers],[AGOSTO]],Tabla3[[#All],[MONEDA]],$B$16,Tabla3[[#All],[BANCO]],$B$18,Tabla3[[#All],[ACTIVIDAD]],#REF!)</f>
        <v>0</v>
      </c>
      <c r="K27" s="16" t="e">
        <f>SUMIFS(Tabla3[[#All],[DESCRIPCION]],#REF!,Tabla4[[#Headers],[SEPTIEMBRE]],Tabla3[[#All],[CUENTA]],$B$16,Tabla3[[#All],[ACTIVIDAD]],$B$18,Tabla3[[#All],[RUBRO]],#REF!)</f>
        <v>#REF!</v>
      </c>
      <c r="L27" s="16" t="e">
        <f>SUMIFS(Tabla3[[#All],[N DE REFERENCIA]],#REF!,Tabla4[[#Headers],[OCTUBRE]],Tabla3[[#All],[BANCO]],$B$16,Tabla3[[#All],[RUBRO]],$B$18,Tabla3[[#All],[CONCEPTO]],A27)</f>
        <v>#REF!</v>
      </c>
      <c r="M27" s="16">
        <f>SUMIFS(Tabla3[[#All],[EGRESOS]],Tabla3[[#All],[PERIODO]],Tabla4[[#Headers],[NOVIEMBRE]],Tabla3[[#All],[ACTIVIDAD]],$B$16,Tabla3[[#All],[CONCEPTO]],$B$18,Tabla3[[#All],[DETALLES]],B27)</f>
        <v>0</v>
      </c>
      <c r="N27" s="16"/>
      <c r="O27" s="43"/>
      <c r="P27" s="57"/>
      <c r="Q27" s="46"/>
      <c r="R27" s="14"/>
      <c r="S27" s="14"/>
    </row>
    <row r="28" spans="1:19" x14ac:dyDescent="0.25">
      <c r="A28" s="7"/>
      <c r="B28" s="82" t="s">
        <v>37</v>
      </c>
      <c r="C28" s="95">
        <f>SUBTOTAL(109,C29:C37)</f>
        <v>0</v>
      </c>
      <c r="D28" s="95">
        <f t="shared" ref="D28:N28" si="2">SUBTOTAL(109,D29:D37)</f>
        <v>0</v>
      </c>
      <c r="E28" s="95">
        <f t="shared" si="2"/>
        <v>0</v>
      </c>
      <c r="F28" s="95">
        <f t="shared" si="2"/>
        <v>0</v>
      </c>
      <c r="G28" s="95">
        <f t="shared" si="2"/>
        <v>0</v>
      </c>
      <c r="H28" s="95">
        <f t="shared" si="2"/>
        <v>0</v>
      </c>
      <c r="I28" s="95">
        <f t="shared" si="2"/>
        <v>0</v>
      </c>
      <c r="J28" s="95">
        <f t="shared" si="2"/>
        <v>0</v>
      </c>
      <c r="K28" s="95">
        <f t="shared" si="2"/>
        <v>0</v>
      </c>
      <c r="L28" s="95">
        <f t="shared" si="2"/>
        <v>0</v>
      </c>
      <c r="M28" s="95">
        <f>SUBTOTAL(109,M29:M37)</f>
        <v>0</v>
      </c>
      <c r="N28" s="95">
        <f t="shared" si="2"/>
        <v>0</v>
      </c>
      <c r="O28" s="95"/>
      <c r="P28" s="95"/>
      <c r="Q28" s="101"/>
      <c r="R28" s="102"/>
      <c r="S28" s="102"/>
    </row>
    <row r="29" spans="1:19" x14ac:dyDescent="0.25">
      <c r="A29" s="7"/>
      <c r="B29" s="48" t="s">
        <v>111</v>
      </c>
      <c r="C29" s="16">
        <f>SUMIFS(Tabla3[[#All],[EGRESOS]],Tabla3[[#All],[PERIODO]],Tabla4[[#Headers],[ENERO]],Tabla3[[#All],[ACTIVIDAD]],ACTIVIDADES!$B$16,Tabla3[[#All],[CONCEPTO]],ACTIVIDADES!$B$28,Tabla3[[#All],[DETALLES]],Tabla4[[#This Row],[ACTIVIDADES]])</f>
        <v>0</v>
      </c>
      <c r="D29" s="16">
        <f>SUMIFS(Tabla3[EGRESOS],Tabla3[ACTIVIDAD],ACTIVIDADES!$B$16,Tabla3[PERIODO],Tabla4[[#Headers],[FEBRERO]],Tabla3[CONCEPTO],ACTIVIDADES!B28,Tabla3[DETALLES],Tabla4[[#This Row],[ACTIVIDADES]])</f>
        <v>0</v>
      </c>
      <c r="E29" s="16">
        <f>SUMIFS(Tabla3[[#All],[EGRESOS]],Tabla3[[#All],[PERIODO]],Tabla4[[#Headers],[MARZO]],Tabla3[[#All],[ACTIVIDAD]],ACTIVIDADES!$B$16,Tabla3[[#All],[CONCEPTO]],ACTIVIDADES!$B$28,Tabla3[[#All],[DETALLES]],Tabla4[[#This Row],[ACTIVIDADES]])</f>
        <v>0</v>
      </c>
      <c r="F29" s="16">
        <f>SUMIFS(Tabla3[[#All],[EGRESOS]],Tabla3[[#All],[PERIODO]],Tabla4[[#Headers],[ABRIL]],Tabla3[[#All],[ACTIVIDAD]],ACTIVIDADES!B16,Tabla3[[#All],[CONCEPTO]],ACTIVIDADES!B28,Tabla3[[#All],[DETALLES]],Tabla4[[#This Row],[ACTIVIDADES]])</f>
        <v>0</v>
      </c>
      <c r="G29" s="16">
        <f>SUMIFS(Tabla3[[#All],[EGRESOS]],Tabla3[[#All],[PERIODO]],Tabla4[[#Headers],[MAYO]],Tabla3[[#All],[ACTIVIDAD]],ACTIVIDADES!$B$16,Tabla3[[#All],[CONCEPTO]],ACTIVIDADES!$B$28,Tabla3[[#All],[DETALLES]],Tabla4[[#This Row],[ACTIVIDADES]])</f>
        <v>0</v>
      </c>
      <c r="H29" s="16">
        <f>SUMIFS(Tabla3[[#All],[EGRESOS]],Tabla3[[#All],[PERIODO]],Tabla4[[#Headers],[JUNIO]],Tabla3[[#All],[ACTIVIDAD]],ACTIVIDADES!B16,Tabla3[[#All],[CONCEPTO]],ACTIVIDADES!B28,Tabla3[[#All],[DETALLES]],Tabla4[[#This Row],[ACTIVIDADES]])</f>
        <v>0</v>
      </c>
      <c r="I29" s="16">
        <f>SUMIFS(Tabla3[[#All],[EGRESOS]],Tabla3[[#All],[PERIODO]],Tabla4[[#Headers],[JULIO]],Tabla3[[#All],[ACTIVIDAD]],ACTIVIDADES!B16,Tabla3[[#All],[CONCEPTO]],ACTIVIDADES!B28,Tabla3[[#All],[DETALLES]],Tabla4[[#This Row],[ACTIVIDADES]])</f>
        <v>0</v>
      </c>
      <c r="J29" s="16">
        <f>SUMIFS(Tabla3[[#All],[EGRESOS]],Tabla3[[#All],[PERIODO]],Tabla4[[#Headers],[AGOSTO]],Tabla3[[#All],[ACTIVIDAD]],ACTIVIDADES!B16,Tabla3[[#All],[CONCEPTO]],ACTIVIDADES!B28,Tabla3[[#All],[DETALLES]],Tabla4[[#This Row],[ACTIVIDADES]])</f>
        <v>0</v>
      </c>
      <c r="K29" s="16">
        <f>SUMIFS(Tabla3[[#All],[EGRESOS]],Tabla3[[#All],[PERIODO]],Tabla4[[#Headers],[SEPTIEMBRE]],Tabla3[[#All],[ACTIVIDAD]],ACTIVIDADES!B16,Tabla3[[#All],[CONCEPTO]],ACTIVIDADES!B28,Tabla3[[#All],[DETALLES]],B29)</f>
        <v>0</v>
      </c>
      <c r="L29" s="16">
        <f>SUMIFS(Tabla3[[#All],[EGRESOS]],Tabla3[[#All],[PERIODO]],Tabla4[[#Headers],[OCTUBRE]],Tabla3[[#All],[ACTIVIDAD]],$B$16,Tabla3[[#All],[CONCEPTO]],$B$28,Tabla3[[#All],[DETALLES]],B29)</f>
        <v>0</v>
      </c>
      <c r="M29" s="16">
        <f>SUMIFS(Tabla3[[#All],[EGRESOS]],Tabla3[[#All],[PERIODO]],Tabla4[[#Headers],[NOVIEMBRE]],Tabla3[[#All],[ACTIVIDAD]],$B$16,Tabla3[[#All],[CONCEPTO]],$B$28,Tabla3[[#All],[DETALLES]],B29)</f>
        <v>0</v>
      </c>
      <c r="N29" s="16"/>
      <c r="O29" s="43">
        <f>SUM(Tabla4[[#This Row],[ENERO]:[DICIEMBRE]])</f>
        <v>0</v>
      </c>
      <c r="P29" s="57">
        <f>Tabla4[[#This Row],[USD]]*1140</f>
        <v>8508500</v>
      </c>
      <c r="Q29" s="46">
        <f>Tabla4[[#This Row],[TOTAL]]/Tabla4[[#This Row],[ESTIMADO]]</f>
        <v>0</v>
      </c>
      <c r="R29" s="14">
        <v>7463.5964912280706</v>
      </c>
      <c r="S29" s="14">
        <f>Tabla4[[#This Row],[USD]]/140</f>
        <v>53.311403508771932</v>
      </c>
    </row>
    <row r="30" spans="1:19" x14ac:dyDescent="0.25">
      <c r="A30" s="7"/>
      <c r="B30" s="48" t="s">
        <v>114</v>
      </c>
      <c r="C30" s="16">
        <f>SUMIFS(Tabla3[[#All],[EGRESOS]],Tabla3[[#All],[PERIODO]],Tabla4[[#Headers],[ENERO]],Tabla3[[#All],[ACTIVIDAD]],ACTIVIDADES!$B$16,Tabla3[[#All],[CONCEPTO]],ACTIVIDADES!$B$28,Tabla3[[#All],[DETALLES]],Tabla4[[#This Row],[ACTIVIDADES]])</f>
        <v>0</v>
      </c>
      <c r="D30" s="16">
        <f>SUMIFS(Tabla3[EGRESOS],Tabla3[ACTIVIDAD],ACTIVIDADES!$B$16,Tabla3[PERIODO],Tabla4[[#Headers],[FEBRERO]],Tabla3[CONCEPTO],ACTIVIDADES!B28,Tabla3[DETALLES],Tabla4[[#This Row],[ACTIVIDADES]])</f>
        <v>0</v>
      </c>
      <c r="E30" s="16">
        <f>SUMIFS(Tabla3[[#All],[EGRESOS]],Tabla3[[#All],[PERIODO]],Tabla4[[#Headers],[MARZO]],Tabla3[[#All],[ACTIVIDAD]],ACTIVIDADES!$B$16,Tabla3[[#All],[CONCEPTO]],ACTIVIDADES!$B$28,Tabla3[[#All],[DETALLES]],Tabla4[[#This Row],[ACTIVIDADES]])</f>
        <v>0</v>
      </c>
      <c r="F30" s="16">
        <f>SUMIFS(Tabla3[[#All],[EGRESOS]],Tabla3[[#All],[PERIODO]],Tabla4[[#Headers],[ABRIL]],Tabla3[[#All],[ACTIVIDAD]],ACTIVIDADES!B16,Tabla3[[#All],[CONCEPTO]],ACTIVIDADES!B28,Tabla3[[#All],[DETALLES]],Tabla4[[#This Row],[ACTIVIDADES]])</f>
        <v>0</v>
      </c>
      <c r="G30" s="16">
        <f>SUMIFS(Tabla3[[#All],[EGRESOS]],Tabla3[[#All],[PERIODO]],Tabla4[[#Headers],[MAYO]],Tabla3[[#All],[ACTIVIDAD]],ACTIVIDADES!$B$16,Tabla3[[#All],[CONCEPTO]],ACTIVIDADES!$B$28,Tabla3[[#All],[DETALLES]],Tabla4[[#This Row],[ACTIVIDADES]])</f>
        <v>0</v>
      </c>
      <c r="H30" s="16">
        <f>SUMIFS(Tabla3[[#All],[EGRESOS]],Tabla3[[#All],[PERIODO]],Tabla4[[#Headers],[JUNIO]],Tabla3[[#All],[ACTIVIDAD]],ACTIVIDADES!B16,Tabla3[[#All],[CONCEPTO]],ACTIVIDADES!B28,Tabla3[[#All],[DETALLES]],Tabla4[[#This Row],[ACTIVIDADES]])</f>
        <v>0</v>
      </c>
      <c r="I30" s="16">
        <f>SUMIFS(Tabla3[[#All],[EGRESOS]],Tabla3[[#All],[PERIODO]],Tabla4[[#Headers],[JULIO]],Tabla3[[#All],[ACTIVIDAD]],ACTIVIDADES!B16,Tabla3[[#All],[CONCEPTO]],ACTIVIDADES!B28,Tabla3[[#All],[DETALLES]],Tabla4[[#This Row],[ACTIVIDADES]])</f>
        <v>0</v>
      </c>
      <c r="J30" s="16">
        <f>SUMIFS(Tabla3[[#All],[EGRESOS]],Tabla3[[#All],[PERIODO]],Tabla4[[#Headers],[AGOSTO]],Tabla3[[#All],[ACTIVIDAD]],ACTIVIDADES!B16,Tabla3[[#All],[CONCEPTO]],ACTIVIDADES!B28,Tabla3[[#All],[DETALLES]],Tabla4[[#This Row],[ACTIVIDADES]])</f>
        <v>0</v>
      </c>
      <c r="K30" s="16">
        <f>SUMIFS(Tabla3[[#All],[EGRESOS]],Tabla3[[#All],[PERIODO]],Tabla4[[#Headers],[SEPTIEMBRE]],Tabla3[[#All],[ACTIVIDAD]],ACTIVIDADES!B16,Tabla3[[#All],[CONCEPTO]],ACTIVIDADES!B28,Tabla3[[#All],[DETALLES]],B30)</f>
        <v>0</v>
      </c>
      <c r="L30" s="16">
        <f>SUMIFS(Tabla3[[#All],[EGRESOS]],Tabla3[[#All],[PERIODO]],Tabla4[[#Headers],[OCTUBRE]],Tabla3[[#All],[ACTIVIDAD]],$B$16,Tabla3[[#All],[CONCEPTO]],$B$28,Tabla3[[#All],[DETALLES]],B30)</f>
        <v>0</v>
      </c>
      <c r="M30" s="16">
        <f>SUMIFS(Tabla3[[#All],[EGRESOS]],Tabla3[[#All],[PERIODO]],Tabla4[[#Headers],[NOVIEMBRE]],Tabla3[[#All],[ACTIVIDAD]],$B$16,Tabla3[[#All],[CONCEPTO]],$B$28,Tabla3[[#All],[DETALLES]],B30)</f>
        <v>0</v>
      </c>
      <c r="N30" s="16"/>
      <c r="O30" s="43">
        <f>SUM(Tabla4[[#This Row],[ENERO]:[DICIEMBRE]])</f>
        <v>0</v>
      </c>
      <c r="P30" s="57">
        <f>Tabla4[[#This Row],[USD]]*1140</f>
        <v>31920000</v>
      </c>
      <c r="Q30" s="46">
        <f>Tabla4[[#This Row],[TOTAL]]/Tabla4[[#This Row],[ESTIMADO]]</f>
        <v>0</v>
      </c>
      <c r="R30" s="14">
        <v>28000</v>
      </c>
      <c r="S30" s="14">
        <f>Tabla4[[#This Row],[USD]]/140</f>
        <v>200</v>
      </c>
    </row>
    <row r="31" spans="1:19" x14ac:dyDescent="0.25">
      <c r="A31" s="7"/>
      <c r="B31" s="48" t="s">
        <v>115</v>
      </c>
      <c r="C31" s="16">
        <f>SUMIFS(Tabla3[[#All],[EGRESOS]],Tabla3[[#All],[PERIODO]],Tabla4[[#Headers],[ENERO]],Tabla3[[#All],[ACTIVIDAD]],ACTIVIDADES!$B$16,Tabla3[[#All],[CONCEPTO]],ACTIVIDADES!$B$28,Tabla3[[#All],[DETALLES]],Tabla4[[#This Row],[ACTIVIDADES]])</f>
        <v>0</v>
      </c>
      <c r="D31" s="16">
        <f>SUMIFS(Tabla3[EGRESOS],Tabla3[ACTIVIDAD],ACTIVIDADES!$B$16,Tabla3[PERIODO],Tabla4[[#Headers],[FEBRERO]],Tabla3[CONCEPTO],ACTIVIDADES!B28,Tabla3[DETALLES],Tabla4[[#This Row],[ACTIVIDADES]])</f>
        <v>0</v>
      </c>
      <c r="E31" s="16">
        <f>SUMIFS(Tabla3[[#All],[EGRESOS]],Tabla3[[#All],[PERIODO]],Tabla4[[#Headers],[MARZO]],Tabla3[[#All],[ACTIVIDAD]],ACTIVIDADES!$B$16,Tabla3[[#All],[CONCEPTO]],ACTIVIDADES!$B$28,Tabla3[[#All],[DETALLES]],Tabla4[[#This Row],[ACTIVIDADES]])</f>
        <v>0</v>
      </c>
      <c r="F31" s="16">
        <f>SUMIFS(Tabla3[[#All],[EGRESOS]],Tabla3[[#All],[PERIODO]],Tabla4[[#Headers],[ABRIL]],Tabla3[[#All],[ACTIVIDAD]],ACTIVIDADES!B16,Tabla3[[#All],[CONCEPTO]],ACTIVIDADES!B28,Tabla3[[#All],[DETALLES]],Tabla4[[#This Row],[ACTIVIDADES]])</f>
        <v>0</v>
      </c>
      <c r="G31" s="16">
        <f>SUMIFS(Tabla3[[#All],[EGRESOS]],Tabla3[[#All],[PERIODO]],Tabla4[[#Headers],[MAYO]],Tabla3[[#All],[ACTIVIDAD]],ACTIVIDADES!$B$16,Tabla3[[#All],[CONCEPTO]],ACTIVIDADES!$B$28,Tabla3[[#All],[DETALLES]],Tabla4[[#This Row],[ACTIVIDADES]])</f>
        <v>0</v>
      </c>
      <c r="H31" s="16">
        <f>SUMIFS(Tabla3[[#All],[EGRESOS]],Tabla3[[#All],[PERIODO]],Tabla4[[#Headers],[JUNIO]],Tabla3[[#All],[ACTIVIDAD]],ACTIVIDADES!B16,Tabla3[[#All],[CONCEPTO]],ACTIVIDADES!B28,Tabla3[[#All],[DETALLES]],Tabla4[[#This Row],[ACTIVIDADES]])</f>
        <v>0</v>
      </c>
      <c r="I31" s="16">
        <f>SUMIFS(Tabla3[[#All],[EGRESOS]],Tabla3[[#All],[PERIODO]],Tabla4[[#Headers],[JULIO]],Tabla3[[#All],[ACTIVIDAD]],ACTIVIDADES!B16,Tabla3[[#All],[CONCEPTO]],ACTIVIDADES!B28,Tabla3[[#All],[DETALLES]],Tabla4[[#This Row],[ACTIVIDADES]])</f>
        <v>0</v>
      </c>
      <c r="J31" s="16">
        <f>SUMIFS(Tabla3[[#All],[EGRESOS]],Tabla3[[#All],[PERIODO]],Tabla4[[#Headers],[AGOSTO]],Tabla3[[#All],[ACTIVIDAD]],ACTIVIDADES!B16,Tabla3[[#All],[CONCEPTO]],ACTIVIDADES!B28,Tabla3[[#All],[DETALLES]],Tabla4[[#This Row],[ACTIVIDADES]])</f>
        <v>0</v>
      </c>
      <c r="K31" s="16">
        <f>SUMIFS(Tabla3[[#All],[EGRESOS]],Tabla3[[#All],[PERIODO]],Tabla4[[#Headers],[SEPTIEMBRE]],Tabla3[[#All],[ACTIVIDAD]],ACTIVIDADES!B16,Tabla3[[#All],[CONCEPTO]],ACTIVIDADES!B28,Tabla3[[#All],[DETALLES]],B31)</f>
        <v>0</v>
      </c>
      <c r="L31" s="77">
        <f>SUMIFS(Tabla3[[#All],[EGRESOS]],Tabla3[[#All],[PERIODO]],Tabla4[[#Headers],[OCTUBRE]],Tabla3[[#All],[ACTIVIDAD]],$B$16,Tabla3[[#All],[CONCEPTO]],$B$28,Tabla3[[#All],[DETALLES]],B31)</f>
        <v>0</v>
      </c>
      <c r="M31" s="16">
        <f>SUMIFS(Tabla3[[#All],[EGRESOS]],Tabla3[[#All],[PERIODO]],Tabla4[[#Headers],[NOVIEMBRE]],Tabla3[[#All],[ACTIVIDAD]],$B$16,Tabla3[[#All],[CONCEPTO]],$B$28,Tabla3[[#All],[DETALLES]],B31)</f>
        <v>0</v>
      </c>
      <c r="N31" s="16"/>
      <c r="O31" s="43">
        <f>SUM(Tabla4[[#This Row],[ENERO]:[DICIEMBRE]])</f>
        <v>0</v>
      </c>
      <c r="P31" s="57">
        <f>Tabla4[[#This Row],[USD]]*1140</f>
        <v>5432942.6666666698</v>
      </c>
      <c r="Q31" s="46">
        <f>Tabla4[[#This Row],[TOTAL]]/Tabla4[[#This Row],[ESTIMADO]]</f>
        <v>0</v>
      </c>
      <c r="R31" s="14">
        <v>4765.7391812865526</v>
      </c>
      <c r="S31" s="14">
        <f>Tabla4[[#This Row],[USD]]/140</f>
        <v>34.040994152046807</v>
      </c>
    </row>
    <row r="32" spans="1:19" x14ac:dyDescent="0.25">
      <c r="A32" s="7"/>
      <c r="B32" s="48" t="s">
        <v>113</v>
      </c>
      <c r="C32" s="16">
        <f>SUMIFS(Tabla3[[#All],[EGRESOS]],Tabla3[[#All],[PERIODO]],Tabla4[[#Headers],[ENERO]],Tabla3[[#All],[ACTIVIDAD]],ACTIVIDADES!$B$16,Tabla3[[#All],[CONCEPTO]],ACTIVIDADES!$B$28,Tabla3[[#All],[DETALLES]],Tabla4[[#This Row],[ACTIVIDADES]])</f>
        <v>0</v>
      </c>
      <c r="D32" s="16">
        <f>SUMIFS(Tabla3[EGRESOS],Tabla3[ACTIVIDAD],ACTIVIDADES!$B$16,Tabla3[PERIODO],Tabla4[[#Headers],[FEBRERO]],Tabla3[CONCEPTO],ACTIVIDADES!B28,Tabla3[DETALLES],Tabla4[[#This Row],[ACTIVIDADES]])</f>
        <v>0</v>
      </c>
      <c r="E32" s="16">
        <f>SUMIFS(Tabla3[[#All],[EGRESOS]],Tabla3[[#All],[PERIODO]],Tabla4[[#Headers],[MARZO]],Tabla3[[#All],[ACTIVIDAD]],ACTIVIDADES!$B$16,Tabla3[[#All],[CONCEPTO]],ACTIVIDADES!$B$28,Tabla3[[#All],[DETALLES]],Tabla4[[#This Row],[ACTIVIDADES]])</f>
        <v>0</v>
      </c>
      <c r="F32" s="16">
        <f>SUMIFS(Tabla3[[#All],[EGRESOS]],Tabla3[[#All],[PERIODO]],Tabla4[[#Headers],[ABRIL]],Tabla3[[#All],[ACTIVIDAD]],ACTIVIDADES!B16,Tabla3[[#All],[CONCEPTO]],ACTIVIDADES!B28,Tabla3[[#All],[DETALLES]],Tabla4[[#This Row],[ACTIVIDADES]])</f>
        <v>0</v>
      </c>
      <c r="G32" s="16">
        <f>SUMIFS(Tabla3[[#All],[EGRESOS]],Tabla3[[#All],[PERIODO]],Tabla4[[#Headers],[MAYO]],Tabla3[[#All],[ACTIVIDAD]],ACTIVIDADES!$B$16,Tabla3[[#All],[CONCEPTO]],ACTIVIDADES!$B$28,Tabla3[[#All],[DETALLES]],Tabla4[[#This Row],[ACTIVIDADES]])</f>
        <v>0</v>
      </c>
      <c r="H32" s="16">
        <f>SUMIFS(Tabla3[[#All],[EGRESOS]],Tabla3[[#All],[PERIODO]],Tabla4[[#Headers],[JUNIO]],Tabla3[[#All],[ACTIVIDAD]],ACTIVIDADES!B16,Tabla3[[#All],[CONCEPTO]],ACTIVIDADES!B28,Tabla3[[#All],[DETALLES]],Tabla4[[#This Row],[ACTIVIDADES]])</f>
        <v>0</v>
      </c>
      <c r="I32" s="16">
        <f>SUMIFS(Tabla3[[#All],[EGRESOS]],Tabla3[[#All],[PERIODO]],Tabla4[[#Headers],[JULIO]],Tabla3[[#All],[ACTIVIDAD]],ACTIVIDADES!B16,Tabla3[[#All],[CONCEPTO]],ACTIVIDADES!B28,Tabla3[[#All],[DETALLES]],Tabla4[[#This Row],[ACTIVIDADES]])</f>
        <v>0</v>
      </c>
      <c r="J32" s="16">
        <f>SUMIFS(Tabla3[[#All],[EGRESOS]],Tabla3[[#All],[PERIODO]],Tabla4[[#Headers],[AGOSTO]],Tabla3[[#All],[ACTIVIDAD]],ACTIVIDADES!B16,Tabla3[[#All],[CONCEPTO]],ACTIVIDADES!B28,Tabla3[[#All],[DETALLES]],Tabla4[[#This Row],[ACTIVIDADES]])</f>
        <v>0</v>
      </c>
      <c r="K32" s="16">
        <f>SUMIFS(Tabla3[[#All],[EGRESOS]],Tabla3[[#All],[PERIODO]],Tabla4[[#Headers],[SEPTIEMBRE]],Tabla3[[#All],[ACTIVIDAD]],ACTIVIDADES!B16,Tabla3[[#All],[CONCEPTO]],ACTIVIDADES!B28,Tabla3[[#All],[DETALLES]],B32)</f>
        <v>0</v>
      </c>
      <c r="L32" s="77">
        <f>SUMIFS(Tabla3[[#All],[EGRESOS]],Tabla3[[#All],[PERIODO]],Tabla4[[#Headers],[OCTUBRE]],Tabla3[[#All],[ACTIVIDAD]],$B$16,Tabla3[[#All],[CONCEPTO]],$B$28,Tabla3[[#All],[DETALLES]],B32)</f>
        <v>0</v>
      </c>
      <c r="M32" s="16">
        <f>SUMIFS(Tabla3[[#All],[EGRESOS]],Tabla3[[#All],[PERIODO]],Tabla4[[#Headers],[NOVIEMBRE]],Tabla3[[#All],[ACTIVIDAD]],$B$16,Tabla3[[#All],[CONCEPTO]],$B$28,Tabla3[[#All],[DETALLES]],B32)</f>
        <v>0</v>
      </c>
      <c r="N32" s="16"/>
      <c r="O32" s="43">
        <f>SUM(Tabla4[[#This Row],[ENERO]:[DICIEMBRE]])</f>
        <v>0</v>
      </c>
      <c r="P32" s="57">
        <f>Tabla4[[#This Row],[USD]]*1140</f>
        <v>500000</v>
      </c>
      <c r="Q32" s="46">
        <f>Tabla4[[#This Row],[TOTAL]]/Tabla4[[#This Row],[ESTIMADO]]</f>
        <v>0</v>
      </c>
      <c r="R32" s="14">
        <v>438.59649122807019</v>
      </c>
      <c r="S32" s="14">
        <f>Tabla4[[#This Row],[USD]]/140</f>
        <v>3.1328320802005014</v>
      </c>
    </row>
    <row r="33" spans="1:19" x14ac:dyDescent="0.25">
      <c r="A33" s="7"/>
      <c r="B33" s="48" t="s">
        <v>4</v>
      </c>
      <c r="C33" s="16">
        <f>SUMIFS(Tabla3[[#All],[EGRESOS]],Tabla3[[#All],[PERIODO]],Tabla4[[#Headers],[ENERO]],Tabla3[[#All],[ACTIVIDAD]],ACTIVIDADES!$B$16,Tabla3[[#All],[CONCEPTO]],ACTIVIDADES!$B$28,Tabla3[[#All],[DETALLES]],Tabla4[[#This Row],[ACTIVIDADES]])</f>
        <v>0</v>
      </c>
      <c r="D33" s="16">
        <f>SUMIFS(Tabla3[EGRESOS],Tabla3[ACTIVIDAD],ACTIVIDADES!$B$16,Tabla3[PERIODO],Tabla4[[#Headers],[FEBRERO]],Tabla3[CONCEPTO],ACTIVIDADES!B28,Tabla3[DETALLES],Tabla4[[#This Row],[ACTIVIDADES]])</f>
        <v>0</v>
      </c>
      <c r="E33" s="16">
        <f>SUMIFS(Tabla3[[#All],[EGRESOS]],Tabla3[[#All],[PERIODO]],Tabla4[[#Headers],[MARZO]],Tabla3[[#All],[ACTIVIDAD]],ACTIVIDADES!$B$16,Tabla3[[#All],[CONCEPTO]],ACTIVIDADES!$B$28,Tabla3[[#All],[DETALLES]],Tabla4[[#This Row],[ACTIVIDADES]])</f>
        <v>0</v>
      </c>
      <c r="F33" s="16">
        <f>SUMIFS(Tabla3[[#All],[EGRESOS]],Tabla3[[#All],[PERIODO]],Tabla4[[#Headers],[ABRIL]],Tabla3[[#All],[ACTIVIDAD]],ACTIVIDADES!B16,Tabla3[[#All],[CONCEPTO]],ACTIVIDADES!B28,Tabla3[[#All],[DETALLES]],Tabla4[[#This Row],[ACTIVIDADES]])</f>
        <v>0</v>
      </c>
      <c r="G33" s="16">
        <f>SUMIFS(Tabla3[[#All],[EGRESOS]],Tabla3[[#All],[PERIODO]],Tabla4[[#Headers],[MAYO]],Tabla3[[#All],[ACTIVIDAD]],ACTIVIDADES!$B$16,Tabla3[[#All],[CONCEPTO]],ACTIVIDADES!$B$28,Tabla3[[#All],[DETALLES]],Tabla4[[#This Row],[ACTIVIDADES]])</f>
        <v>0</v>
      </c>
      <c r="H33" s="16">
        <f>SUMIFS(Tabla3[[#All],[EGRESOS]],Tabla3[[#All],[PERIODO]],Tabla4[[#Headers],[JUNIO]],Tabla3[[#All],[ACTIVIDAD]],ACTIVIDADES!B16,Tabla3[[#All],[CONCEPTO]],ACTIVIDADES!B28,Tabla3[[#All],[DETALLES]],Tabla4[[#This Row],[ACTIVIDADES]])</f>
        <v>0</v>
      </c>
      <c r="I33" s="16">
        <f>SUMIFS(Tabla3[[#All],[EGRESOS]],Tabla3[[#All],[PERIODO]],Tabla4[[#Headers],[JULIO]],Tabla3[[#All],[ACTIVIDAD]],ACTIVIDADES!B16,Tabla3[[#All],[CONCEPTO]],ACTIVIDADES!B28,Tabla3[[#All],[DETALLES]],Tabla4[[#This Row],[ACTIVIDADES]])</f>
        <v>0</v>
      </c>
      <c r="J33" s="16">
        <f>SUMIFS(Tabla3[[#All],[EGRESOS]],Tabla3[[#All],[PERIODO]],Tabla4[[#Headers],[AGOSTO]],Tabla3[[#All],[ACTIVIDAD]],ACTIVIDADES!B16,Tabla3[[#All],[CONCEPTO]],ACTIVIDADES!B28,Tabla3[[#All],[DETALLES]],Tabla4[[#This Row],[ACTIVIDADES]])</f>
        <v>0</v>
      </c>
      <c r="K33" s="16">
        <f>SUMIFS(Tabla3[[#All],[EGRESOS]],Tabla3[[#All],[PERIODO]],Tabla4[[#Headers],[SEPTIEMBRE]],Tabla3[[#All],[ACTIVIDAD]],ACTIVIDADES!B16,Tabla3[[#All],[CONCEPTO]],ACTIVIDADES!B28,Tabla3[[#All],[DETALLES]],B33)</f>
        <v>0</v>
      </c>
      <c r="L33" s="77">
        <f>SUMIFS(Tabla3[[#All],[EGRESOS]],Tabla3[[#All],[PERIODO]],Tabla4[[#Headers],[OCTUBRE]],Tabla3[[#All],[ACTIVIDAD]],$B$16,Tabla3[[#All],[CONCEPTO]],$B$28,Tabla3[[#All],[DETALLES]],B33)</f>
        <v>0</v>
      </c>
      <c r="M33" s="16">
        <f>SUMIFS(Tabla3[[#All],[EGRESOS]],Tabla3[[#All],[PERIODO]],Tabla4[[#Headers],[NOVIEMBRE]],Tabla3[[#All],[ACTIVIDAD]],$B$16,Tabla3[[#All],[CONCEPTO]],$B$28,Tabla3[[#All],[DETALLES]],B33)</f>
        <v>0</v>
      </c>
      <c r="N33" s="16"/>
      <c r="O33" s="43">
        <f>SUM(Tabla4[[#This Row],[ENERO]:[DICIEMBRE]])</f>
        <v>0</v>
      </c>
      <c r="P33" s="57">
        <f>Tabla4[[#This Row],[USD]]*1140</f>
        <v>56517052.342599966</v>
      </c>
      <c r="Q33" s="46">
        <f>Tabla4[[#This Row],[TOTAL]]/Tabla4[[#This Row],[ESTIMADO]]</f>
        <v>0</v>
      </c>
      <c r="R33" s="14">
        <v>49576.361704035058</v>
      </c>
      <c r="S33" s="14">
        <f>Tabla4[[#This Row],[USD]]/140</f>
        <v>354.11686931453613</v>
      </c>
    </row>
    <row r="34" spans="1:19" x14ac:dyDescent="0.25">
      <c r="A34" s="7"/>
      <c r="B34" s="48" t="s">
        <v>56</v>
      </c>
      <c r="C34" s="16">
        <f>SUMIFS(Tabla3[[#All],[EGRESOS]],Tabla3[[#All],[PERIODO]],Tabla4[[#Headers],[ENERO]],Tabla3[[#All],[ACTIVIDAD]],ACTIVIDADES!$B$16,Tabla3[[#All],[CONCEPTO]],ACTIVIDADES!$B$28,Tabla3[[#All],[DETALLES]],Tabla4[[#This Row],[ACTIVIDADES]])</f>
        <v>0</v>
      </c>
      <c r="D34" s="16">
        <f>SUMIFS(Tabla3[EGRESOS],Tabla3[ACTIVIDAD],ACTIVIDADES!$B$16,Tabla3[PERIODO],Tabla4[[#Headers],[FEBRERO]],Tabla3[CONCEPTO],ACTIVIDADES!B28,Tabla3[DETALLES],Tabla4[[#This Row],[ACTIVIDADES]])</f>
        <v>0</v>
      </c>
      <c r="E34" s="16">
        <f>SUMIFS(Tabla3[[#All],[EGRESOS]],Tabla3[[#All],[PERIODO]],Tabla4[[#Headers],[MARZO]],Tabla3[[#All],[ACTIVIDAD]],ACTIVIDADES!$B$16,Tabla3[[#All],[CONCEPTO]],ACTIVIDADES!$B$28,Tabla3[[#All],[DETALLES]],Tabla4[[#This Row],[ACTIVIDADES]])</f>
        <v>0</v>
      </c>
      <c r="F34" s="16">
        <f>SUMIFS(Tabla3[[#All],[EGRESOS]],Tabla3[[#All],[PERIODO]],Tabla4[[#Headers],[ABRIL]],Tabla3[[#All],[ACTIVIDAD]],ACTIVIDADES!B16,Tabla3[[#All],[CONCEPTO]],ACTIVIDADES!B28,Tabla3[[#All],[DETALLES]],Tabla4[[#This Row],[ACTIVIDADES]])</f>
        <v>0</v>
      </c>
      <c r="G34" s="16">
        <f>SUMIFS(Tabla3[[#All],[EGRESOS]],Tabla3[[#All],[PERIODO]],Tabla4[[#Headers],[MAYO]],Tabla3[[#All],[ACTIVIDAD]],ACTIVIDADES!$B$16,Tabla3[[#All],[CONCEPTO]],ACTIVIDADES!$B$28,Tabla3[[#All],[DETALLES]],Tabla4[[#This Row],[ACTIVIDADES]])</f>
        <v>0</v>
      </c>
      <c r="H34" s="16">
        <f>SUMIFS(Tabla3[[#All],[EGRESOS]],Tabla3[[#All],[PERIODO]],Tabla4[[#Headers],[JUNIO]],Tabla3[[#All],[ACTIVIDAD]],ACTIVIDADES!B16,Tabla3[[#All],[CONCEPTO]],ACTIVIDADES!B28,Tabla3[[#All],[DETALLES]],Tabla4[[#This Row],[ACTIVIDADES]])</f>
        <v>0</v>
      </c>
      <c r="I34" s="16">
        <f>SUMIFS(Tabla3[[#All],[EGRESOS]],Tabla3[[#All],[PERIODO]],Tabla4[[#Headers],[JULIO]],Tabla3[[#All],[ACTIVIDAD]],ACTIVIDADES!B16,Tabla3[[#All],[CONCEPTO]],ACTIVIDADES!B28,Tabla3[[#All],[DETALLES]],Tabla4[[#This Row],[ACTIVIDADES]])</f>
        <v>0</v>
      </c>
      <c r="J34" s="16">
        <f>SUMIFS(Tabla3[[#All],[EGRESOS]],Tabla3[[#All],[PERIODO]],Tabla4[[#Headers],[AGOSTO]],Tabla3[[#All],[ACTIVIDAD]],ACTIVIDADES!B16,Tabla3[[#All],[CONCEPTO]],ACTIVIDADES!B28,Tabla3[[#All],[DETALLES]],Tabla4[[#This Row],[ACTIVIDADES]])</f>
        <v>0</v>
      </c>
      <c r="K34" s="16">
        <f>SUMIFS(Tabla3[[#All],[EGRESOS]],Tabla3[[#All],[PERIODO]],Tabla4[[#Headers],[SEPTIEMBRE]],Tabla3[[#All],[ACTIVIDAD]],ACTIVIDADES!B16,Tabla3[[#All],[CONCEPTO]],ACTIVIDADES!B28,Tabla3[[#All],[DETALLES]],B34)</f>
        <v>0</v>
      </c>
      <c r="L34" s="77">
        <f>SUMIFS(Tabla3[[#All],[EGRESOS]],Tabla3[[#All],[PERIODO]],Tabla4[[#Headers],[OCTUBRE]],Tabla3[[#All],[ACTIVIDAD]],$B$16,Tabla3[[#All],[CONCEPTO]],$B$28,Tabla3[[#All],[DETALLES]],B34)</f>
        <v>0</v>
      </c>
      <c r="M34" s="16">
        <f>SUMIFS(Tabla3[[#All],[EGRESOS]],Tabla3[[#All],[PERIODO]],Tabla4[[#Headers],[NOVIEMBRE]],Tabla3[[#All],[ACTIVIDAD]],$B$16,Tabla3[[#All],[CONCEPTO]],$B$28,Tabla3[[#All],[DETALLES]],B34)</f>
        <v>0</v>
      </c>
      <c r="N34" s="16"/>
      <c r="O34" s="43">
        <f>SUM(Tabla4[[#This Row],[ENERO]:[DICIEMBRE]])</f>
        <v>0</v>
      </c>
      <c r="P34" s="57">
        <f>Tabla4[[#This Row],[USD]]*1140</f>
        <v>38818659.384615369</v>
      </c>
      <c r="Q34" s="46">
        <f>Tabla4[[#This Row],[TOTAL]]/Tabla4[[#This Row],[ESTIMADO]]</f>
        <v>0</v>
      </c>
      <c r="R34" s="14">
        <v>34051.455600539797</v>
      </c>
      <c r="S34" s="14">
        <f>Tabla4[[#This Row],[USD]]/140</f>
        <v>243.22468286099854</v>
      </c>
    </row>
    <row r="35" spans="1:19" x14ac:dyDescent="0.25">
      <c r="A35" s="7"/>
      <c r="B35" s="48" t="s">
        <v>117</v>
      </c>
      <c r="C35" s="16">
        <f>SUMIFS(Tabla3[[#All],[EGRESOS]],Tabla3[[#All],[PERIODO]],Tabla4[[#Headers],[ENERO]],Tabla3[[#All],[ACTIVIDAD]],ACTIVIDADES!$B$16,Tabla3[[#All],[CONCEPTO]],ACTIVIDADES!$B$28,Tabla3[[#All],[DETALLES]],Tabla4[[#This Row],[ACTIVIDADES]])</f>
        <v>0</v>
      </c>
      <c r="D35" s="16">
        <f>SUMIFS(Tabla3[EGRESOS],Tabla3[ACTIVIDAD],ACTIVIDADES!$B$16,Tabla3[PERIODO],Tabla4[[#Headers],[FEBRERO]],Tabla3[CONCEPTO],ACTIVIDADES!B28,Tabla3[DETALLES],Tabla4[[#This Row],[ACTIVIDADES]])</f>
        <v>0</v>
      </c>
      <c r="E35" s="16">
        <f>SUMIFS(Tabla3[[#All],[EGRESOS]],Tabla3[[#All],[PERIODO]],Tabla4[[#Headers],[MARZO]],Tabla3[[#All],[ACTIVIDAD]],ACTIVIDADES!$B$16,Tabla3[[#All],[CONCEPTO]],ACTIVIDADES!$B$28,Tabla3[[#All],[DETALLES]],Tabla4[[#This Row],[ACTIVIDADES]])</f>
        <v>0</v>
      </c>
      <c r="F35" s="16">
        <f>SUMIFS(Tabla3[[#All],[EGRESOS]],Tabla3[[#All],[PERIODO]],Tabla4[[#Headers],[ABRIL]],Tabla3[[#All],[ACTIVIDAD]],ACTIVIDADES!B16,Tabla3[[#All],[CONCEPTO]],ACTIVIDADES!B28,Tabla3[[#All],[DETALLES]],Tabla4[[#This Row],[ACTIVIDADES]])</f>
        <v>0</v>
      </c>
      <c r="G35" s="16">
        <f>SUMIFS(Tabla3[[#All],[EGRESOS]],Tabla3[[#All],[PERIODO]],Tabla4[[#Headers],[MAYO]],Tabla3[[#All],[ACTIVIDAD]],ACTIVIDADES!$B$16,Tabla3[[#All],[CONCEPTO]],ACTIVIDADES!$B$28,Tabla3[[#All],[DETALLES]],Tabla4[[#This Row],[ACTIVIDADES]])</f>
        <v>0</v>
      </c>
      <c r="H35" s="16">
        <f>SUMIFS(Tabla3[[#All],[EGRESOS]],Tabla3[[#All],[PERIODO]],Tabla4[[#Headers],[JUNIO]],Tabla3[[#All],[ACTIVIDAD]],ACTIVIDADES!B16,Tabla3[[#All],[CONCEPTO]],ACTIVIDADES!B28,Tabla3[[#All],[DETALLES]],Tabla4[[#This Row],[ACTIVIDADES]])</f>
        <v>0</v>
      </c>
      <c r="I35" s="16">
        <f>SUMIFS(Tabla3[[#All],[EGRESOS]],Tabla3[[#All],[PERIODO]],Tabla4[[#Headers],[JULIO]],Tabla3[[#All],[ACTIVIDAD]],ACTIVIDADES!B16,Tabla3[[#All],[CONCEPTO]],ACTIVIDADES!B28,Tabla3[[#All],[DETALLES]],Tabla4[[#This Row],[ACTIVIDADES]])</f>
        <v>0</v>
      </c>
      <c r="J35" s="16">
        <f>SUMIFS(Tabla3[[#All],[EGRESOS]],Tabla3[[#All],[PERIODO]],Tabla4[[#Headers],[AGOSTO]],Tabla3[[#All],[ACTIVIDAD]],ACTIVIDADES!B16,Tabla3[[#All],[CONCEPTO]],ACTIVIDADES!B28,Tabla3[[#All],[DETALLES]],Tabla4[[#This Row],[ACTIVIDADES]])</f>
        <v>0</v>
      </c>
      <c r="K35" s="16">
        <f>SUMIFS(Tabla3[[#All],[EGRESOS]],Tabla3[[#All],[PERIODO]],Tabla4[[#Headers],[SEPTIEMBRE]],Tabla3[[#All],[ACTIVIDAD]],ACTIVIDADES!B16,Tabla3[[#All],[CONCEPTO]],ACTIVIDADES!B28,Tabla3[[#All],[DETALLES]],B35)</f>
        <v>0</v>
      </c>
      <c r="L35" s="77">
        <f>SUMIFS(Tabla3[[#All],[EGRESOS]],Tabla3[[#All],[PERIODO]],Tabla4[[#Headers],[OCTUBRE]],Tabla3[[#All],[ACTIVIDAD]],$B$16,Tabla3[[#All],[CONCEPTO]],$B$28,Tabla3[[#All],[DETALLES]],B35)</f>
        <v>0</v>
      </c>
      <c r="M35" s="16">
        <f>SUMIFS(Tabla3[[#All],[EGRESOS]],Tabla3[[#All],[PERIODO]],Tabla4[[#Headers],[NOVIEMBRE]],Tabla3[[#All],[ACTIVIDAD]],$B$16,Tabla3[[#All],[CONCEPTO]],$B$28,Tabla3[[#All],[DETALLES]],B35)</f>
        <v>0</v>
      </c>
      <c r="N35" s="16"/>
      <c r="O35" s="43">
        <f>SUM(Tabla4[[#This Row],[ENERO]:[DICIEMBRE]])</f>
        <v>0</v>
      </c>
      <c r="P35" s="57">
        <f>Tabla4[[#This Row],[USD]]*1140</f>
        <v>13740125.165477982</v>
      </c>
      <c r="Q35" s="46">
        <f>Tabla4[[#This Row],[TOTAL]]/Tabla4[[#This Row],[ESTIMADO]]</f>
        <v>0</v>
      </c>
      <c r="R35" s="14">
        <v>12052.741373226299</v>
      </c>
      <c r="S35" s="14">
        <f>Tabla4[[#This Row],[USD]]/140</f>
        <v>86.091009808759281</v>
      </c>
    </row>
    <row r="36" spans="1:19" x14ac:dyDescent="0.25">
      <c r="A36" s="7"/>
      <c r="B36" s="48" t="s">
        <v>116</v>
      </c>
      <c r="C36" s="16">
        <f>SUMIFS(Tabla3[[#All],[EGRESOS]],Tabla3[[#All],[PERIODO]],Tabla4[[#Headers],[ENERO]],Tabla3[[#All],[ACTIVIDAD]],ACTIVIDADES!$B$15,Tabla3[[#All],[CONCEPTO]],ACTIVIDADES!$B$28,Tabla3[[#All],[DETALLES]],Tabla4[[#This Row],[ACTIVIDADES]])</f>
        <v>0</v>
      </c>
      <c r="D36" s="16">
        <f>SUMIFS(Tabla3[[#All],[INGRESOS]],Tabla3[[#All],[FECHA]],Tabla4[[#Headers],[FEBRERO]],Tabla3[[#All],[RUBRO]],ACTIVIDADES!$B$15,Tabla3[[#All],[DETALLES]],ACTIVIDADES!$B$28,Tabla3[[#All],[PROVEEDOR CLIENTE]],Tabla4[[#This Row],[ACTIVIDADES]])</f>
        <v>0</v>
      </c>
      <c r="E36" s="16">
        <f>SUMIFS(Tabla3[[#All],[EGRESOS]],Tabla3[[#All],[PERIODO]],Tabla4[[#Headers],[MARZO]],Tabla3[[#All],[ACTIVIDAD]],ACTIVIDADES!B16,Tabla3[[#All],[CONCEPTO]],ACTIVIDADES!B28,Tabla3[[#All],[DETALLES]],Tabla4[[#This Row],[ACTIVIDADES]])</f>
        <v>0</v>
      </c>
      <c r="F36" s="16">
        <f>SUMIFS(Tabla3[[#All],[EGRESOS]],Tabla3[[#All],[PERIODO]],Tabla4[[#Headers],[ABRIL]],Tabla3[[#All],[ACTIVIDAD]],ACTIVIDADES!B16,Tabla3[[#All],[CONCEPTO]],ACTIVIDADES!B28,Tabla3[[#All],[DETALLES]],Tabla4[[#This Row],[ACTIVIDADES]])</f>
        <v>0</v>
      </c>
      <c r="G36" s="16">
        <f>SUMIFS(Tabla3[[#All],[EGRESOS]],Tabla3[[#All],[PERIODO]],Tabla4[[#Headers],[MAYO]],Tabla3[[#All],[ACTIVIDAD]],ACTIVIDADES!B16,Tabla3[[#All],[CONCEPTO]],ACTIVIDADES!B28,Tabla3[[#All],[DETALLES]],Tabla4[[#This Row],[ACTIVIDADES]])</f>
        <v>0</v>
      </c>
      <c r="H36" s="16">
        <f>SUMIFS(Tabla3[[#All],[EGRESOS]],Tabla3[[#All],[PERIODO]],Tabla4[[#Headers],[JUNIO]],Tabla3[[#All],[ACTIVIDAD]],ACTIVIDADES!B16,Tabla3[[#All],[CONCEPTO]],ACTIVIDADES!B28,Tabla3[[#All],[DETALLES]],Tabla4[[#This Row],[ACTIVIDADES]])</f>
        <v>0</v>
      </c>
      <c r="I36" s="16">
        <f>SUMIFS(Tabla3[[#All],[EGRESOS]],Tabla3[[#All],[PERIODO]],Tabla4[[#Headers],[JULIO]],Tabla3[[#All],[ACTIVIDAD]],ACTIVIDADES!B16,Tabla3[[#All],[CONCEPTO]],ACTIVIDADES!B28,Tabla3[[#All],[DETALLES]],Tabla4[[#This Row],[ACTIVIDADES]])</f>
        <v>0</v>
      </c>
      <c r="J36" s="16">
        <f>SUMIFS(Tabla3[[#All],[EGRESOS]],Tabla3[[#All],[PERIODO]],Tabla4[[#Headers],[AGOSTO]],Tabla3[[#All],[ACTIVIDAD]],ACTIVIDADES!B16,Tabla3[[#All],[CONCEPTO]],ACTIVIDADES!B28,Tabla3[[#All],[DETALLES]],Tabla4[[#This Row],[ACTIVIDADES]])</f>
        <v>0</v>
      </c>
      <c r="K36" s="16">
        <f>SUMIFS(Tabla3[[#All],[EGRESOS]],Tabla3[[#All],[PERIODO]],Tabla4[[#Headers],[SEPTIEMBRE]],Tabla3[[#All],[ACTIVIDAD]],ACTIVIDADES!B16,Tabla3[[#All],[CONCEPTO]],ACTIVIDADES!B28,Tabla3[[#All],[DETALLES]],B36)</f>
        <v>0</v>
      </c>
      <c r="L36" s="77">
        <f>SUMIFS(Tabla3[[#All],[EGRESOS]],Tabla3[[#All],[PERIODO]],Tabla4[[#Headers],[OCTUBRE]],Tabla3[[#All],[ACTIVIDAD]],$B$16,Tabla3[[#All],[CONCEPTO]],$B$28,Tabla3[[#All],[DETALLES]],B36)</f>
        <v>0</v>
      </c>
      <c r="M36" s="16">
        <f>SUMIFS(Tabla3[[#All],[EGRESOS]],Tabla3[[#All],[PERIODO]],Tabla4[[#Headers],[NOVIEMBRE]],Tabla3[[#All],[ACTIVIDAD]],$B$16,Tabla3[[#All],[CONCEPTO]],$B$28,Tabla3[[#All],[DETALLES]],B36)</f>
        <v>0</v>
      </c>
      <c r="N36" s="16"/>
      <c r="O36" s="43">
        <f>SUM(Tabla4[[#This Row],[ENERO]:[DICIEMBRE]])</f>
        <v>0</v>
      </c>
      <c r="P36" s="57">
        <f>Tabla4[[#This Row],[USD]]*1400</f>
        <v>29400000</v>
      </c>
      <c r="Q36" s="46">
        <f>Tabla4[[#This Row],[TOTAL]]/Tabla4[[#This Row],[ESTIMADO]]</f>
        <v>0</v>
      </c>
      <c r="R36" s="14">
        <v>21000</v>
      </c>
      <c r="S36" s="14">
        <f>Tabla4[[#This Row],[USD]]/140</f>
        <v>150</v>
      </c>
    </row>
    <row r="37" spans="1:19" x14ac:dyDescent="0.25">
      <c r="A37" s="7"/>
      <c r="B37" s="93" t="s">
        <v>124</v>
      </c>
      <c r="C37" s="83"/>
      <c r="D37" s="83"/>
      <c r="E37" s="83"/>
      <c r="F37" s="83"/>
      <c r="G37" s="83"/>
      <c r="H37" s="83"/>
      <c r="I37" s="83"/>
      <c r="J37" s="83"/>
      <c r="K37" s="83">
        <f>SUMIFS(Tabla3[[#All],[EGRESOS]],Tabla3[[#All],[PERIODO]],Tabla4[[#Headers],[SEPTIEMBRE]],Tabla3[[#All],[ACTIVIDAD]],ACTIVIDADES!B16,Tabla3[[#All],[CONCEPTO]],ACTIVIDADES!B28,Tabla3[[#All],[DETALLES]],B37)</f>
        <v>0</v>
      </c>
      <c r="L37" s="83">
        <f>SUMIFS(Tabla3[[#All],[EGRESOS]],Tabla3[[#All],[PERIODO]],Tabla4[[#Headers],[OCTUBRE]],Tabla3[[#All],[ACTIVIDAD]],$B$16,Tabla3[[#All],[CONCEPTO]],$B$28,Tabla3[[#All],[DETALLES]],B37)</f>
        <v>0</v>
      </c>
      <c r="M37" s="83">
        <f>SUMIFS(Tabla3[[#All],[EGRESOS]],Tabla3[[#All],[PERIODO]],Tabla4[[#Headers],[NOVIEMBRE]],Tabla3[[#All],[ACTIVIDAD]],$B$16,Tabla3[[#All],[CONCEPTO]],$B$28,Tabla3[[#All],[DETALLES]],B37)</f>
        <v>0</v>
      </c>
      <c r="N37" s="83"/>
      <c r="O37" s="72">
        <f>SUM(Tabla4[[#This Row],[ENERO]:[DICIEMBRE]])</f>
        <v>0</v>
      </c>
      <c r="P37" s="72">
        <f>Tabla4[[#This Row],[USD]]*1400</f>
        <v>280000</v>
      </c>
      <c r="Q37" s="84">
        <f>Tabla4[[#This Row],[TOTAL]]/Tabla4[[#This Row],[ESTIMADO]]</f>
        <v>0</v>
      </c>
      <c r="R37" s="85">
        <v>200</v>
      </c>
      <c r="S37" s="85">
        <f>Tabla4[[#This Row],[USD]]/140</f>
        <v>1.4285714285714286</v>
      </c>
    </row>
    <row r="38" spans="1:19" x14ac:dyDescent="0.25">
      <c r="A38" s="7"/>
      <c r="B38" s="47" t="s">
        <v>52</v>
      </c>
      <c r="C38" s="72">
        <f>SUBTOTAL(109,C39:C43)</f>
        <v>1187657.08</v>
      </c>
      <c r="D38" s="72">
        <f t="shared" ref="D38:N38" si="3">SUBTOTAL(109,D39:D43)</f>
        <v>1370600.02</v>
      </c>
      <c r="E38" s="72">
        <f t="shared" si="3"/>
        <v>0</v>
      </c>
      <c r="F38" s="72">
        <f t="shared" si="3"/>
        <v>0</v>
      </c>
      <c r="G38" s="72">
        <f t="shared" si="3"/>
        <v>0</v>
      </c>
      <c r="H38" s="72">
        <f t="shared" si="3"/>
        <v>0</v>
      </c>
      <c r="I38" s="72">
        <f t="shared" si="3"/>
        <v>0</v>
      </c>
      <c r="J38" s="72">
        <f t="shared" si="3"/>
        <v>0</v>
      </c>
      <c r="K38" s="72">
        <f t="shared" si="3"/>
        <v>0</v>
      </c>
      <c r="L38" s="72">
        <f t="shared" si="3"/>
        <v>0</v>
      </c>
      <c r="M38" s="72">
        <f t="shared" si="3"/>
        <v>0</v>
      </c>
      <c r="N38" s="72">
        <f t="shared" si="3"/>
        <v>0</v>
      </c>
      <c r="O38" s="72">
        <f>SUBTOTAL(109,O39:O43)</f>
        <v>2558257.1</v>
      </c>
      <c r="P38" s="72">
        <f>SUBTOTAL(109,P39:P43)</f>
        <v>448600000</v>
      </c>
      <c r="Q38" s="86">
        <f>Tabla4[[#This Row],[TOTAL]]/Tabla4[[#This Row],[ESTIMADO]]</f>
        <v>5.7027576905929562E-3</v>
      </c>
      <c r="R38" s="87">
        <f>SUBTOTAL(109,R39:R43)</f>
        <v>383418.80341880344</v>
      </c>
      <c r="S38" s="61"/>
    </row>
    <row r="39" spans="1:19" x14ac:dyDescent="0.25">
      <c r="A39" s="7"/>
      <c r="B39" s="48" t="s">
        <v>54</v>
      </c>
      <c r="C39" s="16">
        <f>SUMIFS(Tabla3[[#All],[EGRESOS]],Tabla3[[#All],[PERIODO]],Tabla4[[#Headers],[ENERO]],Tabla3[[#All],[ACTIVIDAD]],ACTIVIDADES!B38,Tabla3[[#All],[CONCEPTO]],Tabla4[[#This Row],[ACTIVIDADES]])</f>
        <v>570657.07999999996</v>
      </c>
      <c r="D39" s="16">
        <f>SUMIFS(Tabla3[EGRESOS],Tabla3[ACTIVIDAD],ACTIVIDADES!$B$38,Tabla3[CONCEPTO],ACTIVIDADES!B39,Tabla3[PERIODO],Tabla4[[#Headers],[FEBRERO]])</f>
        <v>662600.02</v>
      </c>
      <c r="E39" s="16">
        <f>SUMIFS(Tabla3[[#All],[EGRESOS]],Tabla3[[#All],[PERIODO]],Tabla4[[#Headers],[MARZO]],Tabla3[[#All],[ACTIVIDAD]],ACTIVIDADES!B38,Tabla3[[#All],[CONCEPTO]],Tabla4[[#This Row],[ACTIVIDADES]])</f>
        <v>0</v>
      </c>
      <c r="F39" s="16">
        <f>SUMIFS(Tabla3[[#All],[EGRESOS]],Tabla3[[#All],[PERIODO]],Tabla4[[#Headers],[ABRIL]],Tabla3[[#All],[ACTIVIDAD]],ACTIVIDADES!B38,Tabla3[[#All],[CONCEPTO]],Tabla4[[#This Row],[ACTIVIDADES]])</f>
        <v>0</v>
      </c>
      <c r="G39" s="16">
        <f>SUMIFS(Tabla3[[#All],[EGRESOS]],Tabla3[[#All],[PERIODO]],Tabla4[[#Headers],[MAYO]],Tabla3[[#All],[ACTIVIDAD]],ACTIVIDADES!B38,Tabla3[[#All],[CONCEPTO]],Tabla4[[#This Row],[ACTIVIDADES]])</f>
        <v>0</v>
      </c>
      <c r="H39" s="16">
        <f>SUMIFS(Tabla3[[#All],[EGRESOS]],Tabla3[[#All],[PERIODO]],Tabla4[[#Headers],[JUNIO]],Tabla3[[#All],[ACTIVIDAD]],ACTIVIDADES!B38,Tabla3[[#All],[CONCEPTO]],Tabla4[[#This Row],[ACTIVIDADES]])</f>
        <v>0</v>
      </c>
      <c r="I39" s="16">
        <f>SUMIFS(Tabla3[[#All],[EGRESOS]],Tabla3[[#All],[PERIODO]],Tabla4[[#Headers],[JULIO]],Tabla3[[#All],[ACTIVIDAD]],ACTIVIDADES!B38,Tabla3[[#All],[CONCEPTO]],Tabla4[[#This Row],[ACTIVIDADES]])</f>
        <v>0</v>
      </c>
      <c r="J39" s="16">
        <f>SUMIFS(Tabla3[[#All],[EGRESOS]],Tabla3[[#All],[PERIODO]],Tabla4[[#Headers],[AGOSTO]],Tabla3[[#All],[ACTIVIDAD]],ACTIVIDADES!B38,Tabla3[[#All],[CONCEPTO]],Tabla4[[#This Row],[ACTIVIDADES]])</f>
        <v>0</v>
      </c>
      <c r="K39" s="16">
        <f>SUMIFS(Tabla3[[#All],[EGRESOS]],Tabla3[[#All],[PERIODO]],Tabla4[[#Headers],[SEPTIEMBRE]],Tabla3[[#All],[ACTIVIDAD]],ACTIVIDADES!B38,Tabla3[[#All],[CONCEPTO]],Tabla4[[#This Row],[ACTIVIDADES]])</f>
        <v>0</v>
      </c>
      <c r="L39" s="16">
        <f>SUMIFS(Tabla3[[#All],[EGRESOS]],Tabla3[[#All],[PERIODO]],Tabla4[[#Headers],[OCTUBRE]],Tabla3[[#All],[ACTIVIDAD]],$B$38,Tabla3[[#All],[CONCEPTO]],Tabla4[[#This Row],[ACTIVIDADES]])</f>
        <v>0</v>
      </c>
      <c r="M39" s="16">
        <f>SUMIFS(Tabla3[[#All],[EGRESOS]],Tabla3[[#All],[PERIODO]],Tabla4[[#Headers],[NOVIEMBRE]],Tabla3[[#All],[ACTIVIDAD]],$B$38,Tabla3[[#All],[CONCEPTO]],Tabla4[[#This Row],[ACTIVIDADES]])</f>
        <v>0</v>
      </c>
      <c r="N39" s="16"/>
      <c r="O39" s="43">
        <f>SUM(Tabla4[[#This Row],[ENERO]:[DICIEMBRE]])</f>
        <v>1233257.1000000001</v>
      </c>
      <c r="P39" s="57">
        <v>8000000</v>
      </c>
      <c r="Q39" s="46">
        <f>Tabla4[[#This Row],[TOTAL]]/Tabla4[[#This Row],[ESTIMADO]]</f>
        <v>0.15415713750000001</v>
      </c>
      <c r="R39" s="14">
        <f>Tabla4[[#This Row],[ESTIMADO]]/1170</f>
        <v>6837.6068376068379</v>
      </c>
      <c r="S39" s="7"/>
    </row>
    <row r="40" spans="1:19" x14ac:dyDescent="0.25">
      <c r="A40" s="7"/>
      <c r="B40" s="48" t="s">
        <v>36</v>
      </c>
      <c r="C40" s="16">
        <f>SUMIFS(Tabla3[[#All],[EGRESOS]],Tabla3[[#All],[PERIODO]],Tabla4[[#Headers],[ENERO]],Tabla3[[#All],[ACTIVIDAD]],ACTIVIDADES!B38,Tabla3[[#All],[CONCEPTO]],Tabla4[[#This Row],[ACTIVIDADES]])</f>
        <v>0</v>
      </c>
      <c r="D40" s="16">
        <f>SUMIFS(Tabla3[EGRESOS],Tabla3[ACTIVIDAD],ACTIVIDADES!$B$38,Tabla3[CONCEPTO],ACTIVIDADES!B40,Tabla3[PERIODO],Tabla4[[#Headers],[FEBRERO]])</f>
        <v>48000</v>
      </c>
      <c r="E40" s="16">
        <f>SUMIFS(Tabla3[[#All],[EGRESOS]],Tabla3[[#All],[PERIODO]],Tabla4[[#Headers],[MARZO]],Tabla3[[#All],[ACTIVIDAD]],ACTIVIDADES!B38,Tabla3[[#All],[CONCEPTO]],Tabla4[[#This Row],[ACTIVIDADES]])</f>
        <v>0</v>
      </c>
      <c r="F40" s="16">
        <f>SUMIFS(Tabla3[[#All],[EGRESOS]],Tabla3[[#All],[PERIODO]],Tabla4[[#Headers],[ABRIL]],Tabla3[[#All],[ACTIVIDAD]],ACTIVIDADES!B38,Tabla3[[#All],[CONCEPTO]],Tabla4[[#This Row],[ACTIVIDADES]])</f>
        <v>0</v>
      </c>
      <c r="G40" s="16">
        <f>SUMIFS(Tabla3[[#All],[EGRESOS]],Tabla3[[#All],[PERIODO]],Tabla4[[#Headers],[MAYO]],Tabla3[[#All],[ACTIVIDAD]],ACTIVIDADES!B38,Tabla3[[#All],[CONCEPTO]],Tabla4[[#This Row],[ACTIVIDADES]])</f>
        <v>0</v>
      </c>
      <c r="H40" s="16">
        <f>SUMIFS(Tabla3[[#All],[EGRESOS]],Tabla3[[#All],[PERIODO]],Tabla4[[#Headers],[JUNIO]],Tabla3[[#All],[ACTIVIDAD]],ACTIVIDADES!B38,Tabla3[[#All],[CONCEPTO]],Tabla4[[#This Row],[ACTIVIDADES]])</f>
        <v>0</v>
      </c>
      <c r="I40" s="16">
        <f>SUMIFS(Tabla3[[#All],[EGRESOS]],Tabla3[[#All],[PERIODO]],Tabla4[[#Headers],[JULIO]],Tabla3[[#All],[ACTIVIDAD]],ACTIVIDADES!B38,Tabla3[[#All],[CONCEPTO]],Tabla4[[#This Row],[ACTIVIDADES]])</f>
        <v>0</v>
      </c>
      <c r="J40" s="16">
        <f>SUMIFS(Tabla3[[#All],[EGRESOS]],Tabla3[[#All],[PERIODO]],Tabla4[[#Headers],[AGOSTO]],Tabla3[[#All],[ACTIVIDAD]],ACTIVIDADES!B38,Tabla3[[#All],[CONCEPTO]],Tabla4[[#This Row],[ACTIVIDADES]])</f>
        <v>0</v>
      </c>
      <c r="K40" s="16">
        <f>SUMIFS(Tabla3[[#All],[EGRESOS]],Tabla3[[#All],[PERIODO]],Tabla4[[#Headers],[SEPTIEMBRE]],Tabla3[[#All],[ACTIVIDAD]],ACTIVIDADES!B38,Tabla3[[#All],[CONCEPTO]],Tabla4[[#This Row],[ACTIVIDADES]])</f>
        <v>0</v>
      </c>
      <c r="L40" s="16">
        <f>SUMIFS(Tabla3[[#All],[EGRESOS]],Tabla3[[#All],[PERIODO]],Tabla4[[#Headers],[OCTUBRE]],Tabla3[[#All],[ACTIVIDAD]],$B$38,Tabla3[[#All],[CONCEPTO]],Tabla4[[#This Row],[ACTIVIDADES]])</f>
        <v>0</v>
      </c>
      <c r="M40" s="16">
        <f>SUMIFS(Tabla3[[#All],[EGRESOS]],Tabla3[[#All],[PERIODO]],Tabla4[[#Headers],[NOVIEMBRE]],Tabla3[[#All],[ACTIVIDAD]],$B$38,Tabla3[[#All],[CONCEPTO]],Tabla4[[#This Row],[ACTIVIDADES]])</f>
        <v>0</v>
      </c>
      <c r="N40" s="16"/>
      <c r="O40" s="43">
        <f>SUM(Tabla4[[#This Row],[ENERO]:[DICIEMBRE]])</f>
        <v>48000</v>
      </c>
      <c r="P40" s="57">
        <v>100000</v>
      </c>
      <c r="Q40" s="46">
        <f>Tabla4[[#This Row],[TOTAL]]/Tabla4[[#This Row],[ESTIMADO]]</f>
        <v>0.48</v>
      </c>
      <c r="R40" s="14">
        <f>Tabla4[[#This Row],[ESTIMADO]]/1170</f>
        <v>85.470085470085465</v>
      </c>
      <c r="S40" s="7"/>
    </row>
    <row r="41" spans="1:19" x14ac:dyDescent="0.25">
      <c r="A41" s="7"/>
      <c r="B41" s="48" t="s">
        <v>35</v>
      </c>
      <c r="C41" s="16">
        <f>SUMIFS(Tabla3[[#All],[EGRESOS]],Tabla3[[#All],[PERIODO]],Tabla4[[#Headers],[ENERO]],Tabla3[[#All],[ACTIVIDAD]],ACTIVIDADES!B38,Tabla3[[#All],[CONCEPTO]],Tabla4[[#This Row],[ACTIVIDADES]])</f>
        <v>617000</v>
      </c>
      <c r="D41" s="16">
        <f>SUMIFS(Tabla3[[#All],[EGRESOS]],Tabla3[[#All],[PERIODO]],Tabla4[[#Headers],[FEBRERO]],Tabla3[[#All],[ACTIVIDAD]],ACTIVIDADES!B38,Tabla3[[#All],[CONCEPTO]],Tabla4[[#This Row],[ACTIVIDADES]])</f>
        <v>660000</v>
      </c>
      <c r="E41" s="16">
        <f>SUMIFS(Tabla3[[#All],[EGRESOS]],Tabla3[[#All],[PERIODO]],Tabla4[[#Headers],[MARZO]],Tabla3[[#All],[ACTIVIDAD]],ACTIVIDADES!B38,Tabla3[[#All],[CONCEPTO]],Tabla4[[#This Row],[ACTIVIDADES]])</f>
        <v>0</v>
      </c>
      <c r="F41" s="16">
        <f>SUMIFS(Tabla3[[#All],[EGRESOS]],Tabla3[[#All],[PERIODO]],Tabla4[[#Headers],[ABRIL]],Tabla3[[#All],[ACTIVIDAD]],ACTIVIDADES!B38,Tabla3[[#All],[CONCEPTO]],Tabla4[[#This Row],[ACTIVIDADES]])</f>
        <v>0</v>
      </c>
      <c r="G41" s="16">
        <f>SUMIFS(Tabla3[[#All],[EGRESOS]],Tabla3[[#All],[PERIODO]],Tabla4[[#Headers],[MAYO]],Tabla3[[#All],[ACTIVIDAD]],ACTIVIDADES!B38,Tabla3[[#All],[CONCEPTO]],Tabla4[[#This Row],[ACTIVIDADES]])</f>
        <v>0</v>
      </c>
      <c r="H41" s="16">
        <f>SUMIFS(Tabla3[[#All],[EGRESOS]],Tabla3[[#All],[PERIODO]],Tabla4[[#Headers],[JUNIO]],Tabla3[[#All],[ACTIVIDAD]],ACTIVIDADES!B38,Tabla3[[#All],[CONCEPTO]],Tabla4[[#This Row],[ACTIVIDADES]])</f>
        <v>0</v>
      </c>
      <c r="I41" s="16">
        <f>SUMIFS(Tabla3[[#All],[EGRESOS]],Tabla3[[#All],[PERIODO]],Tabla4[[#Headers],[JULIO]],Tabla3[[#All],[ACTIVIDAD]],ACTIVIDADES!B38,Tabla3[[#All],[CONCEPTO]],Tabla4[[#This Row],[ACTIVIDADES]])</f>
        <v>0</v>
      </c>
      <c r="J41" s="16">
        <f>SUMIFS(Tabla3[[#All],[EGRESOS]],Tabla3[[#All],[PERIODO]],Tabla4[[#Headers],[AGOSTO]],Tabla3[[#All],[ACTIVIDAD]],ACTIVIDADES!B38,Tabla3[[#All],[CONCEPTO]],Tabla4[[#This Row],[ACTIVIDADES]])</f>
        <v>0</v>
      </c>
      <c r="K41" s="16">
        <f>SUMIFS(Tabla3[[#All],[EGRESOS]],Tabla3[[#All],[PERIODO]],Tabla4[[#Headers],[SEPTIEMBRE]],Tabla3[[#All],[ACTIVIDAD]],ACTIVIDADES!B38,Tabla3[[#All],[CONCEPTO]],Tabla4[[#This Row],[ACTIVIDADES]])</f>
        <v>0</v>
      </c>
      <c r="L41" s="16">
        <f>SUMIFS(Tabla3[[#All],[EGRESOS]],Tabla3[[#All],[PERIODO]],Tabla4[[#Headers],[OCTUBRE]],Tabla3[[#All],[ACTIVIDAD]],$B$38,Tabla3[[#All],[CONCEPTO]],Tabla4[[#This Row],[ACTIVIDADES]])</f>
        <v>0</v>
      </c>
      <c r="M41" s="16">
        <f>SUMIFS(Tabla3[[#All],[EGRESOS]],Tabla3[[#All],[PERIODO]],Tabla4[[#Headers],[NOVIEMBRE]],Tabla3[[#All],[ACTIVIDAD]],$B$38,Tabla3[[#All],[CONCEPTO]],Tabla4[[#This Row],[ACTIVIDADES]])</f>
        <v>0</v>
      </c>
      <c r="N41" s="7"/>
      <c r="O41" s="43">
        <f>SUM(Tabla4[[#This Row],[ENERO]:[DICIEMBRE]])</f>
        <v>1277000</v>
      </c>
      <c r="P41" s="57">
        <v>5500000</v>
      </c>
      <c r="Q41" s="46">
        <f>Tabla4[[#This Row],[TOTAL]]/Tabla4[[#This Row],[ESTIMADO]]</f>
        <v>0.23218181818181818</v>
      </c>
      <c r="R41" s="14">
        <f>Tabla4[[#This Row],[ESTIMADO]]/1170</f>
        <v>4700.8547008547012</v>
      </c>
      <c r="S41" s="7"/>
    </row>
    <row r="42" spans="1:19" x14ac:dyDescent="0.25">
      <c r="A42" s="7"/>
      <c r="B42" s="48" t="s">
        <v>53</v>
      </c>
      <c r="C42" s="16">
        <f>SUMIFS(Tabla3[[#All],[EGRESOS]],Tabla3[[#All],[PERIODO]],Tabla4[[#Headers],[ENERO]],Tabla3[[#All],[ACTIVIDAD]],ACTIVIDADES!B38,Tabla3[[#All],[CONCEPTO]],Tabla4[[#This Row],[ACTIVIDADES]])</f>
        <v>0</v>
      </c>
      <c r="D42" s="16">
        <f>SUMIFS(Tabla3[[#All],[EGRESOS]],Tabla3[[#All],[PERIODO]],Tabla4[[#Headers],[FEBRERO]],Tabla3[[#All],[ACTIVIDAD]],ACTIVIDADES!B38,Tabla3[[#All],[CONCEPTO]],Tabla4[[#This Row],[ACTIVIDADES]])</f>
        <v>0</v>
      </c>
      <c r="E42" s="16">
        <f>SUMIFS(Tabla3[[#All],[EGRESOS]],Tabla3[[#All],[PERIODO]],Tabla4[[#Headers],[MARZO]],Tabla3[[#All],[ACTIVIDAD]],ACTIVIDADES!B38,Tabla3[[#All],[CONCEPTO]],Tabla4[[#This Row],[ACTIVIDADES]])</f>
        <v>0</v>
      </c>
      <c r="F42" s="16">
        <f>SUMIFS(Tabla3[[#All],[EGRESOS]],Tabla3[[#All],[PERIODO]],Tabla4[[#Headers],[ABRIL]],Tabla3[[#All],[ACTIVIDAD]],ACTIVIDADES!B38,Tabla3[[#All],[CONCEPTO]],Tabla4[[#This Row],[ACTIVIDADES]])</f>
        <v>0</v>
      </c>
      <c r="G42" s="16">
        <f>SUMIFS(Tabla3[[#All],[EGRESOS]],Tabla3[[#All],[PERIODO]],Tabla4[[#Headers],[MAYO]],Tabla3[[#All],[ACTIVIDAD]],ACTIVIDADES!B38,Tabla3[[#All],[CONCEPTO]],Tabla4[[#This Row],[ACTIVIDADES]])</f>
        <v>0</v>
      </c>
      <c r="H42" s="16">
        <f>SUMIFS(Tabla3[[#All],[EGRESOS]],Tabla3[[#All],[PERIODO]],Tabla4[[#Headers],[JUNIO]],Tabla3[[#All],[ACTIVIDAD]],ACTIVIDADES!B38,Tabla3[[#All],[CONCEPTO]],Tabla4[[#This Row],[ACTIVIDADES]])</f>
        <v>0</v>
      </c>
      <c r="I42" s="16">
        <f>SUMIFS(Tabla3[EGRESOS],Tabla3[PERIODO],Tabla4[[#Headers],[JULIO]],Tabla3[ACTIVIDAD],ACTIVIDADES!B38,Tabla3[RUBRO],Tabla4[[#This Row],[ACTIVIDADES]])</f>
        <v>0</v>
      </c>
      <c r="J42" s="16">
        <f>SUMIFS(Tabla3[[#All],[EGRESOS]],Tabla3[[#All],[PERIODO]],Tabla4[[#Headers],[AGOSTO]],Tabla3[[#All],[ACTIVIDAD]],ACTIVIDADES!B38,Tabla3[[#All],[CONCEPTO]],Tabla4[[#This Row],[ACTIVIDADES]])</f>
        <v>0</v>
      </c>
      <c r="K42" s="16">
        <f>SUMIFS(Tabla3[[#All],[EGRESOS]],Tabla3[[#All],[PERIODO]],Tabla4[[#Headers],[SEPTIEMBRE]],Tabla3[[#All],[ACTIVIDAD]],ACTIVIDADES!B38,Tabla3[[#All],[CONCEPTO]],Tabla4[[#This Row],[ACTIVIDADES]])</f>
        <v>0</v>
      </c>
      <c r="L42" s="16">
        <f>SUMIFS(Tabla3[[#All],[EGRESOS]],Tabla3[[#All],[PERIODO]],Tabla4[[#Headers],[OCTUBRE]],Tabla3[[#All],[ACTIVIDAD]],$B$38,Tabla3[[#All],[CONCEPTO]],Tabla4[[#This Row],[ACTIVIDADES]])</f>
        <v>0</v>
      </c>
      <c r="M42" s="16">
        <f>SUMIFS(Tabla3[[#All],[EGRESOS]],Tabla3[[#All],[PERIODO]],Tabla4[[#Headers],[NOVIEMBRE]],Tabla3[[#All],[ACTIVIDAD]],$B$38,Tabla3[[#All],[CONCEPTO]],Tabla4[[#This Row],[ACTIVIDADES]])</f>
        <v>0</v>
      </c>
      <c r="N42" s="7"/>
      <c r="O42" s="43">
        <f>SUM(Tabla4[[#This Row],[ENERO]:[DICIEMBRE]])</f>
        <v>0</v>
      </c>
      <c r="P42" s="57">
        <v>35000000</v>
      </c>
      <c r="Q42" s="46">
        <f>Tabla4[[#This Row],[TOTAL]]/Tabla4[[#This Row],[ESTIMADO]]</f>
        <v>0</v>
      </c>
      <c r="R42" s="14">
        <f>Tabla4[[#This Row],[ESTIMADO]]/1170</f>
        <v>29914.529914529914</v>
      </c>
      <c r="S42" s="7"/>
    </row>
    <row r="43" spans="1:19" x14ac:dyDescent="0.25">
      <c r="A43" s="7"/>
      <c r="B43" s="48" t="s">
        <v>57</v>
      </c>
      <c r="C43" s="16">
        <f>SUMIFS(Tabla3[[#All],[EGRESOS]],Tabla3[[#All],[PERIODO]],Tabla4[[#Headers],[ENERO]],Tabla3[[#All],[ACTIVIDAD]],ACTIVIDADES!B38,Tabla3[[#All],[CONCEPTO]],Tabla4[[#This Row],[ACTIVIDADES]])</f>
        <v>0</v>
      </c>
      <c r="D43" s="16">
        <f>SUMIFS(Tabla3[[#All],[EGRESOS]],Tabla3[[#All],[PERIODO]],Tabla4[[#Headers],[FEBRERO]],Tabla3[[#All],[ACTIVIDAD]],ACTIVIDADES!B38,Tabla3[[#All],[CONCEPTO]],Tabla4[[#This Row],[ACTIVIDADES]])</f>
        <v>0</v>
      </c>
      <c r="E43" s="16">
        <f>SUMIFS(Tabla3[[#All],[EGRESOS]],Tabla3[[#All],[PERIODO]],Tabla4[[#Headers],[MARZO]],Tabla3[[#All],[ACTIVIDAD]],ACTIVIDADES!B38,Tabla3[[#All],[CONCEPTO]],Tabla4[[#This Row],[ACTIVIDADES]])</f>
        <v>0</v>
      </c>
      <c r="F43" s="16">
        <f>SUMIFS(Tabla3[[#All],[EGRESOS]],Tabla3[[#All],[PERIODO]],Tabla4[[#Headers],[ABRIL]],Tabla3[[#All],[ACTIVIDAD]],ACTIVIDADES!B38,Tabla3[[#All],[CONCEPTO]],Tabla4[[#This Row],[ACTIVIDADES]])</f>
        <v>0</v>
      </c>
      <c r="G43" s="16">
        <f>SUMIFS(Tabla3[EGRESOS],Tabla3[PERIODO],Tabla4[[#Headers],[MAYO]],Tabla3[ACTIVIDAD],ACTIVIDADES!B38,Tabla3[RUBRO],Tabla4[[#This Row],[ACTIVIDADES]])</f>
        <v>0</v>
      </c>
      <c r="H43" s="16">
        <f>SUMIFS(Tabla3[EGRESOS],Tabla3[PERIODO],Tabla4[[#Headers],[JUNIO]],Tabla3[ACTIVIDAD],ACTIVIDADES!B38,Tabla3[RUBRO],Tabla4[[#This Row],[ACTIVIDADES]])</f>
        <v>0</v>
      </c>
      <c r="I43" s="16">
        <f>SUMIFS(Tabla3[EGRESOS],Tabla3[PERIODO],Tabla4[[#Headers],[JULIO]],Tabla3[ACTIVIDAD],ACTIVIDADES!B38,Tabla3[RUBRO],Tabla4[[#This Row],[ACTIVIDADES]])</f>
        <v>0</v>
      </c>
      <c r="J43" s="16">
        <f>SUMIFS(Tabla3[EGRESOS],Tabla3[PERIODO],Tabla4[[#Headers],[AGOSTO]],Tabla3[ACTIVIDAD],ACTIVIDADES!B38,Tabla3[RUBRO],Tabla4[[#This Row],[ACTIVIDADES]])</f>
        <v>0</v>
      </c>
      <c r="K43" s="16">
        <f>SUMIFS(Tabla3[[#All],[EGRESOS]],Tabla3[[#All],[PERIODO]],Tabla4[[#Headers],[SEPTIEMBRE]],Tabla3[[#All],[ACTIVIDAD]],ACTIVIDADES!B38,Tabla3[[#All],[CONCEPTO]],Tabla4[[#This Row],[ACTIVIDADES]])</f>
        <v>0</v>
      </c>
      <c r="L43" s="16">
        <f>SUMIFS(Tabla3[[#All],[EGRESOS]],Tabla3[[#All],[PERIODO]],Tabla4[[#Headers],[OCTUBRE]],Tabla3[[#All],[ACTIVIDAD]],$B$38,Tabla3[[#All],[CONCEPTO]],Tabla4[[#This Row],[ACTIVIDADES]])</f>
        <v>0</v>
      </c>
      <c r="M43" s="16">
        <f>SUMIFS(Tabla3[[#All],[EGRESOS]],Tabla3[[#All],[PERIODO]],Tabla4[[#Headers],[NOVIEMBRE]],Tabla3[[#All],[ACTIVIDAD]],$B$38,Tabla3[[#All],[CONCEPTO]],Tabla4[[#This Row],[ACTIVIDADES]])</f>
        <v>0</v>
      </c>
      <c r="N43" s="7"/>
      <c r="O43" s="43">
        <f>SUM(Tabla4[[#This Row],[ENERO]:[DICIEMBRE]])</f>
        <v>0</v>
      </c>
      <c r="P43" s="57">
        <v>400000000</v>
      </c>
      <c r="Q43" s="46">
        <f>Tabla4[[#This Row],[TOTAL]]/Tabla4[[#This Row],[ESTIMADO]]</f>
        <v>0</v>
      </c>
      <c r="R43" s="14">
        <f>Tabla4[[#This Row],[ESTIMADO]]/1170</f>
        <v>341880.34188034188</v>
      </c>
      <c r="S43" s="7"/>
    </row>
    <row r="44" spans="1:19" x14ac:dyDescent="0.25">
      <c r="A44" s="7"/>
      <c r="B44" s="40" t="s">
        <v>10</v>
      </c>
      <c r="C44" s="41">
        <f t="shared" ref="C44:N44" si="4">C16+C38</f>
        <v>4317361.78</v>
      </c>
      <c r="D44" s="41">
        <f t="shared" si="4"/>
        <v>1370600.02</v>
      </c>
      <c r="E44" s="41">
        <f t="shared" si="4"/>
        <v>0</v>
      </c>
      <c r="F44" s="41">
        <f t="shared" si="4"/>
        <v>0</v>
      </c>
      <c r="G44" s="41" t="e">
        <f t="shared" si="4"/>
        <v>#REF!</v>
      </c>
      <c r="H44" s="41" t="e">
        <f t="shared" si="4"/>
        <v>#REF!</v>
      </c>
      <c r="I44" s="41">
        <f t="shared" si="4"/>
        <v>0</v>
      </c>
      <c r="J44" s="41">
        <f t="shared" si="4"/>
        <v>0</v>
      </c>
      <c r="K44" s="41" t="e">
        <f t="shared" si="4"/>
        <v>#REF!</v>
      </c>
      <c r="L44" s="41" t="e">
        <f t="shared" si="4"/>
        <v>#REF!</v>
      </c>
      <c r="M44" s="41">
        <f t="shared" si="4"/>
        <v>0</v>
      </c>
      <c r="N44" s="41">
        <f t="shared" si="4"/>
        <v>0</v>
      </c>
      <c r="O44" s="40"/>
      <c r="P44" s="40"/>
      <c r="Q44" s="40"/>
      <c r="R44" s="40"/>
      <c r="S44" s="40"/>
    </row>
    <row r="45" spans="1:19" x14ac:dyDescent="0.25">
      <c r="A45" s="7"/>
      <c r="B45" s="38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</row>
    <row r="46" spans="1:19" x14ac:dyDescent="0.25">
      <c r="A46" s="7"/>
      <c r="B46" s="38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</row>
    <row r="47" spans="1:19" x14ac:dyDescent="0.25">
      <c r="A47" s="7"/>
      <c r="B47" s="39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7"/>
      <c r="Q47" s="7"/>
      <c r="R47" s="7"/>
      <c r="S47" s="7"/>
    </row>
    <row r="48" spans="1:19" x14ac:dyDescent="0.25">
      <c r="A48" s="7"/>
      <c r="B48" s="89" t="s">
        <v>127</v>
      </c>
      <c r="C48" s="89" t="s">
        <v>60</v>
      </c>
      <c r="D48" s="89" t="s">
        <v>62</v>
      </c>
      <c r="E48" s="89" t="s">
        <v>63</v>
      </c>
      <c r="F48" s="89" t="s">
        <v>64</v>
      </c>
      <c r="G48" s="89" t="s">
        <v>65</v>
      </c>
      <c r="H48" s="89" t="s">
        <v>66</v>
      </c>
      <c r="I48" s="89" t="s">
        <v>67</v>
      </c>
      <c r="J48" s="89" t="s">
        <v>68</v>
      </c>
      <c r="K48" s="89" t="s">
        <v>69</v>
      </c>
      <c r="L48" s="89" t="s">
        <v>70</v>
      </c>
      <c r="M48" s="89" t="s">
        <v>112</v>
      </c>
      <c r="N48" s="89" t="s">
        <v>128</v>
      </c>
      <c r="O48" s="90" t="s">
        <v>10</v>
      </c>
      <c r="P48" s="7"/>
      <c r="Q48" s="7"/>
      <c r="R48" s="7"/>
      <c r="S48" s="7"/>
    </row>
    <row r="49" spans="1:19" x14ac:dyDescent="0.25">
      <c r="A49" s="7"/>
      <c r="B49" s="88" t="s">
        <v>38</v>
      </c>
      <c r="C49" s="92"/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1"/>
      <c r="P49" s="7"/>
      <c r="Q49" s="7"/>
      <c r="R49" s="7"/>
      <c r="S49" s="7"/>
    </row>
    <row r="50" spans="1:19" x14ac:dyDescent="0.25">
      <c r="A50" s="7"/>
      <c r="B50" s="48" t="s">
        <v>35</v>
      </c>
      <c r="C50" s="44">
        <f t="shared" ref="C50:N50" si="5">C17/$P$17</f>
        <v>0</v>
      </c>
      <c r="D50" s="44">
        <f t="shared" si="5"/>
        <v>0</v>
      </c>
      <c r="E50" s="44">
        <f t="shared" si="5"/>
        <v>0</v>
      </c>
      <c r="F50" s="44">
        <f t="shared" si="5"/>
        <v>0</v>
      </c>
      <c r="G50" s="44">
        <f t="shared" si="5"/>
        <v>0</v>
      </c>
      <c r="H50" s="44">
        <f t="shared" si="5"/>
        <v>0</v>
      </c>
      <c r="I50" s="44">
        <f t="shared" si="5"/>
        <v>0</v>
      </c>
      <c r="J50" s="44">
        <f t="shared" si="5"/>
        <v>0</v>
      </c>
      <c r="K50" s="44">
        <f t="shared" si="5"/>
        <v>0</v>
      </c>
      <c r="L50" s="44">
        <f t="shared" si="5"/>
        <v>0</v>
      </c>
      <c r="M50" s="44">
        <f t="shared" si="5"/>
        <v>0</v>
      </c>
      <c r="N50" s="44">
        <f t="shared" si="5"/>
        <v>0</v>
      </c>
      <c r="O50" s="45">
        <f>SUM(C50:N50)</f>
        <v>0</v>
      </c>
      <c r="P50" s="7"/>
      <c r="Q50" s="7"/>
      <c r="R50" s="18"/>
      <c r="S50" s="7"/>
    </row>
    <row r="51" spans="1:19" x14ac:dyDescent="0.25">
      <c r="A51" s="7"/>
      <c r="B51" s="48" t="s">
        <v>111</v>
      </c>
      <c r="C51" s="44">
        <f t="shared" ref="C51:M51" si="6">C19/$P$19</f>
        <v>0</v>
      </c>
      <c r="D51" s="44">
        <f t="shared" si="6"/>
        <v>0</v>
      </c>
      <c r="E51" s="44">
        <f t="shared" si="6"/>
        <v>0</v>
      </c>
      <c r="F51" s="44">
        <f t="shared" si="6"/>
        <v>0</v>
      </c>
      <c r="G51" s="44">
        <f t="shared" si="6"/>
        <v>0</v>
      </c>
      <c r="H51" s="44">
        <f t="shared" si="6"/>
        <v>0</v>
      </c>
      <c r="I51" s="44">
        <f t="shared" si="6"/>
        <v>0</v>
      </c>
      <c r="J51" s="44">
        <f t="shared" si="6"/>
        <v>0</v>
      </c>
      <c r="K51" s="44">
        <f t="shared" si="6"/>
        <v>0</v>
      </c>
      <c r="L51" s="44">
        <f t="shared" si="6"/>
        <v>0</v>
      </c>
      <c r="M51" s="44">
        <f t="shared" si="6"/>
        <v>0</v>
      </c>
      <c r="N51" s="44">
        <f>N19/$P$19</f>
        <v>0</v>
      </c>
      <c r="O51" s="45">
        <f t="shared" ref="O51:O57" si="7">SUM(C51:N51)</f>
        <v>0</v>
      </c>
      <c r="P51" s="7"/>
      <c r="Q51" s="7"/>
      <c r="R51" s="7"/>
      <c r="S51" s="7"/>
    </row>
    <row r="52" spans="1:19" x14ac:dyDescent="0.25">
      <c r="A52" s="7"/>
      <c r="B52" s="50" t="s">
        <v>114</v>
      </c>
      <c r="C52" s="44">
        <f t="shared" ref="C52:M52" si="8">C20/$P$20</f>
        <v>0</v>
      </c>
      <c r="D52" s="44">
        <f t="shared" si="8"/>
        <v>0</v>
      </c>
      <c r="E52" s="44">
        <f t="shared" si="8"/>
        <v>0</v>
      </c>
      <c r="F52" s="44">
        <f t="shared" si="8"/>
        <v>0</v>
      </c>
      <c r="G52" s="44">
        <f t="shared" si="8"/>
        <v>0</v>
      </c>
      <c r="H52" s="44">
        <f t="shared" si="8"/>
        <v>0</v>
      </c>
      <c r="I52" s="44">
        <f t="shared" si="8"/>
        <v>0</v>
      </c>
      <c r="J52" s="44">
        <f t="shared" si="8"/>
        <v>0</v>
      </c>
      <c r="K52" s="44">
        <f t="shared" si="8"/>
        <v>0</v>
      </c>
      <c r="L52" s="44">
        <f t="shared" si="8"/>
        <v>0</v>
      </c>
      <c r="M52" s="44">
        <f t="shared" si="8"/>
        <v>0</v>
      </c>
      <c r="N52" s="44">
        <f>N20/$P$20</f>
        <v>0</v>
      </c>
      <c r="O52" s="45">
        <f t="shared" si="7"/>
        <v>0</v>
      </c>
      <c r="P52" s="7"/>
      <c r="Q52" s="7"/>
      <c r="R52" s="7"/>
      <c r="S52" s="7"/>
    </row>
    <row r="53" spans="1:19" x14ac:dyDescent="0.25">
      <c r="A53" s="7"/>
      <c r="B53" s="50" t="s">
        <v>115</v>
      </c>
      <c r="C53" s="44">
        <f t="shared" ref="C53:M53" si="9">C21/$P$21</f>
        <v>0.1747200385925432</v>
      </c>
      <c r="D53" s="44">
        <f t="shared" si="9"/>
        <v>0</v>
      </c>
      <c r="E53" s="44">
        <f t="shared" si="9"/>
        <v>0</v>
      </c>
      <c r="F53" s="44">
        <f t="shared" si="9"/>
        <v>0</v>
      </c>
      <c r="G53" s="44">
        <f t="shared" si="9"/>
        <v>0</v>
      </c>
      <c r="H53" s="44">
        <f t="shared" si="9"/>
        <v>0</v>
      </c>
      <c r="I53" s="44">
        <f t="shared" si="9"/>
        <v>0</v>
      </c>
      <c r="J53" s="44">
        <f t="shared" si="9"/>
        <v>0</v>
      </c>
      <c r="K53" s="44">
        <f t="shared" si="9"/>
        <v>0</v>
      </c>
      <c r="L53" s="44">
        <f t="shared" si="9"/>
        <v>0</v>
      </c>
      <c r="M53" s="44">
        <f t="shared" si="9"/>
        <v>0</v>
      </c>
      <c r="N53" s="44">
        <f>N21/$P$21</f>
        <v>0</v>
      </c>
      <c r="O53" s="45">
        <f t="shared" si="7"/>
        <v>0.1747200385925432</v>
      </c>
      <c r="P53" s="7"/>
      <c r="Q53" s="7"/>
      <c r="R53" s="7"/>
      <c r="S53" s="7"/>
    </row>
    <row r="54" spans="1:19" x14ac:dyDescent="0.25">
      <c r="A54" s="7"/>
      <c r="B54" s="50" t="s">
        <v>4</v>
      </c>
      <c r="C54" s="44">
        <f t="shared" ref="C54:M54" si="10">C22/$P$22</f>
        <v>0</v>
      </c>
      <c r="D54" s="44">
        <f t="shared" si="10"/>
        <v>0</v>
      </c>
      <c r="E54" s="44">
        <f t="shared" si="10"/>
        <v>0</v>
      </c>
      <c r="F54" s="44">
        <f t="shared" si="10"/>
        <v>0</v>
      </c>
      <c r="G54" s="44">
        <f t="shared" si="10"/>
        <v>0</v>
      </c>
      <c r="H54" s="44">
        <f t="shared" si="10"/>
        <v>0</v>
      </c>
      <c r="I54" s="44">
        <f t="shared" si="10"/>
        <v>0</v>
      </c>
      <c r="J54" s="44">
        <f t="shared" si="10"/>
        <v>0</v>
      </c>
      <c r="K54" s="44">
        <f t="shared" si="10"/>
        <v>0</v>
      </c>
      <c r="L54" s="44">
        <f t="shared" si="10"/>
        <v>0</v>
      </c>
      <c r="M54" s="44">
        <f t="shared" si="10"/>
        <v>0</v>
      </c>
      <c r="N54" s="44">
        <f>N22/$P$22</f>
        <v>0</v>
      </c>
      <c r="O54" s="45">
        <f t="shared" si="7"/>
        <v>0</v>
      </c>
      <c r="P54" s="7"/>
      <c r="Q54" s="7"/>
      <c r="R54" s="7"/>
      <c r="S54" s="7"/>
    </row>
    <row r="55" spans="1:19" x14ac:dyDescent="0.25">
      <c r="A55" s="7"/>
      <c r="B55" s="50" t="s">
        <v>56</v>
      </c>
      <c r="C55" s="44">
        <f t="shared" ref="C55:M55" si="11">C23/$P$23</f>
        <v>0</v>
      </c>
      <c r="D55" s="44">
        <f t="shared" si="11"/>
        <v>0</v>
      </c>
      <c r="E55" s="44">
        <f t="shared" si="11"/>
        <v>0</v>
      </c>
      <c r="F55" s="44">
        <f t="shared" si="11"/>
        <v>0</v>
      </c>
      <c r="G55" s="44">
        <f t="shared" si="11"/>
        <v>0</v>
      </c>
      <c r="H55" s="44">
        <f t="shared" si="11"/>
        <v>0</v>
      </c>
      <c r="I55" s="44">
        <f t="shared" si="11"/>
        <v>0</v>
      </c>
      <c r="J55" s="44">
        <f t="shared" si="11"/>
        <v>0</v>
      </c>
      <c r="K55" s="44">
        <f t="shared" si="11"/>
        <v>0</v>
      </c>
      <c r="L55" s="44">
        <f t="shared" si="11"/>
        <v>0</v>
      </c>
      <c r="M55" s="44">
        <f t="shared" si="11"/>
        <v>0</v>
      </c>
      <c r="N55" s="44">
        <f>N23/$P$23</f>
        <v>0</v>
      </c>
      <c r="O55" s="45">
        <f t="shared" si="7"/>
        <v>0</v>
      </c>
      <c r="P55" s="7"/>
      <c r="Q55" s="7"/>
      <c r="R55" s="7"/>
      <c r="S55" s="7"/>
    </row>
    <row r="56" spans="1:19" x14ac:dyDescent="0.25">
      <c r="A56" s="7"/>
      <c r="B56" s="50" t="s">
        <v>101</v>
      </c>
      <c r="C56" s="44">
        <f t="shared" ref="C56:N56" si="12">C24/$P$24</f>
        <v>0</v>
      </c>
      <c r="D56" s="44">
        <f t="shared" si="12"/>
        <v>0</v>
      </c>
      <c r="E56" s="44">
        <f t="shared" si="12"/>
        <v>0</v>
      </c>
      <c r="F56" s="44">
        <f t="shared" si="12"/>
        <v>0</v>
      </c>
      <c r="G56" s="44">
        <f t="shared" si="12"/>
        <v>0</v>
      </c>
      <c r="H56" s="44">
        <f t="shared" si="12"/>
        <v>0</v>
      </c>
      <c r="I56" s="44">
        <f t="shared" si="12"/>
        <v>0</v>
      </c>
      <c r="J56" s="44">
        <f t="shared" si="12"/>
        <v>0</v>
      </c>
      <c r="K56" s="44">
        <f t="shared" si="12"/>
        <v>0</v>
      </c>
      <c r="L56" s="44">
        <f t="shared" si="12"/>
        <v>0</v>
      </c>
      <c r="M56" s="44">
        <f t="shared" si="12"/>
        <v>0</v>
      </c>
      <c r="N56" s="44">
        <f t="shared" si="12"/>
        <v>0</v>
      </c>
      <c r="O56" s="45">
        <f t="shared" si="7"/>
        <v>0</v>
      </c>
      <c r="P56" s="7"/>
      <c r="Q56" s="7"/>
      <c r="R56" s="7"/>
      <c r="S56" s="7"/>
    </row>
    <row r="57" spans="1:19" x14ac:dyDescent="0.25">
      <c r="A57" s="7"/>
      <c r="B57" s="50" t="s">
        <v>123</v>
      </c>
      <c r="C57" s="44">
        <f t="shared" ref="C57:N57" si="13">C25/$P$25</f>
        <v>0</v>
      </c>
      <c r="D57" s="44">
        <f t="shared" si="13"/>
        <v>0</v>
      </c>
      <c r="E57" s="44">
        <f t="shared" si="13"/>
        <v>0</v>
      </c>
      <c r="F57" s="44">
        <f t="shared" si="13"/>
        <v>0</v>
      </c>
      <c r="G57" s="44">
        <f t="shared" si="13"/>
        <v>0</v>
      </c>
      <c r="H57" s="44">
        <f t="shared" si="13"/>
        <v>0</v>
      </c>
      <c r="I57" s="44">
        <f t="shared" si="13"/>
        <v>0</v>
      </c>
      <c r="J57" s="44">
        <f t="shared" si="13"/>
        <v>0</v>
      </c>
      <c r="K57" s="44">
        <f t="shared" si="13"/>
        <v>0</v>
      </c>
      <c r="L57" s="44">
        <f t="shared" si="13"/>
        <v>0</v>
      </c>
      <c r="M57" s="44">
        <f t="shared" si="13"/>
        <v>0</v>
      </c>
      <c r="N57" s="44">
        <f t="shared" si="13"/>
        <v>0</v>
      </c>
      <c r="O57" s="45">
        <f t="shared" si="7"/>
        <v>0</v>
      </c>
      <c r="P57" s="7"/>
      <c r="Q57" s="7"/>
      <c r="R57" s="7"/>
      <c r="S57" s="7"/>
    </row>
    <row r="58" spans="1:19" x14ac:dyDescent="0.25">
      <c r="A58" s="7"/>
      <c r="B58" s="88" t="s">
        <v>37</v>
      </c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92"/>
      <c r="N58" s="92"/>
      <c r="O58" s="92"/>
      <c r="P58" s="7"/>
      <c r="Q58" s="7"/>
      <c r="R58" s="7"/>
      <c r="S58" s="7"/>
    </row>
    <row r="59" spans="1:19" x14ac:dyDescent="0.25">
      <c r="A59" s="7"/>
      <c r="B59" s="48" t="s">
        <v>111</v>
      </c>
      <c r="C59" s="44">
        <f>C29/$P$29</f>
        <v>0</v>
      </c>
      <c r="D59" s="44">
        <f t="shared" ref="D59:N59" si="14">D29/$P$29</f>
        <v>0</v>
      </c>
      <c r="E59" s="44">
        <f t="shared" si="14"/>
        <v>0</v>
      </c>
      <c r="F59" s="44">
        <f t="shared" si="14"/>
        <v>0</v>
      </c>
      <c r="G59" s="44">
        <f t="shared" si="14"/>
        <v>0</v>
      </c>
      <c r="H59" s="44">
        <f t="shared" si="14"/>
        <v>0</v>
      </c>
      <c r="I59" s="44">
        <f t="shared" si="14"/>
        <v>0</v>
      </c>
      <c r="J59" s="44">
        <f t="shared" si="14"/>
        <v>0</v>
      </c>
      <c r="K59" s="44">
        <f t="shared" si="14"/>
        <v>0</v>
      </c>
      <c r="L59" s="44">
        <f t="shared" si="14"/>
        <v>0</v>
      </c>
      <c r="M59" s="44">
        <f t="shared" si="14"/>
        <v>0</v>
      </c>
      <c r="N59" s="44">
        <f t="shared" si="14"/>
        <v>0</v>
      </c>
      <c r="O59" s="45">
        <f t="shared" ref="O59:O67" si="15">SUM(C59:N59)</f>
        <v>0</v>
      </c>
      <c r="P59" s="7"/>
      <c r="Q59" s="7"/>
      <c r="R59" s="7"/>
      <c r="S59" s="7"/>
    </row>
    <row r="60" spans="1:19" x14ac:dyDescent="0.25">
      <c r="A60" s="7"/>
      <c r="B60" s="50" t="s">
        <v>114</v>
      </c>
      <c r="C60" s="44">
        <f>C30/$P$30</f>
        <v>0</v>
      </c>
      <c r="D60" s="44">
        <f t="shared" ref="D60:N60" si="16">D30/$P$30</f>
        <v>0</v>
      </c>
      <c r="E60" s="44">
        <f t="shared" si="16"/>
        <v>0</v>
      </c>
      <c r="F60" s="44">
        <f t="shared" si="16"/>
        <v>0</v>
      </c>
      <c r="G60" s="44">
        <f t="shared" si="16"/>
        <v>0</v>
      </c>
      <c r="H60" s="44">
        <f t="shared" si="16"/>
        <v>0</v>
      </c>
      <c r="I60" s="44">
        <f t="shared" si="16"/>
        <v>0</v>
      </c>
      <c r="J60" s="44">
        <f t="shared" si="16"/>
        <v>0</v>
      </c>
      <c r="K60" s="44">
        <f t="shared" si="16"/>
        <v>0</v>
      </c>
      <c r="L60" s="44">
        <f t="shared" si="16"/>
        <v>0</v>
      </c>
      <c r="M60" s="44">
        <f t="shared" si="16"/>
        <v>0</v>
      </c>
      <c r="N60" s="44">
        <f t="shared" si="16"/>
        <v>0</v>
      </c>
      <c r="O60" s="45">
        <f t="shared" si="15"/>
        <v>0</v>
      </c>
      <c r="P60" s="7"/>
      <c r="Q60" s="7"/>
      <c r="R60" s="7"/>
      <c r="S60" s="7"/>
    </row>
    <row r="61" spans="1:19" x14ac:dyDescent="0.25">
      <c r="A61" s="7"/>
      <c r="B61" s="50" t="s">
        <v>115</v>
      </c>
      <c r="C61" s="44">
        <f>C31/$P$31</f>
        <v>0</v>
      </c>
      <c r="D61" s="44">
        <f t="shared" ref="D61:N61" si="17">D31/$P$31</f>
        <v>0</v>
      </c>
      <c r="E61" s="44">
        <f t="shared" si="17"/>
        <v>0</v>
      </c>
      <c r="F61" s="44">
        <f t="shared" si="17"/>
        <v>0</v>
      </c>
      <c r="G61" s="44">
        <f t="shared" si="17"/>
        <v>0</v>
      </c>
      <c r="H61" s="44">
        <f t="shared" si="17"/>
        <v>0</v>
      </c>
      <c r="I61" s="44">
        <f t="shared" si="17"/>
        <v>0</v>
      </c>
      <c r="J61" s="44">
        <f t="shared" si="17"/>
        <v>0</v>
      </c>
      <c r="K61" s="44">
        <f t="shared" si="17"/>
        <v>0</v>
      </c>
      <c r="L61" s="44">
        <f t="shared" si="17"/>
        <v>0</v>
      </c>
      <c r="M61" s="44">
        <f t="shared" si="17"/>
        <v>0</v>
      </c>
      <c r="N61" s="44">
        <f t="shared" si="17"/>
        <v>0</v>
      </c>
      <c r="O61" s="45">
        <f t="shared" si="15"/>
        <v>0</v>
      </c>
      <c r="P61" s="7"/>
      <c r="Q61" s="7"/>
      <c r="R61" s="7"/>
      <c r="S61" s="7"/>
    </row>
    <row r="62" spans="1:19" x14ac:dyDescent="0.25">
      <c r="A62" s="7"/>
      <c r="B62" s="50" t="s">
        <v>113</v>
      </c>
      <c r="C62" s="44">
        <f>C32/$P$32</f>
        <v>0</v>
      </c>
      <c r="D62" s="44">
        <f t="shared" ref="D62:N62" si="18">D32/$P$32</f>
        <v>0</v>
      </c>
      <c r="E62" s="44">
        <f t="shared" si="18"/>
        <v>0</v>
      </c>
      <c r="F62" s="44">
        <f t="shared" si="18"/>
        <v>0</v>
      </c>
      <c r="G62" s="44">
        <f t="shared" si="18"/>
        <v>0</v>
      </c>
      <c r="H62" s="44">
        <f t="shared" si="18"/>
        <v>0</v>
      </c>
      <c r="I62" s="44">
        <f t="shared" si="18"/>
        <v>0</v>
      </c>
      <c r="J62" s="44">
        <f t="shared" si="18"/>
        <v>0</v>
      </c>
      <c r="K62" s="44">
        <f t="shared" si="18"/>
        <v>0</v>
      </c>
      <c r="L62" s="44">
        <f t="shared" si="18"/>
        <v>0</v>
      </c>
      <c r="M62" s="44">
        <f t="shared" si="18"/>
        <v>0</v>
      </c>
      <c r="N62" s="44">
        <f t="shared" si="18"/>
        <v>0</v>
      </c>
      <c r="O62" s="45">
        <f t="shared" si="15"/>
        <v>0</v>
      </c>
      <c r="P62" s="7"/>
      <c r="Q62" s="7"/>
      <c r="R62" s="7"/>
      <c r="S62" s="7"/>
    </row>
    <row r="63" spans="1:19" x14ac:dyDescent="0.25">
      <c r="A63" s="7"/>
      <c r="B63" s="50" t="s">
        <v>4</v>
      </c>
      <c r="C63" s="44">
        <f>C33/$P$33</f>
        <v>0</v>
      </c>
      <c r="D63" s="44">
        <f t="shared" ref="D63:N63" si="19">D33/$P$33</f>
        <v>0</v>
      </c>
      <c r="E63" s="44">
        <f t="shared" si="19"/>
        <v>0</v>
      </c>
      <c r="F63" s="44">
        <f t="shared" si="19"/>
        <v>0</v>
      </c>
      <c r="G63" s="44">
        <f t="shared" si="19"/>
        <v>0</v>
      </c>
      <c r="H63" s="44">
        <f t="shared" si="19"/>
        <v>0</v>
      </c>
      <c r="I63" s="44">
        <f t="shared" si="19"/>
        <v>0</v>
      </c>
      <c r="J63" s="44">
        <f t="shared" si="19"/>
        <v>0</v>
      </c>
      <c r="K63" s="44">
        <f t="shared" si="19"/>
        <v>0</v>
      </c>
      <c r="L63" s="44">
        <f t="shared" si="19"/>
        <v>0</v>
      </c>
      <c r="M63" s="44">
        <f t="shared" si="19"/>
        <v>0</v>
      </c>
      <c r="N63" s="44">
        <f t="shared" si="19"/>
        <v>0</v>
      </c>
      <c r="O63" s="45">
        <f t="shared" si="15"/>
        <v>0</v>
      </c>
      <c r="P63" s="7"/>
      <c r="Q63" s="7"/>
      <c r="R63" s="7"/>
      <c r="S63" s="7"/>
    </row>
    <row r="64" spans="1:19" x14ac:dyDescent="0.25">
      <c r="A64" s="7"/>
      <c r="B64" s="50" t="s">
        <v>56</v>
      </c>
      <c r="C64" s="44">
        <f>C34/$P$34</f>
        <v>0</v>
      </c>
      <c r="D64" s="44">
        <f t="shared" ref="D64:N64" si="20">D34/$P$34</f>
        <v>0</v>
      </c>
      <c r="E64" s="44">
        <f t="shared" si="20"/>
        <v>0</v>
      </c>
      <c r="F64" s="44">
        <f t="shared" si="20"/>
        <v>0</v>
      </c>
      <c r="G64" s="44">
        <f t="shared" si="20"/>
        <v>0</v>
      </c>
      <c r="H64" s="44">
        <f t="shared" si="20"/>
        <v>0</v>
      </c>
      <c r="I64" s="44">
        <f t="shared" si="20"/>
        <v>0</v>
      </c>
      <c r="J64" s="44">
        <f t="shared" si="20"/>
        <v>0</v>
      </c>
      <c r="K64" s="44">
        <f t="shared" si="20"/>
        <v>0</v>
      </c>
      <c r="L64" s="44">
        <f t="shared" si="20"/>
        <v>0</v>
      </c>
      <c r="M64" s="44">
        <f t="shared" si="20"/>
        <v>0</v>
      </c>
      <c r="N64" s="44">
        <f t="shared" si="20"/>
        <v>0</v>
      </c>
      <c r="O64" s="45">
        <f t="shared" si="15"/>
        <v>0</v>
      </c>
      <c r="P64" s="7"/>
      <c r="Q64" s="7"/>
      <c r="R64" s="7"/>
      <c r="S64" s="7"/>
    </row>
    <row r="65" spans="1:19" x14ac:dyDescent="0.25">
      <c r="A65" s="7"/>
      <c r="B65" s="50" t="s">
        <v>117</v>
      </c>
      <c r="C65" s="44">
        <f>C35/$P$35</f>
        <v>0</v>
      </c>
      <c r="D65" s="44">
        <f t="shared" ref="D65:N65" si="21">D35/$P$35</f>
        <v>0</v>
      </c>
      <c r="E65" s="44">
        <f t="shared" si="21"/>
        <v>0</v>
      </c>
      <c r="F65" s="44">
        <f t="shared" si="21"/>
        <v>0</v>
      </c>
      <c r="G65" s="44">
        <f t="shared" si="21"/>
        <v>0</v>
      </c>
      <c r="H65" s="44">
        <f t="shared" si="21"/>
        <v>0</v>
      </c>
      <c r="I65" s="44">
        <f t="shared" si="21"/>
        <v>0</v>
      </c>
      <c r="J65" s="44">
        <f t="shared" si="21"/>
        <v>0</v>
      </c>
      <c r="K65" s="44">
        <f t="shared" si="21"/>
        <v>0</v>
      </c>
      <c r="L65" s="44">
        <f t="shared" si="21"/>
        <v>0</v>
      </c>
      <c r="M65" s="44">
        <f t="shared" si="21"/>
        <v>0</v>
      </c>
      <c r="N65" s="44">
        <f t="shared" si="21"/>
        <v>0</v>
      </c>
      <c r="O65" s="45">
        <f t="shared" si="15"/>
        <v>0</v>
      </c>
      <c r="P65" s="7"/>
      <c r="Q65" s="7"/>
      <c r="R65" s="7"/>
      <c r="S65" s="7"/>
    </row>
    <row r="66" spans="1:19" x14ac:dyDescent="0.25">
      <c r="A66" s="7"/>
      <c r="B66" s="50" t="s">
        <v>116</v>
      </c>
      <c r="C66" s="44">
        <f>C36/$P$36</f>
        <v>0</v>
      </c>
      <c r="D66" s="44">
        <f t="shared" ref="D66:N66" si="22">D36/$P$36</f>
        <v>0</v>
      </c>
      <c r="E66" s="44">
        <f t="shared" si="22"/>
        <v>0</v>
      </c>
      <c r="F66" s="44">
        <f t="shared" si="22"/>
        <v>0</v>
      </c>
      <c r="G66" s="44">
        <f t="shared" si="22"/>
        <v>0</v>
      </c>
      <c r="H66" s="44">
        <f t="shared" si="22"/>
        <v>0</v>
      </c>
      <c r="I66" s="44">
        <f t="shared" si="22"/>
        <v>0</v>
      </c>
      <c r="J66" s="44">
        <f t="shared" si="22"/>
        <v>0</v>
      </c>
      <c r="K66" s="44">
        <f t="shared" si="22"/>
        <v>0</v>
      </c>
      <c r="L66" s="44">
        <f t="shared" si="22"/>
        <v>0</v>
      </c>
      <c r="M66" s="44">
        <f t="shared" si="22"/>
        <v>0</v>
      </c>
      <c r="N66" s="44">
        <f t="shared" si="22"/>
        <v>0</v>
      </c>
      <c r="O66" s="45">
        <f t="shared" si="15"/>
        <v>0</v>
      </c>
      <c r="P66" s="7"/>
      <c r="Q66" s="7"/>
      <c r="R66" s="7"/>
      <c r="S66" s="7"/>
    </row>
    <row r="67" spans="1:19" x14ac:dyDescent="0.25">
      <c r="B67" s="50" t="s">
        <v>124</v>
      </c>
      <c r="C67" s="44">
        <f>C37/$P$37</f>
        <v>0</v>
      </c>
      <c r="D67" s="44">
        <f t="shared" ref="D67:N67" si="23">D37/$P$37</f>
        <v>0</v>
      </c>
      <c r="E67" s="44">
        <f t="shared" si="23"/>
        <v>0</v>
      </c>
      <c r="F67" s="44">
        <f t="shared" si="23"/>
        <v>0</v>
      </c>
      <c r="G67" s="44">
        <f t="shared" si="23"/>
        <v>0</v>
      </c>
      <c r="H67" s="44">
        <f t="shared" si="23"/>
        <v>0</v>
      </c>
      <c r="I67" s="44">
        <f t="shared" si="23"/>
        <v>0</v>
      </c>
      <c r="J67" s="44">
        <f t="shared" si="23"/>
        <v>0</v>
      </c>
      <c r="K67" s="44">
        <f t="shared" si="23"/>
        <v>0</v>
      </c>
      <c r="L67" s="44">
        <f t="shared" si="23"/>
        <v>0</v>
      </c>
      <c r="M67" s="44">
        <f t="shared" si="23"/>
        <v>0</v>
      </c>
      <c r="N67" s="44">
        <f t="shared" si="23"/>
        <v>0</v>
      </c>
      <c r="O67" s="45">
        <f t="shared" si="15"/>
        <v>0</v>
      </c>
      <c r="P67" s="7"/>
      <c r="Q67" s="7"/>
      <c r="R67" s="7"/>
      <c r="S67" s="7"/>
    </row>
    <row r="68" spans="1:19" x14ac:dyDescent="0.25">
      <c r="A68" s="7"/>
      <c r="B68" s="42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</row>
    <row r="69" spans="1:19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</row>
    <row r="70" spans="1:19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</row>
    <row r="71" spans="1:19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</row>
    <row r="72" spans="1:19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</row>
    <row r="73" spans="1:19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</row>
    <row r="74" spans="1:19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</row>
    <row r="75" spans="1:19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</row>
    <row r="76" spans="1:19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</row>
    <row r="77" spans="1:19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</row>
    <row r="78" spans="1:19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</row>
    <row r="79" spans="1:19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</row>
    <row r="80" spans="1:19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</row>
    <row r="81" spans="1:19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</row>
    <row r="82" spans="1:19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</row>
    <row r="83" spans="1:19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</row>
    <row r="84" spans="1:19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</row>
    <row r="85" spans="1:19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</row>
    <row r="86" spans="1:19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</row>
    <row r="87" spans="1:19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</row>
    <row r="88" spans="1:19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</row>
    <row r="89" spans="1:19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</row>
    <row r="90" spans="1:19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</row>
    <row r="91" spans="1:19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</row>
    <row r="92" spans="1:19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</row>
    <row r="93" spans="1:19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</row>
    <row r="94" spans="1:19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</row>
    <row r="95" spans="1:19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</row>
    <row r="96" spans="1:19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</row>
    <row r="97" spans="1:19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</row>
    <row r="98" spans="1:19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</row>
    <row r="99" spans="1:19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</row>
    <row r="100" spans="1:19" x14ac:dyDescent="0.25">
      <c r="A100" s="7"/>
      <c r="B100" s="7"/>
      <c r="C100" s="38" t="s">
        <v>133</v>
      </c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</row>
    <row r="101" spans="1:19" x14ac:dyDescent="0.25">
      <c r="C101" s="1" t="s">
        <v>134</v>
      </c>
    </row>
    <row r="102" spans="1:19" x14ac:dyDescent="0.25">
      <c r="C102" t="s">
        <v>125</v>
      </c>
      <c r="D102" t="s">
        <v>135</v>
      </c>
      <c r="E102">
        <v>230</v>
      </c>
      <c r="F102" s="11">
        <f>12*230+1.21</f>
        <v>2761.21</v>
      </c>
      <c r="G102" s="81">
        <f>F102*1500</f>
        <v>4141815</v>
      </c>
      <c r="H102" t="s">
        <v>189</v>
      </c>
    </row>
    <row r="103" spans="1:19" x14ac:dyDescent="0.25">
      <c r="C103" s="1" t="s">
        <v>37</v>
      </c>
      <c r="G103" s="81"/>
    </row>
    <row r="104" spans="1:19" x14ac:dyDescent="0.25">
      <c r="C104" t="s">
        <v>136</v>
      </c>
      <c r="F104" s="11">
        <v>28300</v>
      </c>
      <c r="G104" s="81">
        <f>F104*1500</f>
        <v>42450000</v>
      </c>
    </row>
    <row r="105" spans="1:19" x14ac:dyDescent="0.25">
      <c r="C105" t="s">
        <v>137</v>
      </c>
      <c r="F105" s="11">
        <v>70000</v>
      </c>
      <c r="G105" s="81">
        <f>F105*1500</f>
        <v>105000000</v>
      </c>
    </row>
  </sheetData>
  <phoneticPr fontId="15" type="noConversion"/>
  <conditionalFormatting sqref="C50:N57">
    <cfRule type="colorScale" priority="2">
      <colorScale>
        <cfvo type="min"/>
        <cfvo type="max"/>
        <color rgb="FFFFEF9C"/>
        <color rgb="FF63BE7B"/>
      </colorScale>
    </cfRule>
  </conditionalFormatting>
  <conditionalFormatting sqref="C59:N67">
    <cfRule type="colorScale" priority="37">
      <colorScale>
        <cfvo type="min"/>
        <cfvo type="max"/>
        <color rgb="FFFFEF9C"/>
        <color rgb="FF63BE7B"/>
      </colorScale>
    </cfRule>
  </conditionalFormatting>
  <conditionalFormatting sqref="K56:K57"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6:L57">
    <cfRule type="colorScale" priority="35">
      <colorScale>
        <cfvo type="min"/>
        <cfvo type="max"/>
        <color rgb="FFFFEF9C"/>
        <color rgb="FF63BE7B"/>
      </colorScale>
    </cfRule>
  </conditionalFormatting>
  <conditionalFormatting sqref="M56:M57 C56:L56">
    <cfRule type="colorScale" priority="36">
      <colorScale>
        <cfvo type="min"/>
        <cfvo type="max"/>
        <color rgb="FFFFEF9C"/>
        <color rgb="FF63BE7B"/>
      </colorScale>
    </cfRule>
  </conditionalFormatting>
  <pageMargins left="0.25" right="0.25" top="0.75" bottom="0.75" header="0.3" footer="0.3"/>
  <pageSetup paperSize="5" orientation="landscape" r:id="rId1"/>
  <ignoredErrors>
    <ignoredError sqref="Q16 Q38 H21" formula="1"/>
  </ignoredErrors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4F1D6-46AB-4663-89AB-0323D3BAF154}">
  <sheetPr codeName="Hoja5">
    <tabColor theme="0" tint="-0.499984740745262"/>
  </sheetPr>
  <dimension ref="A1:W352"/>
  <sheetViews>
    <sheetView tabSelected="1" zoomScaleNormal="100" workbookViewId="0">
      <selection activeCell="D9" sqref="D9"/>
    </sheetView>
  </sheetViews>
  <sheetFormatPr baseColWidth="10" defaultColWidth="11.42578125" defaultRowHeight="15" x14ac:dyDescent="0.25"/>
  <cols>
    <col min="1" max="1" width="10.85546875" customWidth="1"/>
    <col min="2" max="2" width="11.28515625" customWidth="1"/>
    <col min="3" max="3" width="27" customWidth="1"/>
    <col min="4" max="4" width="18.7109375" bestFit="1" customWidth="1"/>
    <col min="5" max="6" width="20.28515625" bestFit="1" customWidth="1"/>
    <col min="7" max="7" width="18.5703125" customWidth="1"/>
    <col min="8" max="8" width="15.85546875" customWidth="1"/>
    <col min="9" max="9" width="13" customWidth="1"/>
    <col min="10" max="11" width="17.42578125" customWidth="1"/>
    <col min="12" max="12" width="5.85546875" customWidth="1"/>
    <col min="13" max="13" width="4.85546875" customWidth="1"/>
    <col min="14" max="14" width="7.7109375" customWidth="1"/>
    <col min="15" max="15" width="12.85546875" customWidth="1"/>
    <col min="16" max="16" width="12" customWidth="1"/>
    <col min="17" max="17" width="14.28515625" customWidth="1"/>
    <col min="18" max="18" width="17.140625" customWidth="1"/>
    <col min="19" max="19" width="22.140625" customWidth="1"/>
    <col min="20" max="20" width="11.42578125" customWidth="1"/>
    <col min="21" max="21" width="17.5703125" customWidth="1"/>
    <col min="22" max="22" width="11.42578125" customWidth="1"/>
    <col min="23" max="23" width="9.7109375" customWidth="1"/>
  </cols>
  <sheetData>
    <row r="1" spans="1:23" ht="30.75" customHeight="1" x14ac:dyDescent="0.25">
      <c r="A1" s="13">
        <v>2026</v>
      </c>
      <c r="C1" s="17" t="s">
        <v>71</v>
      </c>
      <c r="D1" s="103">
        <v>-36721483.989999995</v>
      </c>
      <c r="E1" s="78" t="s">
        <v>72</v>
      </c>
      <c r="F1" s="79">
        <v>0</v>
      </c>
      <c r="G1" s="79">
        <f>G2+D1</f>
        <v>-40845485.549999997</v>
      </c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3" ht="30.75" customHeight="1" x14ac:dyDescent="0.25">
      <c r="A2" s="13"/>
      <c r="B2" s="7"/>
      <c r="C2" s="7"/>
      <c r="E2" s="71">
        <f>SUBTOTAL(9,Tabla3[EGRESOS])</f>
        <v>233652787.60000002</v>
      </c>
      <c r="F2" s="70">
        <f>SUBTOTAL(9,Tabla3[INGRESOS])</f>
        <v>229528786.04000002</v>
      </c>
      <c r="G2" s="15">
        <f>F2-E2</f>
        <v>-4124001.5600000024</v>
      </c>
      <c r="H2" s="15"/>
      <c r="I2" s="7"/>
      <c r="J2" s="56">
        <f>SUBTOTAL(9,Tabla3[EGRES USD])</f>
        <v>161139.85351724143</v>
      </c>
      <c r="K2" s="56">
        <f>SUBTOTAL(9,Tabla3[INGRES USD])</f>
        <v>158295.71451034484</v>
      </c>
      <c r="L2" s="7"/>
      <c r="M2" s="7"/>
      <c r="N2" s="7"/>
      <c r="O2" s="7"/>
      <c r="P2" s="18"/>
      <c r="Q2" s="7"/>
      <c r="R2" s="7"/>
      <c r="S2" s="7"/>
      <c r="T2" s="7"/>
      <c r="U2" s="7"/>
      <c r="V2" s="7"/>
      <c r="W2" s="7"/>
    </row>
    <row r="3" spans="1:23" x14ac:dyDescent="0.25">
      <c r="A3" s="12" t="s">
        <v>73</v>
      </c>
      <c r="B3" s="12" t="s">
        <v>74</v>
      </c>
      <c r="C3" s="12" t="s">
        <v>75</v>
      </c>
      <c r="D3" s="12" t="s">
        <v>76</v>
      </c>
      <c r="E3" s="12" t="s">
        <v>8</v>
      </c>
      <c r="F3" s="12" t="s">
        <v>7</v>
      </c>
      <c r="G3" s="12" t="s">
        <v>77</v>
      </c>
      <c r="H3" s="12" t="s">
        <v>78</v>
      </c>
      <c r="I3" s="12" t="s">
        <v>79</v>
      </c>
      <c r="J3" s="12" t="s">
        <v>80</v>
      </c>
      <c r="K3" s="12" t="s">
        <v>81</v>
      </c>
      <c r="L3" s="12" t="s">
        <v>82</v>
      </c>
      <c r="M3" s="12" t="s">
        <v>83</v>
      </c>
      <c r="N3" s="12" t="s">
        <v>84</v>
      </c>
      <c r="O3" s="12" t="s">
        <v>85</v>
      </c>
      <c r="P3" s="12" t="s">
        <v>86</v>
      </c>
      <c r="Q3" s="12" t="s">
        <v>87</v>
      </c>
      <c r="R3" s="12" t="s">
        <v>88</v>
      </c>
      <c r="S3" s="12" t="s">
        <v>89</v>
      </c>
      <c r="T3" s="12" t="s">
        <v>90</v>
      </c>
      <c r="U3" s="12" t="s">
        <v>91</v>
      </c>
      <c r="V3" s="12" t="s">
        <v>92</v>
      </c>
      <c r="W3" s="12" t="s">
        <v>93</v>
      </c>
    </row>
    <row r="4" spans="1:23" x14ac:dyDescent="0.25">
      <c r="A4" s="52" t="str">
        <f t="shared" ref="A4:A85" si="0">"ENERO"</f>
        <v>ENERO</v>
      </c>
      <c r="B4" s="53">
        <v>46024</v>
      </c>
      <c r="C4" s="49" t="s">
        <v>215</v>
      </c>
      <c r="D4" s="49"/>
      <c r="E4" s="55">
        <v>50000</v>
      </c>
      <c r="F4" s="54">
        <v>0</v>
      </c>
      <c r="G4" s="62">
        <f>Tabla3[[#This Row],[EGRESOS]]-Tabla3[[#This Row],[INGRESOS]]</f>
        <v>50000</v>
      </c>
      <c r="H4" s="104">
        <v>-8712582.8100000005</v>
      </c>
      <c r="I4" s="16">
        <v>1450</v>
      </c>
      <c r="J4" s="14">
        <f>Tabla3[[#This Row],[EGRESOS]]/Tabla3[[#This Row],[TC]]</f>
        <v>34.482758620689658</v>
      </c>
      <c r="K4" s="14">
        <f>Tabla3[[#This Row],[INGRESOS]]/Tabla3[[#This Row],[TC]]</f>
        <v>0</v>
      </c>
      <c r="L4" s="7" t="s">
        <v>94</v>
      </c>
      <c r="M4" s="7" t="s">
        <v>95</v>
      </c>
      <c r="N4" s="7" t="s">
        <v>2</v>
      </c>
      <c r="O4" s="7" t="s">
        <v>17</v>
      </c>
      <c r="P4" s="7" t="s">
        <v>22</v>
      </c>
      <c r="Q4" s="7" t="s">
        <v>19</v>
      </c>
      <c r="R4" s="7"/>
      <c r="S4" s="7"/>
      <c r="T4" s="7"/>
      <c r="U4" s="7" t="s">
        <v>61</v>
      </c>
      <c r="V4" s="7"/>
      <c r="W4" s="7" t="s">
        <v>241</v>
      </c>
    </row>
    <row r="5" spans="1:23" x14ac:dyDescent="0.25">
      <c r="A5" s="52" t="str">
        <f t="shared" si="0"/>
        <v>ENERO</v>
      </c>
      <c r="B5" s="53">
        <v>46024</v>
      </c>
      <c r="C5" s="49" t="s">
        <v>214</v>
      </c>
      <c r="D5" s="49"/>
      <c r="E5" s="55">
        <v>10500</v>
      </c>
      <c r="F5" s="54">
        <v>0</v>
      </c>
      <c r="G5" s="62">
        <f>Tabla3[[#This Row],[EGRESOS]]-Tabla3[[#This Row],[INGRESOS]]</f>
        <v>10500</v>
      </c>
      <c r="H5" s="104">
        <v>-8716463.6099999994</v>
      </c>
      <c r="I5" s="16">
        <v>1450</v>
      </c>
      <c r="J5" s="14">
        <f>Tabla3[[#This Row],[EGRESOS]]/Tabla3[[#This Row],[TC]]</f>
        <v>7.2413793103448274</v>
      </c>
      <c r="K5" s="14">
        <f>Tabla3[[#This Row],[INGRESOS]]/Tabla3[[#This Row],[TC]]</f>
        <v>0</v>
      </c>
      <c r="L5" s="7" t="s">
        <v>94</v>
      </c>
      <c r="M5" s="7" t="s">
        <v>95</v>
      </c>
      <c r="N5" s="7" t="s">
        <v>2</v>
      </c>
      <c r="O5" s="7" t="s">
        <v>17</v>
      </c>
      <c r="P5" s="7" t="s">
        <v>22</v>
      </c>
      <c r="Q5" s="7" t="s">
        <v>23</v>
      </c>
      <c r="R5" s="7" t="s">
        <v>96</v>
      </c>
      <c r="S5" s="7"/>
      <c r="T5" s="7"/>
      <c r="U5" s="7" t="s">
        <v>61</v>
      </c>
      <c r="V5" s="7"/>
      <c r="W5" s="7" t="s">
        <v>241</v>
      </c>
    </row>
    <row r="6" spans="1:23" x14ac:dyDescent="0.25">
      <c r="A6" s="52" t="str">
        <f t="shared" si="0"/>
        <v>ENERO</v>
      </c>
      <c r="B6" s="53">
        <v>46024</v>
      </c>
      <c r="C6" s="49" t="s">
        <v>213</v>
      </c>
      <c r="D6" s="49"/>
      <c r="E6" s="54">
        <v>1500</v>
      </c>
      <c r="F6" s="54">
        <v>0</v>
      </c>
      <c r="G6" s="62">
        <f>Tabla3[[#This Row],[EGRESOS]]-Tabla3[[#This Row],[INGRESOS]]</f>
        <v>1500</v>
      </c>
      <c r="H6" s="104">
        <v>-8720344.4100000001</v>
      </c>
      <c r="I6" s="16">
        <v>1450</v>
      </c>
      <c r="J6" s="14">
        <f>Tabla3[[#This Row],[EGRESOS]]/Tabla3[[#This Row],[TC]]</f>
        <v>1.0344827586206897</v>
      </c>
      <c r="K6" s="14">
        <f>Tabla3[[#This Row],[INGRESOS]]/Tabla3[[#This Row],[TC]]</f>
        <v>0</v>
      </c>
      <c r="L6" s="7" t="s">
        <v>94</v>
      </c>
      <c r="M6" s="7" t="s">
        <v>95</v>
      </c>
      <c r="N6" s="7" t="s">
        <v>2</v>
      </c>
      <c r="O6" s="7" t="s">
        <v>17</v>
      </c>
      <c r="P6" s="7" t="s">
        <v>22</v>
      </c>
      <c r="Q6" s="7" t="s">
        <v>23</v>
      </c>
      <c r="R6" s="7" t="s">
        <v>216</v>
      </c>
      <c r="S6" s="7"/>
      <c r="T6" s="7"/>
      <c r="U6" s="7" t="s">
        <v>61</v>
      </c>
      <c r="V6" s="7"/>
      <c r="W6" s="7" t="s">
        <v>241</v>
      </c>
    </row>
    <row r="7" spans="1:23" x14ac:dyDescent="0.25">
      <c r="A7" s="52" t="str">
        <f t="shared" si="0"/>
        <v>ENERO</v>
      </c>
      <c r="B7" s="53">
        <v>46024</v>
      </c>
      <c r="C7" s="49" t="s">
        <v>212</v>
      </c>
      <c r="D7" s="49"/>
      <c r="E7" s="54">
        <v>300</v>
      </c>
      <c r="F7" s="54">
        <v>0</v>
      </c>
      <c r="G7" s="62">
        <f>Tabla3[[#This Row],[EGRESOS]]-Tabla3[[#This Row],[INGRESOS]]</f>
        <v>300</v>
      </c>
      <c r="H7" s="19">
        <v>-8724225.2100000009</v>
      </c>
      <c r="I7" s="16">
        <v>1450</v>
      </c>
      <c r="J7" s="14">
        <f>Tabla3[[#This Row],[EGRESOS]]/Tabla3[[#This Row],[TC]]</f>
        <v>0.20689655172413793</v>
      </c>
      <c r="K7" s="14">
        <f>Tabla3[[#This Row],[INGRESOS]]/Tabla3[[#This Row],[TC]]</f>
        <v>0</v>
      </c>
      <c r="L7" s="7" t="s">
        <v>94</v>
      </c>
      <c r="M7" s="7" t="s">
        <v>95</v>
      </c>
      <c r="N7" s="7" t="s">
        <v>2</v>
      </c>
      <c r="O7" s="7" t="s">
        <v>17</v>
      </c>
      <c r="P7" s="7" t="s">
        <v>22</v>
      </c>
      <c r="Q7" s="7" t="s">
        <v>23</v>
      </c>
      <c r="R7" s="7" t="s">
        <v>200</v>
      </c>
      <c r="S7" s="7"/>
      <c r="T7" s="7"/>
      <c r="U7" s="7" t="s">
        <v>61</v>
      </c>
      <c r="V7" s="7"/>
      <c r="W7" s="7" t="s">
        <v>241</v>
      </c>
    </row>
    <row r="8" spans="1:23" x14ac:dyDescent="0.25">
      <c r="A8" s="52" t="str">
        <f t="shared" si="0"/>
        <v>ENERO</v>
      </c>
      <c r="B8" s="53">
        <v>46024</v>
      </c>
      <c r="C8" s="49" t="s">
        <v>212</v>
      </c>
      <c r="D8" s="49"/>
      <c r="E8" s="54">
        <v>63</v>
      </c>
      <c r="F8" s="54">
        <v>0</v>
      </c>
      <c r="G8" s="62">
        <f>Tabla3[[#This Row],[EGRESOS]]-Tabla3[[#This Row],[INGRESOS]]</f>
        <v>63</v>
      </c>
      <c r="H8" s="104">
        <v>-8728106.0099999998</v>
      </c>
      <c r="I8" s="16">
        <v>1450</v>
      </c>
      <c r="J8" s="14">
        <f>Tabla3[[#This Row],[EGRESOS]]/Tabla3[[#This Row],[TC]]</f>
        <v>4.3448275862068966E-2</v>
      </c>
      <c r="K8" s="14">
        <f>Tabla3[[#This Row],[INGRESOS]]/Tabla3[[#This Row],[TC]]</f>
        <v>0</v>
      </c>
      <c r="L8" s="7" t="s">
        <v>94</v>
      </c>
      <c r="M8" s="7" t="s">
        <v>95</v>
      </c>
      <c r="N8" s="7" t="s">
        <v>2</v>
      </c>
      <c r="O8" s="7" t="s">
        <v>17</v>
      </c>
      <c r="P8" s="7" t="s">
        <v>22</v>
      </c>
      <c r="Q8" s="7" t="s">
        <v>23</v>
      </c>
      <c r="R8" s="7" t="s">
        <v>200</v>
      </c>
      <c r="S8" s="7"/>
      <c r="T8" s="7"/>
      <c r="U8" s="7" t="s">
        <v>61</v>
      </c>
      <c r="V8" s="7"/>
      <c r="W8" s="7" t="s">
        <v>241</v>
      </c>
    </row>
    <row r="9" spans="1:23" x14ac:dyDescent="0.25">
      <c r="A9" s="52" t="str">
        <f t="shared" si="0"/>
        <v>ENERO</v>
      </c>
      <c r="B9" s="53">
        <v>46024</v>
      </c>
      <c r="C9" s="49" t="s">
        <v>212</v>
      </c>
      <c r="D9" s="49"/>
      <c r="E9" s="54">
        <v>9</v>
      </c>
      <c r="F9" s="54">
        <v>0</v>
      </c>
      <c r="G9" s="62">
        <f>Tabla3[[#This Row],[EGRESOS]]-Tabla3[[#This Row],[INGRESOS]]</f>
        <v>9</v>
      </c>
      <c r="H9" s="104">
        <v>-8731986.8100000005</v>
      </c>
      <c r="I9" s="16">
        <v>1450</v>
      </c>
      <c r="J9" s="14">
        <f>Tabla3[[#This Row],[EGRESOS]]/Tabla3[[#This Row],[TC]]</f>
        <v>6.2068965517241377E-3</v>
      </c>
      <c r="K9" s="14">
        <f>Tabla3[[#This Row],[INGRESOS]]/Tabla3[[#This Row],[TC]]</f>
        <v>0</v>
      </c>
      <c r="L9" s="7" t="s">
        <v>94</v>
      </c>
      <c r="M9" s="7" t="s">
        <v>95</v>
      </c>
      <c r="N9" s="7" t="s">
        <v>2</v>
      </c>
      <c r="O9" s="7" t="s">
        <v>17</v>
      </c>
      <c r="P9" s="7" t="s">
        <v>22</v>
      </c>
      <c r="Q9" s="7" t="s">
        <v>23</v>
      </c>
      <c r="R9" s="7" t="s">
        <v>200</v>
      </c>
      <c r="S9" s="7"/>
      <c r="T9" s="7"/>
      <c r="U9" s="7" t="s">
        <v>61</v>
      </c>
      <c r="V9" s="7"/>
      <c r="W9" s="7" t="s">
        <v>241</v>
      </c>
    </row>
    <row r="10" spans="1:23" x14ac:dyDescent="0.25">
      <c r="A10" s="52" t="str">
        <f t="shared" si="0"/>
        <v>ENERO</v>
      </c>
      <c r="B10" s="53">
        <v>46036</v>
      </c>
      <c r="C10" s="49" t="s">
        <v>264</v>
      </c>
      <c r="D10" s="49"/>
      <c r="E10" s="54">
        <v>600000</v>
      </c>
      <c r="F10" s="54">
        <v>0</v>
      </c>
      <c r="G10" s="62">
        <f>Tabla3[[#This Row],[EGRESOS]]-Tabla3[[#This Row],[INGRESOS]]</f>
        <v>600000</v>
      </c>
      <c r="H10" s="19">
        <v>-8735867.6099999994</v>
      </c>
      <c r="I10" s="16">
        <v>1450</v>
      </c>
      <c r="J10" s="14">
        <f>Tabla3[[#This Row],[EGRESOS]]/Tabla3[[#This Row],[TC]]</f>
        <v>413.79310344827587</v>
      </c>
      <c r="K10" s="14">
        <f>Tabla3[[#This Row],[INGRESOS]]/Tabla3[[#This Row],[TC]]</f>
        <v>0</v>
      </c>
      <c r="L10" s="7" t="s">
        <v>94</v>
      </c>
      <c r="M10" s="7" t="s">
        <v>95</v>
      </c>
      <c r="N10" s="7" t="s">
        <v>2</v>
      </c>
      <c r="O10" s="7" t="s">
        <v>17</v>
      </c>
      <c r="P10" s="7" t="s">
        <v>28</v>
      </c>
      <c r="Q10" s="7" t="s">
        <v>265</v>
      </c>
      <c r="R10" s="7"/>
      <c r="S10" s="133" t="s">
        <v>449</v>
      </c>
      <c r="T10" s="7"/>
      <c r="U10" s="7" t="s">
        <v>266</v>
      </c>
      <c r="V10" s="7" t="s">
        <v>102</v>
      </c>
      <c r="W10" s="7" t="s">
        <v>241</v>
      </c>
    </row>
    <row r="11" spans="1:23" x14ac:dyDescent="0.25">
      <c r="A11" s="52" t="str">
        <f t="shared" si="0"/>
        <v>ENERO</v>
      </c>
      <c r="B11" s="53">
        <v>46036</v>
      </c>
      <c r="C11" s="49" t="s">
        <v>212</v>
      </c>
      <c r="D11" s="49"/>
      <c r="E11" s="54">
        <v>3600</v>
      </c>
      <c r="F11" s="54">
        <v>0</v>
      </c>
      <c r="G11" s="62">
        <f>Tabla3[[#This Row],[EGRESOS]]-Tabla3[[#This Row],[INGRESOS]]</f>
        <v>3600</v>
      </c>
      <c r="H11" s="104">
        <v>-8739748.4100000001</v>
      </c>
      <c r="I11" s="16">
        <v>1450</v>
      </c>
      <c r="J11" s="14">
        <f>Tabla3[[#This Row],[EGRESOS]]/Tabla3[[#This Row],[TC]]</f>
        <v>2.4827586206896552</v>
      </c>
      <c r="K11" s="14">
        <f>Tabla3[[#This Row],[INGRESOS]]/Tabla3[[#This Row],[TC]]</f>
        <v>0</v>
      </c>
      <c r="L11" s="7" t="s">
        <v>94</v>
      </c>
      <c r="M11" s="7" t="s">
        <v>95</v>
      </c>
      <c r="N11" s="7" t="s">
        <v>2</v>
      </c>
      <c r="O11" s="7" t="s">
        <v>17</v>
      </c>
      <c r="P11" s="7" t="s">
        <v>22</v>
      </c>
      <c r="Q11" s="7" t="s">
        <v>23</v>
      </c>
      <c r="R11" s="7" t="s">
        <v>200</v>
      </c>
      <c r="S11" s="7"/>
      <c r="T11" s="7"/>
      <c r="U11" s="7" t="s">
        <v>61</v>
      </c>
      <c r="V11" s="7"/>
      <c r="W11" s="7" t="s">
        <v>241</v>
      </c>
    </row>
    <row r="12" spans="1:23" x14ac:dyDescent="0.25">
      <c r="A12" s="52" t="str">
        <f t="shared" si="0"/>
        <v>ENERO</v>
      </c>
      <c r="B12" s="53">
        <v>46037</v>
      </c>
      <c r="C12" s="49" t="s">
        <v>284</v>
      </c>
      <c r="D12" s="49"/>
      <c r="E12" s="54">
        <v>0</v>
      </c>
      <c r="F12" s="54">
        <v>2700000</v>
      </c>
      <c r="G12" s="62">
        <f>Tabla3[[#This Row],[EGRESOS]]-Tabla3[[#This Row],[INGRESOS]]</f>
        <v>-2700000</v>
      </c>
      <c r="H12" s="104">
        <v>71294.17</v>
      </c>
      <c r="I12" s="16">
        <v>1450</v>
      </c>
      <c r="J12" s="14">
        <f>Tabla3[[#This Row],[EGRESOS]]/Tabla3[[#This Row],[TC]]</f>
        <v>0</v>
      </c>
      <c r="K12" s="14">
        <f>Tabla3[[#This Row],[INGRESOS]]/Tabla3[[#This Row],[TC]]</f>
        <v>1862.0689655172414</v>
      </c>
      <c r="L12" s="7" t="s">
        <v>94</v>
      </c>
      <c r="M12" s="7" t="s">
        <v>95</v>
      </c>
      <c r="N12" s="7" t="s">
        <v>2</v>
      </c>
      <c r="O12" s="7" t="s">
        <v>251</v>
      </c>
      <c r="P12" s="7" t="s">
        <v>250</v>
      </c>
      <c r="Q12" s="7" t="s">
        <v>252</v>
      </c>
      <c r="R12" s="7" t="s">
        <v>263</v>
      </c>
      <c r="S12" s="7"/>
      <c r="T12" s="7"/>
      <c r="U12" s="7" t="s">
        <v>253</v>
      </c>
      <c r="V12" s="7"/>
      <c r="W12" s="7" t="s">
        <v>254</v>
      </c>
    </row>
    <row r="13" spans="1:23" x14ac:dyDescent="0.25">
      <c r="A13" s="52" t="str">
        <f t="shared" si="0"/>
        <v>ENERO</v>
      </c>
      <c r="B13" s="53">
        <v>46049</v>
      </c>
      <c r="C13" s="49" t="s">
        <v>106</v>
      </c>
      <c r="D13" s="49"/>
      <c r="E13" s="54">
        <v>19690.77</v>
      </c>
      <c r="F13" s="54">
        <v>0</v>
      </c>
      <c r="G13" s="62">
        <f>Tabla3[[#This Row],[EGRESOS]]-Tabla3[[#This Row],[INGRESOS]]</f>
        <v>19690.77</v>
      </c>
      <c r="H13" s="104"/>
      <c r="I13" s="16">
        <v>1450</v>
      </c>
      <c r="J13" s="14">
        <f>Tabla3[[#This Row],[EGRESOS]]/Tabla3[[#This Row],[TC]]</f>
        <v>13.579841379310345</v>
      </c>
      <c r="K13" s="14">
        <f>Tabla3[[#This Row],[INGRESOS]]/Tabla3[[#This Row],[TC]]</f>
        <v>0</v>
      </c>
      <c r="L13" s="7" t="s">
        <v>94</v>
      </c>
      <c r="M13" s="7" t="s">
        <v>95</v>
      </c>
      <c r="N13" s="7" t="s">
        <v>2</v>
      </c>
      <c r="O13" s="7" t="s">
        <v>17</v>
      </c>
      <c r="P13" s="7" t="s">
        <v>24</v>
      </c>
      <c r="Q13" s="7" t="s">
        <v>25</v>
      </c>
      <c r="R13" s="7"/>
      <c r="S13" s="7"/>
      <c r="T13" s="7"/>
      <c r="U13" s="7" t="s">
        <v>61</v>
      </c>
      <c r="V13" s="7"/>
      <c r="W13" s="7" t="s">
        <v>241</v>
      </c>
    </row>
    <row r="14" spans="1:23" x14ac:dyDescent="0.25">
      <c r="A14" s="52" t="str">
        <f t="shared" si="0"/>
        <v>ENERO</v>
      </c>
      <c r="B14" s="53">
        <v>46049</v>
      </c>
      <c r="C14" s="49" t="s">
        <v>106</v>
      </c>
      <c r="D14" s="49"/>
      <c r="E14" s="54">
        <v>38029.83</v>
      </c>
      <c r="F14" s="54">
        <v>0</v>
      </c>
      <c r="G14" s="62">
        <f>Tabla3[[#This Row],[EGRESOS]]-Tabla3[[#This Row],[INGRESOS]]</f>
        <v>38029.83</v>
      </c>
      <c r="H14" s="104"/>
      <c r="I14" s="16">
        <v>1450</v>
      </c>
      <c r="J14" s="14">
        <f>Tabla3[[#This Row],[EGRESOS]]/Tabla3[[#This Row],[TC]]</f>
        <v>26.227468965517243</v>
      </c>
      <c r="K14" s="14">
        <f>Tabla3[[#This Row],[INGRESOS]]/Tabla3[[#This Row],[TC]]</f>
        <v>0</v>
      </c>
      <c r="L14" s="7" t="s">
        <v>94</v>
      </c>
      <c r="M14" s="7" t="s">
        <v>95</v>
      </c>
      <c r="N14" s="7" t="s">
        <v>2</v>
      </c>
      <c r="O14" s="7" t="s">
        <v>17</v>
      </c>
      <c r="P14" s="7" t="s">
        <v>24</v>
      </c>
      <c r="Q14" s="7" t="s">
        <v>25</v>
      </c>
      <c r="R14" s="7"/>
      <c r="S14" s="7"/>
      <c r="T14" s="7"/>
      <c r="U14" s="7" t="s">
        <v>61</v>
      </c>
      <c r="V14" s="7"/>
      <c r="W14" s="7" t="s">
        <v>241</v>
      </c>
    </row>
    <row r="15" spans="1:23" x14ac:dyDescent="0.25">
      <c r="A15" s="52" t="str">
        <f t="shared" si="0"/>
        <v>ENERO</v>
      </c>
      <c r="B15" s="53">
        <v>46049</v>
      </c>
      <c r="C15" s="49" t="s">
        <v>106</v>
      </c>
      <c r="D15" s="49"/>
      <c r="E15" s="54">
        <v>5622.29</v>
      </c>
      <c r="F15" s="54">
        <v>0</v>
      </c>
      <c r="G15" s="62">
        <f>Tabla3[[#This Row],[EGRESOS]]-Tabla3[[#This Row],[INGRESOS]]</f>
        <v>5622.29</v>
      </c>
      <c r="H15" s="104"/>
      <c r="I15" s="16">
        <v>1450</v>
      </c>
      <c r="J15" s="14">
        <f>Tabla3[[#This Row],[EGRESOS]]/Tabla3[[#This Row],[TC]]</f>
        <v>3.8774413793103446</v>
      </c>
      <c r="K15" s="14">
        <f>Tabla3[[#This Row],[INGRESOS]]/Tabla3[[#This Row],[TC]]</f>
        <v>0</v>
      </c>
      <c r="L15" s="7" t="s">
        <v>94</v>
      </c>
      <c r="M15" s="7" t="s">
        <v>95</v>
      </c>
      <c r="N15" s="7" t="s">
        <v>2</v>
      </c>
      <c r="O15" s="7" t="s">
        <v>17</v>
      </c>
      <c r="P15" s="7" t="s">
        <v>24</v>
      </c>
      <c r="Q15" s="7" t="s">
        <v>25</v>
      </c>
      <c r="R15" s="7"/>
      <c r="S15" s="7"/>
      <c r="T15" s="7"/>
      <c r="U15" s="7" t="s">
        <v>61</v>
      </c>
      <c r="V15" s="7"/>
      <c r="W15" s="7" t="s">
        <v>241</v>
      </c>
    </row>
    <row r="16" spans="1:23" x14ac:dyDescent="0.25">
      <c r="A16" s="52" t="str">
        <f t="shared" si="0"/>
        <v>ENERO</v>
      </c>
      <c r="B16" s="53">
        <v>46049</v>
      </c>
      <c r="C16" s="49" t="s">
        <v>212</v>
      </c>
      <c r="D16" s="49"/>
      <c r="E16" s="54">
        <v>118.14</v>
      </c>
      <c r="F16" s="54">
        <v>0</v>
      </c>
      <c r="G16" s="62">
        <f>Tabla3[[#This Row],[EGRESOS]]-Tabla3[[#This Row],[INGRESOS]]</f>
        <v>118.14</v>
      </c>
      <c r="H16" s="104"/>
      <c r="I16" s="16">
        <v>1450</v>
      </c>
      <c r="J16" s="14">
        <f>Tabla3[[#This Row],[EGRESOS]]/Tabla3[[#This Row],[TC]]</f>
        <v>8.1475862068965524E-2</v>
      </c>
      <c r="K16" s="14">
        <f>Tabla3[[#This Row],[INGRESOS]]/Tabla3[[#This Row],[TC]]</f>
        <v>0</v>
      </c>
      <c r="L16" s="7" t="s">
        <v>94</v>
      </c>
      <c r="M16" s="7" t="s">
        <v>95</v>
      </c>
      <c r="N16" s="7" t="s">
        <v>2</v>
      </c>
      <c r="O16" s="7" t="s">
        <v>17</v>
      </c>
      <c r="P16" s="7" t="s">
        <v>22</v>
      </c>
      <c r="Q16" s="7" t="s">
        <v>23</v>
      </c>
      <c r="R16" s="7" t="s">
        <v>200</v>
      </c>
      <c r="S16" s="7"/>
      <c r="T16" s="7"/>
      <c r="U16" s="7" t="s">
        <v>61</v>
      </c>
      <c r="V16" s="7"/>
      <c r="W16" s="7" t="s">
        <v>241</v>
      </c>
    </row>
    <row r="17" spans="1:23" x14ac:dyDescent="0.25">
      <c r="A17" s="52" t="str">
        <f t="shared" si="0"/>
        <v>ENERO</v>
      </c>
      <c r="B17" s="53">
        <v>46049</v>
      </c>
      <c r="C17" s="49" t="s">
        <v>212</v>
      </c>
      <c r="D17" s="49"/>
      <c r="E17" s="54">
        <v>228.18</v>
      </c>
      <c r="F17" s="54">
        <v>0</v>
      </c>
      <c r="G17" s="62">
        <f>Tabla3[[#This Row],[EGRESOS]]-Tabla3[[#This Row],[INGRESOS]]</f>
        <v>228.18</v>
      </c>
      <c r="H17" s="104"/>
      <c r="I17" s="16">
        <v>1450</v>
      </c>
      <c r="J17" s="14">
        <f>Tabla3[[#This Row],[EGRESOS]]/Tabla3[[#This Row],[TC]]</f>
        <v>0.15736551724137932</v>
      </c>
      <c r="K17" s="14">
        <f>Tabla3[[#This Row],[INGRESOS]]/Tabla3[[#This Row],[TC]]</f>
        <v>0</v>
      </c>
      <c r="L17" s="7" t="s">
        <v>94</v>
      </c>
      <c r="M17" s="7" t="s">
        <v>95</v>
      </c>
      <c r="N17" s="7" t="s">
        <v>2</v>
      </c>
      <c r="O17" s="7" t="s">
        <v>17</v>
      </c>
      <c r="P17" s="7" t="s">
        <v>22</v>
      </c>
      <c r="Q17" s="7" t="s">
        <v>23</v>
      </c>
      <c r="R17" s="7" t="s">
        <v>200</v>
      </c>
      <c r="S17" s="7"/>
      <c r="T17" s="7"/>
      <c r="U17" s="7" t="s">
        <v>61</v>
      </c>
      <c r="V17" s="7"/>
      <c r="W17" s="7" t="s">
        <v>241</v>
      </c>
    </row>
    <row r="18" spans="1:23" x14ac:dyDescent="0.25">
      <c r="A18" s="52" t="str">
        <f t="shared" si="0"/>
        <v>ENERO</v>
      </c>
      <c r="B18" s="53">
        <v>46049</v>
      </c>
      <c r="C18" s="49" t="s">
        <v>212</v>
      </c>
      <c r="D18" s="49"/>
      <c r="E18" s="54">
        <v>33.729999999999997</v>
      </c>
      <c r="F18" s="54">
        <v>0</v>
      </c>
      <c r="G18" s="62">
        <f>Tabla3[[#This Row],[EGRESOS]]-Tabla3[[#This Row],[INGRESOS]]</f>
        <v>33.729999999999997</v>
      </c>
      <c r="H18" s="104">
        <v>7571.23</v>
      </c>
      <c r="I18" s="16">
        <v>1450</v>
      </c>
      <c r="J18" s="14">
        <f>Tabla3[[#This Row],[EGRESOS]]/Tabla3[[#This Row],[TC]]</f>
        <v>2.3262068965517239E-2</v>
      </c>
      <c r="K18" s="14">
        <f>Tabla3[[#This Row],[INGRESOS]]/Tabla3[[#This Row],[TC]]</f>
        <v>0</v>
      </c>
      <c r="L18" s="7" t="s">
        <v>94</v>
      </c>
      <c r="M18" s="7" t="s">
        <v>95</v>
      </c>
      <c r="N18" s="7" t="s">
        <v>2</v>
      </c>
      <c r="O18" s="7" t="s">
        <v>17</v>
      </c>
      <c r="P18" s="7" t="s">
        <v>22</v>
      </c>
      <c r="Q18" s="7" t="s">
        <v>23</v>
      </c>
      <c r="R18" s="7" t="s">
        <v>200</v>
      </c>
      <c r="S18" s="7"/>
      <c r="T18" s="7"/>
      <c r="U18" s="7" t="s">
        <v>61</v>
      </c>
      <c r="V18" s="7"/>
      <c r="W18" s="7" t="s">
        <v>241</v>
      </c>
    </row>
    <row r="19" spans="1:23" x14ac:dyDescent="0.25">
      <c r="A19" s="52" t="str">
        <f t="shared" si="0"/>
        <v>ENERO</v>
      </c>
      <c r="B19" s="53">
        <v>46030</v>
      </c>
      <c r="C19" s="49" t="s">
        <v>212</v>
      </c>
      <c r="D19" s="49"/>
      <c r="E19" s="54">
        <v>296.56</v>
      </c>
      <c r="F19" s="54">
        <v>0</v>
      </c>
      <c r="G19" s="62">
        <f>Tabla3[[#This Row],[EGRESOS]]-Tabla3[[#This Row],[INGRESOS]]</f>
        <v>296.56</v>
      </c>
      <c r="H19" s="124"/>
      <c r="I19" s="16">
        <v>1450</v>
      </c>
      <c r="J19" s="14">
        <f>Tabla3[[#This Row],[EGRESOS]]/Tabla3[[#This Row],[TC]]</f>
        <v>0.20452413793103449</v>
      </c>
      <c r="K19" s="14">
        <f>Tabla3[[#This Row],[INGRESOS]]/Tabla3[[#This Row],[TC]]</f>
        <v>0</v>
      </c>
      <c r="L19" s="7" t="s">
        <v>94</v>
      </c>
      <c r="M19" s="7" t="s">
        <v>95</v>
      </c>
      <c r="N19" s="7" t="s">
        <v>2</v>
      </c>
      <c r="O19" s="7" t="s">
        <v>17</v>
      </c>
      <c r="P19" s="7" t="s">
        <v>22</v>
      </c>
      <c r="Q19" s="7" t="s">
        <v>23</v>
      </c>
      <c r="R19" s="7" t="s">
        <v>200</v>
      </c>
      <c r="S19" s="7"/>
      <c r="T19" s="7"/>
      <c r="U19" s="7" t="s">
        <v>61</v>
      </c>
      <c r="V19" s="7"/>
      <c r="W19" s="7" t="s">
        <v>241</v>
      </c>
    </row>
    <row r="20" spans="1:23" x14ac:dyDescent="0.25">
      <c r="A20" s="52" t="str">
        <f t="shared" si="0"/>
        <v>ENERO</v>
      </c>
      <c r="B20" s="53">
        <v>46050</v>
      </c>
      <c r="C20" s="49" t="s">
        <v>343</v>
      </c>
      <c r="D20" s="49"/>
      <c r="E20" s="54">
        <v>49426.18</v>
      </c>
      <c r="F20" s="54">
        <v>0</v>
      </c>
      <c r="G20" s="62">
        <f>Tabla3[[#This Row],[EGRESOS]]-Tabla3[[#This Row],[INGRESOS]]</f>
        <v>49426.18</v>
      </c>
      <c r="H20" s="140">
        <v>-42151.1</v>
      </c>
      <c r="I20" s="16">
        <v>1450</v>
      </c>
      <c r="J20" s="14">
        <f>Tabla3[[#This Row],[EGRESOS]]/Tabla3[[#This Row],[TC]]</f>
        <v>34.087020689655169</v>
      </c>
      <c r="K20" s="14">
        <f>Tabla3[[#This Row],[INGRESOS]]/Tabla3[[#This Row],[TC]]</f>
        <v>0</v>
      </c>
      <c r="L20" s="7" t="s">
        <v>94</v>
      </c>
      <c r="M20" s="7" t="s">
        <v>95</v>
      </c>
      <c r="N20" s="7" t="s">
        <v>2</v>
      </c>
      <c r="O20" s="7" t="s">
        <v>17</v>
      </c>
      <c r="P20" s="7" t="s">
        <v>22</v>
      </c>
      <c r="Q20" s="7" t="s">
        <v>19</v>
      </c>
      <c r="R20" s="7"/>
      <c r="S20" s="7"/>
      <c r="T20" s="7"/>
      <c r="U20" s="7" t="s">
        <v>61</v>
      </c>
      <c r="V20" s="7"/>
      <c r="W20" s="7" t="s">
        <v>241</v>
      </c>
    </row>
    <row r="21" spans="1:23" x14ac:dyDescent="0.25">
      <c r="A21" s="52" t="str">
        <f t="shared" ref="A21:A68" si="1">"FEBRERO"</f>
        <v>FEBRERO</v>
      </c>
      <c r="B21" s="53">
        <v>46055</v>
      </c>
      <c r="C21" s="49" t="s">
        <v>215</v>
      </c>
      <c r="D21" s="49"/>
      <c r="E21" s="54">
        <v>50000</v>
      </c>
      <c r="F21" s="54">
        <v>0</v>
      </c>
      <c r="G21" s="62">
        <f>Tabla3[[#This Row],[EGRESOS]]-Tabla3[[#This Row],[INGRESOS]]</f>
        <v>50000</v>
      </c>
      <c r="H21" s="140"/>
      <c r="I21" s="16">
        <v>1450</v>
      </c>
      <c r="J21" s="14">
        <f>Tabla3[[#This Row],[EGRESOS]]/Tabla3[[#This Row],[TC]]</f>
        <v>34.482758620689658</v>
      </c>
      <c r="K21" s="14">
        <f>Tabla3[[#This Row],[INGRESOS]]/Tabla3[[#This Row],[TC]]</f>
        <v>0</v>
      </c>
      <c r="L21" s="7" t="s">
        <v>94</v>
      </c>
      <c r="M21" s="7" t="s">
        <v>95</v>
      </c>
      <c r="N21" s="7" t="s">
        <v>2</v>
      </c>
      <c r="O21" s="7" t="s">
        <v>17</v>
      </c>
      <c r="P21" s="7" t="s">
        <v>22</v>
      </c>
      <c r="Q21" s="7" t="s">
        <v>19</v>
      </c>
      <c r="R21" s="7"/>
      <c r="S21" s="7"/>
      <c r="T21" s="7"/>
      <c r="U21" s="7" t="s">
        <v>61</v>
      </c>
      <c r="V21" s="7"/>
      <c r="W21" s="7" t="s">
        <v>241</v>
      </c>
    </row>
    <row r="22" spans="1:23" x14ac:dyDescent="0.25">
      <c r="A22" s="52" t="str">
        <f t="shared" si="1"/>
        <v>FEBRERO</v>
      </c>
      <c r="B22" s="53">
        <v>46055</v>
      </c>
      <c r="C22" s="49" t="s">
        <v>214</v>
      </c>
      <c r="D22" s="49"/>
      <c r="E22" s="54">
        <v>10500</v>
      </c>
      <c r="F22" s="54">
        <v>0</v>
      </c>
      <c r="G22" s="62">
        <f>Tabla3[[#This Row],[EGRESOS]]-Tabla3[[#This Row],[INGRESOS]]</f>
        <v>10500</v>
      </c>
      <c r="H22" s="140"/>
      <c r="I22" s="16">
        <v>1450</v>
      </c>
      <c r="J22" s="14">
        <f>Tabla3[[#This Row],[EGRESOS]]/Tabla3[[#This Row],[TC]]</f>
        <v>7.2413793103448274</v>
      </c>
      <c r="K22" s="14">
        <f>Tabla3[[#This Row],[INGRESOS]]/Tabla3[[#This Row],[TC]]</f>
        <v>0</v>
      </c>
      <c r="L22" s="7" t="s">
        <v>94</v>
      </c>
      <c r="M22" s="7" t="s">
        <v>95</v>
      </c>
      <c r="N22" s="7" t="s">
        <v>2</v>
      </c>
      <c r="O22" s="7" t="s">
        <v>17</v>
      </c>
      <c r="P22" s="7" t="s">
        <v>22</v>
      </c>
      <c r="Q22" s="7" t="s">
        <v>23</v>
      </c>
      <c r="R22" s="7" t="s">
        <v>96</v>
      </c>
      <c r="S22" s="7"/>
      <c r="T22" s="7"/>
      <c r="U22" s="7" t="s">
        <v>61</v>
      </c>
      <c r="V22" s="7"/>
      <c r="W22" s="7" t="s">
        <v>241</v>
      </c>
    </row>
    <row r="23" spans="1:23" x14ac:dyDescent="0.25">
      <c r="A23" s="52" t="str">
        <f t="shared" si="1"/>
        <v>FEBRERO</v>
      </c>
      <c r="B23" s="53">
        <v>46055</v>
      </c>
      <c r="C23" s="49" t="s">
        <v>213</v>
      </c>
      <c r="D23" s="49"/>
      <c r="E23" s="54">
        <v>1500</v>
      </c>
      <c r="F23" s="54">
        <v>0</v>
      </c>
      <c r="G23" s="62">
        <f>Tabla3[[#This Row],[EGRESOS]]-Tabla3[[#This Row],[INGRESOS]]</f>
        <v>1500</v>
      </c>
      <c r="H23" s="140"/>
      <c r="I23" s="16">
        <v>1450</v>
      </c>
      <c r="J23" s="14">
        <f>Tabla3[[#This Row],[EGRESOS]]/Tabla3[[#This Row],[TC]]</f>
        <v>1.0344827586206897</v>
      </c>
      <c r="K23" s="14">
        <f>Tabla3[[#This Row],[INGRESOS]]/Tabla3[[#This Row],[TC]]</f>
        <v>0</v>
      </c>
      <c r="L23" s="7" t="s">
        <v>94</v>
      </c>
      <c r="M23" s="7" t="s">
        <v>95</v>
      </c>
      <c r="N23" s="7" t="s">
        <v>2</v>
      </c>
      <c r="O23" s="7" t="s">
        <v>17</v>
      </c>
      <c r="P23" s="7" t="s">
        <v>22</v>
      </c>
      <c r="Q23" s="7" t="s">
        <v>23</v>
      </c>
      <c r="R23" s="7" t="s">
        <v>216</v>
      </c>
      <c r="S23" s="7"/>
      <c r="T23" s="7"/>
      <c r="U23" s="7" t="s">
        <v>61</v>
      </c>
      <c r="V23" s="7"/>
      <c r="W23" s="7" t="s">
        <v>241</v>
      </c>
    </row>
    <row r="24" spans="1:23" x14ac:dyDescent="0.25">
      <c r="A24" s="52" t="str">
        <f t="shared" si="1"/>
        <v>FEBRERO</v>
      </c>
      <c r="B24" s="53">
        <v>46055</v>
      </c>
      <c r="C24" s="49" t="s">
        <v>212</v>
      </c>
      <c r="D24" s="49"/>
      <c r="E24" s="54">
        <v>300</v>
      </c>
      <c r="F24" s="54">
        <v>0</v>
      </c>
      <c r="G24" s="62">
        <f>Tabla3[[#This Row],[EGRESOS]]-Tabla3[[#This Row],[INGRESOS]]</f>
        <v>300</v>
      </c>
      <c r="H24" s="140"/>
      <c r="I24" s="16">
        <v>1450</v>
      </c>
      <c r="J24" s="14">
        <f>Tabla3[[#This Row],[EGRESOS]]/Tabla3[[#This Row],[TC]]</f>
        <v>0.20689655172413793</v>
      </c>
      <c r="K24" s="14">
        <f>Tabla3[[#This Row],[INGRESOS]]/Tabla3[[#This Row],[TC]]</f>
        <v>0</v>
      </c>
      <c r="L24" s="7" t="s">
        <v>94</v>
      </c>
      <c r="M24" s="7" t="s">
        <v>95</v>
      </c>
      <c r="N24" s="7" t="s">
        <v>2</v>
      </c>
      <c r="O24" s="7" t="s">
        <v>17</v>
      </c>
      <c r="P24" s="7" t="s">
        <v>22</v>
      </c>
      <c r="Q24" s="7" t="s">
        <v>23</v>
      </c>
      <c r="R24" s="7" t="s">
        <v>200</v>
      </c>
      <c r="S24" s="7"/>
      <c r="T24" s="7"/>
      <c r="U24" s="7" t="s">
        <v>61</v>
      </c>
      <c r="V24" s="7"/>
      <c r="W24" s="7" t="s">
        <v>241</v>
      </c>
    </row>
    <row r="25" spans="1:23" x14ac:dyDescent="0.25">
      <c r="A25" s="52" t="str">
        <f t="shared" si="1"/>
        <v>FEBRERO</v>
      </c>
      <c r="B25" s="53">
        <v>46055</v>
      </c>
      <c r="C25" s="49" t="s">
        <v>212</v>
      </c>
      <c r="D25" s="49"/>
      <c r="E25" s="54">
        <v>63</v>
      </c>
      <c r="F25" s="54">
        <v>0</v>
      </c>
      <c r="G25" s="62">
        <f>Tabla3[[#This Row],[EGRESOS]]-Tabla3[[#This Row],[INGRESOS]]</f>
        <v>63</v>
      </c>
      <c r="H25" s="104"/>
      <c r="I25" s="16">
        <v>1450</v>
      </c>
      <c r="J25" s="14">
        <f>Tabla3[[#This Row],[EGRESOS]]/Tabla3[[#This Row],[TC]]</f>
        <v>4.3448275862068966E-2</v>
      </c>
      <c r="K25" s="14">
        <f>Tabla3[[#This Row],[INGRESOS]]/Tabla3[[#This Row],[TC]]</f>
        <v>0</v>
      </c>
      <c r="L25" s="7" t="s">
        <v>94</v>
      </c>
      <c r="M25" s="7" t="s">
        <v>95</v>
      </c>
      <c r="N25" s="7" t="s">
        <v>2</v>
      </c>
      <c r="O25" s="7" t="s">
        <v>17</v>
      </c>
      <c r="P25" s="7" t="s">
        <v>22</v>
      </c>
      <c r="Q25" s="7" t="s">
        <v>23</v>
      </c>
      <c r="R25" s="7" t="s">
        <v>200</v>
      </c>
      <c r="S25" s="7"/>
      <c r="T25" s="7"/>
      <c r="U25" s="7" t="s">
        <v>61</v>
      </c>
      <c r="V25" s="7"/>
      <c r="W25" s="7" t="s">
        <v>241</v>
      </c>
    </row>
    <row r="26" spans="1:23" x14ac:dyDescent="0.25">
      <c r="A26" s="52" t="str">
        <f t="shared" si="1"/>
        <v>FEBRERO</v>
      </c>
      <c r="B26" s="53">
        <v>46055</v>
      </c>
      <c r="C26" s="49" t="s">
        <v>212</v>
      </c>
      <c r="D26" s="49"/>
      <c r="E26" s="54">
        <v>9</v>
      </c>
      <c r="F26" s="54">
        <v>0</v>
      </c>
      <c r="G26" s="62">
        <f>Tabla3[[#This Row],[EGRESOS]]-Tabla3[[#This Row],[INGRESOS]]</f>
        <v>9</v>
      </c>
      <c r="H26" s="142">
        <v>-104523.51</v>
      </c>
      <c r="I26" s="16">
        <v>1450</v>
      </c>
      <c r="J26" s="14">
        <f>Tabla3[[#This Row],[EGRESOS]]/Tabla3[[#This Row],[TC]]</f>
        <v>6.2068965517241377E-3</v>
      </c>
      <c r="K26" s="14">
        <f>Tabla3[[#This Row],[INGRESOS]]/Tabla3[[#This Row],[TC]]</f>
        <v>0</v>
      </c>
      <c r="L26" s="7" t="s">
        <v>94</v>
      </c>
      <c r="M26" s="7" t="s">
        <v>95</v>
      </c>
      <c r="N26" s="7" t="s">
        <v>2</v>
      </c>
      <c r="O26" s="7" t="s">
        <v>17</v>
      </c>
      <c r="P26" s="7" t="s">
        <v>22</v>
      </c>
      <c r="Q26" s="7" t="s">
        <v>23</v>
      </c>
      <c r="R26" s="7" t="s">
        <v>200</v>
      </c>
      <c r="S26" s="7"/>
      <c r="T26" s="7"/>
      <c r="U26" s="7" t="s">
        <v>61</v>
      </c>
      <c r="V26" s="7"/>
      <c r="W26" s="7" t="s">
        <v>241</v>
      </c>
    </row>
    <row r="27" spans="1:23" x14ac:dyDescent="0.25">
      <c r="A27" s="52" t="str">
        <f t="shared" si="1"/>
        <v>FEBRERO</v>
      </c>
      <c r="B27" s="53">
        <v>46057</v>
      </c>
      <c r="C27" s="49" t="s">
        <v>284</v>
      </c>
      <c r="D27" s="49" t="s">
        <v>238</v>
      </c>
      <c r="E27" s="54">
        <v>0</v>
      </c>
      <c r="F27" s="54">
        <v>150000</v>
      </c>
      <c r="G27" s="62">
        <f>Tabla3[[#This Row],[EGRESOS]]-Tabla3[[#This Row],[INGRESOS]]</f>
        <v>-150000</v>
      </c>
      <c r="H27" s="140">
        <v>45476.49</v>
      </c>
      <c r="I27" s="16">
        <v>1450</v>
      </c>
      <c r="J27" s="14">
        <f>Tabla3[[#This Row],[EGRESOS]]/Tabla3[[#This Row],[TC]]</f>
        <v>0</v>
      </c>
      <c r="K27" s="14">
        <f>Tabla3[[#This Row],[INGRESOS]]/Tabla3[[#This Row],[TC]]</f>
        <v>103.44827586206897</v>
      </c>
      <c r="L27" s="7" t="s">
        <v>94</v>
      </c>
      <c r="M27" s="7" t="s">
        <v>95</v>
      </c>
      <c r="N27" s="7" t="s">
        <v>2</v>
      </c>
      <c r="O27" s="7" t="s">
        <v>251</v>
      </c>
      <c r="P27" s="7" t="s">
        <v>250</v>
      </c>
      <c r="Q27" s="7" t="s">
        <v>252</v>
      </c>
      <c r="R27" s="7" t="s">
        <v>263</v>
      </c>
      <c r="S27" s="7"/>
      <c r="T27" s="7"/>
      <c r="U27" s="7" t="s">
        <v>253</v>
      </c>
      <c r="V27" s="7"/>
      <c r="W27" s="7" t="s">
        <v>254</v>
      </c>
    </row>
    <row r="28" spans="1:23" x14ac:dyDescent="0.25">
      <c r="A28" s="134" t="str">
        <f t="shared" si="1"/>
        <v>FEBRERO</v>
      </c>
      <c r="B28" s="135">
        <v>46062</v>
      </c>
      <c r="C28" s="136" t="s">
        <v>284</v>
      </c>
      <c r="D28" s="136"/>
      <c r="E28" s="55">
        <v>0</v>
      </c>
      <c r="F28" s="55">
        <v>30000000</v>
      </c>
      <c r="G28" s="137">
        <f>Tabla3[[#This Row],[EGRESOS]]-Tabla3[[#This Row],[INGRESOS]]</f>
        <v>-30000000</v>
      </c>
      <c r="H28" s="143"/>
      <c r="I28" s="138">
        <v>1450</v>
      </c>
      <c r="J28" s="139">
        <f>Tabla3[[#This Row],[EGRESOS]]/Tabla3[[#This Row],[TC]]</f>
        <v>0</v>
      </c>
      <c r="K28" s="139">
        <f>Tabla3[[#This Row],[INGRESOS]]/Tabla3[[#This Row],[TC]]</f>
        <v>20689.655172413793</v>
      </c>
      <c r="L28" s="8" t="s">
        <v>94</v>
      </c>
      <c r="M28" s="8" t="s">
        <v>95</v>
      </c>
      <c r="N28" s="8" t="s">
        <v>2</v>
      </c>
      <c r="O28" s="8" t="s">
        <v>251</v>
      </c>
      <c r="P28" s="8" t="s">
        <v>250</v>
      </c>
      <c r="Q28" s="8" t="s">
        <v>252</v>
      </c>
      <c r="R28" s="8" t="s">
        <v>263</v>
      </c>
      <c r="S28" s="8"/>
      <c r="T28" s="8"/>
      <c r="U28" s="8" t="s">
        <v>253</v>
      </c>
      <c r="V28" s="8"/>
      <c r="W28" s="8" t="s">
        <v>241</v>
      </c>
    </row>
    <row r="29" spans="1:23" x14ac:dyDescent="0.25">
      <c r="A29" s="134" t="str">
        <f t="shared" si="1"/>
        <v>FEBRERO</v>
      </c>
      <c r="B29" s="135">
        <v>46062</v>
      </c>
      <c r="C29" s="136" t="s">
        <v>284</v>
      </c>
      <c r="D29" s="136"/>
      <c r="E29" s="55">
        <v>0</v>
      </c>
      <c r="F29" s="55">
        <v>1700000</v>
      </c>
      <c r="G29" s="137">
        <f>Tabla3[[#This Row],[EGRESOS]]-Tabla3[[#This Row],[INGRESOS]]</f>
        <v>-1700000</v>
      </c>
      <c r="H29" s="143"/>
      <c r="I29" s="138">
        <v>1450</v>
      </c>
      <c r="J29" s="139">
        <f>Tabla3[[#This Row],[EGRESOS]]/Tabla3[[#This Row],[TC]]</f>
        <v>0</v>
      </c>
      <c r="K29" s="139">
        <f>Tabla3[[#This Row],[INGRESOS]]/Tabla3[[#This Row],[TC]]</f>
        <v>1172.4137931034484</v>
      </c>
      <c r="L29" s="8" t="s">
        <v>94</v>
      </c>
      <c r="M29" s="8" t="s">
        <v>95</v>
      </c>
      <c r="N29" s="8" t="s">
        <v>2</v>
      </c>
      <c r="O29" s="8" t="s">
        <v>251</v>
      </c>
      <c r="P29" s="8" t="s">
        <v>250</v>
      </c>
      <c r="Q29" s="8" t="s">
        <v>252</v>
      </c>
      <c r="R29" s="8" t="s">
        <v>413</v>
      </c>
      <c r="S29" s="8"/>
      <c r="T29" s="8"/>
      <c r="U29" s="8" t="s">
        <v>253</v>
      </c>
      <c r="V29" s="8"/>
      <c r="W29" s="8" t="s">
        <v>241</v>
      </c>
    </row>
    <row r="30" spans="1:23" x14ac:dyDescent="0.25">
      <c r="A30" s="134" t="str">
        <f t="shared" si="1"/>
        <v>FEBRERO</v>
      </c>
      <c r="B30" s="135">
        <v>46062</v>
      </c>
      <c r="C30" s="136" t="s">
        <v>408</v>
      </c>
      <c r="D30" s="136"/>
      <c r="E30" s="55">
        <v>0</v>
      </c>
      <c r="F30" s="55">
        <v>19500000</v>
      </c>
      <c r="G30" s="137">
        <f>Tabla3[[#This Row],[EGRESOS]]-Tabla3[[#This Row],[INGRESOS]]</f>
        <v>-19500000</v>
      </c>
      <c r="H30" s="143"/>
      <c r="I30" s="138">
        <v>1450</v>
      </c>
      <c r="J30" s="139">
        <f>Tabla3[[#This Row],[EGRESOS]]/Tabla3[[#This Row],[TC]]</f>
        <v>0</v>
      </c>
      <c r="K30" s="139">
        <f>Tabla3[[#This Row],[INGRESOS]]/Tabla3[[#This Row],[TC]]</f>
        <v>13448.275862068966</v>
      </c>
      <c r="L30" s="8" t="s">
        <v>94</v>
      </c>
      <c r="M30" s="8" t="s">
        <v>95</v>
      </c>
      <c r="N30" s="8" t="s">
        <v>2</v>
      </c>
      <c r="O30" s="8" t="s">
        <v>251</v>
      </c>
      <c r="P30" s="8" t="s">
        <v>250</v>
      </c>
      <c r="Q30" s="8" t="s">
        <v>252</v>
      </c>
      <c r="R30" s="8" t="s">
        <v>409</v>
      </c>
      <c r="S30" s="8"/>
      <c r="T30" s="8"/>
      <c r="U30" s="8" t="s">
        <v>253</v>
      </c>
      <c r="V30" s="8"/>
      <c r="W30" s="8" t="s">
        <v>241</v>
      </c>
    </row>
    <row r="31" spans="1:23" x14ac:dyDescent="0.25">
      <c r="A31" s="134" t="str">
        <f t="shared" si="1"/>
        <v>FEBRERO</v>
      </c>
      <c r="B31" s="135">
        <v>46062</v>
      </c>
      <c r="C31" s="136" t="s">
        <v>284</v>
      </c>
      <c r="D31" s="136"/>
      <c r="E31" s="55">
        <v>0</v>
      </c>
      <c r="F31" s="55">
        <v>3500000</v>
      </c>
      <c r="G31" s="137">
        <f>Tabla3[[#This Row],[EGRESOS]]-Tabla3[[#This Row],[INGRESOS]]</f>
        <v>-3500000</v>
      </c>
      <c r="H31" s="143"/>
      <c r="I31" s="138">
        <v>1450</v>
      </c>
      <c r="J31" s="139">
        <f>Tabla3[[#This Row],[EGRESOS]]/Tabla3[[#This Row],[TC]]</f>
        <v>0</v>
      </c>
      <c r="K31" s="139">
        <f>Tabla3[[#This Row],[INGRESOS]]/Tabla3[[#This Row],[TC]]</f>
        <v>2413.7931034482758</v>
      </c>
      <c r="L31" s="8" t="s">
        <v>94</v>
      </c>
      <c r="M31" s="8" t="s">
        <v>95</v>
      </c>
      <c r="N31" s="8" t="s">
        <v>2</v>
      </c>
      <c r="O31" s="8" t="s">
        <v>251</v>
      </c>
      <c r="P31" s="8" t="s">
        <v>250</v>
      </c>
      <c r="Q31" s="8" t="s">
        <v>252</v>
      </c>
      <c r="R31" s="8" t="s">
        <v>263</v>
      </c>
      <c r="S31" s="8"/>
      <c r="T31" s="8"/>
      <c r="U31" s="8" t="s">
        <v>253</v>
      </c>
      <c r="V31" s="8"/>
      <c r="W31" s="8" t="s">
        <v>241</v>
      </c>
    </row>
    <row r="32" spans="1:23" x14ac:dyDescent="0.25">
      <c r="A32" s="134" t="str">
        <f t="shared" si="1"/>
        <v>FEBRERO</v>
      </c>
      <c r="B32" s="135">
        <v>46062</v>
      </c>
      <c r="C32" s="136" t="s">
        <v>407</v>
      </c>
      <c r="D32" s="136"/>
      <c r="E32" s="55">
        <v>50750000</v>
      </c>
      <c r="F32" s="55">
        <v>0</v>
      </c>
      <c r="G32" s="137">
        <f>Tabla3[[#This Row],[EGRESOS]]-Tabla3[[#This Row],[INGRESOS]]</f>
        <v>50750000</v>
      </c>
      <c r="H32" s="143"/>
      <c r="I32" s="138">
        <v>1450</v>
      </c>
      <c r="J32" s="139">
        <f>Tabla3[[#This Row],[EGRESOS]]/Tabla3[[#This Row],[TC]]</f>
        <v>35000</v>
      </c>
      <c r="K32" s="139">
        <f>Tabla3[[#This Row],[INGRESOS]]/Tabla3[[#This Row],[TC]]</f>
        <v>0</v>
      </c>
      <c r="L32" s="8" t="s">
        <v>94</v>
      </c>
      <c r="M32" s="8" t="s">
        <v>95</v>
      </c>
      <c r="N32" s="8" t="s">
        <v>2</v>
      </c>
      <c r="O32" s="8" t="s">
        <v>251</v>
      </c>
      <c r="P32" s="8" t="s">
        <v>245</v>
      </c>
      <c r="Q32" s="8" t="s">
        <v>246</v>
      </c>
      <c r="R32" s="8" t="s">
        <v>410</v>
      </c>
      <c r="S32" s="8" t="s">
        <v>2</v>
      </c>
      <c r="T32" s="8"/>
      <c r="U32" s="8" t="s">
        <v>411</v>
      </c>
      <c r="V32" s="8" t="s">
        <v>2</v>
      </c>
      <c r="W32" s="8" t="s">
        <v>241</v>
      </c>
    </row>
    <row r="33" spans="1:23" x14ac:dyDescent="0.25">
      <c r="A33" s="134" t="str">
        <f t="shared" si="1"/>
        <v>FEBRERO</v>
      </c>
      <c r="B33" s="135">
        <v>46062</v>
      </c>
      <c r="C33" s="136" t="s">
        <v>407</v>
      </c>
      <c r="D33" s="136"/>
      <c r="E33" s="55">
        <v>3880200</v>
      </c>
      <c r="F33" s="55">
        <v>0</v>
      </c>
      <c r="G33" s="137">
        <f>Tabla3[[#This Row],[EGRESOS]]-Tabla3[[#This Row],[INGRESOS]]</f>
        <v>3880200</v>
      </c>
      <c r="H33" s="143"/>
      <c r="I33" s="138">
        <v>1450</v>
      </c>
      <c r="J33" s="139">
        <f>Tabla3[[#This Row],[EGRESOS]]/Tabla3[[#This Row],[TC]]</f>
        <v>2676</v>
      </c>
      <c r="K33" s="139">
        <f>Tabla3[[#This Row],[INGRESOS]]/Tabla3[[#This Row],[TC]]</f>
        <v>0</v>
      </c>
      <c r="L33" s="8" t="s">
        <v>94</v>
      </c>
      <c r="M33" s="8" t="s">
        <v>95</v>
      </c>
      <c r="N33" s="8" t="s">
        <v>2</v>
      </c>
      <c r="O33" s="8" t="s">
        <v>251</v>
      </c>
      <c r="P33" s="8" t="s">
        <v>245</v>
      </c>
      <c r="Q33" s="8" t="s">
        <v>246</v>
      </c>
      <c r="R33" s="8" t="s">
        <v>410</v>
      </c>
      <c r="S33" s="8" t="s">
        <v>2</v>
      </c>
      <c r="T33" s="8"/>
      <c r="U33" s="8" t="s">
        <v>411</v>
      </c>
      <c r="V33" s="8" t="s">
        <v>2</v>
      </c>
      <c r="W33" s="8" t="s">
        <v>241</v>
      </c>
    </row>
    <row r="34" spans="1:23" x14ac:dyDescent="0.25">
      <c r="A34" s="134" t="str">
        <f t="shared" si="1"/>
        <v>FEBRERO</v>
      </c>
      <c r="B34" s="135">
        <v>46062</v>
      </c>
      <c r="C34" s="136" t="s">
        <v>406</v>
      </c>
      <c r="D34" s="136"/>
      <c r="E34" s="55">
        <v>465508</v>
      </c>
      <c r="F34" s="55">
        <v>0</v>
      </c>
      <c r="G34" s="137">
        <f>Tabla3[[#This Row],[EGRESOS]]-Tabla3[[#This Row],[INGRESOS]]</f>
        <v>465508</v>
      </c>
      <c r="H34" s="143"/>
      <c r="I34" s="138">
        <v>1450</v>
      </c>
      <c r="J34" s="139">
        <f>Tabla3[[#This Row],[EGRESOS]]/Tabla3[[#This Row],[TC]]</f>
        <v>321.04000000000002</v>
      </c>
      <c r="K34" s="139">
        <f>Tabla3[[#This Row],[INGRESOS]]/Tabla3[[#This Row],[TC]]</f>
        <v>0</v>
      </c>
      <c r="L34" s="8" t="s">
        <v>94</v>
      </c>
      <c r="M34" s="8" t="s">
        <v>95</v>
      </c>
      <c r="N34" s="8" t="s">
        <v>2</v>
      </c>
      <c r="O34" s="8" t="s">
        <v>251</v>
      </c>
      <c r="P34" s="8" t="s">
        <v>245</v>
      </c>
      <c r="Q34" s="8" t="s">
        <v>246</v>
      </c>
      <c r="R34" s="8" t="s">
        <v>410</v>
      </c>
      <c r="S34" s="8" t="s">
        <v>2</v>
      </c>
      <c r="T34" s="8"/>
      <c r="U34" s="8" t="s">
        <v>411</v>
      </c>
      <c r="V34" s="8" t="s">
        <v>2</v>
      </c>
      <c r="W34" s="8" t="s">
        <v>241</v>
      </c>
    </row>
    <row r="35" spans="1:23" x14ac:dyDescent="0.25">
      <c r="A35" s="134" t="str">
        <f t="shared" si="1"/>
        <v>FEBRERO</v>
      </c>
      <c r="B35" s="135">
        <v>46062</v>
      </c>
      <c r="C35" s="136" t="s">
        <v>405</v>
      </c>
      <c r="D35" s="136"/>
      <c r="E35" s="55">
        <v>37500</v>
      </c>
      <c r="F35" s="55">
        <v>0</v>
      </c>
      <c r="G35" s="137">
        <f>Tabla3[[#This Row],[EGRESOS]]-Tabla3[[#This Row],[INGRESOS]]</f>
        <v>37500</v>
      </c>
      <c r="H35" s="143"/>
      <c r="I35" s="138">
        <v>1450</v>
      </c>
      <c r="J35" s="139">
        <f>Tabla3[[#This Row],[EGRESOS]]/Tabla3[[#This Row],[TC]]</f>
        <v>25.862068965517242</v>
      </c>
      <c r="K35" s="139">
        <f>Tabla3[[#This Row],[INGRESOS]]/Tabla3[[#This Row],[TC]]</f>
        <v>0</v>
      </c>
      <c r="L35" s="8" t="s">
        <v>94</v>
      </c>
      <c r="M35" s="8" t="s">
        <v>95</v>
      </c>
      <c r="N35" s="8" t="s">
        <v>2</v>
      </c>
      <c r="O35" s="8" t="s">
        <v>17</v>
      </c>
      <c r="P35" s="8" t="s">
        <v>22</v>
      </c>
      <c r="Q35" s="8" t="s">
        <v>19</v>
      </c>
      <c r="R35" s="8"/>
      <c r="S35" s="8"/>
      <c r="T35" s="8"/>
      <c r="U35" s="8" t="s">
        <v>61</v>
      </c>
      <c r="V35" s="8"/>
      <c r="W35" s="8" t="s">
        <v>241</v>
      </c>
    </row>
    <row r="36" spans="1:23" x14ac:dyDescent="0.25">
      <c r="A36" s="134" t="str">
        <f t="shared" si="1"/>
        <v>FEBRERO</v>
      </c>
      <c r="B36" s="135">
        <v>46062</v>
      </c>
      <c r="C36" s="136" t="s">
        <v>214</v>
      </c>
      <c r="D36" s="136"/>
      <c r="E36" s="55">
        <v>7875</v>
      </c>
      <c r="F36" s="55">
        <v>0</v>
      </c>
      <c r="G36" s="137">
        <f>Tabla3[[#This Row],[EGRESOS]]-Tabla3[[#This Row],[INGRESOS]]</f>
        <v>7875</v>
      </c>
      <c r="H36" s="143"/>
      <c r="I36" s="138">
        <v>1450</v>
      </c>
      <c r="J36" s="139">
        <f>Tabla3[[#This Row],[EGRESOS]]/Tabla3[[#This Row],[TC]]</f>
        <v>5.431034482758621</v>
      </c>
      <c r="K36" s="139">
        <f>Tabla3[[#This Row],[INGRESOS]]/Tabla3[[#This Row],[TC]]</f>
        <v>0</v>
      </c>
      <c r="L36" s="8" t="s">
        <v>94</v>
      </c>
      <c r="M36" s="8" t="s">
        <v>95</v>
      </c>
      <c r="N36" s="8" t="s">
        <v>2</v>
      </c>
      <c r="O36" s="8" t="s">
        <v>17</v>
      </c>
      <c r="P36" s="8" t="s">
        <v>22</v>
      </c>
      <c r="Q36" s="8" t="s">
        <v>23</v>
      </c>
      <c r="R36" s="8" t="s">
        <v>96</v>
      </c>
      <c r="S36" s="8"/>
      <c r="T36" s="8"/>
      <c r="U36" s="8" t="s">
        <v>61</v>
      </c>
      <c r="V36" s="8"/>
      <c r="W36" s="8" t="s">
        <v>241</v>
      </c>
    </row>
    <row r="37" spans="1:23" x14ac:dyDescent="0.25">
      <c r="A37" s="134" t="str">
        <f t="shared" si="1"/>
        <v>FEBRERO</v>
      </c>
      <c r="B37" s="135">
        <v>46062</v>
      </c>
      <c r="C37" s="136" t="s">
        <v>213</v>
      </c>
      <c r="D37" s="136"/>
      <c r="E37" s="55">
        <v>1125</v>
      </c>
      <c r="F37" s="55">
        <v>0</v>
      </c>
      <c r="G37" s="137">
        <f>Tabla3[[#This Row],[EGRESOS]]-Tabla3[[#This Row],[INGRESOS]]</f>
        <v>1125</v>
      </c>
      <c r="H37" s="143"/>
      <c r="I37" s="138">
        <v>1450</v>
      </c>
      <c r="J37" s="139">
        <f>Tabla3[[#This Row],[EGRESOS]]/Tabla3[[#This Row],[TC]]</f>
        <v>0.77586206896551724</v>
      </c>
      <c r="K37" s="139">
        <f>Tabla3[[#This Row],[INGRESOS]]/Tabla3[[#This Row],[TC]]</f>
        <v>0</v>
      </c>
      <c r="L37" s="8" t="s">
        <v>94</v>
      </c>
      <c r="M37" s="8" t="s">
        <v>95</v>
      </c>
      <c r="N37" s="8" t="s">
        <v>2</v>
      </c>
      <c r="O37" s="8" t="s">
        <v>17</v>
      </c>
      <c r="P37" s="8" t="s">
        <v>22</v>
      </c>
      <c r="Q37" s="8" t="s">
        <v>23</v>
      </c>
      <c r="R37" s="8" t="s">
        <v>216</v>
      </c>
      <c r="S37" s="8"/>
      <c r="T37" s="8"/>
      <c r="U37" s="8" t="s">
        <v>61</v>
      </c>
      <c r="V37" s="8"/>
      <c r="W37" s="8" t="s">
        <v>241</v>
      </c>
    </row>
    <row r="38" spans="1:23" x14ac:dyDescent="0.25">
      <c r="A38" s="134" t="str">
        <f t="shared" si="1"/>
        <v>FEBRERO</v>
      </c>
      <c r="B38" s="135">
        <v>46062</v>
      </c>
      <c r="C38" s="136" t="s">
        <v>212</v>
      </c>
      <c r="D38" s="136"/>
      <c r="E38" s="55">
        <v>2793.05</v>
      </c>
      <c r="F38" s="55">
        <v>0</v>
      </c>
      <c r="G38" s="137">
        <f>Tabla3[[#This Row],[EGRESOS]]-Tabla3[[#This Row],[INGRESOS]]</f>
        <v>2793.05</v>
      </c>
      <c r="H38" s="143"/>
      <c r="I38" s="138">
        <v>1450</v>
      </c>
      <c r="J38" s="139">
        <f>Tabla3[[#This Row],[EGRESOS]]/Tabla3[[#This Row],[TC]]</f>
        <v>1.926241379310345</v>
      </c>
      <c r="K38" s="139">
        <f>Tabla3[[#This Row],[INGRESOS]]/Tabla3[[#This Row],[TC]]</f>
        <v>0</v>
      </c>
      <c r="L38" s="8" t="s">
        <v>94</v>
      </c>
      <c r="M38" s="8" t="s">
        <v>95</v>
      </c>
      <c r="N38" s="8" t="s">
        <v>2</v>
      </c>
      <c r="O38" s="8" t="s">
        <v>17</v>
      </c>
      <c r="P38" s="8" t="s">
        <v>22</v>
      </c>
      <c r="Q38" s="8" t="s">
        <v>23</v>
      </c>
      <c r="R38" s="8" t="s">
        <v>200</v>
      </c>
      <c r="S38" s="8"/>
      <c r="T38" s="8"/>
      <c r="U38" s="8" t="s">
        <v>61</v>
      </c>
      <c r="V38" s="8"/>
      <c r="W38" s="8" t="s">
        <v>241</v>
      </c>
    </row>
    <row r="39" spans="1:23" x14ac:dyDescent="0.25">
      <c r="A39" s="134" t="str">
        <f t="shared" si="1"/>
        <v>FEBRERO</v>
      </c>
      <c r="B39" s="135">
        <v>46062</v>
      </c>
      <c r="C39" s="136" t="s">
        <v>212</v>
      </c>
      <c r="D39" s="136"/>
      <c r="E39" s="55">
        <v>47.25</v>
      </c>
      <c r="F39" s="55">
        <v>0</v>
      </c>
      <c r="G39" s="137">
        <f>Tabla3[[#This Row],[EGRESOS]]-Tabla3[[#This Row],[INGRESOS]]</f>
        <v>47.25</v>
      </c>
      <c r="H39" s="143"/>
      <c r="I39" s="138">
        <v>1450</v>
      </c>
      <c r="J39" s="139">
        <f>Tabla3[[#This Row],[EGRESOS]]/Tabla3[[#This Row],[TC]]</f>
        <v>3.2586206896551721E-2</v>
      </c>
      <c r="K39" s="139">
        <f>Tabla3[[#This Row],[INGRESOS]]/Tabla3[[#This Row],[TC]]</f>
        <v>0</v>
      </c>
      <c r="L39" s="8" t="s">
        <v>94</v>
      </c>
      <c r="M39" s="8" t="s">
        <v>95</v>
      </c>
      <c r="N39" s="8" t="s">
        <v>2</v>
      </c>
      <c r="O39" s="8" t="s">
        <v>17</v>
      </c>
      <c r="P39" s="8" t="s">
        <v>22</v>
      </c>
      <c r="Q39" s="8" t="s">
        <v>23</v>
      </c>
      <c r="R39" s="8" t="s">
        <v>200</v>
      </c>
      <c r="S39" s="8"/>
      <c r="T39" s="8"/>
      <c r="U39" s="8" t="s">
        <v>61</v>
      </c>
      <c r="V39" s="8"/>
      <c r="W39" s="8" t="s">
        <v>241</v>
      </c>
    </row>
    <row r="40" spans="1:23" x14ac:dyDescent="0.25">
      <c r="A40" s="134" t="str">
        <f t="shared" si="1"/>
        <v>FEBRERO</v>
      </c>
      <c r="B40" s="135">
        <v>46062</v>
      </c>
      <c r="C40" s="136" t="s">
        <v>212</v>
      </c>
      <c r="D40" s="136"/>
      <c r="E40" s="55">
        <v>6.75</v>
      </c>
      <c r="F40" s="55">
        <v>0</v>
      </c>
      <c r="G40" s="137">
        <f>Tabla3[[#This Row],[EGRESOS]]-Tabla3[[#This Row],[INGRESOS]]</f>
        <v>6.75</v>
      </c>
      <c r="H40" s="143"/>
      <c r="I40" s="138">
        <v>1450</v>
      </c>
      <c r="J40" s="139">
        <f>Tabla3[[#This Row],[EGRESOS]]/Tabla3[[#This Row],[TC]]</f>
        <v>4.655172413793103E-3</v>
      </c>
      <c r="K40" s="139">
        <f>Tabla3[[#This Row],[INGRESOS]]/Tabla3[[#This Row],[TC]]</f>
        <v>0</v>
      </c>
      <c r="L40" s="8" t="s">
        <v>94</v>
      </c>
      <c r="M40" s="8" t="s">
        <v>95</v>
      </c>
      <c r="N40" s="8" t="s">
        <v>2</v>
      </c>
      <c r="O40" s="8" t="s">
        <v>17</v>
      </c>
      <c r="P40" s="8" t="s">
        <v>22</v>
      </c>
      <c r="Q40" s="8" t="s">
        <v>23</v>
      </c>
      <c r="R40" s="8" t="s">
        <v>200</v>
      </c>
      <c r="S40" s="8"/>
      <c r="T40" s="8"/>
      <c r="U40" s="8" t="s">
        <v>61</v>
      </c>
      <c r="V40" s="8"/>
      <c r="W40" s="8" t="s">
        <v>241</v>
      </c>
    </row>
    <row r="41" spans="1:23" x14ac:dyDescent="0.25">
      <c r="A41" s="134" t="str">
        <f t="shared" si="1"/>
        <v>FEBRERO</v>
      </c>
      <c r="B41" s="135">
        <v>46063</v>
      </c>
      <c r="C41" s="136" t="s">
        <v>400</v>
      </c>
      <c r="D41" s="136"/>
      <c r="E41" s="55">
        <v>700000</v>
      </c>
      <c r="F41" s="55">
        <v>0</v>
      </c>
      <c r="G41" s="137">
        <f>Tabla3[[#This Row],[EGRESOS]]-Tabla3[[#This Row],[INGRESOS]]</f>
        <v>700000</v>
      </c>
      <c r="H41" s="143"/>
      <c r="I41" s="138">
        <v>1450</v>
      </c>
      <c r="J41" s="139">
        <f>Tabla3[[#This Row],[EGRESOS]]/Tabla3[[#This Row],[TC]]</f>
        <v>482.75862068965517</v>
      </c>
      <c r="K41" s="139">
        <f>Tabla3[[#This Row],[INGRESOS]]/Tabla3[[#This Row],[TC]]</f>
        <v>0</v>
      </c>
      <c r="L41" s="8" t="s">
        <v>94</v>
      </c>
      <c r="M41" s="8" t="s">
        <v>95</v>
      </c>
      <c r="N41" s="8" t="s">
        <v>2</v>
      </c>
      <c r="O41" s="8" t="s">
        <v>251</v>
      </c>
      <c r="P41" s="8" t="s">
        <v>250</v>
      </c>
      <c r="Q41" s="8" t="s">
        <v>252</v>
      </c>
      <c r="R41" s="8" t="s">
        <v>260</v>
      </c>
      <c r="S41" s="8"/>
      <c r="T41" s="8"/>
      <c r="U41" s="8" t="s">
        <v>253</v>
      </c>
      <c r="V41" s="8"/>
      <c r="W41" s="8" t="s">
        <v>241</v>
      </c>
    </row>
    <row r="42" spans="1:23" x14ac:dyDescent="0.25">
      <c r="A42" s="134" t="str">
        <f t="shared" si="1"/>
        <v>FEBRERO</v>
      </c>
      <c r="B42" s="135">
        <v>46063</v>
      </c>
      <c r="C42" s="136" t="s">
        <v>404</v>
      </c>
      <c r="D42" s="136"/>
      <c r="E42" s="55">
        <v>1074278</v>
      </c>
      <c r="F42" s="55">
        <v>0</v>
      </c>
      <c r="G42" s="137">
        <f>Tabla3[[#This Row],[EGRESOS]]-Tabla3[[#This Row],[INGRESOS]]</f>
        <v>1074278</v>
      </c>
      <c r="H42" s="143"/>
      <c r="I42" s="138">
        <v>1450</v>
      </c>
      <c r="J42" s="139">
        <f>Tabla3[[#This Row],[EGRESOS]]/Tabla3[[#This Row],[TC]]</f>
        <v>740.88137931034487</v>
      </c>
      <c r="K42" s="139">
        <f>Tabla3[[#This Row],[INGRESOS]]/Tabla3[[#This Row],[TC]]</f>
        <v>0</v>
      </c>
      <c r="L42" s="8" t="s">
        <v>94</v>
      </c>
      <c r="M42" s="8" t="s">
        <v>95</v>
      </c>
      <c r="N42" s="8" t="s">
        <v>2</v>
      </c>
      <c r="O42" s="8" t="s">
        <v>17</v>
      </c>
      <c r="P42" s="8" t="s">
        <v>24</v>
      </c>
      <c r="Q42" s="8" t="s">
        <v>25</v>
      </c>
      <c r="R42" s="8"/>
      <c r="S42" s="8"/>
      <c r="T42" s="8"/>
      <c r="U42" s="8" t="s">
        <v>61</v>
      </c>
      <c r="V42" s="8"/>
      <c r="W42" s="8" t="s">
        <v>241</v>
      </c>
    </row>
    <row r="43" spans="1:23" x14ac:dyDescent="0.25">
      <c r="A43" s="134" t="str">
        <f t="shared" si="1"/>
        <v>FEBRERO</v>
      </c>
      <c r="B43" s="135">
        <v>46063</v>
      </c>
      <c r="C43" s="136" t="s">
        <v>403</v>
      </c>
      <c r="D43" s="136"/>
      <c r="E43" s="55">
        <v>0</v>
      </c>
      <c r="F43" s="55">
        <v>702900</v>
      </c>
      <c r="G43" s="137">
        <f>Tabla3[[#This Row],[EGRESOS]]-Tabla3[[#This Row],[INGRESOS]]</f>
        <v>-702900</v>
      </c>
      <c r="H43" s="143"/>
      <c r="I43" s="138">
        <v>1450</v>
      </c>
      <c r="J43" s="139">
        <f>Tabla3[[#This Row],[EGRESOS]]/Tabla3[[#This Row],[TC]]</f>
        <v>0</v>
      </c>
      <c r="K43" s="139">
        <f>Tabla3[[#This Row],[INGRESOS]]/Tabla3[[#This Row],[TC]]</f>
        <v>484.75862068965517</v>
      </c>
      <c r="L43" s="8" t="s">
        <v>94</v>
      </c>
      <c r="M43" s="8" t="s">
        <v>95</v>
      </c>
      <c r="N43" s="8" t="s">
        <v>2</v>
      </c>
      <c r="O43" s="8" t="s">
        <v>34</v>
      </c>
      <c r="P43" s="8" t="s">
        <v>255</v>
      </c>
      <c r="Q43" s="8" t="s">
        <v>38</v>
      </c>
      <c r="R43" s="8" t="s">
        <v>414</v>
      </c>
      <c r="S43" s="8" t="s">
        <v>415</v>
      </c>
      <c r="T43" s="8"/>
      <c r="U43" s="8" t="s">
        <v>314</v>
      </c>
      <c r="V43" s="8"/>
      <c r="W43" s="8" t="s">
        <v>241</v>
      </c>
    </row>
    <row r="44" spans="1:23" x14ac:dyDescent="0.25">
      <c r="A44" s="134" t="str">
        <f t="shared" si="1"/>
        <v>FEBRERO</v>
      </c>
      <c r="B44" s="135">
        <v>46063</v>
      </c>
      <c r="C44" s="136" t="s">
        <v>402</v>
      </c>
      <c r="D44" s="136"/>
      <c r="E44" s="55">
        <v>3514.5</v>
      </c>
      <c r="F44" s="55">
        <v>0</v>
      </c>
      <c r="G44" s="137">
        <f>Tabla3[[#This Row],[EGRESOS]]-Tabla3[[#This Row],[INGRESOS]]</f>
        <v>3514.5</v>
      </c>
      <c r="H44" s="143"/>
      <c r="I44" s="138">
        <v>1450</v>
      </c>
      <c r="J44" s="139">
        <f>Tabla3[[#This Row],[EGRESOS]]/Tabla3[[#This Row],[TC]]</f>
        <v>2.423793103448276</v>
      </c>
      <c r="K44" s="139">
        <f>Tabla3[[#This Row],[INGRESOS]]/Tabla3[[#This Row],[TC]]</f>
        <v>0</v>
      </c>
      <c r="L44" s="8" t="s">
        <v>94</v>
      </c>
      <c r="M44" s="8" t="s">
        <v>95</v>
      </c>
      <c r="N44" s="8" t="s">
        <v>2</v>
      </c>
      <c r="O44" s="8" t="s">
        <v>17</v>
      </c>
      <c r="P44" s="8" t="s">
        <v>22</v>
      </c>
      <c r="Q44" s="8" t="s">
        <v>19</v>
      </c>
      <c r="R44" s="8"/>
      <c r="S44" s="8"/>
      <c r="T44" s="8"/>
      <c r="U44" s="8" t="s">
        <v>61</v>
      </c>
      <c r="V44" s="8"/>
      <c r="W44" s="8" t="s">
        <v>241</v>
      </c>
    </row>
    <row r="45" spans="1:23" x14ac:dyDescent="0.25">
      <c r="A45" s="134" t="str">
        <f t="shared" si="1"/>
        <v>FEBRERO</v>
      </c>
      <c r="B45" s="135">
        <v>46063</v>
      </c>
      <c r="C45" s="136" t="s">
        <v>214</v>
      </c>
      <c r="D45" s="136"/>
      <c r="E45" s="55">
        <v>738.05</v>
      </c>
      <c r="F45" s="55">
        <v>0</v>
      </c>
      <c r="G45" s="137">
        <f>Tabla3[[#This Row],[EGRESOS]]-Tabla3[[#This Row],[INGRESOS]]</f>
        <v>738.05</v>
      </c>
      <c r="H45" s="143"/>
      <c r="I45" s="138">
        <v>1450</v>
      </c>
      <c r="J45" s="139">
        <f>Tabla3[[#This Row],[EGRESOS]]/Tabla3[[#This Row],[TC]]</f>
        <v>0.50900000000000001</v>
      </c>
      <c r="K45" s="139">
        <f>Tabla3[[#This Row],[INGRESOS]]/Tabla3[[#This Row],[TC]]</f>
        <v>0</v>
      </c>
      <c r="L45" s="8" t="s">
        <v>94</v>
      </c>
      <c r="M45" s="8" t="s">
        <v>95</v>
      </c>
      <c r="N45" s="8" t="s">
        <v>2</v>
      </c>
      <c r="O45" s="8" t="s">
        <v>17</v>
      </c>
      <c r="P45" s="8" t="s">
        <v>22</v>
      </c>
      <c r="Q45" s="8" t="s">
        <v>23</v>
      </c>
      <c r="R45" s="8" t="s">
        <v>96</v>
      </c>
      <c r="S45" s="8"/>
      <c r="T45" s="8"/>
      <c r="U45" s="8" t="s">
        <v>61</v>
      </c>
      <c r="V45" s="8"/>
      <c r="W45" s="8" t="s">
        <v>241</v>
      </c>
    </row>
    <row r="46" spans="1:23" x14ac:dyDescent="0.25">
      <c r="A46" s="134" t="str">
        <f t="shared" si="1"/>
        <v>FEBRERO</v>
      </c>
      <c r="B46" s="135">
        <v>46063</v>
      </c>
      <c r="C46" s="136" t="s">
        <v>213</v>
      </c>
      <c r="D46" s="136"/>
      <c r="E46" s="55">
        <v>105.44</v>
      </c>
      <c r="F46" s="55">
        <v>0</v>
      </c>
      <c r="G46" s="137">
        <f>Tabla3[[#This Row],[EGRESOS]]-Tabla3[[#This Row],[INGRESOS]]</f>
        <v>105.44</v>
      </c>
      <c r="H46" s="143"/>
      <c r="I46" s="138">
        <v>1450</v>
      </c>
      <c r="J46" s="139">
        <f>Tabla3[[#This Row],[EGRESOS]]/Tabla3[[#This Row],[TC]]</f>
        <v>7.2717241379310349E-2</v>
      </c>
      <c r="K46" s="139">
        <f>Tabla3[[#This Row],[INGRESOS]]/Tabla3[[#This Row],[TC]]</f>
        <v>0</v>
      </c>
      <c r="L46" s="8" t="s">
        <v>94</v>
      </c>
      <c r="M46" s="8" t="s">
        <v>95</v>
      </c>
      <c r="N46" s="8" t="s">
        <v>2</v>
      </c>
      <c r="O46" s="8" t="s">
        <v>17</v>
      </c>
      <c r="P46" s="8" t="s">
        <v>22</v>
      </c>
      <c r="Q46" s="8" t="s">
        <v>23</v>
      </c>
      <c r="R46" s="8" t="s">
        <v>216</v>
      </c>
      <c r="S46" s="8"/>
      <c r="T46" s="8"/>
      <c r="U46" s="8" t="s">
        <v>61</v>
      </c>
      <c r="V46" s="8"/>
      <c r="W46" s="8" t="s">
        <v>241</v>
      </c>
    </row>
    <row r="47" spans="1:23" x14ac:dyDescent="0.25">
      <c r="A47" s="134" t="str">
        <f t="shared" si="1"/>
        <v>FEBRERO</v>
      </c>
      <c r="B47" s="135">
        <v>46063</v>
      </c>
      <c r="C47" s="136" t="s">
        <v>212</v>
      </c>
      <c r="D47" s="136"/>
      <c r="E47" s="55">
        <v>6445.67</v>
      </c>
      <c r="F47" s="55">
        <v>0</v>
      </c>
      <c r="G47" s="137">
        <f>Tabla3[[#This Row],[EGRESOS]]-Tabla3[[#This Row],[INGRESOS]]</f>
        <v>6445.67</v>
      </c>
      <c r="H47" s="143"/>
      <c r="I47" s="138">
        <v>1450</v>
      </c>
      <c r="J47" s="139">
        <f>Tabla3[[#This Row],[EGRESOS]]/Tabla3[[#This Row],[TC]]</f>
        <v>4.4452896551724139</v>
      </c>
      <c r="K47" s="139">
        <f>Tabla3[[#This Row],[INGRESOS]]/Tabla3[[#This Row],[TC]]</f>
        <v>0</v>
      </c>
      <c r="L47" s="8" t="s">
        <v>94</v>
      </c>
      <c r="M47" s="8" t="s">
        <v>95</v>
      </c>
      <c r="N47" s="8" t="s">
        <v>2</v>
      </c>
      <c r="O47" s="8" t="s">
        <v>17</v>
      </c>
      <c r="P47" s="8" t="s">
        <v>22</v>
      </c>
      <c r="Q47" s="8" t="s">
        <v>23</v>
      </c>
      <c r="R47" s="8" t="s">
        <v>200</v>
      </c>
      <c r="S47" s="8"/>
      <c r="T47" s="8"/>
      <c r="U47" s="8" t="s">
        <v>61</v>
      </c>
      <c r="V47" s="8"/>
      <c r="W47" s="8" t="s">
        <v>241</v>
      </c>
    </row>
    <row r="48" spans="1:23" x14ac:dyDescent="0.25">
      <c r="A48" s="134" t="str">
        <f t="shared" si="1"/>
        <v>FEBRERO</v>
      </c>
      <c r="B48" s="135">
        <v>46063</v>
      </c>
      <c r="C48" s="136" t="s">
        <v>401</v>
      </c>
      <c r="D48" s="136"/>
      <c r="E48" s="55">
        <v>4217.3999999999996</v>
      </c>
      <c r="F48" s="55">
        <v>0</v>
      </c>
      <c r="G48" s="137">
        <f>Tabla3[[#This Row],[EGRESOS]]-Tabla3[[#This Row],[INGRESOS]]</f>
        <v>4217.3999999999996</v>
      </c>
      <c r="H48" s="143"/>
      <c r="I48" s="138">
        <v>1450</v>
      </c>
      <c r="J48" s="139">
        <f>Tabla3[[#This Row],[EGRESOS]]/Tabla3[[#This Row],[TC]]</f>
        <v>2.9085517241379306</v>
      </c>
      <c r="K48" s="139">
        <f>Tabla3[[#This Row],[INGRESOS]]/Tabla3[[#This Row],[TC]]</f>
        <v>0</v>
      </c>
      <c r="L48" s="8" t="s">
        <v>94</v>
      </c>
      <c r="M48" s="8" t="s">
        <v>95</v>
      </c>
      <c r="N48" s="8" t="s">
        <v>2</v>
      </c>
      <c r="O48" s="8" t="s">
        <v>17</v>
      </c>
      <c r="P48" s="8" t="s">
        <v>22</v>
      </c>
      <c r="Q48" s="8" t="s">
        <v>23</v>
      </c>
      <c r="R48" s="8" t="s">
        <v>200</v>
      </c>
      <c r="S48" s="8"/>
      <c r="T48" s="8"/>
      <c r="U48" s="8" t="s">
        <v>61</v>
      </c>
      <c r="V48" s="8"/>
      <c r="W48" s="8" t="s">
        <v>241</v>
      </c>
    </row>
    <row r="49" spans="1:23" x14ac:dyDescent="0.25">
      <c r="A49" s="134" t="str">
        <f t="shared" si="1"/>
        <v>FEBRERO</v>
      </c>
      <c r="B49" s="135">
        <v>46063</v>
      </c>
      <c r="C49" s="136" t="s">
        <v>212</v>
      </c>
      <c r="D49" s="136"/>
      <c r="E49" s="55">
        <v>21.09</v>
      </c>
      <c r="F49" s="55">
        <v>0</v>
      </c>
      <c r="G49" s="137">
        <f>Tabla3[[#This Row],[EGRESOS]]-Tabla3[[#This Row],[INGRESOS]]</f>
        <v>21.09</v>
      </c>
      <c r="H49" s="143"/>
      <c r="I49" s="138">
        <v>1450</v>
      </c>
      <c r="J49" s="139">
        <f>Tabla3[[#This Row],[EGRESOS]]/Tabla3[[#This Row],[TC]]</f>
        <v>1.4544827586206897E-2</v>
      </c>
      <c r="K49" s="139">
        <f>Tabla3[[#This Row],[INGRESOS]]/Tabla3[[#This Row],[TC]]</f>
        <v>0</v>
      </c>
      <c r="L49" s="8" t="s">
        <v>94</v>
      </c>
      <c r="M49" s="8" t="s">
        <v>95</v>
      </c>
      <c r="N49" s="8" t="s">
        <v>2</v>
      </c>
      <c r="O49" s="8" t="s">
        <v>17</v>
      </c>
      <c r="P49" s="8" t="s">
        <v>22</v>
      </c>
      <c r="Q49" s="8" t="s">
        <v>23</v>
      </c>
      <c r="R49" s="8" t="s">
        <v>200</v>
      </c>
      <c r="S49" s="8"/>
      <c r="T49" s="8"/>
      <c r="U49" s="8" t="s">
        <v>61</v>
      </c>
      <c r="V49" s="8"/>
      <c r="W49" s="8" t="s">
        <v>241</v>
      </c>
    </row>
    <row r="50" spans="1:23" x14ac:dyDescent="0.25">
      <c r="A50" s="134" t="str">
        <f t="shared" si="1"/>
        <v>FEBRERO</v>
      </c>
      <c r="B50" s="135">
        <v>46063</v>
      </c>
      <c r="C50" s="136" t="s">
        <v>212</v>
      </c>
      <c r="D50" s="136"/>
      <c r="E50" s="55">
        <v>4.43</v>
      </c>
      <c r="F50" s="55">
        <v>0</v>
      </c>
      <c r="G50" s="137">
        <f>Tabla3[[#This Row],[EGRESOS]]-Tabla3[[#This Row],[INGRESOS]]</f>
        <v>4.43</v>
      </c>
      <c r="H50" s="143"/>
      <c r="I50" s="138">
        <v>1450</v>
      </c>
      <c r="J50" s="139">
        <f>Tabla3[[#This Row],[EGRESOS]]/Tabla3[[#This Row],[TC]]</f>
        <v>3.0551724137931032E-3</v>
      </c>
      <c r="K50" s="139">
        <f>Tabla3[[#This Row],[INGRESOS]]/Tabla3[[#This Row],[TC]]</f>
        <v>0</v>
      </c>
      <c r="L50" s="8" t="s">
        <v>94</v>
      </c>
      <c r="M50" s="8" t="s">
        <v>95</v>
      </c>
      <c r="N50" s="8" t="s">
        <v>2</v>
      </c>
      <c r="O50" s="8" t="s">
        <v>17</v>
      </c>
      <c r="P50" s="8" t="s">
        <v>22</v>
      </c>
      <c r="Q50" s="8" t="s">
        <v>23</v>
      </c>
      <c r="R50" s="8" t="s">
        <v>200</v>
      </c>
      <c r="S50" s="8"/>
      <c r="T50" s="8"/>
      <c r="U50" s="8" t="s">
        <v>61</v>
      </c>
      <c r="V50" s="8"/>
      <c r="W50" s="8" t="s">
        <v>241</v>
      </c>
    </row>
    <row r="51" spans="1:23" x14ac:dyDescent="0.25">
      <c r="A51" s="134" t="str">
        <f t="shared" si="1"/>
        <v>FEBRERO</v>
      </c>
      <c r="B51" s="135">
        <v>46063</v>
      </c>
      <c r="C51" s="136" t="s">
        <v>212</v>
      </c>
      <c r="D51" s="136"/>
      <c r="E51" s="55">
        <v>0.63</v>
      </c>
      <c r="F51" s="55">
        <v>0</v>
      </c>
      <c r="G51" s="137">
        <f>Tabla3[[#This Row],[EGRESOS]]-Tabla3[[#This Row],[INGRESOS]]</f>
        <v>0.63</v>
      </c>
      <c r="H51" s="143"/>
      <c r="I51" s="138">
        <v>1450</v>
      </c>
      <c r="J51" s="139">
        <f>Tabla3[[#This Row],[EGRESOS]]/Tabla3[[#This Row],[TC]]</f>
        <v>4.3448275862068968E-4</v>
      </c>
      <c r="K51" s="139">
        <f>Tabla3[[#This Row],[INGRESOS]]/Tabla3[[#This Row],[TC]]</f>
        <v>0</v>
      </c>
      <c r="L51" s="8" t="s">
        <v>94</v>
      </c>
      <c r="M51" s="8" t="s">
        <v>95</v>
      </c>
      <c r="N51" s="8" t="s">
        <v>2</v>
      </c>
      <c r="O51" s="8" t="s">
        <v>17</v>
      </c>
      <c r="P51" s="8" t="s">
        <v>22</v>
      </c>
      <c r="Q51" s="8" t="s">
        <v>23</v>
      </c>
      <c r="R51" s="8" t="s">
        <v>200</v>
      </c>
      <c r="S51" s="8"/>
      <c r="T51" s="8"/>
      <c r="U51" s="8" t="s">
        <v>61</v>
      </c>
      <c r="V51" s="8"/>
      <c r="W51" s="8" t="s">
        <v>241</v>
      </c>
    </row>
    <row r="52" spans="1:23" x14ac:dyDescent="0.25">
      <c r="A52" s="134" t="str">
        <f t="shared" si="1"/>
        <v>FEBRERO</v>
      </c>
      <c r="B52" s="135">
        <v>46064</v>
      </c>
      <c r="C52" s="136" t="s">
        <v>400</v>
      </c>
      <c r="D52" s="136"/>
      <c r="E52" s="55">
        <v>300</v>
      </c>
      <c r="F52" s="55">
        <v>0</v>
      </c>
      <c r="G52" s="137">
        <f>Tabla3[[#This Row],[EGRESOS]]-Tabla3[[#This Row],[INGRESOS]]</f>
        <v>300</v>
      </c>
      <c r="H52" s="143"/>
      <c r="I52" s="138">
        <v>1450</v>
      </c>
      <c r="J52" s="139">
        <f>Tabla3[[#This Row],[EGRESOS]]/Tabla3[[#This Row],[TC]]</f>
        <v>0.20689655172413793</v>
      </c>
      <c r="K52" s="139">
        <f>Tabla3[[#This Row],[INGRESOS]]/Tabla3[[#This Row],[TC]]</f>
        <v>0</v>
      </c>
      <c r="L52" s="8" t="s">
        <v>94</v>
      </c>
      <c r="M52" s="8" t="s">
        <v>95</v>
      </c>
      <c r="N52" s="8" t="s">
        <v>2</v>
      </c>
      <c r="O52" s="8" t="s">
        <v>251</v>
      </c>
      <c r="P52" s="8" t="s">
        <v>250</v>
      </c>
      <c r="Q52" s="8" t="s">
        <v>252</v>
      </c>
      <c r="R52" s="8" t="s">
        <v>260</v>
      </c>
      <c r="S52" s="8"/>
      <c r="T52" s="8"/>
      <c r="U52" s="8" t="s">
        <v>253</v>
      </c>
      <c r="V52" s="8"/>
      <c r="W52" s="8" t="s">
        <v>241</v>
      </c>
    </row>
    <row r="53" spans="1:23" x14ac:dyDescent="0.25">
      <c r="A53" s="134" t="str">
        <f t="shared" si="1"/>
        <v>FEBRERO</v>
      </c>
      <c r="B53" s="135">
        <v>46064</v>
      </c>
      <c r="C53" s="136" t="s">
        <v>400</v>
      </c>
      <c r="D53" s="136"/>
      <c r="E53" s="55">
        <v>300000</v>
      </c>
      <c r="F53" s="55">
        <v>0</v>
      </c>
      <c r="G53" s="137">
        <f>Tabla3[[#This Row],[EGRESOS]]-Tabla3[[#This Row],[INGRESOS]]</f>
        <v>300000</v>
      </c>
      <c r="H53" s="143"/>
      <c r="I53" s="138">
        <v>1450</v>
      </c>
      <c r="J53" s="139">
        <f>Tabla3[[#This Row],[EGRESOS]]/Tabla3[[#This Row],[TC]]</f>
        <v>206.89655172413794</v>
      </c>
      <c r="K53" s="139">
        <f>Tabla3[[#This Row],[INGRESOS]]/Tabla3[[#This Row],[TC]]</f>
        <v>0</v>
      </c>
      <c r="L53" s="8" t="s">
        <v>94</v>
      </c>
      <c r="M53" s="8" t="s">
        <v>95</v>
      </c>
      <c r="N53" s="8" t="s">
        <v>2</v>
      </c>
      <c r="O53" s="8" t="s">
        <v>251</v>
      </c>
      <c r="P53" s="8" t="s">
        <v>250</v>
      </c>
      <c r="Q53" s="8" t="s">
        <v>252</v>
      </c>
      <c r="R53" s="8" t="s">
        <v>260</v>
      </c>
      <c r="S53" s="8"/>
      <c r="T53" s="8"/>
      <c r="U53" s="8" t="s">
        <v>253</v>
      </c>
      <c r="V53" s="8"/>
      <c r="W53" s="8" t="s">
        <v>241</v>
      </c>
    </row>
    <row r="54" spans="1:23" x14ac:dyDescent="0.25">
      <c r="A54" s="134" t="str">
        <f t="shared" si="1"/>
        <v>FEBRERO</v>
      </c>
      <c r="B54" s="135">
        <v>46064</v>
      </c>
      <c r="C54" s="136" t="s">
        <v>399</v>
      </c>
      <c r="D54" s="136"/>
      <c r="E54" s="55">
        <v>956</v>
      </c>
      <c r="F54" s="55">
        <v>0</v>
      </c>
      <c r="G54" s="137">
        <f>Tabla3[[#This Row],[EGRESOS]]-Tabla3[[#This Row],[INGRESOS]]</f>
        <v>956</v>
      </c>
      <c r="H54" s="143"/>
      <c r="I54" s="138">
        <v>1450</v>
      </c>
      <c r="J54" s="139">
        <f>Tabla3[[#This Row],[EGRESOS]]/Tabla3[[#This Row],[TC]]</f>
        <v>0.65931034482758621</v>
      </c>
      <c r="K54" s="139">
        <f>Tabla3[[#This Row],[INGRESOS]]/Tabla3[[#This Row],[TC]]</f>
        <v>0</v>
      </c>
      <c r="L54" s="8" t="s">
        <v>94</v>
      </c>
      <c r="M54" s="8" t="s">
        <v>95</v>
      </c>
      <c r="N54" s="8" t="s">
        <v>2</v>
      </c>
      <c r="O54" s="8" t="s">
        <v>17</v>
      </c>
      <c r="P54" s="8" t="s">
        <v>22</v>
      </c>
      <c r="Q54" s="8" t="s">
        <v>19</v>
      </c>
      <c r="R54" s="8"/>
      <c r="S54" s="8"/>
      <c r="T54" s="8"/>
      <c r="U54" s="8" t="s">
        <v>61</v>
      </c>
      <c r="V54" s="8"/>
      <c r="W54" s="8" t="s">
        <v>241</v>
      </c>
    </row>
    <row r="55" spans="1:23" x14ac:dyDescent="0.25">
      <c r="A55" s="134" t="str">
        <f t="shared" si="1"/>
        <v>FEBRERO</v>
      </c>
      <c r="B55" s="135">
        <v>46064</v>
      </c>
      <c r="C55" s="136" t="s">
        <v>399</v>
      </c>
      <c r="D55" s="136"/>
      <c r="E55" s="55">
        <v>956</v>
      </c>
      <c r="F55" s="55">
        <v>0</v>
      </c>
      <c r="G55" s="137">
        <f>Tabla3[[#This Row],[EGRESOS]]-Tabla3[[#This Row],[INGRESOS]]</f>
        <v>956</v>
      </c>
      <c r="H55" s="143"/>
      <c r="I55" s="138">
        <v>1450</v>
      </c>
      <c r="J55" s="139">
        <f>Tabla3[[#This Row],[EGRESOS]]/Tabla3[[#This Row],[TC]]</f>
        <v>0.65931034482758621</v>
      </c>
      <c r="K55" s="139">
        <f>Tabla3[[#This Row],[INGRESOS]]/Tabla3[[#This Row],[TC]]</f>
        <v>0</v>
      </c>
      <c r="L55" s="8" t="s">
        <v>94</v>
      </c>
      <c r="M55" s="8" t="s">
        <v>95</v>
      </c>
      <c r="N55" s="8" t="s">
        <v>2</v>
      </c>
      <c r="O55" s="8" t="s">
        <v>17</v>
      </c>
      <c r="P55" s="8" t="s">
        <v>22</v>
      </c>
      <c r="Q55" s="8" t="s">
        <v>19</v>
      </c>
      <c r="R55" s="8"/>
      <c r="S55" s="8"/>
      <c r="T55" s="8"/>
      <c r="U55" s="8" t="s">
        <v>61</v>
      </c>
      <c r="V55" s="8"/>
      <c r="W55" s="8" t="s">
        <v>241</v>
      </c>
    </row>
    <row r="56" spans="1:23" x14ac:dyDescent="0.25">
      <c r="A56" s="134" t="str">
        <f t="shared" si="1"/>
        <v>FEBRERO</v>
      </c>
      <c r="B56" s="135">
        <v>46064</v>
      </c>
      <c r="C56" s="136" t="s">
        <v>214</v>
      </c>
      <c r="D56" s="136"/>
      <c r="E56" s="55">
        <v>401.52</v>
      </c>
      <c r="F56" s="55">
        <v>0</v>
      </c>
      <c r="G56" s="137">
        <f>Tabla3[[#This Row],[EGRESOS]]-Tabla3[[#This Row],[INGRESOS]]</f>
        <v>401.52</v>
      </c>
      <c r="H56" s="143"/>
      <c r="I56" s="138">
        <v>1450</v>
      </c>
      <c r="J56" s="139">
        <f>Tabla3[[#This Row],[EGRESOS]]/Tabla3[[#This Row],[TC]]</f>
        <v>0.2769103448275862</v>
      </c>
      <c r="K56" s="139">
        <f>Tabla3[[#This Row],[INGRESOS]]/Tabla3[[#This Row],[TC]]</f>
        <v>0</v>
      </c>
      <c r="L56" s="8" t="s">
        <v>94</v>
      </c>
      <c r="M56" s="8" t="s">
        <v>95</v>
      </c>
      <c r="N56" s="8" t="s">
        <v>2</v>
      </c>
      <c r="O56" s="8" t="s">
        <v>17</v>
      </c>
      <c r="P56" s="8" t="s">
        <v>22</v>
      </c>
      <c r="Q56" s="8" t="s">
        <v>23</v>
      </c>
      <c r="R56" s="8" t="s">
        <v>96</v>
      </c>
      <c r="S56" s="8"/>
      <c r="T56" s="8"/>
      <c r="U56" s="8" t="s">
        <v>61</v>
      </c>
      <c r="V56" s="8"/>
      <c r="W56" s="8" t="s">
        <v>241</v>
      </c>
    </row>
    <row r="57" spans="1:23" x14ac:dyDescent="0.25">
      <c r="A57" s="134" t="str">
        <f t="shared" si="1"/>
        <v>FEBRERO</v>
      </c>
      <c r="B57" s="135">
        <v>46064</v>
      </c>
      <c r="C57" s="136" t="s">
        <v>212</v>
      </c>
      <c r="D57" s="136"/>
      <c r="E57" s="55">
        <v>5.74</v>
      </c>
      <c r="F57" s="55">
        <v>0</v>
      </c>
      <c r="G57" s="137">
        <f>Tabla3[[#This Row],[EGRESOS]]-Tabla3[[#This Row],[INGRESOS]]</f>
        <v>5.74</v>
      </c>
      <c r="H57" s="143"/>
      <c r="I57" s="138">
        <v>1450</v>
      </c>
      <c r="J57" s="139">
        <f>Tabla3[[#This Row],[EGRESOS]]/Tabla3[[#This Row],[TC]]</f>
        <v>3.9586206896551727E-3</v>
      </c>
      <c r="K57" s="139">
        <f>Tabla3[[#This Row],[INGRESOS]]/Tabla3[[#This Row],[TC]]</f>
        <v>0</v>
      </c>
      <c r="L57" s="8" t="s">
        <v>94</v>
      </c>
      <c r="M57" s="8" t="s">
        <v>95</v>
      </c>
      <c r="N57" s="8" t="s">
        <v>2</v>
      </c>
      <c r="O57" s="8" t="s">
        <v>17</v>
      </c>
      <c r="P57" s="8" t="s">
        <v>22</v>
      </c>
      <c r="Q57" s="8" t="s">
        <v>23</v>
      </c>
      <c r="R57" s="8" t="s">
        <v>200</v>
      </c>
      <c r="S57" s="8"/>
      <c r="T57" s="8"/>
      <c r="U57" s="8" t="s">
        <v>61</v>
      </c>
      <c r="V57" s="8"/>
      <c r="W57" s="8" t="s">
        <v>241</v>
      </c>
    </row>
    <row r="58" spans="1:23" x14ac:dyDescent="0.25">
      <c r="A58" s="134" t="str">
        <f t="shared" si="1"/>
        <v>FEBRERO</v>
      </c>
      <c r="B58" s="135">
        <v>46064</v>
      </c>
      <c r="C58" s="136" t="s">
        <v>212</v>
      </c>
      <c r="D58" s="136"/>
      <c r="E58" s="55">
        <v>5.74</v>
      </c>
      <c r="F58" s="55">
        <v>0</v>
      </c>
      <c r="G58" s="137">
        <f>Tabla3[[#This Row],[EGRESOS]]-Tabla3[[#This Row],[INGRESOS]]</f>
        <v>5.74</v>
      </c>
      <c r="H58" s="143"/>
      <c r="I58" s="138">
        <v>1450</v>
      </c>
      <c r="J58" s="139">
        <f>Tabla3[[#This Row],[EGRESOS]]/Tabla3[[#This Row],[TC]]</f>
        <v>3.9586206896551727E-3</v>
      </c>
      <c r="K58" s="139">
        <f>Tabla3[[#This Row],[INGRESOS]]/Tabla3[[#This Row],[TC]]</f>
        <v>0</v>
      </c>
      <c r="L58" s="8" t="s">
        <v>94</v>
      </c>
      <c r="M58" s="8" t="s">
        <v>95</v>
      </c>
      <c r="N58" s="8" t="s">
        <v>2</v>
      </c>
      <c r="O58" s="8" t="s">
        <v>17</v>
      </c>
      <c r="P58" s="8" t="s">
        <v>22</v>
      </c>
      <c r="Q58" s="8" t="s">
        <v>23</v>
      </c>
      <c r="R58" s="8" t="s">
        <v>200</v>
      </c>
      <c r="S58" s="8"/>
      <c r="T58" s="8"/>
      <c r="U58" s="8" t="s">
        <v>61</v>
      </c>
      <c r="V58" s="8"/>
      <c r="W58" s="8" t="s">
        <v>241</v>
      </c>
    </row>
    <row r="59" spans="1:23" x14ac:dyDescent="0.25">
      <c r="A59" s="134" t="str">
        <f t="shared" si="1"/>
        <v>FEBRERO</v>
      </c>
      <c r="B59" s="135">
        <v>46064</v>
      </c>
      <c r="C59" s="136" t="s">
        <v>212</v>
      </c>
      <c r="D59" s="136"/>
      <c r="E59" s="55">
        <v>2.41</v>
      </c>
      <c r="F59" s="55">
        <v>0</v>
      </c>
      <c r="G59" s="137">
        <f>Tabla3[[#This Row],[EGRESOS]]-Tabla3[[#This Row],[INGRESOS]]</f>
        <v>2.41</v>
      </c>
      <c r="H59" s="143"/>
      <c r="I59" s="138">
        <v>1450</v>
      </c>
      <c r="J59" s="139">
        <f>Tabla3[[#This Row],[EGRESOS]]/Tabla3[[#This Row],[TC]]</f>
        <v>1.6620689655172415E-3</v>
      </c>
      <c r="K59" s="139">
        <f>Tabla3[[#This Row],[INGRESOS]]/Tabla3[[#This Row],[TC]]</f>
        <v>0</v>
      </c>
      <c r="L59" s="8" t="s">
        <v>94</v>
      </c>
      <c r="M59" s="8" t="s">
        <v>95</v>
      </c>
      <c r="N59" s="8" t="s">
        <v>2</v>
      </c>
      <c r="O59" s="8" t="s">
        <v>17</v>
      </c>
      <c r="P59" s="8" t="s">
        <v>22</v>
      </c>
      <c r="Q59" s="8" t="s">
        <v>23</v>
      </c>
      <c r="R59" s="8" t="s">
        <v>200</v>
      </c>
      <c r="S59" s="8"/>
      <c r="T59" s="8"/>
      <c r="U59" s="8" t="s">
        <v>61</v>
      </c>
      <c r="V59" s="8"/>
      <c r="W59" s="8" t="s">
        <v>241</v>
      </c>
    </row>
    <row r="60" spans="1:23" x14ac:dyDescent="0.25">
      <c r="A60" s="125" t="str">
        <f t="shared" si="1"/>
        <v>FEBRERO</v>
      </c>
      <c r="B60" s="126">
        <v>46065</v>
      </c>
      <c r="C60" s="127" t="s">
        <v>400</v>
      </c>
      <c r="D60" s="127"/>
      <c r="E60" s="128">
        <v>1200000</v>
      </c>
      <c r="F60" s="128">
        <v>0</v>
      </c>
      <c r="G60" s="129">
        <f>Tabla3[[#This Row],[EGRESOS]]-Tabla3[[#This Row],[INGRESOS]]</f>
        <v>1200000</v>
      </c>
      <c r="H60" s="140"/>
      <c r="I60" s="131">
        <v>1450</v>
      </c>
      <c r="J60" s="132">
        <f>Tabla3[[#This Row],[EGRESOS]]/Tabla3[[#This Row],[TC]]</f>
        <v>827.58620689655174</v>
      </c>
      <c r="K60" s="132">
        <f>Tabla3[[#This Row],[INGRESOS]]/Tabla3[[#This Row],[TC]]</f>
        <v>0</v>
      </c>
      <c r="L60" s="133" t="s">
        <v>94</v>
      </c>
      <c r="M60" s="133" t="s">
        <v>95</v>
      </c>
      <c r="N60" s="133" t="s">
        <v>2</v>
      </c>
      <c r="O60" s="133" t="s">
        <v>251</v>
      </c>
      <c r="P60" s="133" t="s">
        <v>250</v>
      </c>
      <c r="Q60" s="133" t="s">
        <v>252</v>
      </c>
      <c r="R60" s="133" t="s">
        <v>260</v>
      </c>
      <c r="S60" s="133"/>
      <c r="T60" s="133"/>
      <c r="U60" s="133" t="s">
        <v>253</v>
      </c>
      <c r="V60" s="133"/>
      <c r="W60" s="133" t="s">
        <v>241</v>
      </c>
    </row>
    <row r="61" spans="1:23" x14ac:dyDescent="0.25">
      <c r="A61" s="125" t="str">
        <f t="shared" si="1"/>
        <v>FEBRERO</v>
      </c>
      <c r="B61" s="126">
        <v>46065</v>
      </c>
      <c r="C61" s="127" t="s">
        <v>399</v>
      </c>
      <c r="D61" s="127"/>
      <c r="E61" s="128">
        <v>535</v>
      </c>
      <c r="F61" s="128">
        <v>0</v>
      </c>
      <c r="G61" s="129">
        <f>Tabla3[[#This Row],[EGRESOS]]-Tabla3[[#This Row],[INGRESOS]]</f>
        <v>535</v>
      </c>
      <c r="H61" s="140"/>
      <c r="I61" s="131">
        <v>1450</v>
      </c>
      <c r="J61" s="132">
        <f>Tabla3[[#This Row],[EGRESOS]]/Tabla3[[#This Row],[TC]]</f>
        <v>0.36896551724137933</v>
      </c>
      <c r="K61" s="132">
        <f>Tabla3[[#This Row],[INGRESOS]]/Tabla3[[#This Row],[TC]]</f>
        <v>0</v>
      </c>
      <c r="L61" s="133" t="s">
        <v>94</v>
      </c>
      <c r="M61" s="133" t="s">
        <v>95</v>
      </c>
      <c r="N61" s="133" t="s">
        <v>2</v>
      </c>
      <c r="O61" s="133" t="s">
        <v>17</v>
      </c>
      <c r="P61" s="133" t="s">
        <v>22</v>
      </c>
      <c r="Q61" s="133" t="s">
        <v>19</v>
      </c>
      <c r="R61" s="133"/>
      <c r="S61" s="133"/>
      <c r="T61" s="133"/>
      <c r="U61" s="133" t="s">
        <v>61</v>
      </c>
      <c r="V61" s="133"/>
      <c r="W61" s="133" t="s">
        <v>241</v>
      </c>
    </row>
    <row r="62" spans="1:23" x14ac:dyDescent="0.25">
      <c r="A62" s="125" t="str">
        <f t="shared" si="1"/>
        <v>FEBRERO</v>
      </c>
      <c r="B62" s="126">
        <v>46065</v>
      </c>
      <c r="C62" s="127" t="s">
        <v>214</v>
      </c>
      <c r="D62" s="127"/>
      <c r="E62" s="128">
        <v>112.35</v>
      </c>
      <c r="F62" s="128">
        <v>0</v>
      </c>
      <c r="G62" s="129">
        <f>Tabla3[[#This Row],[EGRESOS]]-Tabla3[[#This Row],[INGRESOS]]</f>
        <v>112.35</v>
      </c>
      <c r="H62" s="140"/>
      <c r="I62" s="131">
        <v>1450</v>
      </c>
      <c r="J62" s="132">
        <f>Tabla3[[#This Row],[EGRESOS]]/Tabla3[[#This Row],[TC]]</f>
        <v>7.7482758620689651E-2</v>
      </c>
      <c r="K62" s="132">
        <f>Tabla3[[#This Row],[INGRESOS]]/Tabla3[[#This Row],[TC]]</f>
        <v>0</v>
      </c>
      <c r="L62" s="133" t="s">
        <v>94</v>
      </c>
      <c r="M62" s="133" t="s">
        <v>95</v>
      </c>
      <c r="N62" s="133" t="s">
        <v>2</v>
      </c>
      <c r="O62" s="133" t="s">
        <v>17</v>
      </c>
      <c r="P62" s="133" t="s">
        <v>22</v>
      </c>
      <c r="Q62" s="133" t="s">
        <v>23</v>
      </c>
      <c r="R62" s="133" t="s">
        <v>96</v>
      </c>
      <c r="S62" s="133"/>
      <c r="T62" s="133"/>
      <c r="U62" s="133" t="s">
        <v>61</v>
      </c>
      <c r="V62" s="133"/>
      <c r="W62" s="133" t="s">
        <v>241</v>
      </c>
    </row>
    <row r="63" spans="1:23" x14ac:dyDescent="0.25">
      <c r="A63" s="125" t="str">
        <f t="shared" si="1"/>
        <v>FEBRERO</v>
      </c>
      <c r="B63" s="126">
        <v>46065</v>
      </c>
      <c r="C63" s="127" t="s">
        <v>212</v>
      </c>
      <c r="D63" s="127"/>
      <c r="E63" s="128">
        <v>3.21</v>
      </c>
      <c r="F63" s="128">
        <v>0</v>
      </c>
      <c r="G63" s="129">
        <f>Tabla3[[#This Row],[EGRESOS]]-Tabla3[[#This Row],[INGRESOS]]</f>
        <v>3.21</v>
      </c>
      <c r="H63" s="140"/>
      <c r="I63" s="131">
        <v>1450</v>
      </c>
      <c r="J63" s="132">
        <f>Tabla3[[#This Row],[EGRESOS]]/Tabla3[[#This Row],[TC]]</f>
        <v>2.2137931034482759E-3</v>
      </c>
      <c r="K63" s="132">
        <f>Tabla3[[#This Row],[INGRESOS]]/Tabla3[[#This Row],[TC]]</f>
        <v>0</v>
      </c>
      <c r="L63" s="133" t="s">
        <v>94</v>
      </c>
      <c r="M63" s="133" t="s">
        <v>95</v>
      </c>
      <c r="N63" s="133" t="s">
        <v>2</v>
      </c>
      <c r="O63" s="133" t="s">
        <v>17</v>
      </c>
      <c r="P63" s="133" t="s">
        <v>22</v>
      </c>
      <c r="Q63" s="133" t="s">
        <v>23</v>
      </c>
      <c r="R63" s="133" t="s">
        <v>200</v>
      </c>
      <c r="S63" s="133"/>
      <c r="T63" s="133"/>
      <c r="U63" s="133" t="s">
        <v>61</v>
      </c>
      <c r="V63" s="133"/>
      <c r="W63" s="133" t="s">
        <v>241</v>
      </c>
    </row>
    <row r="64" spans="1:23" x14ac:dyDescent="0.25">
      <c r="A64" s="125" t="str">
        <f t="shared" si="1"/>
        <v>FEBRERO</v>
      </c>
      <c r="B64" s="126">
        <v>46065</v>
      </c>
      <c r="C64" s="127" t="s">
        <v>212</v>
      </c>
      <c r="D64" s="127"/>
      <c r="E64" s="128">
        <v>0.67</v>
      </c>
      <c r="F64" s="128">
        <v>0</v>
      </c>
      <c r="G64" s="129">
        <f>Tabla3[[#This Row],[EGRESOS]]-Tabla3[[#This Row],[INGRESOS]]</f>
        <v>0.67</v>
      </c>
      <c r="H64" s="140"/>
      <c r="I64" s="131">
        <v>1450</v>
      </c>
      <c r="J64" s="132">
        <f>Tabla3[[#This Row],[EGRESOS]]/Tabla3[[#This Row],[TC]]</f>
        <v>4.620689655172414E-4</v>
      </c>
      <c r="K64" s="132">
        <f>Tabla3[[#This Row],[INGRESOS]]/Tabla3[[#This Row],[TC]]</f>
        <v>0</v>
      </c>
      <c r="L64" s="133" t="s">
        <v>94</v>
      </c>
      <c r="M64" s="133" t="s">
        <v>95</v>
      </c>
      <c r="N64" s="133" t="s">
        <v>2</v>
      </c>
      <c r="O64" s="133" t="s">
        <v>17</v>
      </c>
      <c r="P64" s="133" t="s">
        <v>22</v>
      </c>
      <c r="Q64" s="133" t="s">
        <v>23</v>
      </c>
      <c r="R64" s="133" t="s">
        <v>200</v>
      </c>
      <c r="S64" s="133"/>
      <c r="T64" s="133"/>
      <c r="U64" s="133" t="s">
        <v>61</v>
      </c>
      <c r="V64" s="133"/>
      <c r="W64" s="133" t="s">
        <v>241</v>
      </c>
    </row>
    <row r="65" spans="1:23" x14ac:dyDescent="0.25">
      <c r="A65" s="125" t="str">
        <f t="shared" si="1"/>
        <v>FEBRERO</v>
      </c>
      <c r="B65" s="126">
        <v>46066</v>
      </c>
      <c r="C65" s="127" t="s">
        <v>399</v>
      </c>
      <c r="D65" s="127"/>
      <c r="E65" s="128">
        <v>956</v>
      </c>
      <c r="F65" s="128">
        <v>0</v>
      </c>
      <c r="G65" s="129">
        <f>Tabla3[[#This Row],[EGRESOS]]-Tabla3[[#This Row],[INGRESOS]]</f>
        <v>956</v>
      </c>
      <c r="H65" s="140"/>
      <c r="I65" s="131">
        <v>1450</v>
      </c>
      <c r="J65" s="132">
        <f>Tabla3[[#This Row],[EGRESOS]]/Tabla3[[#This Row],[TC]]</f>
        <v>0.65931034482758621</v>
      </c>
      <c r="K65" s="132">
        <f>Tabla3[[#This Row],[INGRESOS]]/Tabla3[[#This Row],[TC]]</f>
        <v>0</v>
      </c>
      <c r="L65" s="133" t="s">
        <v>94</v>
      </c>
      <c r="M65" s="133" t="s">
        <v>95</v>
      </c>
      <c r="N65" s="133" t="s">
        <v>2</v>
      </c>
      <c r="O65" s="133" t="s">
        <v>17</v>
      </c>
      <c r="P65" s="133" t="s">
        <v>22</v>
      </c>
      <c r="Q65" s="133" t="s">
        <v>19</v>
      </c>
      <c r="R65" s="133"/>
      <c r="S65" s="133"/>
      <c r="T65" s="133"/>
      <c r="U65" s="133" t="s">
        <v>61</v>
      </c>
      <c r="V65" s="133"/>
      <c r="W65" s="133" t="s">
        <v>241</v>
      </c>
    </row>
    <row r="66" spans="1:23" x14ac:dyDescent="0.25">
      <c r="A66" s="125" t="str">
        <f t="shared" si="1"/>
        <v>FEBRERO</v>
      </c>
      <c r="B66" s="126">
        <v>46066</v>
      </c>
      <c r="C66" s="127" t="s">
        <v>214</v>
      </c>
      <c r="D66" s="127"/>
      <c r="E66" s="128">
        <v>200.76</v>
      </c>
      <c r="F66" s="128">
        <v>0</v>
      </c>
      <c r="G66" s="129">
        <f>Tabla3[[#This Row],[EGRESOS]]-Tabla3[[#This Row],[INGRESOS]]</f>
        <v>200.76</v>
      </c>
      <c r="H66" s="140"/>
      <c r="I66" s="131">
        <v>1450</v>
      </c>
      <c r="J66" s="132">
        <f>Tabla3[[#This Row],[EGRESOS]]/Tabla3[[#This Row],[TC]]</f>
        <v>0.1384551724137931</v>
      </c>
      <c r="K66" s="132">
        <f>Tabla3[[#This Row],[INGRESOS]]/Tabla3[[#This Row],[TC]]</f>
        <v>0</v>
      </c>
      <c r="L66" s="133" t="s">
        <v>94</v>
      </c>
      <c r="M66" s="133" t="s">
        <v>95</v>
      </c>
      <c r="N66" s="133" t="s">
        <v>2</v>
      </c>
      <c r="O66" s="133" t="s">
        <v>17</v>
      </c>
      <c r="P66" s="133" t="s">
        <v>22</v>
      </c>
      <c r="Q66" s="133" t="s">
        <v>23</v>
      </c>
      <c r="R66" s="133" t="s">
        <v>96</v>
      </c>
      <c r="S66" s="133"/>
      <c r="T66" s="133"/>
      <c r="U66" s="133" t="s">
        <v>61</v>
      </c>
      <c r="V66" s="133"/>
      <c r="W66" s="133" t="s">
        <v>241</v>
      </c>
    </row>
    <row r="67" spans="1:23" x14ac:dyDescent="0.25">
      <c r="A67" s="125" t="str">
        <f t="shared" si="1"/>
        <v>FEBRERO</v>
      </c>
      <c r="B67" s="126">
        <v>46066</v>
      </c>
      <c r="C67" s="127" t="s">
        <v>212</v>
      </c>
      <c r="D67" s="127"/>
      <c r="E67" s="128">
        <v>5.74</v>
      </c>
      <c r="F67" s="128">
        <v>0</v>
      </c>
      <c r="G67" s="129">
        <f>Tabla3[[#This Row],[EGRESOS]]-Tabla3[[#This Row],[INGRESOS]]</f>
        <v>5.74</v>
      </c>
      <c r="H67" s="140"/>
      <c r="I67" s="131">
        <v>1450</v>
      </c>
      <c r="J67" s="132">
        <f>Tabla3[[#This Row],[EGRESOS]]/Tabla3[[#This Row],[TC]]</f>
        <v>3.9586206896551727E-3</v>
      </c>
      <c r="K67" s="132">
        <f>Tabla3[[#This Row],[INGRESOS]]/Tabla3[[#This Row],[TC]]</f>
        <v>0</v>
      </c>
      <c r="L67" s="133" t="s">
        <v>94</v>
      </c>
      <c r="M67" s="133" t="s">
        <v>95</v>
      </c>
      <c r="N67" s="133" t="s">
        <v>2</v>
      </c>
      <c r="O67" s="133" t="s">
        <v>17</v>
      </c>
      <c r="P67" s="133" t="s">
        <v>22</v>
      </c>
      <c r="Q67" s="133" t="s">
        <v>23</v>
      </c>
      <c r="R67" s="133" t="s">
        <v>200</v>
      </c>
      <c r="S67" s="133"/>
      <c r="T67" s="133"/>
      <c r="U67" s="133" t="s">
        <v>61</v>
      </c>
      <c r="V67" s="133"/>
      <c r="W67" s="133" t="s">
        <v>241</v>
      </c>
    </row>
    <row r="68" spans="1:23" x14ac:dyDescent="0.25">
      <c r="A68" s="125" t="str">
        <f t="shared" si="1"/>
        <v>FEBRERO</v>
      </c>
      <c r="B68" s="126">
        <v>46066</v>
      </c>
      <c r="C68" s="127" t="s">
        <v>212</v>
      </c>
      <c r="D68" s="127"/>
      <c r="E68" s="128">
        <v>1.2</v>
      </c>
      <c r="F68" s="128">
        <v>0</v>
      </c>
      <c r="G68" s="129">
        <f>Tabla3[[#This Row],[EGRESOS]]-Tabla3[[#This Row],[INGRESOS]]</f>
        <v>1.2</v>
      </c>
      <c r="H68" s="140">
        <v>-2990446.11</v>
      </c>
      <c r="I68" s="131">
        <v>1450</v>
      </c>
      <c r="J68" s="132">
        <f>Tabla3[[#This Row],[EGRESOS]]/Tabla3[[#This Row],[TC]]</f>
        <v>8.275862068965517E-4</v>
      </c>
      <c r="K68" s="132">
        <f>Tabla3[[#This Row],[INGRESOS]]/Tabla3[[#This Row],[TC]]</f>
        <v>0</v>
      </c>
      <c r="L68" s="133" t="s">
        <v>94</v>
      </c>
      <c r="M68" s="133" t="s">
        <v>95</v>
      </c>
      <c r="N68" s="133" t="s">
        <v>2</v>
      </c>
      <c r="O68" s="133" t="s">
        <v>17</v>
      </c>
      <c r="P68" s="133" t="s">
        <v>22</v>
      </c>
      <c r="Q68" s="133" t="s">
        <v>23</v>
      </c>
      <c r="R68" s="133" t="s">
        <v>200</v>
      </c>
      <c r="S68" s="133"/>
      <c r="T68" s="133"/>
      <c r="U68" s="133" t="s">
        <v>61</v>
      </c>
      <c r="V68" s="133"/>
      <c r="W68" s="133" t="s">
        <v>241</v>
      </c>
    </row>
    <row r="69" spans="1:23" x14ac:dyDescent="0.25">
      <c r="A69" s="52" t="str">
        <f t="shared" si="0"/>
        <v>ENERO</v>
      </c>
      <c r="B69" s="53">
        <v>46035</v>
      </c>
      <c r="C69" s="49" t="s">
        <v>261</v>
      </c>
      <c r="D69" s="49"/>
      <c r="E69" s="54">
        <v>0</v>
      </c>
      <c r="F69" s="54">
        <v>1500000</v>
      </c>
      <c r="G69" s="62">
        <f>Tabla3[[#This Row],[EGRESOS]]-Tabla3[[#This Row],[INGRESOS]]</f>
        <v>-1500000</v>
      </c>
      <c r="H69" s="104">
        <v>-8735867.6099999994</v>
      </c>
      <c r="I69" s="16">
        <v>1450</v>
      </c>
      <c r="J69" s="14">
        <f>Tabla3[[#This Row],[EGRESOS]]/Tabla3[[#This Row],[TC]]</f>
        <v>0</v>
      </c>
      <c r="K69" s="14">
        <f>Tabla3[[#This Row],[INGRESOS]]/Tabla3[[#This Row],[TC]]</f>
        <v>1034.4827586206898</v>
      </c>
      <c r="L69" s="7" t="s">
        <v>94</v>
      </c>
      <c r="M69" s="7" t="s">
        <v>95</v>
      </c>
      <c r="N69" s="7" t="s">
        <v>262</v>
      </c>
      <c r="O69" s="7" t="s">
        <v>251</v>
      </c>
      <c r="P69" s="7" t="s">
        <v>250</v>
      </c>
      <c r="Q69" s="7" t="s">
        <v>252</v>
      </c>
      <c r="R69" s="7" t="s">
        <v>263</v>
      </c>
      <c r="S69" s="7"/>
      <c r="T69" s="7"/>
      <c r="U69" s="7" t="s">
        <v>253</v>
      </c>
      <c r="V69" s="7"/>
      <c r="W69" s="7" t="s">
        <v>254</v>
      </c>
    </row>
    <row r="70" spans="1:23" x14ac:dyDescent="0.25">
      <c r="A70" s="52" t="str">
        <f t="shared" si="0"/>
        <v>ENERO</v>
      </c>
      <c r="B70" s="53">
        <v>46037</v>
      </c>
      <c r="C70" s="49" t="s">
        <v>261</v>
      </c>
      <c r="D70" s="49"/>
      <c r="E70" s="54">
        <v>0</v>
      </c>
      <c r="F70" s="54">
        <v>20000000</v>
      </c>
      <c r="G70" s="62">
        <f>Tabla3[[#This Row],[EGRESOS]]-Tabla3[[#This Row],[INGRESOS]]</f>
        <v>-20000000</v>
      </c>
      <c r="H70" s="104">
        <v>203836.75</v>
      </c>
      <c r="I70" s="16">
        <v>1450</v>
      </c>
      <c r="J70" s="14">
        <f>Tabla3[[#This Row],[EGRESOS]]/Tabla3[[#This Row],[TC]]</f>
        <v>0</v>
      </c>
      <c r="K70" s="14">
        <f>Tabla3[[#This Row],[INGRESOS]]/Tabla3[[#This Row],[TC]]</f>
        <v>13793.103448275862</v>
      </c>
      <c r="L70" s="7" t="s">
        <v>94</v>
      </c>
      <c r="M70" s="7" t="s">
        <v>95</v>
      </c>
      <c r="N70" s="7" t="s">
        <v>262</v>
      </c>
      <c r="O70" s="7" t="s">
        <v>251</v>
      </c>
      <c r="P70" s="7" t="s">
        <v>250</v>
      </c>
      <c r="Q70" s="7" t="s">
        <v>252</v>
      </c>
      <c r="R70" s="7" t="s">
        <v>263</v>
      </c>
      <c r="S70" s="7"/>
      <c r="T70" s="7"/>
      <c r="U70" s="7" t="s">
        <v>253</v>
      </c>
      <c r="V70" s="7"/>
      <c r="W70" s="7" t="s">
        <v>254</v>
      </c>
    </row>
    <row r="71" spans="1:23" x14ac:dyDescent="0.25">
      <c r="A71" s="52" t="str">
        <f t="shared" si="0"/>
        <v>ENERO</v>
      </c>
      <c r="B71" s="53">
        <v>46053</v>
      </c>
      <c r="C71" s="49" t="s">
        <v>371</v>
      </c>
      <c r="D71" s="49"/>
      <c r="E71" s="54">
        <v>7123.86</v>
      </c>
      <c r="F71" s="54">
        <v>0</v>
      </c>
      <c r="G71" s="62">
        <f>Tabla3[[#This Row],[EGRESOS]]-Tabla3[[#This Row],[INGRESOS]]</f>
        <v>7123.86</v>
      </c>
      <c r="H71" s="104"/>
      <c r="I71" s="16">
        <v>1450</v>
      </c>
      <c r="J71" s="14">
        <f>Tabla3[[#This Row],[EGRESOS]]/Tabla3[[#This Row],[TC]]</f>
        <v>4.9130068965517237</v>
      </c>
      <c r="K71" s="14">
        <f>Tabla3[[#This Row],[INGRESOS]]/Tabla3[[#This Row],[TC]]</f>
        <v>0</v>
      </c>
      <c r="L71" s="7" t="s">
        <v>94</v>
      </c>
      <c r="M71" s="7" t="s">
        <v>95</v>
      </c>
      <c r="N71" s="7" t="s">
        <v>262</v>
      </c>
      <c r="O71" s="7" t="s">
        <v>17</v>
      </c>
      <c r="P71" s="7" t="s">
        <v>22</v>
      </c>
      <c r="Q71" s="7" t="s">
        <v>23</v>
      </c>
      <c r="R71" s="7" t="s">
        <v>103</v>
      </c>
      <c r="S71" s="7"/>
      <c r="T71" s="7"/>
      <c r="U71" s="7" t="s">
        <v>61</v>
      </c>
      <c r="V71" s="7"/>
      <c r="W71" s="7" t="s">
        <v>241</v>
      </c>
    </row>
    <row r="72" spans="1:23" x14ac:dyDescent="0.25">
      <c r="A72" s="52" t="str">
        <f t="shared" si="0"/>
        <v>ENERO</v>
      </c>
      <c r="B72" s="53">
        <v>46053</v>
      </c>
      <c r="C72" s="49" t="s">
        <v>371</v>
      </c>
      <c r="D72" s="49"/>
      <c r="E72" s="54">
        <v>396.31</v>
      </c>
      <c r="F72" s="54">
        <v>0</v>
      </c>
      <c r="G72" s="62">
        <f>Tabla3[[#This Row],[EGRESOS]]-Tabla3[[#This Row],[INGRESOS]]</f>
        <v>396.31</v>
      </c>
      <c r="H72" s="104"/>
      <c r="I72" s="16">
        <v>1450</v>
      </c>
      <c r="J72" s="14">
        <f>Tabla3[[#This Row],[EGRESOS]]/Tabla3[[#This Row],[TC]]</f>
        <v>0.27331724137931035</v>
      </c>
      <c r="K72" s="14">
        <f>Tabla3[[#This Row],[INGRESOS]]/Tabla3[[#This Row],[TC]]</f>
        <v>0</v>
      </c>
      <c r="L72" s="7" t="s">
        <v>94</v>
      </c>
      <c r="M72" s="7" t="s">
        <v>95</v>
      </c>
      <c r="N72" s="7" t="s">
        <v>262</v>
      </c>
      <c r="O72" s="7" t="s">
        <v>17</v>
      </c>
      <c r="P72" s="7" t="s">
        <v>22</v>
      </c>
      <c r="Q72" s="7" t="s">
        <v>23</v>
      </c>
      <c r="R72" s="7" t="s">
        <v>103</v>
      </c>
      <c r="S72" s="7"/>
      <c r="T72" s="7"/>
      <c r="U72" s="7" t="s">
        <v>61</v>
      </c>
      <c r="V72" s="7"/>
      <c r="W72" s="7" t="s">
        <v>241</v>
      </c>
    </row>
    <row r="73" spans="1:23" x14ac:dyDescent="0.25">
      <c r="A73" s="52" t="str">
        <f t="shared" si="0"/>
        <v>ENERO</v>
      </c>
      <c r="B73" s="53">
        <v>46053</v>
      </c>
      <c r="C73" s="49" t="s">
        <v>371</v>
      </c>
      <c r="D73" s="49"/>
      <c r="E73" s="54">
        <v>198.15</v>
      </c>
      <c r="F73" s="54">
        <v>0</v>
      </c>
      <c r="G73" s="62">
        <f>Tabla3[[#This Row],[EGRESOS]]-Tabla3[[#This Row],[INGRESOS]]</f>
        <v>198.15</v>
      </c>
      <c r="H73" s="104"/>
      <c r="I73" s="16">
        <v>1450</v>
      </c>
      <c r="J73" s="14">
        <f>Tabla3[[#This Row],[EGRESOS]]/Tabla3[[#This Row],[TC]]</f>
        <v>0.1366551724137931</v>
      </c>
      <c r="K73" s="14">
        <f>Tabla3[[#This Row],[INGRESOS]]/Tabla3[[#This Row],[TC]]</f>
        <v>0</v>
      </c>
      <c r="L73" s="7" t="s">
        <v>94</v>
      </c>
      <c r="M73" s="7" t="s">
        <v>95</v>
      </c>
      <c r="N73" s="7" t="s">
        <v>262</v>
      </c>
      <c r="O73" s="7" t="s">
        <v>17</v>
      </c>
      <c r="P73" s="7" t="s">
        <v>22</v>
      </c>
      <c r="Q73" s="7" t="s">
        <v>23</v>
      </c>
      <c r="R73" s="7" t="s">
        <v>103</v>
      </c>
      <c r="S73" s="7"/>
      <c r="T73" s="7"/>
      <c r="U73" s="7" t="s">
        <v>61</v>
      </c>
      <c r="V73" s="7"/>
      <c r="W73" s="7" t="s">
        <v>241</v>
      </c>
    </row>
    <row r="74" spans="1:23" x14ac:dyDescent="0.25">
      <c r="A74" s="52" t="str">
        <f t="shared" si="0"/>
        <v>ENERO</v>
      </c>
      <c r="B74" s="53">
        <v>46053</v>
      </c>
      <c r="C74" s="49" t="s">
        <v>370</v>
      </c>
      <c r="D74" s="49"/>
      <c r="E74" s="54">
        <v>474923.92</v>
      </c>
      <c r="F74" s="54">
        <v>0</v>
      </c>
      <c r="G74" s="62">
        <f>Tabla3[[#This Row],[EGRESOS]]-Tabla3[[#This Row],[INGRESOS]]</f>
        <v>474923.92</v>
      </c>
      <c r="H74" s="140"/>
      <c r="I74" s="16">
        <v>1450</v>
      </c>
      <c r="J74" s="14">
        <f>Tabla3[[#This Row],[EGRESOS]]/Tabla3[[#This Row],[TC]]</f>
        <v>327.53373793103447</v>
      </c>
      <c r="K74" s="14">
        <f>Tabla3[[#This Row],[INGRESOS]]/Tabla3[[#This Row],[TC]]</f>
        <v>0</v>
      </c>
      <c r="L74" s="7" t="s">
        <v>94</v>
      </c>
      <c r="M74" s="7" t="s">
        <v>95</v>
      </c>
      <c r="N74" s="7" t="s">
        <v>262</v>
      </c>
      <c r="O74" s="7" t="s">
        <v>17</v>
      </c>
      <c r="P74" s="7" t="s">
        <v>24</v>
      </c>
      <c r="Q74" s="7" t="s">
        <v>25</v>
      </c>
      <c r="R74" s="7"/>
      <c r="S74" s="7"/>
      <c r="T74" s="7"/>
      <c r="U74" s="7" t="s">
        <v>61</v>
      </c>
      <c r="V74" s="7"/>
      <c r="W74" s="7" t="s">
        <v>241</v>
      </c>
    </row>
    <row r="75" spans="1:23" x14ac:dyDescent="0.25">
      <c r="A75" s="52" t="str">
        <f t="shared" si="0"/>
        <v>ENERO</v>
      </c>
      <c r="B75" s="53">
        <v>46053</v>
      </c>
      <c r="C75" s="49" t="s">
        <v>369</v>
      </c>
      <c r="D75" s="49"/>
      <c r="E75" s="54">
        <v>3888.01</v>
      </c>
      <c r="F75" s="54">
        <v>0</v>
      </c>
      <c r="G75" s="62">
        <f>Tabla3[[#This Row],[EGRESOS]]-Tabla3[[#This Row],[INGRESOS]]</f>
        <v>3888.01</v>
      </c>
      <c r="H75" s="140"/>
      <c r="I75" s="16">
        <v>1450</v>
      </c>
      <c r="J75" s="14">
        <f>Tabla3[[#This Row],[EGRESOS]]/Tabla3[[#This Row],[TC]]</f>
        <v>2.6813862068965517</v>
      </c>
      <c r="K75" s="14">
        <f>Tabla3[[#This Row],[INGRESOS]]/Tabla3[[#This Row],[TC]]</f>
        <v>0</v>
      </c>
      <c r="L75" s="7" t="s">
        <v>94</v>
      </c>
      <c r="M75" s="7" t="s">
        <v>95</v>
      </c>
      <c r="N75" s="7" t="s">
        <v>262</v>
      </c>
      <c r="O75" s="7" t="s">
        <v>17</v>
      </c>
      <c r="P75" s="7" t="s">
        <v>22</v>
      </c>
      <c r="Q75" s="7" t="s">
        <v>23</v>
      </c>
      <c r="R75" s="7" t="s">
        <v>96</v>
      </c>
      <c r="S75" s="7"/>
      <c r="T75" s="7"/>
      <c r="U75" s="7" t="s">
        <v>61</v>
      </c>
      <c r="V75" s="7"/>
      <c r="W75" s="7" t="s">
        <v>241</v>
      </c>
    </row>
    <row r="76" spans="1:23" x14ac:dyDescent="0.25">
      <c r="A76" s="134" t="str">
        <f t="shared" si="0"/>
        <v>ENERO</v>
      </c>
      <c r="B76" s="135">
        <v>46053</v>
      </c>
      <c r="C76" s="136" t="s">
        <v>368</v>
      </c>
      <c r="D76" s="136"/>
      <c r="E76" s="55">
        <v>49867.01</v>
      </c>
      <c r="F76" s="55">
        <v>0</v>
      </c>
      <c r="G76" s="137">
        <f>Tabla3[[#This Row],[EGRESOS]]-Tabla3[[#This Row],[INGRESOS]]</f>
        <v>49867.01</v>
      </c>
      <c r="H76" s="143"/>
      <c r="I76" s="138">
        <v>1450</v>
      </c>
      <c r="J76" s="139">
        <f>Tabla3[[#This Row],[EGRESOS]]/Tabla3[[#This Row],[TC]]</f>
        <v>34.391041379310344</v>
      </c>
      <c r="K76" s="139">
        <f>Tabla3[[#This Row],[INGRESOS]]/Tabla3[[#This Row],[TC]]</f>
        <v>0</v>
      </c>
      <c r="L76" s="8" t="s">
        <v>94</v>
      </c>
      <c r="M76" s="8" t="s">
        <v>95</v>
      </c>
      <c r="N76" s="8" t="s">
        <v>262</v>
      </c>
      <c r="O76" s="8" t="s">
        <v>17</v>
      </c>
      <c r="P76" s="8" t="s">
        <v>22</v>
      </c>
      <c r="Q76" s="8" t="s">
        <v>23</v>
      </c>
      <c r="R76" s="8" t="s">
        <v>96</v>
      </c>
      <c r="S76" s="8"/>
      <c r="T76" s="8"/>
      <c r="U76" s="8" t="s">
        <v>61</v>
      </c>
      <c r="V76" s="8"/>
      <c r="W76" s="8" t="s">
        <v>241</v>
      </c>
    </row>
    <row r="77" spans="1:23" x14ac:dyDescent="0.25">
      <c r="A77" s="134" t="str">
        <f t="shared" si="0"/>
        <v>ENERO</v>
      </c>
      <c r="B77" s="135">
        <v>46053</v>
      </c>
      <c r="C77" s="136" t="s">
        <v>368</v>
      </c>
      <c r="D77" s="136"/>
      <c r="E77" s="55">
        <v>2774.14</v>
      </c>
      <c r="F77" s="55">
        <v>0</v>
      </c>
      <c r="G77" s="137">
        <f>Tabla3[[#This Row],[EGRESOS]]-Tabla3[[#This Row],[INGRESOS]]</f>
        <v>2774.14</v>
      </c>
      <c r="H77" s="143"/>
      <c r="I77" s="138">
        <v>1450</v>
      </c>
      <c r="J77" s="139">
        <f>Tabla3[[#This Row],[EGRESOS]]/Tabla3[[#This Row],[TC]]</f>
        <v>1.9132</v>
      </c>
      <c r="K77" s="139">
        <f>Tabla3[[#This Row],[INGRESOS]]/Tabla3[[#This Row],[TC]]</f>
        <v>0</v>
      </c>
      <c r="L77" s="8" t="s">
        <v>94</v>
      </c>
      <c r="M77" s="8" t="s">
        <v>95</v>
      </c>
      <c r="N77" s="8" t="s">
        <v>262</v>
      </c>
      <c r="O77" s="8" t="s">
        <v>17</v>
      </c>
      <c r="P77" s="8" t="s">
        <v>22</v>
      </c>
      <c r="Q77" s="8" t="s">
        <v>23</v>
      </c>
      <c r="R77" s="8" t="s">
        <v>96</v>
      </c>
      <c r="S77" s="8"/>
      <c r="T77" s="8"/>
      <c r="U77" s="8" t="s">
        <v>61</v>
      </c>
      <c r="V77" s="8"/>
      <c r="W77" s="8" t="s">
        <v>241</v>
      </c>
    </row>
    <row r="78" spans="1:23" x14ac:dyDescent="0.25">
      <c r="A78" s="134" t="str">
        <f t="shared" si="0"/>
        <v>ENERO</v>
      </c>
      <c r="B78" s="135">
        <v>46053</v>
      </c>
      <c r="C78" s="136" t="s">
        <v>368</v>
      </c>
      <c r="D78" s="136"/>
      <c r="E78" s="55">
        <v>1387.07</v>
      </c>
      <c r="F78" s="55">
        <v>0</v>
      </c>
      <c r="G78" s="137">
        <f>Tabla3[[#This Row],[EGRESOS]]-Tabla3[[#This Row],[INGRESOS]]</f>
        <v>1387.07</v>
      </c>
      <c r="H78" s="143"/>
      <c r="I78" s="138">
        <v>1450</v>
      </c>
      <c r="J78" s="139">
        <f>Tabla3[[#This Row],[EGRESOS]]/Tabla3[[#This Row],[TC]]</f>
        <v>0.95660000000000001</v>
      </c>
      <c r="K78" s="139">
        <f>Tabla3[[#This Row],[INGRESOS]]/Tabla3[[#This Row],[TC]]</f>
        <v>0</v>
      </c>
      <c r="L78" s="8" t="s">
        <v>94</v>
      </c>
      <c r="M78" s="8" t="s">
        <v>95</v>
      </c>
      <c r="N78" s="8" t="s">
        <v>262</v>
      </c>
      <c r="O78" s="8" t="s">
        <v>17</v>
      </c>
      <c r="P78" s="8" t="s">
        <v>22</v>
      </c>
      <c r="Q78" s="8" t="s">
        <v>23</v>
      </c>
      <c r="R78" s="8" t="s">
        <v>96</v>
      </c>
      <c r="S78" s="8"/>
      <c r="T78" s="8"/>
      <c r="U78" s="8" t="s">
        <v>61</v>
      </c>
      <c r="V78" s="8"/>
      <c r="W78" s="8" t="s">
        <v>241</v>
      </c>
    </row>
    <row r="79" spans="1:23" x14ac:dyDescent="0.25">
      <c r="A79" s="134" t="str">
        <f t="shared" si="0"/>
        <v>ENERO</v>
      </c>
      <c r="B79" s="135">
        <v>46053</v>
      </c>
      <c r="C79" s="136" t="s">
        <v>367</v>
      </c>
      <c r="D79" s="136"/>
      <c r="E79" s="55">
        <v>13210.2</v>
      </c>
      <c r="F79" s="55">
        <v>0</v>
      </c>
      <c r="G79" s="137">
        <f>Tabla3[[#This Row],[EGRESOS]]-Tabla3[[#This Row],[INGRESOS]]</f>
        <v>13210.2</v>
      </c>
      <c r="H79" s="143"/>
      <c r="I79" s="138">
        <v>1450</v>
      </c>
      <c r="J79" s="139">
        <f>Tabla3[[#This Row],[EGRESOS]]/Tabla3[[#This Row],[TC]]</f>
        <v>9.1104827586206909</v>
      </c>
      <c r="K79" s="139">
        <f>Tabla3[[#This Row],[INGRESOS]]/Tabla3[[#This Row],[TC]]</f>
        <v>0</v>
      </c>
      <c r="L79" s="8" t="s">
        <v>94</v>
      </c>
      <c r="M79" s="8" t="s">
        <v>95</v>
      </c>
      <c r="N79" s="8" t="s">
        <v>262</v>
      </c>
      <c r="O79" s="8" t="s">
        <v>17</v>
      </c>
      <c r="P79" s="8" t="s">
        <v>24</v>
      </c>
      <c r="Q79" s="8" t="s">
        <v>25</v>
      </c>
      <c r="R79" s="8"/>
      <c r="S79" s="8"/>
      <c r="T79" s="8"/>
      <c r="U79" s="8" t="s">
        <v>61</v>
      </c>
      <c r="V79" s="8"/>
      <c r="W79" s="8" t="s">
        <v>241</v>
      </c>
    </row>
    <row r="80" spans="1:23" x14ac:dyDescent="0.25">
      <c r="A80" s="134" t="str">
        <f t="shared" si="0"/>
        <v>ENERO</v>
      </c>
      <c r="B80" s="135">
        <v>46053</v>
      </c>
      <c r="C80" s="136" t="s">
        <v>49</v>
      </c>
      <c r="D80" s="136"/>
      <c r="E80" s="55">
        <v>10500</v>
      </c>
      <c r="F80" s="55">
        <v>0</v>
      </c>
      <c r="G80" s="137">
        <f>Tabla3[[#This Row],[EGRESOS]]-Tabla3[[#This Row],[INGRESOS]]</f>
        <v>10500</v>
      </c>
      <c r="H80" s="19"/>
      <c r="I80" s="138">
        <v>1450</v>
      </c>
      <c r="J80" s="139">
        <f>Tabla3[[#This Row],[EGRESOS]]/Tabla3[[#This Row],[TC]]</f>
        <v>7.2413793103448274</v>
      </c>
      <c r="K80" s="139">
        <f>Tabla3[[#This Row],[INGRESOS]]/Tabla3[[#This Row],[TC]]</f>
        <v>0</v>
      </c>
      <c r="L80" s="8" t="s">
        <v>94</v>
      </c>
      <c r="M80" s="8" t="s">
        <v>95</v>
      </c>
      <c r="N80" s="8" t="s">
        <v>262</v>
      </c>
      <c r="O80" s="8" t="s">
        <v>17</v>
      </c>
      <c r="P80" s="8" t="s">
        <v>22</v>
      </c>
      <c r="Q80" s="8" t="s">
        <v>23</v>
      </c>
      <c r="R80" s="8" t="s">
        <v>96</v>
      </c>
      <c r="S80" s="8"/>
      <c r="T80" s="8"/>
      <c r="U80" s="8" t="s">
        <v>61</v>
      </c>
      <c r="V80" s="8"/>
      <c r="W80" s="8" t="s">
        <v>241</v>
      </c>
    </row>
    <row r="81" spans="1:23" x14ac:dyDescent="0.25">
      <c r="A81" s="134" t="str">
        <f t="shared" si="0"/>
        <v>ENERO</v>
      </c>
      <c r="B81" s="135">
        <v>46053</v>
      </c>
      <c r="C81" s="136" t="s">
        <v>366</v>
      </c>
      <c r="D81" s="136"/>
      <c r="E81" s="55">
        <v>26420.400000000001</v>
      </c>
      <c r="F81" s="55">
        <v>0</v>
      </c>
      <c r="G81" s="137">
        <f>Tabla3[[#This Row],[EGRESOS]]-Tabla3[[#This Row],[INGRESOS]]</f>
        <v>26420.400000000001</v>
      </c>
      <c r="H81" s="143"/>
      <c r="I81" s="138">
        <v>1450</v>
      </c>
      <c r="J81" s="139">
        <f>Tabla3[[#This Row],[EGRESOS]]/Tabla3[[#This Row],[TC]]</f>
        <v>18.220965517241382</v>
      </c>
      <c r="K81" s="139">
        <f>Tabla3[[#This Row],[INGRESOS]]/Tabla3[[#This Row],[TC]]</f>
        <v>0</v>
      </c>
      <c r="L81" s="8" t="s">
        <v>94</v>
      </c>
      <c r="M81" s="8" t="s">
        <v>95</v>
      </c>
      <c r="N81" s="8" t="s">
        <v>262</v>
      </c>
      <c r="O81" s="8" t="s">
        <v>17</v>
      </c>
      <c r="P81" s="8" t="s">
        <v>24</v>
      </c>
      <c r="Q81" s="8" t="s">
        <v>25</v>
      </c>
      <c r="R81" s="8"/>
      <c r="S81" s="8"/>
      <c r="T81" s="8"/>
      <c r="U81" s="8" t="s">
        <v>61</v>
      </c>
      <c r="V81" s="8"/>
      <c r="W81" s="8" t="s">
        <v>241</v>
      </c>
    </row>
    <row r="82" spans="1:23" x14ac:dyDescent="0.25">
      <c r="A82" s="134" t="str">
        <f t="shared" si="0"/>
        <v>ENERO</v>
      </c>
      <c r="B82" s="135">
        <v>46053</v>
      </c>
      <c r="C82" s="136" t="s">
        <v>207</v>
      </c>
      <c r="D82" s="136"/>
      <c r="E82" s="55">
        <v>9192.08</v>
      </c>
      <c r="F82" s="55">
        <v>0</v>
      </c>
      <c r="G82" s="137">
        <f>Tabla3[[#This Row],[EGRESOS]]-Tabla3[[#This Row],[INGRESOS]]</f>
        <v>9192.08</v>
      </c>
      <c r="H82" s="143"/>
      <c r="I82" s="138">
        <v>1450</v>
      </c>
      <c r="J82" s="139">
        <f>Tabla3[[#This Row],[EGRESOS]]/Tabla3[[#This Row],[TC]]</f>
        <v>6.3393655172413794</v>
      </c>
      <c r="K82" s="139">
        <f>Tabla3[[#This Row],[INGRESOS]]/Tabla3[[#This Row],[TC]]</f>
        <v>0</v>
      </c>
      <c r="L82" s="8" t="s">
        <v>94</v>
      </c>
      <c r="M82" s="8" t="s">
        <v>95</v>
      </c>
      <c r="N82" s="8" t="s">
        <v>262</v>
      </c>
      <c r="O82" s="8" t="s">
        <v>17</v>
      </c>
      <c r="P82" s="8" t="s">
        <v>22</v>
      </c>
      <c r="Q82" s="8" t="s">
        <v>23</v>
      </c>
      <c r="R82" s="8" t="s">
        <v>199</v>
      </c>
      <c r="S82" s="8"/>
      <c r="T82" s="8"/>
      <c r="U82" s="8" t="s">
        <v>61</v>
      </c>
      <c r="V82" s="8"/>
      <c r="W82" s="8" t="s">
        <v>241</v>
      </c>
    </row>
    <row r="83" spans="1:23" x14ac:dyDescent="0.25">
      <c r="A83" s="134" t="str">
        <f t="shared" si="0"/>
        <v>ENERO</v>
      </c>
      <c r="B83" s="135">
        <v>46053</v>
      </c>
      <c r="C83" s="136" t="s">
        <v>207</v>
      </c>
      <c r="D83" s="136"/>
      <c r="E83" s="55">
        <v>511.36</v>
      </c>
      <c r="F83" s="55">
        <v>0</v>
      </c>
      <c r="G83" s="137">
        <f>Tabla3[[#This Row],[EGRESOS]]-Tabla3[[#This Row],[INGRESOS]]</f>
        <v>511.36</v>
      </c>
      <c r="H83" s="143"/>
      <c r="I83" s="138">
        <v>1450</v>
      </c>
      <c r="J83" s="139">
        <f>Tabla3[[#This Row],[EGRESOS]]/Tabla3[[#This Row],[TC]]</f>
        <v>0.35266206896551727</v>
      </c>
      <c r="K83" s="139">
        <f>Tabla3[[#This Row],[INGRESOS]]/Tabla3[[#This Row],[TC]]</f>
        <v>0</v>
      </c>
      <c r="L83" s="8" t="s">
        <v>94</v>
      </c>
      <c r="M83" s="8" t="s">
        <v>95</v>
      </c>
      <c r="N83" s="8" t="s">
        <v>262</v>
      </c>
      <c r="O83" s="8" t="s">
        <v>17</v>
      </c>
      <c r="P83" s="8" t="s">
        <v>22</v>
      </c>
      <c r="Q83" s="8" t="s">
        <v>23</v>
      </c>
      <c r="R83" s="8" t="s">
        <v>199</v>
      </c>
      <c r="S83" s="8"/>
      <c r="T83" s="8"/>
      <c r="U83" s="8" t="s">
        <v>61</v>
      </c>
      <c r="V83" s="8"/>
      <c r="W83" s="8" t="s">
        <v>241</v>
      </c>
    </row>
    <row r="84" spans="1:23" x14ac:dyDescent="0.25">
      <c r="A84" s="134" t="str">
        <f t="shared" si="0"/>
        <v>ENERO</v>
      </c>
      <c r="B84" s="135">
        <v>46053</v>
      </c>
      <c r="C84" s="136" t="s">
        <v>365</v>
      </c>
      <c r="D84" s="136"/>
      <c r="E84" s="55">
        <v>50000</v>
      </c>
      <c r="F84" s="55">
        <v>0</v>
      </c>
      <c r="G84" s="137">
        <f>Tabla3[[#This Row],[EGRESOS]]-Tabla3[[#This Row],[INGRESOS]]</f>
        <v>50000</v>
      </c>
      <c r="H84" s="142"/>
      <c r="I84" s="138">
        <v>1450</v>
      </c>
      <c r="J84" s="139">
        <f>Tabla3[[#This Row],[EGRESOS]]/Tabla3[[#This Row],[TC]]</f>
        <v>34.482758620689658</v>
      </c>
      <c r="K84" s="139">
        <f>Tabla3[[#This Row],[INGRESOS]]/Tabla3[[#This Row],[TC]]</f>
        <v>0</v>
      </c>
      <c r="L84" s="8" t="s">
        <v>94</v>
      </c>
      <c r="M84" s="8" t="s">
        <v>95</v>
      </c>
      <c r="N84" s="8" t="s">
        <v>262</v>
      </c>
      <c r="O84" s="8" t="s">
        <v>17</v>
      </c>
      <c r="P84" s="8" t="s">
        <v>22</v>
      </c>
      <c r="Q84" s="8" t="s">
        <v>19</v>
      </c>
      <c r="R84" s="8"/>
      <c r="S84" s="8"/>
      <c r="T84" s="8"/>
      <c r="U84" s="8" t="s">
        <v>61</v>
      </c>
      <c r="V84" s="8"/>
      <c r="W84" s="8" t="s">
        <v>241</v>
      </c>
    </row>
    <row r="85" spans="1:23" x14ac:dyDescent="0.25">
      <c r="A85" s="134" t="str">
        <f t="shared" si="0"/>
        <v>ENERO</v>
      </c>
      <c r="B85" s="135">
        <v>46053</v>
      </c>
      <c r="C85" s="136" t="s">
        <v>103</v>
      </c>
      <c r="D85" s="136"/>
      <c r="E85" s="55">
        <v>1500</v>
      </c>
      <c r="F85" s="55">
        <v>0</v>
      </c>
      <c r="G85" s="137">
        <f>Tabla3[[#This Row],[EGRESOS]]-Tabla3[[#This Row],[INGRESOS]]</f>
        <v>1500</v>
      </c>
      <c r="H85" s="142">
        <v>-448055.76</v>
      </c>
      <c r="I85" s="138">
        <v>1450</v>
      </c>
      <c r="J85" s="139">
        <f>Tabla3[[#This Row],[EGRESOS]]/Tabla3[[#This Row],[TC]]</f>
        <v>1.0344827586206897</v>
      </c>
      <c r="K85" s="139">
        <f>Tabla3[[#This Row],[INGRESOS]]/Tabla3[[#This Row],[TC]]</f>
        <v>0</v>
      </c>
      <c r="L85" s="8" t="s">
        <v>94</v>
      </c>
      <c r="M85" s="8" t="s">
        <v>95</v>
      </c>
      <c r="N85" s="8" t="s">
        <v>262</v>
      </c>
      <c r="O85" s="8" t="s">
        <v>17</v>
      </c>
      <c r="P85" s="8" t="s">
        <v>22</v>
      </c>
      <c r="Q85" s="8" t="s">
        <v>23</v>
      </c>
      <c r="R85" s="8" t="s">
        <v>103</v>
      </c>
      <c r="S85" s="8"/>
      <c r="T85" s="8"/>
      <c r="U85" s="8" t="s">
        <v>61</v>
      </c>
      <c r="V85" s="8"/>
      <c r="W85" s="8" t="s">
        <v>241</v>
      </c>
    </row>
    <row r="86" spans="1:23" x14ac:dyDescent="0.25">
      <c r="A86" s="134" t="str">
        <f t="shared" ref="A86:A109" si="2">"FEBRERO"</f>
        <v>FEBRERO</v>
      </c>
      <c r="B86" s="135">
        <v>46059</v>
      </c>
      <c r="C86" s="136" t="s">
        <v>369</v>
      </c>
      <c r="D86" s="136"/>
      <c r="E86" s="55">
        <v>223.2</v>
      </c>
      <c r="F86" s="55">
        <v>0</v>
      </c>
      <c r="G86" s="137">
        <f>Tabla3[[#This Row],[EGRESOS]]-Tabla3[[#This Row],[INGRESOS]]</f>
        <v>223.2</v>
      </c>
      <c r="H86" s="142"/>
      <c r="I86" s="138">
        <v>1450</v>
      </c>
      <c r="J86" s="139">
        <f>Tabla3[[#This Row],[EGRESOS]]/Tabla3[[#This Row],[TC]]</f>
        <v>0.15393103448275861</v>
      </c>
      <c r="K86" s="139">
        <f>Tabla3[[#This Row],[INGRESOS]]/Tabla3[[#This Row],[TC]]</f>
        <v>0</v>
      </c>
      <c r="L86" s="8" t="s">
        <v>94</v>
      </c>
      <c r="M86" s="8" t="s">
        <v>95</v>
      </c>
      <c r="N86" s="8" t="s">
        <v>262</v>
      </c>
      <c r="O86" s="8" t="s">
        <v>17</v>
      </c>
      <c r="P86" s="8" t="s">
        <v>22</v>
      </c>
      <c r="Q86" s="8" t="s">
        <v>23</v>
      </c>
      <c r="R86" s="8" t="s">
        <v>96</v>
      </c>
      <c r="S86" s="8"/>
      <c r="T86" s="8"/>
      <c r="U86" s="8" t="s">
        <v>61</v>
      </c>
      <c r="V86" s="8"/>
      <c r="W86" s="8" t="s">
        <v>241</v>
      </c>
    </row>
    <row r="87" spans="1:23" x14ac:dyDescent="0.25">
      <c r="A87" s="134" t="str">
        <f t="shared" si="2"/>
        <v>FEBRERO</v>
      </c>
      <c r="B87" s="135">
        <v>46059</v>
      </c>
      <c r="C87" s="136" t="s">
        <v>49</v>
      </c>
      <c r="D87" s="136"/>
      <c r="E87" s="55">
        <v>6300</v>
      </c>
      <c r="F87" s="55">
        <v>0</v>
      </c>
      <c r="G87" s="137">
        <f>Tabla3[[#This Row],[EGRESOS]]-Tabla3[[#This Row],[INGRESOS]]</f>
        <v>6300</v>
      </c>
      <c r="H87" s="143"/>
      <c r="I87" s="138">
        <v>1450</v>
      </c>
      <c r="J87" s="139">
        <f>Tabla3[[#This Row],[EGRESOS]]/Tabla3[[#This Row],[TC]]</f>
        <v>4.3448275862068968</v>
      </c>
      <c r="K87" s="139">
        <f>Tabla3[[#This Row],[INGRESOS]]/Tabla3[[#This Row],[TC]]</f>
        <v>0</v>
      </c>
      <c r="L87" s="8" t="s">
        <v>94</v>
      </c>
      <c r="M87" s="8" t="s">
        <v>95</v>
      </c>
      <c r="N87" s="8" t="s">
        <v>262</v>
      </c>
      <c r="O87" s="8" t="s">
        <v>17</v>
      </c>
      <c r="P87" s="8" t="s">
        <v>22</v>
      </c>
      <c r="Q87" s="8" t="s">
        <v>23</v>
      </c>
      <c r="R87" s="8" t="s">
        <v>96</v>
      </c>
      <c r="S87" s="8"/>
      <c r="T87" s="8"/>
      <c r="U87" s="8" t="s">
        <v>61</v>
      </c>
      <c r="V87" s="8"/>
      <c r="W87" s="8" t="s">
        <v>241</v>
      </c>
    </row>
    <row r="88" spans="1:23" x14ac:dyDescent="0.25">
      <c r="A88" s="134" t="str">
        <f t="shared" si="2"/>
        <v>FEBRERO</v>
      </c>
      <c r="B88" s="135">
        <v>46059</v>
      </c>
      <c r="C88" s="136" t="s">
        <v>398</v>
      </c>
      <c r="D88" s="136"/>
      <c r="E88" s="55">
        <v>30000</v>
      </c>
      <c r="F88" s="55">
        <v>0</v>
      </c>
      <c r="G88" s="137">
        <f>Tabla3[[#This Row],[EGRESOS]]-Tabla3[[#This Row],[INGRESOS]]</f>
        <v>30000</v>
      </c>
      <c r="H88" s="143"/>
      <c r="I88" s="138">
        <v>1450</v>
      </c>
      <c r="J88" s="139">
        <f>Tabla3[[#This Row],[EGRESOS]]/Tabla3[[#This Row],[TC]]</f>
        <v>20.689655172413794</v>
      </c>
      <c r="K88" s="139">
        <f>Tabla3[[#This Row],[INGRESOS]]/Tabla3[[#This Row],[TC]]</f>
        <v>0</v>
      </c>
      <c r="L88" s="8" t="s">
        <v>94</v>
      </c>
      <c r="M88" s="8" t="s">
        <v>95</v>
      </c>
      <c r="N88" s="8" t="s">
        <v>262</v>
      </c>
      <c r="O88" s="8" t="s">
        <v>17</v>
      </c>
      <c r="P88" s="8" t="s">
        <v>22</v>
      </c>
      <c r="Q88" s="8" t="s">
        <v>19</v>
      </c>
      <c r="R88" s="8"/>
      <c r="S88" s="8"/>
      <c r="T88" s="8"/>
      <c r="U88" s="8" t="s">
        <v>61</v>
      </c>
      <c r="V88" s="8"/>
      <c r="W88" s="8" t="s">
        <v>241</v>
      </c>
    </row>
    <row r="89" spans="1:23" x14ac:dyDescent="0.25">
      <c r="A89" s="134" t="str">
        <f t="shared" si="2"/>
        <v>FEBRERO</v>
      </c>
      <c r="B89" s="135">
        <v>46059</v>
      </c>
      <c r="C89" s="136" t="s">
        <v>103</v>
      </c>
      <c r="D89" s="136"/>
      <c r="E89" s="55">
        <v>900</v>
      </c>
      <c r="F89" s="55">
        <v>0</v>
      </c>
      <c r="G89" s="137">
        <f>Tabla3[[#This Row],[EGRESOS]]-Tabla3[[#This Row],[INGRESOS]]</f>
        <v>900</v>
      </c>
      <c r="H89" s="143"/>
      <c r="I89" s="138">
        <v>1450</v>
      </c>
      <c r="J89" s="139">
        <f>Tabla3[[#This Row],[EGRESOS]]/Tabla3[[#This Row],[TC]]</f>
        <v>0.62068965517241381</v>
      </c>
      <c r="K89" s="139">
        <f>Tabla3[[#This Row],[INGRESOS]]/Tabla3[[#This Row],[TC]]</f>
        <v>0</v>
      </c>
      <c r="L89" s="8" t="s">
        <v>94</v>
      </c>
      <c r="M89" s="8" t="s">
        <v>95</v>
      </c>
      <c r="N89" s="8" t="s">
        <v>262</v>
      </c>
      <c r="O89" s="8" t="s">
        <v>17</v>
      </c>
      <c r="P89" s="8" t="s">
        <v>22</v>
      </c>
      <c r="Q89" s="8" t="s">
        <v>23</v>
      </c>
      <c r="R89" s="8" t="s">
        <v>210</v>
      </c>
      <c r="S89" s="8"/>
      <c r="T89" s="8"/>
      <c r="U89" s="8" t="s">
        <v>61</v>
      </c>
      <c r="V89" s="8"/>
      <c r="W89" s="8" t="s">
        <v>241</v>
      </c>
    </row>
    <row r="90" spans="1:23" x14ac:dyDescent="0.25">
      <c r="A90" s="134" t="str">
        <f t="shared" si="2"/>
        <v>FEBRERO</v>
      </c>
      <c r="B90" s="135">
        <v>46062</v>
      </c>
      <c r="C90" s="136" t="s">
        <v>369</v>
      </c>
      <c r="D90" s="136"/>
      <c r="E90" s="55">
        <v>54.31</v>
      </c>
      <c r="F90" s="55">
        <v>0</v>
      </c>
      <c r="G90" s="137">
        <f>Tabla3[[#This Row],[EGRESOS]]-Tabla3[[#This Row],[INGRESOS]]</f>
        <v>54.31</v>
      </c>
      <c r="H90" s="143"/>
      <c r="I90" s="138">
        <v>1450</v>
      </c>
      <c r="J90" s="139">
        <f>Tabla3[[#This Row],[EGRESOS]]/Tabla3[[#This Row],[TC]]</f>
        <v>3.7455172413793106E-2</v>
      </c>
      <c r="K90" s="139">
        <f>Tabla3[[#This Row],[INGRESOS]]/Tabla3[[#This Row],[TC]]</f>
        <v>0</v>
      </c>
      <c r="L90" s="8" t="s">
        <v>94</v>
      </c>
      <c r="M90" s="8" t="s">
        <v>95</v>
      </c>
      <c r="N90" s="8" t="s">
        <v>262</v>
      </c>
      <c r="O90" s="8" t="s">
        <v>17</v>
      </c>
      <c r="P90" s="8" t="s">
        <v>22</v>
      </c>
      <c r="Q90" s="8" t="s">
        <v>23</v>
      </c>
      <c r="R90" s="8" t="s">
        <v>96</v>
      </c>
      <c r="S90" s="8"/>
      <c r="T90" s="8"/>
      <c r="U90" s="8" t="s">
        <v>61</v>
      </c>
      <c r="V90" s="8"/>
      <c r="W90" s="8" t="s">
        <v>241</v>
      </c>
    </row>
    <row r="91" spans="1:23" x14ac:dyDescent="0.25">
      <c r="A91" s="134" t="str">
        <f t="shared" si="2"/>
        <v>FEBRERO</v>
      </c>
      <c r="B91" s="135">
        <v>46062</v>
      </c>
      <c r="C91" s="136" t="s">
        <v>397</v>
      </c>
      <c r="D91" s="136"/>
      <c r="E91" s="55">
        <v>19500000</v>
      </c>
      <c r="F91" s="55">
        <v>0</v>
      </c>
      <c r="G91" s="137">
        <f>Tabla3[[#This Row],[EGRESOS]]-Tabla3[[#This Row],[INGRESOS]]</f>
        <v>19500000</v>
      </c>
      <c r="H91" s="143"/>
      <c r="I91" s="138">
        <v>1450</v>
      </c>
      <c r="J91" s="139">
        <f>Tabla3[[#This Row],[EGRESOS]]/Tabla3[[#This Row],[TC]]</f>
        <v>13448.275862068966</v>
      </c>
      <c r="K91" s="139">
        <f>Tabla3[[#This Row],[INGRESOS]]/Tabla3[[#This Row],[TC]]</f>
        <v>0</v>
      </c>
      <c r="L91" s="8" t="s">
        <v>94</v>
      </c>
      <c r="M91" s="8" t="s">
        <v>95</v>
      </c>
      <c r="N91" s="8" t="s">
        <v>262</v>
      </c>
      <c r="O91" s="8" t="s">
        <v>251</v>
      </c>
      <c r="P91" s="8" t="s">
        <v>250</v>
      </c>
      <c r="Q91" s="8" t="s">
        <v>252</v>
      </c>
      <c r="R91" s="8" t="s">
        <v>278</v>
      </c>
      <c r="S91" s="8"/>
      <c r="T91" s="8"/>
      <c r="U91" s="8" t="s">
        <v>253</v>
      </c>
      <c r="V91" s="8"/>
      <c r="W91" s="8" t="s">
        <v>254</v>
      </c>
    </row>
    <row r="92" spans="1:23" x14ac:dyDescent="0.25">
      <c r="A92" s="134" t="str">
        <f t="shared" si="2"/>
        <v>FEBRERO</v>
      </c>
      <c r="B92" s="135">
        <v>46062</v>
      </c>
      <c r="C92" s="136" t="s">
        <v>396</v>
      </c>
      <c r="D92" s="136"/>
      <c r="E92" s="55">
        <v>7300</v>
      </c>
      <c r="F92" s="55">
        <v>0</v>
      </c>
      <c r="G92" s="137">
        <f>Tabla3[[#This Row],[EGRESOS]]-Tabla3[[#This Row],[INGRESOS]]</f>
        <v>7300</v>
      </c>
      <c r="H92" s="143"/>
      <c r="I92" s="138">
        <v>1450</v>
      </c>
      <c r="J92" s="139">
        <f>Tabla3[[#This Row],[EGRESOS]]/Tabla3[[#This Row],[TC]]</f>
        <v>5.0344827586206895</v>
      </c>
      <c r="K92" s="139">
        <f>Tabla3[[#This Row],[INGRESOS]]/Tabla3[[#This Row],[TC]]</f>
        <v>0</v>
      </c>
      <c r="L92" s="8" t="s">
        <v>94</v>
      </c>
      <c r="M92" s="8" t="s">
        <v>95</v>
      </c>
      <c r="N92" s="8" t="s">
        <v>262</v>
      </c>
      <c r="O92" s="8" t="s">
        <v>17</v>
      </c>
      <c r="P92" s="8" t="s">
        <v>22</v>
      </c>
      <c r="Q92" s="8" t="s">
        <v>19</v>
      </c>
      <c r="R92" s="8"/>
      <c r="S92" s="8"/>
      <c r="T92" s="8"/>
      <c r="U92" s="8" t="s">
        <v>61</v>
      </c>
      <c r="V92" s="8"/>
      <c r="W92" s="8" t="s">
        <v>241</v>
      </c>
    </row>
    <row r="93" spans="1:23" x14ac:dyDescent="0.25">
      <c r="A93" s="134" t="str">
        <f t="shared" si="2"/>
        <v>FEBRERO</v>
      </c>
      <c r="B93" s="135">
        <v>46062</v>
      </c>
      <c r="C93" s="136" t="s">
        <v>49</v>
      </c>
      <c r="D93" s="136"/>
      <c r="E93" s="55">
        <v>1533</v>
      </c>
      <c r="F93" s="55">
        <v>0</v>
      </c>
      <c r="G93" s="137">
        <f>Tabla3[[#This Row],[EGRESOS]]-Tabla3[[#This Row],[INGRESOS]]</f>
        <v>1533</v>
      </c>
      <c r="H93" s="143"/>
      <c r="I93" s="138">
        <v>1450</v>
      </c>
      <c r="J93" s="139">
        <f>Tabla3[[#This Row],[EGRESOS]]/Tabla3[[#This Row],[TC]]</f>
        <v>1.0572413793103448</v>
      </c>
      <c r="K93" s="139">
        <f>Tabla3[[#This Row],[INGRESOS]]/Tabla3[[#This Row],[TC]]</f>
        <v>0</v>
      </c>
      <c r="L93" s="8" t="s">
        <v>94</v>
      </c>
      <c r="M93" s="8" t="s">
        <v>95</v>
      </c>
      <c r="N93" s="8" t="s">
        <v>262</v>
      </c>
      <c r="O93" s="8" t="s">
        <v>17</v>
      </c>
      <c r="P93" s="8" t="s">
        <v>22</v>
      </c>
      <c r="Q93" s="8" t="s">
        <v>23</v>
      </c>
      <c r="R93" s="8" t="s">
        <v>96</v>
      </c>
      <c r="S93" s="8"/>
      <c r="T93" s="8"/>
      <c r="U93" s="8" t="s">
        <v>61</v>
      </c>
      <c r="V93" s="8"/>
      <c r="W93" s="8" t="s">
        <v>241</v>
      </c>
    </row>
    <row r="94" spans="1:23" x14ac:dyDescent="0.25">
      <c r="A94" s="134" t="str">
        <f t="shared" si="2"/>
        <v>FEBRERO</v>
      </c>
      <c r="B94" s="135">
        <v>46062</v>
      </c>
      <c r="C94" s="136" t="s">
        <v>103</v>
      </c>
      <c r="D94" s="136"/>
      <c r="E94" s="55">
        <v>219</v>
      </c>
      <c r="F94" s="55">
        <v>0</v>
      </c>
      <c r="G94" s="137">
        <f>Tabla3[[#This Row],[EGRESOS]]-Tabla3[[#This Row],[INGRESOS]]</f>
        <v>219</v>
      </c>
      <c r="H94" s="143">
        <v>-19994585.27</v>
      </c>
      <c r="I94" s="138">
        <v>1450</v>
      </c>
      <c r="J94" s="139">
        <f>Tabla3[[#This Row],[EGRESOS]]/Tabla3[[#This Row],[TC]]</f>
        <v>0.15103448275862069</v>
      </c>
      <c r="K94" s="139">
        <f>Tabla3[[#This Row],[INGRESOS]]/Tabla3[[#This Row],[TC]]</f>
        <v>0</v>
      </c>
      <c r="L94" s="8" t="s">
        <v>94</v>
      </c>
      <c r="M94" s="8" t="s">
        <v>95</v>
      </c>
      <c r="N94" s="8" t="s">
        <v>262</v>
      </c>
      <c r="O94" s="8" t="s">
        <v>17</v>
      </c>
      <c r="P94" s="8" t="s">
        <v>22</v>
      </c>
      <c r="Q94" s="8" t="s">
        <v>23</v>
      </c>
      <c r="R94" s="8" t="s">
        <v>210</v>
      </c>
      <c r="S94" s="8"/>
      <c r="T94" s="8"/>
      <c r="U94" s="8" t="s">
        <v>61</v>
      </c>
      <c r="V94" s="8"/>
      <c r="W94" s="8" t="s">
        <v>241</v>
      </c>
    </row>
    <row r="95" spans="1:23" x14ac:dyDescent="0.25">
      <c r="A95" s="134" t="str">
        <f t="shared" si="2"/>
        <v>FEBRERO</v>
      </c>
      <c r="B95" s="135">
        <v>46071</v>
      </c>
      <c r="C95" s="136" t="s">
        <v>440</v>
      </c>
      <c r="D95" s="136"/>
      <c r="E95" s="55">
        <v>0</v>
      </c>
      <c r="F95" s="55">
        <v>29496000</v>
      </c>
      <c r="G95" s="137">
        <f>Tabla3[[#This Row],[EGRESOS]]-Tabla3[[#This Row],[INGRESOS]]</f>
        <v>-29496000</v>
      </c>
      <c r="H95" s="19"/>
      <c r="I95" s="138">
        <v>1450</v>
      </c>
      <c r="J95" s="139">
        <f>Tabla3[[#This Row],[EGRESOS]]/Tabla3[[#This Row],[TC]]</f>
        <v>0</v>
      </c>
      <c r="K95" s="139">
        <f>Tabla3[[#This Row],[INGRESOS]]/Tabla3[[#This Row],[TC]]</f>
        <v>20342.068965517243</v>
      </c>
      <c r="L95" s="8" t="s">
        <v>94</v>
      </c>
      <c r="M95" s="8" t="s">
        <v>95</v>
      </c>
      <c r="N95" s="8" t="s">
        <v>262</v>
      </c>
      <c r="O95" s="8" t="s">
        <v>251</v>
      </c>
      <c r="P95" s="8" t="s">
        <v>386</v>
      </c>
      <c r="Q95" s="8" t="s">
        <v>441</v>
      </c>
      <c r="R95" s="8" t="s">
        <v>262</v>
      </c>
      <c r="S95" s="8" t="s">
        <v>262</v>
      </c>
      <c r="T95" s="8"/>
      <c r="U95" s="8" t="s">
        <v>465</v>
      </c>
      <c r="V95" s="8"/>
      <c r="W95" s="8" t="s">
        <v>241</v>
      </c>
    </row>
    <row r="96" spans="1:23" x14ac:dyDescent="0.25">
      <c r="A96" s="134" t="str">
        <f t="shared" si="2"/>
        <v>FEBRERO</v>
      </c>
      <c r="B96" s="135">
        <v>46072</v>
      </c>
      <c r="C96" s="136" t="s">
        <v>369</v>
      </c>
      <c r="D96" s="136"/>
      <c r="E96" s="55">
        <v>7073.91</v>
      </c>
      <c r="F96" s="55">
        <v>0</v>
      </c>
      <c r="G96" s="137">
        <f>Tabla3[[#This Row],[EGRESOS]]-Tabla3[[#This Row],[INGRESOS]]</f>
        <v>7073.91</v>
      </c>
      <c r="H96" s="143"/>
      <c r="I96" s="138">
        <v>1450</v>
      </c>
      <c r="J96" s="139">
        <f>Tabla3[[#This Row],[EGRESOS]]/Tabla3[[#This Row],[TC]]</f>
        <v>4.8785586206896552</v>
      </c>
      <c r="K96" s="139">
        <f>Tabla3[[#This Row],[INGRESOS]]/Tabla3[[#This Row],[TC]]</f>
        <v>0</v>
      </c>
      <c r="L96" s="8" t="s">
        <v>94</v>
      </c>
      <c r="M96" s="8" t="s">
        <v>95</v>
      </c>
      <c r="N96" s="8" t="s">
        <v>262</v>
      </c>
      <c r="O96" s="8" t="s">
        <v>17</v>
      </c>
      <c r="P96" s="8" t="s">
        <v>22</v>
      </c>
      <c r="Q96" s="8" t="s">
        <v>23</v>
      </c>
      <c r="R96" s="8" t="s">
        <v>96</v>
      </c>
      <c r="S96" s="8"/>
      <c r="T96" s="8"/>
      <c r="U96" s="8" t="s">
        <v>61</v>
      </c>
      <c r="V96" s="8"/>
      <c r="W96" s="8" t="s">
        <v>241</v>
      </c>
    </row>
    <row r="97" spans="1:23" x14ac:dyDescent="0.25">
      <c r="A97" s="125" t="str">
        <f t="shared" si="2"/>
        <v>FEBRERO</v>
      </c>
      <c r="B97" s="126">
        <v>46072</v>
      </c>
      <c r="C97" s="127" t="s">
        <v>397</v>
      </c>
      <c r="D97" s="127"/>
      <c r="E97" s="128">
        <v>2000000</v>
      </c>
      <c r="F97" s="128">
        <v>0</v>
      </c>
      <c r="G97" s="129">
        <f>Tabla3[[#This Row],[EGRESOS]]-Tabla3[[#This Row],[INGRESOS]]</f>
        <v>2000000</v>
      </c>
      <c r="H97" s="140"/>
      <c r="I97" s="131">
        <v>1450</v>
      </c>
      <c r="J97" s="132">
        <f>Tabla3[[#This Row],[EGRESOS]]/Tabla3[[#This Row],[TC]]</f>
        <v>1379.3103448275863</v>
      </c>
      <c r="K97" s="132">
        <f>Tabla3[[#This Row],[INGRESOS]]/Tabla3[[#This Row],[TC]]</f>
        <v>0</v>
      </c>
      <c r="L97" s="133" t="s">
        <v>94</v>
      </c>
      <c r="M97" s="133" t="s">
        <v>95</v>
      </c>
      <c r="N97" s="133" t="s">
        <v>262</v>
      </c>
      <c r="O97" s="133" t="s">
        <v>251</v>
      </c>
      <c r="P97" s="133" t="s">
        <v>250</v>
      </c>
      <c r="Q97" s="133" t="s">
        <v>252</v>
      </c>
      <c r="R97" s="133" t="s">
        <v>277</v>
      </c>
      <c r="S97" s="133"/>
      <c r="T97" s="133"/>
      <c r="U97" s="133" t="s">
        <v>253</v>
      </c>
      <c r="V97" s="133"/>
      <c r="W97" s="133" t="s">
        <v>241</v>
      </c>
    </row>
    <row r="98" spans="1:23" x14ac:dyDescent="0.25">
      <c r="A98" s="125" t="str">
        <f t="shared" si="2"/>
        <v>FEBRERO</v>
      </c>
      <c r="B98" s="126">
        <v>46072</v>
      </c>
      <c r="C98" s="127" t="s">
        <v>439</v>
      </c>
      <c r="D98" s="127"/>
      <c r="E98" s="128">
        <v>1178985</v>
      </c>
      <c r="F98" s="128">
        <v>0</v>
      </c>
      <c r="G98" s="129">
        <f>Tabla3[[#This Row],[EGRESOS]]-Tabla3[[#This Row],[INGRESOS]]</f>
        <v>1178985</v>
      </c>
      <c r="H98" s="140">
        <v>6315355.8200000003</v>
      </c>
      <c r="I98" s="131">
        <v>1450</v>
      </c>
      <c r="J98" s="132">
        <f>Tabla3[[#This Row],[EGRESOS]]/Tabla3[[#This Row],[TC]]</f>
        <v>813.09310344827588</v>
      </c>
      <c r="K98" s="132">
        <f>Tabla3[[#This Row],[INGRESOS]]/Tabla3[[#This Row],[TC]]</f>
        <v>0</v>
      </c>
      <c r="L98" s="133" t="s">
        <v>94</v>
      </c>
      <c r="M98" s="133" t="s">
        <v>95</v>
      </c>
      <c r="N98" s="133" t="s">
        <v>262</v>
      </c>
      <c r="O98" s="133" t="s">
        <v>17</v>
      </c>
      <c r="P98" s="133" t="s">
        <v>31</v>
      </c>
      <c r="Q98" s="133" t="s">
        <v>239</v>
      </c>
      <c r="R98" s="133"/>
      <c r="S98" s="133" t="s">
        <v>240</v>
      </c>
      <c r="T98" s="133"/>
      <c r="U98" s="133" t="s">
        <v>467</v>
      </c>
      <c r="V98" s="133"/>
      <c r="W98" s="133" t="s">
        <v>241</v>
      </c>
    </row>
    <row r="99" spans="1:23" x14ac:dyDescent="0.25">
      <c r="A99" s="125" t="str">
        <f t="shared" si="2"/>
        <v>FEBRERO</v>
      </c>
      <c r="B99" s="126">
        <v>46073</v>
      </c>
      <c r="C99" s="127" t="s">
        <v>369</v>
      </c>
      <c r="D99" s="127"/>
      <c r="E99" s="128">
        <v>19338</v>
      </c>
      <c r="F99" s="128">
        <v>0</v>
      </c>
      <c r="G99" s="129">
        <f>Tabla3[[#This Row],[EGRESOS]]-Tabla3[[#This Row],[INGRESOS]]</f>
        <v>19338</v>
      </c>
      <c r="H99" s="140"/>
      <c r="I99" s="131">
        <v>1450</v>
      </c>
      <c r="J99" s="132">
        <f>Tabla3[[#This Row],[EGRESOS]]/Tabla3[[#This Row],[TC]]</f>
        <v>13.336551724137932</v>
      </c>
      <c r="K99" s="132">
        <f>Tabla3[[#This Row],[INGRESOS]]/Tabla3[[#This Row],[TC]]</f>
        <v>0</v>
      </c>
      <c r="L99" s="133" t="s">
        <v>94</v>
      </c>
      <c r="M99" s="133" t="s">
        <v>95</v>
      </c>
      <c r="N99" s="133" t="s">
        <v>262</v>
      </c>
      <c r="O99" s="133" t="s">
        <v>17</v>
      </c>
      <c r="P99" s="133" t="s">
        <v>22</v>
      </c>
      <c r="Q99" s="133" t="s">
        <v>23</v>
      </c>
      <c r="R99" s="133" t="s">
        <v>96</v>
      </c>
      <c r="S99" s="133"/>
      <c r="T99" s="133"/>
      <c r="U99" s="133" t="s">
        <v>61</v>
      </c>
      <c r="V99" s="133"/>
      <c r="W99" s="133" t="s">
        <v>241</v>
      </c>
    </row>
    <row r="100" spans="1:23" x14ac:dyDescent="0.25">
      <c r="A100" s="125" t="str">
        <f t="shared" si="2"/>
        <v>FEBRERO</v>
      </c>
      <c r="B100" s="126">
        <v>46073</v>
      </c>
      <c r="C100" s="127" t="s">
        <v>448</v>
      </c>
      <c r="D100" s="127"/>
      <c r="E100" s="128">
        <v>1510000</v>
      </c>
      <c r="F100" s="128">
        <v>0</v>
      </c>
      <c r="G100" s="129">
        <f>Tabla3[[#This Row],[EGRESOS]]-Tabla3[[#This Row],[INGRESOS]]</f>
        <v>1510000</v>
      </c>
      <c r="H100" s="140"/>
      <c r="I100" s="131">
        <v>1450</v>
      </c>
      <c r="J100" s="132">
        <f>Tabla3[[#This Row],[EGRESOS]]/Tabla3[[#This Row],[TC]]</f>
        <v>1041.3793103448277</v>
      </c>
      <c r="K100" s="132">
        <f>Tabla3[[#This Row],[INGRESOS]]/Tabla3[[#This Row],[TC]]</f>
        <v>0</v>
      </c>
      <c r="L100" s="133" t="s">
        <v>94</v>
      </c>
      <c r="M100" s="133" t="s">
        <v>95</v>
      </c>
      <c r="N100" s="133" t="s">
        <v>262</v>
      </c>
      <c r="O100" s="133" t="s">
        <v>17</v>
      </c>
      <c r="P100" s="133" t="s">
        <v>28</v>
      </c>
      <c r="Q100" s="133" t="s">
        <v>239</v>
      </c>
      <c r="R100" s="133"/>
      <c r="S100" s="133" t="s">
        <v>281</v>
      </c>
      <c r="T100" s="133"/>
      <c r="U100" s="133" t="s">
        <v>313</v>
      </c>
      <c r="V100" s="133" t="s">
        <v>98</v>
      </c>
      <c r="W100" s="133" t="s">
        <v>241</v>
      </c>
    </row>
    <row r="101" spans="1:23" x14ac:dyDescent="0.25">
      <c r="A101" s="125" t="str">
        <f t="shared" si="2"/>
        <v>FEBRERO</v>
      </c>
      <c r="B101" s="126">
        <v>46073</v>
      </c>
      <c r="C101" s="127" t="s">
        <v>439</v>
      </c>
      <c r="D101" s="127"/>
      <c r="E101" s="128">
        <v>1713000</v>
      </c>
      <c r="F101" s="128">
        <v>0</v>
      </c>
      <c r="G101" s="129">
        <f>Tabla3[[#This Row],[EGRESOS]]-Tabla3[[#This Row],[INGRESOS]]</f>
        <v>1713000</v>
      </c>
      <c r="H101" s="140"/>
      <c r="I101" s="131">
        <v>1450</v>
      </c>
      <c r="J101" s="132">
        <f>Tabla3[[#This Row],[EGRESOS]]/Tabla3[[#This Row],[TC]]</f>
        <v>1181.3793103448277</v>
      </c>
      <c r="K101" s="132">
        <f>Tabla3[[#This Row],[INGRESOS]]/Tabla3[[#This Row],[TC]]</f>
        <v>0</v>
      </c>
      <c r="L101" s="133" t="s">
        <v>94</v>
      </c>
      <c r="M101" s="133" t="s">
        <v>95</v>
      </c>
      <c r="N101" s="133" t="s">
        <v>262</v>
      </c>
      <c r="O101" s="133" t="s">
        <v>17</v>
      </c>
      <c r="P101" s="133" t="s">
        <v>28</v>
      </c>
      <c r="Q101" s="133" t="s">
        <v>461</v>
      </c>
      <c r="R101" s="133"/>
      <c r="S101" s="133" t="s">
        <v>449</v>
      </c>
      <c r="T101" s="133"/>
      <c r="U101" s="133" t="s">
        <v>266</v>
      </c>
      <c r="V101" s="133" t="s">
        <v>102</v>
      </c>
      <c r="W101" s="133" t="s">
        <v>241</v>
      </c>
    </row>
    <row r="102" spans="1:23" x14ac:dyDescent="0.25">
      <c r="A102" s="125" t="str">
        <f t="shared" si="2"/>
        <v>FEBRERO</v>
      </c>
      <c r="B102" s="126">
        <v>46076</v>
      </c>
      <c r="C102" s="127" t="s">
        <v>369</v>
      </c>
      <c r="D102" s="127"/>
      <c r="E102" s="128">
        <v>39000</v>
      </c>
      <c r="F102" s="128">
        <v>0</v>
      </c>
      <c r="G102" s="129">
        <f>Tabla3[[#This Row],[EGRESOS]]-Tabla3[[#This Row],[INGRESOS]]</f>
        <v>39000</v>
      </c>
      <c r="H102" s="140"/>
      <c r="I102" s="131">
        <v>1450</v>
      </c>
      <c r="J102" s="132">
        <f>Tabla3[[#This Row],[EGRESOS]]/Tabla3[[#This Row],[TC]]</f>
        <v>26.896551724137932</v>
      </c>
      <c r="K102" s="132">
        <f>Tabla3[[#This Row],[INGRESOS]]/Tabla3[[#This Row],[TC]]</f>
        <v>0</v>
      </c>
      <c r="L102" s="133" t="s">
        <v>94</v>
      </c>
      <c r="M102" s="133" t="s">
        <v>95</v>
      </c>
      <c r="N102" s="133" t="s">
        <v>262</v>
      </c>
      <c r="O102" s="133" t="s">
        <v>17</v>
      </c>
      <c r="P102" s="133" t="s">
        <v>22</v>
      </c>
      <c r="Q102" s="133" t="s">
        <v>23</v>
      </c>
      <c r="R102" s="133" t="s">
        <v>96</v>
      </c>
      <c r="S102" s="133"/>
      <c r="T102" s="133"/>
      <c r="U102" s="133" t="s">
        <v>61</v>
      </c>
      <c r="V102" s="133"/>
      <c r="W102" s="133" t="s">
        <v>241</v>
      </c>
    </row>
    <row r="103" spans="1:23" x14ac:dyDescent="0.25">
      <c r="A103" s="125" t="str">
        <f t="shared" si="2"/>
        <v>FEBRERO</v>
      </c>
      <c r="B103" s="126">
        <v>46076</v>
      </c>
      <c r="C103" s="127" t="s">
        <v>397</v>
      </c>
      <c r="D103" s="127"/>
      <c r="E103" s="128">
        <v>1000000</v>
      </c>
      <c r="F103" s="128">
        <v>0</v>
      </c>
      <c r="G103" s="129">
        <f>Tabla3[[#This Row],[EGRESOS]]-Tabla3[[#This Row],[INGRESOS]]</f>
        <v>1000000</v>
      </c>
      <c r="H103" s="140"/>
      <c r="I103" s="131">
        <v>1450</v>
      </c>
      <c r="J103" s="132">
        <f>Tabla3[[#This Row],[EGRESOS]]/Tabla3[[#This Row],[TC]]</f>
        <v>689.65517241379314</v>
      </c>
      <c r="K103" s="132">
        <f>Tabla3[[#This Row],[INGRESOS]]/Tabla3[[#This Row],[TC]]</f>
        <v>0</v>
      </c>
      <c r="L103" s="133" t="s">
        <v>94</v>
      </c>
      <c r="M103" s="133" t="s">
        <v>95</v>
      </c>
      <c r="N103" s="133" t="s">
        <v>262</v>
      </c>
      <c r="O103" s="133" t="s">
        <v>251</v>
      </c>
      <c r="P103" s="133" t="s">
        <v>250</v>
      </c>
      <c r="Q103" s="133" t="s">
        <v>252</v>
      </c>
      <c r="R103" s="133"/>
      <c r="S103" s="133"/>
      <c r="T103" s="133"/>
      <c r="U103" s="133" t="s">
        <v>253</v>
      </c>
      <c r="V103" s="133"/>
      <c r="W103" s="133" t="s">
        <v>241</v>
      </c>
    </row>
    <row r="104" spans="1:23" x14ac:dyDescent="0.25">
      <c r="A104" s="125" t="str">
        <f t="shared" si="2"/>
        <v>FEBRERO</v>
      </c>
      <c r="B104" s="126">
        <v>46076</v>
      </c>
      <c r="C104" s="127" t="s">
        <v>460</v>
      </c>
      <c r="D104" s="127"/>
      <c r="E104" s="128">
        <v>1500000</v>
      </c>
      <c r="F104" s="128">
        <v>0</v>
      </c>
      <c r="G104" s="129">
        <f>Tabla3[[#This Row],[EGRESOS]]-Tabla3[[#This Row],[INGRESOS]]</f>
        <v>1500000</v>
      </c>
      <c r="H104" s="104"/>
      <c r="I104" s="131">
        <v>1450</v>
      </c>
      <c r="J104" s="132">
        <f>Tabla3[[#This Row],[EGRESOS]]/Tabla3[[#This Row],[TC]]</f>
        <v>1034.4827586206898</v>
      </c>
      <c r="K104" s="132">
        <f>Tabla3[[#This Row],[INGRESOS]]/Tabla3[[#This Row],[TC]]</f>
        <v>0</v>
      </c>
      <c r="L104" s="133" t="s">
        <v>94</v>
      </c>
      <c r="M104" s="133" t="s">
        <v>95</v>
      </c>
      <c r="N104" s="133" t="s">
        <v>262</v>
      </c>
      <c r="O104" s="133" t="s">
        <v>17</v>
      </c>
      <c r="P104" s="133" t="s">
        <v>28</v>
      </c>
      <c r="Q104" s="133" t="s">
        <v>461</v>
      </c>
      <c r="R104" s="133"/>
      <c r="S104" s="133" t="s">
        <v>449</v>
      </c>
      <c r="T104" s="133"/>
      <c r="U104" s="133" t="s">
        <v>266</v>
      </c>
      <c r="V104" s="133"/>
      <c r="W104" s="133" t="s">
        <v>241</v>
      </c>
    </row>
    <row r="105" spans="1:23" x14ac:dyDescent="0.25">
      <c r="A105" s="125" t="str">
        <f t="shared" si="2"/>
        <v>FEBRERO</v>
      </c>
      <c r="B105" s="126">
        <v>46076</v>
      </c>
      <c r="C105" s="127" t="s">
        <v>460</v>
      </c>
      <c r="D105" s="127"/>
      <c r="E105" s="128">
        <v>5000000</v>
      </c>
      <c r="F105" s="128">
        <v>0</v>
      </c>
      <c r="G105" s="129">
        <f>Tabla3[[#This Row],[EGRESOS]]-Tabla3[[#This Row],[INGRESOS]]</f>
        <v>5000000</v>
      </c>
      <c r="H105" s="140">
        <v>-4465982.18</v>
      </c>
      <c r="I105" s="131">
        <v>1450</v>
      </c>
      <c r="J105" s="132">
        <f>Tabla3[[#This Row],[EGRESOS]]/Tabla3[[#This Row],[TC]]</f>
        <v>3448.2758620689656</v>
      </c>
      <c r="K105" s="132">
        <f>Tabla3[[#This Row],[INGRESOS]]/Tabla3[[#This Row],[TC]]</f>
        <v>0</v>
      </c>
      <c r="L105" s="133" t="s">
        <v>94</v>
      </c>
      <c r="M105" s="133" t="s">
        <v>95</v>
      </c>
      <c r="N105" s="133" t="s">
        <v>262</v>
      </c>
      <c r="O105" s="133" t="s">
        <v>17</v>
      </c>
      <c r="P105" s="133" t="s">
        <v>28</v>
      </c>
      <c r="Q105" s="133" t="s">
        <v>462</v>
      </c>
      <c r="R105" s="133"/>
      <c r="S105" s="133" t="s">
        <v>449</v>
      </c>
      <c r="T105" s="133"/>
      <c r="U105" s="133" t="s">
        <v>266</v>
      </c>
      <c r="V105" s="133"/>
      <c r="W105" s="133" t="s">
        <v>241</v>
      </c>
    </row>
    <row r="106" spans="1:23" x14ac:dyDescent="0.25">
      <c r="A106" s="125" t="str">
        <f t="shared" si="2"/>
        <v>FEBRERO</v>
      </c>
      <c r="B106" s="126">
        <v>46077</v>
      </c>
      <c r="C106" s="127" t="s">
        <v>369</v>
      </c>
      <c r="D106" s="127"/>
      <c r="E106" s="128">
        <v>12000</v>
      </c>
      <c r="F106" s="128">
        <v>0</v>
      </c>
      <c r="G106" s="129">
        <f>Tabla3[[#This Row],[EGRESOS]]-Tabla3[[#This Row],[INGRESOS]]</f>
        <v>12000</v>
      </c>
      <c r="H106" s="140"/>
      <c r="I106" s="131">
        <v>1450</v>
      </c>
      <c r="J106" s="132">
        <f>Tabla3[[#This Row],[EGRESOS]]/Tabla3[[#This Row],[TC]]</f>
        <v>8.2758620689655178</v>
      </c>
      <c r="K106" s="132">
        <f>Tabla3[[#This Row],[INGRESOS]]/Tabla3[[#This Row],[TC]]</f>
        <v>0</v>
      </c>
      <c r="L106" s="133" t="s">
        <v>94</v>
      </c>
      <c r="M106" s="133" t="s">
        <v>95</v>
      </c>
      <c r="N106" s="133" t="s">
        <v>262</v>
      </c>
      <c r="O106" s="133" t="s">
        <v>17</v>
      </c>
      <c r="P106" s="133" t="s">
        <v>22</v>
      </c>
      <c r="Q106" s="133" t="s">
        <v>23</v>
      </c>
      <c r="R106" s="133" t="s">
        <v>96</v>
      </c>
      <c r="S106" s="133"/>
      <c r="T106" s="133"/>
      <c r="U106" s="133" t="s">
        <v>61</v>
      </c>
      <c r="V106" s="133"/>
      <c r="W106" s="133" t="s">
        <v>241</v>
      </c>
    </row>
    <row r="107" spans="1:23" x14ac:dyDescent="0.25">
      <c r="A107" s="125" t="str">
        <f t="shared" si="2"/>
        <v>FEBRERO</v>
      </c>
      <c r="B107" s="126">
        <v>46077</v>
      </c>
      <c r="C107" s="127" t="s">
        <v>397</v>
      </c>
      <c r="D107" s="127"/>
      <c r="E107" s="128">
        <v>2000000</v>
      </c>
      <c r="F107" s="128">
        <v>0</v>
      </c>
      <c r="G107" s="129">
        <f>Tabla3[[#This Row],[EGRESOS]]-Tabla3[[#This Row],[INGRESOS]]</f>
        <v>2000000</v>
      </c>
      <c r="H107" s="140"/>
      <c r="I107" s="131">
        <v>1450</v>
      </c>
      <c r="J107" s="132">
        <f>Tabla3[[#This Row],[EGRESOS]]/Tabla3[[#This Row],[TC]]</f>
        <v>1379.3103448275863</v>
      </c>
      <c r="K107" s="132">
        <f>Tabla3[[#This Row],[INGRESOS]]/Tabla3[[#This Row],[TC]]</f>
        <v>0</v>
      </c>
      <c r="L107" s="133" t="s">
        <v>94</v>
      </c>
      <c r="M107" s="133" t="s">
        <v>95</v>
      </c>
      <c r="N107" s="133" t="s">
        <v>262</v>
      </c>
      <c r="O107" s="133" t="s">
        <v>251</v>
      </c>
      <c r="P107" s="133" t="s">
        <v>250</v>
      </c>
      <c r="Q107" s="133" t="s">
        <v>252</v>
      </c>
      <c r="R107" s="133" t="s">
        <v>277</v>
      </c>
      <c r="S107" s="133"/>
      <c r="T107" s="133"/>
      <c r="U107" s="133" t="s">
        <v>253</v>
      </c>
      <c r="V107" s="133"/>
      <c r="W107" s="133" t="s">
        <v>241</v>
      </c>
    </row>
    <row r="108" spans="1:23" x14ac:dyDescent="0.25">
      <c r="A108" s="125" t="str">
        <f t="shared" si="2"/>
        <v>FEBRERO</v>
      </c>
      <c r="B108" s="126">
        <v>46077</v>
      </c>
      <c r="C108" s="127" t="s">
        <v>464</v>
      </c>
      <c r="D108" s="127"/>
      <c r="E108" s="128">
        <v>1000000</v>
      </c>
      <c r="F108" s="128">
        <v>0</v>
      </c>
      <c r="G108" s="129">
        <f>Tabla3[[#This Row],[EGRESOS]]-Tabla3[[#This Row],[INGRESOS]]</f>
        <v>1000000</v>
      </c>
      <c r="H108" s="104"/>
      <c r="I108" s="131">
        <v>1450</v>
      </c>
      <c r="J108" s="132">
        <f>Tabla3[[#This Row],[EGRESOS]]/Tabla3[[#This Row],[TC]]</f>
        <v>689.65517241379314</v>
      </c>
      <c r="K108" s="132">
        <f>Tabla3[[#This Row],[INGRESOS]]/Tabla3[[#This Row],[TC]]</f>
        <v>0</v>
      </c>
      <c r="L108" s="133" t="s">
        <v>94</v>
      </c>
      <c r="M108" s="133" t="s">
        <v>95</v>
      </c>
      <c r="N108" s="133" t="s">
        <v>262</v>
      </c>
      <c r="O108" s="133" t="s">
        <v>17</v>
      </c>
      <c r="P108" s="133" t="s">
        <v>28</v>
      </c>
      <c r="Q108" s="133" t="s">
        <v>265</v>
      </c>
      <c r="R108" s="133"/>
      <c r="S108" s="133" t="s">
        <v>280</v>
      </c>
      <c r="T108" s="133"/>
      <c r="U108" s="133" t="s">
        <v>310</v>
      </c>
      <c r="V108" s="133" t="s">
        <v>108</v>
      </c>
      <c r="W108" s="133" t="s">
        <v>241</v>
      </c>
    </row>
    <row r="109" spans="1:23" x14ac:dyDescent="0.25">
      <c r="A109" s="125" t="str">
        <f t="shared" si="2"/>
        <v>FEBRERO</v>
      </c>
      <c r="B109" s="126">
        <v>46077</v>
      </c>
      <c r="C109" s="127" t="s">
        <v>448</v>
      </c>
      <c r="D109" s="127"/>
      <c r="E109" s="128">
        <v>1000000</v>
      </c>
      <c r="F109" s="128">
        <v>0</v>
      </c>
      <c r="G109" s="129">
        <f>Tabla3[[#This Row],[EGRESOS]]-Tabla3[[#This Row],[INGRESOS]]</f>
        <v>1000000</v>
      </c>
      <c r="H109" s="140">
        <v>-8477982.1799999997</v>
      </c>
      <c r="I109" s="131">
        <v>1450</v>
      </c>
      <c r="J109" s="132">
        <f>Tabla3[[#This Row],[EGRESOS]]/Tabla3[[#This Row],[TC]]</f>
        <v>689.65517241379314</v>
      </c>
      <c r="K109" s="132">
        <f>Tabla3[[#This Row],[INGRESOS]]/Tabla3[[#This Row],[TC]]</f>
        <v>0</v>
      </c>
      <c r="L109" s="133" t="s">
        <v>94</v>
      </c>
      <c r="M109" s="133" t="s">
        <v>95</v>
      </c>
      <c r="N109" s="133" t="s">
        <v>262</v>
      </c>
      <c r="O109" s="133" t="s">
        <v>17</v>
      </c>
      <c r="P109" s="133" t="s">
        <v>28</v>
      </c>
      <c r="Q109" s="133" t="s">
        <v>239</v>
      </c>
      <c r="R109" s="133"/>
      <c r="S109" s="133" t="s">
        <v>281</v>
      </c>
      <c r="T109" s="133"/>
      <c r="U109" s="133" t="s">
        <v>312</v>
      </c>
      <c r="V109" s="133" t="s">
        <v>98</v>
      </c>
      <c r="W109" s="133" t="s">
        <v>241</v>
      </c>
    </row>
    <row r="110" spans="1:23" x14ac:dyDescent="0.25">
      <c r="A110" s="52" t="str">
        <f t="shared" ref="A110:A180" si="3">"ENERO"</f>
        <v>ENERO</v>
      </c>
      <c r="B110" s="53">
        <v>46024</v>
      </c>
      <c r="C110" s="49" t="s">
        <v>209</v>
      </c>
      <c r="D110" s="49"/>
      <c r="E110" s="54">
        <v>55000</v>
      </c>
      <c r="F110" s="54">
        <v>0</v>
      </c>
      <c r="G110" s="62">
        <f>Tabla3[[#This Row],[EGRESOS]]-Tabla3[[#This Row],[INGRESOS]]</f>
        <v>55000</v>
      </c>
      <c r="H110" s="104">
        <v>-8743635.8100000005</v>
      </c>
      <c r="I110" s="16">
        <v>1450</v>
      </c>
      <c r="J110" s="14">
        <f>Tabla3[[#This Row],[EGRESOS]]/Tabla3[[#This Row],[TC]]</f>
        <v>37.931034482758619</v>
      </c>
      <c r="K110" s="14">
        <f>Tabla3[[#This Row],[INGRESOS]]/Tabla3[[#This Row],[TC]]</f>
        <v>0</v>
      </c>
      <c r="L110" s="7" t="s">
        <v>94</v>
      </c>
      <c r="M110" s="7" t="s">
        <v>95</v>
      </c>
      <c r="N110" s="7" t="s">
        <v>1</v>
      </c>
      <c r="O110" s="7" t="s">
        <v>17</v>
      </c>
      <c r="P110" s="7" t="s">
        <v>22</v>
      </c>
      <c r="Q110" s="7" t="s">
        <v>19</v>
      </c>
      <c r="R110" s="7"/>
      <c r="S110" s="7"/>
      <c r="T110" s="7"/>
      <c r="U110" s="7" t="s">
        <v>61</v>
      </c>
      <c r="V110" s="7"/>
      <c r="W110" s="7" t="s">
        <v>241</v>
      </c>
    </row>
    <row r="111" spans="1:23" x14ac:dyDescent="0.25">
      <c r="A111" s="52" t="str">
        <f t="shared" si="3"/>
        <v>ENERO</v>
      </c>
      <c r="B111" s="53">
        <v>46024</v>
      </c>
      <c r="C111" s="49" t="s">
        <v>49</v>
      </c>
      <c r="D111" s="49"/>
      <c r="E111" s="54">
        <v>11550</v>
      </c>
      <c r="F111" s="54">
        <v>0</v>
      </c>
      <c r="G111" s="62">
        <f>Tabla3[[#This Row],[EGRESOS]]-Tabla3[[#This Row],[INGRESOS]]</f>
        <v>11550</v>
      </c>
      <c r="H111" s="104">
        <v>-8755185.8100000005</v>
      </c>
      <c r="I111" s="16">
        <v>1450</v>
      </c>
      <c r="J111" s="14">
        <f>Tabla3[[#This Row],[EGRESOS]]/Tabla3[[#This Row],[TC]]</f>
        <v>7.9655172413793105</v>
      </c>
      <c r="K111" s="14">
        <f>Tabla3[[#This Row],[INGRESOS]]/Tabla3[[#This Row],[TC]]</f>
        <v>0</v>
      </c>
      <c r="L111" s="7" t="s">
        <v>94</v>
      </c>
      <c r="M111" s="7" t="s">
        <v>95</v>
      </c>
      <c r="N111" s="7" t="s">
        <v>1</v>
      </c>
      <c r="O111" s="7" t="s">
        <v>17</v>
      </c>
      <c r="P111" s="7" t="s">
        <v>22</v>
      </c>
      <c r="Q111" s="7" t="s">
        <v>23</v>
      </c>
      <c r="R111" s="7" t="s">
        <v>96</v>
      </c>
      <c r="S111" s="7"/>
      <c r="T111" s="7"/>
      <c r="U111" s="7" t="s">
        <v>61</v>
      </c>
      <c r="V111" s="7"/>
      <c r="W111" s="7" t="s">
        <v>241</v>
      </c>
    </row>
    <row r="112" spans="1:23" x14ac:dyDescent="0.25">
      <c r="A112" s="52" t="str">
        <f t="shared" si="3"/>
        <v>ENERO</v>
      </c>
      <c r="B112" s="53">
        <v>46024</v>
      </c>
      <c r="C112" s="49" t="s">
        <v>206</v>
      </c>
      <c r="D112" s="49"/>
      <c r="E112" s="54">
        <v>1650</v>
      </c>
      <c r="F112" s="54">
        <v>0</v>
      </c>
      <c r="G112" s="62">
        <f>Tabla3[[#This Row],[EGRESOS]]-Tabla3[[#This Row],[INGRESOS]]</f>
        <v>1650</v>
      </c>
      <c r="H112" s="104">
        <v>-8756835.8100000005</v>
      </c>
      <c r="I112" s="16">
        <v>1450</v>
      </c>
      <c r="J112" s="14">
        <f>Tabla3[[#This Row],[EGRESOS]]/Tabla3[[#This Row],[TC]]</f>
        <v>1.1379310344827587</v>
      </c>
      <c r="K112" s="14">
        <f>Tabla3[[#This Row],[INGRESOS]]/Tabla3[[#This Row],[TC]]</f>
        <v>0</v>
      </c>
      <c r="L112" s="7" t="s">
        <v>94</v>
      </c>
      <c r="M112" s="7" t="s">
        <v>95</v>
      </c>
      <c r="N112" s="7" t="s">
        <v>1</v>
      </c>
      <c r="O112" s="7" t="s">
        <v>17</v>
      </c>
      <c r="P112" s="7" t="s">
        <v>22</v>
      </c>
      <c r="Q112" s="7" t="s">
        <v>23</v>
      </c>
      <c r="R112" s="7" t="s">
        <v>210</v>
      </c>
      <c r="S112" s="7"/>
      <c r="T112" s="7"/>
      <c r="U112" s="7" t="s">
        <v>61</v>
      </c>
      <c r="V112" s="7"/>
      <c r="W112" s="7" t="s">
        <v>241</v>
      </c>
    </row>
    <row r="113" spans="1:23" x14ac:dyDescent="0.25">
      <c r="A113" s="52" t="str">
        <f t="shared" si="3"/>
        <v>ENERO</v>
      </c>
      <c r="B113" s="53">
        <v>46024</v>
      </c>
      <c r="C113" s="49" t="s">
        <v>205</v>
      </c>
      <c r="D113" s="49"/>
      <c r="E113" s="54">
        <v>3300</v>
      </c>
      <c r="F113" s="54">
        <v>0</v>
      </c>
      <c r="G113" s="62">
        <f>Tabla3[[#This Row],[EGRESOS]]-Tabla3[[#This Row],[INGRESOS]]</f>
        <v>3300</v>
      </c>
      <c r="H113" s="104">
        <v>-8760135.8100000005</v>
      </c>
      <c r="I113" s="16">
        <v>1450</v>
      </c>
      <c r="J113" s="14">
        <f>Tabla3[[#This Row],[EGRESOS]]/Tabla3[[#This Row],[TC]]</f>
        <v>2.2758620689655173</v>
      </c>
      <c r="K113" s="14">
        <f>Tabla3[[#This Row],[INGRESOS]]/Tabla3[[#This Row],[TC]]</f>
        <v>0</v>
      </c>
      <c r="L113" s="7" t="s">
        <v>94</v>
      </c>
      <c r="M113" s="7" t="s">
        <v>95</v>
      </c>
      <c r="N113" s="7" t="s">
        <v>1</v>
      </c>
      <c r="O113" s="7" t="s">
        <v>17</v>
      </c>
      <c r="P113" s="7" t="s">
        <v>22</v>
      </c>
      <c r="Q113" s="7" t="s">
        <v>23</v>
      </c>
      <c r="R113" s="7" t="s">
        <v>211</v>
      </c>
      <c r="S113" s="7"/>
      <c r="T113" s="7"/>
      <c r="U113" s="7" t="s">
        <v>61</v>
      </c>
      <c r="V113" s="7"/>
      <c r="W113" s="7" t="s">
        <v>241</v>
      </c>
    </row>
    <row r="114" spans="1:23" x14ac:dyDescent="0.25">
      <c r="A114" s="52" t="str">
        <f t="shared" si="3"/>
        <v>ENERO</v>
      </c>
      <c r="B114" s="53">
        <v>46024</v>
      </c>
      <c r="C114" s="49" t="s">
        <v>204</v>
      </c>
      <c r="D114" s="49"/>
      <c r="E114" s="55">
        <v>429</v>
      </c>
      <c r="F114" s="54">
        <v>0</v>
      </c>
      <c r="G114" s="62">
        <f>Tabla3[[#This Row],[EGRESOS]]-Tabla3[[#This Row],[INGRESOS]]</f>
        <v>429</v>
      </c>
      <c r="H114" s="19">
        <v>-8760564.8100000005</v>
      </c>
      <c r="I114" s="16">
        <v>1450</v>
      </c>
      <c r="J114" s="14">
        <f>Tabla3[[#This Row],[EGRESOS]]/Tabla3[[#This Row],[TC]]</f>
        <v>0.29586206896551726</v>
      </c>
      <c r="K114" s="14">
        <f>Tabla3[[#This Row],[INGRESOS]]/Tabla3[[#This Row],[TC]]</f>
        <v>0</v>
      </c>
      <c r="L114" s="7" t="s">
        <v>94</v>
      </c>
      <c r="M114" s="7" t="s">
        <v>95</v>
      </c>
      <c r="N114" s="7" t="s">
        <v>1</v>
      </c>
      <c r="O114" s="7" t="s">
        <v>17</v>
      </c>
      <c r="P114" s="7" t="s">
        <v>22</v>
      </c>
      <c r="Q114" s="7" t="s">
        <v>23</v>
      </c>
      <c r="R114" s="7" t="s">
        <v>200</v>
      </c>
      <c r="S114" s="7"/>
      <c r="T114" s="7"/>
      <c r="U114" s="7" t="s">
        <v>61</v>
      </c>
      <c r="V114" s="7"/>
      <c r="W114" s="7" t="s">
        <v>241</v>
      </c>
    </row>
    <row r="115" spans="1:23" x14ac:dyDescent="0.25">
      <c r="A115" s="52" t="str">
        <f t="shared" si="3"/>
        <v>ENERO</v>
      </c>
      <c r="B115" s="53">
        <v>46024</v>
      </c>
      <c r="C115" s="49" t="s">
        <v>208</v>
      </c>
      <c r="D115" s="49"/>
      <c r="E115" s="55">
        <v>334458.75</v>
      </c>
      <c r="F115" s="54">
        <v>0</v>
      </c>
      <c r="G115" s="62">
        <f>Tabla3[[#This Row],[EGRESOS]]-Tabla3[[#This Row],[INGRESOS]]</f>
        <v>334458.75</v>
      </c>
      <c r="H115" s="19">
        <v>-9095023.5600000005</v>
      </c>
      <c r="I115" s="16">
        <v>1450</v>
      </c>
      <c r="J115" s="14">
        <f>Tabla3[[#This Row],[EGRESOS]]/Tabla3[[#This Row],[TC]]</f>
        <v>230.66120689655173</v>
      </c>
      <c r="K115" s="14">
        <f>Tabla3[[#This Row],[INGRESOS]]/Tabla3[[#This Row],[TC]]</f>
        <v>0</v>
      </c>
      <c r="L115" s="7" t="s">
        <v>94</v>
      </c>
      <c r="M115" s="7" t="s">
        <v>95</v>
      </c>
      <c r="N115" s="7" t="s">
        <v>1</v>
      </c>
      <c r="O115" s="7" t="s">
        <v>17</v>
      </c>
      <c r="P115" s="7" t="s">
        <v>24</v>
      </c>
      <c r="Q115" s="7" t="s">
        <v>25</v>
      </c>
      <c r="R115" s="7"/>
      <c r="S115" s="7"/>
      <c r="T115" s="7"/>
      <c r="U115" s="7" t="s">
        <v>61</v>
      </c>
      <c r="V115" s="7"/>
      <c r="W115" s="7" t="s">
        <v>241</v>
      </c>
    </row>
    <row r="116" spans="1:23" x14ac:dyDescent="0.25">
      <c r="A116" s="52" t="str">
        <f t="shared" si="3"/>
        <v>ENERO</v>
      </c>
      <c r="B116" s="53">
        <v>46024</v>
      </c>
      <c r="C116" s="49" t="s">
        <v>207</v>
      </c>
      <c r="D116" s="49"/>
      <c r="E116" s="55">
        <v>8482.25</v>
      </c>
      <c r="F116" s="54">
        <v>0</v>
      </c>
      <c r="G116" s="62">
        <f>Tabla3[[#This Row],[EGRESOS]]-Tabla3[[#This Row],[INGRESOS]]</f>
        <v>8482.25</v>
      </c>
      <c r="H116" s="19">
        <v>-9103505.8100000005</v>
      </c>
      <c r="I116" s="16">
        <v>1450</v>
      </c>
      <c r="J116" s="14">
        <f>Tabla3[[#This Row],[EGRESOS]]/Tabla3[[#This Row],[TC]]</f>
        <v>5.8498275862068967</v>
      </c>
      <c r="K116" s="14">
        <f>Tabla3[[#This Row],[INGRESOS]]/Tabla3[[#This Row],[TC]]</f>
        <v>0</v>
      </c>
      <c r="L116" s="7" t="s">
        <v>94</v>
      </c>
      <c r="M116" s="7" t="s">
        <v>95</v>
      </c>
      <c r="N116" s="7" t="s">
        <v>1</v>
      </c>
      <c r="O116" s="7" t="s">
        <v>17</v>
      </c>
      <c r="P116" s="7" t="s">
        <v>22</v>
      </c>
      <c r="Q116" s="7" t="s">
        <v>23</v>
      </c>
      <c r="R116" s="7" t="s">
        <v>199</v>
      </c>
      <c r="S116" s="7"/>
      <c r="T116" s="7"/>
      <c r="U116" s="7" t="s">
        <v>61</v>
      </c>
      <c r="V116" s="7"/>
      <c r="W116" s="7" t="s">
        <v>241</v>
      </c>
    </row>
    <row r="117" spans="1:23" x14ac:dyDescent="0.25">
      <c r="A117" s="52" t="str">
        <f t="shared" si="3"/>
        <v>ENERO</v>
      </c>
      <c r="B117" s="53">
        <v>46024</v>
      </c>
      <c r="C117" s="49" t="s">
        <v>49</v>
      </c>
      <c r="D117" s="49"/>
      <c r="E117" s="55">
        <v>35118.17</v>
      </c>
      <c r="F117" s="54">
        <v>0</v>
      </c>
      <c r="G117" s="62">
        <f>Tabla3[[#This Row],[EGRESOS]]-Tabla3[[#This Row],[INGRESOS]]</f>
        <v>35118.17</v>
      </c>
      <c r="H117" s="19">
        <v>-9138623.9800000004</v>
      </c>
      <c r="I117" s="16">
        <v>1450</v>
      </c>
      <c r="J117" s="14">
        <f>Tabla3[[#This Row],[EGRESOS]]/Tabla3[[#This Row],[TC]]</f>
        <v>24.219427586206894</v>
      </c>
      <c r="K117" s="14">
        <f>Tabla3[[#This Row],[INGRESOS]]/Tabla3[[#This Row],[TC]]</f>
        <v>0</v>
      </c>
      <c r="L117" s="7" t="s">
        <v>94</v>
      </c>
      <c r="M117" s="7" t="s">
        <v>95</v>
      </c>
      <c r="N117" s="7" t="s">
        <v>1</v>
      </c>
      <c r="O117" s="7" t="s">
        <v>17</v>
      </c>
      <c r="P117" s="7" t="s">
        <v>22</v>
      </c>
      <c r="Q117" s="7" t="s">
        <v>23</v>
      </c>
      <c r="R117" s="7" t="s">
        <v>96</v>
      </c>
      <c r="S117" s="7"/>
      <c r="T117" s="7"/>
      <c r="U117" s="7" t="s">
        <v>61</v>
      </c>
      <c r="V117" s="7"/>
      <c r="W117" s="7" t="s">
        <v>241</v>
      </c>
    </row>
    <row r="118" spans="1:23" x14ac:dyDescent="0.25">
      <c r="A118" s="52" t="str">
        <f t="shared" si="3"/>
        <v>ENERO</v>
      </c>
      <c r="B118" s="53">
        <v>46024</v>
      </c>
      <c r="C118" s="49" t="s">
        <v>206</v>
      </c>
      <c r="D118" s="49"/>
      <c r="E118" s="55">
        <v>5016.88</v>
      </c>
      <c r="F118" s="54">
        <v>0</v>
      </c>
      <c r="G118" s="62">
        <f>Tabla3[[#This Row],[EGRESOS]]-Tabla3[[#This Row],[INGRESOS]]</f>
        <v>5016.88</v>
      </c>
      <c r="H118" s="19">
        <v>-9143640.8599999994</v>
      </c>
      <c r="I118" s="16">
        <v>1450</v>
      </c>
      <c r="J118" s="14">
        <f>Tabla3[[#This Row],[EGRESOS]]/Tabla3[[#This Row],[TC]]</f>
        <v>3.4599172413793102</v>
      </c>
      <c r="K118" s="14">
        <f>Tabla3[[#This Row],[INGRESOS]]/Tabla3[[#This Row],[TC]]</f>
        <v>0</v>
      </c>
      <c r="L118" s="7" t="s">
        <v>94</v>
      </c>
      <c r="M118" s="7" t="s">
        <v>95</v>
      </c>
      <c r="N118" s="7" t="s">
        <v>1</v>
      </c>
      <c r="O118" s="7" t="s">
        <v>17</v>
      </c>
      <c r="P118" s="7" t="s">
        <v>22</v>
      </c>
      <c r="Q118" s="7" t="s">
        <v>23</v>
      </c>
      <c r="R118" s="7" t="s">
        <v>210</v>
      </c>
      <c r="S118" s="7"/>
      <c r="T118" s="7"/>
      <c r="U118" s="7" t="s">
        <v>61</v>
      </c>
      <c r="V118" s="7"/>
      <c r="W118" s="7" t="s">
        <v>241</v>
      </c>
    </row>
    <row r="119" spans="1:23" x14ac:dyDescent="0.25">
      <c r="A119" s="52" t="str">
        <f t="shared" si="3"/>
        <v>ENERO</v>
      </c>
      <c r="B119" s="53">
        <v>46024</v>
      </c>
      <c r="C119" s="49" t="s">
        <v>205</v>
      </c>
      <c r="D119" s="49"/>
      <c r="E119" s="55">
        <v>20067.53</v>
      </c>
      <c r="F119" s="54">
        <v>0</v>
      </c>
      <c r="G119" s="62">
        <f>Tabla3[[#This Row],[EGRESOS]]-Tabla3[[#This Row],[INGRESOS]]</f>
        <v>20067.53</v>
      </c>
      <c r="H119" s="19">
        <v>-9163708.3900000006</v>
      </c>
      <c r="I119" s="16">
        <v>1450</v>
      </c>
      <c r="J119" s="14">
        <f>Tabla3[[#This Row],[EGRESOS]]/Tabla3[[#This Row],[TC]]</f>
        <v>13.839675862068965</v>
      </c>
      <c r="K119" s="14">
        <f>Tabla3[[#This Row],[INGRESOS]]/Tabla3[[#This Row],[TC]]</f>
        <v>0</v>
      </c>
      <c r="L119" s="7" t="s">
        <v>94</v>
      </c>
      <c r="M119" s="7" t="s">
        <v>95</v>
      </c>
      <c r="N119" s="7" t="s">
        <v>1</v>
      </c>
      <c r="O119" s="7" t="s">
        <v>17</v>
      </c>
      <c r="P119" s="7" t="s">
        <v>22</v>
      </c>
      <c r="Q119" s="7" t="s">
        <v>23</v>
      </c>
      <c r="R119" s="7" t="s">
        <v>211</v>
      </c>
      <c r="S119" s="7"/>
      <c r="T119" s="7"/>
      <c r="U119" s="7" t="s">
        <v>61</v>
      </c>
      <c r="V119" s="7"/>
      <c r="W119" s="7" t="s">
        <v>241</v>
      </c>
    </row>
    <row r="120" spans="1:23" x14ac:dyDescent="0.25">
      <c r="A120" s="52" t="str">
        <f t="shared" si="3"/>
        <v>ENERO</v>
      </c>
      <c r="B120" s="53">
        <v>46024</v>
      </c>
      <c r="C120" s="49" t="s">
        <v>204</v>
      </c>
      <c r="D120" s="49"/>
      <c r="E120" s="55">
        <v>2418.86</v>
      </c>
      <c r="F120" s="54">
        <v>0</v>
      </c>
      <c r="G120" s="62">
        <f>Tabla3[[#This Row],[EGRESOS]]-Tabla3[[#This Row],[INGRESOS]]</f>
        <v>2418.86</v>
      </c>
      <c r="H120" s="19">
        <v>-9166127.25</v>
      </c>
      <c r="I120" s="16">
        <v>1450</v>
      </c>
      <c r="J120" s="14">
        <f>Tabla3[[#This Row],[EGRESOS]]/Tabla3[[#This Row],[TC]]</f>
        <v>1.6681793103448277</v>
      </c>
      <c r="K120" s="14">
        <f>Tabla3[[#This Row],[INGRESOS]]/Tabla3[[#This Row],[TC]]</f>
        <v>0</v>
      </c>
      <c r="L120" s="7" t="s">
        <v>94</v>
      </c>
      <c r="M120" s="7" t="s">
        <v>95</v>
      </c>
      <c r="N120" s="7" t="s">
        <v>1</v>
      </c>
      <c r="O120" s="7" t="s">
        <v>17</v>
      </c>
      <c r="P120" s="7" t="s">
        <v>22</v>
      </c>
      <c r="Q120" s="7" t="s">
        <v>23</v>
      </c>
      <c r="R120" s="7" t="s">
        <v>200</v>
      </c>
      <c r="S120" s="7"/>
      <c r="T120" s="7"/>
      <c r="U120" s="7" t="s">
        <v>61</v>
      </c>
      <c r="V120" s="7"/>
      <c r="W120" s="7" t="s">
        <v>241</v>
      </c>
    </row>
    <row r="121" spans="1:23" x14ac:dyDescent="0.25">
      <c r="A121" s="52" t="str">
        <f t="shared" si="3"/>
        <v>ENERO</v>
      </c>
      <c r="B121" s="53">
        <v>46034</v>
      </c>
      <c r="C121" s="49" t="s">
        <v>244</v>
      </c>
      <c r="D121" s="49"/>
      <c r="E121" s="55">
        <v>1820705.53</v>
      </c>
      <c r="F121" s="54">
        <v>0</v>
      </c>
      <c r="G121" s="62">
        <f>Tabla3[[#This Row],[EGRESOS]]-Tabla3[[#This Row],[INGRESOS]]</f>
        <v>1820705.53</v>
      </c>
      <c r="H121" s="19">
        <v>-10986832.779999999</v>
      </c>
      <c r="I121" s="16">
        <v>1450</v>
      </c>
      <c r="J121" s="14">
        <f>Tabla3[[#This Row],[EGRESOS]]/Tabla3[[#This Row],[TC]]</f>
        <v>1255.6589862068965</v>
      </c>
      <c r="K121" s="14">
        <f>Tabla3[[#This Row],[INGRESOS]]/Tabla3[[#This Row],[TC]]</f>
        <v>0</v>
      </c>
      <c r="L121" s="7" t="s">
        <v>94</v>
      </c>
      <c r="M121" s="7" t="s">
        <v>95</v>
      </c>
      <c r="N121" s="7" t="s">
        <v>1</v>
      </c>
      <c r="O121" s="7" t="s">
        <v>251</v>
      </c>
      <c r="P121" s="7" t="s">
        <v>245</v>
      </c>
      <c r="Q121" s="7" t="s">
        <v>246</v>
      </c>
      <c r="R121" s="7" t="s">
        <v>1</v>
      </c>
      <c r="S121" s="7" t="s">
        <v>1</v>
      </c>
      <c r="T121" s="7"/>
      <c r="U121" s="7" t="s">
        <v>267</v>
      </c>
      <c r="V121" s="7"/>
      <c r="W121" s="7" t="s">
        <v>241</v>
      </c>
    </row>
    <row r="122" spans="1:23" x14ac:dyDescent="0.25">
      <c r="A122" s="52" t="str">
        <f t="shared" si="3"/>
        <v>ENERO</v>
      </c>
      <c r="B122" s="53">
        <v>46034</v>
      </c>
      <c r="C122" s="49" t="s">
        <v>204</v>
      </c>
      <c r="D122" s="49"/>
      <c r="E122" s="55">
        <v>10924.23</v>
      </c>
      <c r="F122" s="54">
        <v>0</v>
      </c>
      <c r="G122" s="62">
        <f>Tabla3[[#This Row],[EGRESOS]]-Tabla3[[#This Row],[INGRESOS]]</f>
        <v>10924.23</v>
      </c>
      <c r="H122" s="19">
        <v>-10997757.01</v>
      </c>
      <c r="I122" s="16">
        <v>1450</v>
      </c>
      <c r="J122" s="14">
        <f>Tabla3[[#This Row],[EGRESOS]]/Tabla3[[#This Row],[TC]]</f>
        <v>7.533951724137931</v>
      </c>
      <c r="K122" s="14">
        <f>Tabla3[[#This Row],[INGRESOS]]/Tabla3[[#This Row],[TC]]</f>
        <v>0</v>
      </c>
      <c r="L122" s="7" t="s">
        <v>94</v>
      </c>
      <c r="M122" s="7" t="s">
        <v>95</v>
      </c>
      <c r="N122" s="7" t="s">
        <v>1</v>
      </c>
      <c r="O122" s="7" t="s">
        <v>17</v>
      </c>
      <c r="P122" s="7" t="s">
        <v>22</v>
      </c>
      <c r="Q122" s="7" t="s">
        <v>23</v>
      </c>
      <c r="R122" s="7" t="s">
        <v>200</v>
      </c>
      <c r="S122" s="7"/>
      <c r="T122" s="7"/>
      <c r="U122" s="7" t="s">
        <v>61</v>
      </c>
      <c r="V122" s="7"/>
      <c r="W122" s="7" t="s">
        <v>241</v>
      </c>
    </row>
    <row r="123" spans="1:23" x14ac:dyDescent="0.25">
      <c r="A123" s="52" t="str">
        <f t="shared" si="3"/>
        <v>ENERO</v>
      </c>
      <c r="B123" s="53">
        <v>46035</v>
      </c>
      <c r="C123" s="49" t="s">
        <v>259</v>
      </c>
      <c r="D123" s="49"/>
      <c r="E123" s="54">
        <v>0</v>
      </c>
      <c r="F123" s="55">
        <v>2500000</v>
      </c>
      <c r="G123" s="62">
        <f>Tabla3[[#This Row],[EGRESOS]]-Tabla3[[#This Row],[INGRESOS]]</f>
        <v>-2500000</v>
      </c>
      <c r="H123" s="19">
        <v>-8497757.0099999998</v>
      </c>
      <c r="I123" s="16">
        <v>1450</v>
      </c>
      <c r="J123" s="14">
        <f>Tabla3[[#This Row],[EGRESOS]]/Tabla3[[#This Row],[TC]]</f>
        <v>0</v>
      </c>
      <c r="K123" s="14">
        <f>Tabla3[[#This Row],[INGRESOS]]/Tabla3[[#This Row],[TC]]</f>
        <v>1724.1379310344828</v>
      </c>
      <c r="L123" s="7" t="s">
        <v>94</v>
      </c>
      <c r="M123" s="7" t="s">
        <v>95</v>
      </c>
      <c r="N123" s="7" t="s">
        <v>1</v>
      </c>
      <c r="O123" s="7" t="s">
        <v>251</v>
      </c>
      <c r="P123" s="7" t="s">
        <v>250</v>
      </c>
      <c r="Q123" s="7" t="s">
        <v>252</v>
      </c>
      <c r="R123" s="7" t="s">
        <v>263</v>
      </c>
      <c r="S123" s="7"/>
      <c r="T123" s="7"/>
      <c r="U123" s="7" t="s">
        <v>253</v>
      </c>
      <c r="V123" s="7"/>
      <c r="W123" s="7" t="s">
        <v>241</v>
      </c>
    </row>
    <row r="124" spans="1:23" x14ac:dyDescent="0.25">
      <c r="A124" s="52" t="str">
        <f t="shared" si="3"/>
        <v>ENERO</v>
      </c>
      <c r="B124" s="53">
        <v>46037</v>
      </c>
      <c r="C124" s="49" t="s">
        <v>259</v>
      </c>
      <c r="D124" s="49"/>
      <c r="E124" s="54">
        <v>0</v>
      </c>
      <c r="F124" s="55">
        <v>8500000</v>
      </c>
      <c r="G124" s="62">
        <f>Tabla3[[#This Row],[EGRESOS]]-Tabla3[[#This Row],[INGRESOS]]</f>
        <v>-8500000</v>
      </c>
      <c r="H124" s="19">
        <v>2242.9899999999998</v>
      </c>
      <c r="I124" s="16">
        <v>1450</v>
      </c>
      <c r="J124" s="14">
        <f>Tabla3[[#This Row],[EGRESOS]]/Tabla3[[#This Row],[TC]]</f>
        <v>0</v>
      </c>
      <c r="K124" s="14">
        <f>Tabla3[[#This Row],[INGRESOS]]/Tabla3[[#This Row],[TC]]</f>
        <v>5862.0689655172409</v>
      </c>
      <c r="L124" s="7" t="s">
        <v>94</v>
      </c>
      <c r="M124" s="7" t="s">
        <v>95</v>
      </c>
      <c r="N124" s="7" t="s">
        <v>1</v>
      </c>
      <c r="O124" s="7" t="s">
        <v>251</v>
      </c>
      <c r="P124" s="7" t="s">
        <v>250</v>
      </c>
      <c r="Q124" s="7" t="s">
        <v>252</v>
      </c>
      <c r="R124" s="7" t="s">
        <v>263</v>
      </c>
      <c r="S124" s="7"/>
      <c r="T124" s="7"/>
      <c r="U124" s="7" t="s">
        <v>253</v>
      </c>
      <c r="V124" s="7"/>
      <c r="W124" s="7" t="s">
        <v>241</v>
      </c>
    </row>
    <row r="125" spans="1:23" x14ac:dyDescent="0.25">
      <c r="A125" s="134" t="str">
        <f t="shared" si="3"/>
        <v>ENERO</v>
      </c>
      <c r="B125" s="135">
        <v>46048</v>
      </c>
      <c r="C125" s="136" t="s">
        <v>324</v>
      </c>
      <c r="D125" s="136" t="s">
        <v>323</v>
      </c>
      <c r="E125" s="55">
        <v>114598</v>
      </c>
      <c r="F125" s="55">
        <v>0</v>
      </c>
      <c r="G125" s="137">
        <f>Tabla3[[#This Row],[EGRESOS]]-Tabla3[[#This Row],[INGRESOS]]</f>
        <v>114598</v>
      </c>
      <c r="H125" s="137">
        <v>-112355.01</v>
      </c>
      <c r="I125" s="138">
        <v>1450</v>
      </c>
      <c r="J125" s="139">
        <f>Tabla3[[#This Row],[EGRESOS]]/Tabla3[[#This Row],[TC]]</f>
        <v>79.033103448275867</v>
      </c>
      <c r="K125" s="139">
        <f>Tabla3[[#This Row],[INGRESOS]]/Tabla3[[#This Row],[TC]]</f>
        <v>0</v>
      </c>
      <c r="L125" s="8" t="s">
        <v>94</v>
      </c>
      <c r="M125" s="8" t="s">
        <v>95</v>
      </c>
      <c r="N125" s="8" t="s">
        <v>1</v>
      </c>
      <c r="O125" s="8" t="s">
        <v>39</v>
      </c>
      <c r="P125" s="8" t="s">
        <v>42</v>
      </c>
      <c r="Q125" s="8"/>
      <c r="R125" s="8"/>
      <c r="S125" s="8" t="s">
        <v>325</v>
      </c>
      <c r="T125" s="8"/>
      <c r="U125" s="8" t="s">
        <v>235</v>
      </c>
      <c r="V125" s="8"/>
      <c r="W125" s="8" t="s">
        <v>241</v>
      </c>
    </row>
    <row r="126" spans="1:23" x14ac:dyDescent="0.25">
      <c r="A126" s="134" t="str">
        <f t="shared" si="3"/>
        <v>ENERO</v>
      </c>
      <c r="B126" s="135">
        <v>46048</v>
      </c>
      <c r="C126" s="136" t="s">
        <v>204</v>
      </c>
      <c r="D126" s="136"/>
      <c r="E126" s="55">
        <v>687.59</v>
      </c>
      <c r="F126" s="55">
        <v>0</v>
      </c>
      <c r="G126" s="137">
        <f>Tabla3[[#This Row],[EGRESOS]]-Tabla3[[#This Row],[INGRESOS]]</f>
        <v>687.59</v>
      </c>
      <c r="H126" s="137">
        <v>-113042.6</v>
      </c>
      <c r="I126" s="138">
        <v>1450</v>
      </c>
      <c r="J126" s="139">
        <f>Tabla3[[#This Row],[EGRESOS]]/Tabla3[[#This Row],[TC]]</f>
        <v>0.47420000000000001</v>
      </c>
      <c r="K126" s="139">
        <f>Tabla3[[#This Row],[INGRESOS]]/Tabla3[[#This Row],[TC]]</f>
        <v>0</v>
      </c>
      <c r="L126" s="8" t="s">
        <v>94</v>
      </c>
      <c r="M126" s="8" t="s">
        <v>95</v>
      </c>
      <c r="N126" s="8" t="s">
        <v>1</v>
      </c>
      <c r="O126" s="8" t="s">
        <v>17</v>
      </c>
      <c r="P126" s="8" t="s">
        <v>22</v>
      </c>
      <c r="Q126" s="8" t="s">
        <v>23</v>
      </c>
      <c r="R126" s="8" t="s">
        <v>200</v>
      </c>
      <c r="S126" s="8"/>
      <c r="T126" s="8"/>
      <c r="U126" s="8" t="s">
        <v>61</v>
      </c>
      <c r="V126" s="8"/>
      <c r="W126" s="8" t="s">
        <v>241</v>
      </c>
    </row>
    <row r="127" spans="1:23" x14ac:dyDescent="0.25">
      <c r="A127" s="134" t="str">
        <f t="shared" si="3"/>
        <v>ENERO</v>
      </c>
      <c r="B127" s="135">
        <v>46048</v>
      </c>
      <c r="C127" s="136" t="s">
        <v>336</v>
      </c>
      <c r="D127" s="136" t="s">
        <v>335</v>
      </c>
      <c r="E127" s="55">
        <v>2483359.58</v>
      </c>
      <c r="F127" s="55">
        <v>0</v>
      </c>
      <c r="G127" s="137">
        <f>Tabla3[[#This Row],[EGRESOS]]-Tabla3[[#This Row],[INGRESOS]]</f>
        <v>2483359.58</v>
      </c>
      <c r="H127" s="137">
        <v>-2596402.1800000002</v>
      </c>
      <c r="I127" s="138">
        <v>1450</v>
      </c>
      <c r="J127" s="139">
        <f>Tabla3[[#This Row],[EGRESOS]]/Tabla3[[#This Row],[TC]]</f>
        <v>1712.6617793103449</v>
      </c>
      <c r="K127" s="139">
        <f>Tabla3[[#This Row],[INGRESOS]]/Tabla3[[#This Row],[TC]]</f>
        <v>0</v>
      </c>
      <c r="L127" s="8" t="s">
        <v>94</v>
      </c>
      <c r="M127" s="8" t="s">
        <v>95</v>
      </c>
      <c r="N127" s="8" t="s">
        <v>1</v>
      </c>
      <c r="O127" s="8" t="s">
        <v>52</v>
      </c>
      <c r="P127" s="8" t="s">
        <v>198</v>
      </c>
      <c r="Q127" s="8" t="s">
        <v>334</v>
      </c>
      <c r="R127" s="8"/>
      <c r="S127" s="8" t="s">
        <v>337</v>
      </c>
      <c r="T127" s="8" t="s">
        <v>338</v>
      </c>
      <c r="U127" s="8" t="s">
        <v>235</v>
      </c>
      <c r="V127" s="8"/>
      <c r="W127" s="8" t="s">
        <v>241</v>
      </c>
    </row>
    <row r="128" spans="1:23" x14ac:dyDescent="0.25">
      <c r="A128" s="134" t="str">
        <f t="shared" si="3"/>
        <v>ENERO</v>
      </c>
      <c r="B128" s="135">
        <v>46048</v>
      </c>
      <c r="C128" s="136" t="s">
        <v>204</v>
      </c>
      <c r="D128" s="136"/>
      <c r="E128" s="55">
        <v>14900.16</v>
      </c>
      <c r="F128" s="55">
        <v>0</v>
      </c>
      <c r="G128" s="137">
        <f>Tabla3[[#This Row],[EGRESOS]]-Tabla3[[#This Row],[INGRESOS]]</f>
        <v>14900.16</v>
      </c>
      <c r="H128" s="137">
        <v>-2611302.34</v>
      </c>
      <c r="I128" s="138">
        <v>1450</v>
      </c>
      <c r="J128" s="139">
        <f>Tabla3[[#This Row],[EGRESOS]]/Tabla3[[#This Row],[TC]]</f>
        <v>10.275972413793104</v>
      </c>
      <c r="K128" s="139">
        <f>Tabla3[[#This Row],[INGRESOS]]/Tabla3[[#This Row],[TC]]</f>
        <v>0</v>
      </c>
      <c r="L128" s="8" t="s">
        <v>94</v>
      </c>
      <c r="M128" s="8" t="s">
        <v>95</v>
      </c>
      <c r="N128" s="8" t="s">
        <v>1</v>
      </c>
      <c r="O128" s="8" t="s">
        <v>17</v>
      </c>
      <c r="P128" s="8" t="s">
        <v>22</v>
      </c>
      <c r="Q128" s="8" t="s">
        <v>23</v>
      </c>
      <c r="R128" s="8" t="s">
        <v>200</v>
      </c>
      <c r="S128" s="8"/>
      <c r="T128" s="8"/>
      <c r="U128" s="8" t="s">
        <v>61</v>
      </c>
      <c r="V128" s="8"/>
      <c r="W128" s="8" t="s">
        <v>241</v>
      </c>
    </row>
    <row r="129" spans="1:23" x14ac:dyDescent="0.25">
      <c r="A129" s="134" t="str">
        <f t="shared" si="3"/>
        <v>ENERO</v>
      </c>
      <c r="B129" s="135">
        <v>46051</v>
      </c>
      <c r="C129" s="136" t="s">
        <v>341</v>
      </c>
      <c r="D129" s="136" t="s">
        <v>340</v>
      </c>
      <c r="E129" s="55">
        <v>283000</v>
      </c>
      <c r="F129" s="55">
        <v>0</v>
      </c>
      <c r="G129" s="137">
        <f>Tabla3[[#This Row],[EGRESOS]]-Tabla3[[#This Row],[INGRESOS]]</f>
        <v>283000</v>
      </c>
      <c r="H129" s="137">
        <v>-2894302.34</v>
      </c>
      <c r="I129" s="138">
        <v>1450</v>
      </c>
      <c r="J129" s="139">
        <f>Tabla3[[#This Row],[EGRESOS]]/Tabla3[[#This Row],[TC]]</f>
        <v>195.17241379310346</v>
      </c>
      <c r="K129" s="139">
        <f>Tabla3[[#This Row],[INGRESOS]]/Tabla3[[#This Row],[TC]]</f>
        <v>0</v>
      </c>
      <c r="L129" s="8" t="s">
        <v>94</v>
      </c>
      <c r="M129" s="8" t="s">
        <v>95</v>
      </c>
      <c r="N129" s="8" t="s">
        <v>1</v>
      </c>
      <c r="O129" s="8" t="s">
        <v>39</v>
      </c>
      <c r="P129" s="8" t="s">
        <v>44</v>
      </c>
      <c r="Q129" s="8" t="s">
        <v>45</v>
      </c>
      <c r="R129" s="8"/>
      <c r="S129" s="8" t="s">
        <v>342</v>
      </c>
      <c r="T129" s="8"/>
      <c r="U129" s="8" t="s">
        <v>235</v>
      </c>
      <c r="V129" s="8"/>
      <c r="W129" s="8" t="s">
        <v>241</v>
      </c>
    </row>
    <row r="130" spans="1:23" x14ac:dyDescent="0.25">
      <c r="A130" s="134" t="str">
        <f t="shared" si="3"/>
        <v>ENERO</v>
      </c>
      <c r="B130" s="135">
        <v>46051</v>
      </c>
      <c r="C130" s="136" t="s">
        <v>204</v>
      </c>
      <c r="D130" s="136"/>
      <c r="E130" s="55">
        <v>1698</v>
      </c>
      <c r="F130" s="55">
        <v>0</v>
      </c>
      <c r="G130" s="137">
        <f>Tabla3[[#This Row],[EGRESOS]]-Tabla3[[#This Row],[INGRESOS]]</f>
        <v>1698</v>
      </c>
      <c r="H130" s="137">
        <v>-2896000.34</v>
      </c>
      <c r="I130" s="138">
        <v>1450</v>
      </c>
      <c r="J130" s="139">
        <f>Tabla3[[#This Row],[EGRESOS]]/Tabla3[[#This Row],[TC]]</f>
        <v>1.1710344827586208</v>
      </c>
      <c r="K130" s="139">
        <f>Tabla3[[#This Row],[INGRESOS]]/Tabla3[[#This Row],[TC]]</f>
        <v>0</v>
      </c>
      <c r="L130" s="8" t="s">
        <v>94</v>
      </c>
      <c r="M130" s="8" t="s">
        <v>95</v>
      </c>
      <c r="N130" s="8" t="s">
        <v>1</v>
      </c>
      <c r="O130" s="8" t="s">
        <v>17</v>
      </c>
      <c r="P130" s="8" t="s">
        <v>22</v>
      </c>
      <c r="Q130" s="8" t="s">
        <v>23</v>
      </c>
      <c r="R130" s="8" t="s">
        <v>200</v>
      </c>
      <c r="S130" s="8"/>
      <c r="T130" s="8"/>
      <c r="U130" s="8" t="s">
        <v>61</v>
      </c>
      <c r="V130" s="8"/>
      <c r="W130" s="8" t="s">
        <v>241</v>
      </c>
    </row>
    <row r="131" spans="1:23" x14ac:dyDescent="0.25">
      <c r="A131" s="134" t="str">
        <f t="shared" si="3"/>
        <v>ENERO</v>
      </c>
      <c r="B131" s="135">
        <v>46052</v>
      </c>
      <c r="C131" s="136" t="s">
        <v>336</v>
      </c>
      <c r="D131" s="136" t="s">
        <v>348</v>
      </c>
      <c r="E131" s="55">
        <v>310000</v>
      </c>
      <c r="F131" s="55">
        <v>0</v>
      </c>
      <c r="G131" s="137">
        <f>Tabla3[[#This Row],[EGRESOS]]-Tabla3[[#This Row],[INGRESOS]]</f>
        <v>310000</v>
      </c>
      <c r="H131" s="137">
        <v>-3206000.34</v>
      </c>
      <c r="I131" s="138">
        <v>1450</v>
      </c>
      <c r="J131" s="139">
        <f>Tabla3[[#This Row],[EGRESOS]]/Tabla3[[#This Row],[TC]]</f>
        <v>213.79310344827587</v>
      </c>
      <c r="K131" s="139">
        <f>Tabla3[[#This Row],[INGRESOS]]/Tabla3[[#This Row],[TC]]</f>
        <v>0</v>
      </c>
      <c r="L131" s="8" t="s">
        <v>94</v>
      </c>
      <c r="M131" s="8" t="s">
        <v>95</v>
      </c>
      <c r="N131" s="8" t="s">
        <v>1</v>
      </c>
      <c r="O131" s="8" t="s">
        <v>39</v>
      </c>
      <c r="P131" s="8" t="s">
        <v>42</v>
      </c>
      <c r="Q131" s="8" t="s">
        <v>226</v>
      </c>
      <c r="R131" s="8"/>
      <c r="S131" s="8" t="s">
        <v>234</v>
      </c>
      <c r="T131" s="8" t="s">
        <v>349</v>
      </c>
      <c r="U131" s="8" t="s">
        <v>235</v>
      </c>
      <c r="V131" s="8"/>
      <c r="W131" s="8" t="s">
        <v>241</v>
      </c>
    </row>
    <row r="132" spans="1:23" x14ac:dyDescent="0.25">
      <c r="A132" s="134" t="str">
        <f t="shared" si="3"/>
        <v>ENERO</v>
      </c>
      <c r="B132" s="135">
        <v>46052</v>
      </c>
      <c r="C132" s="136" t="s">
        <v>204</v>
      </c>
      <c r="D132" s="136"/>
      <c r="E132" s="55">
        <v>1860</v>
      </c>
      <c r="F132" s="55">
        <v>0</v>
      </c>
      <c r="G132" s="137">
        <f>Tabla3[[#This Row],[EGRESOS]]-Tabla3[[#This Row],[INGRESOS]]</f>
        <v>1860</v>
      </c>
      <c r="H132" s="137">
        <v>-3207860.34</v>
      </c>
      <c r="I132" s="138">
        <v>1450</v>
      </c>
      <c r="J132" s="139">
        <f>Tabla3[[#This Row],[EGRESOS]]/Tabla3[[#This Row],[TC]]</f>
        <v>1.2827586206896551</v>
      </c>
      <c r="K132" s="139">
        <f>Tabla3[[#This Row],[INGRESOS]]/Tabla3[[#This Row],[TC]]</f>
        <v>0</v>
      </c>
      <c r="L132" s="8" t="s">
        <v>94</v>
      </c>
      <c r="M132" s="8" t="s">
        <v>95</v>
      </c>
      <c r="N132" s="8" t="s">
        <v>1</v>
      </c>
      <c r="O132" s="8" t="s">
        <v>17</v>
      </c>
      <c r="P132" s="8" t="s">
        <v>22</v>
      </c>
      <c r="Q132" s="8" t="s">
        <v>23</v>
      </c>
      <c r="R132" s="8" t="s">
        <v>200</v>
      </c>
      <c r="S132" s="8"/>
      <c r="T132" s="8"/>
      <c r="U132" s="8" t="s">
        <v>61</v>
      </c>
      <c r="V132" s="8"/>
      <c r="W132" s="8" t="s">
        <v>241</v>
      </c>
    </row>
    <row r="133" spans="1:23" x14ac:dyDescent="0.25">
      <c r="A133" s="134" t="str">
        <f>"FEBRERO"</f>
        <v>FEBRERO</v>
      </c>
      <c r="B133" s="135">
        <v>46055</v>
      </c>
      <c r="C133" s="136" t="s">
        <v>209</v>
      </c>
      <c r="D133" s="136"/>
      <c r="E133" s="55">
        <v>60000</v>
      </c>
      <c r="F133" s="55">
        <v>0</v>
      </c>
      <c r="G133" s="137">
        <f>Tabla3[[#This Row],[EGRESOS]]-Tabla3[[#This Row],[INGRESOS]]</f>
        <v>60000</v>
      </c>
      <c r="H133" s="137">
        <v>-3267860.34</v>
      </c>
      <c r="I133" s="138">
        <v>1450</v>
      </c>
      <c r="J133" s="139">
        <f>Tabla3[[#This Row],[EGRESOS]]/Tabla3[[#This Row],[TC]]</f>
        <v>41.379310344827587</v>
      </c>
      <c r="K133" s="139">
        <f>Tabla3[[#This Row],[INGRESOS]]/Tabla3[[#This Row],[TC]]</f>
        <v>0</v>
      </c>
      <c r="L133" s="8" t="s">
        <v>94</v>
      </c>
      <c r="M133" s="8" t="s">
        <v>95</v>
      </c>
      <c r="N133" s="8" t="s">
        <v>1</v>
      </c>
      <c r="O133" s="8" t="s">
        <v>17</v>
      </c>
      <c r="P133" s="8" t="s">
        <v>22</v>
      </c>
      <c r="Q133" s="8" t="s">
        <v>19</v>
      </c>
      <c r="R133" s="8"/>
      <c r="S133" s="8"/>
      <c r="T133" s="8"/>
      <c r="U133" s="8" t="s">
        <v>61</v>
      </c>
      <c r="V133" s="8"/>
      <c r="W133" s="8" t="s">
        <v>241</v>
      </c>
    </row>
    <row r="134" spans="1:23" x14ac:dyDescent="0.25">
      <c r="A134" s="134" t="s">
        <v>62</v>
      </c>
      <c r="B134" s="135">
        <v>46055</v>
      </c>
      <c r="C134" s="136" t="s">
        <v>49</v>
      </c>
      <c r="D134" s="136"/>
      <c r="E134" s="55">
        <v>12600</v>
      </c>
      <c r="F134" s="55">
        <v>0</v>
      </c>
      <c r="G134" s="137">
        <f>Tabla3[[#This Row],[EGRESOS]]-Tabla3[[#This Row],[INGRESOS]]</f>
        <v>12600</v>
      </c>
      <c r="H134" s="137">
        <v>-3280460.34</v>
      </c>
      <c r="I134" s="138">
        <v>1450</v>
      </c>
      <c r="J134" s="139">
        <f>Tabla3[[#This Row],[EGRESOS]]/Tabla3[[#This Row],[TC]]</f>
        <v>8.6896551724137936</v>
      </c>
      <c r="K134" s="139">
        <f>Tabla3[[#This Row],[INGRESOS]]/Tabla3[[#This Row],[TC]]</f>
        <v>0</v>
      </c>
      <c r="L134" s="8" t="s">
        <v>94</v>
      </c>
      <c r="M134" s="8" t="s">
        <v>95</v>
      </c>
      <c r="N134" s="8" t="s">
        <v>1</v>
      </c>
      <c r="O134" s="8" t="s">
        <v>17</v>
      </c>
      <c r="P134" s="8" t="s">
        <v>22</v>
      </c>
      <c r="Q134" s="8" t="s">
        <v>23</v>
      </c>
      <c r="R134" s="8" t="s">
        <v>96</v>
      </c>
      <c r="S134" s="8"/>
      <c r="T134" s="8"/>
      <c r="U134" s="8" t="s">
        <v>61</v>
      </c>
      <c r="V134" s="8"/>
      <c r="W134" s="8" t="s">
        <v>241</v>
      </c>
    </row>
    <row r="135" spans="1:23" x14ac:dyDescent="0.25">
      <c r="A135" s="134" t="s">
        <v>62</v>
      </c>
      <c r="B135" s="135">
        <v>46055</v>
      </c>
      <c r="C135" s="136" t="s">
        <v>206</v>
      </c>
      <c r="D135" s="136"/>
      <c r="E135" s="55">
        <v>1800</v>
      </c>
      <c r="F135" s="55">
        <v>0</v>
      </c>
      <c r="G135" s="137">
        <f>Tabla3[[#This Row],[EGRESOS]]-Tabla3[[#This Row],[INGRESOS]]</f>
        <v>1800</v>
      </c>
      <c r="H135" s="137">
        <v>-3282260.34</v>
      </c>
      <c r="I135" s="138">
        <v>1450</v>
      </c>
      <c r="J135" s="139">
        <f>Tabla3[[#This Row],[EGRESOS]]/Tabla3[[#This Row],[TC]]</f>
        <v>1.2413793103448276</v>
      </c>
      <c r="K135" s="139">
        <f>Tabla3[[#This Row],[INGRESOS]]/Tabla3[[#This Row],[TC]]</f>
        <v>0</v>
      </c>
      <c r="L135" s="8" t="s">
        <v>94</v>
      </c>
      <c r="M135" s="8" t="s">
        <v>95</v>
      </c>
      <c r="N135" s="8" t="s">
        <v>1</v>
      </c>
      <c r="O135" s="8" t="s">
        <v>17</v>
      </c>
      <c r="P135" s="8" t="s">
        <v>22</v>
      </c>
      <c r="Q135" s="8" t="s">
        <v>23</v>
      </c>
      <c r="R135" s="8" t="s">
        <v>103</v>
      </c>
      <c r="S135" s="8"/>
      <c r="T135" s="8"/>
      <c r="U135" s="8" t="s">
        <v>61</v>
      </c>
      <c r="V135" s="8"/>
      <c r="W135" s="8" t="s">
        <v>241</v>
      </c>
    </row>
    <row r="136" spans="1:23" x14ac:dyDescent="0.25">
      <c r="A136" s="134" t="s">
        <v>62</v>
      </c>
      <c r="B136" s="135">
        <v>46055</v>
      </c>
      <c r="C136" s="136" t="s">
        <v>205</v>
      </c>
      <c r="D136" s="136"/>
      <c r="E136" s="55">
        <v>3600</v>
      </c>
      <c r="F136" s="55">
        <v>0</v>
      </c>
      <c r="G136" s="137">
        <f>Tabla3[[#This Row],[EGRESOS]]-Tabla3[[#This Row],[INGRESOS]]</f>
        <v>3600</v>
      </c>
      <c r="H136" s="137">
        <v>-3285860.34</v>
      </c>
      <c r="I136" s="138">
        <v>1450</v>
      </c>
      <c r="J136" s="139">
        <f>Tabla3[[#This Row],[EGRESOS]]/Tabla3[[#This Row],[TC]]</f>
        <v>2.4827586206896552</v>
      </c>
      <c r="K136" s="139">
        <f>Tabla3[[#This Row],[INGRESOS]]/Tabla3[[#This Row],[TC]]</f>
        <v>0</v>
      </c>
      <c r="L136" s="8" t="s">
        <v>94</v>
      </c>
      <c r="M136" s="8" t="s">
        <v>95</v>
      </c>
      <c r="N136" s="8" t="s">
        <v>1</v>
      </c>
      <c r="O136" s="8" t="s">
        <v>17</v>
      </c>
      <c r="P136" s="8" t="s">
        <v>22</v>
      </c>
      <c r="Q136" s="8" t="s">
        <v>23</v>
      </c>
      <c r="R136" s="8" t="s">
        <v>211</v>
      </c>
      <c r="S136" s="8"/>
      <c r="T136" s="8"/>
      <c r="U136" s="8" t="s">
        <v>61</v>
      </c>
      <c r="V136" s="8"/>
      <c r="W136" s="8" t="s">
        <v>241</v>
      </c>
    </row>
    <row r="137" spans="1:23" x14ac:dyDescent="0.25">
      <c r="A137" s="134" t="s">
        <v>62</v>
      </c>
      <c r="B137" s="135">
        <v>46055</v>
      </c>
      <c r="C137" s="136" t="s">
        <v>355</v>
      </c>
      <c r="D137" s="136"/>
      <c r="E137" s="55">
        <v>4200</v>
      </c>
      <c r="F137" s="55">
        <v>0</v>
      </c>
      <c r="G137" s="137">
        <f>Tabla3[[#This Row],[EGRESOS]]-Tabla3[[#This Row],[INGRESOS]]</f>
        <v>4200</v>
      </c>
      <c r="H137" s="137">
        <v>-3290060.34</v>
      </c>
      <c r="I137" s="138">
        <v>1450</v>
      </c>
      <c r="J137" s="139">
        <f>Tabla3[[#This Row],[EGRESOS]]/Tabla3[[#This Row],[TC]]</f>
        <v>2.896551724137931</v>
      </c>
      <c r="K137" s="139">
        <f>Tabla3[[#This Row],[INGRESOS]]/Tabla3[[#This Row],[TC]]</f>
        <v>0</v>
      </c>
      <c r="L137" s="8" t="s">
        <v>94</v>
      </c>
      <c r="M137" s="8" t="s">
        <v>95</v>
      </c>
      <c r="N137" s="8" t="s">
        <v>1</v>
      </c>
      <c r="O137" s="8" t="s">
        <v>17</v>
      </c>
      <c r="P137" s="8" t="s">
        <v>22</v>
      </c>
      <c r="Q137" s="8" t="s">
        <v>19</v>
      </c>
      <c r="R137" s="8"/>
      <c r="S137" s="8"/>
      <c r="T137" s="8"/>
      <c r="U137" s="8" t="s">
        <v>61</v>
      </c>
      <c r="V137" s="8"/>
      <c r="W137" s="8" t="s">
        <v>241</v>
      </c>
    </row>
    <row r="138" spans="1:23" x14ac:dyDescent="0.25">
      <c r="A138" s="134" t="s">
        <v>62</v>
      </c>
      <c r="B138" s="135">
        <v>46055</v>
      </c>
      <c r="C138" s="136" t="s">
        <v>49</v>
      </c>
      <c r="D138" s="136"/>
      <c r="E138" s="55">
        <v>882</v>
      </c>
      <c r="F138" s="55">
        <v>0</v>
      </c>
      <c r="G138" s="137">
        <f>Tabla3[[#This Row],[EGRESOS]]-Tabla3[[#This Row],[INGRESOS]]</f>
        <v>882</v>
      </c>
      <c r="H138" s="137">
        <v>-3290942.34</v>
      </c>
      <c r="I138" s="138">
        <v>1450</v>
      </c>
      <c r="J138" s="139">
        <f>Tabla3[[#This Row],[EGRESOS]]/Tabla3[[#This Row],[TC]]</f>
        <v>0.60827586206896556</v>
      </c>
      <c r="K138" s="139">
        <f>Tabla3[[#This Row],[INGRESOS]]/Tabla3[[#This Row],[TC]]</f>
        <v>0</v>
      </c>
      <c r="L138" s="8" t="s">
        <v>94</v>
      </c>
      <c r="M138" s="8" t="s">
        <v>95</v>
      </c>
      <c r="N138" s="8" t="s">
        <v>1</v>
      </c>
      <c r="O138" s="8" t="s">
        <v>17</v>
      </c>
      <c r="P138" s="8" t="s">
        <v>22</v>
      </c>
      <c r="Q138" s="8" t="s">
        <v>23</v>
      </c>
      <c r="R138" s="8" t="s">
        <v>96</v>
      </c>
      <c r="S138" s="8"/>
      <c r="T138" s="8"/>
      <c r="U138" s="8" t="s">
        <v>61</v>
      </c>
      <c r="V138" s="8"/>
      <c r="W138" s="8" t="s">
        <v>241</v>
      </c>
    </row>
    <row r="139" spans="1:23" x14ac:dyDescent="0.25">
      <c r="A139" s="134" t="s">
        <v>62</v>
      </c>
      <c r="B139" s="135">
        <v>46055</v>
      </c>
      <c r="C139" s="136" t="s">
        <v>206</v>
      </c>
      <c r="D139" s="136"/>
      <c r="E139" s="55">
        <v>126</v>
      </c>
      <c r="F139" s="55">
        <v>0</v>
      </c>
      <c r="G139" s="137">
        <f>Tabla3[[#This Row],[EGRESOS]]-Tabla3[[#This Row],[INGRESOS]]</f>
        <v>126</v>
      </c>
      <c r="H139" s="137">
        <v>-3291068.34</v>
      </c>
      <c r="I139" s="138">
        <v>1450</v>
      </c>
      <c r="J139" s="139">
        <f>Tabla3[[#This Row],[EGRESOS]]/Tabla3[[#This Row],[TC]]</f>
        <v>8.6896551724137933E-2</v>
      </c>
      <c r="K139" s="139">
        <f>Tabla3[[#This Row],[INGRESOS]]/Tabla3[[#This Row],[TC]]</f>
        <v>0</v>
      </c>
      <c r="L139" s="8" t="s">
        <v>94</v>
      </c>
      <c r="M139" s="8" t="s">
        <v>95</v>
      </c>
      <c r="N139" s="8" t="s">
        <v>1</v>
      </c>
      <c r="O139" s="8" t="s">
        <v>17</v>
      </c>
      <c r="P139" s="8" t="s">
        <v>22</v>
      </c>
      <c r="Q139" s="8" t="s">
        <v>23</v>
      </c>
      <c r="R139" s="8" t="s">
        <v>210</v>
      </c>
      <c r="S139" s="8"/>
      <c r="T139" s="8"/>
      <c r="U139" s="8" t="s">
        <v>61</v>
      </c>
      <c r="V139" s="8"/>
      <c r="W139" s="8" t="s">
        <v>241</v>
      </c>
    </row>
    <row r="140" spans="1:23" x14ac:dyDescent="0.25">
      <c r="A140" s="134" t="s">
        <v>62</v>
      </c>
      <c r="B140" s="135">
        <v>46055</v>
      </c>
      <c r="C140" s="136" t="s">
        <v>205</v>
      </c>
      <c r="D140" s="136"/>
      <c r="E140" s="55">
        <v>252</v>
      </c>
      <c r="F140" s="55">
        <v>0</v>
      </c>
      <c r="G140" s="137">
        <f>Tabla3[[#This Row],[EGRESOS]]-Tabla3[[#This Row],[INGRESOS]]</f>
        <v>252</v>
      </c>
      <c r="H140" s="137">
        <v>-3291320.34</v>
      </c>
      <c r="I140" s="138">
        <v>1450</v>
      </c>
      <c r="J140" s="139">
        <f>Tabla3[[#This Row],[EGRESOS]]/Tabla3[[#This Row],[TC]]</f>
        <v>0.17379310344827587</v>
      </c>
      <c r="K140" s="139">
        <f>Tabla3[[#This Row],[INGRESOS]]/Tabla3[[#This Row],[TC]]</f>
        <v>0</v>
      </c>
      <c r="L140" s="8" t="s">
        <v>94</v>
      </c>
      <c r="M140" s="8" t="s">
        <v>95</v>
      </c>
      <c r="N140" s="8" t="s">
        <v>1</v>
      </c>
      <c r="O140" s="8" t="s">
        <v>17</v>
      </c>
      <c r="P140" s="8" t="s">
        <v>22</v>
      </c>
      <c r="Q140" s="8" t="s">
        <v>23</v>
      </c>
      <c r="R140" s="8" t="s">
        <v>211</v>
      </c>
      <c r="S140" s="8"/>
      <c r="T140" s="8"/>
      <c r="U140" s="8" t="s">
        <v>61</v>
      </c>
      <c r="V140" s="8"/>
      <c r="W140" s="8" t="s">
        <v>241</v>
      </c>
    </row>
    <row r="141" spans="1:23" x14ac:dyDescent="0.25">
      <c r="A141" s="134" t="s">
        <v>62</v>
      </c>
      <c r="B141" s="135">
        <v>46055</v>
      </c>
      <c r="C141" s="136" t="s">
        <v>204</v>
      </c>
      <c r="D141" s="136"/>
      <c r="E141" s="55">
        <v>500.76</v>
      </c>
      <c r="F141" s="55">
        <v>0</v>
      </c>
      <c r="G141" s="137">
        <f>Tabla3[[#This Row],[EGRESOS]]-Tabla3[[#This Row],[INGRESOS]]</f>
        <v>500.76</v>
      </c>
      <c r="H141" s="137">
        <v>-3291821.1</v>
      </c>
      <c r="I141" s="138">
        <v>1450</v>
      </c>
      <c r="J141" s="139">
        <f>Tabla3[[#This Row],[EGRESOS]]/Tabla3[[#This Row],[TC]]</f>
        <v>0.34535172413793103</v>
      </c>
      <c r="K141" s="139">
        <f>Tabla3[[#This Row],[INGRESOS]]/Tabla3[[#This Row],[TC]]</f>
        <v>0</v>
      </c>
      <c r="L141" s="8" t="s">
        <v>94</v>
      </c>
      <c r="M141" s="8" t="s">
        <v>95</v>
      </c>
      <c r="N141" s="8" t="s">
        <v>1</v>
      </c>
      <c r="O141" s="8" t="s">
        <v>17</v>
      </c>
      <c r="P141" s="8" t="s">
        <v>22</v>
      </c>
      <c r="Q141" s="8" t="s">
        <v>23</v>
      </c>
      <c r="R141" s="8" t="s">
        <v>200</v>
      </c>
      <c r="S141" s="8"/>
      <c r="T141" s="8"/>
      <c r="U141" s="8" t="s">
        <v>61</v>
      </c>
      <c r="V141" s="8"/>
      <c r="W141" s="8" t="s">
        <v>241</v>
      </c>
    </row>
    <row r="142" spans="1:23" x14ac:dyDescent="0.25">
      <c r="A142" s="134" t="s">
        <v>62</v>
      </c>
      <c r="B142" s="135">
        <v>46055</v>
      </c>
      <c r="C142" s="136" t="s">
        <v>205</v>
      </c>
      <c r="D142" s="136"/>
      <c r="E142" s="55">
        <v>14100.65</v>
      </c>
      <c r="F142" s="55">
        <v>0</v>
      </c>
      <c r="G142" s="137">
        <f>Tabla3[[#This Row],[EGRESOS]]-Tabla3[[#This Row],[INGRESOS]]</f>
        <v>14100.65</v>
      </c>
      <c r="H142" s="137">
        <v>-3305921.75</v>
      </c>
      <c r="I142" s="138">
        <v>1450</v>
      </c>
      <c r="J142" s="139">
        <f>Tabla3[[#This Row],[EGRESOS]]/Tabla3[[#This Row],[TC]]</f>
        <v>9.7245862068965518</v>
      </c>
      <c r="K142" s="139">
        <f>Tabla3[[#This Row],[INGRESOS]]/Tabla3[[#This Row],[TC]]</f>
        <v>0</v>
      </c>
      <c r="L142" s="8" t="s">
        <v>94</v>
      </c>
      <c r="M142" s="8" t="s">
        <v>95</v>
      </c>
      <c r="N142" s="8" t="s">
        <v>1</v>
      </c>
      <c r="O142" s="8" t="s">
        <v>17</v>
      </c>
      <c r="P142" s="8" t="s">
        <v>22</v>
      </c>
      <c r="Q142" s="8" t="s">
        <v>23</v>
      </c>
      <c r="R142" s="8" t="s">
        <v>211</v>
      </c>
      <c r="S142" s="8"/>
      <c r="T142" s="8"/>
      <c r="U142" s="8" t="s">
        <v>61</v>
      </c>
      <c r="V142" s="8"/>
      <c r="W142" s="8" t="s">
        <v>241</v>
      </c>
    </row>
    <row r="143" spans="1:23" x14ac:dyDescent="0.25">
      <c r="A143" s="134" t="s">
        <v>62</v>
      </c>
      <c r="B143" s="135">
        <v>46055</v>
      </c>
      <c r="C143" s="136" t="s">
        <v>206</v>
      </c>
      <c r="D143" s="136"/>
      <c r="E143" s="55">
        <v>3525.16</v>
      </c>
      <c r="F143" s="55">
        <v>0</v>
      </c>
      <c r="G143" s="137">
        <f>Tabla3[[#This Row],[EGRESOS]]-Tabla3[[#This Row],[INGRESOS]]</f>
        <v>3525.16</v>
      </c>
      <c r="H143" s="137">
        <v>-3309446.91</v>
      </c>
      <c r="I143" s="138">
        <v>1450</v>
      </c>
      <c r="J143" s="139">
        <f>Tabla3[[#This Row],[EGRESOS]]/Tabla3[[#This Row],[TC]]</f>
        <v>2.4311448275862069</v>
      </c>
      <c r="K143" s="139">
        <f>Tabla3[[#This Row],[INGRESOS]]/Tabla3[[#This Row],[TC]]</f>
        <v>0</v>
      </c>
      <c r="L143" s="8" t="s">
        <v>94</v>
      </c>
      <c r="M143" s="8" t="s">
        <v>95</v>
      </c>
      <c r="N143" s="8" t="s">
        <v>1</v>
      </c>
      <c r="O143" s="8" t="s">
        <v>17</v>
      </c>
      <c r="P143" s="8" t="s">
        <v>22</v>
      </c>
      <c r="Q143" s="8" t="s">
        <v>23</v>
      </c>
      <c r="R143" s="8" t="s">
        <v>210</v>
      </c>
      <c r="S143" s="8"/>
      <c r="T143" s="8"/>
      <c r="U143" s="8" t="s">
        <v>61</v>
      </c>
      <c r="V143" s="8"/>
      <c r="W143" s="8" t="s">
        <v>241</v>
      </c>
    </row>
    <row r="144" spans="1:23" x14ac:dyDescent="0.25">
      <c r="A144" s="134" t="s">
        <v>62</v>
      </c>
      <c r="B144" s="135">
        <v>46055</v>
      </c>
      <c r="C144" s="136" t="s">
        <v>49</v>
      </c>
      <c r="D144" s="136"/>
      <c r="E144" s="55">
        <v>24676.13</v>
      </c>
      <c r="F144" s="55">
        <v>0</v>
      </c>
      <c r="G144" s="137">
        <f>Tabla3[[#This Row],[EGRESOS]]-Tabla3[[#This Row],[INGRESOS]]</f>
        <v>24676.13</v>
      </c>
      <c r="H144" s="137">
        <v>-3334123.04</v>
      </c>
      <c r="I144" s="138">
        <v>1450</v>
      </c>
      <c r="J144" s="139">
        <f>Tabla3[[#This Row],[EGRESOS]]/Tabla3[[#This Row],[TC]]</f>
        <v>17.018020689655174</v>
      </c>
      <c r="K144" s="139">
        <f>Tabla3[[#This Row],[INGRESOS]]/Tabla3[[#This Row],[TC]]</f>
        <v>0</v>
      </c>
      <c r="L144" s="8" t="s">
        <v>94</v>
      </c>
      <c r="M144" s="8" t="s">
        <v>95</v>
      </c>
      <c r="N144" s="8" t="s">
        <v>1</v>
      </c>
      <c r="O144" s="8" t="s">
        <v>17</v>
      </c>
      <c r="P144" s="8" t="s">
        <v>22</v>
      </c>
      <c r="Q144" s="8" t="s">
        <v>23</v>
      </c>
      <c r="R144" s="8" t="s">
        <v>96</v>
      </c>
      <c r="S144" s="8"/>
      <c r="T144" s="8"/>
      <c r="U144" s="8" t="s">
        <v>61</v>
      </c>
      <c r="V144" s="8"/>
      <c r="W144" s="8" t="s">
        <v>241</v>
      </c>
    </row>
    <row r="145" spans="1:23" x14ac:dyDescent="0.25">
      <c r="A145" s="134" t="s">
        <v>62</v>
      </c>
      <c r="B145" s="135">
        <v>46055</v>
      </c>
      <c r="C145" s="136" t="s">
        <v>207</v>
      </c>
      <c r="D145" s="136"/>
      <c r="E145" s="55">
        <v>4783.1899999999996</v>
      </c>
      <c r="F145" s="55">
        <v>0</v>
      </c>
      <c r="G145" s="137">
        <f>Tabla3[[#This Row],[EGRESOS]]-Tabla3[[#This Row],[INGRESOS]]</f>
        <v>4783.1899999999996</v>
      </c>
      <c r="H145" s="137">
        <v>-3338906.23</v>
      </c>
      <c r="I145" s="138">
        <v>1450</v>
      </c>
      <c r="J145" s="139">
        <f>Tabla3[[#This Row],[EGRESOS]]/Tabla3[[#This Row],[TC]]</f>
        <v>3.2987517241379307</v>
      </c>
      <c r="K145" s="139">
        <f>Tabla3[[#This Row],[INGRESOS]]/Tabla3[[#This Row],[TC]]</f>
        <v>0</v>
      </c>
      <c r="L145" s="8" t="s">
        <v>94</v>
      </c>
      <c r="M145" s="8" t="s">
        <v>95</v>
      </c>
      <c r="N145" s="8" t="s">
        <v>1</v>
      </c>
      <c r="O145" s="8" t="s">
        <v>17</v>
      </c>
      <c r="P145" s="8" t="s">
        <v>22</v>
      </c>
      <c r="Q145" s="8" t="s">
        <v>23</v>
      </c>
      <c r="R145" s="8" t="s">
        <v>199</v>
      </c>
      <c r="S145" s="8"/>
      <c r="T145" s="8"/>
      <c r="U145" s="8" t="s">
        <v>61</v>
      </c>
      <c r="V145" s="8"/>
      <c r="W145" s="8" t="s">
        <v>241</v>
      </c>
    </row>
    <row r="146" spans="1:23" x14ac:dyDescent="0.25">
      <c r="A146" s="134" t="s">
        <v>62</v>
      </c>
      <c r="B146" s="135">
        <v>46055</v>
      </c>
      <c r="C146" s="136" t="s">
        <v>208</v>
      </c>
      <c r="D146" s="136"/>
      <c r="E146" s="55">
        <v>235010.77</v>
      </c>
      <c r="F146" s="55">
        <v>0</v>
      </c>
      <c r="G146" s="137">
        <f>Tabla3[[#This Row],[EGRESOS]]-Tabla3[[#This Row],[INGRESOS]]</f>
        <v>235010.77</v>
      </c>
      <c r="H146" s="137">
        <v>-3573917</v>
      </c>
      <c r="I146" s="138">
        <v>1450</v>
      </c>
      <c r="J146" s="139">
        <f>Tabla3[[#This Row],[EGRESOS]]/Tabla3[[#This Row],[TC]]</f>
        <v>162.07639310344828</v>
      </c>
      <c r="K146" s="139">
        <f>Tabla3[[#This Row],[INGRESOS]]/Tabla3[[#This Row],[TC]]</f>
        <v>0</v>
      </c>
      <c r="L146" s="8" t="s">
        <v>94</v>
      </c>
      <c r="M146" s="8" t="s">
        <v>95</v>
      </c>
      <c r="N146" s="8" t="s">
        <v>1</v>
      </c>
      <c r="O146" s="8" t="s">
        <v>17</v>
      </c>
      <c r="P146" s="8" t="s">
        <v>24</v>
      </c>
      <c r="Q146" s="8" t="s">
        <v>25</v>
      </c>
      <c r="R146" s="8"/>
      <c r="S146" s="8"/>
      <c r="T146" s="8"/>
      <c r="U146" s="8" t="s">
        <v>61</v>
      </c>
      <c r="V146" s="8"/>
      <c r="W146" s="8" t="s">
        <v>241</v>
      </c>
    </row>
    <row r="147" spans="1:23" x14ac:dyDescent="0.25">
      <c r="A147" s="134" t="s">
        <v>62</v>
      </c>
      <c r="B147" s="135">
        <v>46055</v>
      </c>
      <c r="C147" s="136" t="s">
        <v>204</v>
      </c>
      <c r="D147" s="136"/>
      <c r="E147" s="55">
        <v>1692.58</v>
      </c>
      <c r="F147" s="55">
        <v>0</v>
      </c>
      <c r="G147" s="137">
        <f>Tabla3[[#This Row],[EGRESOS]]-Tabla3[[#This Row],[INGRESOS]]</f>
        <v>1692.58</v>
      </c>
      <c r="H147" s="137">
        <v>-3575609.58</v>
      </c>
      <c r="I147" s="138">
        <v>1450</v>
      </c>
      <c r="J147" s="139">
        <f>Tabla3[[#This Row],[EGRESOS]]/Tabla3[[#This Row],[TC]]</f>
        <v>1.1672965517241378</v>
      </c>
      <c r="K147" s="139">
        <f>Tabla3[[#This Row],[INGRESOS]]/Tabla3[[#This Row],[TC]]</f>
        <v>0</v>
      </c>
      <c r="L147" s="8" t="s">
        <v>94</v>
      </c>
      <c r="M147" s="8" t="s">
        <v>95</v>
      </c>
      <c r="N147" s="8" t="s">
        <v>1</v>
      </c>
      <c r="O147" s="8" t="s">
        <v>17</v>
      </c>
      <c r="P147" s="8" t="s">
        <v>22</v>
      </c>
      <c r="Q147" s="8" t="s">
        <v>23</v>
      </c>
      <c r="R147" s="8" t="s">
        <v>200</v>
      </c>
      <c r="S147" s="8"/>
      <c r="T147" s="8"/>
      <c r="U147" s="8" t="s">
        <v>61</v>
      </c>
      <c r="V147" s="8"/>
      <c r="W147" s="8" t="s">
        <v>241</v>
      </c>
    </row>
    <row r="148" spans="1:23" x14ac:dyDescent="0.25">
      <c r="A148" s="134" t="s">
        <v>62</v>
      </c>
      <c r="B148" s="135">
        <v>46056</v>
      </c>
      <c r="C148" s="136" t="s">
        <v>341</v>
      </c>
      <c r="D148" s="136" t="s">
        <v>358</v>
      </c>
      <c r="E148" s="55">
        <v>562654.07999999996</v>
      </c>
      <c r="F148" s="55">
        <v>0</v>
      </c>
      <c r="G148" s="137">
        <f>Tabla3[[#This Row],[EGRESOS]]-Tabla3[[#This Row],[INGRESOS]]</f>
        <v>562654.07999999996</v>
      </c>
      <c r="H148" s="137">
        <v>-4138263.66</v>
      </c>
      <c r="I148" s="138">
        <v>1450</v>
      </c>
      <c r="J148" s="139">
        <f>Tabla3[[#This Row],[EGRESOS]]/Tabla3[[#This Row],[TC]]</f>
        <v>388.03729655172413</v>
      </c>
      <c r="K148" s="139">
        <f>Tabla3[[#This Row],[INGRESOS]]/Tabla3[[#This Row],[TC]]</f>
        <v>0</v>
      </c>
      <c r="L148" s="8" t="s">
        <v>94</v>
      </c>
      <c r="M148" s="8" t="s">
        <v>95</v>
      </c>
      <c r="N148" s="8" t="s">
        <v>1</v>
      </c>
      <c r="O148" s="8" t="s">
        <v>39</v>
      </c>
      <c r="P148" s="8" t="s">
        <v>44</v>
      </c>
      <c r="Q148" s="8" t="s">
        <v>364</v>
      </c>
      <c r="R148" s="8"/>
      <c r="S148" s="8" t="s">
        <v>363</v>
      </c>
      <c r="T148" s="8"/>
      <c r="U148" s="8" t="s">
        <v>235</v>
      </c>
      <c r="V148" s="8"/>
      <c r="W148" s="8" t="s">
        <v>241</v>
      </c>
    </row>
    <row r="149" spans="1:23" x14ac:dyDescent="0.25">
      <c r="A149" s="134" t="s">
        <v>62</v>
      </c>
      <c r="B149" s="135">
        <v>46055</v>
      </c>
      <c r="C149" s="136" t="s">
        <v>336</v>
      </c>
      <c r="D149" s="136" t="s">
        <v>357</v>
      </c>
      <c r="E149" s="55">
        <v>662600.02</v>
      </c>
      <c r="F149" s="55">
        <v>0</v>
      </c>
      <c r="G149" s="137">
        <f>Tabla3[[#This Row],[EGRESOS]]-Tabla3[[#This Row],[INGRESOS]]</f>
        <v>662600.02</v>
      </c>
      <c r="H149" s="137">
        <v>-4800863.68</v>
      </c>
      <c r="I149" s="138">
        <v>1450</v>
      </c>
      <c r="J149" s="139">
        <f>Tabla3[[#This Row],[EGRESOS]]/Tabla3[[#This Row],[TC]]</f>
        <v>456.96553103448275</v>
      </c>
      <c r="K149" s="139">
        <f>Tabla3[[#This Row],[INGRESOS]]/Tabla3[[#This Row],[TC]]</f>
        <v>0</v>
      </c>
      <c r="L149" s="8" t="s">
        <v>94</v>
      </c>
      <c r="M149" s="8" t="s">
        <v>95</v>
      </c>
      <c r="N149" s="8" t="s">
        <v>1</v>
      </c>
      <c r="O149" s="8" t="s">
        <v>52</v>
      </c>
      <c r="P149" s="8" t="s">
        <v>198</v>
      </c>
      <c r="Q149" s="8" t="s">
        <v>54</v>
      </c>
      <c r="R149" s="8"/>
      <c r="S149" s="8" t="s">
        <v>196</v>
      </c>
      <c r="T149" s="8" t="s">
        <v>362</v>
      </c>
      <c r="U149" s="8" t="s">
        <v>235</v>
      </c>
      <c r="V149" s="8"/>
      <c r="W149" s="8" t="s">
        <v>241</v>
      </c>
    </row>
    <row r="150" spans="1:23" x14ac:dyDescent="0.25">
      <c r="A150" s="134" t="s">
        <v>62</v>
      </c>
      <c r="B150" s="135">
        <v>46056</v>
      </c>
      <c r="C150" s="136" t="s">
        <v>341</v>
      </c>
      <c r="D150" s="136" t="s">
        <v>356</v>
      </c>
      <c r="E150" s="55">
        <v>1500000</v>
      </c>
      <c r="F150" s="55">
        <v>0</v>
      </c>
      <c r="G150" s="137">
        <f>Tabla3[[#This Row],[EGRESOS]]-Tabla3[[#This Row],[INGRESOS]]</f>
        <v>1500000</v>
      </c>
      <c r="H150" s="137">
        <v>-6300863.6799999997</v>
      </c>
      <c r="I150" s="138">
        <v>1450</v>
      </c>
      <c r="J150" s="139">
        <f>Tabla3[[#This Row],[EGRESOS]]/Tabla3[[#This Row],[TC]]</f>
        <v>1034.4827586206898</v>
      </c>
      <c r="K150" s="139">
        <f>Tabla3[[#This Row],[INGRESOS]]/Tabla3[[#This Row],[TC]]</f>
        <v>0</v>
      </c>
      <c r="L150" s="8" t="s">
        <v>94</v>
      </c>
      <c r="M150" s="8" t="s">
        <v>95</v>
      </c>
      <c r="N150" s="8" t="s">
        <v>1</v>
      </c>
      <c r="O150" s="8" t="s">
        <v>39</v>
      </c>
      <c r="P150" s="8" t="s">
        <v>44</v>
      </c>
      <c r="Q150" s="8" t="s">
        <v>361</v>
      </c>
      <c r="R150" s="8"/>
      <c r="S150" s="8" t="s">
        <v>359</v>
      </c>
      <c r="T150" s="8" t="s">
        <v>360</v>
      </c>
      <c r="U150" s="8" t="s">
        <v>235</v>
      </c>
      <c r="V150" s="8"/>
      <c r="W150" s="8" t="s">
        <v>241</v>
      </c>
    </row>
    <row r="151" spans="1:23" x14ac:dyDescent="0.25">
      <c r="A151" s="134" t="s">
        <v>62</v>
      </c>
      <c r="B151" s="135">
        <v>46056</v>
      </c>
      <c r="C151" s="136" t="s">
        <v>373</v>
      </c>
      <c r="D151" s="136"/>
      <c r="E151" s="55">
        <v>589918.56000000006</v>
      </c>
      <c r="F151" s="55">
        <v>0</v>
      </c>
      <c r="G151" s="137">
        <f>Tabla3[[#This Row],[EGRESOS]]-Tabla3[[#This Row],[INGRESOS]]</f>
        <v>589918.56000000006</v>
      </c>
      <c r="H151" s="137">
        <v>-6894757.8399999999</v>
      </c>
      <c r="I151" s="138">
        <v>1450</v>
      </c>
      <c r="J151" s="139">
        <f>Tabla3[[#This Row],[EGRESOS]]/Tabla3[[#This Row],[TC]]</f>
        <v>406.8403862068966</v>
      </c>
      <c r="K151" s="139">
        <f>Tabla3[[#This Row],[INGRESOS]]/Tabla3[[#This Row],[TC]]</f>
        <v>0</v>
      </c>
      <c r="L151" s="8" t="s">
        <v>94</v>
      </c>
      <c r="M151" s="8" t="s">
        <v>95</v>
      </c>
      <c r="N151" s="8" t="s">
        <v>1</v>
      </c>
      <c r="O151" s="8" t="s">
        <v>34</v>
      </c>
      <c r="P151" s="8" t="s">
        <v>255</v>
      </c>
      <c r="Q151" s="8" t="s">
        <v>38</v>
      </c>
      <c r="R151" s="8" t="s">
        <v>374</v>
      </c>
      <c r="S151" s="8" t="s">
        <v>375</v>
      </c>
      <c r="T151" s="8" t="s">
        <v>376</v>
      </c>
      <c r="U151" s="8" t="s">
        <v>235</v>
      </c>
      <c r="V151" s="8"/>
      <c r="W151" s="8" t="s">
        <v>241</v>
      </c>
    </row>
    <row r="152" spans="1:23" x14ac:dyDescent="0.25">
      <c r="A152" s="134" t="s">
        <v>62</v>
      </c>
      <c r="B152" s="135">
        <v>46056</v>
      </c>
      <c r="C152" s="136" t="s">
        <v>204</v>
      </c>
      <c r="D152" s="136"/>
      <c r="E152" s="55">
        <v>15915.44</v>
      </c>
      <c r="F152" s="55">
        <v>0</v>
      </c>
      <c r="G152" s="137">
        <f>Tabla3[[#This Row],[EGRESOS]]-Tabla3[[#This Row],[INGRESOS]]</f>
        <v>15915.44</v>
      </c>
      <c r="H152" s="144">
        <v>-6910673.2800000003</v>
      </c>
      <c r="I152" s="138">
        <v>1450</v>
      </c>
      <c r="J152" s="139">
        <f>Tabla3[[#This Row],[EGRESOS]]/Tabla3[[#This Row],[TC]]</f>
        <v>10.97616551724138</v>
      </c>
      <c r="K152" s="139">
        <f>Tabla3[[#This Row],[INGRESOS]]/Tabla3[[#This Row],[TC]]</f>
        <v>0</v>
      </c>
      <c r="L152" s="8" t="s">
        <v>94</v>
      </c>
      <c r="M152" s="8" t="s">
        <v>95</v>
      </c>
      <c r="N152" s="8" t="s">
        <v>1</v>
      </c>
      <c r="O152" s="8" t="s">
        <v>17</v>
      </c>
      <c r="P152" s="8" t="s">
        <v>22</v>
      </c>
      <c r="Q152" s="8" t="s">
        <v>23</v>
      </c>
      <c r="R152" s="8" t="s">
        <v>200</v>
      </c>
      <c r="S152" s="8"/>
      <c r="T152" s="8"/>
      <c r="U152" s="8" t="s">
        <v>61</v>
      </c>
      <c r="V152" s="8"/>
      <c r="W152" s="8" t="s">
        <v>241</v>
      </c>
    </row>
    <row r="153" spans="1:23" x14ac:dyDescent="0.25">
      <c r="A153" s="134" t="s">
        <v>62</v>
      </c>
      <c r="B153" s="135">
        <v>46057</v>
      </c>
      <c r="C153" s="136" t="s">
        <v>377</v>
      </c>
      <c r="D153" s="136"/>
      <c r="E153" s="55">
        <v>150000</v>
      </c>
      <c r="F153" s="55">
        <v>0</v>
      </c>
      <c r="G153" s="137">
        <f>Tabla3[[#This Row],[EGRESOS]]-Tabla3[[#This Row],[INGRESOS]]</f>
        <v>150000</v>
      </c>
      <c r="H153" s="137">
        <v>-7060673.2800000003</v>
      </c>
      <c r="I153" s="138">
        <v>1450</v>
      </c>
      <c r="J153" s="139">
        <f>Tabla3[[#This Row],[EGRESOS]]/Tabla3[[#This Row],[TC]]</f>
        <v>103.44827586206897</v>
      </c>
      <c r="K153" s="139">
        <f>Tabla3[[#This Row],[INGRESOS]]/Tabla3[[#This Row],[TC]]</f>
        <v>0</v>
      </c>
      <c r="L153" s="8" t="s">
        <v>94</v>
      </c>
      <c r="M153" s="8" t="s">
        <v>95</v>
      </c>
      <c r="N153" s="8" t="s">
        <v>1</v>
      </c>
      <c r="O153" s="8" t="s">
        <v>251</v>
      </c>
      <c r="P153" s="8" t="s">
        <v>250</v>
      </c>
      <c r="Q153" s="8" t="s">
        <v>252</v>
      </c>
      <c r="R153" s="8" t="s">
        <v>278</v>
      </c>
      <c r="S153" s="8"/>
      <c r="T153" s="8"/>
      <c r="U153" s="8" t="s">
        <v>253</v>
      </c>
      <c r="V153" s="8"/>
      <c r="W153" s="8" t="s">
        <v>241</v>
      </c>
    </row>
    <row r="154" spans="1:23" x14ac:dyDescent="0.25">
      <c r="A154" s="134" t="s">
        <v>62</v>
      </c>
      <c r="B154" s="135">
        <v>46062</v>
      </c>
      <c r="C154" s="136" t="s">
        <v>377</v>
      </c>
      <c r="D154" s="136"/>
      <c r="E154" s="55">
        <v>1700000</v>
      </c>
      <c r="F154" s="55">
        <v>0</v>
      </c>
      <c r="G154" s="137">
        <f>Tabla3[[#This Row],[EGRESOS]]-Tabla3[[#This Row],[INGRESOS]]</f>
        <v>1700000</v>
      </c>
      <c r="H154" s="137">
        <v>-8760673.2799999993</v>
      </c>
      <c r="I154" s="138">
        <v>1450</v>
      </c>
      <c r="J154" s="139">
        <f>Tabla3[[#This Row],[EGRESOS]]/Tabla3[[#This Row],[TC]]</f>
        <v>1172.4137931034484</v>
      </c>
      <c r="K154" s="139">
        <f>Tabla3[[#This Row],[INGRESOS]]/Tabla3[[#This Row],[TC]]</f>
        <v>0</v>
      </c>
      <c r="L154" s="8" t="s">
        <v>94</v>
      </c>
      <c r="M154" s="8" t="s">
        <v>95</v>
      </c>
      <c r="N154" s="8" t="s">
        <v>1</v>
      </c>
      <c r="O154" s="8" t="s">
        <v>251</v>
      </c>
      <c r="P154" s="8" t="s">
        <v>250</v>
      </c>
      <c r="Q154" s="8" t="s">
        <v>252</v>
      </c>
      <c r="R154" s="8" t="s">
        <v>278</v>
      </c>
      <c r="S154" s="8"/>
      <c r="T154" s="8"/>
      <c r="U154" s="8" t="s">
        <v>253</v>
      </c>
      <c r="V154" s="8"/>
      <c r="W154" s="8" t="s">
        <v>241</v>
      </c>
    </row>
    <row r="155" spans="1:23" x14ac:dyDescent="0.25">
      <c r="A155" s="134" t="s">
        <v>62</v>
      </c>
      <c r="B155" s="135">
        <v>46063</v>
      </c>
      <c r="C155" s="136" t="s">
        <v>341</v>
      </c>
      <c r="D155" s="136" t="s">
        <v>394</v>
      </c>
      <c r="E155" s="55">
        <v>660000</v>
      </c>
      <c r="F155" s="55">
        <v>0</v>
      </c>
      <c r="G155" s="137">
        <f>Tabla3[[#This Row],[EGRESOS]]-Tabla3[[#This Row],[INGRESOS]]</f>
        <v>660000</v>
      </c>
      <c r="H155" s="137">
        <v>-9420673.2799999993</v>
      </c>
      <c r="I155" s="138">
        <v>1450</v>
      </c>
      <c r="J155" s="139">
        <f>Tabla3[[#This Row],[EGRESOS]]/Tabla3[[#This Row],[TC]]</f>
        <v>455.17241379310343</v>
      </c>
      <c r="K155" s="139">
        <f>Tabla3[[#This Row],[INGRESOS]]/Tabla3[[#This Row],[TC]]</f>
        <v>0</v>
      </c>
      <c r="L155" s="8" t="s">
        <v>94</v>
      </c>
      <c r="M155" s="8" t="s">
        <v>95</v>
      </c>
      <c r="N155" s="8" t="s">
        <v>1</v>
      </c>
      <c r="O155" s="8" t="s">
        <v>52</v>
      </c>
      <c r="P155" s="8" t="s">
        <v>198</v>
      </c>
      <c r="Q155" s="8" t="s">
        <v>35</v>
      </c>
      <c r="R155" s="8" t="s">
        <v>20</v>
      </c>
      <c r="S155" s="8" t="s">
        <v>219</v>
      </c>
      <c r="T155" s="8"/>
      <c r="U155" s="8" t="s">
        <v>235</v>
      </c>
      <c r="V155" s="8"/>
      <c r="W155" s="8" t="s">
        <v>241</v>
      </c>
    </row>
    <row r="156" spans="1:23" x14ac:dyDescent="0.25">
      <c r="A156" s="134" t="s">
        <v>62</v>
      </c>
      <c r="B156" s="135">
        <v>46063</v>
      </c>
      <c r="C156" s="136" t="s">
        <v>390</v>
      </c>
      <c r="D156" s="136"/>
      <c r="E156" s="55">
        <v>0</v>
      </c>
      <c r="F156" s="55">
        <v>700000</v>
      </c>
      <c r="G156" s="137">
        <f>Tabla3[[#This Row],[EGRESOS]]-Tabla3[[#This Row],[INGRESOS]]</f>
        <v>-700000</v>
      </c>
      <c r="H156" s="137">
        <v>-8720673.2799999993</v>
      </c>
      <c r="I156" s="138">
        <v>1450</v>
      </c>
      <c r="J156" s="139">
        <f>Tabla3[[#This Row],[EGRESOS]]/Tabla3[[#This Row],[TC]]</f>
        <v>0</v>
      </c>
      <c r="K156" s="139">
        <f>Tabla3[[#This Row],[INGRESOS]]/Tabla3[[#This Row],[TC]]</f>
        <v>482.75862068965517</v>
      </c>
      <c r="L156" s="8" t="s">
        <v>94</v>
      </c>
      <c r="M156" s="8" t="s">
        <v>95</v>
      </c>
      <c r="N156" s="8" t="s">
        <v>1</v>
      </c>
      <c r="O156" s="8" t="s">
        <v>251</v>
      </c>
      <c r="P156" s="8" t="s">
        <v>250</v>
      </c>
      <c r="Q156" s="8" t="s">
        <v>252</v>
      </c>
      <c r="R156" s="8" t="s">
        <v>412</v>
      </c>
      <c r="S156" s="8"/>
      <c r="T156" s="8"/>
      <c r="U156" s="8" t="s">
        <v>253</v>
      </c>
      <c r="V156" s="8"/>
      <c r="W156" s="8" t="s">
        <v>241</v>
      </c>
    </row>
    <row r="157" spans="1:23" x14ac:dyDescent="0.25">
      <c r="A157" s="134" t="s">
        <v>62</v>
      </c>
      <c r="B157" s="135">
        <v>46063</v>
      </c>
      <c r="C157" s="136" t="s">
        <v>204</v>
      </c>
      <c r="D157" s="136"/>
      <c r="E157" s="55">
        <v>3960</v>
      </c>
      <c r="F157" s="55">
        <v>0</v>
      </c>
      <c r="G157" s="137">
        <f>Tabla3[[#This Row],[EGRESOS]]-Tabla3[[#This Row],[INGRESOS]]</f>
        <v>3960</v>
      </c>
      <c r="H157" s="137">
        <v>-8724633.2799999993</v>
      </c>
      <c r="I157" s="138">
        <v>1450</v>
      </c>
      <c r="J157" s="139">
        <f>Tabla3[[#This Row],[EGRESOS]]/Tabla3[[#This Row],[TC]]</f>
        <v>2.7310344827586208</v>
      </c>
      <c r="K157" s="139">
        <f>Tabla3[[#This Row],[INGRESOS]]/Tabla3[[#This Row],[TC]]</f>
        <v>0</v>
      </c>
      <c r="L157" s="8" t="s">
        <v>94</v>
      </c>
      <c r="M157" s="8" t="s">
        <v>95</v>
      </c>
      <c r="N157" s="8" t="s">
        <v>1</v>
      </c>
      <c r="O157" s="8" t="s">
        <v>17</v>
      </c>
      <c r="P157" s="8" t="s">
        <v>22</v>
      </c>
      <c r="Q157" s="8" t="s">
        <v>23</v>
      </c>
      <c r="R157" s="8" t="s">
        <v>200</v>
      </c>
      <c r="S157" s="8"/>
      <c r="T157" s="8"/>
      <c r="U157" s="8" t="s">
        <v>61</v>
      </c>
      <c r="V157" s="8"/>
      <c r="W157" s="8" t="s">
        <v>241</v>
      </c>
    </row>
    <row r="158" spans="1:23" x14ac:dyDescent="0.25">
      <c r="A158" s="134" t="s">
        <v>62</v>
      </c>
      <c r="B158" s="135">
        <v>46063</v>
      </c>
      <c r="C158" s="136" t="s">
        <v>391</v>
      </c>
      <c r="D158" s="136"/>
      <c r="E158" s="55">
        <v>360000</v>
      </c>
      <c r="F158" s="55">
        <v>0</v>
      </c>
      <c r="G158" s="137">
        <f>Tabla3[[#This Row],[EGRESOS]]-Tabla3[[#This Row],[INGRESOS]]</f>
        <v>360000</v>
      </c>
      <c r="H158" s="137">
        <v>-9084633.2799999993</v>
      </c>
      <c r="I158" s="138">
        <v>1450</v>
      </c>
      <c r="J158" s="139">
        <f>Tabla3[[#This Row],[EGRESOS]]/Tabla3[[#This Row],[TC]]</f>
        <v>248.27586206896552</v>
      </c>
      <c r="K158" s="139">
        <f>Tabla3[[#This Row],[INGRESOS]]/Tabla3[[#This Row],[TC]]</f>
        <v>0</v>
      </c>
      <c r="L158" s="8" t="s">
        <v>94</v>
      </c>
      <c r="M158" s="8" t="s">
        <v>95</v>
      </c>
      <c r="N158" s="8" t="s">
        <v>1</v>
      </c>
      <c r="O158" s="8" t="s">
        <v>39</v>
      </c>
      <c r="P158" s="8" t="s">
        <v>44</v>
      </c>
      <c r="Q158" s="8" t="s">
        <v>33</v>
      </c>
      <c r="R158" s="8" t="s">
        <v>418</v>
      </c>
      <c r="S158" s="8" t="s">
        <v>416</v>
      </c>
      <c r="T158" s="8" t="s">
        <v>417</v>
      </c>
      <c r="U158" s="8" t="s">
        <v>436</v>
      </c>
      <c r="V158" s="8"/>
      <c r="W158" s="8" t="s">
        <v>241</v>
      </c>
    </row>
    <row r="159" spans="1:23" x14ac:dyDescent="0.25">
      <c r="A159" s="134" t="s">
        <v>62</v>
      </c>
      <c r="B159" s="135">
        <v>46063</v>
      </c>
      <c r="C159" s="136" t="s">
        <v>204</v>
      </c>
      <c r="D159" s="136"/>
      <c r="E159" s="55">
        <v>2160</v>
      </c>
      <c r="F159" s="55">
        <v>0</v>
      </c>
      <c r="G159" s="137">
        <f>Tabla3[[#This Row],[EGRESOS]]-Tabla3[[#This Row],[INGRESOS]]</f>
        <v>2160</v>
      </c>
      <c r="H159" s="137">
        <v>-9086793.2799999993</v>
      </c>
      <c r="I159" s="138">
        <v>1450</v>
      </c>
      <c r="J159" s="139">
        <f>Tabla3[[#This Row],[EGRESOS]]/Tabla3[[#This Row],[TC]]</f>
        <v>1.4896551724137932</v>
      </c>
      <c r="K159" s="139">
        <f>Tabla3[[#This Row],[INGRESOS]]/Tabla3[[#This Row],[TC]]</f>
        <v>0</v>
      </c>
      <c r="L159" s="8" t="s">
        <v>94</v>
      </c>
      <c r="M159" s="8" t="s">
        <v>95</v>
      </c>
      <c r="N159" s="8" t="s">
        <v>1</v>
      </c>
      <c r="O159" s="8" t="s">
        <v>17</v>
      </c>
      <c r="P159" s="8" t="s">
        <v>22</v>
      </c>
      <c r="Q159" s="8" t="s">
        <v>23</v>
      </c>
      <c r="R159" s="8" t="s">
        <v>200</v>
      </c>
      <c r="S159" s="8"/>
      <c r="T159" s="8"/>
      <c r="U159" s="8" t="s">
        <v>61</v>
      </c>
      <c r="V159" s="8"/>
      <c r="W159" s="8" t="s">
        <v>241</v>
      </c>
    </row>
    <row r="160" spans="1:23" x14ac:dyDescent="0.25">
      <c r="A160" s="134" t="s">
        <v>62</v>
      </c>
      <c r="B160" s="135">
        <v>46064</v>
      </c>
      <c r="C160" s="136" t="s">
        <v>390</v>
      </c>
      <c r="D160" s="136"/>
      <c r="E160" s="55">
        <v>0</v>
      </c>
      <c r="F160" s="55">
        <v>300</v>
      </c>
      <c r="G160" s="137">
        <f>Tabla3[[#This Row],[EGRESOS]]-Tabla3[[#This Row],[INGRESOS]]</f>
        <v>-300</v>
      </c>
      <c r="H160" s="137">
        <v>-9086493.2799999993</v>
      </c>
      <c r="I160" s="138">
        <v>1450</v>
      </c>
      <c r="J160" s="139">
        <f>Tabla3[[#This Row],[EGRESOS]]/Tabla3[[#This Row],[TC]]</f>
        <v>0</v>
      </c>
      <c r="K160" s="139">
        <f>Tabla3[[#This Row],[INGRESOS]]/Tabla3[[#This Row],[TC]]</f>
        <v>0.20689655172413793</v>
      </c>
      <c r="L160" s="8" t="s">
        <v>94</v>
      </c>
      <c r="M160" s="8" t="s">
        <v>95</v>
      </c>
      <c r="N160" s="8" t="s">
        <v>1</v>
      </c>
      <c r="O160" s="8" t="s">
        <v>251</v>
      </c>
      <c r="P160" s="8" t="s">
        <v>250</v>
      </c>
      <c r="Q160" s="8" t="s">
        <v>252</v>
      </c>
      <c r="R160" s="8" t="s">
        <v>412</v>
      </c>
      <c r="S160" s="8"/>
      <c r="T160" s="8"/>
      <c r="U160" s="8" t="s">
        <v>253</v>
      </c>
      <c r="V160" s="8"/>
      <c r="W160" s="8" t="s">
        <v>241</v>
      </c>
    </row>
    <row r="161" spans="1:23" x14ac:dyDescent="0.25">
      <c r="A161" s="134" t="s">
        <v>62</v>
      </c>
      <c r="B161" s="135">
        <v>46064</v>
      </c>
      <c r="C161" s="136" t="s">
        <v>390</v>
      </c>
      <c r="D161" s="136"/>
      <c r="E161" s="55">
        <v>0</v>
      </c>
      <c r="F161" s="55">
        <v>300000</v>
      </c>
      <c r="G161" s="137">
        <f>Tabla3[[#This Row],[EGRESOS]]-Tabla3[[#This Row],[INGRESOS]]</f>
        <v>-300000</v>
      </c>
      <c r="H161" s="137">
        <v>-8786493.2799999993</v>
      </c>
      <c r="I161" s="138">
        <v>1450</v>
      </c>
      <c r="J161" s="139">
        <f>Tabla3[[#This Row],[EGRESOS]]/Tabla3[[#This Row],[TC]]</f>
        <v>0</v>
      </c>
      <c r="K161" s="139">
        <f>Tabla3[[#This Row],[INGRESOS]]/Tabla3[[#This Row],[TC]]</f>
        <v>206.89655172413794</v>
      </c>
      <c r="L161" s="8" t="s">
        <v>94</v>
      </c>
      <c r="M161" s="8" t="s">
        <v>95</v>
      </c>
      <c r="N161" s="8" t="s">
        <v>1</v>
      </c>
      <c r="O161" s="8" t="s">
        <v>251</v>
      </c>
      <c r="P161" s="8" t="s">
        <v>250</v>
      </c>
      <c r="Q161" s="8" t="s">
        <v>252</v>
      </c>
      <c r="R161" s="8" t="s">
        <v>412</v>
      </c>
      <c r="S161" s="8"/>
      <c r="T161" s="8"/>
      <c r="U161" s="8" t="s">
        <v>253</v>
      </c>
      <c r="V161" s="8"/>
      <c r="W161" s="8" t="s">
        <v>241</v>
      </c>
    </row>
    <row r="162" spans="1:23" x14ac:dyDescent="0.25">
      <c r="A162" s="134" t="s">
        <v>62</v>
      </c>
      <c r="B162" s="135">
        <v>46065</v>
      </c>
      <c r="C162" s="136" t="s">
        <v>390</v>
      </c>
      <c r="D162" s="136"/>
      <c r="E162" s="55">
        <v>0</v>
      </c>
      <c r="F162" s="55">
        <v>1200000</v>
      </c>
      <c r="G162" s="137">
        <f>Tabla3[[#This Row],[EGRESOS]]-Tabla3[[#This Row],[INGRESOS]]</f>
        <v>-1200000</v>
      </c>
      <c r="H162" s="137">
        <v>-7586493.2800000003</v>
      </c>
      <c r="I162" s="138">
        <v>1450</v>
      </c>
      <c r="J162" s="139">
        <f>Tabla3[[#This Row],[EGRESOS]]/Tabla3[[#This Row],[TC]]</f>
        <v>0</v>
      </c>
      <c r="K162" s="139">
        <f>Tabla3[[#This Row],[INGRESOS]]/Tabla3[[#This Row],[TC]]</f>
        <v>827.58620689655174</v>
      </c>
      <c r="L162" s="8" t="s">
        <v>94</v>
      </c>
      <c r="M162" s="8" t="s">
        <v>95</v>
      </c>
      <c r="N162" s="8" t="s">
        <v>1</v>
      </c>
      <c r="O162" s="8" t="s">
        <v>251</v>
      </c>
      <c r="P162" s="8" t="s">
        <v>250</v>
      </c>
      <c r="Q162" s="8" t="s">
        <v>252</v>
      </c>
      <c r="R162" s="8" t="s">
        <v>412</v>
      </c>
      <c r="S162" s="8"/>
      <c r="T162" s="8"/>
      <c r="U162" s="8" t="s">
        <v>253</v>
      </c>
      <c r="V162" s="8"/>
      <c r="W162" s="8" t="s">
        <v>241</v>
      </c>
    </row>
    <row r="163" spans="1:23" x14ac:dyDescent="0.25">
      <c r="A163" s="134" t="s">
        <v>62</v>
      </c>
      <c r="B163" s="135">
        <v>46065</v>
      </c>
      <c r="C163" s="136" t="s">
        <v>392</v>
      </c>
      <c r="D163" s="136"/>
      <c r="E163" s="55">
        <v>0</v>
      </c>
      <c r="F163" s="55">
        <v>800000</v>
      </c>
      <c r="G163" s="137">
        <f>Tabla3[[#This Row],[EGRESOS]]-Tabla3[[#This Row],[INGRESOS]]</f>
        <v>-800000</v>
      </c>
      <c r="H163" s="137">
        <v>-6786493.2800000003</v>
      </c>
      <c r="I163" s="138">
        <v>1450</v>
      </c>
      <c r="J163" s="139">
        <f>Tabla3[[#This Row],[EGRESOS]]/Tabla3[[#This Row],[TC]]</f>
        <v>0</v>
      </c>
      <c r="K163" s="139">
        <f>Tabla3[[#This Row],[INGRESOS]]/Tabla3[[#This Row],[TC]]</f>
        <v>551.72413793103453</v>
      </c>
      <c r="L163" s="8" t="s">
        <v>94</v>
      </c>
      <c r="M163" s="8" t="s">
        <v>95</v>
      </c>
      <c r="N163" s="8" t="s">
        <v>1</v>
      </c>
      <c r="O163" s="8" t="s">
        <v>17</v>
      </c>
      <c r="P163" s="8" t="s">
        <v>28</v>
      </c>
      <c r="Q163" s="8" t="s">
        <v>29</v>
      </c>
      <c r="R163" s="8"/>
      <c r="S163" s="8" t="s">
        <v>281</v>
      </c>
      <c r="T163" s="8"/>
      <c r="U163" s="8" t="s">
        <v>313</v>
      </c>
      <c r="V163" s="8" t="s">
        <v>98</v>
      </c>
      <c r="W163" s="8" t="s">
        <v>241</v>
      </c>
    </row>
    <row r="164" spans="1:23" x14ac:dyDescent="0.25">
      <c r="A164" s="134" t="s">
        <v>62</v>
      </c>
      <c r="B164" s="135">
        <v>46065</v>
      </c>
      <c r="C164" s="136" t="s">
        <v>393</v>
      </c>
      <c r="D164" s="136"/>
      <c r="E164" s="55">
        <v>4800</v>
      </c>
      <c r="F164" s="55">
        <v>0</v>
      </c>
      <c r="G164" s="137">
        <f>Tabla3[[#This Row],[EGRESOS]]-Tabla3[[#This Row],[INGRESOS]]</f>
        <v>4800</v>
      </c>
      <c r="H164" s="137">
        <v>-6791293.2800000003</v>
      </c>
      <c r="I164" s="138">
        <v>1450</v>
      </c>
      <c r="J164" s="139">
        <f>Tabla3[[#This Row],[EGRESOS]]/Tabla3[[#This Row],[TC]]</f>
        <v>3.3103448275862069</v>
      </c>
      <c r="K164" s="139">
        <f>Tabla3[[#This Row],[INGRESOS]]/Tabla3[[#This Row],[TC]]</f>
        <v>0</v>
      </c>
      <c r="L164" s="8" t="s">
        <v>94</v>
      </c>
      <c r="M164" s="8" t="s">
        <v>95</v>
      </c>
      <c r="N164" s="8" t="s">
        <v>1</v>
      </c>
      <c r="O164" s="8" t="s">
        <v>17</v>
      </c>
      <c r="P164" s="8" t="s">
        <v>22</v>
      </c>
      <c r="Q164" s="8" t="s">
        <v>23</v>
      </c>
      <c r="R164" s="8" t="s">
        <v>200</v>
      </c>
      <c r="S164" s="8"/>
      <c r="T164" s="8"/>
      <c r="U164" s="8" t="s">
        <v>61</v>
      </c>
      <c r="V164" s="8"/>
      <c r="W164" s="8" t="s">
        <v>241</v>
      </c>
    </row>
    <row r="165" spans="1:23" x14ac:dyDescent="0.25">
      <c r="A165" s="125" t="s">
        <v>62</v>
      </c>
      <c r="B165" s="126">
        <v>46065</v>
      </c>
      <c r="C165" s="127" t="s">
        <v>244</v>
      </c>
      <c r="D165" s="127"/>
      <c r="E165" s="128">
        <v>1810333.56</v>
      </c>
      <c r="F165" s="128">
        <v>0</v>
      </c>
      <c r="G165" s="129">
        <f>Tabla3[[#This Row],[EGRESOS]]-Tabla3[[#This Row],[INGRESOS]]</f>
        <v>1810333.56</v>
      </c>
      <c r="H165" s="129">
        <v>-8601626.8399999999</v>
      </c>
      <c r="I165" s="131">
        <v>1450</v>
      </c>
      <c r="J165" s="132">
        <f>Tabla3[[#This Row],[EGRESOS]]/Tabla3[[#This Row],[TC]]</f>
        <v>1248.5059034482758</v>
      </c>
      <c r="K165" s="132">
        <f>Tabla3[[#This Row],[INGRESOS]]/Tabla3[[#This Row],[TC]]</f>
        <v>0</v>
      </c>
      <c r="L165" s="133" t="s">
        <v>94</v>
      </c>
      <c r="M165" s="133" t="s">
        <v>95</v>
      </c>
      <c r="N165" s="133" t="s">
        <v>1</v>
      </c>
      <c r="O165" s="133" t="s">
        <v>251</v>
      </c>
      <c r="P165" s="133" t="s">
        <v>245</v>
      </c>
      <c r="Q165" s="133" t="s">
        <v>395</v>
      </c>
      <c r="R165" s="133" t="s">
        <v>1</v>
      </c>
      <c r="S165" s="133" t="s">
        <v>1</v>
      </c>
      <c r="T165" s="133"/>
      <c r="U165" s="133" t="s">
        <v>267</v>
      </c>
      <c r="V165" s="133"/>
      <c r="W165" s="133" t="s">
        <v>241</v>
      </c>
    </row>
    <row r="166" spans="1:23" x14ac:dyDescent="0.25">
      <c r="A166" s="125" t="s">
        <v>62</v>
      </c>
      <c r="B166" s="126">
        <v>46065</v>
      </c>
      <c r="C166" s="127" t="s">
        <v>204</v>
      </c>
      <c r="D166" s="127"/>
      <c r="E166" s="128">
        <v>10862</v>
      </c>
      <c r="F166" s="128">
        <v>0</v>
      </c>
      <c r="G166" s="129">
        <f>Tabla3[[#This Row],[EGRESOS]]-Tabla3[[#This Row],[INGRESOS]]</f>
        <v>10862</v>
      </c>
      <c r="H166" s="129">
        <v>-8612488.8399999999</v>
      </c>
      <c r="I166" s="131">
        <v>1450</v>
      </c>
      <c r="J166" s="132">
        <f>Tabla3[[#This Row],[EGRESOS]]/Tabla3[[#This Row],[TC]]</f>
        <v>7.4910344827586206</v>
      </c>
      <c r="K166" s="132">
        <f>Tabla3[[#This Row],[INGRESOS]]/Tabla3[[#This Row],[TC]]</f>
        <v>0</v>
      </c>
      <c r="L166" s="133" t="s">
        <v>94</v>
      </c>
      <c r="M166" s="133" t="s">
        <v>95</v>
      </c>
      <c r="N166" s="133" t="s">
        <v>1</v>
      </c>
      <c r="O166" s="133" t="s">
        <v>17</v>
      </c>
      <c r="P166" s="133" t="s">
        <v>22</v>
      </c>
      <c r="Q166" s="133" t="s">
        <v>23</v>
      </c>
      <c r="R166" s="133" t="s">
        <v>200</v>
      </c>
      <c r="S166" s="133"/>
      <c r="T166" s="133"/>
      <c r="U166" s="133" t="s">
        <v>61</v>
      </c>
      <c r="V166" s="133"/>
      <c r="W166" s="133" t="s">
        <v>241</v>
      </c>
    </row>
    <row r="167" spans="1:23" x14ac:dyDescent="0.25">
      <c r="A167" s="125" t="s">
        <v>62</v>
      </c>
      <c r="B167" s="126">
        <v>46066</v>
      </c>
      <c r="C167" s="127" t="s">
        <v>377</v>
      </c>
      <c r="D167" s="127"/>
      <c r="E167" s="128">
        <v>80000</v>
      </c>
      <c r="F167" s="128">
        <v>0</v>
      </c>
      <c r="G167" s="129">
        <f>Tabla3[[#This Row],[EGRESOS]]-Tabla3[[#This Row],[INGRESOS]]</f>
        <v>80000</v>
      </c>
      <c r="H167" s="129">
        <v>-8692488.8399999999</v>
      </c>
      <c r="I167" s="131">
        <v>1450</v>
      </c>
      <c r="J167" s="132">
        <f>Tabla3[[#This Row],[EGRESOS]]/Tabla3[[#This Row],[TC]]</f>
        <v>55.172413793103445</v>
      </c>
      <c r="K167" s="132">
        <f>Tabla3[[#This Row],[INGRESOS]]/Tabla3[[#This Row],[TC]]</f>
        <v>0</v>
      </c>
      <c r="L167" s="133" t="s">
        <v>94</v>
      </c>
      <c r="M167" s="133" t="s">
        <v>95</v>
      </c>
      <c r="N167" s="133" t="s">
        <v>1</v>
      </c>
      <c r="O167" s="133" t="s">
        <v>251</v>
      </c>
      <c r="P167" s="133" t="s">
        <v>250</v>
      </c>
      <c r="Q167" s="133" t="s">
        <v>252</v>
      </c>
      <c r="R167" s="133" t="s">
        <v>277</v>
      </c>
      <c r="S167" s="133"/>
      <c r="T167" s="133"/>
      <c r="U167" s="133" t="s">
        <v>253</v>
      </c>
      <c r="V167" s="133"/>
      <c r="W167" s="133" t="s">
        <v>241</v>
      </c>
    </row>
    <row r="168" spans="1:23" x14ac:dyDescent="0.25">
      <c r="A168" s="125" t="s">
        <v>62</v>
      </c>
      <c r="B168" s="126">
        <v>46076</v>
      </c>
      <c r="C168" s="127" t="s">
        <v>341</v>
      </c>
      <c r="D168" s="127" t="s">
        <v>446</v>
      </c>
      <c r="E168" s="128">
        <v>795300</v>
      </c>
      <c r="F168" s="128">
        <v>0</v>
      </c>
      <c r="G168" s="129">
        <f>Tabla3[[#This Row],[EGRESOS]]-Tabla3[[#This Row],[INGRESOS]]</f>
        <v>795300</v>
      </c>
      <c r="H168" s="129">
        <v>-9487788.8399999999</v>
      </c>
      <c r="I168" s="131">
        <v>1450</v>
      </c>
      <c r="J168" s="132">
        <f>Tabla3[[#This Row],[EGRESOS]]/Tabla3[[#This Row],[TC]]</f>
        <v>548.48275862068965</v>
      </c>
      <c r="K168" s="132">
        <f>Tabla3[[#This Row],[INGRESOS]]/Tabla3[[#This Row],[TC]]</f>
        <v>0</v>
      </c>
      <c r="L168" s="133" t="s">
        <v>94</v>
      </c>
      <c r="M168" s="133" t="s">
        <v>95</v>
      </c>
      <c r="N168" s="133" t="s">
        <v>1</v>
      </c>
      <c r="O168" s="133" t="s">
        <v>39</v>
      </c>
      <c r="P168" s="133" t="s">
        <v>40</v>
      </c>
      <c r="Q168" s="133" t="s">
        <v>450</v>
      </c>
      <c r="R168" s="133" t="s">
        <v>451</v>
      </c>
      <c r="S168" s="133" t="s">
        <v>447</v>
      </c>
      <c r="T168" s="133"/>
      <c r="U168" s="133" t="s">
        <v>235</v>
      </c>
      <c r="V168" s="133"/>
      <c r="W168" s="133" t="s">
        <v>241</v>
      </c>
    </row>
    <row r="169" spans="1:23" x14ac:dyDescent="0.25">
      <c r="A169" s="125" t="s">
        <v>62</v>
      </c>
      <c r="B169" s="126">
        <v>46076</v>
      </c>
      <c r="C169" s="127" t="s">
        <v>390</v>
      </c>
      <c r="D169" s="127"/>
      <c r="E169" s="128">
        <v>0</v>
      </c>
      <c r="F169" s="128">
        <v>1000000</v>
      </c>
      <c r="G169" s="129">
        <f>Tabla3[[#This Row],[EGRESOS]]-Tabla3[[#This Row],[INGRESOS]]</f>
        <v>-1000000</v>
      </c>
      <c r="H169" s="129">
        <v>-8487788.8399999999</v>
      </c>
      <c r="I169" s="131">
        <v>1450</v>
      </c>
      <c r="J169" s="132">
        <f>Tabla3[[#This Row],[EGRESOS]]/Tabla3[[#This Row],[TC]]</f>
        <v>0</v>
      </c>
      <c r="K169" s="132">
        <f>Tabla3[[#This Row],[INGRESOS]]/Tabla3[[#This Row],[TC]]</f>
        <v>689.65517241379314</v>
      </c>
      <c r="L169" s="133" t="s">
        <v>94</v>
      </c>
      <c r="M169" s="133" t="s">
        <v>95</v>
      </c>
      <c r="N169" s="133" t="s">
        <v>1</v>
      </c>
      <c r="O169" s="133" t="s">
        <v>251</v>
      </c>
      <c r="P169" s="133" t="s">
        <v>250</v>
      </c>
      <c r="Q169" s="133" t="s">
        <v>252</v>
      </c>
      <c r="R169" s="133"/>
      <c r="S169" s="133"/>
      <c r="T169" s="133"/>
      <c r="U169" s="133" t="s">
        <v>253</v>
      </c>
      <c r="V169" s="133"/>
      <c r="W169" s="133" t="s">
        <v>241</v>
      </c>
    </row>
    <row r="170" spans="1:23" x14ac:dyDescent="0.25">
      <c r="A170" s="125" t="s">
        <v>62</v>
      </c>
      <c r="B170" s="126">
        <v>46076</v>
      </c>
      <c r="C170" s="127" t="s">
        <v>373</v>
      </c>
      <c r="D170" s="127"/>
      <c r="E170" s="128">
        <v>20000</v>
      </c>
      <c r="F170" s="128">
        <v>0</v>
      </c>
      <c r="G170" s="129">
        <f>Tabla3[[#This Row],[EGRESOS]]-Tabla3[[#This Row],[INGRESOS]]</f>
        <v>20000</v>
      </c>
      <c r="H170" s="129">
        <v>-8507788.8399999999</v>
      </c>
      <c r="I170" s="131">
        <v>1450</v>
      </c>
      <c r="J170" s="132">
        <f>Tabla3[[#This Row],[EGRESOS]]/Tabla3[[#This Row],[TC]]</f>
        <v>13.793103448275861</v>
      </c>
      <c r="K170" s="132">
        <f>Tabla3[[#This Row],[INGRESOS]]/Tabla3[[#This Row],[TC]]</f>
        <v>0</v>
      </c>
      <c r="L170" s="133" t="s">
        <v>94</v>
      </c>
      <c r="M170" s="133" t="s">
        <v>95</v>
      </c>
      <c r="N170" s="133" t="s">
        <v>1</v>
      </c>
      <c r="O170" s="133" t="s">
        <v>39</v>
      </c>
      <c r="P170" s="133" t="s">
        <v>44</v>
      </c>
      <c r="Q170" s="133" t="s">
        <v>33</v>
      </c>
      <c r="R170" s="133"/>
      <c r="S170" s="133" t="s">
        <v>459</v>
      </c>
      <c r="T170" s="133"/>
      <c r="U170" s="133" t="s">
        <v>436</v>
      </c>
      <c r="V170" s="133"/>
      <c r="W170" s="133" t="s">
        <v>241</v>
      </c>
    </row>
    <row r="171" spans="1:23" x14ac:dyDescent="0.25">
      <c r="A171" s="125" t="s">
        <v>62</v>
      </c>
      <c r="B171" s="126">
        <v>46076</v>
      </c>
      <c r="C171" s="127" t="s">
        <v>204</v>
      </c>
      <c r="D171" s="127"/>
      <c r="E171" s="128">
        <v>4891.8</v>
      </c>
      <c r="F171" s="128">
        <v>0</v>
      </c>
      <c r="G171" s="129">
        <f>Tabla3[[#This Row],[EGRESOS]]-Tabla3[[#This Row],[INGRESOS]]</f>
        <v>4891.8</v>
      </c>
      <c r="H171" s="129">
        <v>-8512680.6400000006</v>
      </c>
      <c r="I171" s="131">
        <v>1450</v>
      </c>
      <c r="J171" s="132">
        <f>Tabla3[[#This Row],[EGRESOS]]/Tabla3[[#This Row],[TC]]</f>
        <v>3.3736551724137933</v>
      </c>
      <c r="K171" s="132">
        <f>Tabla3[[#This Row],[INGRESOS]]/Tabla3[[#This Row],[TC]]</f>
        <v>0</v>
      </c>
      <c r="L171" s="133" t="s">
        <v>94</v>
      </c>
      <c r="M171" s="133" t="s">
        <v>95</v>
      </c>
      <c r="N171" s="133" t="s">
        <v>1</v>
      </c>
      <c r="O171" s="133" t="s">
        <v>17</v>
      </c>
      <c r="P171" s="133" t="s">
        <v>22</v>
      </c>
      <c r="Q171" s="133" t="s">
        <v>23</v>
      </c>
      <c r="R171" s="133" t="s">
        <v>200</v>
      </c>
      <c r="S171" s="133"/>
      <c r="T171" s="133"/>
      <c r="U171" s="133" t="s">
        <v>61</v>
      </c>
      <c r="V171" s="133"/>
      <c r="W171" s="133" t="s">
        <v>241</v>
      </c>
    </row>
    <row r="172" spans="1:23" x14ac:dyDescent="0.25">
      <c r="A172" s="125" t="s">
        <v>62</v>
      </c>
      <c r="B172" s="126">
        <v>46077</v>
      </c>
      <c r="C172" s="127" t="s">
        <v>341</v>
      </c>
      <c r="D172" s="127" t="s">
        <v>458</v>
      </c>
      <c r="E172" s="128">
        <v>100000</v>
      </c>
      <c r="F172" s="128">
        <v>0</v>
      </c>
      <c r="G172" s="129">
        <f>Tabla3[[#This Row],[EGRESOS]]-Tabla3[[#This Row],[INGRESOS]]</f>
        <v>100000</v>
      </c>
      <c r="H172" s="141">
        <v>-8612680.6400000006</v>
      </c>
      <c r="I172" s="131">
        <v>1450</v>
      </c>
      <c r="J172" s="132">
        <f>Tabla3[[#This Row],[EGRESOS]]/Tabla3[[#This Row],[TC]]</f>
        <v>68.965517241379317</v>
      </c>
      <c r="K172" s="132">
        <f>Tabla3[[#This Row],[INGRESOS]]/Tabla3[[#This Row],[TC]]</f>
        <v>0</v>
      </c>
      <c r="L172" s="133" t="s">
        <v>94</v>
      </c>
      <c r="M172" s="133" t="s">
        <v>95</v>
      </c>
      <c r="N172" s="133" t="s">
        <v>1</v>
      </c>
      <c r="O172" s="133" t="s">
        <v>17</v>
      </c>
      <c r="P172" s="133" t="s">
        <v>26</v>
      </c>
      <c r="Q172" s="133" t="s">
        <v>293</v>
      </c>
      <c r="R172" s="133"/>
      <c r="S172" s="133" t="s">
        <v>289</v>
      </c>
      <c r="T172" s="133"/>
      <c r="U172" s="133" t="s">
        <v>235</v>
      </c>
      <c r="V172" s="133"/>
      <c r="W172" s="133" t="s">
        <v>241</v>
      </c>
    </row>
    <row r="173" spans="1:23" x14ac:dyDescent="0.25">
      <c r="A173" s="52" t="str">
        <f t="shared" si="3"/>
        <v>ENERO</v>
      </c>
      <c r="B173" s="53">
        <v>46042</v>
      </c>
      <c r="C173" s="49" t="s">
        <v>299</v>
      </c>
      <c r="D173" s="49"/>
      <c r="E173" s="54">
        <v>1427167.52</v>
      </c>
      <c r="F173" s="55">
        <v>0</v>
      </c>
      <c r="G173" s="62">
        <f>Tabla3[[#This Row],[EGRESOS]]-Tabla3[[#This Row],[INGRESOS]]</f>
        <v>1427167.52</v>
      </c>
      <c r="H173" s="19">
        <v>-1427167.52</v>
      </c>
      <c r="I173" s="16">
        <v>1450</v>
      </c>
      <c r="J173" s="14">
        <f>Tabla3[[#This Row],[EGRESOS]]/Tabla3[[#This Row],[TC]]</f>
        <v>984.25346206896552</v>
      </c>
      <c r="K173" s="14">
        <f>Tabla3[[#This Row],[INGRESOS]]/Tabla3[[#This Row],[TC]]</f>
        <v>0</v>
      </c>
      <c r="L173" s="7" t="s">
        <v>94</v>
      </c>
      <c r="M173" s="7" t="s">
        <v>300</v>
      </c>
      <c r="N173" s="7" t="s">
        <v>0</v>
      </c>
      <c r="O173" s="7" t="s">
        <v>17</v>
      </c>
      <c r="P173" s="7" t="s">
        <v>26</v>
      </c>
      <c r="Q173" s="7" t="s">
        <v>231</v>
      </c>
      <c r="R173" s="7" t="s">
        <v>315</v>
      </c>
      <c r="S173" s="7" t="s">
        <v>99</v>
      </c>
      <c r="T173" s="7"/>
      <c r="U173" s="7" t="s">
        <v>233</v>
      </c>
      <c r="V173" s="7"/>
      <c r="W173" s="7" t="s">
        <v>241</v>
      </c>
    </row>
    <row r="174" spans="1:23" x14ac:dyDescent="0.25">
      <c r="A174" s="52" t="str">
        <f t="shared" si="3"/>
        <v>ENERO</v>
      </c>
      <c r="B174" s="53">
        <v>46042</v>
      </c>
      <c r="C174" s="49" t="s">
        <v>192</v>
      </c>
      <c r="D174" s="49"/>
      <c r="E174" s="54">
        <v>8563.01</v>
      </c>
      <c r="F174" s="55">
        <v>0</v>
      </c>
      <c r="G174" s="62">
        <f>Tabla3[[#This Row],[EGRESOS]]-Tabla3[[#This Row],[INGRESOS]]</f>
        <v>8563.01</v>
      </c>
      <c r="H174" s="19">
        <v>-1435730.53</v>
      </c>
      <c r="I174" s="16">
        <v>1450</v>
      </c>
      <c r="J174" s="14">
        <f>Tabla3[[#This Row],[EGRESOS]]/Tabla3[[#This Row],[TC]]</f>
        <v>5.9055241379310344</v>
      </c>
      <c r="K174" s="14">
        <f>Tabla3[[#This Row],[INGRESOS]]/Tabla3[[#This Row],[TC]]</f>
        <v>0</v>
      </c>
      <c r="L174" s="7" t="s">
        <v>94</v>
      </c>
      <c r="M174" s="7" t="s">
        <v>300</v>
      </c>
      <c r="N174" s="7" t="s">
        <v>0</v>
      </c>
      <c r="O174" s="7" t="s">
        <v>17</v>
      </c>
      <c r="P174" s="7" t="s">
        <v>22</v>
      </c>
      <c r="Q174" s="7" t="s">
        <v>23</v>
      </c>
      <c r="R174" s="7" t="s">
        <v>200</v>
      </c>
      <c r="S174" s="7"/>
      <c r="T174" s="7"/>
      <c r="U174" s="7" t="s">
        <v>61</v>
      </c>
      <c r="V174" s="7"/>
      <c r="W174" s="7" t="s">
        <v>241</v>
      </c>
    </row>
    <row r="175" spans="1:23" x14ac:dyDescent="0.25">
      <c r="A175" s="52" t="str">
        <f t="shared" si="3"/>
        <v>ENERO</v>
      </c>
      <c r="B175" s="53">
        <v>46042</v>
      </c>
      <c r="C175" s="49" t="s">
        <v>298</v>
      </c>
      <c r="D175" s="49"/>
      <c r="E175" s="54">
        <v>0</v>
      </c>
      <c r="F175" s="55">
        <v>1435730.53</v>
      </c>
      <c r="G175" s="62">
        <f>Tabla3[[#This Row],[EGRESOS]]-Tabla3[[#This Row],[INGRESOS]]</f>
        <v>-1435730.53</v>
      </c>
      <c r="H175" s="19">
        <v>0</v>
      </c>
      <c r="I175" s="16">
        <v>1450</v>
      </c>
      <c r="J175" s="14">
        <f>Tabla3[[#This Row],[EGRESOS]]/Tabla3[[#This Row],[TC]]</f>
        <v>0</v>
      </c>
      <c r="K175" s="14">
        <f>Tabla3[[#This Row],[INGRESOS]]/Tabla3[[#This Row],[TC]]</f>
        <v>990.15898620689654</v>
      </c>
      <c r="L175" s="7" t="s">
        <v>94</v>
      </c>
      <c r="M175" s="7" t="s">
        <v>300</v>
      </c>
      <c r="N175" s="7" t="s">
        <v>0</v>
      </c>
      <c r="O175" s="7" t="s">
        <v>251</v>
      </c>
      <c r="P175" s="7" t="s">
        <v>250</v>
      </c>
      <c r="Q175" s="7" t="s">
        <v>252</v>
      </c>
      <c r="R175" s="7" t="s">
        <v>263</v>
      </c>
      <c r="S175" s="7"/>
      <c r="T175" s="7"/>
      <c r="U175" s="7" t="s">
        <v>253</v>
      </c>
      <c r="V175" s="7"/>
      <c r="W175" s="7" t="s">
        <v>254</v>
      </c>
    </row>
    <row r="176" spans="1:23" x14ac:dyDescent="0.25">
      <c r="A176" s="52" t="str">
        <f t="shared" si="3"/>
        <v>ENERO</v>
      </c>
      <c r="B176" s="53">
        <v>46051</v>
      </c>
      <c r="C176" s="49" t="s">
        <v>118</v>
      </c>
      <c r="D176" s="49"/>
      <c r="E176" s="54">
        <v>0</v>
      </c>
      <c r="F176" s="55">
        <v>11277</v>
      </c>
      <c r="G176" s="62">
        <f>Tabla3[[#This Row],[EGRESOS]]-Tabla3[[#This Row],[INGRESOS]]</f>
        <v>-11277</v>
      </c>
      <c r="H176" s="19">
        <v>-11277</v>
      </c>
      <c r="I176" s="16">
        <v>1450</v>
      </c>
      <c r="J176" s="14">
        <f>Tabla3[[#This Row],[EGRESOS]]/Tabla3[[#This Row],[TC]]</f>
        <v>0</v>
      </c>
      <c r="K176" s="14">
        <f>Tabla3[[#This Row],[INGRESOS]]/Tabla3[[#This Row],[TC]]</f>
        <v>7.777241379310345</v>
      </c>
      <c r="L176" s="7" t="s">
        <v>94</v>
      </c>
      <c r="M176" s="7" t="s">
        <v>300</v>
      </c>
      <c r="N176" s="7" t="s">
        <v>0</v>
      </c>
      <c r="O176" s="7" t="s">
        <v>17</v>
      </c>
      <c r="P176" s="7" t="s">
        <v>22</v>
      </c>
      <c r="Q176" s="7" t="s">
        <v>23</v>
      </c>
      <c r="R176" s="7" t="s">
        <v>96</v>
      </c>
      <c r="S176" s="7"/>
      <c r="T176" s="7"/>
      <c r="U176" s="7" t="s">
        <v>61</v>
      </c>
      <c r="V176" s="7"/>
      <c r="W176" s="7" t="s">
        <v>241</v>
      </c>
    </row>
    <row r="177" spans="1:23" x14ac:dyDescent="0.25">
      <c r="A177" s="52" t="str">
        <f t="shared" si="3"/>
        <v>ENERO</v>
      </c>
      <c r="B177" s="53">
        <v>46051</v>
      </c>
      <c r="C177" s="49" t="s">
        <v>119</v>
      </c>
      <c r="D177" s="49"/>
      <c r="E177" s="54">
        <v>0</v>
      </c>
      <c r="F177" s="55">
        <v>1611</v>
      </c>
      <c r="G177" s="62">
        <f>Tabla3[[#This Row],[EGRESOS]]-Tabla3[[#This Row],[INGRESOS]]</f>
        <v>-1611</v>
      </c>
      <c r="H177" s="19">
        <v>-12888</v>
      </c>
      <c r="I177" s="16">
        <v>1450</v>
      </c>
      <c r="J177" s="14">
        <f>Tabla3[[#This Row],[EGRESOS]]/Tabla3[[#This Row],[TC]]</f>
        <v>0</v>
      </c>
      <c r="K177" s="14">
        <f>Tabla3[[#This Row],[INGRESOS]]/Tabla3[[#This Row],[TC]]</f>
        <v>1.1110344827586207</v>
      </c>
      <c r="L177" s="7" t="s">
        <v>94</v>
      </c>
      <c r="M177" s="7" t="s">
        <v>300</v>
      </c>
      <c r="N177" s="7" t="s">
        <v>0</v>
      </c>
      <c r="O177" s="7" t="s">
        <v>17</v>
      </c>
      <c r="P177" s="7" t="s">
        <v>22</v>
      </c>
      <c r="Q177" s="7" t="s">
        <v>23</v>
      </c>
      <c r="R177" s="7" t="s">
        <v>210</v>
      </c>
      <c r="S177" s="7"/>
      <c r="T177" s="7"/>
      <c r="U177" s="7" t="s">
        <v>61</v>
      </c>
      <c r="V177" s="7"/>
      <c r="W177" s="7" t="s">
        <v>241</v>
      </c>
    </row>
    <row r="178" spans="1:23" x14ac:dyDescent="0.25">
      <c r="A178" s="52" t="str">
        <f t="shared" si="3"/>
        <v>ENERO</v>
      </c>
      <c r="B178" s="53">
        <v>46051</v>
      </c>
      <c r="C178" s="49" t="s">
        <v>347</v>
      </c>
      <c r="D178" s="49"/>
      <c r="E178" s="54">
        <v>0</v>
      </c>
      <c r="F178" s="55">
        <v>53700</v>
      </c>
      <c r="G178" s="62">
        <f>Tabla3[[#This Row],[EGRESOS]]-Tabla3[[#This Row],[INGRESOS]]</f>
        <v>-53700</v>
      </c>
      <c r="H178" s="19">
        <v>-66588</v>
      </c>
      <c r="I178" s="16">
        <v>1450</v>
      </c>
      <c r="J178" s="14">
        <f>Tabla3[[#This Row],[EGRESOS]]/Tabla3[[#This Row],[TC]]</f>
        <v>0</v>
      </c>
      <c r="K178" s="14">
        <f>Tabla3[[#This Row],[INGRESOS]]/Tabla3[[#This Row],[TC]]</f>
        <v>37.03448275862069</v>
      </c>
      <c r="L178" s="7" t="s">
        <v>94</v>
      </c>
      <c r="M178" s="7" t="s">
        <v>300</v>
      </c>
      <c r="N178" s="7" t="s">
        <v>0</v>
      </c>
      <c r="O178" s="7" t="s">
        <v>17</v>
      </c>
      <c r="P178" s="7" t="s">
        <v>18</v>
      </c>
      <c r="Q178" s="7" t="s">
        <v>41</v>
      </c>
      <c r="R178" s="7"/>
      <c r="S178" s="7"/>
      <c r="T178" s="7"/>
      <c r="U178" s="7" t="s">
        <v>61</v>
      </c>
      <c r="V178" s="7"/>
      <c r="W178" s="7" t="s">
        <v>241</v>
      </c>
    </row>
    <row r="179" spans="1:23" x14ac:dyDescent="0.25">
      <c r="A179" s="52" t="str">
        <f t="shared" si="3"/>
        <v>ENERO</v>
      </c>
      <c r="B179" s="53">
        <v>46051</v>
      </c>
      <c r="C179" s="49" t="s">
        <v>192</v>
      </c>
      <c r="D179" s="49"/>
      <c r="E179" s="54">
        <v>0</v>
      </c>
      <c r="F179" s="55">
        <v>399.53</v>
      </c>
      <c r="G179" s="62">
        <f>Tabla3[[#This Row],[EGRESOS]]-Tabla3[[#This Row],[INGRESOS]]</f>
        <v>-399.53</v>
      </c>
      <c r="H179" s="19">
        <v>-66987.53</v>
      </c>
      <c r="I179" s="16">
        <v>1450</v>
      </c>
      <c r="J179" s="14">
        <f>Tabla3[[#This Row],[EGRESOS]]/Tabla3[[#This Row],[TC]]</f>
        <v>0</v>
      </c>
      <c r="K179" s="14">
        <f>Tabla3[[#This Row],[INGRESOS]]/Tabla3[[#This Row],[TC]]</f>
        <v>0.27553793103448276</v>
      </c>
      <c r="L179" s="7" t="s">
        <v>94</v>
      </c>
      <c r="M179" s="7" t="s">
        <v>300</v>
      </c>
      <c r="N179" s="7" t="s">
        <v>0</v>
      </c>
      <c r="O179" s="7" t="s">
        <v>17</v>
      </c>
      <c r="P179" s="7" t="s">
        <v>22</v>
      </c>
      <c r="Q179" s="7" t="s">
        <v>23</v>
      </c>
      <c r="R179" s="7" t="s">
        <v>200</v>
      </c>
      <c r="S179" s="7"/>
      <c r="T179" s="7"/>
      <c r="U179" s="7" t="s">
        <v>61</v>
      </c>
      <c r="V179" s="7"/>
      <c r="W179" s="7" t="s">
        <v>241</v>
      </c>
    </row>
    <row r="180" spans="1:23" x14ac:dyDescent="0.25">
      <c r="A180" s="52" t="str">
        <f t="shared" si="3"/>
        <v>ENERO</v>
      </c>
      <c r="B180" s="53">
        <v>46051</v>
      </c>
      <c r="C180" s="49" t="s">
        <v>298</v>
      </c>
      <c r="D180" s="49"/>
      <c r="E180" s="54">
        <v>0</v>
      </c>
      <c r="F180" s="54">
        <v>66987.53</v>
      </c>
      <c r="G180" s="62">
        <f>Tabla3[[#This Row],[EGRESOS]]-Tabla3[[#This Row],[INGRESOS]]</f>
        <v>-66987.53</v>
      </c>
      <c r="H180" s="19">
        <v>0</v>
      </c>
      <c r="I180" s="16">
        <v>1450</v>
      </c>
      <c r="J180" s="14">
        <f>Tabla3[[#This Row],[EGRESOS]]/Tabla3[[#This Row],[TC]]</f>
        <v>0</v>
      </c>
      <c r="K180" s="14">
        <f>Tabla3[[#This Row],[INGRESOS]]/Tabla3[[#This Row],[TC]]</f>
        <v>46.198296551724134</v>
      </c>
      <c r="L180" s="7" t="s">
        <v>94</v>
      </c>
      <c r="M180" s="7" t="s">
        <v>300</v>
      </c>
      <c r="N180" s="7" t="s">
        <v>0</v>
      </c>
      <c r="O180" s="7" t="s">
        <v>251</v>
      </c>
      <c r="P180" s="7" t="s">
        <v>250</v>
      </c>
      <c r="Q180" s="7" t="s">
        <v>252</v>
      </c>
      <c r="R180" s="7" t="s">
        <v>263</v>
      </c>
      <c r="S180" s="7"/>
      <c r="T180" s="7"/>
      <c r="U180" s="7" t="s">
        <v>253</v>
      </c>
      <c r="V180" s="7"/>
      <c r="W180" s="7" t="s">
        <v>241</v>
      </c>
    </row>
    <row r="181" spans="1:23" x14ac:dyDescent="0.25">
      <c r="A181" s="52" t="s">
        <v>62</v>
      </c>
      <c r="B181" s="53">
        <v>46073</v>
      </c>
      <c r="C181" s="49" t="s">
        <v>299</v>
      </c>
      <c r="D181" s="49"/>
      <c r="E181" s="54">
        <v>947191.21</v>
      </c>
      <c r="F181" s="54">
        <v>0</v>
      </c>
      <c r="G181" s="62">
        <f>Tabla3[[#This Row],[EGRESOS]]-Tabla3[[#This Row],[INGRESOS]]</f>
        <v>947191.21</v>
      </c>
      <c r="H181" s="19">
        <v>22062.823333333301</v>
      </c>
      <c r="I181" s="16">
        <v>1450</v>
      </c>
      <c r="J181" s="14">
        <f>Tabla3[[#This Row],[EGRESOS]]/Tabla3[[#This Row],[TC]]</f>
        <v>653.23531724137933</v>
      </c>
      <c r="K181" s="14">
        <f>Tabla3[[#This Row],[INGRESOS]]/Tabla3[[#This Row],[TC]]</f>
        <v>0</v>
      </c>
      <c r="L181" s="7" t="s">
        <v>94</v>
      </c>
      <c r="M181" s="7" t="s">
        <v>300</v>
      </c>
      <c r="N181" s="7" t="s">
        <v>0</v>
      </c>
      <c r="O181" s="7" t="s">
        <v>17</v>
      </c>
      <c r="P181" s="7" t="s">
        <v>26</v>
      </c>
      <c r="Q181" s="7" t="s">
        <v>231</v>
      </c>
      <c r="R181" s="7" t="s">
        <v>445</v>
      </c>
      <c r="S181" s="7" t="s">
        <v>99</v>
      </c>
      <c r="T181" s="7"/>
      <c r="U181" s="7" t="s">
        <v>233</v>
      </c>
      <c r="V181" s="7"/>
      <c r="W181" s="7" t="s">
        <v>241</v>
      </c>
    </row>
    <row r="182" spans="1:23" x14ac:dyDescent="0.25">
      <c r="A182" s="52" t="s">
        <v>62</v>
      </c>
      <c r="B182" s="53">
        <v>46073</v>
      </c>
      <c r="C182" s="49" t="s">
        <v>192</v>
      </c>
      <c r="D182" s="49"/>
      <c r="E182" s="54">
        <v>5683.15</v>
      </c>
      <c r="F182" s="54">
        <v>0</v>
      </c>
      <c r="G182" s="62">
        <f>Tabla3[[#This Row],[EGRESOS]]-Tabla3[[#This Row],[INGRESOS]]</f>
        <v>5683.15</v>
      </c>
      <c r="H182" s="19">
        <v>55356.823333333297</v>
      </c>
      <c r="I182" s="16">
        <v>1450</v>
      </c>
      <c r="J182" s="14">
        <f>Tabla3[[#This Row],[EGRESOS]]/Tabla3[[#This Row],[TC]]</f>
        <v>3.9194137931034478</v>
      </c>
      <c r="K182" s="14">
        <f>Tabla3[[#This Row],[INGRESOS]]/Tabla3[[#This Row],[TC]]</f>
        <v>0</v>
      </c>
      <c r="L182" s="7" t="s">
        <v>94</v>
      </c>
      <c r="M182" s="7" t="s">
        <v>300</v>
      </c>
      <c r="N182" s="7" t="s">
        <v>0</v>
      </c>
      <c r="O182" s="7" t="s">
        <v>17</v>
      </c>
      <c r="P182" s="7" t="s">
        <v>22</v>
      </c>
      <c r="Q182" s="7" t="s">
        <v>23</v>
      </c>
      <c r="R182" s="7" t="s">
        <v>200</v>
      </c>
      <c r="S182" s="7"/>
      <c r="T182" s="7"/>
      <c r="U182" s="7" t="s">
        <v>61</v>
      </c>
      <c r="V182" s="7"/>
      <c r="W182" s="7" t="s">
        <v>241</v>
      </c>
    </row>
    <row r="183" spans="1:23" x14ac:dyDescent="0.25">
      <c r="A183" s="52" t="s">
        <v>62</v>
      </c>
      <c r="B183" s="53">
        <v>46073</v>
      </c>
      <c r="C183" s="49" t="s">
        <v>298</v>
      </c>
      <c r="D183" s="49"/>
      <c r="E183" s="54">
        <v>0</v>
      </c>
      <c r="F183" s="54">
        <v>952874.36</v>
      </c>
      <c r="G183" s="62">
        <f>Tabla3[[#This Row],[EGRESOS]]-Tabla3[[#This Row],[INGRESOS]]</f>
        <v>-952874.36</v>
      </c>
      <c r="H183" s="19">
        <v>88650.823333333305</v>
      </c>
      <c r="I183" s="16">
        <v>1450</v>
      </c>
      <c r="J183" s="14">
        <f>Tabla3[[#This Row],[EGRESOS]]/Tabla3[[#This Row],[TC]]</f>
        <v>0</v>
      </c>
      <c r="K183" s="14">
        <f>Tabla3[[#This Row],[INGRESOS]]/Tabla3[[#This Row],[TC]]</f>
        <v>657.15473103448278</v>
      </c>
      <c r="L183" s="7" t="s">
        <v>94</v>
      </c>
      <c r="M183" s="7" t="s">
        <v>300</v>
      </c>
      <c r="N183" s="7" t="s">
        <v>0</v>
      </c>
      <c r="O183" s="7" t="s">
        <v>251</v>
      </c>
      <c r="P183" s="7" t="s">
        <v>250</v>
      </c>
      <c r="Q183" s="7" t="s">
        <v>252</v>
      </c>
      <c r="R183" s="7" t="s">
        <v>263</v>
      </c>
      <c r="S183" s="7"/>
      <c r="T183" s="7"/>
      <c r="U183" s="7" t="s">
        <v>253</v>
      </c>
      <c r="V183" s="7"/>
      <c r="W183" s="7" t="s">
        <v>241</v>
      </c>
    </row>
    <row r="184" spans="1:23" x14ac:dyDescent="0.25">
      <c r="A184" s="52" t="str">
        <f>"ENERO"</f>
        <v>ENERO</v>
      </c>
      <c r="B184" s="53">
        <v>46024</v>
      </c>
      <c r="C184" s="49" t="s">
        <v>118</v>
      </c>
      <c r="D184" s="49"/>
      <c r="E184" s="55">
        <v>10347.709999999999</v>
      </c>
      <c r="F184" s="54">
        <v>0</v>
      </c>
      <c r="G184" s="62">
        <f>Tabla3[[#This Row],[EGRESOS]]-Tabla3[[#This Row],[INGRESOS]]</f>
        <v>10347.709999999999</v>
      </c>
      <c r="H184" s="19">
        <v>-5846075.1500000004</v>
      </c>
      <c r="I184" s="16">
        <v>1450</v>
      </c>
      <c r="J184" s="14">
        <f>Tabla3[[#This Row],[EGRESOS]]/Tabla3[[#This Row],[TC]]</f>
        <v>7.1363517241379304</v>
      </c>
      <c r="K184" s="14">
        <f>Tabla3[[#This Row],[INGRESOS]]/Tabla3[[#This Row],[TC]]</f>
        <v>0</v>
      </c>
      <c r="L184" s="7" t="s">
        <v>94</v>
      </c>
      <c r="M184" s="7" t="s">
        <v>95</v>
      </c>
      <c r="N184" s="7" t="s">
        <v>0</v>
      </c>
      <c r="O184" s="7" t="s">
        <v>17</v>
      </c>
      <c r="P184" s="7" t="s">
        <v>22</v>
      </c>
      <c r="Q184" s="7" t="s">
        <v>23</v>
      </c>
      <c r="R184" s="7" t="s">
        <v>96</v>
      </c>
      <c r="S184" s="7"/>
      <c r="T184" s="7"/>
      <c r="U184" s="7" t="s">
        <v>61</v>
      </c>
      <c r="V184" s="7"/>
      <c r="W184" s="7" t="s">
        <v>241</v>
      </c>
    </row>
    <row r="185" spans="1:23" x14ac:dyDescent="0.25">
      <c r="A185" s="52" t="str">
        <f t="shared" ref="A185:A323" si="4">"ENERO"</f>
        <v>ENERO</v>
      </c>
      <c r="B185" s="53">
        <v>46024</v>
      </c>
      <c r="C185" s="49" t="s">
        <v>119</v>
      </c>
      <c r="D185" s="49"/>
      <c r="E185" s="55">
        <v>1478.24</v>
      </c>
      <c r="F185" s="54">
        <v>0</v>
      </c>
      <c r="G185" s="62">
        <f>Tabla3[[#This Row],[EGRESOS]]-Tabla3[[#This Row],[INGRESOS]]</f>
        <v>1478.24</v>
      </c>
      <c r="H185" s="19">
        <v>-5847553.3899999997</v>
      </c>
      <c r="I185" s="16">
        <v>1450</v>
      </c>
      <c r="J185" s="14">
        <f>Tabla3[[#This Row],[EGRESOS]]/Tabla3[[#This Row],[TC]]</f>
        <v>1.0194758620689655</v>
      </c>
      <c r="K185" s="14">
        <f>Tabla3[[#This Row],[INGRESOS]]/Tabla3[[#This Row],[TC]]</f>
        <v>0</v>
      </c>
      <c r="L185" s="7" t="s">
        <v>94</v>
      </c>
      <c r="M185" s="7" t="s">
        <v>95</v>
      </c>
      <c r="N185" s="7" t="s">
        <v>0</v>
      </c>
      <c r="O185" s="7" t="s">
        <v>17</v>
      </c>
      <c r="P185" s="7" t="s">
        <v>22</v>
      </c>
      <c r="Q185" s="7" t="s">
        <v>23</v>
      </c>
      <c r="R185" s="7" t="s">
        <v>103</v>
      </c>
      <c r="S185" s="7" t="s">
        <v>97</v>
      </c>
      <c r="T185" s="7"/>
      <c r="U185" s="7" t="s">
        <v>61</v>
      </c>
      <c r="V185" s="7"/>
      <c r="W185" s="7" t="s">
        <v>241</v>
      </c>
    </row>
    <row r="186" spans="1:23" s="7" customFormat="1" x14ac:dyDescent="0.25">
      <c r="A186" s="52" t="str">
        <f t="shared" si="4"/>
        <v>ENERO</v>
      </c>
      <c r="B186" s="53">
        <v>46024</v>
      </c>
      <c r="C186" s="49" t="s">
        <v>120</v>
      </c>
      <c r="D186" s="49"/>
      <c r="E186" s="55">
        <v>98549.6</v>
      </c>
      <c r="F186" s="54">
        <v>0</v>
      </c>
      <c r="G186" s="62">
        <f>Tabla3[[#This Row],[EGRESOS]]-Tabla3[[#This Row],[INGRESOS]]</f>
        <v>98549.6</v>
      </c>
      <c r="H186" s="19">
        <v>-5946102.9900000002</v>
      </c>
      <c r="I186" s="16">
        <v>1450</v>
      </c>
      <c r="J186" s="14">
        <f>Tabla3[[#This Row],[EGRESOS]]/Tabla3[[#This Row],[TC]]</f>
        <v>67.965241379310342</v>
      </c>
      <c r="K186" s="14">
        <f>Tabla3[[#This Row],[INGRESOS]]/Tabla3[[#This Row],[TC]]</f>
        <v>0</v>
      </c>
      <c r="L186" s="7" t="s">
        <v>94</v>
      </c>
      <c r="M186" s="7" t="s">
        <v>95</v>
      </c>
      <c r="N186" s="7" t="s">
        <v>0</v>
      </c>
      <c r="O186" s="7" t="s">
        <v>17</v>
      </c>
      <c r="P186" s="7" t="s">
        <v>24</v>
      </c>
      <c r="Q186" s="7" t="s">
        <v>25</v>
      </c>
      <c r="R186" s="7" t="s">
        <v>104</v>
      </c>
      <c r="U186" s="7" t="s">
        <v>61</v>
      </c>
      <c r="W186" s="7" t="s">
        <v>241</v>
      </c>
    </row>
    <row r="187" spans="1:23" s="7" customFormat="1" x14ac:dyDescent="0.25">
      <c r="A187" s="52" t="str">
        <f t="shared" si="4"/>
        <v>ENERO</v>
      </c>
      <c r="B187" s="53">
        <v>46024</v>
      </c>
      <c r="C187" s="49" t="s">
        <v>118</v>
      </c>
      <c r="D187" s="49"/>
      <c r="E187" s="55">
        <v>12150.76</v>
      </c>
      <c r="F187" s="54">
        <v>0</v>
      </c>
      <c r="G187" s="62">
        <f>Tabla3[[#This Row],[EGRESOS]]-Tabla3[[#This Row],[INGRESOS]]</f>
        <v>12150.76</v>
      </c>
      <c r="H187" s="19">
        <v>-5958253.75</v>
      </c>
      <c r="I187" s="16">
        <v>1450</v>
      </c>
      <c r="J187" s="14">
        <f>Tabla3[[#This Row],[EGRESOS]]/Tabla3[[#This Row],[TC]]</f>
        <v>8.3798344827586213</v>
      </c>
      <c r="K187" s="14">
        <f>Tabla3[[#This Row],[INGRESOS]]/Tabla3[[#This Row],[TC]]</f>
        <v>0</v>
      </c>
      <c r="L187" s="7" t="s">
        <v>94</v>
      </c>
      <c r="M187" s="7" t="s">
        <v>95</v>
      </c>
      <c r="N187" s="7" t="s">
        <v>0</v>
      </c>
      <c r="O187" s="7" t="s">
        <v>17</v>
      </c>
      <c r="P187" s="7" t="s">
        <v>22</v>
      </c>
      <c r="Q187" s="7" t="s">
        <v>23</v>
      </c>
      <c r="R187" s="7" t="s">
        <v>96</v>
      </c>
      <c r="U187" s="7" t="s">
        <v>61</v>
      </c>
      <c r="W187" s="7" t="s">
        <v>241</v>
      </c>
    </row>
    <row r="188" spans="1:23" s="7" customFormat="1" x14ac:dyDescent="0.25">
      <c r="A188" s="52" t="str">
        <f t="shared" si="4"/>
        <v>ENERO</v>
      </c>
      <c r="B188" s="53">
        <v>46024</v>
      </c>
      <c r="C188" s="49" t="s">
        <v>119</v>
      </c>
      <c r="D188" s="49"/>
      <c r="E188" s="55">
        <v>1735.82</v>
      </c>
      <c r="F188" s="54">
        <v>0</v>
      </c>
      <c r="G188" s="62">
        <f>Tabla3[[#This Row],[EGRESOS]]-Tabla3[[#This Row],[INGRESOS]]</f>
        <v>1735.82</v>
      </c>
      <c r="H188" s="19">
        <v>-5959989.5700000003</v>
      </c>
      <c r="I188" s="16">
        <v>1450</v>
      </c>
      <c r="J188" s="14">
        <f>Tabla3[[#This Row],[EGRESOS]]/Tabla3[[#This Row],[TC]]</f>
        <v>1.1971172413793103</v>
      </c>
      <c r="K188" s="14">
        <f>Tabla3[[#This Row],[INGRESOS]]/Tabla3[[#This Row],[TC]]</f>
        <v>0</v>
      </c>
      <c r="L188" s="7" t="s">
        <v>94</v>
      </c>
      <c r="M188" s="7" t="s">
        <v>95</v>
      </c>
      <c r="N188" s="7" t="s">
        <v>0</v>
      </c>
      <c r="O188" s="7" t="s">
        <v>17</v>
      </c>
      <c r="P188" s="7" t="s">
        <v>22</v>
      </c>
      <c r="Q188" s="7" t="s">
        <v>23</v>
      </c>
      <c r="R188" s="7" t="s">
        <v>103</v>
      </c>
      <c r="S188" s="7" t="s">
        <v>97</v>
      </c>
      <c r="U188" s="7" t="s">
        <v>61</v>
      </c>
      <c r="W188" s="7" t="s">
        <v>241</v>
      </c>
    </row>
    <row r="189" spans="1:23" s="7" customFormat="1" x14ac:dyDescent="0.25">
      <c r="A189" s="52" t="str">
        <f t="shared" si="4"/>
        <v>ENERO</v>
      </c>
      <c r="B189" s="53">
        <v>46024</v>
      </c>
      <c r="C189" s="49" t="s">
        <v>120</v>
      </c>
      <c r="D189" s="49"/>
      <c r="E189" s="55">
        <v>115721.5</v>
      </c>
      <c r="F189" s="54">
        <v>0</v>
      </c>
      <c r="G189" s="62">
        <f>Tabla3[[#This Row],[EGRESOS]]-Tabla3[[#This Row],[INGRESOS]]</f>
        <v>115721.5</v>
      </c>
      <c r="H189" s="19">
        <v>-6075711.0700000003</v>
      </c>
      <c r="I189" s="16">
        <v>1450</v>
      </c>
      <c r="J189" s="14">
        <f>Tabla3[[#This Row],[EGRESOS]]/Tabla3[[#This Row],[TC]]</f>
        <v>79.807931034482763</v>
      </c>
      <c r="K189" s="14">
        <f>Tabla3[[#This Row],[INGRESOS]]/Tabla3[[#This Row],[TC]]</f>
        <v>0</v>
      </c>
      <c r="L189" s="7" t="s">
        <v>94</v>
      </c>
      <c r="M189" s="7" t="s">
        <v>95</v>
      </c>
      <c r="N189" s="7" t="s">
        <v>0</v>
      </c>
      <c r="O189" s="7" t="s">
        <v>17</v>
      </c>
      <c r="P189" s="7" t="s">
        <v>24</v>
      </c>
      <c r="Q189" s="7" t="s">
        <v>25</v>
      </c>
      <c r="R189" s="7" t="s">
        <v>104</v>
      </c>
      <c r="U189" s="7" t="s">
        <v>61</v>
      </c>
      <c r="W189" s="7" t="s">
        <v>241</v>
      </c>
    </row>
    <row r="190" spans="1:23" s="7" customFormat="1" x14ac:dyDescent="0.25">
      <c r="A190" s="52" t="str">
        <f t="shared" si="4"/>
        <v>ENERO</v>
      </c>
      <c r="B190" s="53">
        <v>46024</v>
      </c>
      <c r="C190" s="49" t="s">
        <v>118</v>
      </c>
      <c r="D190" s="49"/>
      <c r="E190" s="55">
        <v>634.67999999999995</v>
      </c>
      <c r="F190" s="54">
        <v>0</v>
      </c>
      <c r="G190" s="62">
        <f>Tabla3[[#This Row],[EGRESOS]]-Tabla3[[#This Row],[INGRESOS]]</f>
        <v>634.67999999999995</v>
      </c>
      <c r="H190" s="19">
        <v>-6076345.75</v>
      </c>
      <c r="I190" s="16">
        <v>1450</v>
      </c>
      <c r="J190" s="14">
        <f>Tabla3[[#This Row],[EGRESOS]]/Tabla3[[#This Row],[TC]]</f>
        <v>0.4377103448275862</v>
      </c>
      <c r="K190" s="14">
        <f>Tabla3[[#This Row],[INGRESOS]]/Tabla3[[#This Row],[TC]]</f>
        <v>0</v>
      </c>
      <c r="L190" s="7" t="s">
        <v>94</v>
      </c>
      <c r="M190" s="7" t="s">
        <v>95</v>
      </c>
      <c r="N190" s="7" t="s">
        <v>0</v>
      </c>
      <c r="O190" s="7" t="s">
        <v>17</v>
      </c>
      <c r="P190" s="7" t="s">
        <v>22</v>
      </c>
      <c r="Q190" s="7" t="s">
        <v>23</v>
      </c>
      <c r="R190" s="7" t="s">
        <v>96</v>
      </c>
      <c r="U190" s="7" t="s">
        <v>61</v>
      </c>
      <c r="W190" s="7" t="s">
        <v>241</v>
      </c>
    </row>
    <row r="191" spans="1:23" s="7" customFormat="1" x14ac:dyDescent="0.25">
      <c r="A191" s="52" t="str">
        <f t="shared" si="4"/>
        <v>ENERO</v>
      </c>
      <c r="B191" s="53">
        <v>46024</v>
      </c>
      <c r="C191" s="49" t="s">
        <v>119</v>
      </c>
      <c r="D191" s="49"/>
      <c r="E191" s="55">
        <v>90.67</v>
      </c>
      <c r="F191" s="54">
        <v>0</v>
      </c>
      <c r="G191" s="62">
        <f>Tabla3[[#This Row],[EGRESOS]]-Tabla3[[#This Row],[INGRESOS]]</f>
        <v>90.67</v>
      </c>
      <c r="H191" s="19">
        <v>-6076436.4199999999</v>
      </c>
      <c r="I191" s="16">
        <v>1450</v>
      </c>
      <c r="J191" s="14">
        <f>Tabla3[[#This Row],[EGRESOS]]/Tabla3[[#This Row],[TC]]</f>
        <v>6.2531034482758624E-2</v>
      </c>
      <c r="K191" s="14">
        <f>Tabla3[[#This Row],[INGRESOS]]/Tabla3[[#This Row],[TC]]</f>
        <v>0</v>
      </c>
      <c r="L191" s="7" t="s">
        <v>94</v>
      </c>
      <c r="M191" s="7" t="s">
        <v>95</v>
      </c>
      <c r="N191" s="7" t="s">
        <v>0</v>
      </c>
      <c r="O191" s="7" t="s">
        <v>17</v>
      </c>
      <c r="P191" s="7" t="s">
        <v>22</v>
      </c>
      <c r="Q191" s="7" t="s">
        <v>23</v>
      </c>
      <c r="R191" s="7" t="s">
        <v>103</v>
      </c>
      <c r="S191" s="7" t="s">
        <v>97</v>
      </c>
      <c r="U191" s="7" t="s">
        <v>61</v>
      </c>
      <c r="W191" s="7" t="s">
        <v>241</v>
      </c>
    </row>
    <row r="192" spans="1:23" s="7" customFormat="1" x14ac:dyDescent="0.25">
      <c r="A192" s="52" t="str">
        <f t="shared" si="4"/>
        <v>ENERO</v>
      </c>
      <c r="B192" s="53">
        <v>46024</v>
      </c>
      <c r="C192" s="49" t="s">
        <v>121</v>
      </c>
      <c r="D192" s="49"/>
      <c r="E192" s="55">
        <v>6044.54</v>
      </c>
      <c r="F192" s="54">
        <v>0</v>
      </c>
      <c r="G192" s="62">
        <f>Tabla3[[#This Row],[EGRESOS]]-Tabla3[[#This Row],[INGRESOS]]</f>
        <v>6044.54</v>
      </c>
      <c r="H192" s="19">
        <v>-6082480.96</v>
      </c>
      <c r="I192" s="16">
        <v>1450</v>
      </c>
      <c r="J192" s="14">
        <f>Tabla3[[#This Row],[EGRESOS]]/Tabla3[[#This Row],[TC]]</f>
        <v>4.1686482758620693</v>
      </c>
      <c r="K192" s="14">
        <f>Tabla3[[#This Row],[INGRESOS]]/Tabla3[[#This Row],[TC]]</f>
        <v>0</v>
      </c>
      <c r="L192" s="7" t="s">
        <v>94</v>
      </c>
      <c r="M192" s="7" t="s">
        <v>95</v>
      </c>
      <c r="N192" s="7" t="s">
        <v>0</v>
      </c>
      <c r="O192" s="7" t="s">
        <v>17</v>
      </c>
      <c r="P192" s="7" t="s">
        <v>24</v>
      </c>
      <c r="Q192" s="7" t="s">
        <v>25</v>
      </c>
      <c r="R192" s="7" t="s">
        <v>104</v>
      </c>
      <c r="U192" s="7" t="s">
        <v>61</v>
      </c>
      <c r="W192" s="7" t="s">
        <v>241</v>
      </c>
    </row>
    <row r="193" spans="1:23" x14ac:dyDescent="0.25">
      <c r="A193" s="52" t="str">
        <f t="shared" si="4"/>
        <v>ENERO</v>
      </c>
      <c r="B193" s="53">
        <v>46024</v>
      </c>
      <c r="C193" s="49" t="s">
        <v>193</v>
      </c>
      <c r="D193" s="49"/>
      <c r="E193" s="54">
        <v>2800</v>
      </c>
      <c r="F193" s="54">
        <v>0</v>
      </c>
      <c r="G193" s="62">
        <f>Tabla3[[#This Row],[EGRESOS]]-Tabla3[[#This Row],[INGRESOS]]</f>
        <v>2800</v>
      </c>
      <c r="H193" s="104">
        <v>-6085280.96</v>
      </c>
      <c r="I193" s="16">
        <v>1450</v>
      </c>
      <c r="J193" s="14">
        <f>Tabla3[[#This Row],[EGRESOS]]/Tabla3[[#This Row],[TC]]</f>
        <v>1.9310344827586208</v>
      </c>
      <c r="K193" s="14">
        <f>Tabla3[[#This Row],[INGRESOS]]/Tabla3[[#This Row],[TC]]</f>
        <v>0</v>
      </c>
      <c r="L193" s="7" t="s">
        <v>94</v>
      </c>
      <c r="M193" s="7" t="s">
        <v>95</v>
      </c>
      <c r="N193" s="7" t="s">
        <v>0</v>
      </c>
      <c r="O193" s="7" t="s">
        <v>17</v>
      </c>
      <c r="P193" s="7" t="s">
        <v>22</v>
      </c>
      <c r="Q193" s="7" t="s">
        <v>23</v>
      </c>
      <c r="R193" s="7" t="s">
        <v>199</v>
      </c>
      <c r="S193" s="7"/>
      <c r="T193" s="7"/>
      <c r="U193" s="7" t="s">
        <v>61</v>
      </c>
      <c r="V193" s="7"/>
      <c r="W193" s="7" t="s">
        <v>241</v>
      </c>
    </row>
    <row r="194" spans="1:23" x14ac:dyDescent="0.25">
      <c r="A194" s="52" t="str">
        <f t="shared" si="4"/>
        <v>ENERO</v>
      </c>
      <c r="B194" s="53">
        <v>46024</v>
      </c>
      <c r="C194" s="49" t="s">
        <v>193</v>
      </c>
      <c r="D194" s="49"/>
      <c r="E194" s="54">
        <v>2679.51</v>
      </c>
      <c r="F194" s="54">
        <v>0</v>
      </c>
      <c r="G194" s="62">
        <f>Tabla3[[#This Row],[EGRESOS]]-Tabla3[[#This Row],[INGRESOS]]</f>
        <v>2679.51</v>
      </c>
      <c r="H194" s="104">
        <v>-6087960.4699999997</v>
      </c>
      <c r="I194" s="16">
        <v>1450</v>
      </c>
      <c r="J194" s="14">
        <f>Tabla3[[#This Row],[EGRESOS]]/Tabla3[[#This Row],[TC]]</f>
        <v>1.847937931034483</v>
      </c>
      <c r="K194" s="14">
        <f>Tabla3[[#This Row],[INGRESOS]]/Tabla3[[#This Row],[TC]]</f>
        <v>0</v>
      </c>
      <c r="L194" s="7" t="s">
        <v>94</v>
      </c>
      <c r="M194" s="7" t="s">
        <v>95</v>
      </c>
      <c r="N194" s="7" t="s">
        <v>0</v>
      </c>
      <c r="O194" s="7" t="s">
        <v>17</v>
      </c>
      <c r="P194" s="7" t="s">
        <v>22</v>
      </c>
      <c r="Q194" s="7" t="s">
        <v>23</v>
      </c>
      <c r="R194" s="7" t="s">
        <v>199</v>
      </c>
      <c r="S194" s="7"/>
      <c r="T194" s="7"/>
      <c r="U194" s="7" t="s">
        <v>61</v>
      </c>
      <c r="V194" s="7"/>
      <c r="W194" s="7" t="s">
        <v>241</v>
      </c>
    </row>
    <row r="195" spans="1:23" x14ac:dyDescent="0.25">
      <c r="A195" s="52" t="str">
        <f t="shared" si="4"/>
        <v>ENERO</v>
      </c>
      <c r="B195" s="53">
        <v>46024</v>
      </c>
      <c r="C195" s="49" t="s">
        <v>193</v>
      </c>
      <c r="D195" s="49"/>
      <c r="E195" s="54">
        <v>141.07</v>
      </c>
      <c r="F195" s="54">
        <v>0</v>
      </c>
      <c r="G195" s="62">
        <f>Tabla3[[#This Row],[EGRESOS]]-Tabla3[[#This Row],[INGRESOS]]</f>
        <v>141.07</v>
      </c>
      <c r="H195" s="104">
        <v>-6088101.54</v>
      </c>
      <c r="I195" s="16">
        <v>1450</v>
      </c>
      <c r="J195" s="14">
        <f>Tabla3[[#This Row],[EGRESOS]]/Tabla3[[#This Row],[TC]]</f>
        <v>9.7289655172413794E-2</v>
      </c>
      <c r="K195" s="14">
        <f>Tabla3[[#This Row],[INGRESOS]]/Tabla3[[#This Row],[TC]]</f>
        <v>0</v>
      </c>
      <c r="L195" s="7" t="s">
        <v>94</v>
      </c>
      <c r="M195" s="7" t="s">
        <v>95</v>
      </c>
      <c r="N195" s="7" t="s">
        <v>0</v>
      </c>
      <c r="O195" s="7" t="s">
        <v>17</v>
      </c>
      <c r="P195" s="7" t="s">
        <v>22</v>
      </c>
      <c r="Q195" s="7" t="s">
        <v>23</v>
      </c>
      <c r="R195" s="7" t="s">
        <v>199</v>
      </c>
      <c r="S195" s="7"/>
      <c r="T195" s="7"/>
      <c r="U195" s="7" t="s">
        <v>61</v>
      </c>
      <c r="V195" s="7"/>
      <c r="W195" s="7" t="s">
        <v>241</v>
      </c>
    </row>
    <row r="196" spans="1:23" x14ac:dyDescent="0.25">
      <c r="A196" s="52" t="str">
        <f t="shared" si="4"/>
        <v>ENERO</v>
      </c>
      <c r="B196" s="53">
        <v>46024</v>
      </c>
      <c r="C196" s="49" t="s">
        <v>192</v>
      </c>
      <c r="D196" s="49"/>
      <c r="E196" s="54">
        <v>1514.25</v>
      </c>
      <c r="F196" s="54">
        <v>0</v>
      </c>
      <c r="G196" s="62">
        <f>Tabla3[[#This Row],[EGRESOS]]-Tabla3[[#This Row],[INGRESOS]]</f>
        <v>1514.25</v>
      </c>
      <c r="H196" s="104">
        <v>-6089615.79</v>
      </c>
      <c r="I196" s="16">
        <v>1450</v>
      </c>
      <c r="J196" s="14">
        <f>Tabla3[[#This Row],[EGRESOS]]/Tabla3[[#This Row],[TC]]</f>
        <v>1.0443103448275861</v>
      </c>
      <c r="K196" s="14">
        <f>Tabla3[[#This Row],[INGRESOS]]/Tabla3[[#This Row],[TC]]</f>
        <v>0</v>
      </c>
      <c r="L196" s="7" t="s">
        <v>94</v>
      </c>
      <c r="M196" s="7" t="s">
        <v>95</v>
      </c>
      <c r="N196" s="7" t="s">
        <v>0</v>
      </c>
      <c r="O196" s="7" t="s">
        <v>17</v>
      </c>
      <c r="P196" s="7" t="s">
        <v>22</v>
      </c>
      <c r="Q196" s="7" t="s">
        <v>23</v>
      </c>
      <c r="R196" s="7" t="s">
        <v>200</v>
      </c>
      <c r="S196" s="7"/>
      <c r="T196" s="7"/>
      <c r="U196" s="7" t="s">
        <v>61</v>
      </c>
      <c r="V196" s="7"/>
      <c r="W196" s="7" t="s">
        <v>241</v>
      </c>
    </row>
    <row r="197" spans="1:23" x14ac:dyDescent="0.25">
      <c r="A197" s="52" t="str">
        <f t="shared" si="4"/>
        <v>ENERO</v>
      </c>
      <c r="B197" s="53">
        <v>46027</v>
      </c>
      <c r="C197" s="49" t="s">
        <v>191</v>
      </c>
      <c r="D197" s="49" t="s">
        <v>195</v>
      </c>
      <c r="E197" s="54">
        <v>183780.02</v>
      </c>
      <c r="F197" s="54">
        <v>0</v>
      </c>
      <c r="G197" s="62">
        <f>Tabla3[[#This Row],[EGRESOS]]-Tabla3[[#This Row],[INGRESOS]]</f>
        <v>183780.02</v>
      </c>
      <c r="H197" s="104">
        <v>-6273395.8099999996</v>
      </c>
      <c r="I197" s="16">
        <v>1450</v>
      </c>
      <c r="J197" s="14">
        <f>Tabla3[[#This Row],[EGRESOS]]/Tabla3[[#This Row],[TC]]</f>
        <v>126.74484137931034</v>
      </c>
      <c r="K197" s="14">
        <f>Tabla3[[#This Row],[INGRESOS]]/Tabla3[[#This Row],[TC]]</f>
        <v>0</v>
      </c>
      <c r="L197" s="7" t="s">
        <v>94</v>
      </c>
      <c r="M197" s="7" t="s">
        <v>95</v>
      </c>
      <c r="N197" s="7" t="s">
        <v>0</v>
      </c>
      <c r="O197" s="7" t="s">
        <v>52</v>
      </c>
      <c r="P197" s="7" t="s">
        <v>198</v>
      </c>
      <c r="Q197" s="7" t="s">
        <v>54</v>
      </c>
      <c r="R197" s="7" t="s">
        <v>3</v>
      </c>
      <c r="S197" s="7" t="s">
        <v>196</v>
      </c>
      <c r="T197" s="7" t="s">
        <v>203</v>
      </c>
      <c r="U197" s="7" t="s">
        <v>235</v>
      </c>
      <c r="V197" s="7"/>
      <c r="W197" s="7" t="s">
        <v>241</v>
      </c>
    </row>
    <row r="198" spans="1:23" x14ac:dyDescent="0.25">
      <c r="A198" s="52" t="str">
        <f t="shared" si="4"/>
        <v>ENERO</v>
      </c>
      <c r="B198" s="53">
        <v>46027</v>
      </c>
      <c r="C198" s="49" t="s">
        <v>191</v>
      </c>
      <c r="D198" s="49" t="s">
        <v>194</v>
      </c>
      <c r="E198" s="54">
        <v>565228</v>
      </c>
      <c r="F198" s="54">
        <v>0</v>
      </c>
      <c r="G198" s="62">
        <f>Tabla3[[#This Row],[EGRESOS]]-Tabla3[[#This Row],[INGRESOS]]</f>
        <v>565228</v>
      </c>
      <c r="H198" s="104">
        <v>-6838623.8099999996</v>
      </c>
      <c r="I198" s="16">
        <v>1450</v>
      </c>
      <c r="J198" s="14">
        <f>Tabla3[[#This Row],[EGRESOS]]/Tabla3[[#This Row],[TC]]</f>
        <v>389.81241379310347</v>
      </c>
      <c r="K198" s="14">
        <f>Tabla3[[#This Row],[INGRESOS]]/Tabla3[[#This Row],[TC]]</f>
        <v>0</v>
      </c>
      <c r="L198" s="7" t="s">
        <v>94</v>
      </c>
      <c r="M198" s="7" t="s">
        <v>95</v>
      </c>
      <c r="N198" s="7" t="s">
        <v>0</v>
      </c>
      <c r="O198" s="7" t="s">
        <v>34</v>
      </c>
      <c r="P198" s="7" t="s">
        <v>197</v>
      </c>
      <c r="Q198" s="7" t="s">
        <v>201</v>
      </c>
      <c r="R198" s="7" t="s">
        <v>114</v>
      </c>
      <c r="S198" s="7" t="s">
        <v>202</v>
      </c>
      <c r="T198" s="7" t="s">
        <v>223</v>
      </c>
      <c r="U198" s="7" t="s">
        <v>235</v>
      </c>
      <c r="V198" s="7"/>
      <c r="W198" s="7" t="s">
        <v>241</v>
      </c>
    </row>
    <row r="199" spans="1:23" x14ac:dyDescent="0.25">
      <c r="A199" s="52" t="str">
        <f t="shared" si="4"/>
        <v>ENERO</v>
      </c>
      <c r="B199" s="53">
        <v>46027</v>
      </c>
      <c r="C199" s="49" t="s">
        <v>192</v>
      </c>
      <c r="D199" s="49"/>
      <c r="E199" s="54">
        <v>4494.05</v>
      </c>
      <c r="F199" s="54">
        <v>0</v>
      </c>
      <c r="G199" s="62">
        <f>Tabla3[[#This Row],[EGRESOS]]-Tabla3[[#This Row],[INGRESOS]]</f>
        <v>4494.05</v>
      </c>
      <c r="H199" s="104">
        <v>-6843117.8600000003</v>
      </c>
      <c r="I199" s="16">
        <v>1450</v>
      </c>
      <c r="J199" s="14">
        <f>Tabla3[[#This Row],[EGRESOS]]/Tabla3[[#This Row],[TC]]</f>
        <v>3.099344827586207</v>
      </c>
      <c r="K199" s="14">
        <f>Tabla3[[#This Row],[INGRESOS]]/Tabla3[[#This Row],[TC]]</f>
        <v>0</v>
      </c>
      <c r="L199" s="7" t="s">
        <v>94</v>
      </c>
      <c r="M199" s="7" t="s">
        <v>95</v>
      </c>
      <c r="N199" s="7" t="s">
        <v>0</v>
      </c>
      <c r="O199" s="7" t="s">
        <v>17</v>
      </c>
      <c r="P199" s="7" t="s">
        <v>22</v>
      </c>
      <c r="Q199" s="7" t="s">
        <v>23</v>
      </c>
      <c r="R199" s="7" t="s">
        <v>200</v>
      </c>
      <c r="S199" s="7"/>
      <c r="T199" s="7"/>
      <c r="U199" s="7" t="s">
        <v>61</v>
      </c>
      <c r="V199" s="7"/>
      <c r="W199" s="7" t="s">
        <v>241</v>
      </c>
    </row>
    <row r="200" spans="1:23" x14ac:dyDescent="0.25">
      <c r="A200" s="52" t="str">
        <f t="shared" si="4"/>
        <v>ENERO</v>
      </c>
      <c r="B200" s="53">
        <v>46028</v>
      </c>
      <c r="C200" s="49" t="s">
        <v>191</v>
      </c>
      <c r="D200" s="49" t="s">
        <v>218</v>
      </c>
      <c r="E200" s="54">
        <v>920000</v>
      </c>
      <c r="F200" s="54">
        <v>0</v>
      </c>
      <c r="G200" s="62">
        <f>Tabla3[[#This Row],[EGRESOS]]-Tabla3[[#This Row],[INGRESOS]]</f>
        <v>920000</v>
      </c>
      <c r="H200" s="104">
        <v>-7763117.8600000003</v>
      </c>
      <c r="I200" s="16">
        <v>1450</v>
      </c>
      <c r="J200" s="14">
        <f>Tabla3[[#This Row],[EGRESOS]]/Tabla3[[#This Row],[TC]]</f>
        <v>634.48275862068965</v>
      </c>
      <c r="K200" s="14">
        <f>Tabla3[[#This Row],[INGRESOS]]/Tabla3[[#This Row],[TC]]</f>
        <v>0</v>
      </c>
      <c r="L200" s="7" t="s">
        <v>94</v>
      </c>
      <c r="M200" s="7" t="s">
        <v>95</v>
      </c>
      <c r="N200" s="7" t="s">
        <v>0</v>
      </c>
      <c r="O200" s="7" t="s">
        <v>39</v>
      </c>
      <c r="P200" s="7" t="s">
        <v>44</v>
      </c>
      <c r="Q200" s="7" t="s">
        <v>48</v>
      </c>
      <c r="R200" s="7"/>
      <c r="S200" s="7" t="s">
        <v>221</v>
      </c>
      <c r="T200" s="7" t="s">
        <v>222</v>
      </c>
      <c r="U200" s="7" t="s">
        <v>235</v>
      </c>
      <c r="V200" s="7"/>
      <c r="W200" s="7" t="s">
        <v>241</v>
      </c>
    </row>
    <row r="201" spans="1:23" x14ac:dyDescent="0.25">
      <c r="A201" s="52" t="str">
        <f t="shared" si="4"/>
        <v>ENERO</v>
      </c>
      <c r="B201" s="53">
        <v>46028</v>
      </c>
      <c r="C201" s="49" t="s">
        <v>191</v>
      </c>
      <c r="D201" s="49" t="s">
        <v>217</v>
      </c>
      <c r="E201" s="54">
        <v>617000</v>
      </c>
      <c r="F201" s="54">
        <v>0</v>
      </c>
      <c r="G201" s="62">
        <f>Tabla3[[#This Row],[EGRESOS]]-Tabla3[[#This Row],[INGRESOS]]</f>
        <v>617000</v>
      </c>
      <c r="H201" s="104">
        <v>-8380117.8600000003</v>
      </c>
      <c r="I201" s="16">
        <v>1450</v>
      </c>
      <c r="J201" s="14">
        <f>Tabla3[[#This Row],[EGRESOS]]/Tabla3[[#This Row],[TC]]</f>
        <v>425.51724137931035</v>
      </c>
      <c r="K201" s="14">
        <f>Tabla3[[#This Row],[INGRESOS]]/Tabla3[[#This Row],[TC]]</f>
        <v>0</v>
      </c>
      <c r="L201" s="7" t="s">
        <v>94</v>
      </c>
      <c r="M201" s="7" t="s">
        <v>95</v>
      </c>
      <c r="N201" s="7" t="s">
        <v>0</v>
      </c>
      <c r="O201" s="7" t="s">
        <v>52</v>
      </c>
      <c r="P201" s="7" t="s">
        <v>198</v>
      </c>
      <c r="Q201" s="7" t="s">
        <v>35</v>
      </c>
      <c r="R201" s="7" t="s">
        <v>20</v>
      </c>
      <c r="S201" s="7" t="s">
        <v>219</v>
      </c>
      <c r="T201" s="7" t="s">
        <v>220</v>
      </c>
      <c r="U201" s="7" t="s">
        <v>235</v>
      </c>
      <c r="V201" s="7"/>
      <c r="W201" s="7" t="s">
        <v>241</v>
      </c>
    </row>
    <row r="202" spans="1:23" x14ac:dyDescent="0.25">
      <c r="A202" s="52" t="str">
        <f t="shared" si="4"/>
        <v>ENERO</v>
      </c>
      <c r="B202" s="53">
        <v>46028</v>
      </c>
      <c r="C202" s="49" t="s">
        <v>192</v>
      </c>
      <c r="D202" s="49"/>
      <c r="E202" s="54">
        <v>9222</v>
      </c>
      <c r="F202" s="54">
        <v>0</v>
      </c>
      <c r="G202" s="62">
        <f>Tabla3[[#This Row],[EGRESOS]]-Tabla3[[#This Row],[INGRESOS]]</f>
        <v>9222</v>
      </c>
      <c r="H202" s="104">
        <v>-8389339.8599999994</v>
      </c>
      <c r="I202" s="16">
        <v>1450</v>
      </c>
      <c r="J202" s="14">
        <f>Tabla3[[#This Row],[EGRESOS]]/Tabla3[[#This Row],[TC]]</f>
        <v>6.36</v>
      </c>
      <c r="K202" s="14">
        <f>Tabla3[[#This Row],[INGRESOS]]/Tabla3[[#This Row],[TC]]</f>
        <v>0</v>
      </c>
      <c r="L202" s="7" t="s">
        <v>94</v>
      </c>
      <c r="M202" s="7" t="s">
        <v>95</v>
      </c>
      <c r="N202" s="7" t="s">
        <v>0</v>
      </c>
      <c r="O202" s="7" t="s">
        <v>17</v>
      </c>
      <c r="P202" s="7" t="s">
        <v>22</v>
      </c>
      <c r="Q202" s="7" t="s">
        <v>23</v>
      </c>
      <c r="R202" s="7" t="s">
        <v>200</v>
      </c>
      <c r="S202" s="7"/>
      <c r="T202" s="7"/>
      <c r="U202" s="7" t="s">
        <v>61</v>
      </c>
      <c r="V202" s="7"/>
      <c r="W202" s="7" t="s">
        <v>241</v>
      </c>
    </row>
    <row r="203" spans="1:23" x14ac:dyDescent="0.25">
      <c r="A203" s="52" t="str">
        <f t="shared" si="4"/>
        <v>ENERO</v>
      </c>
      <c r="B203" s="53">
        <v>46030</v>
      </c>
      <c r="C203" s="49" t="s">
        <v>191</v>
      </c>
      <c r="D203" s="49"/>
      <c r="E203" s="54">
        <v>2000000</v>
      </c>
      <c r="F203" s="54">
        <v>0</v>
      </c>
      <c r="G203" s="62">
        <f>Tabla3[[#This Row],[EGRESOS]]-Tabla3[[#This Row],[INGRESOS]]</f>
        <v>2000000</v>
      </c>
      <c r="H203" s="104">
        <v>-10389339.859999999</v>
      </c>
      <c r="I203" s="16">
        <v>1450</v>
      </c>
      <c r="J203" s="14">
        <f>Tabla3[[#This Row],[EGRESOS]]/Tabla3[[#This Row],[TC]]</f>
        <v>1379.3103448275863</v>
      </c>
      <c r="K203" s="14">
        <f>Tabla3[[#This Row],[INGRESOS]]/Tabla3[[#This Row],[TC]]</f>
        <v>0</v>
      </c>
      <c r="L203" s="7" t="s">
        <v>94</v>
      </c>
      <c r="M203" s="7" t="s">
        <v>95</v>
      </c>
      <c r="N203" s="7" t="s">
        <v>0</v>
      </c>
      <c r="O203" s="7" t="s">
        <v>39</v>
      </c>
      <c r="P203" s="7" t="s">
        <v>44</v>
      </c>
      <c r="Q203" s="7" t="s">
        <v>47</v>
      </c>
      <c r="R203" s="7" t="s">
        <v>224</v>
      </c>
      <c r="S203" s="7" t="s">
        <v>289</v>
      </c>
      <c r="T203" s="7"/>
      <c r="U203" s="7" t="s">
        <v>235</v>
      </c>
      <c r="V203" s="7"/>
      <c r="W203" s="7" t="s">
        <v>241</v>
      </c>
    </row>
    <row r="204" spans="1:23" x14ac:dyDescent="0.25">
      <c r="A204" s="52" t="str">
        <f t="shared" si="4"/>
        <v>ENERO</v>
      </c>
      <c r="B204" s="53">
        <v>46030</v>
      </c>
      <c r="C204" s="49" t="s">
        <v>229</v>
      </c>
      <c r="D204" s="49"/>
      <c r="E204" s="54">
        <v>250000</v>
      </c>
      <c r="F204" s="54">
        <v>0</v>
      </c>
      <c r="G204" s="62">
        <f>Tabla3[[#This Row],[EGRESOS]]-Tabla3[[#This Row],[INGRESOS]]</f>
        <v>250000</v>
      </c>
      <c r="H204" s="104">
        <v>-10777339.859999999</v>
      </c>
      <c r="I204" s="16">
        <v>1450</v>
      </c>
      <c r="J204" s="14">
        <f>Tabla3[[#This Row],[EGRESOS]]/Tabla3[[#This Row],[TC]]</f>
        <v>172.41379310344828</v>
      </c>
      <c r="K204" s="14">
        <f>Tabla3[[#This Row],[INGRESOS]]/Tabla3[[#This Row],[TC]]</f>
        <v>0</v>
      </c>
      <c r="L204" s="7" t="s">
        <v>94</v>
      </c>
      <c r="M204" s="7" t="s">
        <v>95</v>
      </c>
      <c r="N204" s="7" t="s">
        <v>0</v>
      </c>
      <c r="O204" s="7" t="s">
        <v>39</v>
      </c>
      <c r="P204" s="7" t="s">
        <v>42</v>
      </c>
      <c r="Q204" s="7" t="s">
        <v>226</v>
      </c>
      <c r="R204" s="7" t="s">
        <v>227</v>
      </c>
      <c r="S204" s="7" t="s">
        <v>228</v>
      </c>
      <c r="T204" s="7"/>
      <c r="U204" s="7" t="s">
        <v>235</v>
      </c>
      <c r="V204" s="7"/>
      <c r="W204" s="7" t="s">
        <v>241</v>
      </c>
    </row>
    <row r="205" spans="1:23" x14ac:dyDescent="0.25">
      <c r="A205" s="52" t="s">
        <v>60</v>
      </c>
      <c r="B205" s="53">
        <v>46030</v>
      </c>
      <c r="C205" s="49" t="s">
        <v>229</v>
      </c>
      <c r="D205" s="49"/>
      <c r="E205" s="54">
        <v>138000</v>
      </c>
      <c r="F205" s="54">
        <v>0</v>
      </c>
      <c r="G205" s="62">
        <f>Tabla3[[#This Row],[EGRESOS]]-Tabla3[[#This Row],[INGRESOS]]</f>
        <v>138000</v>
      </c>
      <c r="H205" s="104">
        <v>-11165339.859999999</v>
      </c>
      <c r="I205" s="16">
        <v>1450</v>
      </c>
      <c r="J205" s="14">
        <f>Tabla3[[#This Row],[EGRESOS]]/Tabla3[[#This Row],[TC]]</f>
        <v>95.172413793103445</v>
      </c>
      <c r="K205" s="14">
        <f>Tabla3[[#This Row],[INGRESOS]]/Tabla3[[#This Row],[TC]]</f>
        <v>0</v>
      </c>
      <c r="L205" s="7" t="s">
        <v>94</v>
      </c>
      <c r="M205" s="7" t="s">
        <v>95</v>
      </c>
      <c r="N205" s="7" t="s">
        <v>0</v>
      </c>
      <c r="O205" s="7" t="s">
        <v>17</v>
      </c>
      <c r="P205" s="7" t="s">
        <v>28</v>
      </c>
      <c r="Q205" s="7" t="s">
        <v>265</v>
      </c>
      <c r="R205" s="7"/>
      <c r="S205" s="133" t="s">
        <v>449</v>
      </c>
      <c r="T205" s="7"/>
      <c r="U205" s="7" t="s">
        <v>266</v>
      </c>
      <c r="V205" s="7" t="s">
        <v>102</v>
      </c>
      <c r="W205" s="7" t="s">
        <v>241</v>
      </c>
    </row>
    <row r="206" spans="1:23" x14ac:dyDescent="0.25">
      <c r="A206" s="52" t="str">
        <f t="shared" si="4"/>
        <v>ENERO</v>
      </c>
      <c r="B206" s="53">
        <v>46030</v>
      </c>
      <c r="C206" s="49" t="s">
        <v>215</v>
      </c>
      <c r="D206" s="49"/>
      <c r="E206" s="54">
        <v>121</v>
      </c>
      <c r="F206" s="54">
        <v>0</v>
      </c>
      <c r="G206" s="62">
        <f>Tabla3[[#This Row],[EGRESOS]]-Tabla3[[#This Row],[INGRESOS]]</f>
        <v>121</v>
      </c>
      <c r="H206" s="104">
        <v>-10777460.859999999</v>
      </c>
      <c r="I206" s="16">
        <v>1450</v>
      </c>
      <c r="J206" s="14">
        <f>Tabla3[[#This Row],[EGRESOS]]/Tabla3[[#This Row],[TC]]</f>
        <v>8.344827586206896E-2</v>
      </c>
      <c r="K206" s="14">
        <f>Tabla3[[#This Row],[INGRESOS]]/Tabla3[[#This Row],[TC]]</f>
        <v>0</v>
      </c>
      <c r="L206" s="7" t="s">
        <v>94</v>
      </c>
      <c r="M206" s="7" t="s">
        <v>95</v>
      </c>
      <c r="N206" s="7" t="s">
        <v>0</v>
      </c>
      <c r="O206" s="7" t="s">
        <v>17</v>
      </c>
      <c r="P206" s="7" t="s">
        <v>22</v>
      </c>
      <c r="Q206" s="7" t="s">
        <v>19</v>
      </c>
      <c r="R206" s="7"/>
      <c r="S206" s="7"/>
      <c r="T206" s="7"/>
      <c r="U206" s="7" t="s">
        <v>61</v>
      </c>
      <c r="V206" s="7"/>
      <c r="W206" s="7" t="s">
        <v>241</v>
      </c>
    </row>
    <row r="207" spans="1:23" x14ac:dyDescent="0.25">
      <c r="A207" s="52" t="str">
        <f t="shared" si="4"/>
        <v>ENERO</v>
      </c>
      <c r="B207" s="53">
        <v>46030</v>
      </c>
      <c r="C207" s="49" t="s">
        <v>118</v>
      </c>
      <c r="D207" s="49"/>
      <c r="E207" s="54">
        <v>2709</v>
      </c>
      <c r="F207" s="54">
        <v>0</v>
      </c>
      <c r="G207" s="62">
        <f>Tabla3[[#This Row],[EGRESOS]]-Tabla3[[#This Row],[INGRESOS]]</f>
        <v>2709</v>
      </c>
      <c r="H207" s="104">
        <v>-10780169.859999999</v>
      </c>
      <c r="I207" s="16">
        <v>1450</v>
      </c>
      <c r="J207" s="14">
        <f>Tabla3[[#This Row],[EGRESOS]]/Tabla3[[#This Row],[TC]]</f>
        <v>1.8682758620689655</v>
      </c>
      <c r="K207" s="14">
        <f>Tabla3[[#This Row],[INGRESOS]]/Tabla3[[#This Row],[TC]]</f>
        <v>0</v>
      </c>
      <c r="L207" s="7" t="s">
        <v>94</v>
      </c>
      <c r="M207" s="7" t="s">
        <v>95</v>
      </c>
      <c r="N207" s="7" t="s">
        <v>0</v>
      </c>
      <c r="O207" s="7" t="s">
        <v>17</v>
      </c>
      <c r="P207" s="7" t="s">
        <v>22</v>
      </c>
      <c r="Q207" s="7" t="s">
        <v>23</v>
      </c>
      <c r="R207" s="7" t="s">
        <v>96</v>
      </c>
      <c r="S207" s="7"/>
      <c r="T207" s="7"/>
      <c r="U207" s="7" t="s">
        <v>61</v>
      </c>
      <c r="V207" s="7"/>
      <c r="W207" s="7" t="s">
        <v>241</v>
      </c>
    </row>
    <row r="208" spans="1:23" x14ac:dyDescent="0.25">
      <c r="A208" s="52" t="str">
        <f t="shared" si="4"/>
        <v>ENERO</v>
      </c>
      <c r="B208" s="53">
        <v>46030</v>
      </c>
      <c r="C208" s="49" t="s">
        <v>119</v>
      </c>
      <c r="D208" s="49"/>
      <c r="E208" s="54">
        <v>387</v>
      </c>
      <c r="F208" s="54">
        <v>0</v>
      </c>
      <c r="G208" s="62">
        <f>Tabla3[[#This Row],[EGRESOS]]-Tabla3[[#This Row],[INGRESOS]]</f>
        <v>387</v>
      </c>
      <c r="H208" s="104">
        <v>-10780556.859999999</v>
      </c>
      <c r="I208" s="16">
        <v>1450</v>
      </c>
      <c r="J208" s="14">
        <f>Tabla3[[#This Row],[EGRESOS]]/Tabla3[[#This Row],[TC]]</f>
        <v>0.26689655172413795</v>
      </c>
      <c r="K208" s="14">
        <f>Tabla3[[#This Row],[INGRESOS]]/Tabla3[[#This Row],[TC]]</f>
        <v>0</v>
      </c>
      <c r="L208" s="7" t="s">
        <v>94</v>
      </c>
      <c r="M208" s="7" t="s">
        <v>95</v>
      </c>
      <c r="N208" s="7" t="s">
        <v>0</v>
      </c>
      <c r="O208" s="7" t="s">
        <v>17</v>
      </c>
      <c r="P208" s="7" t="s">
        <v>22</v>
      </c>
      <c r="Q208" s="7" t="s">
        <v>23</v>
      </c>
      <c r="R208" s="7" t="s">
        <v>103</v>
      </c>
      <c r="S208" s="7" t="s">
        <v>97</v>
      </c>
      <c r="T208" s="7"/>
      <c r="U208" s="7" t="s">
        <v>61</v>
      </c>
      <c r="V208" s="7"/>
      <c r="W208" s="7" t="s">
        <v>241</v>
      </c>
    </row>
    <row r="209" spans="1:23" x14ac:dyDescent="0.25">
      <c r="A209" s="52" t="str">
        <f t="shared" si="4"/>
        <v>ENERO</v>
      </c>
      <c r="B209" s="53">
        <v>46030</v>
      </c>
      <c r="C209" s="49" t="s">
        <v>225</v>
      </c>
      <c r="D209" s="49"/>
      <c r="E209" s="54">
        <v>12900</v>
      </c>
      <c r="F209" s="54">
        <v>0</v>
      </c>
      <c r="G209" s="62">
        <f>Tabla3[[#This Row],[EGRESOS]]-Tabla3[[#This Row],[INGRESOS]]</f>
        <v>12900</v>
      </c>
      <c r="H209" s="104">
        <v>-10793456.859999999</v>
      </c>
      <c r="I209" s="16">
        <v>1450</v>
      </c>
      <c r="J209" s="14">
        <f>Tabla3[[#This Row],[EGRESOS]]/Tabla3[[#This Row],[TC]]</f>
        <v>8.8965517241379306</v>
      </c>
      <c r="K209" s="14">
        <f>Tabla3[[#This Row],[INGRESOS]]/Tabla3[[#This Row],[TC]]</f>
        <v>0</v>
      </c>
      <c r="L209" s="7" t="s">
        <v>94</v>
      </c>
      <c r="M209" s="7" t="s">
        <v>95</v>
      </c>
      <c r="N209" s="7" t="s">
        <v>0</v>
      </c>
      <c r="O209" s="7" t="s">
        <v>17</v>
      </c>
      <c r="P209" s="7" t="s">
        <v>22</v>
      </c>
      <c r="Q209" s="7" t="s">
        <v>19</v>
      </c>
      <c r="R209" s="7"/>
      <c r="S209" s="7"/>
      <c r="T209" s="7"/>
      <c r="U209" s="7" t="s">
        <v>61</v>
      </c>
      <c r="V209" s="7"/>
      <c r="W209" s="7" t="s">
        <v>241</v>
      </c>
    </row>
    <row r="210" spans="1:23" x14ac:dyDescent="0.25">
      <c r="A210" s="52" t="str">
        <f t="shared" si="4"/>
        <v>ENERO</v>
      </c>
      <c r="B210" s="53">
        <v>46030</v>
      </c>
      <c r="C210" s="49" t="s">
        <v>192</v>
      </c>
      <c r="D210" s="49"/>
      <c r="E210" s="54">
        <v>14424.71</v>
      </c>
      <c r="F210" s="54">
        <v>0</v>
      </c>
      <c r="G210" s="62">
        <f>Tabla3[[#This Row],[EGRESOS]]-Tabla3[[#This Row],[INGRESOS]]</f>
        <v>14424.71</v>
      </c>
      <c r="H210" s="104">
        <v>-10807881.57</v>
      </c>
      <c r="I210" s="16">
        <v>1450</v>
      </c>
      <c r="J210" s="14">
        <f>Tabla3[[#This Row],[EGRESOS]]/Tabla3[[#This Row],[TC]]</f>
        <v>9.9480758620689649</v>
      </c>
      <c r="K210" s="14">
        <f>Tabla3[[#This Row],[INGRESOS]]/Tabla3[[#This Row],[TC]]</f>
        <v>0</v>
      </c>
      <c r="L210" s="7" t="s">
        <v>94</v>
      </c>
      <c r="M210" s="7" t="s">
        <v>95</v>
      </c>
      <c r="N210" s="7" t="s">
        <v>0</v>
      </c>
      <c r="O210" s="7" t="s">
        <v>17</v>
      </c>
      <c r="P210" s="7" t="s">
        <v>22</v>
      </c>
      <c r="Q210" s="7" t="s">
        <v>23</v>
      </c>
      <c r="R210" s="7" t="s">
        <v>200</v>
      </c>
      <c r="S210" s="7"/>
      <c r="T210" s="7"/>
      <c r="U210" s="7" t="s">
        <v>61</v>
      </c>
      <c r="V210" s="7"/>
      <c r="W210" s="7" t="s">
        <v>241</v>
      </c>
    </row>
    <row r="211" spans="1:23" x14ac:dyDescent="0.25">
      <c r="A211" s="52" t="str">
        <f t="shared" si="4"/>
        <v>ENERO</v>
      </c>
      <c r="B211" s="53">
        <v>46031</v>
      </c>
      <c r="C211" s="49" t="s">
        <v>229</v>
      </c>
      <c r="D211" s="49"/>
      <c r="E211" s="54">
        <v>800000</v>
      </c>
      <c r="F211" s="54">
        <v>0</v>
      </c>
      <c r="G211" s="62">
        <f>Tabla3[[#This Row],[EGRESOS]]-Tabla3[[#This Row],[INGRESOS]]</f>
        <v>800000</v>
      </c>
      <c r="H211" s="104">
        <v>-11607881.57</v>
      </c>
      <c r="I211" s="16">
        <v>1450</v>
      </c>
      <c r="J211" s="14">
        <f>Tabla3[[#This Row],[EGRESOS]]/Tabla3[[#This Row],[TC]]</f>
        <v>551.72413793103453</v>
      </c>
      <c r="K211" s="14">
        <f>Tabla3[[#This Row],[INGRESOS]]/Tabla3[[#This Row],[TC]]</f>
        <v>0</v>
      </c>
      <c r="L211" s="7" t="s">
        <v>94</v>
      </c>
      <c r="M211" s="7" t="s">
        <v>95</v>
      </c>
      <c r="N211" s="7" t="s">
        <v>0</v>
      </c>
      <c r="O211" s="7" t="s">
        <v>17</v>
      </c>
      <c r="P211" s="7" t="s">
        <v>26</v>
      </c>
      <c r="Q211" s="7" t="s">
        <v>231</v>
      </c>
      <c r="R211" s="7" t="s">
        <v>232</v>
      </c>
      <c r="S211" s="7" t="s">
        <v>100</v>
      </c>
      <c r="T211" s="7"/>
      <c r="U211" s="7" t="s">
        <v>233</v>
      </c>
      <c r="V211" s="7"/>
      <c r="W211" s="7" t="s">
        <v>241</v>
      </c>
    </row>
    <row r="212" spans="1:23" x14ac:dyDescent="0.25">
      <c r="A212" s="52" t="str">
        <f t="shared" si="4"/>
        <v>ENERO</v>
      </c>
      <c r="B212" s="53">
        <v>46031</v>
      </c>
      <c r="C212" s="49" t="s">
        <v>230</v>
      </c>
      <c r="D212" s="49"/>
      <c r="E212" s="54">
        <v>121</v>
      </c>
      <c r="F212" s="54">
        <v>0</v>
      </c>
      <c r="G212" s="62">
        <f>Tabla3[[#This Row],[EGRESOS]]-Tabla3[[#This Row],[INGRESOS]]</f>
        <v>121</v>
      </c>
      <c r="H212" s="104">
        <v>-11608002.57</v>
      </c>
      <c r="I212" s="16">
        <v>1450</v>
      </c>
      <c r="J212" s="14">
        <f>Tabla3[[#This Row],[EGRESOS]]/Tabla3[[#This Row],[TC]]</f>
        <v>8.344827586206896E-2</v>
      </c>
      <c r="K212" s="14">
        <f>Tabla3[[#This Row],[INGRESOS]]/Tabla3[[#This Row],[TC]]</f>
        <v>0</v>
      </c>
      <c r="L212" s="7" t="s">
        <v>94</v>
      </c>
      <c r="M212" s="7" t="s">
        <v>95</v>
      </c>
      <c r="N212" s="7" t="s">
        <v>0</v>
      </c>
      <c r="O212" s="7" t="s">
        <v>17</v>
      </c>
      <c r="P212" s="7" t="s">
        <v>22</v>
      </c>
      <c r="Q212" s="7" t="s">
        <v>19</v>
      </c>
      <c r="R212" s="7"/>
      <c r="S212" s="7"/>
      <c r="T212" s="7"/>
      <c r="U212" s="7" t="s">
        <v>61</v>
      </c>
      <c r="V212" s="7"/>
      <c r="W212" s="7" t="s">
        <v>241</v>
      </c>
    </row>
    <row r="213" spans="1:23" x14ac:dyDescent="0.25">
      <c r="A213" s="52" t="str">
        <f t="shared" si="4"/>
        <v>ENERO</v>
      </c>
      <c r="B213" s="53">
        <v>46031</v>
      </c>
      <c r="C213" s="49" t="s">
        <v>229</v>
      </c>
      <c r="D213" s="49"/>
      <c r="E213" s="54">
        <v>330000</v>
      </c>
      <c r="F213" s="54">
        <v>0</v>
      </c>
      <c r="G213" s="62">
        <f>Tabla3[[#This Row],[EGRESOS]]-Tabla3[[#This Row],[INGRESOS]]</f>
        <v>330000</v>
      </c>
      <c r="H213" s="104">
        <v>-11938002.57</v>
      </c>
      <c r="I213" s="16">
        <v>1450</v>
      </c>
      <c r="J213" s="14">
        <f>Tabla3[[#This Row],[EGRESOS]]/Tabla3[[#This Row],[TC]]</f>
        <v>227.58620689655172</v>
      </c>
      <c r="K213" s="14">
        <f>Tabla3[[#This Row],[INGRESOS]]/Tabla3[[#This Row],[TC]]</f>
        <v>0</v>
      </c>
      <c r="L213" s="7" t="s">
        <v>94</v>
      </c>
      <c r="M213" s="7" t="s">
        <v>95</v>
      </c>
      <c r="N213" s="7" t="s">
        <v>0</v>
      </c>
      <c r="O213" s="7" t="s">
        <v>39</v>
      </c>
      <c r="P213" s="7" t="s">
        <v>44</v>
      </c>
      <c r="Q213" s="7" t="s">
        <v>33</v>
      </c>
      <c r="R213" s="7" t="s">
        <v>236</v>
      </c>
      <c r="S213" s="7" t="s">
        <v>234</v>
      </c>
      <c r="T213" s="7"/>
      <c r="U213" s="7" t="s">
        <v>235</v>
      </c>
      <c r="V213" s="7"/>
      <c r="W213" s="7" t="s">
        <v>241</v>
      </c>
    </row>
    <row r="214" spans="1:23" x14ac:dyDescent="0.25">
      <c r="A214" s="52" t="str">
        <f t="shared" si="4"/>
        <v>ENERO</v>
      </c>
      <c r="B214" s="53">
        <v>46031</v>
      </c>
      <c r="C214" s="49" t="s">
        <v>230</v>
      </c>
      <c r="D214" s="49"/>
      <c r="E214" s="54">
        <v>121</v>
      </c>
      <c r="F214" s="54">
        <v>0</v>
      </c>
      <c r="G214" s="62">
        <f>Tabla3[[#This Row],[EGRESOS]]-Tabla3[[#This Row],[INGRESOS]]</f>
        <v>121</v>
      </c>
      <c r="H214" s="104">
        <v>-11938123.57</v>
      </c>
      <c r="I214" s="16">
        <v>1450</v>
      </c>
      <c r="J214" s="14">
        <f>Tabla3[[#This Row],[EGRESOS]]/Tabla3[[#This Row],[TC]]</f>
        <v>8.344827586206896E-2</v>
      </c>
      <c r="K214" s="14">
        <f>Tabla3[[#This Row],[INGRESOS]]/Tabla3[[#This Row],[TC]]</f>
        <v>0</v>
      </c>
      <c r="L214" s="7" t="s">
        <v>94</v>
      </c>
      <c r="M214" s="7" t="s">
        <v>95</v>
      </c>
      <c r="N214" s="7" t="s">
        <v>0</v>
      </c>
      <c r="O214" s="7" t="s">
        <v>17</v>
      </c>
      <c r="P214" s="7" t="s">
        <v>22</v>
      </c>
      <c r="Q214" s="7" t="s">
        <v>19</v>
      </c>
      <c r="R214" s="7"/>
      <c r="S214" s="7"/>
      <c r="T214" s="7"/>
      <c r="U214" s="7" t="s">
        <v>61</v>
      </c>
      <c r="V214" s="7"/>
      <c r="W214" s="7" t="s">
        <v>241</v>
      </c>
    </row>
    <row r="215" spans="1:23" x14ac:dyDescent="0.25">
      <c r="A215" s="52" t="str">
        <f t="shared" si="4"/>
        <v>ENERO</v>
      </c>
      <c r="B215" s="53">
        <v>46031</v>
      </c>
      <c r="C215" s="49" t="s">
        <v>192</v>
      </c>
      <c r="D215" s="49"/>
      <c r="E215" s="54">
        <v>6781.46</v>
      </c>
      <c r="F215" s="54">
        <v>0</v>
      </c>
      <c r="G215" s="62">
        <f>Tabla3[[#This Row],[EGRESOS]]-Tabla3[[#This Row],[INGRESOS]]</f>
        <v>6781.46</v>
      </c>
      <c r="H215" s="104">
        <v>-11944905.029999999</v>
      </c>
      <c r="I215" s="16">
        <v>1450</v>
      </c>
      <c r="J215" s="14">
        <f>Tabla3[[#This Row],[EGRESOS]]/Tabla3[[#This Row],[TC]]</f>
        <v>4.6768689655172411</v>
      </c>
      <c r="K215" s="14">
        <f>Tabla3[[#This Row],[INGRESOS]]/Tabla3[[#This Row],[TC]]</f>
        <v>0</v>
      </c>
      <c r="L215" s="7" t="s">
        <v>94</v>
      </c>
      <c r="M215" s="7" t="s">
        <v>95</v>
      </c>
      <c r="N215" s="7" t="s">
        <v>0</v>
      </c>
      <c r="O215" s="7" t="s">
        <v>17</v>
      </c>
      <c r="P215" s="7" t="s">
        <v>22</v>
      </c>
      <c r="Q215" s="7" t="s">
        <v>23</v>
      </c>
      <c r="R215" s="7" t="s">
        <v>200</v>
      </c>
      <c r="S215" s="7"/>
      <c r="T215" s="7"/>
      <c r="U215" s="7" t="s">
        <v>61</v>
      </c>
      <c r="V215" s="7"/>
      <c r="W215" s="7" t="s">
        <v>241</v>
      </c>
    </row>
    <row r="216" spans="1:23" x14ac:dyDescent="0.25">
      <c r="A216" s="52" t="str">
        <f t="shared" si="4"/>
        <v>ENERO</v>
      </c>
      <c r="B216" s="53">
        <v>46034</v>
      </c>
      <c r="C216" s="49" t="s">
        <v>229</v>
      </c>
      <c r="D216" s="49"/>
      <c r="E216" s="54">
        <v>1250000</v>
      </c>
      <c r="F216" s="54">
        <v>0</v>
      </c>
      <c r="G216" s="62">
        <f>Tabla3[[#This Row],[EGRESOS]]-Tabla3[[#This Row],[INGRESOS]]</f>
        <v>1250000</v>
      </c>
      <c r="H216" s="104">
        <v>-13194905.029999999</v>
      </c>
      <c r="I216" s="16">
        <v>1450</v>
      </c>
      <c r="J216" s="14">
        <f>Tabla3[[#This Row],[EGRESOS]]/Tabla3[[#This Row],[TC]]</f>
        <v>862.06896551724139</v>
      </c>
      <c r="K216" s="14">
        <f>Tabla3[[#This Row],[INGRESOS]]/Tabla3[[#This Row],[TC]]</f>
        <v>0</v>
      </c>
      <c r="L216" s="7" t="s">
        <v>94</v>
      </c>
      <c r="M216" s="7" t="s">
        <v>95</v>
      </c>
      <c r="N216" s="7" t="s">
        <v>0</v>
      </c>
      <c r="O216" s="7" t="s">
        <v>17</v>
      </c>
      <c r="P216" s="7" t="s">
        <v>28</v>
      </c>
      <c r="Q216" s="7" t="s">
        <v>239</v>
      </c>
      <c r="R216" s="7"/>
      <c r="S216" s="7" t="s">
        <v>281</v>
      </c>
      <c r="T216" s="7"/>
      <c r="U216" s="7" t="s">
        <v>312</v>
      </c>
      <c r="V216" s="7" t="s">
        <v>98</v>
      </c>
      <c r="W216" s="7" t="s">
        <v>241</v>
      </c>
    </row>
    <row r="217" spans="1:23" x14ac:dyDescent="0.25">
      <c r="A217" s="52" t="str">
        <f t="shared" si="4"/>
        <v>ENERO</v>
      </c>
      <c r="B217" s="53">
        <v>46034</v>
      </c>
      <c r="C217" s="49" t="s">
        <v>230</v>
      </c>
      <c r="D217" s="49"/>
      <c r="E217" s="54">
        <v>121</v>
      </c>
      <c r="F217" s="54">
        <v>0</v>
      </c>
      <c r="G217" s="62">
        <f>Tabla3[[#This Row],[EGRESOS]]-Tabla3[[#This Row],[INGRESOS]]</f>
        <v>121</v>
      </c>
      <c r="H217" s="104">
        <v>-13195026.029999999</v>
      </c>
      <c r="I217" s="16">
        <v>1450</v>
      </c>
      <c r="J217" s="14">
        <f>Tabla3[[#This Row],[EGRESOS]]/Tabla3[[#This Row],[TC]]</f>
        <v>8.344827586206896E-2</v>
      </c>
      <c r="K217" s="14">
        <f>Tabla3[[#This Row],[INGRESOS]]/Tabla3[[#This Row],[TC]]</f>
        <v>0</v>
      </c>
      <c r="L217" s="7" t="s">
        <v>94</v>
      </c>
      <c r="M217" s="7" t="s">
        <v>95</v>
      </c>
      <c r="N217" s="7" t="s">
        <v>0</v>
      </c>
      <c r="O217" s="7" t="s">
        <v>17</v>
      </c>
      <c r="P217" s="7" t="s">
        <v>22</v>
      </c>
      <c r="Q217" s="7" t="s">
        <v>19</v>
      </c>
      <c r="R217" s="7"/>
      <c r="S217" s="7"/>
      <c r="T217" s="7"/>
      <c r="U217" s="7" t="s">
        <v>61</v>
      </c>
      <c r="V217" s="7"/>
      <c r="W217" s="7" t="s">
        <v>241</v>
      </c>
    </row>
    <row r="218" spans="1:23" x14ac:dyDescent="0.25">
      <c r="A218" s="52" t="str">
        <f t="shared" si="4"/>
        <v>ENERO</v>
      </c>
      <c r="B218" s="53">
        <v>46034</v>
      </c>
      <c r="C218" s="49" t="s">
        <v>192</v>
      </c>
      <c r="D218" s="49"/>
      <c r="E218" s="54">
        <v>7500.73</v>
      </c>
      <c r="F218" s="54">
        <v>0</v>
      </c>
      <c r="G218" s="62">
        <f>Tabla3[[#This Row],[EGRESOS]]-Tabla3[[#This Row],[INGRESOS]]</f>
        <v>7500.73</v>
      </c>
      <c r="H218" s="104">
        <v>-13202526.76</v>
      </c>
      <c r="I218" s="16">
        <v>1450</v>
      </c>
      <c r="J218" s="14">
        <f>Tabla3[[#This Row],[EGRESOS]]/Tabla3[[#This Row],[TC]]</f>
        <v>5.1729172413793103</v>
      </c>
      <c r="K218" s="14">
        <f>Tabla3[[#This Row],[INGRESOS]]/Tabla3[[#This Row],[TC]]</f>
        <v>0</v>
      </c>
      <c r="L218" s="7" t="s">
        <v>94</v>
      </c>
      <c r="M218" s="7" t="s">
        <v>95</v>
      </c>
      <c r="N218" s="7" t="s">
        <v>0</v>
      </c>
      <c r="O218" s="7" t="s">
        <v>17</v>
      </c>
      <c r="P218" s="7" t="s">
        <v>22</v>
      </c>
      <c r="Q218" s="7" t="s">
        <v>23</v>
      </c>
      <c r="R218" s="7" t="s">
        <v>200</v>
      </c>
      <c r="S218" s="7"/>
      <c r="T218" s="7"/>
      <c r="U218" s="7" t="s">
        <v>61</v>
      </c>
      <c r="V218" s="7"/>
      <c r="W218" s="7" t="s">
        <v>241</v>
      </c>
    </row>
    <row r="219" spans="1:23" x14ac:dyDescent="0.25">
      <c r="A219" s="52" t="str">
        <f t="shared" si="4"/>
        <v>ENERO</v>
      </c>
      <c r="B219" s="53">
        <v>46035</v>
      </c>
      <c r="C219" s="49" t="s">
        <v>249</v>
      </c>
      <c r="D219" s="49"/>
      <c r="E219" s="54">
        <v>2500000</v>
      </c>
      <c r="F219" s="54">
        <v>0</v>
      </c>
      <c r="G219" s="62">
        <f>Tabla3[[#This Row],[EGRESOS]]-Tabla3[[#This Row],[INGRESOS]]</f>
        <v>2500000</v>
      </c>
      <c r="H219" s="104">
        <v>-13205107.67</v>
      </c>
      <c r="I219" s="16">
        <v>1450</v>
      </c>
      <c r="J219" s="14">
        <f>Tabla3[[#This Row],[EGRESOS]]/Tabla3[[#This Row],[TC]]</f>
        <v>1724.1379310344828</v>
      </c>
      <c r="K219" s="14">
        <f>Tabla3[[#This Row],[INGRESOS]]/Tabla3[[#This Row],[TC]]</f>
        <v>0</v>
      </c>
      <c r="L219" s="7" t="s">
        <v>94</v>
      </c>
      <c r="M219" s="7" t="s">
        <v>95</v>
      </c>
      <c r="N219" s="7" t="s">
        <v>0</v>
      </c>
      <c r="O219" s="7" t="s">
        <v>251</v>
      </c>
      <c r="P219" s="7" t="s">
        <v>250</v>
      </c>
      <c r="Q219" s="7" t="s">
        <v>252</v>
      </c>
      <c r="R219" s="7" t="s">
        <v>260</v>
      </c>
      <c r="S219" s="7"/>
      <c r="T219" s="7"/>
      <c r="U219" s="7" t="s">
        <v>253</v>
      </c>
      <c r="V219" s="7"/>
      <c r="W219" s="7" t="s">
        <v>254</v>
      </c>
    </row>
    <row r="220" spans="1:23" x14ac:dyDescent="0.25">
      <c r="A220" s="52" t="str">
        <f t="shared" si="4"/>
        <v>ENERO</v>
      </c>
      <c r="B220" s="53">
        <v>46035</v>
      </c>
      <c r="C220" s="49" t="s">
        <v>230</v>
      </c>
      <c r="D220" s="49"/>
      <c r="E220" s="54">
        <v>121</v>
      </c>
      <c r="F220" s="54">
        <v>0</v>
      </c>
      <c r="G220" s="62">
        <f>Tabla3[[#This Row],[EGRESOS]]-Tabla3[[#This Row],[INGRESOS]]</f>
        <v>121</v>
      </c>
      <c r="H220" s="104">
        <v>-13208918.535</v>
      </c>
      <c r="I220" s="16">
        <v>1450</v>
      </c>
      <c r="J220" s="14">
        <f>Tabla3[[#This Row],[EGRESOS]]/Tabla3[[#This Row],[TC]]</f>
        <v>8.344827586206896E-2</v>
      </c>
      <c r="K220" s="14">
        <f>Tabla3[[#This Row],[INGRESOS]]/Tabla3[[#This Row],[TC]]</f>
        <v>0</v>
      </c>
      <c r="L220" s="7" t="s">
        <v>94</v>
      </c>
      <c r="M220" s="7" t="s">
        <v>95</v>
      </c>
      <c r="N220" s="7" t="s">
        <v>0</v>
      </c>
      <c r="O220" s="7" t="s">
        <v>17</v>
      </c>
      <c r="P220" s="7" t="s">
        <v>22</v>
      </c>
      <c r="Q220" s="7" t="s">
        <v>19</v>
      </c>
      <c r="R220" s="7"/>
      <c r="S220" s="7"/>
      <c r="T220" s="7"/>
      <c r="U220" s="7" t="s">
        <v>61</v>
      </c>
      <c r="V220" s="7"/>
      <c r="W220" s="7" t="s">
        <v>241</v>
      </c>
    </row>
    <row r="221" spans="1:23" x14ac:dyDescent="0.25">
      <c r="A221" s="52" t="str">
        <f t="shared" si="4"/>
        <v>ENERO</v>
      </c>
      <c r="B221" s="53">
        <v>46035</v>
      </c>
      <c r="C221" s="49" t="s">
        <v>249</v>
      </c>
      <c r="D221" s="49"/>
      <c r="E221" s="54">
        <v>1500000</v>
      </c>
      <c r="F221" s="54">
        <v>0</v>
      </c>
      <c r="G221" s="62">
        <f>Tabla3[[#This Row],[EGRESOS]]-Tabla3[[#This Row],[INGRESOS]]</f>
        <v>1500000</v>
      </c>
      <c r="H221" s="104">
        <v>-13212729.4</v>
      </c>
      <c r="I221" s="16">
        <v>1450</v>
      </c>
      <c r="J221" s="14">
        <f>Tabla3[[#This Row],[EGRESOS]]/Tabla3[[#This Row],[TC]]</f>
        <v>1034.4827586206898</v>
      </c>
      <c r="K221" s="14">
        <f>Tabla3[[#This Row],[INGRESOS]]/Tabla3[[#This Row],[TC]]</f>
        <v>0</v>
      </c>
      <c r="L221" s="7" t="s">
        <v>94</v>
      </c>
      <c r="M221" s="7" t="s">
        <v>95</v>
      </c>
      <c r="N221" s="7" t="s">
        <v>0</v>
      </c>
      <c r="O221" s="7" t="s">
        <v>251</v>
      </c>
      <c r="P221" s="7" t="s">
        <v>250</v>
      </c>
      <c r="Q221" s="7" t="s">
        <v>252</v>
      </c>
      <c r="R221" s="7" t="s">
        <v>268</v>
      </c>
      <c r="S221" s="7"/>
      <c r="T221" s="7"/>
      <c r="U221" s="7" t="s">
        <v>253</v>
      </c>
      <c r="V221" s="7"/>
      <c r="W221" s="7" t="s">
        <v>254</v>
      </c>
    </row>
    <row r="222" spans="1:23" x14ac:dyDescent="0.25">
      <c r="A222" s="52" t="str">
        <f t="shared" si="4"/>
        <v>ENERO</v>
      </c>
      <c r="B222" s="53">
        <v>46035</v>
      </c>
      <c r="C222" s="49" t="s">
        <v>230</v>
      </c>
      <c r="D222" s="49"/>
      <c r="E222" s="54">
        <v>121</v>
      </c>
      <c r="F222" s="54">
        <v>0</v>
      </c>
      <c r="G222" s="62">
        <f>Tabla3[[#This Row],[EGRESOS]]-Tabla3[[#This Row],[INGRESOS]]</f>
        <v>121</v>
      </c>
      <c r="H222" s="104">
        <v>-13216540.265000001</v>
      </c>
      <c r="I222" s="16">
        <v>1450</v>
      </c>
      <c r="J222" s="14">
        <f>Tabla3[[#This Row],[EGRESOS]]/Tabla3[[#This Row],[TC]]</f>
        <v>8.344827586206896E-2</v>
      </c>
      <c r="K222" s="14">
        <f>Tabla3[[#This Row],[INGRESOS]]/Tabla3[[#This Row],[TC]]</f>
        <v>0</v>
      </c>
      <c r="L222" s="7" t="s">
        <v>94</v>
      </c>
      <c r="M222" s="7" t="s">
        <v>95</v>
      </c>
      <c r="N222" s="7" t="s">
        <v>0</v>
      </c>
      <c r="O222" s="7" t="s">
        <v>17</v>
      </c>
      <c r="P222" s="7" t="s">
        <v>22</v>
      </c>
      <c r="Q222" s="7" t="s">
        <v>19</v>
      </c>
      <c r="R222" s="7"/>
      <c r="S222" s="7"/>
      <c r="T222" s="7"/>
      <c r="U222" s="7" t="s">
        <v>61</v>
      </c>
      <c r="V222" s="7"/>
      <c r="W222" s="7" t="s">
        <v>241</v>
      </c>
    </row>
    <row r="223" spans="1:23" x14ac:dyDescent="0.25">
      <c r="A223" s="52" t="str">
        <f t="shared" si="4"/>
        <v>ENERO</v>
      </c>
      <c r="B223" s="53">
        <v>46035</v>
      </c>
      <c r="C223" s="49" t="s">
        <v>192</v>
      </c>
      <c r="D223" s="49"/>
      <c r="E223" s="54">
        <v>1.46</v>
      </c>
      <c r="F223" s="54">
        <v>0</v>
      </c>
      <c r="G223" s="62">
        <f>Tabla3[[#This Row],[EGRESOS]]-Tabla3[[#This Row],[INGRESOS]]</f>
        <v>1.46</v>
      </c>
      <c r="H223" s="104">
        <v>-13220351.130000001</v>
      </c>
      <c r="I223" s="16">
        <v>1450</v>
      </c>
      <c r="J223" s="14">
        <f>Tabla3[[#This Row],[EGRESOS]]/Tabla3[[#This Row],[TC]]</f>
        <v>1.0068965517241379E-3</v>
      </c>
      <c r="K223" s="14">
        <f>Tabla3[[#This Row],[INGRESOS]]/Tabla3[[#This Row],[TC]]</f>
        <v>0</v>
      </c>
      <c r="L223" s="7" t="s">
        <v>94</v>
      </c>
      <c r="M223" s="7" t="s">
        <v>95</v>
      </c>
      <c r="N223" s="7" t="s">
        <v>0</v>
      </c>
      <c r="O223" s="7" t="s">
        <v>17</v>
      </c>
      <c r="P223" s="7" t="s">
        <v>22</v>
      </c>
      <c r="Q223" s="7" t="s">
        <v>23</v>
      </c>
      <c r="R223" s="7" t="s">
        <v>200</v>
      </c>
      <c r="S223" s="7"/>
      <c r="T223" s="7"/>
      <c r="U223" s="7" t="s">
        <v>61</v>
      </c>
      <c r="V223" s="7"/>
      <c r="W223" s="7" t="s">
        <v>241</v>
      </c>
    </row>
    <row r="224" spans="1:23" x14ac:dyDescent="0.25">
      <c r="A224" s="52" t="str">
        <f t="shared" si="4"/>
        <v>ENERO</v>
      </c>
      <c r="B224" s="53">
        <v>46036</v>
      </c>
      <c r="C224" s="49" t="s">
        <v>248</v>
      </c>
      <c r="D224" s="49"/>
      <c r="E224" s="54">
        <v>0</v>
      </c>
      <c r="F224" s="54">
        <v>64686741.090000004</v>
      </c>
      <c r="G224" s="62">
        <f>Tabla3[[#This Row],[EGRESOS]]-Tabla3[[#This Row],[INGRESOS]]</f>
        <v>-64686741.090000004</v>
      </c>
      <c r="H224" s="104">
        <v>-13224161.994999999</v>
      </c>
      <c r="I224" s="16">
        <v>1450</v>
      </c>
      <c r="J224" s="14">
        <f>Tabla3[[#This Row],[EGRESOS]]/Tabla3[[#This Row],[TC]]</f>
        <v>0</v>
      </c>
      <c r="K224" s="14">
        <f>Tabla3[[#This Row],[INGRESOS]]/Tabla3[[#This Row],[TC]]</f>
        <v>44611.545579310347</v>
      </c>
      <c r="L224" s="7" t="s">
        <v>94</v>
      </c>
      <c r="M224" s="7" t="s">
        <v>95</v>
      </c>
      <c r="N224" s="7" t="s">
        <v>0</v>
      </c>
      <c r="O224" s="7" t="s">
        <v>34</v>
      </c>
      <c r="P224" s="7" t="s">
        <v>255</v>
      </c>
      <c r="Q224" s="7" t="s">
        <v>256</v>
      </c>
      <c r="R224" s="7" t="s">
        <v>258</v>
      </c>
      <c r="S224" s="7" t="s">
        <v>257</v>
      </c>
      <c r="T224" s="7"/>
      <c r="U224" s="7" t="s">
        <v>314</v>
      </c>
      <c r="V224" s="7"/>
      <c r="W224" s="7" t="s">
        <v>241</v>
      </c>
    </row>
    <row r="225" spans="1:23" x14ac:dyDescent="0.25">
      <c r="A225" s="52" t="str">
        <f t="shared" si="4"/>
        <v>ENERO</v>
      </c>
      <c r="B225" s="53">
        <v>46036</v>
      </c>
      <c r="C225" s="49" t="s">
        <v>247</v>
      </c>
      <c r="D225" s="49"/>
      <c r="E225" s="54">
        <v>388120.45</v>
      </c>
      <c r="F225" s="54">
        <v>0</v>
      </c>
      <c r="G225" s="62">
        <f>Tabla3[[#This Row],[EGRESOS]]-Tabla3[[#This Row],[INGRESOS]]</f>
        <v>388120.45</v>
      </c>
      <c r="H225" s="104">
        <v>-13227972.859999999</v>
      </c>
      <c r="I225" s="16">
        <v>1450</v>
      </c>
      <c r="J225" s="14">
        <f>Tabla3[[#This Row],[EGRESOS]]/Tabla3[[#This Row],[TC]]</f>
        <v>267.66927586206896</v>
      </c>
      <c r="K225" s="14">
        <f>Tabla3[[#This Row],[INGRESOS]]/Tabla3[[#This Row],[TC]]</f>
        <v>0</v>
      </c>
      <c r="L225" s="7" t="s">
        <v>94</v>
      </c>
      <c r="M225" s="7" t="s">
        <v>95</v>
      </c>
      <c r="N225" s="7" t="s">
        <v>0</v>
      </c>
      <c r="O225" s="7" t="s">
        <v>17</v>
      </c>
      <c r="P225" s="7" t="s">
        <v>22</v>
      </c>
      <c r="Q225" s="7" t="s">
        <v>23</v>
      </c>
      <c r="R225" s="7" t="s">
        <v>200</v>
      </c>
      <c r="S225" s="7"/>
      <c r="T225" s="7"/>
      <c r="U225" s="7" t="s">
        <v>61</v>
      </c>
      <c r="V225" s="7"/>
      <c r="W225" s="7" t="s">
        <v>241</v>
      </c>
    </row>
    <row r="226" spans="1:23" x14ac:dyDescent="0.25">
      <c r="A226" s="52" t="str">
        <f t="shared" si="4"/>
        <v>ENERO</v>
      </c>
      <c r="B226" s="53">
        <v>46037</v>
      </c>
      <c r="C226" s="49" t="s">
        <v>249</v>
      </c>
      <c r="D226" s="49"/>
      <c r="E226" s="54">
        <v>20000000</v>
      </c>
      <c r="F226" s="54">
        <v>0</v>
      </c>
      <c r="G226" s="62">
        <f>Tabla3[[#This Row],[EGRESOS]]-Tabla3[[#This Row],[INGRESOS]]</f>
        <v>20000000</v>
      </c>
      <c r="H226" s="104">
        <v>27095850.420000002</v>
      </c>
      <c r="I226" s="16">
        <v>1450</v>
      </c>
      <c r="J226" s="14">
        <f>Tabla3[[#This Row],[EGRESOS]]/Tabla3[[#This Row],[TC]]</f>
        <v>13793.103448275862</v>
      </c>
      <c r="K226" s="14">
        <f>Tabla3[[#This Row],[INGRESOS]]/Tabla3[[#This Row],[TC]]</f>
        <v>0</v>
      </c>
      <c r="L226" s="7" t="s">
        <v>94</v>
      </c>
      <c r="M226" s="7" t="s">
        <v>95</v>
      </c>
      <c r="N226" s="7" t="s">
        <v>0</v>
      </c>
      <c r="O226" s="7" t="s">
        <v>251</v>
      </c>
      <c r="P226" s="7" t="s">
        <v>250</v>
      </c>
      <c r="Q226" s="7" t="s">
        <v>252</v>
      </c>
      <c r="R226" s="7" t="s">
        <v>277</v>
      </c>
      <c r="S226" s="7"/>
      <c r="T226" s="7"/>
      <c r="U226" s="7" t="s">
        <v>253</v>
      </c>
      <c r="V226" s="7"/>
      <c r="W226" s="7" t="s">
        <v>241</v>
      </c>
    </row>
    <row r="227" spans="1:23" x14ac:dyDescent="0.25">
      <c r="A227" s="52" t="str">
        <f t="shared" si="4"/>
        <v>ENERO</v>
      </c>
      <c r="B227" s="53">
        <v>46037</v>
      </c>
      <c r="C227" s="49" t="s">
        <v>230</v>
      </c>
      <c r="D227" s="49"/>
      <c r="E227" s="54">
        <v>121</v>
      </c>
      <c r="F227" s="54">
        <v>0</v>
      </c>
      <c r="G227" s="62">
        <f>Tabla3[[#This Row],[EGRESOS]]-Tabla3[[#This Row],[INGRESOS]]</f>
        <v>121</v>
      </c>
      <c r="H227" s="104">
        <v>27095729.420000002</v>
      </c>
      <c r="I227" s="16">
        <v>1450</v>
      </c>
      <c r="J227" s="14">
        <f>Tabla3[[#This Row],[EGRESOS]]/Tabla3[[#This Row],[TC]]</f>
        <v>8.344827586206896E-2</v>
      </c>
      <c r="K227" s="14">
        <f>Tabla3[[#This Row],[INGRESOS]]/Tabla3[[#This Row],[TC]]</f>
        <v>0</v>
      </c>
      <c r="L227" s="7" t="s">
        <v>94</v>
      </c>
      <c r="M227" s="7" t="s">
        <v>95</v>
      </c>
      <c r="N227" s="7" t="s">
        <v>0</v>
      </c>
      <c r="O227" s="7" t="s">
        <v>17</v>
      </c>
      <c r="P227" s="7" t="s">
        <v>22</v>
      </c>
      <c r="Q227" s="7" t="s">
        <v>19</v>
      </c>
      <c r="R227" s="7"/>
      <c r="S227" s="7"/>
      <c r="T227" s="7"/>
      <c r="U227" s="7" t="s">
        <v>61</v>
      </c>
      <c r="V227" s="7"/>
      <c r="W227" s="7" t="s">
        <v>241</v>
      </c>
    </row>
    <row r="228" spans="1:23" x14ac:dyDescent="0.25">
      <c r="A228" s="52" t="str">
        <f t="shared" si="4"/>
        <v>ENERO</v>
      </c>
      <c r="B228" s="53">
        <v>46037</v>
      </c>
      <c r="C228" s="49" t="s">
        <v>249</v>
      </c>
      <c r="D228" s="49"/>
      <c r="E228" s="54">
        <v>8500000</v>
      </c>
      <c r="F228" s="54">
        <v>0</v>
      </c>
      <c r="G228" s="62">
        <f>Tabla3[[#This Row],[EGRESOS]]-Tabla3[[#This Row],[INGRESOS]]</f>
        <v>8500000</v>
      </c>
      <c r="H228" s="104">
        <v>18595729.420000002</v>
      </c>
      <c r="I228" s="16">
        <v>1450</v>
      </c>
      <c r="J228" s="14">
        <f>Tabla3[[#This Row],[EGRESOS]]/Tabla3[[#This Row],[TC]]</f>
        <v>5862.0689655172409</v>
      </c>
      <c r="K228" s="14">
        <f>Tabla3[[#This Row],[INGRESOS]]/Tabla3[[#This Row],[TC]]</f>
        <v>0</v>
      </c>
      <c r="L228" s="7" t="s">
        <v>94</v>
      </c>
      <c r="M228" s="7" t="s">
        <v>95</v>
      </c>
      <c r="N228" s="7" t="s">
        <v>0</v>
      </c>
      <c r="O228" s="7" t="s">
        <v>251</v>
      </c>
      <c r="P228" s="7" t="s">
        <v>250</v>
      </c>
      <c r="Q228" s="7" t="s">
        <v>252</v>
      </c>
      <c r="R228" s="7" t="s">
        <v>260</v>
      </c>
      <c r="S228" s="7"/>
      <c r="T228" s="7"/>
      <c r="U228" s="7" t="s">
        <v>253</v>
      </c>
      <c r="V228" s="7"/>
      <c r="W228" s="7" t="s">
        <v>241</v>
      </c>
    </row>
    <row r="229" spans="1:23" x14ac:dyDescent="0.25">
      <c r="A229" s="52" t="str">
        <f t="shared" si="4"/>
        <v>ENERO</v>
      </c>
      <c r="B229" s="53">
        <v>46037</v>
      </c>
      <c r="C229" s="49" t="s">
        <v>230</v>
      </c>
      <c r="D229" s="49"/>
      <c r="E229" s="54">
        <v>121</v>
      </c>
      <c r="F229" s="54">
        <v>0</v>
      </c>
      <c r="G229" s="62">
        <f>Tabla3[[#This Row],[EGRESOS]]-Tabla3[[#This Row],[INGRESOS]]</f>
        <v>121</v>
      </c>
      <c r="H229" s="104">
        <v>18595608.420000002</v>
      </c>
      <c r="I229" s="16">
        <v>1450</v>
      </c>
      <c r="J229" s="14">
        <f>Tabla3[[#This Row],[EGRESOS]]/Tabla3[[#This Row],[TC]]</f>
        <v>8.344827586206896E-2</v>
      </c>
      <c r="K229" s="14">
        <f>Tabla3[[#This Row],[INGRESOS]]/Tabla3[[#This Row],[TC]]</f>
        <v>0</v>
      </c>
      <c r="L229" s="7" t="s">
        <v>94</v>
      </c>
      <c r="M229" s="7" t="s">
        <v>95</v>
      </c>
      <c r="N229" s="7" t="s">
        <v>0</v>
      </c>
      <c r="O229" s="7" t="s">
        <v>17</v>
      </c>
      <c r="P229" s="7" t="s">
        <v>22</v>
      </c>
      <c r="Q229" s="7" t="s">
        <v>19</v>
      </c>
      <c r="R229" s="7"/>
      <c r="S229" s="7"/>
      <c r="T229" s="7"/>
      <c r="U229" s="7" t="s">
        <v>61</v>
      </c>
      <c r="V229" s="7"/>
      <c r="W229" s="7" t="s">
        <v>241</v>
      </c>
    </row>
    <row r="230" spans="1:23" x14ac:dyDescent="0.25">
      <c r="A230" s="52" t="str">
        <f t="shared" si="4"/>
        <v>ENERO</v>
      </c>
      <c r="B230" s="53">
        <v>46037</v>
      </c>
      <c r="C230" s="49" t="s">
        <v>249</v>
      </c>
      <c r="D230" s="49"/>
      <c r="E230" s="54">
        <v>2700000</v>
      </c>
      <c r="F230" s="54">
        <v>0</v>
      </c>
      <c r="G230" s="62">
        <f>Tabla3[[#This Row],[EGRESOS]]-Tabla3[[#This Row],[INGRESOS]]</f>
        <v>2700000</v>
      </c>
      <c r="H230" s="104">
        <v>15895608.42</v>
      </c>
      <c r="I230" s="16">
        <v>1450</v>
      </c>
      <c r="J230" s="14">
        <f>Tabla3[[#This Row],[EGRESOS]]/Tabla3[[#This Row],[TC]]</f>
        <v>1862.0689655172414</v>
      </c>
      <c r="K230" s="14">
        <f>Tabla3[[#This Row],[INGRESOS]]/Tabla3[[#This Row],[TC]]</f>
        <v>0</v>
      </c>
      <c r="L230" s="7" t="s">
        <v>94</v>
      </c>
      <c r="M230" s="7" t="s">
        <v>95</v>
      </c>
      <c r="N230" s="7" t="s">
        <v>0</v>
      </c>
      <c r="O230" s="7" t="s">
        <v>251</v>
      </c>
      <c r="P230" s="7" t="s">
        <v>250</v>
      </c>
      <c r="Q230" s="7" t="s">
        <v>252</v>
      </c>
      <c r="R230" s="7" t="s">
        <v>278</v>
      </c>
      <c r="S230" s="7"/>
      <c r="T230" s="7"/>
      <c r="U230" s="7" t="s">
        <v>253</v>
      </c>
      <c r="V230" s="7"/>
      <c r="W230" s="7" t="s">
        <v>241</v>
      </c>
    </row>
    <row r="231" spans="1:23" x14ac:dyDescent="0.25">
      <c r="A231" s="52" t="str">
        <f t="shared" si="4"/>
        <v>ENERO</v>
      </c>
      <c r="B231" s="53">
        <v>46037</v>
      </c>
      <c r="C231" s="49" t="s">
        <v>230</v>
      </c>
      <c r="D231" s="49"/>
      <c r="E231" s="54">
        <v>121</v>
      </c>
      <c r="F231" s="54">
        <v>0</v>
      </c>
      <c r="G231" s="62">
        <f>Tabla3[[#This Row],[EGRESOS]]-Tabla3[[#This Row],[INGRESOS]]</f>
        <v>121</v>
      </c>
      <c r="H231" s="104">
        <v>15895487.42</v>
      </c>
      <c r="I231" s="16">
        <v>1450</v>
      </c>
      <c r="J231" s="14">
        <f>Tabla3[[#This Row],[EGRESOS]]/Tabla3[[#This Row],[TC]]</f>
        <v>8.344827586206896E-2</v>
      </c>
      <c r="K231" s="14">
        <f>Tabla3[[#This Row],[INGRESOS]]/Tabla3[[#This Row],[TC]]</f>
        <v>0</v>
      </c>
      <c r="L231" s="7" t="s">
        <v>94</v>
      </c>
      <c r="M231" s="7" t="s">
        <v>95</v>
      </c>
      <c r="N231" s="7" t="s">
        <v>0</v>
      </c>
      <c r="O231" s="7" t="s">
        <v>17</v>
      </c>
      <c r="P231" s="7" t="s">
        <v>22</v>
      </c>
      <c r="Q231" s="7" t="s">
        <v>19</v>
      </c>
      <c r="R231" s="7"/>
      <c r="S231" s="7"/>
      <c r="T231" s="7"/>
      <c r="U231" s="7" t="s">
        <v>61</v>
      </c>
      <c r="V231" s="7"/>
      <c r="W231" s="7" t="s">
        <v>241</v>
      </c>
    </row>
    <row r="232" spans="1:23" x14ac:dyDescent="0.25">
      <c r="A232" s="52" t="str">
        <f t="shared" si="4"/>
        <v>ENERO</v>
      </c>
      <c r="B232" s="53">
        <v>46037</v>
      </c>
      <c r="C232" s="49" t="s">
        <v>270</v>
      </c>
      <c r="D232" s="49"/>
      <c r="E232" s="54">
        <v>484800</v>
      </c>
      <c r="F232" s="54">
        <v>0</v>
      </c>
      <c r="G232" s="62">
        <f>Tabla3[[#This Row],[EGRESOS]]-Tabla3[[#This Row],[INGRESOS]]</f>
        <v>484800</v>
      </c>
      <c r="H232" s="104">
        <v>15410687.42</v>
      </c>
      <c r="I232" s="16">
        <v>1450</v>
      </c>
      <c r="J232" s="14">
        <f>Tabla3[[#This Row],[EGRESOS]]/Tabla3[[#This Row],[TC]]</f>
        <v>334.34482758620692</v>
      </c>
      <c r="K232" s="14">
        <f>Tabla3[[#This Row],[INGRESOS]]/Tabla3[[#This Row],[TC]]</f>
        <v>0</v>
      </c>
      <c r="L232" s="7" t="s">
        <v>94</v>
      </c>
      <c r="M232" s="7" t="s">
        <v>95</v>
      </c>
      <c r="N232" s="7" t="s">
        <v>0</v>
      </c>
      <c r="O232" s="7" t="s">
        <v>39</v>
      </c>
      <c r="P232" s="7" t="s">
        <v>42</v>
      </c>
      <c r="Q232" s="7" t="s">
        <v>43</v>
      </c>
      <c r="R232" s="7" t="s">
        <v>227</v>
      </c>
      <c r="S232" s="7" t="s">
        <v>279</v>
      </c>
      <c r="T232" s="7"/>
      <c r="U232" s="7" t="s">
        <v>235</v>
      </c>
      <c r="V232" s="7"/>
      <c r="W232" s="7" t="s">
        <v>241</v>
      </c>
    </row>
    <row r="233" spans="1:23" x14ac:dyDescent="0.25">
      <c r="A233" s="52" t="str">
        <f t="shared" si="4"/>
        <v>ENERO</v>
      </c>
      <c r="B233" s="53">
        <v>46037</v>
      </c>
      <c r="C233" s="49" t="s">
        <v>269</v>
      </c>
      <c r="D233" s="49"/>
      <c r="E233" s="54">
        <v>121</v>
      </c>
      <c r="F233" s="54">
        <v>0</v>
      </c>
      <c r="G233" s="62">
        <f>Tabla3[[#This Row],[EGRESOS]]-Tabla3[[#This Row],[INGRESOS]]</f>
        <v>121</v>
      </c>
      <c r="H233" s="104">
        <v>15410566.42</v>
      </c>
      <c r="I233" s="16">
        <v>1450</v>
      </c>
      <c r="J233" s="14">
        <f>Tabla3[[#This Row],[EGRESOS]]/Tabla3[[#This Row],[TC]]</f>
        <v>8.344827586206896E-2</v>
      </c>
      <c r="K233" s="14">
        <f>Tabla3[[#This Row],[INGRESOS]]/Tabla3[[#This Row],[TC]]</f>
        <v>0</v>
      </c>
      <c r="L233" s="7" t="s">
        <v>94</v>
      </c>
      <c r="M233" s="7" t="s">
        <v>95</v>
      </c>
      <c r="N233" s="7" t="s">
        <v>0</v>
      </c>
      <c r="O233" s="7" t="s">
        <v>17</v>
      </c>
      <c r="P233" s="7" t="s">
        <v>22</v>
      </c>
      <c r="Q233" s="7" t="s">
        <v>19</v>
      </c>
      <c r="R233" s="7"/>
      <c r="S233" s="7"/>
      <c r="T233" s="7"/>
      <c r="U233" s="7" t="s">
        <v>61</v>
      </c>
      <c r="V233" s="7"/>
      <c r="W233" s="7" t="s">
        <v>241</v>
      </c>
    </row>
    <row r="234" spans="1:23" x14ac:dyDescent="0.25">
      <c r="A234" s="52" t="str">
        <f t="shared" si="4"/>
        <v>ENERO</v>
      </c>
      <c r="B234" s="53">
        <v>46037</v>
      </c>
      <c r="C234" s="49" t="s">
        <v>229</v>
      </c>
      <c r="D234" s="49"/>
      <c r="E234" s="54">
        <v>2000000</v>
      </c>
      <c r="F234" s="54">
        <v>0</v>
      </c>
      <c r="G234" s="62">
        <f>Tabla3[[#This Row],[EGRESOS]]-Tabla3[[#This Row],[INGRESOS]]</f>
        <v>2000000</v>
      </c>
      <c r="H234" s="104">
        <v>13410566.42</v>
      </c>
      <c r="I234" s="16">
        <v>1450</v>
      </c>
      <c r="J234" s="14">
        <f>Tabla3[[#This Row],[EGRESOS]]/Tabla3[[#This Row],[TC]]</f>
        <v>1379.3103448275863</v>
      </c>
      <c r="K234" s="14">
        <f>Tabla3[[#This Row],[INGRESOS]]/Tabla3[[#This Row],[TC]]</f>
        <v>0</v>
      </c>
      <c r="L234" s="7" t="s">
        <v>94</v>
      </c>
      <c r="M234" s="7" t="s">
        <v>95</v>
      </c>
      <c r="N234" s="7" t="s">
        <v>0</v>
      </c>
      <c r="O234" s="7" t="s">
        <v>17</v>
      </c>
      <c r="P234" s="7" t="s">
        <v>28</v>
      </c>
      <c r="Q234" s="7" t="s">
        <v>265</v>
      </c>
      <c r="R234" s="7"/>
      <c r="S234" s="7" t="s">
        <v>280</v>
      </c>
      <c r="T234" s="7"/>
      <c r="U234" s="7" t="s">
        <v>310</v>
      </c>
      <c r="V234" s="7" t="s">
        <v>108</v>
      </c>
      <c r="W234" s="7" t="s">
        <v>241</v>
      </c>
    </row>
    <row r="235" spans="1:23" x14ac:dyDescent="0.25">
      <c r="A235" s="52" t="str">
        <f t="shared" si="4"/>
        <v>ENERO</v>
      </c>
      <c r="B235" s="53">
        <v>46037</v>
      </c>
      <c r="C235" s="49" t="s">
        <v>230</v>
      </c>
      <c r="D235" s="49"/>
      <c r="E235" s="54">
        <v>121</v>
      </c>
      <c r="F235" s="54">
        <v>0</v>
      </c>
      <c r="G235" s="62">
        <f>Tabla3[[#This Row],[EGRESOS]]-Tabla3[[#This Row],[INGRESOS]]</f>
        <v>121</v>
      </c>
      <c r="H235" s="104">
        <v>13410445.42</v>
      </c>
      <c r="I235" s="16">
        <v>1450</v>
      </c>
      <c r="J235" s="14">
        <f>Tabla3[[#This Row],[EGRESOS]]/Tabla3[[#This Row],[TC]]</f>
        <v>8.344827586206896E-2</v>
      </c>
      <c r="K235" s="14">
        <f>Tabla3[[#This Row],[INGRESOS]]/Tabla3[[#This Row],[TC]]</f>
        <v>0</v>
      </c>
      <c r="L235" s="7" t="s">
        <v>94</v>
      </c>
      <c r="M235" s="7" t="s">
        <v>95</v>
      </c>
      <c r="N235" s="7" t="s">
        <v>0</v>
      </c>
      <c r="O235" s="7" t="s">
        <v>17</v>
      </c>
      <c r="P235" s="7" t="s">
        <v>22</v>
      </c>
      <c r="Q235" s="7" t="s">
        <v>19</v>
      </c>
      <c r="R235" s="7"/>
      <c r="S235" s="7"/>
      <c r="T235" s="7"/>
      <c r="U235" s="7" t="s">
        <v>61</v>
      </c>
      <c r="V235" s="7"/>
      <c r="W235" s="7" t="s">
        <v>241</v>
      </c>
    </row>
    <row r="236" spans="1:23" x14ac:dyDescent="0.25">
      <c r="A236" s="52" t="str">
        <f t="shared" si="4"/>
        <v>ENERO</v>
      </c>
      <c r="B236" s="53">
        <v>46037</v>
      </c>
      <c r="C236" s="49" t="s">
        <v>229</v>
      </c>
      <c r="D236" s="49"/>
      <c r="E236" s="54">
        <v>1000000</v>
      </c>
      <c r="F236" s="54">
        <v>0</v>
      </c>
      <c r="G236" s="62">
        <f>Tabla3[[#This Row],[EGRESOS]]-Tabla3[[#This Row],[INGRESOS]]</f>
        <v>1000000</v>
      </c>
      <c r="H236" s="104">
        <v>12410445.42</v>
      </c>
      <c r="I236" s="16">
        <v>1450</v>
      </c>
      <c r="J236" s="14">
        <f>Tabla3[[#This Row],[EGRESOS]]/Tabla3[[#This Row],[TC]]</f>
        <v>689.65517241379314</v>
      </c>
      <c r="K236" s="14">
        <f>Tabla3[[#This Row],[INGRESOS]]/Tabla3[[#This Row],[TC]]</f>
        <v>0</v>
      </c>
      <c r="L236" s="7" t="s">
        <v>94</v>
      </c>
      <c r="M236" s="7" t="s">
        <v>95</v>
      </c>
      <c r="N236" s="7" t="s">
        <v>0</v>
      </c>
      <c r="O236" s="7" t="s">
        <v>17</v>
      </c>
      <c r="P236" s="7" t="s">
        <v>28</v>
      </c>
      <c r="Q236" s="7" t="s">
        <v>265</v>
      </c>
      <c r="R236" s="7"/>
      <c r="S236" s="7" t="s">
        <v>281</v>
      </c>
      <c r="T236" s="7"/>
      <c r="U236" s="7" t="s">
        <v>312</v>
      </c>
      <c r="V236" s="7" t="s">
        <v>98</v>
      </c>
      <c r="W236" s="7" t="s">
        <v>241</v>
      </c>
    </row>
    <row r="237" spans="1:23" x14ac:dyDescent="0.25">
      <c r="A237" s="52" t="str">
        <f t="shared" si="4"/>
        <v>ENERO</v>
      </c>
      <c r="B237" s="53">
        <v>46037</v>
      </c>
      <c r="C237" s="49" t="s">
        <v>230</v>
      </c>
      <c r="D237" s="49"/>
      <c r="E237" s="54">
        <v>121</v>
      </c>
      <c r="F237" s="54">
        <v>0</v>
      </c>
      <c r="G237" s="62">
        <f>Tabla3[[#This Row],[EGRESOS]]-Tabla3[[#This Row],[INGRESOS]]</f>
        <v>121</v>
      </c>
      <c r="H237" s="104">
        <v>12410324.42</v>
      </c>
      <c r="I237" s="16">
        <v>1450</v>
      </c>
      <c r="J237" s="14">
        <f>Tabla3[[#This Row],[EGRESOS]]/Tabla3[[#This Row],[TC]]</f>
        <v>8.344827586206896E-2</v>
      </c>
      <c r="K237" s="14">
        <f>Tabla3[[#This Row],[INGRESOS]]/Tabla3[[#This Row],[TC]]</f>
        <v>0</v>
      </c>
      <c r="L237" s="7" t="s">
        <v>94</v>
      </c>
      <c r="M237" s="7" t="s">
        <v>95</v>
      </c>
      <c r="N237" s="7" t="s">
        <v>0</v>
      </c>
      <c r="O237" s="7" t="s">
        <v>17</v>
      </c>
      <c r="P237" s="7" t="s">
        <v>22</v>
      </c>
      <c r="Q237" s="7" t="s">
        <v>19</v>
      </c>
      <c r="R237" s="7"/>
      <c r="S237" s="7"/>
      <c r="T237" s="7"/>
      <c r="U237" s="7" t="s">
        <v>61</v>
      </c>
      <c r="V237" s="7"/>
      <c r="W237" s="7" t="s">
        <v>241</v>
      </c>
    </row>
    <row r="238" spans="1:23" x14ac:dyDescent="0.25">
      <c r="A238" s="52" t="str">
        <f t="shared" si="4"/>
        <v>ENERO</v>
      </c>
      <c r="B238" s="53">
        <v>46037</v>
      </c>
      <c r="C238" s="49" t="s">
        <v>192</v>
      </c>
      <c r="D238" s="49"/>
      <c r="E238" s="54">
        <v>20913.18</v>
      </c>
      <c r="F238" s="54">
        <v>0</v>
      </c>
      <c r="G238" s="62">
        <f>Tabla3[[#This Row],[EGRESOS]]-Tabla3[[#This Row],[INGRESOS]]</f>
        <v>20913.18</v>
      </c>
      <c r="H238" s="104">
        <v>12389411.24</v>
      </c>
      <c r="I238" s="16">
        <v>1450</v>
      </c>
      <c r="J238" s="14">
        <f>Tabla3[[#This Row],[EGRESOS]]/Tabla3[[#This Row],[TC]]</f>
        <v>14.422882758620689</v>
      </c>
      <c r="K238" s="14">
        <f>Tabla3[[#This Row],[INGRESOS]]/Tabla3[[#This Row],[TC]]</f>
        <v>0</v>
      </c>
      <c r="L238" s="7" t="s">
        <v>94</v>
      </c>
      <c r="M238" s="7" t="s">
        <v>95</v>
      </c>
      <c r="N238" s="7" t="s">
        <v>0</v>
      </c>
      <c r="O238" s="7" t="s">
        <v>17</v>
      </c>
      <c r="P238" s="7" t="s">
        <v>22</v>
      </c>
      <c r="Q238" s="7" t="s">
        <v>23</v>
      </c>
      <c r="R238" s="7" t="s">
        <v>200</v>
      </c>
      <c r="S238" s="7"/>
      <c r="T238" s="7"/>
      <c r="U238" s="7" t="s">
        <v>61</v>
      </c>
      <c r="V238" s="7"/>
      <c r="W238" s="7" t="s">
        <v>241</v>
      </c>
    </row>
    <row r="239" spans="1:23" x14ac:dyDescent="0.25">
      <c r="A239" s="52" t="str">
        <f t="shared" si="4"/>
        <v>ENERO</v>
      </c>
      <c r="B239" s="53">
        <v>46038</v>
      </c>
      <c r="C239" s="49" t="s">
        <v>191</v>
      </c>
      <c r="D239" s="49" t="s">
        <v>272</v>
      </c>
      <c r="E239" s="54">
        <v>500000</v>
      </c>
      <c r="F239" s="54">
        <v>0</v>
      </c>
      <c r="G239" s="62">
        <f>Tabla3[[#This Row],[EGRESOS]]-Tabla3[[#This Row],[INGRESOS]]</f>
        <v>500000</v>
      </c>
      <c r="H239" s="104">
        <v>11889411.24</v>
      </c>
      <c r="I239" s="16">
        <v>1450</v>
      </c>
      <c r="J239" s="14">
        <f>Tabla3[[#This Row],[EGRESOS]]/Tabla3[[#This Row],[TC]]</f>
        <v>344.82758620689657</v>
      </c>
      <c r="K239" s="14">
        <f>Tabla3[[#This Row],[INGRESOS]]/Tabla3[[#This Row],[TC]]</f>
        <v>0</v>
      </c>
      <c r="L239" s="7" t="s">
        <v>94</v>
      </c>
      <c r="M239" s="7" t="s">
        <v>95</v>
      </c>
      <c r="N239" s="7" t="s">
        <v>0</v>
      </c>
      <c r="O239" s="7" t="s">
        <v>34</v>
      </c>
      <c r="P239" s="7" t="s">
        <v>255</v>
      </c>
      <c r="Q239" s="7" t="s">
        <v>38</v>
      </c>
      <c r="R239" s="7" t="s">
        <v>282</v>
      </c>
      <c r="S239" s="7" t="s">
        <v>273</v>
      </c>
      <c r="T239" s="7" t="s">
        <v>274</v>
      </c>
      <c r="U239" s="7" t="s">
        <v>283</v>
      </c>
      <c r="V239" s="7"/>
      <c r="W239" s="7" t="s">
        <v>241</v>
      </c>
    </row>
    <row r="240" spans="1:23" x14ac:dyDescent="0.25">
      <c r="A240" s="52" t="str">
        <f t="shared" si="4"/>
        <v>ENERO</v>
      </c>
      <c r="B240" s="53">
        <v>46038</v>
      </c>
      <c r="C240" s="49" t="s">
        <v>191</v>
      </c>
      <c r="D240" s="49" t="s">
        <v>271</v>
      </c>
      <c r="E240" s="54">
        <v>1969057.2</v>
      </c>
      <c r="F240" s="54">
        <v>0</v>
      </c>
      <c r="G240" s="62">
        <f>Tabla3[[#This Row],[EGRESOS]]-Tabla3[[#This Row],[INGRESOS]]</f>
        <v>1969057.2</v>
      </c>
      <c r="H240" s="104">
        <v>9920354.0399999991</v>
      </c>
      <c r="I240" s="16">
        <v>1450</v>
      </c>
      <c r="J240" s="14">
        <f>Tabla3[[#This Row],[EGRESOS]]/Tabla3[[#This Row],[TC]]</f>
        <v>1357.9704827586206</v>
      </c>
      <c r="K240" s="14">
        <f>Tabla3[[#This Row],[INGRESOS]]/Tabla3[[#This Row],[TC]]</f>
        <v>0</v>
      </c>
      <c r="L240" s="7" t="s">
        <v>94</v>
      </c>
      <c r="M240" s="7" t="s">
        <v>95</v>
      </c>
      <c r="N240" s="7" t="s">
        <v>0</v>
      </c>
      <c r="O240" s="7" t="s">
        <v>34</v>
      </c>
      <c r="P240" s="7" t="s">
        <v>255</v>
      </c>
      <c r="Q240" s="7" t="s">
        <v>38</v>
      </c>
      <c r="R240" s="7" t="s">
        <v>3</v>
      </c>
      <c r="S240" s="7" t="s">
        <v>275</v>
      </c>
      <c r="T240" s="7" t="s">
        <v>276</v>
      </c>
      <c r="U240" s="7" t="s">
        <v>283</v>
      </c>
      <c r="V240" s="7"/>
      <c r="W240" s="7" t="s">
        <v>241</v>
      </c>
    </row>
    <row r="241" spans="1:23" x14ac:dyDescent="0.25">
      <c r="A241" s="52" t="str">
        <f t="shared" si="4"/>
        <v>ENERO</v>
      </c>
      <c r="B241" s="53">
        <v>46038</v>
      </c>
      <c r="C241" s="49" t="s">
        <v>229</v>
      </c>
      <c r="D241" s="54"/>
      <c r="E241" s="54">
        <v>209000</v>
      </c>
      <c r="F241" s="54">
        <v>0</v>
      </c>
      <c r="G241" s="62">
        <f>Tabla3[[#This Row],[EGRESOS]]-Tabla3[[#This Row],[INGRESOS]]</f>
        <v>209000</v>
      </c>
      <c r="H241" s="104">
        <v>9711354.0399999991</v>
      </c>
      <c r="I241" s="16">
        <v>1450</v>
      </c>
      <c r="J241" s="14">
        <f>Tabla3[[#This Row],[EGRESOS]]/Tabla3[[#This Row],[TC]]</f>
        <v>144.13793103448276</v>
      </c>
      <c r="K241" s="14">
        <f>Tabla3[[#This Row],[INGRESOS]]/Tabla3[[#This Row],[TC]]</f>
        <v>0</v>
      </c>
      <c r="L241" s="7" t="s">
        <v>94</v>
      </c>
      <c r="M241" s="7" t="s">
        <v>95</v>
      </c>
      <c r="N241" s="7" t="s">
        <v>0</v>
      </c>
      <c r="O241" s="7" t="s">
        <v>39</v>
      </c>
      <c r="P241" s="7" t="s">
        <v>42</v>
      </c>
      <c r="Q241" s="7" t="s">
        <v>43</v>
      </c>
      <c r="R241" s="7" t="s">
        <v>294</v>
      </c>
      <c r="S241" s="7" t="s">
        <v>295</v>
      </c>
      <c r="T241" s="7"/>
      <c r="U241" s="7" t="s">
        <v>61</v>
      </c>
      <c r="V241" s="7"/>
      <c r="W241" s="7" t="s">
        <v>241</v>
      </c>
    </row>
    <row r="242" spans="1:23" x14ac:dyDescent="0.25">
      <c r="A242" s="52" t="str">
        <f t="shared" si="4"/>
        <v>ENERO</v>
      </c>
      <c r="B242" s="53">
        <v>46038</v>
      </c>
      <c r="C242" s="49" t="s">
        <v>287</v>
      </c>
      <c r="D242" s="54"/>
      <c r="E242" s="54">
        <v>199559.81</v>
      </c>
      <c r="F242" s="54">
        <v>0</v>
      </c>
      <c r="G242" s="62">
        <f>Tabla3[[#This Row],[EGRESOS]]-Tabla3[[#This Row],[INGRESOS]]</f>
        <v>199559.81</v>
      </c>
      <c r="H242" s="104">
        <v>9511794.2300000004</v>
      </c>
      <c r="I242" s="16">
        <v>1450</v>
      </c>
      <c r="J242" s="14">
        <f>Tabla3[[#This Row],[EGRESOS]]/Tabla3[[#This Row],[TC]]</f>
        <v>137.62745517241379</v>
      </c>
      <c r="K242" s="14">
        <f>Tabla3[[#This Row],[INGRESOS]]/Tabla3[[#This Row],[TC]]</f>
        <v>0</v>
      </c>
      <c r="L242" s="7" t="s">
        <v>94</v>
      </c>
      <c r="M242" s="7" t="s">
        <v>95</v>
      </c>
      <c r="N242" s="7" t="s">
        <v>0</v>
      </c>
      <c r="O242" s="7" t="s">
        <v>17</v>
      </c>
      <c r="P242" s="7" t="s">
        <v>18</v>
      </c>
      <c r="Q242" s="7" t="s">
        <v>291</v>
      </c>
      <c r="R242" s="7" t="s">
        <v>292</v>
      </c>
      <c r="S242" s="7" t="s">
        <v>287</v>
      </c>
      <c r="T242" s="7"/>
      <c r="U242" s="7" t="s">
        <v>61</v>
      </c>
      <c r="V242" s="7"/>
      <c r="W242" s="7" t="s">
        <v>254</v>
      </c>
    </row>
    <row r="243" spans="1:23" x14ac:dyDescent="0.25">
      <c r="A243" s="52" t="str">
        <f t="shared" si="4"/>
        <v>ENERO</v>
      </c>
      <c r="B243" s="53">
        <v>46038</v>
      </c>
      <c r="C243" s="49" t="s">
        <v>192</v>
      </c>
      <c r="D243" s="54"/>
      <c r="E243" s="54">
        <v>17265.7</v>
      </c>
      <c r="F243" s="54">
        <v>0</v>
      </c>
      <c r="G243" s="62">
        <f>Tabla3[[#This Row],[EGRESOS]]-Tabla3[[#This Row],[INGRESOS]]</f>
        <v>17265.7</v>
      </c>
      <c r="H243" s="104">
        <v>9494528.5299999993</v>
      </c>
      <c r="I243" s="16">
        <v>1450</v>
      </c>
      <c r="J243" s="14">
        <f>Tabla3[[#This Row],[EGRESOS]]/Tabla3[[#This Row],[TC]]</f>
        <v>11.907379310344828</v>
      </c>
      <c r="K243" s="14">
        <f>Tabla3[[#This Row],[INGRESOS]]/Tabla3[[#This Row],[TC]]</f>
        <v>0</v>
      </c>
      <c r="L243" s="7" t="s">
        <v>94</v>
      </c>
      <c r="M243" s="7" t="s">
        <v>95</v>
      </c>
      <c r="N243" s="7" t="s">
        <v>0</v>
      </c>
      <c r="O243" s="7" t="s">
        <v>17</v>
      </c>
      <c r="P243" s="7" t="s">
        <v>22</v>
      </c>
      <c r="Q243" s="7" t="s">
        <v>23</v>
      </c>
      <c r="R243" s="7" t="s">
        <v>200</v>
      </c>
      <c r="S243" s="7"/>
      <c r="T243" s="7"/>
      <c r="U243" s="7" t="s">
        <v>61</v>
      </c>
      <c r="V243" s="7"/>
      <c r="W243" s="7" t="s">
        <v>241</v>
      </c>
    </row>
    <row r="244" spans="1:23" x14ac:dyDescent="0.25">
      <c r="A244" s="52" t="str">
        <f t="shared" si="4"/>
        <v>ENERO</v>
      </c>
      <c r="B244" s="53">
        <v>46041</v>
      </c>
      <c r="C244" s="49" t="s">
        <v>286</v>
      </c>
      <c r="D244" s="54"/>
      <c r="E244" s="54">
        <v>121</v>
      </c>
      <c r="F244" s="54">
        <v>0</v>
      </c>
      <c r="G244" s="62">
        <f>Tabla3[[#This Row],[EGRESOS]]-Tabla3[[#This Row],[INGRESOS]]</f>
        <v>121</v>
      </c>
      <c r="H244" s="104">
        <v>9494407.5299999993</v>
      </c>
      <c r="I244" s="16">
        <v>1450</v>
      </c>
      <c r="J244" s="14">
        <f>Tabla3[[#This Row],[EGRESOS]]/Tabla3[[#This Row],[TC]]</f>
        <v>8.344827586206896E-2</v>
      </c>
      <c r="K244" s="14">
        <f>Tabla3[[#This Row],[INGRESOS]]/Tabla3[[#This Row],[TC]]</f>
        <v>0</v>
      </c>
      <c r="L244" s="7" t="s">
        <v>94</v>
      </c>
      <c r="M244" s="7" t="s">
        <v>95</v>
      </c>
      <c r="N244" s="7" t="s">
        <v>0</v>
      </c>
      <c r="O244" s="7" t="s">
        <v>17</v>
      </c>
      <c r="P244" s="7" t="s">
        <v>22</v>
      </c>
      <c r="Q244" s="7" t="s">
        <v>19</v>
      </c>
      <c r="R244" s="7"/>
      <c r="S244" s="7"/>
      <c r="T244" s="7"/>
      <c r="U244" s="7" t="s">
        <v>61</v>
      </c>
      <c r="V244" s="7"/>
      <c r="W244" s="7" t="s">
        <v>241</v>
      </c>
    </row>
    <row r="245" spans="1:23" x14ac:dyDescent="0.25">
      <c r="A245" s="52" t="str">
        <f t="shared" si="4"/>
        <v>ENERO</v>
      </c>
      <c r="B245" s="53">
        <v>46041</v>
      </c>
      <c r="C245" s="49" t="s">
        <v>285</v>
      </c>
      <c r="D245" s="54"/>
      <c r="E245" s="54">
        <v>400000</v>
      </c>
      <c r="F245" s="54">
        <v>0</v>
      </c>
      <c r="G245" s="62">
        <f>Tabla3[[#This Row],[EGRESOS]]-Tabla3[[#This Row],[INGRESOS]]</f>
        <v>400000</v>
      </c>
      <c r="H245" s="104">
        <v>9094407.5299999993</v>
      </c>
      <c r="I245" s="16">
        <v>1450</v>
      </c>
      <c r="J245" s="14">
        <f>Tabla3[[#This Row],[EGRESOS]]/Tabla3[[#This Row],[TC]]</f>
        <v>275.86206896551727</v>
      </c>
      <c r="K245" s="14">
        <f>Tabla3[[#This Row],[INGRESOS]]/Tabla3[[#This Row],[TC]]</f>
        <v>0</v>
      </c>
      <c r="L245" s="7" t="s">
        <v>94</v>
      </c>
      <c r="M245" s="7" t="s">
        <v>95</v>
      </c>
      <c r="N245" s="7" t="s">
        <v>0</v>
      </c>
      <c r="O245" s="7" t="s">
        <v>17</v>
      </c>
      <c r="P245" s="7" t="s">
        <v>26</v>
      </c>
      <c r="Q245" s="7" t="s">
        <v>293</v>
      </c>
      <c r="R245" s="7"/>
      <c r="S245" s="7" t="s">
        <v>289</v>
      </c>
      <c r="T245" s="7"/>
      <c r="U245" s="7" t="s">
        <v>233</v>
      </c>
      <c r="V245" s="7"/>
      <c r="W245" s="7" t="s">
        <v>241</v>
      </c>
    </row>
    <row r="246" spans="1:23" x14ac:dyDescent="0.25">
      <c r="A246" s="52" t="str">
        <f t="shared" si="4"/>
        <v>ENERO</v>
      </c>
      <c r="B246" s="53">
        <v>46041</v>
      </c>
      <c r="C246" s="49" t="s">
        <v>191</v>
      </c>
      <c r="D246" s="54" t="s">
        <v>288</v>
      </c>
      <c r="E246" s="54">
        <v>750000</v>
      </c>
      <c r="F246" s="54">
        <v>0</v>
      </c>
      <c r="G246" s="62">
        <f>Tabla3[[#This Row],[EGRESOS]]-Tabla3[[#This Row],[INGRESOS]]</f>
        <v>750000</v>
      </c>
      <c r="H246" s="104">
        <v>8344407.5300000003</v>
      </c>
      <c r="I246" s="16">
        <v>1450</v>
      </c>
      <c r="J246" s="14">
        <f>Tabla3[[#This Row],[EGRESOS]]/Tabla3[[#This Row],[TC]]</f>
        <v>517.24137931034488</v>
      </c>
      <c r="K246" s="14">
        <f>Tabla3[[#This Row],[INGRESOS]]/Tabla3[[#This Row],[TC]]</f>
        <v>0</v>
      </c>
      <c r="L246" s="7" t="s">
        <v>94</v>
      </c>
      <c r="M246" s="7" t="s">
        <v>95</v>
      </c>
      <c r="N246" s="7" t="s">
        <v>0</v>
      </c>
      <c r="O246" s="7" t="s">
        <v>39</v>
      </c>
      <c r="P246" s="7" t="s">
        <v>44</v>
      </c>
      <c r="Q246" s="7" t="s">
        <v>46</v>
      </c>
      <c r="R246" s="7"/>
      <c r="S246" s="7" t="s">
        <v>290</v>
      </c>
      <c r="T246" s="7"/>
      <c r="U246" s="7" t="s">
        <v>283</v>
      </c>
      <c r="V246" s="7"/>
      <c r="W246" s="7" t="s">
        <v>254</v>
      </c>
    </row>
    <row r="247" spans="1:23" x14ac:dyDescent="0.25">
      <c r="A247" s="52" t="str">
        <f t="shared" si="4"/>
        <v>ENERO</v>
      </c>
      <c r="B247" s="53">
        <v>46041</v>
      </c>
      <c r="C247" s="49" t="s">
        <v>229</v>
      </c>
      <c r="D247" s="54"/>
      <c r="E247" s="54">
        <v>1300000</v>
      </c>
      <c r="F247" s="54">
        <v>0</v>
      </c>
      <c r="G247" s="62">
        <f>Tabla3[[#This Row],[EGRESOS]]-Tabla3[[#This Row],[INGRESOS]]</f>
        <v>1300000</v>
      </c>
      <c r="H247" s="104">
        <v>7044407.5300000003</v>
      </c>
      <c r="I247" s="16">
        <v>1450</v>
      </c>
      <c r="J247" s="14">
        <f>Tabla3[[#This Row],[EGRESOS]]/Tabla3[[#This Row],[TC]]</f>
        <v>896.55172413793105</v>
      </c>
      <c r="K247" s="14">
        <f>Tabla3[[#This Row],[INGRESOS]]/Tabla3[[#This Row],[TC]]</f>
        <v>0</v>
      </c>
      <c r="L247" s="7" t="s">
        <v>94</v>
      </c>
      <c r="M247" s="7" t="s">
        <v>95</v>
      </c>
      <c r="N247" s="7" t="s">
        <v>0</v>
      </c>
      <c r="O247" s="7" t="s">
        <v>17</v>
      </c>
      <c r="P247" s="7" t="s">
        <v>28</v>
      </c>
      <c r="Q247" s="7" t="s">
        <v>265</v>
      </c>
      <c r="R247" s="7"/>
      <c r="S247" s="133" t="s">
        <v>449</v>
      </c>
      <c r="T247" s="7"/>
      <c r="U247" s="7" t="s">
        <v>266</v>
      </c>
      <c r="V247" s="7" t="s">
        <v>102</v>
      </c>
      <c r="W247" s="7" t="s">
        <v>241</v>
      </c>
    </row>
    <row r="248" spans="1:23" x14ac:dyDescent="0.25">
      <c r="A248" s="52" t="str">
        <f t="shared" si="4"/>
        <v>ENERO</v>
      </c>
      <c r="B248" s="53">
        <v>46041</v>
      </c>
      <c r="C248" s="49" t="s">
        <v>230</v>
      </c>
      <c r="D248" s="54"/>
      <c r="E248" s="54">
        <v>121</v>
      </c>
      <c r="F248" s="54">
        <v>0</v>
      </c>
      <c r="G248" s="62">
        <f>Tabla3[[#This Row],[EGRESOS]]-Tabla3[[#This Row],[INGRESOS]]</f>
        <v>121</v>
      </c>
      <c r="H248" s="104">
        <v>7044286.5300000003</v>
      </c>
      <c r="I248" s="16">
        <v>1450</v>
      </c>
      <c r="J248" s="14">
        <f>Tabla3[[#This Row],[EGRESOS]]/Tabla3[[#This Row],[TC]]</f>
        <v>8.344827586206896E-2</v>
      </c>
      <c r="K248" s="14">
        <f>Tabla3[[#This Row],[INGRESOS]]/Tabla3[[#This Row],[TC]]</f>
        <v>0</v>
      </c>
      <c r="L248" s="7" t="s">
        <v>94</v>
      </c>
      <c r="M248" s="7" t="s">
        <v>95</v>
      </c>
      <c r="N248" s="7" t="s">
        <v>0</v>
      </c>
      <c r="O248" s="7" t="s">
        <v>17</v>
      </c>
      <c r="P248" s="7" t="s">
        <v>22</v>
      </c>
      <c r="Q248" s="7" t="s">
        <v>19</v>
      </c>
      <c r="R248" s="7"/>
      <c r="S248" s="7"/>
      <c r="T248" s="7"/>
      <c r="U248" s="7" t="s">
        <v>61</v>
      </c>
      <c r="V248" s="7"/>
      <c r="W248" s="7" t="s">
        <v>241</v>
      </c>
    </row>
    <row r="249" spans="1:23" x14ac:dyDescent="0.25">
      <c r="A249" s="52" t="str">
        <f t="shared" si="4"/>
        <v>ENERO</v>
      </c>
      <c r="B249" s="53">
        <v>46041</v>
      </c>
      <c r="C249" s="49" t="s">
        <v>296</v>
      </c>
      <c r="D249" s="54"/>
      <c r="E249" s="54">
        <v>8067</v>
      </c>
      <c r="F249" s="54">
        <v>0</v>
      </c>
      <c r="G249" s="62">
        <f>Tabla3[[#This Row],[EGRESOS]]-Tabla3[[#This Row],[INGRESOS]]</f>
        <v>8067</v>
      </c>
      <c r="H249" s="104">
        <v>7036219.5300000003</v>
      </c>
      <c r="I249" s="16">
        <v>1450</v>
      </c>
      <c r="J249" s="14">
        <f>Tabla3[[#This Row],[EGRESOS]]/Tabla3[[#This Row],[TC]]</f>
        <v>5.5634482758620694</v>
      </c>
      <c r="K249" s="14">
        <f>Tabla3[[#This Row],[INGRESOS]]/Tabla3[[#This Row],[TC]]</f>
        <v>0</v>
      </c>
      <c r="L249" s="7" t="s">
        <v>94</v>
      </c>
      <c r="M249" s="7" t="s">
        <v>95</v>
      </c>
      <c r="N249" s="7" t="s">
        <v>0</v>
      </c>
      <c r="O249" s="7" t="s">
        <v>17</v>
      </c>
      <c r="P249" s="7" t="s">
        <v>18</v>
      </c>
      <c r="Q249" s="7" t="s">
        <v>21</v>
      </c>
      <c r="R249" s="7"/>
      <c r="S249" s="7"/>
      <c r="T249" s="7"/>
      <c r="U249" s="7" t="s">
        <v>61</v>
      </c>
      <c r="V249" s="7"/>
      <c r="W249" s="7" t="s">
        <v>241</v>
      </c>
    </row>
    <row r="250" spans="1:23" x14ac:dyDescent="0.25">
      <c r="A250" s="52" t="str">
        <f t="shared" si="4"/>
        <v>ENERO</v>
      </c>
      <c r="B250" s="53">
        <v>46041</v>
      </c>
      <c r="C250" s="49" t="s">
        <v>192</v>
      </c>
      <c r="D250" s="54"/>
      <c r="E250" s="54">
        <v>14749.86</v>
      </c>
      <c r="F250" s="54">
        <v>0</v>
      </c>
      <c r="G250" s="62">
        <f>Tabla3[[#This Row],[EGRESOS]]-Tabla3[[#This Row],[INGRESOS]]</f>
        <v>14749.86</v>
      </c>
      <c r="H250" s="104">
        <v>7021469.6699999999</v>
      </c>
      <c r="I250" s="16">
        <v>1450</v>
      </c>
      <c r="J250" s="14">
        <f>Tabla3[[#This Row],[EGRESOS]]/Tabla3[[#This Row],[TC]]</f>
        <v>10.172317241379311</v>
      </c>
      <c r="K250" s="14">
        <f>Tabla3[[#This Row],[INGRESOS]]/Tabla3[[#This Row],[TC]]</f>
        <v>0</v>
      </c>
      <c r="L250" s="7" t="s">
        <v>94</v>
      </c>
      <c r="M250" s="7" t="s">
        <v>95</v>
      </c>
      <c r="N250" s="7" t="s">
        <v>0</v>
      </c>
      <c r="O250" s="7" t="s">
        <v>17</v>
      </c>
      <c r="P250" s="7" t="s">
        <v>22</v>
      </c>
      <c r="Q250" s="7" t="s">
        <v>23</v>
      </c>
      <c r="R250" s="7" t="s">
        <v>200</v>
      </c>
      <c r="S250" s="7"/>
      <c r="T250" s="7"/>
      <c r="U250" s="7" t="s">
        <v>61</v>
      </c>
      <c r="V250" s="7"/>
      <c r="W250" s="7" t="s">
        <v>241</v>
      </c>
    </row>
    <row r="251" spans="1:23" x14ac:dyDescent="0.25">
      <c r="A251" s="52" t="str">
        <f t="shared" si="4"/>
        <v>ENERO</v>
      </c>
      <c r="B251" s="53">
        <v>46042</v>
      </c>
      <c r="C251" s="49" t="s">
        <v>229</v>
      </c>
      <c r="D251" s="54"/>
      <c r="E251" s="54">
        <v>1500000</v>
      </c>
      <c r="F251" s="54">
        <v>0</v>
      </c>
      <c r="G251" s="62">
        <f>Tabla3[[#This Row],[EGRESOS]]-Tabla3[[#This Row],[INGRESOS]]</f>
        <v>1500000</v>
      </c>
      <c r="H251" s="104">
        <v>5070969.67</v>
      </c>
      <c r="I251" s="16">
        <v>1450</v>
      </c>
      <c r="J251" s="14">
        <f>Tabla3[[#This Row],[EGRESOS]]/Tabla3[[#This Row],[TC]]</f>
        <v>1034.4827586206898</v>
      </c>
      <c r="K251" s="14">
        <f>Tabla3[[#This Row],[INGRESOS]]/Tabla3[[#This Row],[TC]]</f>
        <v>0</v>
      </c>
      <c r="L251" s="7" t="s">
        <v>94</v>
      </c>
      <c r="M251" s="7" t="s">
        <v>95</v>
      </c>
      <c r="N251" s="7" t="s">
        <v>0</v>
      </c>
      <c r="O251" s="7" t="s">
        <v>17</v>
      </c>
      <c r="P251" s="7" t="s">
        <v>31</v>
      </c>
      <c r="Q251" s="7" t="s">
        <v>302</v>
      </c>
      <c r="R251" s="7"/>
      <c r="S251" s="7" t="s">
        <v>240</v>
      </c>
      <c r="T251" s="7"/>
      <c r="U251" s="8" t="s">
        <v>467</v>
      </c>
      <c r="V251" s="7"/>
      <c r="W251" s="7" t="s">
        <v>241</v>
      </c>
    </row>
    <row r="252" spans="1:23" x14ac:dyDescent="0.25">
      <c r="A252" s="52" t="s">
        <v>60</v>
      </c>
      <c r="B252" s="53">
        <v>46042</v>
      </c>
      <c r="C252" s="49" t="s">
        <v>229</v>
      </c>
      <c r="D252" s="54"/>
      <c r="E252" s="54">
        <v>450500</v>
      </c>
      <c r="F252" s="54">
        <v>0</v>
      </c>
      <c r="G252" s="62">
        <f>Tabla3[[#This Row],[EGRESOS]]-Tabla3[[#This Row],[INGRESOS]]</f>
        <v>450500</v>
      </c>
      <c r="H252" s="104">
        <v>5070969.67</v>
      </c>
      <c r="I252" s="16">
        <v>1450</v>
      </c>
      <c r="J252" s="14">
        <f>Tabla3[[#This Row],[EGRESOS]]/Tabla3[[#This Row],[TC]]</f>
        <v>310.68965517241378</v>
      </c>
      <c r="K252" s="14">
        <f>Tabla3[[#This Row],[INGRESOS]]/Tabla3[[#This Row],[TC]]</f>
        <v>0</v>
      </c>
      <c r="L252" s="7" t="s">
        <v>94</v>
      </c>
      <c r="M252" s="7" t="s">
        <v>95</v>
      </c>
      <c r="N252" s="7" t="s">
        <v>0</v>
      </c>
      <c r="O252" s="7" t="s">
        <v>17</v>
      </c>
      <c r="P252" s="7" t="s">
        <v>31</v>
      </c>
      <c r="Q252" s="7" t="s">
        <v>316</v>
      </c>
      <c r="R252" s="7"/>
      <c r="S252" s="7" t="s">
        <v>240</v>
      </c>
      <c r="T252" s="7"/>
      <c r="U252" s="8" t="s">
        <v>467</v>
      </c>
      <c r="V252" s="7"/>
      <c r="W252" s="7" t="s">
        <v>241</v>
      </c>
    </row>
    <row r="253" spans="1:23" x14ac:dyDescent="0.25">
      <c r="A253" s="52" t="str">
        <f t="shared" si="4"/>
        <v>ENERO</v>
      </c>
      <c r="B253" s="53">
        <v>46042</v>
      </c>
      <c r="C253" s="49" t="s">
        <v>230</v>
      </c>
      <c r="D253" s="54"/>
      <c r="E253" s="54">
        <v>121</v>
      </c>
      <c r="F253" s="54">
        <v>0</v>
      </c>
      <c r="G253" s="62">
        <f>Tabla3[[#This Row],[EGRESOS]]-Tabla3[[#This Row],[INGRESOS]]</f>
        <v>121</v>
      </c>
      <c r="H253" s="104">
        <v>5070848.67</v>
      </c>
      <c r="I253" s="16">
        <v>1450</v>
      </c>
      <c r="J253" s="14">
        <f>Tabla3[[#This Row],[EGRESOS]]/Tabla3[[#This Row],[TC]]</f>
        <v>8.344827586206896E-2</v>
      </c>
      <c r="K253" s="14">
        <f>Tabla3[[#This Row],[INGRESOS]]/Tabla3[[#This Row],[TC]]</f>
        <v>0</v>
      </c>
      <c r="L253" s="7" t="s">
        <v>94</v>
      </c>
      <c r="M253" s="7" t="s">
        <v>95</v>
      </c>
      <c r="N253" s="7" t="s">
        <v>0</v>
      </c>
      <c r="O253" s="7" t="s">
        <v>17</v>
      </c>
      <c r="P253" s="7" t="s">
        <v>22</v>
      </c>
      <c r="Q253" s="7" t="s">
        <v>19</v>
      </c>
      <c r="R253" s="7"/>
      <c r="S253" s="7"/>
      <c r="T253" s="7"/>
      <c r="U253" s="7" t="s">
        <v>61</v>
      </c>
      <c r="V253" s="7"/>
      <c r="W253" s="7" t="s">
        <v>241</v>
      </c>
    </row>
    <row r="254" spans="1:23" x14ac:dyDescent="0.25">
      <c r="A254" s="52" t="str">
        <f t="shared" si="4"/>
        <v>ENERO</v>
      </c>
      <c r="B254" s="53">
        <v>46042</v>
      </c>
      <c r="C254" s="49" t="s">
        <v>229</v>
      </c>
      <c r="D254" s="54"/>
      <c r="E254" s="54">
        <v>74052</v>
      </c>
      <c r="F254" s="54">
        <v>0</v>
      </c>
      <c r="G254" s="62">
        <f>Tabla3[[#This Row],[EGRESOS]]-Tabla3[[#This Row],[INGRESOS]]</f>
        <v>74052</v>
      </c>
      <c r="H254" s="104">
        <v>4996796.67</v>
      </c>
      <c r="I254" s="16">
        <v>1450</v>
      </c>
      <c r="J254" s="14">
        <f>Tabla3[[#This Row],[EGRESOS]]/Tabla3[[#This Row],[TC]]</f>
        <v>51.070344827586204</v>
      </c>
      <c r="K254" s="14">
        <f>Tabla3[[#This Row],[INGRESOS]]/Tabla3[[#This Row],[TC]]</f>
        <v>0</v>
      </c>
      <c r="L254" s="7" t="s">
        <v>94</v>
      </c>
      <c r="M254" s="7" t="s">
        <v>95</v>
      </c>
      <c r="N254" s="7" t="s">
        <v>0</v>
      </c>
      <c r="O254" s="7" t="s">
        <v>39</v>
      </c>
      <c r="P254" s="7" t="s">
        <v>44</v>
      </c>
      <c r="Q254" s="7" t="s">
        <v>47</v>
      </c>
      <c r="R254" s="7" t="s">
        <v>304</v>
      </c>
      <c r="S254" s="7" t="s">
        <v>303</v>
      </c>
      <c r="T254" s="7" t="s">
        <v>305</v>
      </c>
      <c r="U254" s="7" t="s">
        <v>235</v>
      </c>
      <c r="V254" s="7"/>
      <c r="W254" s="7" t="s">
        <v>241</v>
      </c>
    </row>
    <row r="255" spans="1:23" x14ac:dyDescent="0.25">
      <c r="A255" s="52" t="str">
        <f t="shared" si="4"/>
        <v>ENERO</v>
      </c>
      <c r="B255" s="53">
        <v>46042</v>
      </c>
      <c r="C255" s="49" t="s">
        <v>192</v>
      </c>
      <c r="D255" s="54"/>
      <c r="E255" s="54">
        <v>12148.04</v>
      </c>
      <c r="F255" s="54">
        <v>0</v>
      </c>
      <c r="G255" s="62">
        <f>Tabla3[[#This Row],[EGRESOS]]-Tabla3[[#This Row],[INGRESOS]]</f>
        <v>12148.04</v>
      </c>
      <c r="H255" s="104">
        <v>4984648.63</v>
      </c>
      <c r="I255" s="16">
        <v>1450</v>
      </c>
      <c r="J255" s="14">
        <f>Tabla3[[#This Row],[EGRESOS]]/Tabla3[[#This Row],[TC]]</f>
        <v>8.3779586206896557</v>
      </c>
      <c r="K255" s="14">
        <f>Tabla3[[#This Row],[INGRESOS]]/Tabla3[[#This Row],[TC]]</f>
        <v>0</v>
      </c>
      <c r="L255" s="7" t="s">
        <v>94</v>
      </c>
      <c r="M255" s="7" t="s">
        <v>95</v>
      </c>
      <c r="N255" s="7" t="s">
        <v>0</v>
      </c>
      <c r="O255" s="7" t="s">
        <v>17</v>
      </c>
      <c r="P255" s="7" t="s">
        <v>22</v>
      </c>
      <c r="Q255" s="7" t="s">
        <v>23</v>
      </c>
      <c r="R255" s="7" t="s">
        <v>200</v>
      </c>
      <c r="S255" s="7"/>
      <c r="T255" s="7"/>
      <c r="U255" s="7" t="s">
        <v>61</v>
      </c>
      <c r="V255" s="7"/>
      <c r="W255" s="7" t="s">
        <v>241</v>
      </c>
    </row>
    <row r="256" spans="1:23" x14ac:dyDescent="0.25">
      <c r="A256" s="52" t="str">
        <f t="shared" si="4"/>
        <v>ENERO</v>
      </c>
      <c r="B256" s="53">
        <v>46042</v>
      </c>
      <c r="C256" s="49" t="s">
        <v>297</v>
      </c>
      <c r="D256" s="54"/>
      <c r="E256" s="54">
        <v>1435730.53</v>
      </c>
      <c r="F256" s="54">
        <v>0</v>
      </c>
      <c r="G256" s="62">
        <f>Tabla3[[#This Row],[EGRESOS]]-Tabla3[[#This Row],[INGRESOS]]</f>
        <v>1435730.53</v>
      </c>
      <c r="H256" s="104">
        <v>3548918.1</v>
      </c>
      <c r="I256" s="16">
        <v>1450</v>
      </c>
      <c r="J256" s="14">
        <f>Tabla3[[#This Row],[EGRESOS]]/Tabla3[[#This Row],[TC]]</f>
        <v>990.15898620689654</v>
      </c>
      <c r="K256" s="14">
        <f>Tabla3[[#This Row],[INGRESOS]]/Tabla3[[#This Row],[TC]]</f>
        <v>0</v>
      </c>
      <c r="L256" s="7" t="s">
        <v>94</v>
      </c>
      <c r="M256" s="7" t="s">
        <v>95</v>
      </c>
      <c r="N256" s="7" t="s">
        <v>0</v>
      </c>
      <c r="O256" s="7" t="s">
        <v>251</v>
      </c>
      <c r="P256" s="7" t="s">
        <v>250</v>
      </c>
      <c r="Q256" s="7" t="s">
        <v>252</v>
      </c>
      <c r="R256" s="7" t="s">
        <v>301</v>
      </c>
      <c r="S256" s="7"/>
      <c r="T256" s="7"/>
      <c r="U256" s="7" t="s">
        <v>253</v>
      </c>
      <c r="V256" s="7"/>
      <c r="W256" s="7" t="s">
        <v>254</v>
      </c>
    </row>
    <row r="257" spans="1:23" x14ac:dyDescent="0.25">
      <c r="A257" s="52" t="str">
        <f t="shared" si="4"/>
        <v>ENERO</v>
      </c>
      <c r="B257" s="53">
        <v>46045</v>
      </c>
      <c r="C257" s="49" t="s">
        <v>229</v>
      </c>
      <c r="D257" s="54"/>
      <c r="E257" s="54">
        <v>545658</v>
      </c>
      <c r="F257" s="54">
        <v>0</v>
      </c>
      <c r="G257" s="62">
        <f>Tabla3[[#This Row],[EGRESOS]]-Tabla3[[#This Row],[INGRESOS]]</f>
        <v>545658</v>
      </c>
      <c r="H257" s="104">
        <v>3003260.1</v>
      </c>
      <c r="I257" s="16">
        <v>1450</v>
      </c>
      <c r="J257" s="14">
        <f>Tabla3[[#This Row],[EGRESOS]]/Tabla3[[#This Row],[TC]]</f>
        <v>376.31586206896554</v>
      </c>
      <c r="K257" s="14">
        <f>Tabla3[[#This Row],[INGRESOS]]/Tabla3[[#This Row],[TC]]</f>
        <v>0</v>
      </c>
      <c r="L257" s="7" t="s">
        <v>94</v>
      </c>
      <c r="M257" s="7" t="s">
        <v>95</v>
      </c>
      <c r="N257" s="7" t="s">
        <v>0</v>
      </c>
      <c r="O257" s="7" t="s">
        <v>17</v>
      </c>
      <c r="P257" s="7" t="s">
        <v>28</v>
      </c>
      <c r="Q257" s="7" t="s">
        <v>265</v>
      </c>
      <c r="R257" s="7"/>
      <c r="S257" s="7" t="s">
        <v>281</v>
      </c>
      <c r="T257" s="7"/>
      <c r="U257" s="7" t="s">
        <v>312</v>
      </c>
      <c r="V257" s="7" t="s">
        <v>98</v>
      </c>
      <c r="W257" s="7" t="s">
        <v>241</v>
      </c>
    </row>
    <row r="258" spans="1:23" x14ac:dyDescent="0.25">
      <c r="A258" s="134" t="str">
        <f t="shared" si="4"/>
        <v>ENERO</v>
      </c>
      <c r="B258" s="135">
        <v>46045</v>
      </c>
      <c r="C258" s="136" t="s">
        <v>230</v>
      </c>
      <c r="D258" s="55"/>
      <c r="E258" s="55">
        <v>121</v>
      </c>
      <c r="F258" s="55">
        <v>0</v>
      </c>
      <c r="G258" s="137">
        <f>Tabla3[[#This Row],[EGRESOS]]-Tabla3[[#This Row],[INGRESOS]]</f>
        <v>121</v>
      </c>
      <c r="H258" s="19">
        <v>3003139.1</v>
      </c>
      <c r="I258" s="138">
        <v>1450</v>
      </c>
      <c r="J258" s="139">
        <f>Tabla3[[#This Row],[EGRESOS]]/Tabla3[[#This Row],[TC]]</f>
        <v>8.344827586206896E-2</v>
      </c>
      <c r="K258" s="139">
        <f>Tabla3[[#This Row],[INGRESOS]]/Tabla3[[#This Row],[TC]]</f>
        <v>0</v>
      </c>
      <c r="L258" s="8" t="s">
        <v>94</v>
      </c>
      <c r="M258" s="8" t="s">
        <v>95</v>
      </c>
      <c r="N258" s="8" t="s">
        <v>0</v>
      </c>
      <c r="O258" s="8" t="s">
        <v>17</v>
      </c>
      <c r="P258" s="8" t="s">
        <v>22</v>
      </c>
      <c r="Q258" s="8" t="s">
        <v>19</v>
      </c>
      <c r="R258" s="8"/>
      <c r="S258" s="8"/>
      <c r="T258" s="8"/>
      <c r="U258" s="8" t="s">
        <v>61</v>
      </c>
      <c r="V258" s="8"/>
      <c r="W258" s="8" t="s">
        <v>241</v>
      </c>
    </row>
    <row r="259" spans="1:23" x14ac:dyDescent="0.25">
      <c r="A259" s="134" t="str">
        <f t="shared" si="4"/>
        <v>ENERO</v>
      </c>
      <c r="B259" s="135">
        <v>46045</v>
      </c>
      <c r="C259" s="136" t="s">
        <v>192</v>
      </c>
      <c r="D259" s="55"/>
      <c r="E259" s="55">
        <v>3274.68</v>
      </c>
      <c r="F259" s="55">
        <v>0</v>
      </c>
      <c r="G259" s="137">
        <f>Tabla3[[#This Row],[EGRESOS]]-Tabla3[[#This Row],[INGRESOS]]</f>
        <v>3274.68</v>
      </c>
      <c r="H259" s="19">
        <v>2999864.42</v>
      </c>
      <c r="I259" s="138">
        <v>1450</v>
      </c>
      <c r="J259" s="139">
        <f>Tabla3[[#This Row],[EGRESOS]]/Tabla3[[#This Row],[TC]]</f>
        <v>2.2584</v>
      </c>
      <c r="K259" s="139">
        <f>Tabla3[[#This Row],[INGRESOS]]/Tabla3[[#This Row],[TC]]</f>
        <v>0</v>
      </c>
      <c r="L259" s="8" t="s">
        <v>94</v>
      </c>
      <c r="M259" s="8" t="s">
        <v>95</v>
      </c>
      <c r="N259" s="8" t="s">
        <v>0</v>
      </c>
      <c r="O259" s="8" t="s">
        <v>17</v>
      </c>
      <c r="P259" s="8" t="s">
        <v>22</v>
      </c>
      <c r="Q259" s="8" t="s">
        <v>23</v>
      </c>
      <c r="R259" s="8" t="s">
        <v>200</v>
      </c>
      <c r="S259" s="8"/>
      <c r="T259" s="8"/>
      <c r="U259" s="8" t="s">
        <v>61</v>
      </c>
      <c r="V259" s="8"/>
      <c r="W259" s="8" t="s">
        <v>241</v>
      </c>
    </row>
    <row r="260" spans="1:23" x14ac:dyDescent="0.25">
      <c r="A260" s="134" t="str">
        <f t="shared" si="4"/>
        <v>ENERO</v>
      </c>
      <c r="B260" s="135">
        <v>46048</v>
      </c>
      <c r="C260" s="136" t="s">
        <v>191</v>
      </c>
      <c r="D260" s="55" t="s">
        <v>318</v>
      </c>
      <c r="E260" s="55">
        <v>386877.06</v>
      </c>
      <c r="F260" s="55">
        <v>0</v>
      </c>
      <c r="G260" s="137">
        <f>Tabla3[[#This Row],[EGRESOS]]-Tabla3[[#This Row],[INGRESOS]]</f>
        <v>386877.06</v>
      </c>
      <c r="H260" s="19">
        <v>2612987.36</v>
      </c>
      <c r="I260" s="138">
        <v>1450</v>
      </c>
      <c r="J260" s="139">
        <f>Tabla3[[#This Row],[EGRESOS]]/Tabla3[[#This Row],[TC]]</f>
        <v>266.81176551724138</v>
      </c>
      <c r="K260" s="139">
        <f>Tabla3[[#This Row],[INGRESOS]]/Tabla3[[#This Row],[TC]]</f>
        <v>0</v>
      </c>
      <c r="L260" s="8" t="s">
        <v>94</v>
      </c>
      <c r="M260" s="8" t="s">
        <v>95</v>
      </c>
      <c r="N260" s="8" t="s">
        <v>0</v>
      </c>
      <c r="O260" s="8" t="s">
        <v>52</v>
      </c>
      <c r="P260" s="8" t="s">
        <v>198</v>
      </c>
      <c r="Q260" s="8" t="s">
        <v>54</v>
      </c>
      <c r="R260" s="8"/>
      <c r="S260" s="8" t="s">
        <v>321</v>
      </c>
      <c r="T260" s="8" t="s">
        <v>322</v>
      </c>
      <c r="U260" s="8" t="s">
        <v>235</v>
      </c>
      <c r="V260" s="8"/>
      <c r="W260" s="8" t="s">
        <v>241</v>
      </c>
    </row>
    <row r="261" spans="1:23" x14ac:dyDescent="0.25">
      <c r="A261" s="134" t="str">
        <f t="shared" si="4"/>
        <v>ENERO</v>
      </c>
      <c r="B261" s="135">
        <v>46048</v>
      </c>
      <c r="C261" s="136" t="s">
        <v>191</v>
      </c>
      <c r="D261" s="55" t="s">
        <v>317</v>
      </c>
      <c r="E261" s="55">
        <v>374999.99</v>
      </c>
      <c r="F261" s="55">
        <v>0</v>
      </c>
      <c r="G261" s="137">
        <f>Tabla3[[#This Row],[EGRESOS]]-Tabla3[[#This Row],[INGRESOS]]</f>
        <v>374999.99</v>
      </c>
      <c r="H261" s="19">
        <v>2237987.37</v>
      </c>
      <c r="I261" s="138">
        <v>1450</v>
      </c>
      <c r="J261" s="139">
        <f>Tabla3[[#This Row],[EGRESOS]]/Tabla3[[#This Row],[TC]]</f>
        <v>258.62068275862066</v>
      </c>
      <c r="K261" s="139">
        <f>Tabla3[[#This Row],[INGRESOS]]/Tabla3[[#This Row],[TC]]</f>
        <v>0</v>
      </c>
      <c r="L261" s="8" t="s">
        <v>94</v>
      </c>
      <c r="M261" s="8" t="s">
        <v>95</v>
      </c>
      <c r="N261" s="8" t="s">
        <v>0</v>
      </c>
      <c r="O261" s="8" t="s">
        <v>39</v>
      </c>
      <c r="P261" s="8" t="s">
        <v>44</v>
      </c>
      <c r="Q261" s="8" t="s">
        <v>419</v>
      </c>
      <c r="R261" s="8"/>
      <c r="S261" s="8" t="s">
        <v>319</v>
      </c>
      <c r="T261" s="8" t="s">
        <v>320</v>
      </c>
      <c r="U261" s="8" t="s">
        <v>235</v>
      </c>
      <c r="V261" s="8"/>
      <c r="W261" s="8" t="s">
        <v>241</v>
      </c>
    </row>
    <row r="262" spans="1:23" x14ac:dyDescent="0.25">
      <c r="A262" s="134" t="str">
        <f t="shared" si="4"/>
        <v>ENERO</v>
      </c>
      <c r="B262" s="135">
        <v>46048</v>
      </c>
      <c r="C262" s="136" t="s">
        <v>192</v>
      </c>
      <c r="D262" s="55"/>
      <c r="E262" s="55">
        <v>4571.26</v>
      </c>
      <c r="F262" s="55">
        <v>0</v>
      </c>
      <c r="G262" s="137">
        <f>Tabla3[[#This Row],[EGRESOS]]-Tabla3[[#This Row],[INGRESOS]]</f>
        <v>4571.26</v>
      </c>
      <c r="H262" s="19">
        <v>2233416.11</v>
      </c>
      <c r="I262" s="138">
        <v>1450</v>
      </c>
      <c r="J262" s="139">
        <f>Tabla3[[#This Row],[EGRESOS]]/Tabla3[[#This Row],[TC]]</f>
        <v>3.1525931034482761</v>
      </c>
      <c r="K262" s="139">
        <f>Tabla3[[#This Row],[INGRESOS]]/Tabla3[[#This Row],[TC]]</f>
        <v>0</v>
      </c>
      <c r="L262" s="8" t="s">
        <v>94</v>
      </c>
      <c r="M262" s="8" t="s">
        <v>95</v>
      </c>
      <c r="N262" s="8" t="s">
        <v>0</v>
      </c>
      <c r="O262" s="8" t="s">
        <v>17</v>
      </c>
      <c r="P262" s="8" t="s">
        <v>22</v>
      </c>
      <c r="Q262" s="8" t="s">
        <v>23</v>
      </c>
      <c r="R262" s="8" t="s">
        <v>200</v>
      </c>
      <c r="S262" s="8"/>
      <c r="T262" s="8"/>
      <c r="U262" s="8" t="s">
        <v>61</v>
      </c>
      <c r="V262" s="8"/>
      <c r="W262" s="8" t="s">
        <v>241</v>
      </c>
    </row>
    <row r="263" spans="1:23" x14ac:dyDescent="0.25">
      <c r="A263" s="134" t="str">
        <f t="shared" si="4"/>
        <v>ENERO</v>
      </c>
      <c r="B263" s="135">
        <v>46049</v>
      </c>
      <c r="C263" s="136" t="s">
        <v>191</v>
      </c>
      <c r="D263" s="55" t="s">
        <v>328</v>
      </c>
      <c r="E263" s="55">
        <v>3129704.7</v>
      </c>
      <c r="F263" s="55">
        <v>0</v>
      </c>
      <c r="G263" s="137">
        <f>Tabla3[[#This Row],[EGRESOS]]-Tabla3[[#This Row],[INGRESOS]]</f>
        <v>3129704.7</v>
      </c>
      <c r="H263" s="19">
        <v>-896288.59</v>
      </c>
      <c r="I263" s="138">
        <v>1450</v>
      </c>
      <c r="J263" s="139">
        <f>Tabla3[[#This Row],[EGRESOS]]/Tabla3[[#This Row],[TC]]</f>
        <v>2158.4170344827589</v>
      </c>
      <c r="K263" s="139">
        <f>Tabla3[[#This Row],[INGRESOS]]/Tabla3[[#This Row],[TC]]</f>
        <v>0</v>
      </c>
      <c r="L263" s="8" t="s">
        <v>94</v>
      </c>
      <c r="M263" s="8" t="s">
        <v>95</v>
      </c>
      <c r="N263" s="8" t="s">
        <v>0</v>
      </c>
      <c r="O263" s="8" t="s">
        <v>34</v>
      </c>
      <c r="P263" s="7" t="s">
        <v>255</v>
      </c>
      <c r="Q263" s="8" t="s">
        <v>38</v>
      </c>
      <c r="R263" s="8" t="s">
        <v>115</v>
      </c>
      <c r="S263" s="8" t="s">
        <v>329</v>
      </c>
      <c r="T263" s="8" t="s">
        <v>330</v>
      </c>
      <c r="U263" s="8" t="s">
        <v>235</v>
      </c>
      <c r="V263" s="8"/>
      <c r="W263" s="8" t="s">
        <v>241</v>
      </c>
    </row>
    <row r="264" spans="1:23" x14ac:dyDescent="0.25">
      <c r="A264" s="134" t="str">
        <f t="shared" si="4"/>
        <v>ENERO</v>
      </c>
      <c r="B264" s="135">
        <v>46049</v>
      </c>
      <c r="C264" s="136" t="s">
        <v>191</v>
      </c>
      <c r="D264" s="55" t="s">
        <v>327</v>
      </c>
      <c r="E264" s="55">
        <v>215000</v>
      </c>
      <c r="F264" s="55">
        <v>0</v>
      </c>
      <c r="G264" s="137">
        <f>Tabla3[[#This Row],[EGRESOS]]-Tabla3[[#This Row],[INGRESOS]]</f>
        <v>215000</v>
      </c>
      <c r="H264" s="19">
        <v>-1111288.5900000001</v>
      </c>
      <c r="I264" s="138">
        <v>1450</v>
      </c>
      <c r="J264" s="139">
        <f>Tabla3[[#This Row],[EGRESOS]]/Tabla3[[#This Row],[TC]]</f>
        <v>148.27586206896552</v>
      </c>
      <c r="K264" s="139">
        <f>Tabla3[[#This Row],[INGRESOS]]/Tabla3[[#This Row],[TC]]</f>
        <v>0</v>
      </c>
      <c r="L264" s="8" t="s">
        <v>94</v>
      </c>
      <c r="M264" s="8" t="s">
        <v>95</v>
      </c>
      <c r="N264" s="8" t="s">
        <v>0</v>
      </c>
      <c r="O264" s="8" t="s">
        <v>39</v>
      </c>
      <c r="P264" s="8" t="s">
        <v>44</v>
      </c>
      <c r="Q264" s="8" t="s">
        <v>48</v>
      </c>
      <c r="R264" s="8"/>
      <c r="S264" s="8" t="s">
        <v>331</v>
      </c>
      <c r="T264" s="8"/>
      <c r="U264" s="8" t="s">
        <v>235</v>
      </c>
      <c r="V264" s="8"/>
      <c r="W264" s="8" t="s">
        <v>241</v>
      </c>
    </row>
    <row r="265" spans="1:23" x14ac:dyDescent="0.25">
      <c r="A265" s="134" t="str">
        <f t="shared" si="4"/>
        <v>ENERO</v>
      </c>
      <c r="B265" s="135">
        <v>46049</v>
      </c>
      <c r="C265" s="136" t="s">
        <v>191</v>
      </c>
      <c r="D265" s="55" t="s">
        <v>326</v>
      </c>
      <c r="E265" s="55">
        <v>257495</v>
      </c>
      <c r="F265" s="55">
        <v>0</v>
      </c>
      <c r="G265" s="137">
        <f>Tabla3[[#This Row],[EGRESOS]]-Tabla3[[#This Row],[INGRESOS]]</f>
        <v>257495</v>
      </c>
      <c r="H265" s="19">
        <v>-1368783.59</v>
      </c>
      <c r="I265" s="138">
        <v>1450</v>
      </c>
      <c r="J265" s="139">
        <f>Tabla3[[#This Row],[EGRESOS]]/Tabla3[[#This Row],[TC]]</f>
        <v>177.58275862068965</v>
      </c>
      <c r="K265" s="139">
        <f>Tabla3[[#This Row],[INGRESOS]]/Tabla3[[#This Row],[TC]]</f>
        <v>0</v>
      </c>
      <c r="L265" s="8" t="s">
        <v>94</v>
      </c>
      <c r="M265" s="8" t="s">
        <v>95</v>
      </c>
      <c r="N265" s="8" t="s">
        <v>0</v>
      </c>
      <c r="O265" s="8" t="s">
        <v>52</v>
      </c>
      <c r="P265" s="8" t="s">
        <v>198</v>
      </c>
      <c r="Q265" s="8" t="s">
        <v>334</v>
      </c>
      <c r="R265" s="8"/>
      <c r="S265" s="8" t="s">
        <v>332</v>
      </c>
      <c r="T265" s="8" t="s">
        <v>333</v>
      </c>
      <c r="U265" s="8" t="s">
        <v>235</v>
      </c>
      <c r="V265" s="8"/>
      <c r="W265" s="8" t="s">
        <v>241</v>
      </c>
    </row>
    <row r="266" spans="1:23" x14ac:dyDescent="0.25">
      <c r="A266" s="134" t="str">
        <f t="shared" si="4"/>
        <v>ENERO</v>
      </c>
      <c r="B266" s="135">
        <v>46049</v>
      </c>
      <c r="C266" s="136" t="s">
        <v>118</v>
      </c>
      <c r="D266" s="55"/>
      <c r="E266" s="55">
        <v>2047.5</v>
      </c>
      <c r="F266" s="55">
        <v>0</v>
      </c>
      <c r="G266" s="137">
        <f>Tabla3[[#This Row],[EGRESOS]]-Tabla3[[#This Row],[INGRESOS]]</f>
        <v>2047.5</v>
      </c>
      <c r="H266" s="19">
        <v>-1370831.09</v>
      </c>
      <c r="I266" s="138">
        <v>1450</v>
      </c>
      <c r="J266" s="139">
        <f>Tabla3[[#This Row],[EGRESOS]]/Tabla3[[#This Row],[TC]]</f>
        <v>1.4120689655172414</v>
      </c>
      <c r="K266" s="139">
        <f>Tabla3[[#This Row],[INGRESOS]]/Tabla3[[#This Row],[TC]]</f>
        <v>0</v>
      </c>
      <c r="L266" s="8" t="s">
        <v>94</v>
      </c>
      <c r="M266" s="8" t="s">
        <v>95</v>
      </c>
      <c r="N266" s="8" t="s">
        <v>0</v>
      </c>
      <c r="O266" s="8" t="s">
        <v>17</v>
      </c>
      <c r="P266" s="8" t="s">
        <v>22</v>
      </c>
      <c r="Q266" s="8" t="s">
        <v>23</v>
      </c>
      <c r="R266" s="8" t="s">
        <v>96</v>
      </c>
      <c r="S266" s="8"/>
      <c r="T266" s="8"/>
      <c r="U266" s="8" t="s">
        <v>61</v>
      </c>
      <c r="V266" s="8"/>
      <c r="W266" s="8" t="s">
        <v>241</v>
      </c>
    </row>
    <row r="267" spans="1:23" x14ac:dyDescent="0.25">
      <c r="A267" s="134" t="str">
        <f t="shared" si="4"/>
        <v>ENERO</v>
      </c>
      <c r="B267" s="135">
        <v>46049</v>
      </c>
      <c r="C267" s="136" t="s">
        <v>119</v>
      </c>
      <c r="D267" s="55"/>
      <c r="E267" s="55">
        <v>292.5</v>
      </c>
      <c r="F267" s="55">
        <v>0</v>
      </c>
      <c r="G267" s="137">
        <f>Tabla3[[#This Row],[EGRESOS]]-Tabla3[[#This Row],[INGRESOS]]</f>
        <v>292.5</v>
      </c>
      <c r="H267" s="19">
        <v>-1371123.59</v>
      </c>
      <c r="I267" s="138">
        <v>1450</v>
      </c>
      <c r="J267" s="139">
        <f>Tabla3[[#This Row],[EGRESOS]]/Tabla3[[#This Row],[TC]]</f>
        <v>0.20172413793103447</v>
      </c>
      <c r="K267" s="139">
        <f>Tabla3[[#This Row],[INGRESOS]]/Tabla3[[#This Row],[TC]]</f>
        <v>0</v>
      </c>
      <c r="L267" s="8" t="s">
        <v>94</v>
      </c>
      <c r="M267" s="8" t="s">
        <v>95</v>
      </c>
      <c r="N267" s="8" t="s">
        <v>0</v>
      </c>
      <c r="O267" s="8" t="s">
        <v>17</v>
      </c>
      <c r="P267" s="8" t="s">
        <v>22</v>
      </c>
      <c r="Q267" s="8" t="s">
        <v>23</v>
      </c>
      <c r="R267" s="8" t="s">
        <v>103</v>
      </c>
      <c r="S267" s="8"/>
      <c r="T267" s="8"/>
      <c r="U267" s="8" t="s">
        <v>61</v>
      </c>
      <c r="V267" s="8"/>
      <c r="W267" s="8" t="s">
        <v>241</v>
      </c>
    </row>
    <row r="268" spans="1:23" x14ac:dyDescent="0.25">
      <c r="A268" s="134" t="str">
        <f t="shared" si="4"/>
        <v>ENERO</v>
      </c>
      <c r="B268" s="135">
        <v>46049</v>
      </c>
      <c r="C268" s="136" t="s">
        <v>339</v>
      </c>
      <c r="D268" s="55"/>
      <c r="E268" s="55">
        <v>9750</v>
      </c>
      <c r="F268" s="55">
        <v>0</v>
      </c>
      <c r="G268" s="137">
        <f>Tabla3[[#This Row],[EGRESOS]]-Tabla3[[#This Row],[INGRESOS]]</f>
        <v>9750</v>
      </c>
      <c r="H268" s="19">
        <v>-1380873.59</v>
      </c>
      <c r="I268" s="138">
        <v>1450</v>
      </c>
      <c r="J268" s="139">
        <f>Tabla3[[#This Row],[EGRESOS]]/Tabla3[[#This Row],[TC]]</f>
        <v>6.7241379310344831</v>
      </c>
      <c r="K268" s="139">
        <f>Tabla3[[#This Row],[INGRESOS]]/Tabla3[[#This Row],[TC]]</f>
        <v>0</v>
      </c>
      <c r="L268" s="8" t="s">
        <v>94</v>
      </c>
      <c r="M268" s="8" t="s">
        <v>95</v>
      </c>
      <c r="N268" s="8" t="s">
        <v>0</v>
      </c>
      <c r="O268" s="8" t="s">
        <v>17</v>
      </c>
      <c r="P268" s="8" t="s">
        <v>22</v>
      </c>
      <c r="Q268" s="8" t="s">
        <v>19</v>
      </c>
      <c r="R268" s="8"/>
      <c r="S268" s="8"/>
      <c r="T268" s="8"/>
      <c r="U268" s="8" t="s">
        <v>61</v>
      </c>
      <c r="V268" s="8"/>
      <c r="W268" s="8" t="s">
        <v>241</v>
      </c>
    </row>
    <row r="269" spans="1:23" x14ac:dyDescent="0.25">
      <c r="A269" s="134" t="str">
        <f t="shared" si="4"/>
        <v>ENERO</v>
      </c>
      <c r="B269" s="135">
        <v>46049</v>
      </c>
      <c r="C269" s="136" t="s">
        <v>192</v>
      </c>
      <c r="D269" s="55"/>
      <c r="E269" s="55">
        <v>21685.74</v>
      </c>
      <c r="F269" s="55">
        <v>0</v>
      </c>
      <c r="G269" s="137">
        <f>Tabla3[[#This Row],[EGRESOS]]-Tabla3[[#This Row],[INGRESOS]]</f>
        <v>21685.74</v>
      </c>
      <c r="H269" s="19">
        <v>-1402559.33</v>
      </c>
      <c r="I269" s="138">
        <v>1450</v>
      </c>
      <c r="J269" s="139">
        <f>Tabla3[[#This Row],[EGRESOS]]/Tabla3[[#This Row],[TC]]</f>
        <v>14.955682758620691</v>
      </c>
      <c r="K269" s="139">
        <f>Tabla3[[#This Row],[INGRESOS]]/Tabla3[[#This Row],[TC]]</f>
        <v>0</v>
      </c>
      <c r="L269" s="8" t="s">
        <v>94</v>
      </c>
      <c r="M269" s="8" t="s">
        <v>95</v>
      </c>
      <c r="N269" s="8" t="s">
        <v>0</v>
      </c>
      <c r="O269" s="8" t="s">
        <v>17</v>
      </c>
      <c r="P269" s="8" t="s">
        <v>22</v>
      </c>
      <c r="Q269" s="8" t="s">
        <v>23</v>
      </c>
      <c r="R269" s="8" t="s">
        <v>200</v>
      </c>
      <c r="S269" s="8"/>
      <c r="T269" s="8"/>
      <c r="U269" s="8" t="s">
        <v>61</v>
      </c>
      <c r="V269" s="8"/>
      <c r="W269" s="8" t="s">
        <v>241</v>
      </c>
    </row>
    <row r="270" spans="1:23" x14ac:dyDescent="0.25">
      <c r="A270" s="134" t="str">
        <f t="shared" si="4"/>
        <v>ENERO</v>
      </c>
      <c r="B270" s="135">
        <v>46050</v>
      </c>
      <c r="C270" s="136" t="s">
        <v>229</v>
      </c>
      <c r="D270" s="55"/>
      <c r="E270" s="55">
        <v>1500000</v>
      </c>
      <c r="F270" s="55">
        <v>0</v>
      </c>
      <c r="G270" s="137">
        <f>Tabla3[[#This Row],[EGRESOS]]-Tabla3[[#This Row],[INGRESOS]]</f>
        <v>1500000</v>
      </c>
      <c r="H270" s="19">
        <v>-2902559.33</v>
      </c>
      <c r="I270" s="138">
        <v>1450</v>
      </c>
      <c r="J270" s="139">
        <f>Tabla3[[#This Row],[EGRESOS]]/Tabla3[[#This Row],[TC]]</f>
        <v>1034.4827586206898</v>
      </c>
      <c r="K270" s="139">
        <f>Tabla3[[#This Row],[INGRESOS]]/Tabla3[[#This Row],[TC]]</f>
        <v>0</v>
      </c>
      <c r="L270" s="8" t="s">
        <v>94</v>
      </c>
      <c r="M270" s="8" t="s">
        <v>95</v>
      </c>
      <c r="N270" s="8" t="s">
        <v>0</v>
      </c>
      <c r="O270" s="8" t="s">
        <v>17</v>
      </c>
      <c r="P270" s="8" t="s">
        <v>31</v>
      </c>
      <c r="Q270" s="8" t="s">
        <v>302</v>
      </c>
      <c r="R270" s="8"/>
      <c r="S270" s="8" t="s">
        <v>240</v>
      </c>
      <c r="T270" s="8"/>
      <c r="U270" s="8" t="s">
        <v>467</v>
      </c>
      <c r="V270" s="8"/>
      <c r="W270" s="8" t="s">
        <v>241</v>
      </c>
    </row>
    <row r="271" spans="1:23" x14ac:dyDescent="0.25">
      <c r="A271" s="134" t="str">
        <f t="shared" si="4"/>
        <v>ENERO</v>
      </c>
      <c r="B271" s="135">
        <v>46050</v>
      </c>
      <c r="C271" s="136" t="s">
        <v>230</v>
      </c>
      <c r="D271" s="55"/>
      <c r="E271" s="55">
        <v>121</v>
      </c>
      <c r="F271" s="55">
        <v>0</v>
      </c>
      <c r="G271" s="137">
        <f>Tabla3[[#This Row],[EGRESOS]]-Tabla3[[#This Row],[INGRESOS]]</f>
        <v>121</v>
      </c>
      <c r="H271" s="19">
        <v>-2902680.33</v>
      </c>
      <c r="I271" s="138">
        <v>1450</v>
      </c>
      <c r="J271" s="139">
        <f>Tabla3[[#This Row],[EGRESOS]]/Tabla3[[#This Row],[TC]]</f>
        <v>8.344827586206896E-2</v>
      </c>
      <c r="K271" s="139">
        <f>Tabla3[[#This Row],[INGRESOS]]/Tabla3[[#This Row],[TC]]</f>
        <v>0</v>
      </c>
      <c r="L271" s="8" t="s">
        <v>94</v>
      </c>
      <c r="M271" s="8" t="s">
        <v>95</v>
      </c>
      <c r="N271" s="8" t="s">
        <v>0</v>
      </c>
      <c r="O271" s="8" t="s">
        <v>17</v>
      </c>
      <c r="P271" s="8" t="s">
        <v>22</v>
      </c>
      <c r="Q271" s="8" t="s">
        <v>19</v>
      </c>
      <c r="R271" s="8"/>
      <c r="S271" s="8"/>
      <c r="T271" s="8"/>
      <c r="U271" s="8" t="s">
        <v>61</v>
      </c>
      <c r="V271" s="8"/>
      <c r="W271" s="8" t="s">
        <v>241</v>
      </c>
    </row>
    <row r="272" spans="1:23" x14ac:dyDescent="0.25">
      <c r="A272" s="134" t="str">
        <f t="shared" si="4"/>
        <v>ENERO</v>
      </c>
      <c r="B272" s="135">
        <v>46050</v>
      </c>
      <c r="C272" s="136" t="s">
        <v>192</v>
      </c>
      <c r="D272" s="55"/>
      <c r="E272" s="55">
        <v>9000.73</v>
      </c>
      <c r="F272" s="55">
        <v>0</v>
      </c>
      <c r="G272" s="137">
        <f>Tabla3[[#This Row],[EGRESOS]]-Tabla3[[#This Row],[INGRESOS]]</f>
        <v>9000.73</v>
      </c>
      <c r="H272" s="19">
        <v>-2911681.06</v>
      </c>
      <c r="I272" s="138">
        <v>1450</v>
      </c>
      <c r="J272" s="139">
        <f>Tabla3[[#This Row],[EGRESOS]]/Tabla3[[#This Row],[TC]]</f>
        <v>6.2073999999999998</v>
      </c>
      <c r="K272" s="139">
        <f>Tabla3[[#This Row],[INGRESOS]]/Tabla3[[#This Row],[TC]]</f>
        <v>0</v>
      </c>
      <c r="L272" s="8" t="s">
        <v>94</v>
      </c>
      <c r="M272" s="8" t="s">
        <v>95</v>
      </c>
      <c r="N272" s="8" t="s">
        <v>0</v>
      </c>
      <c r="O272" s="8" t="s">
        <v>17</v>
      </c>
      <c r="P272" s="8" t="s">
        <v>22</v>
      </c>
      <c r="Q272" s="8" t="s">
        <v>23</v>
      </c>
      <c r="R272" s="8" t="s">
        <v>200</v>
      </c>
      <c r="S272" s="8"/>
      <c r="T272" s="8"/>
      <c r="U272" s="8" t="s">
        <v>61</v>
      </c>
      <c r="V272" s="8"/>
      <c r="W272" s="8" t="s">
        <v>241</v>
      </c>
    </row>
    <row r="273" spans="1:23" x14ac:dyDescent="0.25">
      <c r="A273" s="134" t="str">
        <f t="shared" si="4"/>
        <v>ENERO</v>
      </c>
      <c r="B273" s="135">
        <v>46051</v>
      </c>
      <c r="C273" s="136" t="s">
        <v>297</v>
      </c>
      <c r="D273" s="55"/>
      <c r="E273" s="55">
        <v>66987.53</v>
      </c>
      <c r="F273" s="55">
        <v>0</v>
      </c>
      <c r="G273" s="137">
        <f>Tabla3[[#This Row],[EGRESOS]]-Tabla3[[#This Row],[INGRESOS]]</f>
        <v>66987.53</v>
      </c>
      <c r="H273" s="19">
        <v>-2978668.59</v>
      </c>
      <c r="I273" s="138">
        <v>1450</v>
      </c>
      <c r="J273" s="139">
        <f>Tabla3[[#This Row],[EGRESOS]]/Tabla3[[#This Row],[TC]]</f>
        <v>46.198296551724134</v>
      </c>
      <c r="K273" s="139">
        <f>Tabla3[[#This Row],[INGRESOS]]/Tabla3[[#This Row],[TC]]</f>
        <v>0</v>
      </c>
      <c r="L273" s="8" t="s">
        <v>94</v>
      </c>
      <c r="M273" s="8" t="s">
        <v>95</v>
      </c>
      <c r="N273" s="8" t="s">
        <v>0</v>
      </c>
      <c r="O273" s="8" t="s">
        <v>251</v>
      </c>
      <c r="P273" s="8" t="s">
        <v>250</v>
      </c>
      <c r="Q273" s="8" t="s">
        <v>252</v>
      </c>
      <c r="R273" s="8" t="s">
        <v>277</v>
      </c>
      <c r="S273" s="8"/>
      <c r="T273" s="8"/>
      <c r="U273" s="8" t="s">
        <v>253</v>
      </c>
      <c r="V273" s="8"/>
      <c r="W273" s="8" t="s">
        <v>241</v>
      </c>
    </row>
    <row r="274" spans="1:23" x14ac:dyDescent="0.25">
      <c r="A274" s="134" t="str">
        <f t="shared" si="4"/>
        <v>ENERO</v>
      </c>
      <c r="B274" s="135">
        <v>46052</v>
      </c>
      <c r="C274" s="136" t="s">
        <v>191</v>
      </c>
      <c r="D274" s="55" t="s">
        <v>344</v>
      </c>
      <c r="E274" s="55">
        <v>858585</v>
      </c>
      <c r="F274" s="55">
        <v>0</v>
      </c>
      <c r="G274" s="137">
        <f>Tabla3[[#This Row],[EGRESOS]]-Tabla3[[#This Row],[INGRESOS]]</f>
        <v>858585</v>
      </c>
      <c r="H274" s="19">
        <v>-3837253.59</v>
      </c>
      <c r="I274" s="138">
        <v>1450</v>
      </c>
      <c r="J274" s="139">
        <f>Tabla3[[#This Row],[EGRESOS]]/Tabla3[[#This Row],[TC]]</f>
        <v>592.12758620689658</v>
      </c>
      <c r="K274" s="139">
        <f>Tabla3[[#This Row],[INGRESOS]]/Tabla3[[#This Row],[TC]]</f>
        <v>0</v>
      </c>
      <c r="L274" s="8" t="s">
        <v>94</v>
      </c>
      <c r="M274" s="8" t="s">
        <v>95</v>
      </c>
      <c r="N274" s="8" t="s">
        <v>0</v>
      </c>
      <c r="O274" s="8" t="s">
        <v>34</v>
      </c>
      <c r="P274" s="8" t="s">
        <v>255</v>
      </c>
      <c r="Q274" s="8" t="s">
        <v>37</v>
      </c>
      <c r="R274" s="8" t="s">
        <v>372</v>
      </c>
      <c r="S274" s="8" t="s">
        <v>345</v>
      </c>
      <c r="T274" s="8" t="s">
        <v>346</v>
      </c>
      <c r="U274" s="8" t="s">
        <v>235</v>
      </c>
      <c r="V274" s="8"/>
      <c r="W274" s="8" t="s">
        <v>241</v>
      </c>
    </row>
    <row r="275" spans="1:23" x14ac:dyDescent="0.25">
      <c r="A275" s="134" t="str">
        <f t="shared" si="4"/>
        <v>ENERO</v>
      </c>
      <c r="B275" s="135">
        <v>46052</v>
      </c>
      <c r="C275" s="136" t="s">
        <v>229</v>
      </c>
      <c r="D275" s="55"/>
      <c r="E275" s="55">
        <v>550000</v>
      </c>
      <c r="F275" s="55">
        <v>0</v>
      </c>
      <c r="G275" s="137">
        <f>Tabla3[[#This Row],[EGRESOS]]-Tabla3[[#This Row],[INGRESOS]]</f>
        <v>550000</v>
      </c>
      <c r="H275" s="19">
        <v>-4387253.59</v>
      </c>
      <c r="I275" s="138">
        <v>1450</v>
      </c>
      <c r="J275" s="139">
        <f>Tabla3[[#This Row],[EGRESOS]]/Tabla3[[#This Row],[TC]]</f>
        <v>379.31034482758622</v>
      </c>
      <c r="K275" s="139">
        <f>Tabla3[[#This Row],[INGRESOS]]/Tabla3[[#This Row],[TC]]</f>
        <v>0</v>
      </c>
      <c r="L275" s="8" t="s">
        <v>94</v>
      </c>
      <c r="M275" s="8" t="s">
        <v>95</v>
      </c>
      <c r="N275" s="8" t="s">
        <v>0</v>
      </c>
      <c r="O275" s="8" t="s">
        <v>17</v>
      </c>
      <c r="P275" s="8" t="s">
        <v>28</v>
      </c>
      <c r="Q275" s="8" t="s">
        <v>265</v>
      </c>
      <c r="R275" s="8"/>
      <c r="S275" s="133" t="s">
        <v>449</v>
      </c>
      <c r="T275" s="8"/>
      <c r="U275" s="8" t="s">
        <v>266</v>
      </c>
      <c r="V275" s="8" t="s">
        <v>102</v>
      </c>
      <c r="W275" s="8" t="s">
        <v>241</v>
      </c>
    </row>
    <row r="276" spans="1:23" x14ac:dyDescent="0.25">
      <c r="A276" s="134" t="str">
        <f t="shared" si="4"/>
        <v>ENERO</v>
      </c>
      <c r="B276" s="135">
        <v>46052</v>
      </c>
      <c r="C276" s="136" t="s">
        <v>230</v>
      </c>
      <c r="D276" s="55"/>
      <c r="E276" s="55">
        <v>121</v>
      </c>
      <c r="F276" s="55">
        <v>0</v>
      </c>
      <c r="G276" s="137">
        <f>Tabla3[[#This Row],[EGRESOS]]-Tabla3[[#This Row],[INGRESOS]]</f>
        <v>121</v>
      </c>
      <c r="H276" s="19">
        <v>-4387374.59</v>
      </c>
      <c r="I276" s="138">
        <v>1450</v>
      </c>
      <c r="J276" s="139">
        <f>Tabla3[[#This Row],[EGRESOS]]/Tabla3[[#This Row],[TC]]</f>
        <v>8.344827586206896E-2</v>
      </c>
      <c r="K276" s="139">
        <f>Tabla3[[#This Row],[INGRESOS]]/Tabla3[[#This Row],[TC]]</f>
        <v>0</v>
      </c>
      <c r="L276" s="8" t="s">
        <v>94</v>
      </c>
      <c r="M276" s="8" t="s">
        <v>95</v>
      </c>
      <c r="N276" s="8" t="s">
        <v>0</v>
      </c>
      <c r="O276" s="8" t="s">
        <v>17</v>
      </c>
      <c r="P276" s="8" t="s">
        <v>22</v>
      </c>
      <c r="Q276" s="8" t="s">
        <v>19</v>
      </c>
      <c r="R276" s="8"/>
      <c r="S276" s="8"/>
      <c r="T276" s="8"/>
      <c r="U276" s="8" t="s">
        <v>61</v>
      </c>
      <c r="V276" s="8"/>
      <c r="W276" s="8" t="s">
        <v>241</v>
      </c>
    </row>
    <row r="277" spans="1:23" x14ac:dyDescent="0.25">
      <c r="A277" s="134" t="str">
        <f t="shared" si="4"/>
        <v>ENERO</v>
      </c>
      <c r="B277" s="135">
        <v>46052</v>
      </c>
      <c r="C277" s="136" t="s">
        <v>192</v>
      </c>
      <c r="D277" s="55"/>
      <c r="E277" s="55">
        <v>8452.24</v>
      </c>
      <c r="F277" s="55">
        <v>0</v>
      </c>
      <c r="G277" s="137">
        <f>Tabla3[[#This Row],[EGRESOS]]-Tabla3[[#This Row],[INGRESOS]]</f>
        <v>8452.24</v>
      </c>
      <c r="H277" s="19">
        <v>-4395826.83</v>
      </c>
      <c r="I277" s="138">
        <v>1450</v>
      </c>
      <c r="J277" s="139">
        <f>Tabla3[[#This Row],[EGRESOS]]/Tabla3[[#This Row],[TC]]</f>
        <v>5.8291310344827583</v>
      </c>
      <c r="K277" s="139">
        <f>Tabla3[[#This Row],[INGRESOS]]/Tabla3[[#This Row],[TC]]</f>
        <v>0</v>
      </c>
      <c r="L277" s="8" t="s">
        <v>94</v>
      </c>
      <c r="M277" s="8" t="s">
        <v>95</v>
      </c>
      <c r="N277" s="8" t="s">
        <v>0</v>
      </c>
      <c r="O277" s="8" t="s">
        <v>17</v>
      </c>
      <c r="P277" s="8" t="s">
        <v>22</v>
      </c>
      <c r="Q277" s="8" t="s">
        <v>23</v>
      </c>
      <c r="R277" s="8" t="s">
        <v>200</v>
      </c>
      <c r="S277" s="8"/>
      <c r="T277" s="8"/>
      <c r="U277" s="8" t="s">
        <v>61</v>
      </c>
      <c r="V277" s="8"/>
      <c r="W277" s="8" t="s">
        <v>241</v>
      </c>
    </row>
    <row r="278" spans="1:23" x14ac:dyDescent="0.25">
      <c r="A278" s="134" t="str">
        <f>"FEBRERO"</f>
        <v>FEBRERO</v>
      </c>
      <c r="B278" s="135">
        <v>46055</v>
      </c>
      <c r="C278" s="136" t="s">
        <v>118</v>
      </c>
      <c r="D278" s="55"/>
      <c r="E278" s="55">
        <v>20589.080000000002</v>
      </c>
      <c r="F278" s="55">
        <v>0</v>
      </c>
      <c r="G278" s="137">
        <f>Tabla3[[#This Row],[EGRESOS]]-Tabla3[[#This Row],[INGRESOS]]</f>
        <v>20589.080000000002</v>
      </c>
      <c r="H278" s="19">
        <v>-4416415.91</v>
      </c>
      <c r="I278" s="138">
        <v>1450</v>
      </c>
      <c r="J278" s="139">
        <f>Tabla3[[#This Row],[EGRESOS]]/Tabla3[[#This Row],[TC]]</f>
        <v>14.199365517241381</v>
      </c>
      <c r="K278" s="139">
        <f>Tabla3[[#This Row],[INGRESOS]]/Tabla3[[#This Row],[TC]]</f>
        <v>0</v>
      </c>
      <c r="L278" s="8" t="s">
        <v>94</v>
      </c>
      <c r="M278" s="8" t="s">
        <v>95</v>
      </c>
      <c r="N278" s="8" t="s">
        <v>0</v>
      </c>
      <c r="O278" s="8" t="s">
        <v>17</v>
      </c>
      <c r="P278" s="8" t="s">
        <v>22</v>
      </c>
      <c r="Q278" s="8" t="s">
        <v>23</v>
      </c>
      <c r="R278" s="8" t="s">
        <v>96</v>
      </c>
      <c r="S278" s="8"/>
      <c r="T278" s="8"/>
      <c r="U278" s="8" t="s">
        <v>61</v>
      </c>
      <c r="V278" s="8"/>
      <c r="W278" s="8" t="s">
        <v>241</v>
      </c>
    </row>
    <row r="279" spans="1:23" x14ac:dyDescent="0.25">
      <c r="A279" s="134" t="str">
        <f t="shared" ref="A279:A316" si="5">"FEBRERO"</f>
        <v>FEBRERO</v>
      </c>
      <c r="B279" s="135">
        <v>46055</v>
      </c>
      <c r="C279" s="136" t="s">
        <v>119</v>
      </c>
      <c r="D279" s="55"/>
      <c r="E279" s="55">
        <v>2941.3</v>
      </c>
      <c r="F279" s="55">
        <v>0</v>
      </c>
      <c r="G279" s="137">
        <f>Tabla3[[#This Row],[EGRESOS]]-Tabla3[[#This Row],[INGRESOS]]</f>
        <v>2941.3</v>
      </c>
      <c r="H279" s="19">
        <v>-4419357.21</v>
      </c>
      <c r="I279" s="138">
        <v>1450</v>
      </c>
      <c r="J279" s="139">
        <f>Tabla3[[#This Row],[EGRESOS]]/Tabla3[[#This Row],[TC]]</f>
        <v>2.0284827586206897</v>
      </c>
      <c r="K279" s="139">
        <f>Tabla3[[#This Row],[INGRESOS]]/Tabla3[[#This Row],[TC]]</f>
        <v>0</v>
      </c>
      <c r="L279" s="8" t="s">
        <v>94</v>
      </c>
      <c r="M279" s="8" t="s">
        <v>95</v>
      </c>
      <c r="N279" s="8" t="s">
        <v>0</v>
      </c>
      <c r="O279" s="8" t="s">
        <v>17</v>
      </c>
      <c r="P279" s="8" t="s">
        <v>22</v>
      </c>
      <c r="Q279" s="8" t="s">
        <v>23</v>
      </c>
      <c r="R279" s="8" t="s">
        <v>103</v>
      </c>
      <c r="S279" s="8"/>
      <c r="T279" s="8"/>
      <c r="U279" s="8" t="s">
        <v>61</v>
      </c>
      <c r="V279" s="8"/>
      <c r="W279" s="8" t="s">
        <v>241</v>
      </c>
    </row>
    <row r="280" spans="1:23" x14ac:dyDescent="0.25">
      <c r="A280" s="134" t="str">
        <f t="shared" si="5"/>
        <v>FEBRERO</v>
      </c>
      <c r="B280" s="135">
        <v>46055</v>
      </c>
      <c r="C280" s="136" t="s">
        <v>120</v>
      </c>
      <c r="D280" s="55"/>
      <c r="E280" s="55">
        <v>196086.43</v>
      </c>
      <c r="F280" s="55">
        <v>0</v>
      </c>
      <c r="G280" s="137">
        <f>Tabla3[[#This Row],[EGRESOS]]-Tabla3[[#This Row],[INGRESOS]]</f>
        <v>196086.43</v>
      </c>
      <c r="H280" s="19">
        <v>-4615443.6399999997</v>
      </c>
      <c r="I280" s="138">
        <v>1450</v>
      </c>
      <c r="J280" s="139">
        <f>Tabla3[[#This Row],[EGRESOS]]/Tabla3[[#This Row],[TC]]</f>
        <v>135.23202068965517</v>
      </c>
      <c r="K280" s="139">
        <f>Tabla3[[#This Row],[INGRESOS]]/Tabla3[[#This Row],[TC]]</f>
        <v>0</v>
      </c>
      <c r="L280" s="8" t="s">
        <v>94</v>
      </c>
      <c r="M280" s="8" t="s">
        <v>95</v>
      </c>
      <c r="N280" s="8" t="s">
        <v>0</v>
      </c>
      <c r="O280" s="8" t="s">
        <v>17</v>
      </c>
      <c r="P280" s="8" t="s">
        <v>24</v>
      </c>
      <c r="Q280" s="8" t="s">
        <v>25</v>
      </c>
      <c r="R280" s="8" t="s">
        <v>104</v>
      </c>
      <c r="S280" s="8"/>
      <c r="T280" s="8"/>
      <c r="U280" s="8" t="s">
        <v>61</v>
      </c>
      <c r="V280" s="8"/>
      <c r="W280" s="8" t="s">
        <v>241</v>
      </c>
    </row>
    <row r="281" spans="1:23" x14ac:dyDescent="0.25">
      <c r="A281" s="134" t="str">
        <f t="shared" si="5"/>
        <v>FEBRERO</v>
      </c>
      <c r="B281" s="135">
        <v>46055</v>
      </c>
      <c r="C281" s="136" t="s">
        <v>351</v>
      </c>
      <c r="D281" s="55"/>
      <c r="E281" s="55">
        <v>48000</v>
      </c>
      <c r="F281" s="55">
        <v>0</v>
      </c>
      <c r="G281" s="137">
        <f>Tabla3[[#This Row],[EGRESOS]]-Tabla3[[#This Row],[INGRESOS]]</f>
        <v>48000</v>
      </c>
      <c r="H281" s="19">
        <v>-4663443.6399999997</v>
      </c>
      <c r="I281" s="138">
        <v>1450</v>
      </c>
      <c r="J281" s="139">
        <f>Tabla3[[#This Row],[EGRESOS]]/Tabla3[[#This Row],[TC]]</f>
        <v>33.103448275862071</v>
      </c>
      <c r="K281" s="139">
        <f>Tabla3[[#This Row],[INGRESOS]]/Tabla3[[#This Row],[TC]]</f>
        <v>0</v>
      </c>
      <c r="L281" s="8" t="s">
        <v>94</v>
      </c>
      <c r="M281" s="8" t="s">
        <v>95</v>
      </c>
      <c r="N281" s="8" t="s">
        <v>0</v>
      </c>
      <c r="O281" s="8" t="s">
        <v>52</v>
      </c>
      <c r="P281" s="8" t="s">
        <v>198</v>
      </c>
      <c r="Q281" s="8" t="s">
        <v>36</v>
      </c>
      <c r="R281" s="8"/>
      <c r="S281" s="8" t="s">
        <v>354</v>
      </c>
      <c r="T281" s="8"/>
      <c r="U281" s="8" t="s">
        <v>235</v>
      </c>
      <c r="V281" s="8"/>
      <c r="W281" s="8" t="s">
        <v>241</v>
      </c>
    </row>
    <row r="282" spans="1:23" x14ac:dyDescent="0.25">
      <c r="A282" s="134" t="str">
        <f t="shared" si="5"/>
        <v>FEBRERO</v>
      </c>
      <c r="B282" s="135">
        <v>46055</v>
      </c>
      <c r="C282" s="136" t="s">
        <v>193</v>
      </c>
      <c r="D282" s="55"/>
      <c r="E282" s="55">
        <v>4695.29</v>
      </c>
      <c r="F282" s="55">
        <v>0</v>
      </c>
      <c r="G282" s="137">
        <f>Tabla3[[#This Row],[EGRESOS]]-Tabla3[[#This Row],[INGRESOS]]</f>
        <v>4695.29</v>
      </c>
      <c r="H282" s="19">
        <v>-4668138.93</v>
      </c>
      <c r="I282" s="138">
        <v>1450</v>
      </c>
      <c r="J282" s="139">
        <f>Tabla3[[#This Row],[EGRESOS]]/Tabla3[[#This Row],[TC]]</f>
        <v>3.2381310344827585</v>
      </c>
      <c r="K282" s="139">
        <f>Tabla3[[#This Row],[INGRESOS]]/Tabla3[[#This Row],[TC]]</f>
        <v>0</v>
      </c>
      <c r="L282" s="8" t="s">
        <v>94</v>
      </c>
      <c r="M282" s="8" t="s">
        <v>95</v>
      </c>
      <c r="N282" s="8" t="s">
        <v>0</v>
      </c>
      <c r="O282" s="8" t="s">
        <v>17</v>
      </c>
      <c r="P282" s="8" t="s">
        <v>22</v>
      </c>
      <c r="Q282" s="8" t="s">
        <v>23</v>
      </c>
      <c r="R282" s="8" t="s">
        <v>199</v>
      </c>
      <c r="S282" s="8"/>
      <c r="T282" s="8"/>
      <c r="U282" s="8" t="s">
        <v>61</v>
      </c>
      <c r="V282" s="8"/>
      <c r="W282" s="8" t="s">
        <v>241</v>
      </c>
    </row>
    <row r="283" spans="1:23" x14ac:dyDescent="0.25">
      <c r="A283" s="134" t="str">
        <f t="shared" si="5"/>
        <v>FEBRERO</v>
      </c>
      <c r="B283" s="135">
        <v>46055</v>
      </c>
      <c r="C283" s="136" t="s">
        <v>192</v>
      </c>
      <c r="D283" s="55"/>
      <c r="E283" s="55">
        <v>1633.87</v>
      </c>
      <c r="F283" s="55">
        <v>0</v>
      </c>
      <c r="G283" s="137">
        <f>Tabla3[[#This Row],[EGRESOS]]-Tabla3[[#This Row],[INGRESOS]]</f>
        <v>1633.87</v>
      </c>
      <c r="H283" s="19">
        <v>-4669772.8</v>
      </c>
      <c r="I283" s="138">
        <v>1450</v>
      </c>
      <c r="J283" s="139">
        <f>Tabla3[[#This Row],[EGRESOS]]/Tabla3[[#This Row],[TC]]</f>
        <v>1.1268068965517242</v>
      </c>
      <c r="K283" s="139">
        <f>Tabla3[[#This Row],[INGRESOS]]/Tabla3[[#This Row],[TC]]</f>
        <v>0</v>
      </c>
      <c r="L283" s="8" t="s">
        <v>94</v>
      </c>
      <c r="M283" s="8" t="s">
        <v>95</v>
      </c>
      <c r="N283" s="8" t="s">
        <v>0</v>
      </c>
      <c r="O283" s="8" t="s">
        <v>17</v>
      </c>
      <c r="P283" s="8" t="s">
        <v>22</v>
      </c>
      <c r="Q283" s="8" t="s">
        <v>23</v>
      </c>
      <c r="R283" s="8" t="s">
        <v>200</v>
      </c>
      <c r="S283" s="8"/>
      <c r="T283" s="8"/>
      <c r="U283" s="8" t="s">
        <v>61</v>
      </c>
      <c r="V283" s="8"/>
      <c r="W283" s="8" t="s">
        <v>241</v>
      </c>
    </row>
    <row r="284" spans="1:23" x14ac:dyDescent="0.25">
      <c r="A284" s="134" t="str">
        <f t="shared" si="5"/>
        <v>FEBRERO</v>
      </c>
      <c r="B284" s="135">
        <v>46056</v>
      </c>
      <c r="C284" s="136" t="s">
        <v>350</v>
      </c>
      <c r="D284" s="55" t="s">
        <v>352</v>
      </c>
      <c r="E284" s="55">
        <v>10000000</v>
      </c>
      <c r="F284" s="55">
        <v>0</v>
      </c>
      <c r="G284" s="137">
        <f>Tabla3[[#This Row],[EGRESOS]]-Tabla3[[#This Row],[INGRESOS]]</f>
        <v>10000000</v>
      </c>
      <c r="H284" s="19">
        <v>-14669772.800000001</v>
      </c>
      <c r="I284" s="138">
        <v>1450</v>
      </c>
      <c r="J284" s="139">
        <f>Tabla3[[#This Row],[EGRESOS]]/Tabla3[[#This Row],[TC]]</f>
        <v>6896.5517241379312</v>
      </c>
      <c r="K284" s="139">
        <f>Tabla3[[#This Row],[INGRESOS]]/Tabla3[[#This Row],[TC]]</f>
        <v>0</v>
      </c>
      <c r="L284" s="8" t="s">
        <v>94</v>
      </c>
      <c r="M284" s="8" t="s">
        <v>95</v>
      </c>
      <c r="N284" s="8" t="s">
        <v>0</v>
      </c>
      <c r="O284" s="8" t="s">
        <v>34</v>
      </c>
      <c r="P284" s="8" t="s">
        <v>255</v>
      </c>
      <c r="Q284" s="8" t="s">
        <v>38</v>
      </c>
      <c r="R284" s="8" t="s">
        <v>3</v>
      </c>
      <c r="S284" s="8" t="s">
        <v>353</v>
      </c>
      <c r="T284" s="8"/>
      <c r="U284" s="8" t="s">
        <v>283</v>
      </c>
      <c r="V284" s="8"/>
      <c r="W284" s="8" t="s">
        <v>241</v>
      </c>
    </row>
    <row r="285" spans="1:23" x14ac:dyDescent="0.25">
      <c r="A285" s="134" t="str">
        <f t="shared" si="5"/>
        <v>FEBRERO</v>
      </c>
      <c r="B285" s="135">
        <v>46056</v>
      </c>
      <c r="C285" s="136" t="s">
        <v>192</v>
      </c>
      <c r="D285" s="55"/>
      <c r="E285" s="55">
        <v>60000</v>
      </c>
      <c r="F285" s="55">
        <v>0</v>
      </c>
      <c r="G285" s="137">
        <f>Tabla3[[#This Row],[EGRESOS]]-Tabla3[[#This Row],[INGRESOS]]</f>
        <v>60000</v>
      </c>
      <c r="H285" s="19">
        <v>-14729772.800000001</v>
      </c>
      <c r="I285" s="138">
        <v>1450</v>
      </c>
      <c r="J285" s="139">
        <f>Tabla3[[#This Row],[EGRESOS]]/Tabla3[[#This Row],[TC]]</f>
        <v>41.379310344827587</v>
      </c>
      <c r="K285" s="139">
        <f>Tabla3[[#This Row],[INGRESOS]]/Tabla3[[#This Row],[TC]]</f>
        <v>0</v>
      </c>
      <c r="L285" s="8" t="s">
        <v>94</v>
      </c>
      <c r="M285" s="8" t="s">
        <v>95</v>
      </c>
      <c r="N285" s="8" t="s">
        <v>0</v>
      </c>
      <c r="O285" s="8" t="s">
        <v>17</v>
      </c>
      <c r="P285" s="8" t="s">
        <v>22</v>
      </c>
      <c r="Q285" s="8" t="s">
        <v>23</v>
      </c>
      <c r="R285" s="8" t="s">
        <v>200</v>
      </c>
      <c r="S285" s="8"/>
      <c r="T285" s="8"/>
      <c r="U285" s="8" t="s">
        <v>61</v>
      </c>
      <c r="V285" s="8"/>
      <c r="W285" s="8" t="s">
        <v>241</v>
      </c>
    </row>
    <row r="286" spans="1:23" x14ac:dyDescent="0.25">
      <c r="A286" s="134" t="str">
        <f t="shared" si="5"/>
        <v>FEBRERO</v>
      </c>
      <c r="B286" s="135">
        <v>46059</v>
      </c>
      <c r="C286" s="136" t="s">
        <v>385</v>
      </c>
      <c r="D286" s="55"/>
      <c r="E286" s="55">
        <v>0</v>
      </c>
      <c r="F286" s="55">
        <v>28420000</v>
      </c>
      <c r="G286" s="137">
        <f>Tabla3[[#This Row],[EGRESOS]]-Tabla3[[#This Row],[INGRESOS]]</f>
        <v>-28420000</v>
      </c>
      <c r="H286" s="19">
        <v>13690227.199999999</v>
      </c>
      <c r="I286" s="138">
        <v>1450</v>
      </c>
      <c r="J286" s="139">
        <f>Tabla3[[#This Row],[EGRESOS]]/Tabla3[[#This Row],[TC]]</f>
        <v>0</v>
      </c>
      <c r="K286" s="139">
        <f>Tabla3[[#This Row],[INGRESOS]]/Tabla3[[#This Row],[TC]]</f>
        <v>19600</v>
      </c>
      <c r="L286" s="8" t="s">
        <v>94</v>
      </c>
      <c r="M286" s="8" t="s">
        <v>95</v>
      </c>
      <c r="N286" s="8" t="s">
        <v>0</v>
      </c>
      <c r="O286" s="8" t="s">
        <v>251</v>
      </c>
      <c r="P286" s="8" t="s">
        <v>386</v>
      </c>
      <c r="Q286" s="8" t="s">
        <v>388</v>
      </c>
      <c r="R286" s="8" t="s">
        <v>387</v>
      </c>
      <c r="S286" s="8"/>
      <c r="T286" s="8"/>
      <c r="U286" s="8" t="s">
        <v>466</v>
      </c>
      <c r="V286" s="8"/>
      <c r="W286" s="8" t="s">
        <v>241</v>
      </c>
    </row>
    <row r="287" spans="1:23" x14ac:dyDescent="0.25">
      <c r="A287" s="134" t="str">
        <f t="shared" si="5"/>
        <v>FEBRERO</v>
      </c>
      <c r="B287" s="135">
        <v>46062</v>
      </c>
      <c r="C287" s="136" t="s">
        <v>249</v>
      </c>
      <c r="D287" s="55"/>
      <c r="E287" s="55">
        <v>30000000</v>
      </c>
      <c r="F287" s="55">
        <v>0</v>
      </c>
      <c r="G287" s="137">
        <f>Tabla3[[#This Row],[EGRESOS]]-Tabla3[[#This Row],[INGRESOS]]</f>
        <v>30000000</v>
      </c>
      <c r="H287" s="19">
        <v>-16309772.800000001</v>
      </c>
      <c r="I287" s="138">
        <v>1450</v>
      </c>
      <c r="J287" s="139">
        <f>Tabla3[[#This Row],[EGRESOS]]/Tabla3[[#This Row],[TC]]</f>
        <v>20689.655172413793</v>
      </c>
      <c r="K287" s="139">
        <f>Tabla3[[#This Row],[INGRESOS]]/Tabla3[[#This Row],[TC]]</f>
        <v>0</v>
      </c>
      <c r="L287" s="8" t="s">
        <v>94</v>
      </c>
      <c r="M287" s="8" t="s">
        <v>95</v>
      </c>
      <c r="N287" s="8" t="s">
        <v>0</v>
      </c>
      <c r="O287" s="8" t="s">
        <v>251</v>
      </c>
      <c r="P287" s="8" t="s">
        <v>250</v>
      </c>
      <c r="Q287" s="8" t="s">
        <v>252</v>
      </c>
      <c r="R287" s="8" t="s">
        <v>278</v>
      </c>
      <c r="S287" s="8"/>
      <c r="T287" s="8"/>
      <c r="U287" s="8" t="s">
        <v>253</v>
      </c>
      <c r="V287" s="8"/>
      <c r="W287" s="8" t="s">
        <v>241</v>
      </c>
    </row>
    <row r="288" spans="1:23" x14ac:dyDescent="0.25">
      <c r="A288" s="134" t="str">
        <f t="shared" si="5"/>
        <v>FEBRERO</v>
      </c>
      <c r="B288" s="135">
        <v>46062</v>
      </c>
      <c r="C288" s="136" t="s">
        <v>230</v>
      </c>
      <c r="D288" s="55"/>
      <c r="E288" s="55">
        <v>121</v>
      </c>
      <c r="F288" s="55">
        <v>0</v>
      </c>
      <c r="G288" s="137">
        <f>Tabla3[[#This Row],[EGRESOS]]-Tabla3[[#This Row],[INGRESOS]]</f>
        <v>121</v>
      </c>
      <c r="H288" s="19">
        <v>-16309893.800000001</v>
      </c>
      <c r="I288" s="138">
        <v>1450</v>
      </c>
      <c r="J288" s="139">
        <f>Tabla3[[#This Row],[EGRESOS]]/Tabla3[[#This Row],[TC]]</f>
        <v>8.344827586206896E-2</v>
      </c>
      <c r="K288" s="139">
        <f>Tabla3[[#This Row],[INGRESOS]]/Tabla3[[#This Row],[TC]]</f>
        <v>0</v>
      </c>
      <c r="L288" s="8" t="s">
        <v>94</v>
      </c>
      <c r="M288" s="8" t="s">
        <v>95</v>
      </c>
      <c r="N288" s="8" t="s">
        <v>0</v>
      </c>
      <c r="O288" s="8" t="s">
        <v>17</v>
      </c>
      <c r="P288" s="8" t="s">
        <v>22</v>
      </c>
      <c r="Q288" s="8" t="s">
        <v>19</v>
      </c>
      <c r="R288" s="8"/>
      <c r="S288" s="8"/>
      <c r="T288" s="8"/>
      <c r="U288" s="8" t="s">
        <v>61</v>
      </c>
      <c r="V288" s="8"/>
      <c r="W288" s="8" t="s">
        <v>241</v>
      </c>
    </row>
    <row r="289" spans="1:23" x14ac:dyDescent="0.25">
      <c r="A289" s="134" t="str">
        <f t="shared" si="5"/>
        <v>FEBRERO</v>
      </c>
      <c r="B289" s="135">
        <v>46062</v>
      </c>
      <c r="C289" s="136" t="s">
        <v>249</v>
      </c>
      <c r="D289" s="55"/>
      <c r="E289" s="55">
        <v>3500000</v>
      </c>
      <c r="F289" s="55">
        <v>0</v>
      </c>
      <c r="G289" s="137">
        <f>Tabla3[[#This Row],[EGRESOS]]-Tabla3[[#This Row],[INGRESOS]]</f>
        <v>3500000</v>
      </c>
      <c r="H289" s="19">
        <v>-19809893.800000001</v>
      </c>
      <c r="I289" s="138">
        <v>1450</v>
      </c>
      <c r="J289" s="139">
        <f>Tabla3[[#This Row],[EGRESOS]]/Tabla3[[#This Row],[TC]]</f>
        <v>2413.7931034482758</v>
      </c>
      <c r="K289" s="139">
        <f>Tabla3[[#This Row],[INGRESOS]]/Tabla3[[#This Row],[TC]]</f>
        <v>0</v>
      </c>
      <c r="L289" s="8" t="s">
        <v>94</v>
      </c>
      <c r="M289" s="8" t="s">
        <v>95</v>
      </c>
      <c r="N289" s="8" t="s">
        <v>0</v>
      </c>
      <c r="O289" s="8" t="s">
        <v>251</v>
      </c>
      <c r="P289" s="8" t="s">
        <v>250</v>
      </c>
      <c r="Q289" s="8" t="s">
        <v>252</v>
      </c>
      <c r="R289" s="8" t="s">
        <v>278</v>
      </c>
      <c r="S289" s="8"/>
      <c r="T289" s="8"/>
      <c r="U289" s="8" t="s">
        <v>253</v>
      </c>
      <c r="V289" s="8"/>
      <c r="W289" s="8" t="s">
        <v>241</v>
      </c>
    </row>
    <row r="290" spans="1:23" x14ac:dyDescent="0.25">
      <c r="A290" s="134" t="str">
        <f t="shared" si="5"/>
        <v>FEBRERO</v>
      </c>
      <c r="B290" s="135">
        <v>46062</v>
      </c>
      <c r="C290" s="136" t="s">
        <v>230</v>
      </c>
      <c r="D290" s="55"/>
      <c r="E290" s="55">
        <v>121</v>
      </c>
      <c r="F290" s="55">
        <v>0</v>
      </c>
      <c r="G290" s="137">
        <f>Tabla3[[#This Row],[EGRESOS]]-Tabla3[[#This Row],[INGRESOS]]</f>
        <v>121</v>
      </c>
      <c r="H290" s="19">
        <v>-19810014.800000001</v>
      </c>
      <c r="I290" s="138">
        <v>1450</v>
      </c>
      <c r="J290" s="139">
        <f>Tabla3[[#This Row],[EGRESOS]]/Tabla3[[#This Row],[TC]]</f>
        <v>8.344827586206896E-2</v>
      </c>
      <c r="K290" s="139">
        <f>Tabla3[[#This Row],[INGRESOS]]/Tabla3[[#This Row],[TC]]</f>
        <v>0</v>
      </c>
      <c r="L290" s="8" t="s">
        <v>94</v>
      </c>
      <c r="M290" s="8" t="s">
        <v>95</v>
      </c>
      <c r="N290" s="8" t="s">
        <v>0</v>
      </c>
      <c r="O290" s="8" t="s">
        <v>17</v>
      </c>
      <c r="P290" s="8" t="s">
        <v>22</v>
      </c>
      <c r="Q290" s="8" t="s">
        <v>19</v>
      </c>
      <c r="R290" s="8"/>
      <c r="S290" s="8"/>
      <c r="T290" s="8"/>
      <c r="U290" s="8" t="s">
        <v>61</v>
      </c>
      <c r="V290" s="8"/>
      <c r="W290" s="8" t="s">
        <v>241</v>
      </c>
    </row>
    <row r="291" spans="1:23" x14ac:dyDescent="0.25">
      <c r="A291" s="134" t="str">
        <f t="shared" si="5"/>
        <v>FEBRERO</v>
      </c>
      <c r="B291" s="135">
        <v>46062</v>
      </c>
      <c r="C291" s="136" t="s">
        <v>192</v>
      </c>
      <c r="D291" s="55"/>
      <c r="E291" s="55">
        <v>1.46</v>
      </c>
      <c r="F291" s="55">
        <v>0</v>
      </c>
      <c r="G291" s="137">
        <f>Tabla3[[#This Row],[EGRESOS]]-Tabla3[[#This Row],[INGRESOS]]</f>
        <v>1.46</v>
      </c>
      <c r="H291" s="19">
        <v>-19810016.260000002</v>
      </c>
      <c r="I291" s="138">
        <v>1450</v>
      </c>
      <c r="J291" s="139">
        <f>Tabla3[[#This Row],[EGRESOS]]/Tabla3[[#This Row],[TC]]</f>
        <v>1.0068965517241379E-3</v>
      </c>
      <c r="K291" s="139">
        <f>Tabla3[[#This Row],[INGRESOS]]/Tabla3[[#This Row],[TC]]</f>
        <v>0</v>
      </c>
      <c r="L291" s="8" t="s">
        <v>94</v>
      </c>
      <c r="M291" s="8" t="s">
        <v>95</v>
      </c>
      <c r="N291" s="8" t="s">
        <v>0</v>
      </c>
      <c r="O291" s="8" t="s">
        <v>17</v>
      </c>
      <c r="P291" s="8" t="s">
        <v>22</v>
      </c>
      <c r="Q291" s="8" t="s">
        <v>23</v>
      </c>
      <c r="R291" s="8" t="s">
        <v>200</v>
      </c>
      <c r="S291" s="8"/>
      <c r="T291" s="8"/>
      <c r="U291" s="8" t="s">
        <v>61</v>
      </c>
      <c r="V291" s="8"/>
      <c r="W291" s="8" t="s">
        <v>241</v>
      </c>
    </row>
    <row r="292" spans="1:23" x14ac:dyDescent="0.25">
      <c r="A292" s="134" t="str">
        <f t="shared" si="5"/>
        <v>FEBRERO</v>
      </c>
      <c r="B292" s="135">
        <v>46063</v>
      </c>
      <c r="C292" s="136" t="s">
        <v>270</v>
      </c>
      <c r="D292" s="55"/>
      <c r="E292" s="55">
        <v>6303</v>
      </c>
      <c r="F292" s="55">
        <v>0</v>
      </c>
      <c r="G292" s="137">
        <f>Tabla3[[#This Row],[EGRESOS]]-Tabla3[[#This Row],[INGRESOS]]</f>
        <v>6303</v>
      </c>
      <c r="H292" s="19">
        <v>-19816319.260000002</v>
      </c>
      <c r="I292" s="138">
        <v>1450</v>
      </c>
      <c r="J292" s="139">
        <f>Tabla3[[#This Row],[EGRESOS]]/Tabla3[[#This Row],[TC]]</f>
        <v>4.3468965517241376</v>
      </c>
      <c r="K292" s="139">
        <f>Tabla3[[#This Row],[INGRESOS]]/Tabla3[[#This Row],[TC]]</f>
        <v>0</v>
      </c>
      <c r="L292" s="8" t="s">
        <v>94</v>
      </c>
      <c r="M292" s="8" t="s">
        <v>95</v>
      </c>
      <c r="N292" s="8" t="s">
        <v>0</v>
      </c>
      <c r="O292" s="8" t="s">
        <v>17</v>
      </c>
      <c r="P292" s="8" t="s">
        <v>22</v>
      </c>
      <c r="Q292" s="8" t="s">
        <v>23</v>
      </c>
      <c r="R292" s="8" t="s">
        <v>200</v>
      </c>
      <c r="S292" s="8"/>
      <c r="T292" s="8"/>
      <c r="U292" s="8" t="s">
        <v>61</v>
      </c>
      <c r="V292" s="8"/>
      <c r="W292" s="8" t="s">
        <v>241</v>
      </c>
    </row>
    <row r="293" spans="1:23" x14ac:dyDescent="0.25">
      <c r="A293" s="134" t="str">
        <f t="shared" si="5"/>
        <v>FEBRERO</v>
      </c>
      <c r="B293" s="135">
        <v>46063</v>
      </c>
      <c r="C293" s="136" t="s">
        <v>192</v>
      </c>
      <c r="D293" s="55"/>
      <c r="E293" s="55">
        <v>37.82</v>
      </c>
      <c r="F293" s="55">
        <v>0</v>
      </c>
      <c r="G293" s="137">
        <f>Tabla3[[#This Row],[EGRESOS]]-Tabla3[[#This Row],[INGRESOS]]</f>
        <v>37.82</v>
      </c>
      <c r="H293" s="19">
        <v>-19816357.079999998</v>
      </c>
      <c r="I293" s="138">
        <v>1450</v>
      </c>
      <c r="J293" s="139">
        <f>Tabla3[[#This Row],[EGRESOS]]/Tabla3[[#This Row],[TC]]</f>
        <v>2.6082758620689657E-2</v>
      </c>
      <c r="K293" s="139">
        <f>Tabla3[[#This Row],[INGRESOS]]/Tabla3[[#This Row],[TC]]</f>
        <v>0</v>
      </c>
      <c r="L293" s="8" t="s">
        <v>94</v>
      </c>
      <c r="M293" s="8" t="s">
        <v>95</v>
      </c>
      <c r="N293" s="8" t="s">
        <v>0</v>
      </c>
      <c r="O293" s="8" t="s">
        <v>17</v>
      </c>
      <c r="P293" s="8" t="s">
        <v>22</v>
      </c>
      <c r="Q293" s="8" t="s">
        <v>23</v>
      </c>
      <c r="R293" s="8" t="s">
        <v>200</v>
      </c>
      <c r="S293" s="8"/>
      <c r="T293" s="8"/>
      <c r="U293" s="8" t="s">
        <v>61</v>
      </c>
      <c r="V293" s="8"/>
      <c r="W293" s="8" t="s">
        <v>241</v>
      </c>
    </row>
    <row r="294" spans="1:23" x14ac:dyDescent="0.25">
      <c r="A294" s="134" t="str">
        <f t="shared" si="5"/>
        <v>FEBRERO</v>
      </c>
      <c r="B294" s="135">
        <v>46066</v>
      </c>
      <c r="C294" s="136" t="s">
        <v>191</v>
      </c>
      <c r="D294" s="55" t="s">
        <v>383</v>
      </c>
      <c r="E294" s="55">
        <v>764212.03</v>
      </c>
      <c r="F294" s="55">
        <v>0</v>
      </c>
      <c r="G294" s="137">
        <f>Tabla3[[#This Row],[EGRESOS]]-Tabla3[[#This Row],[INGRESOS]]</f>
        <v>764212.03</v>
      </c>
      <c r="H294" s="19">
        <v>-20580569.109999999</v>
      </c>
      <c r="I294" s="138">
        <v>1450</v>
      </c>
      <c r="J294" s="139">
        <f>Tabla3[[#This Row],[EGRESOS]]/Tabla3[[#This Row],[TC]]</f>
        <v>527.04277931034483</v>
      </c>
      <c r="K294" s="139">
        <f>Tabla3[[#This Row],[INGRESOS]]/Tabla3[[#This Row],[TC]]</f>
        <v>0</v>
      </c>
      <c r="L294" s="8" t="s">
        <v>94</v>
      </c>
      <c r="M294" s="8" t="s">
        <v>95</v>
      </c>
      <c r="N294" s="8" t="s">
        <v>0</v>
      </c>
      <c r="O294" s="8" t="s">
        <v>39</v>
      </c>
      <c r="P294" s="8" t="s">
        <v>44</v>
      </c>
      <c r="Q294" s="8" t="s">
        <v>46</v>
      </c>
      <c r="R294" s="8"/>
      <c r="S294" s="8" t="s">
        <v>290</v>
      </c>
      <c r="T294" s="8"/>
      <c r="U294" s="8" t="s">
        <v>283</v>
      </c>
      <c r="V294" s="8"/>
      <c r="W294" s="8" t="s">
        <v>241</v>
      </c>
    </row>
    <row r="295" spans="1:23" x14ac:dyDescent="0.25">
      <c r="A295" s="134" t="str">
        <f t="shared" si="5"/>
        <v>FEBRERO</v>
      </c>
      <c r="B295" s="135">
        <v>46066</v>
      </c>
      <c r="C295" s="136" t="s">
        <v>191</v>
      </c>
      <c r="D295" s="55" t="s">
        <v>384</v>
      </c>
      <c r="E295" s="55">
        <v>1400000</v>
      </c>
      <c r="F295" s="55">
        <v>0</v>
      </c>
      <c r="G295" s="137">
        <f>Tabla3[[#This Row],[EGRESOS]]-Tabla3[[#This Row],[INGRESOS]]</f>
        <v>1400000</v>
      </c>
      <c r="H295" s="19">
        <v>-21980569.109999999</v>
      </c>
      <c r="I295" s="138">
        <v>1450</v>
      </c>
      <c r="J295" s="139">
        <f>Tabla3[[#This Row],[EGRESOS]]/Tabla3[[#This Row],[TC]]</f>
        <v>965.51724137931035</v>
      </c>
      <c r="K295" s="139">
        <f>Tabla3[[#This Row],[INGRESOS]]/Tabla3[[#This Row],[TC]]</f>
        <v>0</v>
      </c>
      <c r="L295" s="8" t="s">
        <v>94</v>
      </c>
      <c r="M295" s="8" t="s">
        <v>95</v>
      </c>
      <c r="N295" s="8" t="s">
        <v>0</v>
      </c>
      <c r="O295" s="8" t="s">
        <v>39</v>
      </c>
      <c r="P295" s="8" t="s">
        <v>44</v>
      </c>
      <c r="Q295" s="8" t="s">
        <v>33</v>
      </c>
      <c r="R295" s="8"/>
      <c r="S295" s="8" t="s">
        <v>389</v>
      </c>
      <c r="T295" s="8"/>
      <c r="U295" s="8" t="s">
        <v>283</v>
      </c>
      <c r="V295" s="8"/>
      <c r="W295" s="8" t="s">
        <v>241</v>
      </c>
    </row>
    <row r="296" spans="1:23" x14ac:dyDescent="0.25">
      <c r="A296" s="134" t="str">
        <f t="shared" si="5"/>
        <v>FEBRERO</v>
      </c>
      <c r="B296" s="135">
        <v>46066</v>
      </c>
      <c r="C296" s="136" t="s">
        <v>382</v>
      </c>
      <c r="D296" s="55"/>
      <c r="E296" s="55">
        <v>0</v>
      </c>
      <c r="F296" s="55">
        <v>200000</v>
      </c>
      <c r="G296" s="137">
        <f>Tabla3[[#This Row],[EGRESOS]]-Tabla3[[#This Row],[INGRESOS]]</f>
        <v>-200000</v>
      </c>
      <c r="H296" s="19">
        <v>-21780569.109999999</v>
      </c>
      <c r="I296" s="138">
        <v>1450</v>
      </c>
      <c r="J296" s="139">
        <f>Tabla3[[#This Row],[EGRESOS]]/Tabla3[[#This Row],[TC]]</f>
        <v>0</v>
      </c>
      <c r="K296" s="139">
        <f>Tabla3[[#This Row],[INGRESOS]]/Tabla3[[#This Row],[TC]]</f>
        <v>137.93103448275863</v>
      </c>
      <c r="L296" s="8" t="s">
        <v>94</v>
      </c>
      <c r="M296" s="8" t="s">
        <v>95</v>
      </c>
      <c r="N296" s="8" t="s">
        <v>0</v>
      </c>
      <c r="O296" s="8" t="s">
        <v>17</v>
      </c>
      <c r="P296" s="8" t="s">
        <v>28</v>
      </c>
      <c r="Q296" s="8" t="s">
        <v>29</v>
      </c>
      <c r="R296" s="8"/>
      <c r="S296" s="8" t="s">
        <v>281</v>
      </c>
      <c r="T296" s="8"/>
      <c r="U296" s="8" t="s">
        <v>313</v>
      </c>
      <c r="V296" s="8" t="s">
        <v>98</v>
      </c>
      <c r="W296" s="8" t="s">
        <v>241</v>
      </c>
    </row>
    <row r="297" spans="1:23" x14ac:dyDescent="0.25">
      <c r="A297" s="134" t="str">
        <f t="shared" si="5"/>
        <v>FEBRERO</v>
      </c>
      <c r="B297" s="135">
        <v>46066</v>
      </c>
      <c r="C297" s="136" t="s">
        <v>381</v>
      </c>
      <c r="D297" s="55"/>
      <c r="E297" s="55">
        <v>0</v>
      </c>
      <c r="F297" s="55">
        <v>1200000</v>
      </c>
      <c r="G297" s="137">
        <f>Tabla3[[#This Row],[EGRESOS]]-Tabla3[[#This Row],[INGRESOS]]</f>
        <v>-1200000</v>
      </c>
      <c r="H297" s="19">
        <v>-20580569.109999999</v>
      </c>
      <c r="I297" s="138">
        <v>1450</v>
      </c>
      <c r="J297" s="139">
        <f>Tabla3[[#This Row],[EGRESOS]]/Tabla3[[#This Row],[TC]]</f>
        <v>0</v>
      </c>
      <c r="K297" s="139">
        <f>Tabla3[[#This Row],[INGRESOS]]/Tabla3[[#This Row],[TC]]</f>
        <v>827.58620689655174</v>
      </c>
      <c r="L297" s="8" t="s">
        <v>94</v>
      </c>
      <c r="M297" s="8" t="s">
        <v>95</v>
      </c>
      <c r="N297" s="8" t="s">
        <v>0</v>
      </c>
      <c r="O297" s="8" t="s">
        <v>17</v>
      </c>
      <c r="P297" s="8" t="s">
        <v>31</v>
      </c>
      <c r="Q297" s="8" t="s">
        <v>29</v>
      </c>
      <c r="R297" s="8"/>
      <c r="S297" s="8" t="s">
        <v>107</v>
      </c>
      <c r="T297" s="8"/>
      <c r="U297" s="8" t="s">
        <v>467</v>
      </c>
      <c r="V297" s="8"/>
      <c r="W297" s="8" t="s">
        <v>241</v>
      </c>
    </row>
    <row r="298" spans="1:23" x14ac:dyDescent="0.25">
      <c r="A298" s="134" t="str">
        <f t="shared" si="5"/>
        <v>FEBRERO</v>
      </c>
      <c r="B298" s="135">
        <v>46066</v>
      </c>
      <c r="C298" s="136" t="s">
        <v>380</v>
      </c>
      <c r="D298" s="55"/>
      <c r="E298" s="55">
        <v>0</v>
      </c>
      <c r="F298" s="55">
        <v>510000</v>
      </c>
      <c r="G298" s="137">
        <f>Tabla3[[#This Row],[EGRESOS]]-Tabla3[[#This Row],[INGRESOS]]</f>
        <v>-510000</v>
      </c>
      <c r="H298" s="19">
        <v>-20070569.109999999</v>
      </c>
      <c r="I298" s="138">
        <v>1450</v>
      </c>
      <c r="J298" s="139">
        <f>Tabla3[[#This Row],[EGRESOS]]/Tabla3[[#This Row],[TC]]</f>
        <v>0</v>
      </c>
      <c r="K298" s="139">
        <f>Tabla3[[#This Row],[INGRESOS]]/Tabla3[[#This Row],[TC]]</f>
        <v>351.72413793103448</v>
      </c>
      <c r="L298" s="8" t="s">
        <v>94</v>
      </c>
      <c r="M298" s="8" t="s">
        <v>95</v>
      </c>
      <c r="N298" s="8" t="s">
        <v>0</v>
      </c>
      <c r="O298" s="8" t="s">
        <v>17</v>
      </c>
      <c r="P298" s="8" t="s">
        <v>28</v>
      </c>
      <c r="Q298" s="8" t="s">
        <v>29</v>
      </c>
      <c r="R298" s="8"/>
      <c r="S298" s="8" t="s">
        <v>281</v>
      </c>
      <c r="T298" s="8"/>
      <c r="U298" s="8" t="s">
        <v>313</v>
      </c>
      <c r="V298" s="8" t="s">
        <v>98</v>
      </c>
      <c r="W298" s="8" t="s">
        <v>241</v>
      </c>
    </row>
    <row r="299" spans="1:23" x14ac:dyDescent="0.25">
      <c r="A299" s="134" t="str">
        <f t="shared" si="5"/>
        <v>FEBRERO</v>
      </c>
      <c r="B299" s="135">
        <v>46066</v>
      </c>
      <c r="C299" s="136" t="s">
        <v>379</v>
      </c>
      <c r="D299" s="55"/>
      <c r="E299" s="55">
        <v>0</v>
      </c>
      <c r="F299" s="55">
        <v>80000</v>
      </c>
      <c r="G299" s="137">
        <f>Tabla3[[#This Row],[EGRESOS]]-Tabla3[[#This Row],[INGRESOS]]</f>
        <v>-80000</v>
      </c>
      <c r="H299" s="19">
        <v>-19990569.109999999</v>
      </c>
      <c r="I299" s="138">
        <v>1450</v>
      </c>
      <c r="J299" s="139">
        <f>Tabla3[[#This Row],[EGRESOS]]/Tabla3[[#This Row],[TC]]</f>
        <v>0</v>
      </c>
      <c r="K299" s="139">
        <f>Tabla3[[#This Row],[INGRESOS]]/Tabla3[[#This Row],[TC]]</f>
        <v>55.172413793103445</v>
      </c>
      <c r="L299" s="8" t="s">
        <v>94</v>
      </c>
      <c r="M299" s="8" t="s">
        <v>95</v>
      </c>
      <c r="N299" s="8" t="s">
        <v>0</v>
      </c>
      <c r="O299" s="8" t="s">
        <v>251</v>
      </c>
      <c r="P299" s="8" t="s">
        <v>250</v>
      </c>
      <c r="Q299" s="8" t="s">
        <v>252</v>
      </c>
      <c r="R299" s="8" t="s">
        <v>413</v>
      </c>
      <c r="S299" s="8"/>
      <c r="T299" s="8"/>
      <c r="U299" s="8" t="s">
        <v>253</v>
      </c>
      <c r="V299" s="8"/>
      <c r="W299" s="8" t="s">
        <v>241</v>
      </c>
    </row>
    <row r="300" spans="1:23" x14ac:dyDescent="0.25">
      <c r="A300" s="134" t="str">
        <f t="shared" si="5"/>
        <v>FEBRERO</v>
      </c>
      <c r="B300" s="135">
        <v>46066</v>
      </c>
      <c r="C300" s="136" t="s">
        <v>118</v>
      </c>
      <c r="D300" s="55"/>
      <c r="E300" s="55">
        <v>3885</v>
      </c>
      <c r="F300" s="55">
        <v>0</v>
      </c>
      <c r="G300" s="137">
        <f>Tabla3[[#This Row],[EGRESOS]]-Tabla3[[#This Row],[INGRESOS]]</f>
        <v>3885</v>
      </c>
      <c r="H300" s="19">
        <v>-19994454.109999999</v>
      </c>
      <c r="I300" s="138">
        <v>1450</v>
      </c>
      <c r="J300" s="139">
        <f>Tabla3[[#This Row],[EGRESOS]]/Tabla3[[#This Row],[TC]]</f>
        <v>2.6793103448275861</v>
      </c>
      <c r="K300" s="139">
        <f>Tabla3[[#This Row],[INGRESOS]]/Tabla3[[#This Row],[TC]]</f>
        <v>0</v>
      </c>
      <c r="L300" s="8" t="s">
        <v>94</v>
      </c>
      <c r="M300" s="8" t="s">
        <v>95</v>
      </c>
      <c r="N300" s="8" t="s">
        <v>0</v>
      </c>
      <c r="O300" s="8" t="s">
        <v>17</v>
      </c>
      <c r="P300" s="8" t="s">
        <v>22</v>
      </c>
      <c r="Q300" s="8" t="s">
        <v>23</v>
      </c>
      <c r="R300" s="8" t="s">
        <v>96</v>
      </c>
      <c r="S300" s="8"/>
      <c r="T300" s="8"/>
      <c r="U300" s="8" t="s">
        <v>61</v>
      </c>
      <c r="V300" s="8"/>
      <c r="W300" s="8" t="s">
        <v>241</v>
      </c>
    </row>
    <row r="301" spans="1:23" x14ac:dyDescent="0.25">
      <c r="A301" s="134" t="str">
        <f t="shared" si="5"/>
        <v>FEBRERO</v>
      </c>
      <c r="B301" s="135">
        <v>46066</v>
      </c>
      <c r="C301" s="136" t="s">
        <v>119</v>
      </c>
      <c r="D301" s="55"/>
      <c r="E301" s="55">
        <v>555</v>
      </c>
      <c r="F301" s="55">
        <v>0</v>
      </c>
      <c r="G301" s="137">
        <f>Tabla3[[#This Row],[EGRESOS]]-Tabla3[[#This Row],[INGRESOS]]</f>
        <v>555</v>
      </c>
      <c r="H301" s="19">
        <v>-19995009.109999999</v>
      </c>
      <c r="I301" s="138">
        <v>1450</v>
      </c>
      <c r="J301" s="139">
        <f>Tabla3[[#This Row],[EGRESOS]]/Tabla3[[#This Row],[TC]]</f>
        <v>0.38275862068965516</v>
      </c>
      <c r="K301" s="139">
        <f>Tabla3[[#This Row],[INGRESOS]]/Tabla3[[#This Row],[TC]]</f>
        <v>0</v>
      </c>
      <c r="L301" s="8" t="s">
        <v>94</v>
      </c>
      <c r="M301" s="8" t="s">
        <v>95</v>
      </c>
      <c r="N301" s="8" t="s">
        <v>0</v>
      </c>
      <c r="O301" s="8" t="s">
        <v>17</v>
      </c>
      <c r="P301" s="8" t="s">
        <v>22</v>
      </c>
      <c r="Q301" s="8" t="s">
        <v>23</v>
      </c>
      <c r="R301" s="8" t="s">
        <v>103</v>
      </c>
      <c r="S301" s="8"/>
      <c r="T301" s="8"/>
      <c r="U301" s="8" t="s">
        <v>61</v>
      </c>
      <c r="V301" s="8"/>
      <c r="W301" s="8" t="s">
        <v>241</v>
      </c>
    </row>
    <row r="302" spans="1:23" x14ac:dyDescent="0.25">
      <c r="A302" s="134" t="str">
        <f t="shared" si="5"/>
        <v>FEBRERO</v>
      </c>
      <c r="B302" s="135">
        <v>46066</v>
      </c>
      <c r="C302" s="136" t="s">
        <v>378</v>
      </c>
      <c r="D302" s="55"/>
      <c r="E302" s="55">
        <v>18500</v>
      </c>
      <c r="F302" s="55">
        <v>0</v>
      </c>
      <c r="G302" s="137">
        <f>Tabla3[[#This Row],[EGRESOS]]-Tabla3[[#This Row],[INGRESOS]]</f>
        <v>18500</v>
      </c>
      <c r="H302" s="19">
        <v>-20013509.109999999</v>
      </c>
      <c r="I302" s="138">
        <v>1450</v>
      </c>
      <c r="J302" s="139">
        <f>Tabla3[[#This Row],[EGRESOS]]/Tabla3[[#This Row],[TC]]</f>
        <v>12.758620689655173</v>
      </c>
      <c r="K302" s="139">
        <f>Tabla3[[#This Row],[INGRESOS]]/Tabla3[[#This Row],[TC]]</f>
        <v>0</v>
      </c>
      <c r="L302" s="8" t="s">
        <v>94</v>
      </c>
      <c r="M302" s="8" t="s">
        <v>95</v>
      </c>
      <c r="N302" s="8" t="s">
        <v>0</v>
      </c>
      <c r="O302" s="8" t="s">
        <v>17</v>
      </c>
      <c r="P302" s="8" t="s">
        <v>22</v>
      </c>
      <c r="Q302" s="8" t="s">
        <v>19</v>
      </c>
      <c r="R302" s="8"/>
      <c r="S302" s="8"/>
      <c r="T302" s="8"/>
      <c r="U302" s="8" t="s">
        <v>61</v>
      </c>
      <c r="V302" s="8"/>
      <c r="W302" s="8" t="s">
        <v>241</v>
      </c>
    </row>
    <row r="303" spans="1:23" x14ac:dyDescent="0.25">
      <c r="A303" s="134" t="str">
        <f>"FEBRERO"</f>
        <v>FEBRERO</v>
      </c>
      <c r="B303" s="135">
        <v>46066</v>
      </c>
      <c r="C303" s="136" t="s">
        <v>247</v>
      </c>
      <c r="D303" s="55"/>
      <c r="E303" s="55">
        <v>11460</v>
      </c>
      <c r="F303" s="55">
        <v>0</v>
      </c>
      <c r="G303" s="137">
        <f>Tabla3[[#This Row],[EGRESOS]]-Tabla3[[#This Row],[INGRESOS]]</f>
        <v>11460</v>
      </c>
      <c r="H303" s="19">
        <v>-20024969.109999999</v>
      </c>
      <c r="I303" s="138">
        <v>1450</v>
      </c>
      <c r="J303" s="139">
        <f>Tabla3[[#This Row],[EGRESOS]]/Tabla3[[#This Row],[TC]]</f>
        <v>7.9034482758620692</v>
      </c>
      <c r="K303" s="139">
        <f>Tabla3[[#This Row],[INGRESOS]]/Tabla3[[#This Row],[TC]]</f>
        <v>0</v>
      </c>
      <c r="L303" s="8" t="s">
        <v>94</v>
      </c>
      <c r="M303" s="8" t="s">
        <v>95</v>
      </c>
      <c r="N303" s="8" t="s">
        <v>0</v>
      </c>
      <c r="O303" s="8" t="s">
        <v>17</v>
      </c>
      <c r="P303" s="8" t="s">
        <v>22</v>
      </c>
      <c r="Q303" s="8" t="s">
        <v>23</v>
      </c>
      <c r="R303" s="8" t="s">
        <v>200</v>
      </c>
      <c r="S303" s="8"/>
      <c r="T303" s="8"/>
      <c r="U303" s="8" t="s">
        <v>61</v>
      </c>
      <c r="V303" s="8"/>
      <c r="W303" s="8" t="s">
        <v>241</v>
      </c>
    </row>
    <row r="304" spans="1:23" x14ac:dyDescent="0.25">
      <c r="A304" s="125" t="str">
        <f t="shared" si="5"/>
        <v>FEBRERO</v>
      </c>
      <c r="B304" s="126">
        <v>46066</v>
      </c>
      <c r="C304" s="127" t="s">
        <v>192</v>
      </c>
      <c r="D304" s="128"/>
      <c r="E304" s="128">
        <v>13122.91</v>
      </c>
      <c r="F304" s="128">
        <v>0</v>
      </c>
      <c r="G304" s="129">
        <f>Tabla3[[#This Row],[EGRESOS]]-Tabla3[[#This Row],[INGRESOS]]</f>
        <v>13122.91</v>
      </c>
      <c r="H304" s="130">
        <v>-20038092.02</v>
      </c>
      <c r="I304" s="131">
        <v>1450</v>
      </c>
      <c r="J304" s="132">
        <f>Tabla3[[#This Row],[EGRESOS]]/Tabla3[[#This Row],[TC]]</f>
        <v>9.0502827586206891</v>
      </c>
      <c r="K304" s="132">
        <f>Tabla3[[#This Row],[INGRESOS]]/Tabla3[[#This Row],[TC]]</f>
        <v>0</v>
      </c>
      <c r="L304" s="133" t="s">
        <v>94</v>
      </c>
      <c r="M304" s="133" t="s">
        <v>95</v>
      </c>
      <c r="N304" s="133" t="s">
        <v>0</v>
      </c>
      <c r="O304" s="133" t="s">
        <v>17</v>
      </c>
      <c r="P304" s="133" t="s">
        <v>22</v>
      </c>
      <c r="Q304" s="133" t="s">
        <v>23</v>
      </c>
      <c r="R304" s="133" t="s">
        <v>200</v>
      </c>
      <c r="S304" s="133"/>
      <c r="T304" s="133"/>
      <c r="U304" s="133" t="s">
        <v>61</v>
      </c>
      <c r="V304" s="133"/>
      <c r="W304" s="133" t="s">
        <v>241</v>
      </c>
    </row>
    <row r="305" spans="1:23" x14ac:dyDescent="0.25">
      <c r="A305" s="125" t="str">
        <f t="shared" si="5"/>
        <v>FEBRERO</v>
      </c>
      <c r="B305" s="126">
        <v>46072</v>
      </c>
      <c r="C305" s="127" t="s">
        <v>438</v>
      </c>
      <c r="D305" s="128"/>
      <c r="E305" s="128">
        <v>0</v>
      </c>
      <c r="F305" s="128">
        <v>2000000</v>
      </c>
      <c r="G305" s="129">
        <f>Tabla3[[#This Row],[EGRESOS]]-Tabla3[[#This Row],[INGRESOS]]</f>
        <v>-2000000</v>
      </c>
      <c r="H305" s="130">
        <v>-18038092.02</v>
      </c>
      <c r="I305" s="131">
        <v>1450</v>
      </c>
      <c r="J305" s="132">
        <f>Tabla3[[#This Row],[EGRESOS]]/Tabla3[[#This Row],[TC]]</f>
        <v>0</v>
      </c>
      <c r="K305" s="132">
        <f>Tabla3[[#This Row],[INGRESOS]]/Tabla3[[#This Row],[TC]]</f>
        <v>1379.3103448275863</v>
      </c>
      <c r="L305" s="133" t="s">
        <v>94</v>
      </c>
      <c r="M305" s="133" t="s">
        <v>95</v>
      </c>
      <c r="N305" s="133" t="s">
        <v>0</v>
      </c>
      <c r="O305" s="133" t="s">
        <v>251</v>
      </c>
      <c r="P305" s="133" t="s">
        <v>250</v>
      </c>
      <c r="Q305" s="133" t="s">
        <v>252</v>
      </c>
      <c r="R305" s="133"/>
      <c r="S305" s="133"/>
      <c r="T305" s="133"/>
      <c r="U305" s="133" t="s">
        <v>253</v>
      </c>
      <c r="V305" s="133"/>
      <c r="W305" s="133" t="s">
        <v>241</v>
      </c>
    </row>
    <row r="306" spans="1:23" x14ac:dyDescent="0.25">
      <c r="A306" s="125" t="str">
        <f t="shared" si="5"/>
        <v>FEBRERO</v>
      </c>
      <c r="B306" s="126">
        <v>46072</v>
      </c>
      <c r="C306" s="127" t="s">
        <v>296</v>
      </c>
      <c r="D306" s="128"/>
      <c r="E306" s="128">
        <v>8067</v>
      </c>
      <c r="F306" s="128">
        <v>0</v>
      </c>
      <c r="G306" s="129">
        <f>Tabla3[[#This Row],[EGRESOS]]-Tabla3[[#This Row],[INGRESOS]]</f>
        <v>8067</v>
      </c>
      <c r="H306" s="130">
        <v>-18046159.02</v>
      </c>
      <c r="I306" s="131">
        <v>1450</v>
      </c>
      <c r="J306" s="132">
        <f>Tabla3[[#This Row],[EGRESOS]]/Tabla3[[#This Row],[TC]]</f>
        <v>5.5634482758620694</v>
      </c>
      <c r="K306" s="132">
        <f>Tabla3[[#This Row],[INGRESOS]]/Tabla3[[#This Row],[TC]]</f>
        <v>0</v>
      </c>
      <c r="L306" s="133" t="s">
        <v>94</v>
      </c>
      <c r="M306" s="133" t="s">
        <v>95</v>
      </c>
      <c r="N306" s="133" t="s">
        <v>0</v>
      </c>
      <c r="O306" s="133" t="s">
        <v>17</v>
      </c>
      <c r="P306" s="133" t="s">
        <v>18</v>
      </c>
      <c r="Q306" s="133" t="s">
        <v>21</v>
      </c>
      <c r="R306" s="133"/>
      <c r="S306" s="133"/>
      <c r="T306" s="133"/>
      <c r="U306" s="133" t="s">
        <v>61</v>
      </c>
      <c r="V306" s="133"/>
      <c r="W306" s="133" t="s">
        <v>241</v>
      </c>
    </row>
    <row r="307" spans="1:23" x14ac:dyDescent="0.25">
      <c r="A307" s="125" t="str">
        <f>"FEBRERO"</f>
        <v>FEBRERO</v>
      </c>
      <c r="B307" s="126">
        <v>46072</v>
      </c>
      <c r="C307" s="127" t="s">
        <v>192</v>
      </c>
      <c r="D307" s="128"/>
      <c r="E307" s="128">
        <v>48.4</v>
      </c>
      <c r="F307" s="128">
        <v>0</v>
      </c>
      <c r="G307" s="129">
        <f>Tabla3[[#This Row],[EGRESOS]]-Tabla3[[#This Row],[INGRESOS]]</f>
        <v>48.4</v>
      </c>
      <c r="H307" s="130">
        <v>-18046207.420000002</v>
      </c>
      <c r="I307" s="131">
        <v>1450</v>
      </c>
      <c r="J307" s="132">
        <f>Tabla3[[#This Row],[EGRESOS]]/Tabla3[[#This Row],[TC]]</f>
        <v>3.3379310344827585E-2</v>
      </c>
      <c r="K307" s="132">
        <f>Tabla3[[#This Row],[INGRESOS]]/Tabla3[[#This Row],[TC]]</f>
        <v>0</v>
      </c>
      <c r="L307" s="133" t="s">
        <v>94</v>
      </c>
      <c r="M307" s="133" t="s">
        <v>95</v>
      </c>
      <c r="N307" s="133" t="s">
        <v>0</v>
      </c>
      <c r="O307" s="133" t="s">
        <v>17</v>
      </c>
      <c r="P307" s="133" t="s">
        <v>22</v>
      </c>
      <c r="Q307" s="133" t="s">
        <v>23</v>
      </c>
      <c r="R307" s="133" t="s">
        <v>200</v>
      </c>
      <c r="S307" s="133"/>
      <c r="T307" s="133"/>
      <c r="U307" s="133" t="s">
        <v>61</v>
      </c>
      <c r="V307" s="133"/>
      <c r="W307" s="133" t="s">
        <v>241</v>
      </c>
    </row>
    <row r="308" spans="1:23" x14ac:dyDescent="0.25">
      <c r="A308" s="125" t="str">
        <f t="shared" si="5"/>
        <v>FEBRERO</v>
      </c>
      <c r="B308" s="126">
        <v>46073</v>
      </c>
      <c r="C308" s="127" t="s">
        <v>297</v>
      </c>
      <c r="D308" s="128"/>
      <c r="E308" s="128">
        <v>952874.36</v>
      </c>
      <c r="F308" s="128">
        <v>0</v>
      </c>
      <c r="G308" s="129">
        <f>Tabla3[[#This Row],[EGRESOS]]-Tabla3[[#This Row],[INGRESOS]]</f>
        <v>952874.36</v>
      </c>
      <c r="H308" s="130">
        <v>-18999081.780000001</v>
      </c>
      <c r="I308" s="131">
        <v>1450</v>
      </c>
      <c r="J308" s="132">
        <f>Tabla3[[#This Row],[EGRESOS]]/Tabla3[[#This Row],[TC]]</f>
        <v>657.15473103448278</v>
      </c>
      <c r="K308" s="132">
        <f>Tabla3[[#This Row],[INGRESOS]]/Tabla3[[#This Row],[TC]]</f>
        <v>0</v>
      </c>
      <c r="L308" s="133" t="s">
        <v>94</v>
      </c>
      <c r="M308" s="133" t="s">
        <v>95</v>
      </c>
      <c r="N308" s="133" t="s">
        <v>0</v>
      </c>
      <c r="O308" s="133" t="s">
        <v>251</v>
      </c>
      <c r="P308" s="133" t="s">
        <v>250</v>
      </c>
      <c r="Q308" s="133" t="s">
        <v>252</v>
      </c>
      <c r="R308" s="133" t="s">
        <v>301</v>
      </c>
      <c r="S308" s="133"/>
      <c r="T308" s="133"/>
      <c r="U308" s="133" t="s">
        <v>253</v>
      </c>
      <c r="V308" s="133"/>
      <c r="W308" s="133" t="s">
        <v>241</v>
      </c>
    </row>
    <row r="309" spans="1:23" x14ac:dyDescent="0.25">
      <c r="A309" s="125" t="str">
        <f t="shared" si="5"/>
        <v>FEBRERO</v>
      </c>
      <c r="B309" s="126">
        <v>46077</v>
      </c>
      <c r="C309" s="127" t="s">
        <v>191</v>
      </c>
      <c r="D309" s="128" t="s">
        <v>454</v>
      </c>
      <c r="E309" s="128">
        <v>399972.69</v>
      </c>
      <c r="F309" s="128">
        <v>0</v>
      </c>
      <c r="G309" s="129">
        <f>Tabla3[[#This Row],[EGRESOS]]-Tabla3[[#This Row],[INGRESOS]]</f>
        <v>399972.69</v>
      </c>
      <c r="H309" s="130">
        <v>-19399054.469999999</v>
      </c>
      <c r="I309" s="131">
        <v>1450</v>
      </c>
      <c r="J309" s="132">
        <f>Tabla3[[#This Row],[EGRESOS]]/Tabla3[[#This Row],[TC]]</f>
        <v>275.84323448275865</v>
      </c>
      <c r="K309" s="132">
        <f>Tabla3[[#This Row],[INGRESOS]]/Tabla3[[#This Row],[TC]]</f>
        <v>0</v>
      </c>
      <c r="L309" s="133" t="s">
        <v>94</v>
      </c>
      <c r="M309" s="133" t="s">
        <v>95</v>
      </c>
      <c r="N309" s="133" t="s">
        <v>0</v>
      </c>
      <c r="O309" s="133" t="s">
        <v>39</v>
      </c>
      <c r="P309" s="133" t="s">
        <v>40</v>
      </c>
      <c r="Q309" s="133"/>
      <c r="R309" s="133"/>
      <c r="S309" s="133" t="s">
        <v>455</v>
      </c>
      <c r="T309" s="133"/>
      <c r="U309" s="133" t="s">
        <v>235</v>
      </c>
      <c r="V309" s="133"/>
      <c r="W309" s="133" t="s">
        <v>241</v>
      </c>
    </row>
    <row r="310" spans="1:23" x14ac:dyDescent="0.25">
      <c r="A310" s="125" t="str">
        <f>"FEBRERO"</f>
        <v>FEBRERO</v>
      </c>
      <c r="B310" s="126">
        <v>46077</v>
      </c>
      <c r="C310" s="127" t="s">
        <v>191</v>
      </c>
      <c r="D310" s="128" t="s">
        <v>453</v>
      </c>
      <c r="E310" s="128">
        <v>347459.91</v>
      </c>
      <c r="F310" s="128">
        <v>0</v>
      </c>
      <c r="G310" s="129">
        <f>Tabla3[[#This Row],[EGRESOS]]-Tabla3[[#This Row],[INGRESOS]]</f>
        <v>347459.91</v>
      </c>
      <c r="H310" s="130">
        <v>-19746514.379999999</v>
      </c>
      <c r="I310" s="131">
        <v>1450</v>
      </c>
      <c r="J310" s="132">
        <f>Tabla3[[#This Row],[EGRESOS]]/Tabla3[[#This Row],[TC]]</f>
        <v>239.627524137931</v>
      </c>
      <c r="K310" s="132">
        <f>Tabla3[[#This Row],[INGRESOS]]/Tabla3[[#This Row],[TC]]</f>
        <v>0</v>
      </c>
      <c r="L310" s="133" t="s">
        <v>94</v>
      </c>
      <c r="M310" s="133" t="s">
        <v>95</v>
      </c>
      <c r="N310" s="133" t="s">
        <v>0</v>
      </c>
      <c r="O310" s="133" t="s">
        <v>39</v>
      </c>
      <c r="P310" s="133" t="s">
        <v>40</v>
      </c>
      <c r="Q310" s="133"/>
      <c r="R310" s="133"/>
      <c r="S310" s="133" t="s">
        <v>319</v>
      </c>
      <c r="T310" s="133" t="s">
        <v>456</v>
      </c>
      <c r="U310" s="133" t="s">
        <v>235</v>
      </c>
      <c r="V310" s="133"/>
      <c r="W310" s="133" t="s">
        <v>241</v>
      </c>
    </row>
    <row r="311" spans="1:23" x14ac:dyDescent="0.25">
      <c r="A311" s="125" t="str">
        <f t="shared" si="5"/>
        <v>FEBRERO</v>
      </c>
      <c r="B311" s="126">
        <v>46077</v>
      </c>
      <c r="C311" s="127" t="s">
        <v>191</v>
      </c>
      <c r="D311" s="128" t="s">
        <v>452</v>
      </c>
      <c r="E311" s="128">
        <v>1000000</v>
      </c>
      <c r="F311" s="128">
        <v>0</v>
      </c>
      <c r="G311" s="129">
        <f>Tabla3[[#This Row],[EGRESOS]]-Tabla3[[#This Row],[INGRESOS]]</f>
        <v>1000000</v>
      </c>
      <c r="H311" s="130">
        <v>-20746514.379999999</v>
      </c>
      <c r="I311" s="131">
        <v>1450</v>
      </c>
      <c r="J311" s="132">
        <f>Tabla3[[#This Row],[EGRESOS]]/Tabla3[[#This Row],[TC]]</f>
        <v>689.65517241379314</v>
      </c>
      <c r="K311" s="132">
        <f>Tabla3[[#This Row],[INGRESOS]]/Tabla3[[#This Row],[TC]]</f>
        <v>0</v>
      </c>
      <c r="L311" s="133" t="s">
        <v>94</v>
      </c>
      <c r="M311" s="133" t="s">
        <v>95</v>
      </c>
      <c r="N311" s="133" t="s">
        <v>0</v>
      </c>
      <c r="O311" s="133" t="s">
        <v>39</v>
      </c>
      <c r="P311" s="133" t="s">
        <v>42</v>
      </c>
      <c r="Q311" s="133" t="s">
        <v>43</v>
      </c>
      <c r="R311" s="133"/>
      <c r="S311" s="133" t="s">
        <v>457</v>
      </c>
      <c r="T311" s="133"/>
      <c r="U311" s="133" t="s">
        <v>235</v>
      </c>
      <c r="V311" s="133"/>
      <c r="W311" s="133" t="s">
        <v>241</v>
      </c>
    </row>
    <row r="312" spans="1:23" x14ac:dyDescent="0.25">
      <c r="A312" s="125" t="str">
        <f t="shared" si="5"/>
        <v>FEBRERO</v>
      </c>
      <c r="B312" s="126">
        <v>46077</v>
      </c>
      <c r="C312" s="127" t="s">
        <v>463</v>
      </c>
      <c r="D312" s="128"/>
      <c r="E312" s="54">
        <v>0</v>
      </c>
      <c r="F312" s="128">
        <v>2000000</v>
      </c>
      <c r="G312" s="129">
        <f>Tabla3[[#This Row],[EGRESOS]]-Tabla3[[#This Row],[INGRESOS]]</f>
        <v>-2000000</v>
      </c>
      <c r="H312" s="130">
        <v>-18746514.379999999</v>
      </c>
      <c r="I312" s="131">
        <v>1450</v>
      </c>
      <c r="J312" s="132">
        <f>Tabla3[[#This Row],[EGRESOS]]/Tabla3[[#This Row],[TC]]</f>
        <v>0</v>
      </c>
      <c r="K312" s="132">
        <f>Tabla3[[#This Row],[INGRESOS]]/Tabla3[[#This Row],[TC]]</f>
        <v>1379.3103448275863</v>
      </c>
      <c r="L312" s="133" t="s">
        <v>94</v>
      </c>
      <c r="M312" s="133" t="s">
        <v>95</v>
      </c>
      <c r="N312" s="133" t="s">
        <v>0</v>
      </c>
      <c r="O312" s="133" t="s">
        <v>251</v>
      </c>
      <c r="P312" s="133" t="s">
        <v>250</v>
      </c>
      <c r="Q312" s="133" t="s">
        <v>252</v>
      </c>
      <c r="R312" s="133" t="s">
        <v>409</v>
      </c>
      <c r="S312" s="133"/>
      <c r="T312" s="133"/>
      <c r="U312" s="133" t="s">
        <v>253</v>
      </c>
      <c r="V312" s="133"/>
      <c r="W312" s="133" t="s">
        <v>241</v>
      </c>
    </row>
    <row r="313" spans="1:23" x14ac:dyDescent="0.25">
      <c r="A313" s="125" t="str">
        <f t="shared" si="5"/>
        <v>FEBRERO</v>
      </c>
      <c r="B313" s="126">
        <v>46077</v>
      </c>
      <c r="C313" s="127" t="s">
        <v>118</v>
      </c>
      <c r="D313" s="128"/>
      <c r="E313" s="128">
        <v>3885</v>
      </c>
      <c r="F313" s="54">
        <v>0</v>
      </c>
      <c r="G313" s="129">
        <f>Tabla3[[#This Row],[EGRESOS]]-Tabla3[[#This Row],[INGRESOS]]</f>
        <v>3885</v>
      </c>
      <c r="H313" s="130">
        <v>-18750399.379999999</v>
      </c>
      <c r="I313" s="131">
        <v>1450</v>
      </c>
      <c r="J313" s="132">
        <f>Tabla3[[#This Row],[EGRESOS]]/Tabla3[[#This Row],[TC]]</f>
        <v>2.6793103448275861</v>
      </c>
      <c r="K313" s="132">
        <f>Tabla3[[#This Row],[INGRESOS]]/Tabla3[[#This Row],[TC]]</f>
        <v>0</v>
      </c>
      <c r="L313" s="133" t="s">
        <v>94</v>
      </c>
      <c r="M313" s="133" t="s">
        <v>95</v>
      </c>
      <c r="N313" s="133" t="s">
        <v>0</v>
      </c>
      <c r="O313" s="133" t="s">
        <v>17</v>
      </c>
      <c r="P313" s="133" t="s">
        <v>22</v>
      </c>
      <c r="Q313" s="133" t="s">
        <v>23</v>
      </c>
      <c r="R313" s="133" t="s">
        <v>96</v>
      </c>
      <c r="S313" s="133"/>
      <c r="T313" s="133"/>
      <c r="U313" s="133" t="s">
        <v>61</v>
      </c>
      <c r="V313" s="133"/>
      <c r="W313" s="133" t="s">
        <v>241</v>
      </c>
    </row>
    <row r="314" spans="1:23" x14ac:dyDescent="0.25">
      <c r="A314" s="125" t="str">
        <f t="shared" si="5"/>
        <v>FEBRERO</v>
      </c>
      <c r="B314" s="126">
        <v>46077</v>
      </c>
      <c r="C314" s="127" t="s">
        <v>119</v>
      </c>
      <c r="D314" s="128"/>
      <c r="E314" s="128">
        <v>555</v>
      </c>
      <c r="F314" s="54">
        <v>0</v>
      </c>
      <c r="G314" s="129">
        <f>Tabla3[[#This Row],[EGRESOS]]-Tabla3[[#This Row],[INGRESOS]]</f>
        <v>555</v>
      </c>
      <c r="H314" s="130">
        <v>-18750954.379999999</v>
      </c>
      <c r="I314" s="131">
        <v>1450</v>
      </c>
      <c r="J314" s="132">
        <f>Tabla3[[#This Row],[EGRESOS]]/Tabla3[[#This Row],[TC]]</f>
        <v>0.38275862068965516</v>
      </c>
      <c r="K314" s="132">
        <f>Tabla3[[#This Row],[INGRESOS]]/Tabla3[[#This Row],[TC]]</f>
        <v>0</v>
      </c>
      <c r="L314" s="133" t="s">
        <v>94</v>
      </c>
      <c r="M314" s="133" t="s">
        <v>95</v>
      </c>
      <c r="N314" s="133" t="s">
        <v>0</v>
      </c>
      <c r="O314" s="133" t="s">
        <v>17</v>
      </c>
      <c r="P314" s="133" t="s">
        <v>22</v>
      </c>
      <c r="Q314" s="133" t="s">
        <v>23</v>
      </c>
      <c r="R314" s="133" t="s">
        <v>103</v>
      </c>
      <c r="S314" s="133"/>
      <c r="T314" s="133"/>
      <c r="U314" s="133" t="s">
        <v>61</v>
      </c>
      <c r="V314" s="133"/>
      <c r="W314" s="133" t="s">
        <v>241</v>
      </c>
    </row>
    <row r="315" spans="1:23" x14ac:dyDescent="0.25">
      <c r="A315" s="125" t="str">
        <f t="shared" si="5"/>
        <v>FEBRERO</v>
      </c>
      <c r="B315" s="126">
        <v>46077</v>
      </c>
      <c r="C315" s="127" t="s">
        <v>378</v>
      </c>
      <c r="D315" s="128"/>
      <c r="E315" s="128">
        <v>18500</v>
      </c>
      <c r="F315" s="54">
        <v>0</v>
      </c>
      <c r="G315" s="129">
        <f>Tabla3[[#This Row],[EGRESOS]]-Tabla3[[#This Row],[INGRESOS]]</f>
        <v>18500</v>
      </c>
      <c r="H315" s="130">
        <v>-18769454.379999999</v>
      </c>
      <c r="I315" s="131">
        <v>1450</v>
      </c>
      <c r="J315" s="132">
        <f>Tabla3[[#This Row],[EGRESOS]]/Tabla3[[#This Row],[TC]]</f>
        <v>12.758620689655173</v>
      </c>
      <c r="K315" s="132">
        <f>Tabla3[[#This Row],[INGRESOS]]/Tabla3[[#This Row],[TC]]</f>
        <v>0</v>
      </c>
      <c r="L315" s="133" t="s">
        <v>94</v>
      </c>
      <c r="M315" s="133" t="s">
        <v>95</v>
      </c>
      <c r="N315" s="133" t="s">
        <v>0</v>
      </c>
      <c r="O315" s="133" t="s">
        <v>17</v>
      </c>
      <c r="P315" s="133" t="s">
        <v>22</v>
      </c>
      <c r="Q315" s="133" t="s">
        <v>19</v>
      </c>
      <c r="R315" s="133"/>
      <c r="S315" s="133"/>
      <c r="T315" s="133"/>
      <c r="U315" s="133" t="s">
        <v>61</v>
      </c>
      <c r="V315" s="133"/>
      <c r="W315" s="133" t="s">
        <v>241</v>
      </c>
    </row>
    <row r="316" spans="1:23" x14ac:dyDescent="0.25">
      <c r="A316" s="125" t="str">
        <f t="shared" si="5"/>
        <v>FEBRERO</v>
      </c>
      <c r="B316" s="126">
        <v>46077</v>
      </c>
      <c r="C316" s="127" t="s">
        <v>192</v>
      </c>
      <c r="D316" s="128"/>
      <c r="E316" s="128">
        <v>10622.24</v>
      </c>
      <c r="F316" s="54">
        <v>0</v>
      </c>
      <c r="G316" s="129">
        <f>Tabla3[[#This Row],[EGRESOS]]-Tabla3[[#This Row],[INGRESOS]]</f>
        <v>10622.24</v>
      </c>
      <c r="H316" s="124">
        <v>-18780076.620000001</v>
      </c>
      <c r="I316" s="131">
        <v>1450</v>
      </c>
      <c r="J316" s="132">
        <f>Tabla3[[#This Row],[EGRESOS]]/Tabla3[[#This Row],[TC]]</f>
        <v>7.3256827586206894</v>
      </c>
      <c r="K316" s="132">
        <f>Tabla3[[#This Row],[INGRESOS]]/Tabla3[[#This Row],[TC]]</f>
        <v>0</v>
      </c>
      <c r="L316" s="133" t="s">
        <v>94</v>
      </c>
      <c r="M316" s="133" t="s">
        <v>95</v>
      </c>
      <c r="N316" s="133" t="s">
        <v>0</v>
      </c>
      <c r="O316" s="133" t="s">
        <v>17</v>
      </c>
      <c r="P316" s="133" t="s">
        <v>22</v>
      </c>
      <c r="Q316" s="133" t="s">
        <v>23</v>
      </c>
      <c r="R316" s="133" t="s">
        <v>200</v>
      </c>
      <c r="S316" s="133"/>
      <c r="T316" s="133"/>
      <c r="U316" s="133" t="s">
        <v>61</v>
      </c>
      <c r="V316" s="133"/>
      <c r="W316" s="133" t="s">
        <v>241</v>
      </c>
    </row>
    <row r="317" spans="1:23" x14ac:dyDescent="0.25">
      <c r="A317" s="52" t="str">
        <f t="shared" si="4"/>
        <v>ENERO</v>
      </c>
      <c r="B317" s="53">
        <v>46032</v>
      </c>
      <c r="C317" s="49" t="s">
        <v>237</v>
      </c>
      <c r="D317" s="55"/>
      <c r="E317" s="54">
        <v>0</v>
      </c>
      <c r="F317" s="54">
        <v>2000000</v>
      </c>
      <c r="G317" s="62">
        <f>Tabla3[[#This Row],[EGRESOS]]-Tabla3[[#This Row],[INGRESOS]]</f>
        <v>-2000000</v>
      </c>
      <c r="H317" s="104">
        <v>-11947246.1833333</v>
      </c>
      <c r="I317" s="16">
        <v>1450</v>
      </c>
      <c r="J317" s="14">
        <f>Tabla3[[#This Row],[EGRESOS]]/Tabla3[[#This Row],[TC]]</f>
        <v>0</v>
      </c>
      <c r="K317" s="14">
        <f>Tabla3[[#This Row],[INGRESOS]]/Tabla3[[#This Row],[TC]]</f>
        <v>1379.3103448275863</v>
      </c>
      <c r="L317" s="7" t="s">
        <v>238</v>
      </c>
      <c r="M317" s="7" t="s">
        <v>238</v>
      </c>
      <c r="N317" s="7" t="s">
        <v>238</v>
      </c>
      <c r="O317" s="7" t="s">
        <v>17</v>
      </c>
      <c r="P317" s="7" t="s">
        <v>31</v>
      </c>
      <c r="Q317" s="7" t="s">
        <v>239</v>
      </c>
      <c r="R317" s="7"/>
      <c r="S317" s="7" t="s">
        <v>240</v>
      </c>
      <c r="T317" s="7"/>
      <c r="U317" s="8" t="s">
        <v>467</v>
      </c>
      <c r="V317" s="7"/>
      <c r="W317" s="7" t="s">
        <v>241</v>
      </c>
    </row>
    <row r="318" spans="1:23" x14ac:dyDescent="0.25">
      <c r="A318" s="52" t="str">
        <f t="shared" si="4"/>
        <v>ENERO</v>
      </c>
      <c r="B318" s="53">
        <v>46031</v>
      </c>
      <c r="C318" s="49" t="s">
        <v>237</v>
      </c>
      <c r="D318" s="55"/>
      <c r="E318" s="54">
        <v>0</v>
      </c>
      <c r="F318" s="54">
        <v>450500</v>
      </c>
      <c r="G318" s="62">
        <f>Tabla3[[#This Row],[EGRESOS]]-Tabla3[[#This Row],[INGRESOS]]</f>
        <v>-450500</v>
      </c>
      <c r="H318" s="104">
        <v>-11947246.1833333</v>
      </c>
      <c r="I318" s="16">
        <v>1450</v>
      </c>
      <c r="J318" s="14">
        <f>Tabla3[[#This Row],[EGRESOS]]/Tabla3[[#This Row],[TC]]</f>
        <v>0</v>
      </c>
      <c r="K318" s="14">
        <f>Tabla3[[#This Row],[INGRESOS]]/Tabla3[[#This Row],[TC]]</f>
        <v>310.68965517241378</v>
      </c>
      <c r="L318" s="7" t="s">
        <v>238</v>
      </c>
      <c r="M318" s="7" t="s">
        <v>238</v>
      </c>
      <c r="N318" s="7" t="s">
        <v>238</v>
      </c>
      <c r="O318" s="7" t="s">
        <v>17</v>
      </c>
      <c r="P318" s="7" t="s">
        <v>31</v>
      </c>
      <c r="Q318" s="7" t="s">
        <v>239</v>
      </c>
      <c r="R318" s="7"/>
      <c r="S318" s="7" t="s">
        <v>240</v>
      </c>
      <c r="T318" s="7"/>
      <c r="U318" s="8" t="s">
        <v>467</v>
      </c>
      <c r="V318" s="7"/>
      <c r="W318" s="7" t="s">
        <v>241</v>
      </c>
    </row>
    <row r="319" spans="1:23" x14ac:dyDescent="0.25">
      <c r="A319" s="52" t="str">
        <f t="shared" si="4"/>
        <v>ENERO</v>
      </c>
      <c r="B319" s="53">
        <v>46032</v>
      </c>
      <c r="C319" s="49" t="s">
        <v>237</v>
      </c>
      <c r="D319" s="55"/>
      <c r="E319" s="54">
        <v>0</v>
      </c>
      <c r="F319" s="54">
        <v>135000</v>
      </c>
      <c r="G319" s="62">
        <f>Tabla3[[#This Row],[EGRESOS]]-Tabla3[[#This Row],[INGRESOS]]</f>
        <v>-135000</v>
      </c>
      <c r="H319" s="104">
        <v>-11954148.643333299</v>
      </c>
      <c r="I319" s="16">
        <v>1450</v>
      </c>
      <c r="J319" s="14">
        <f>Tabla3[[#This Row],[EGRESOS]]/Tabla3[[#This Row],[TC]]</f>
        <v>0</v>
      </c>
      <c r="K319" s="14">
        <f>Tabla3[[#This Row],[INGRESOS]]/Tabla3[[#This Row],[TC]]</f>
        <v>93.103448275862064</v>
      </c>
      <c r="L319" s="7" t="s">
        <v>238</v>
      </c>
      <c r="M319" s="7" t="s">
        <v>238</v>
      </c>
      <c r="N319" s="7" t="s">
        <v>238</v>
      </c>
      <c r="O319" s="7" t="s">
        <v>17</v>
      </c>
      <c r="P319" s="7" t="s">
        <v>28</v>
      </c>
      <c r="Q319" s="7" t="s">
        <v>29</v>
      </c>
      <c r="R319" s="7"/>
      <c r="S319" s="7" t="s">
        <v>281</v>
      </c>
      <c r="T319" s="7"/>
      <c r="U319" s="7" t="s">
        <v>313</v>
      </c>
      <c r="V319" s="7" t="s">
        <v>98</v>
      </c>
      <c r="W319" s="7" t="s">
        <v>241</v>
      </c>
    </row>
    <row r="320" spans="1:23" x14ac:dyDescent="0.25">
      <c r="A320" s="52" t="str">
        <f t="shared" si="4"/>
        <v>ENERO</v>
      </c>
      <c r="B320" s="53">
        <v>46032</v>
      </c>
      <c r="C320" s="49" t="s">
        <v>237</v>
      </c>
      <c r="D320" s="49"/>
      <c r="E320" s="54">
        <v>135000</v>
      </c>
      <c r="F320" s="54">
        <v>0</v>
      </c>
      <c r="G320" s="62">
        <f>Tabla3[[#This Row],[EGRESOS]]-Tabla3[[#This Row],[INGRESOS]]</f>
        <v>135000</v>
      </c>
      <c r="H320" s="104">
        <v>-11957599.8733333</v>
      </c>
      <c r="I320" s="16">
        <v>1450</v>
      </c>
      <c r="J320" s="14">
        <f>Tabla3[[#This Row],[EGRESOS]]/Tabla3[[#This Row],[TC]]</f>
        <v>93.103448275862064</v>
      </c>
      <c r="K320" s="14">
        <f>Tabla3[[#This Row],[INGRESOS]]/Tabla3[[#This Row],[TC]]</f>
        <v>0</v>
      </c>
      <c r="L320" s="7" t="s">
        <v>238</v>
      </c>
      <c r="M320" s="7" t="s">
        <v>238</v>
      </c>
      <c r="N320" s="7" t="s">
        <v>238</v>
      </c>
      <c r="O320" s="7" t="s">
        <v>17</v>
      </c>
      <c r="P320" s="7" t="s">
        <v>26</v>
      </c>
      <c r="Q320" s="7" t="s">
        <v>293</v>
      </c>
      <c r="R320" s="7" t="s">
        <v>243</v>
      </c>
      <c r="S320" s="7" t="s">
        <v>242</v>
      </c>
      <c r="T320" s="7"/>
      <c r="U320" s="7" t="s">
        <v>233</v>
      </c>
      <c r="V320" s="7"/>
      <c r="W320" s="7" t="s">
        <v>241</v>
      </c>
    </row>
    <row r="321" spans="1:23" x14ac:dyDescent="0.25">
      <c r="A321" s="52" t="str">
        <f t="shared" si="4"/>
        <v>ENERO</v>
      </c>
      <c r="B321" s="53">
        <v>46026</v>
      </c>
      <c r="C321" s="49" t="s">
        <v>237</v>
      </c>
      <c r="D321" s="49"/>
      <c r="E321" s="54">
        <v>320000</v>
      </c>
      <c r="F321" s="54">
        <v>0</v>
      </c>
      <c r="G321" s="62">
        <f>Tabla3[[#This Row],[EGRESOS]]-Tabla3[[#This Row],[INGRESOS]]</f>
        <v>320000</v>
      </c>
      <c r="H321" s="104">
        <v>-11961051.1033333</v>
      </c>
      <c r="I321" s="16">
        <v>1450</v>
      </c>
      <c r="J321" s="14">
        <f>Tabla3[[#This Row],[EGRESOS]]/Tabla3[[#This Row],[TC]]</f>
        <v>220.68965517241378</v>
      </c>
      <c r="K321" s="14">
        <f>Tabla3[[#This Row],[INGRESOS]]/Tabla3[[#This Row],[TC]]</f>
        <v>0</v>
      </c>
      <c r="L321" s="7" t="s">
        <v>238</v>
      </c>
      <c r="M321" s="7" t="s">
        <v>238</v>
      </c>
      <c r="N321" s="7" t="s">
        <v>238</v>
      </c>
      <c r="O321" s="7" t="s">
        <v>17</v>
      </c>
      <c r="P321" s="7" t="s">
        <v>26</v>
      </c>
      <c r="Q321" s="7" t="s">
        <v>293</v>
      </c>
      <c r="R321" s="7"/>
      <c r="S321" s="7" t="s">
        <v>242</v>
      </c>
      <c r="T321" s="7"/>
      <c r="U321" s="7" t="s">
        <v>233</v>
      </c>
      <c r="V321" s="7"/>
      <c r="W321" s="7" t="s">
        <v>241</v>
      </c>
    </row>
    <row r="322" spans="1:23" x14ac:dyDescent="0.25">
      <c r="A322" s="52" t="str">
        <f t="shared" ref="A322:A340" si="6">"ENERO"</f>
        <v>ENERO</v>
      </c>
      <c r="B322" s="53">
        <v>46026</v>
      </c>
      <c r="C322" s="49" t="s">
        <v>237</v>
      </c>
      <c r="D322" s="49"/>
      <c r="E322" s="54">
        <v>25000</v>
      </c>
      <c r="F322" s="54">
        <v>0</v>
      </c>
      <c r="G322" s="62">
        <f>Tabla3[[#This Row],[EGRESOS]]-Tabla3[[#This Row],[INGRESOS]]</f>
        <v>25000</v>
      </c>
      <c r="H322" s="104">
        <v>-11964502.3333333</v>
      </c>
      <c r="I322" s="16">
        <v>1450</v>
      </c>
      <c r="J322" s="14">
        <f>Tabla3[[#This Row],[EGRESOS]]/Tabla3[[#This Row],[TC]]</f>
        <v>17.241379310344829</v>
      </c>
      <c r="K322" s="14">
        <f>Tabla3[[#This Row],[INGRESOS]]/Tabla3[[#This Row],[TC]]</f>
        <v>0</v>
      </c>
      <c r="L322" s="7" t="s">
        <v>238</v>
      </c>
      <c r="M322" s="7" t="s">
        <v>238</v>
      </c>
      <c r="N322" s="7" t="s">
        <v>238</v>
      </c>
      <c r="O322" s="7" t="s">
        <v>39</v>
      </c>
      <c r="P322" s="7" t="s">
        <v>42</v>
      </c>
      <c r="Q322" s="7" t="s">
        <v>226</v>
      </c>
      <c r="R322" s="7" t="s">
        <v>306</v>
      </c>
      <c r="S322" s="7"/>
      <c r="T322" s="7"/>
      <c r="U322" s="7" t="s">
        <v>311</v>
      </c>
      <c r="V322" s="7"/>
      <c r="W322" s="7" t="s">
        <v>241</v>
      </c>
    </row>
    <row r="323" spans="1:23" x14ac:dyDescent="0.25">
      <c r="A323" s="52" t="str">
        <f t="shared" si="4"/>
        <v>ENERO</v>
      </c>
      <c r="B323" s="53">
        <v>46032</v>
      </c>
      <c r="C323" s="49" t="s">
        <v>237</v>
      </c>
      <c r="D323" s="49"/>
      <c r="E323" s="54">
        <v>1500000</v>
      </c>
      <c r="F323" s="54">
        <v>0</v>
      </c>
      <c r="G323" s="62">
        <f>Tabla3[[#This Row],[EGRESOS]]-Tabla3[[#This Row],[INGRESOS]]</f>
        <v>1500000</v>
      </c>
      <c r="H323" s="104">
        <v>-11967953.563333301</v>
      </c>
      <c r="I323" s="16">
        <v>1450</v>
      </c>
      <c r="J323" s="14">
        <f>Tabla3[[#This Row],[EGRESOS]]/Tabla3[[#This Row],[TC]]</f>
        <v>1034.4827586206898</v>
      </c>
      <c r="K323" s="14">
        <f>Tabla3[[#This Row],[INGRESOS]]/Tabla3[[#This Row],[TC]]</f>
        <v>0</v>
      </c>
      <c r="L323" s="7" t="s">
        <v>238</v>
      </c>
      <c r="M323" s="7" t="s">
        <v>238</v>
      </c>
      <c r="N323" s="7" t="s">
        <v>238</v>
      </c>
      <c r="O323" s="7" t="s">
        <v>17</v>
      </c>
      <c r="P323" s="7" t="s">
        <v>26</v>
      </c>
      <c r="Q323" s="7" t="s">
        <v>231</v>
      </c>
      <c r="R323" s="7"/>
      <c r="S323" s="7" t="s">
        <v>99</v>
      </c>
      <c r="T323" s="7"/>
      <c r="U323" s="7" t="s">
        <v>233</v>
      </c>
      <c r="V323" s="7"/>
      <c r="W323" s="7" t="s">
        <v>241</v>
      </c>
    </row>
    <row r="324" spans="1:23" x14ac:dyDescent="0.25">
      <c r="A324" s="52" t="str">
        <f t="shared" si="6"/>
        <v>ENERO</v>
      </c>
      <c r="B324" s="53">
        <v>46032</v>
      </c>
      <c r="C324" s="49" t="s">
        <v>237</v>
      </c>
      <c r="D324" s="49"/>
      <c r="E324" s="54">
        <v>4807</v>
      </c>
      <c r="F324" s="54">
        <v>0</v>
      </c>
      <c r="G324" s="62">
        <f>Tabla3[[#This Row],[EGRESOS]]-Tabla3[[#This Row],[INGRESOS]]</f>
        <v>4807</v>
      </c>
      <c r="H324" s="104">
        <v>-11971404.793333299</v>
      </c>
      <c r="I324" s="16">
        <v>1450</v>
      </c>
      <c r="J324" s="14">
        <f>Tabla3[[#This Row],[EGRESOS]]/Tabla3[[#This Row],[TC]]</f>
        <v>3.3151724137931033</v>
      </c>
      <c r="K324" s="14">
        <f>Tabla3[[#This Row],[INGRESOS]]/Tabla3[[#This Row],[TC]]</f>
        <v>0</v>
      </c>
      <c r="L324" s="7" t="s">
        <v>238</v>
      </c>
      <c r="M324" s="7" t="s">
        <v>238</v>
      </c>
      <c r="N324" s="7" t="s">
        <v>238</v>
      </c>
      <c r="O324" s="7" t="s">
        <v>17</v>
      </c>
      <c r="P324" s="7" t="s">
        <v>26</v>
      </c>
      <c r="Q324" s="7" t="s">
        <v>293</v>
      </c>
      <c r="R324" s="7" t="s">
        <v>307</v>
      </c>
      <c r="S324" s="7" t="s">
        <v>242</v>
      </c>
      <c r="T324" s="7"/>
      <c r="U324" s="7" t="s">
        <v>233</v>
      </c>
      <c r="V324" s="7"/>
      <c r="W324" s="7" t="s">
        <v>241</v>
      </c>
    </row>
    <row r="325" spans="1:23" x14ac:dyDescent="0.25">
      <c r="A325" s="52" t="str">
        <f t="shared" si="6"/>
        <v>ENERO</v>
      </c>
      <c r="B325" s="53">
        <v>46032</v>
      </c>
      <c r="C325" s="49" t="s">
        <v>237</v>
      </c>
      <c r="D325" s="49"/>
      <c r="E325" s="54">
        <v>200000</v>
      </c>
      <c r="F325" s="54">
        <v>0</v>
      </c>
      <c r="G325" s="62">
        <f>Tabla3[[#This Row],[EGRESOS]]-Tabla3[[#This Row],[INGRESOS]]</f>
        <v>200000</v>
      </c>
      <c r="H325" s="104">
        <v>-11974856.0233333</v>
      </c>
      <c r="I325" s="16">
        <v>1450</v>
      </c>
      <c r="J325" s="14">
        <f>Tabla3[[#This Row],[EGRESOS]]/Tabla3[[#This Row],[TC]]</f>
        <v>137.93103448275863</v>
      </c>
      <c r="K325" s="14">
        <f>Tabla3[[#This Row],[INGRESOS]]/Tabla3[[#This Row],[TC]]</f>
        <v>0</v>
      </c>
      <c r="L325" s="7" t="s">
        <v>238</v>
      </c>
      <c r="M325" s="7" t="s">
        <v>238</v>
      </c>
      <c r="N325" s="7" t="s">
        <v>238</v>
      </c>
      <c r="O325" s="7" t="s">
        <v>17</v>
      </c>
      <c r="P325" s="7" t="s">
        <v>26</v>
      </c>
      <c r="Q325" s="7" t="s">
        <v>293</v>
      </c>
      <c r="R325" s="7"/>
      <c r="S325" s="7" t="s">
        <v>289</v>
      </c>
      <c r="T325" s="7"/>
      <c r="U325" s="7" t="s">
        <v>233</v>
      </c>
      <c r="V325" s="7"/>
      <c r="W325" s="7" t="s">
        <v>241</v>
      </c>
    </row>
    <row r="326" spans="1:23" x14ac:dyDescent="0.25">
      <c r="A326" s="52" t="str">
        <f t="shared" si="6"/>
        <v>ENERO</v>
      </c>
      <c r="B326" s="53">
        <v>46032</v>
      </c>
      <c r="C326" s="49" t="s">
        <v>237</v>
      </c>
      <c r="D326" s="49"/>
      <c r="E326" s="54">
        <v>337500</v>
      </c>
      <c r="F326" s="54">
        <v>0</v>
      </c>
      <c r="G326" s="62">
        <f>Tabla3[[#This Row],[EGRESOS]]-Tabla3[[#This Row],[INGRESOS]]</f>
        <v>337500</v>
      </c>
      <c r="H326" s="104">
        <v>-11978307.2533333</v>
      </c>
      <c r="I326" s="16">
        <v>1450</v>
      </c>
      <c r="J326" s="14">
        <f>Tabla3[[#This Row],[EGRESOS]]/Tabla3[[#This Row],[TC]]</f>
        <v>232.75862068965517</v>
      </c>
      <c r="K326" s="14">
        <f>Tabla3[[#This Row],[INGRESOS]]/Tabla3[[#This Row],[TC]]</f>
        <v>0</v>
      </c>
      <c r="L326" s="7" t="s">
        <v>238</v>
      </c>
      <c r="M326" s="7" t="s">
        <v>238</v>
      </c>
      <c r="N326" s="7" t="s">
        <v>238</v>
      </c>
      <c r="O326" s="7" t="s">
        <v>17</v>
      </c>
      <c r="P326" s="7" t="s">
        <v>26</v>
      </c>
      <c r="Q326" s="7" t="s">
        <v>293</v>
      </c>
      <c r="R326" s="7"/>
      <c r="S326" s="7" t="s">
        <v>242</v>
      </c>
      <c r="T326" s="7"/>
      <c r="U326" s="8" t="s">
        <v>233</v>
      </c>
      <c r="V326" s="7"/>
      <c r="W326" s="7" t="s">
        <v>241</v>
      </c>
    </row>
    <row r="327" spans="1:23" x14ac:dyDescent="0.25">
      <c r="A327" s="52" t="str">
        <f t="shared" si="6"/>
        <v>ENERO</v>
      </c>
      <c r="B327" s="53">
        <v>46032</v>
      </c>
      <c r="C327" s="49" t="s">
        <v>237</v>
      </c>
      <c r="D327" s="49"/>
      <c r="E327" s="54">
        <v>10000</v>
      </c>
      <c r="F327" s="54">
        <v>0</v>
      </c>
      <c r="G327" s="62">
        <f>Tabla3[[#This Row],[EGRESOS]]-Tabla3[[#This Row],[INGRESOS]]</f>
        <v>10000</v>
      </c>
      <c r="H327" s="104">
        <v>-11981758.483333301</v>
      </c>
      <c r="I327" s="16">
        <v>1450</v>
      </c>
      <c r="J327" s="14">
        <f>Tabla3[[#This Row],[EGRESOS]]/Tabla3[[#This Row],[TC]]</f>
        <v>6.8965517241379306</v>
      </c>
      <c r="K327" s="14">
        <f>Tabla3[[#This Row],[INGRESOS]]/Tabla3[[#This Row],[TC]]</f>
        <v>0</v>
      </c>
      <c r="L327" s="7" t="s">
        <v>238</v>
      </c>
      <c r="M327" s="7" t="s">
        <v>238</v>
      </c>
      <c r="N327" s="7" t="s">
        <v>238</v>
      </c>
      <c r="O327" s="7" t="s">
        <v>39</v>
      </c>
      <c r="P327" s="7" t="s">
        <v>42</v>
      </c>
      <c r="Q327" s="7" t="s">
        <v>226</v>
      </c>
      <c r="R327" s="7"/>
      <c r="S327" s="7" t="s">
        <v>308</v>
      </c>
      <c r="T327" s="7"/>
      <c r="U327" s="8" t="s">
        <v>311</v>
      </c>
      <c r="V327" s="7"/>
      <c r="W327" s="7" t="s">
        <v>241</v>
      </c>
    </row>
    <row r="328" spans="1:23" x14ac:dyDescent="0.25">
      <c r="A328" s="52" t="str">
        <f t="shared" si="6"/>
        <v>ENERO</v>
      </c>
      <c r="B328" s="53">
        <v>46032</v>
      </c>
      <c r="C328" s="49" t="s">
        <v>237</v>
      </c>
      <c r="D328" s="49"/>
      <c r="E328" s="54">
        <v>4000</v>
      </c>
      <c r="F328" s="54">
        <v>0</v>
      </c>
      <c r="G328" s="62">
        <f>Tabla3[[#This Row],[EGRESOS]]-Tabla3[[#This Row],[INGRESOS]]</f>
        <v>4000</v>
      </c>
      <c r="H328" s="104"/>
      <c r="I328" s="16">
        <v>1450</v>
      </c>
      <c r="J328" s="14">
        <f>Tabla3[[#This Row],[EGRESOS]]/Tabla3[[#This Row],[TC]]</f>
        <v>2.7586206896551726</v>
      </c>
      <c r="K328" s="14">
        <f>Tabla3[[#This Row],[INGRESOS]]/Tabla3[[#This Row],[TC]]</f>
        <v>0</v>
      </c>
      <c r="L328" s="7" t="s">
        <v>238</v>
      </c>
      <c r="M328" s="7" t="s">
        <v>238</v>
      </c>
      <c r="N328" s="7" t="s">
        <v>238</v>
      </c>
      <c r="O328" s="7" t="s">
        <v>39</v>
      </c>
      <c r="P328" s="7" t="s">
        <v>44</v>
      </c>
      <c r="Q328" s="7" t="s">
        <v>33</v>
      </c>
      <c r="R328" s="7" t="s">
        <v>433</v>
      </c>
      <c r="S328" s="7" t="s">
        <v>420</v>
      </c>
      <c r="T328" s="7"/>
      <c r="U328" s="8" t="s">
        <v>436</v>
      </c>
      <c r="V328" s="7"/>
      <c r="W328" s="7" t="s">
        <v>241</v>
      </c>
    </row>
    <row r="329" spans="1:23" x14ac:dyDescent="0.25">
      <c r="A329" s="52" t="str">
        <f t="shared" si="6"/>
        <v>ENERO</v>
      </c>
      <c r="B329" s="53">
        <v>46032</v>
      </c>
      <c r="C329" s="49" t="s">
        <v>237</v>
      </c>
      <c r="D329" s="49"/>
      <c r="E329" s="54">
        <v>54000</v>
      </c>
      <c r="F329" s="54">
        <v>0</v>
      </c>
      <c r="G329" s="62">
        <f>Tabla3[[#This Row],[EGRESOS]]-Tabla3[[#This Row],[INGRESOS]]</f>
        <v>54000</v>
      </c>
      <c r="H329" s="104"/>
      <c r="I329" s="16">
        <v>1450</v>
      </c>
      <c r="J329" s="14">
        <f>Tabla3[[#This Row],[EGRESOS]]/Tabla3[[#This Row],[TC]]</f>
        <v>37.241379310344826</v>
      </c>
      <c r="K329" s="14">
        <f>Tabla3[[#This Row],[INGRESOS]]/Tabla3[[#This Row],[TC]]</f>
        <v>0</v>
      </c>
      <c r="L329" s="7" t="s">
        <v>238</v>
      </c>
      <c r="M329" s="7" t="s">
        <v>238</v>
      </c>
      <c r="N329" s="7" t="s">
        <v>238</v>
      </c>
      <c r="O329" s="7" t="s">
        <v>17</v>
      </c>
      <c r="P329" s="7" t="s">
        <v>26</v>
      </c>
      <c r="Q329" s="7"/>
      <c r="R329" s="7" t="s">
        <v>421</v>
      </c>
      <c r="S329" s="7" t="s">
        <v>99</v>
      </c>
      <c r="T329" s="7"/>
      <c r="U329" s="8" t="s">
        <v>233</v>
      </c>
      <c r="V329" s="7"/>
      <c r="W329" s="7" t="s">
        <v>241</v>
      </c>
    </row>
    <row r="330" spans="1:23" x14ac:dyDescent="0.25">
      <c r="A330" s="52" t="str">
        <f t="shared" si="6"/>
        <v>ENERO</v>
      </c>
      <c r="B330" s="53">
        <v>46032</v>
      </c>
      <c r="C330" s="49" t="s">
        <v>237</v>
      </c>
      <c r="D330" s="49"/>
      <c r="E330" s="54">
        <v>30000</v>
      </c>
      <c r="F330" s="54">
        <v>0</v>
      </c>
      <c r="G330" s="62">
        <f>Tabla3[[#This Row],[EGRESOS]]-Tabla3[[#This Row],[INGRESOS]]</f>
        <v>30000</v>
      </c>
      <c r="H330" s="104"/>
      <c r="I330" s="16">
        <v>1450</v>
      </c>
      <c r="J330" s="14">
        <f>Tabla3[[#This Row],[EGRESOS]]/Tabla3[[#This Row],[TC]]</f>
        <v>20.689655172413794</v>
      </c>
      <c r="K330" s="14">
        <f>Tabla3[[#This Row],[INGRESOS]]/Tabla3[[#This Row],[TC]]</f>
        <v>0</v>
      </c>
      <c r="L330" s="7" t="s">
        <v>238</v>
      </c>
      <c r="M330" s="7" t="s">
        <v>238</v>
      </c>
      <c r="N330" s="7" t="s">
        <v>238</v>
      </c>
      <c r="O330" s="7" t="s">
        <v>17</v>
      </c>
      <c r="P330" s="7" t="s">
        <v>26</v>
      </c>
      <c r="Q330" s="7"/>
      <c r="R330" s="7"/>
      <c r="S330" s="7" t="s">
        <v>422</v>
      </c>
      <c r="T330" s="7"/>
      <c r="U330" s="8" t="s">
        <v>467</v>
      </c>
      <c r="V330" s="7"/>
      <c r="W330" s="7"/>
    </row>
    <row r="331" spans="1:23" x14ac:dyDescent="0.25">
      <c r="A331" s="52" t="str">
        <f t="shared" si="6"/>
        <v>ENERO</v>
      </c>
      <c r="B331" s="53">
        <v>46048</v>
      </c>
      <c r="C331" s="49" t="s">
        <v>237</v>
      </c>
      <c r="D331" s="49"/>
      <c r="E331" s="54">
        <v>247500</v>
      </c>
      <c r="F331" s="54">
        <v>0</v>
      </c>
      <c r="G331" s="62">
        <f>Tabla3[[#This Row],[EGRESOS]]-Tabla3[[#This Row],[INGRESOS]]</f>
        <v>247500</v>
      </c>
      <c r="H331" s="104"/>
      <c r="I331" s="16">
        <v>1450</v>
      </c>
      <c r="J331" s="14">
        <f>Tabla3[[#This Row],[EGRESOS]]/Tabla3[[#This Row],[TC]]</f>
        <v>170.68965517241378</v>
      </c>
      <c r="K331" s="14">
        <f>Tabla3[[#This Row],[INGRESOS]]/Tabla3[[#This Row],[TC]]</f>
        <v>0</v>
      </c>
      <c r="L331" s="7" t="s">
        <v>238</v>
      </c>
      <c r="M331" s="7" t="s">
        <v>238</v>
      </c>
      <c r="N331" s="7" t="s">
        <v>238</v>
      </c>
      <c r="O331" s="7" t="s">
        <v>17</v>
      </c>
      <c r="P331" s="7" t="s">
        <v>26</v>
      </c>
      <c r="Q331" s="7" t="s">
        <v>293</v>
      </c>
      <c r="R331" s="7"/>
      <c r="S331" s="7" t="s">
        <v>242</v>
      </c>
      <c r="T331" s="7"/>
      <c r="U331" s="8" t="s">
        <v>233</v>
      </c>
      <c r="V331" s="7"/>
      <c r="W331" s="7" t="s">
        <v>241</v>
      </c>
    </row>
    <row r="332" spans="1:23" x14ac:dyDescent="0.25">
      <c r="A332" s="52" t="str">
        <f t="shared" si="6"/>
        <v>ENERO</v>
      </c>
      <c r="B332" s="53">
        <v>46032</v>
      </c>
      <c r="C332" s="49" t="s">
        <v>237</v>
      </c>
      <c r="D332" s="49"/>
      <c r="E332" s="54">
        <v>5080</v>
      </c>
      <c r="F332" s="54">
        <v>0</v>
      </c>
      <c r="G332" s="62">
        <f>Tabla3[[#This Row],[EGRESOS]]-Tabla3[[#This Row],[INGRESOS]]</f>
        <v>5080</v>
      </c>
      <c r="H332" s="104"/>
      <c r="I332" s="16">
        <v>1450</v>
      </c>
      <c r="J332" s="14">
        <f>Tabla3[[#This Row],[EGRESOS]]/Tabla3[[#This Row],[TC]]</f>
        <v>3.5034482758620689</v>
      </c>
      <c r="K332" s="14">
        <f>Tabla3[[#This Row],[INGRESOS]]/Tabla3[[#This Row],[TC]]</f>
        <v>0</v>
      </c>
      <c r="L332" s="7" t="s">
        <v>238</v>
      </c>
      <c r="M332" s="7" t="s">
        <v>238</v>
      </c>
      <c r="N332" s="7" t="s">
        <v>238</v>
      </c>
      <c r="O332" s="7" t="s">
        <v>17</v>
      </c>
      <c r="P332" s="7" t="s">
        <v>26</v>
      </c>
      <c r="Q332" s="7" t="s">
        <v>231</v>
      </c>
      <c r="R332" s="7" t="s">
        <v>423</v>
      </c>
      <c r="S332" s="7" t="s">
        <v>99</v>
      </c>
      <c r="T332" s="7"/>
      <c r="U332" s="8" t="s">
        <v>233</v>
      </c>
      <c r="V332" s="7"/>
      <c r="W332" s="7" t="s">
        <v>241</v>
      </c>
    </row>
    <row r="333" spans="1:23" x14ac:dyDescent="0.25">
      <c r="A333" s="52" t="str">
        <f t="shared" si="6"/>
        <v>ENERO</v>
      </c>
      <c r="B333" s="53">
        <v>46032</v>
      </c>
      <c r="C333" s="49" t="s">
        <v>237</v>
      </c>
      <c r="D333" s="49"/>
      <c r="E333" s="54">
        <v>8500</v>
      </c>
      <c r="F333" s="54">
        <v>0</v>
      </c>
      <c r="G333" s="62">
        <f>Tabla3[[#This Row],[EGRESOS]]-Tabla3[[#This Row],[INGRESOS]]</f>
        <v>8500</v>
      </c>
      <c r="H333" s="104"/>
      <c r="I333" s="16">
        <v>1450</v>
      </c>
      <c r="J333" s="14">
        <f>Tabla3[[#This Row],[EGRESOS]]/Tabla3[[#This Row],[TC]]</f>
        <v>5.8620689655172411</v>
      </c>
      <c r="K333" s="14">
        <f>Tabla3[[#This Row],[INGRESOS]]/Tabla3[[#This Row],[TC]]</f>
        <v>0</v>
      </c>
      <c r="L333" s="7" t="s">
        <v>238</v>
      </c>
      <c r="M333" s="7" t="s">
        <v>238</v>
      </c>
      <c r="N333" s="7" t="s">
        <v>238</v>
      </c>
      <c r="O333" s="7" t="s">
        <v>17</v>
      </c>
      <c r="P333" s="7" t="s">
        <v>26</v>
      </c>
      <c r="Q333" s="7" t="s">
        <v>231</v>
      </c>
      <c r="R333" s="7" t="s">
        <v>424</v>
      </c>
      <c r="S333" s="7" t="s">
        <v>99</v>
      </c>
      <c r="T333" s="7"/>
      <c r="U333" s="8" t="s">
        <v>233</v>
      </c>
      <c r="V333" s="7"/>
      <c r="W333" s="7" t="s">
        <v>241</v>
      </c>
    </row>
    <row r="334" spans="1:23" x14ac:dyDescent="0.25">
      <c r="A334" s="52" t="str">
        <f t="shared" si="6"/>
        <v>ENERO</v>
      </c>
      <c r="B334" s="53">
        <v>46032</v>
      </c>
      <c r="C334" s="49" t="s">
        <v>237</v>
      </c>
      <c r="D334" s="49"/>
      <c r="E334" s="54">
        <v>6000</v>
      </c>
      <c r="F334" s="54">
        <v>0</v>
      </c>
      <c r="G334" s="62">
        <f>Tabla3[[#This Row],[EGRESOS]]-Tabla3[[#This Row],[INGRESOS]]</f>
        <v>6000</v>
      </c>
      <c r="H334" s="104"/>
      <c r="I334" s="16">
        <v>1450</v>
      </c>
      <c r="J334" s="14">
        <f>Tabla3[[#This Row],[EGRESOS]]/Tabla3[[#This Row],[TC]]</f>
        <v>4.1379310344827589</v>
      </c>
      <c r="K334" s="14">
        <f>Tabla3[[#This Row],[INGRESOS]]/Tabla3[[#This Row],[TC]]</f>
        <v>0</v>
      </c>
      <c r="L334" s="7" t="s">
        <v>238</v>
      </c>
      <c r="M334" s="7" t="s">
        <v>238</v>
      </c>
      <c r="N334" s="7" t="s">
        <v>238</v>
      </c>
      <c r="O334" s="7" t="s">
        <v>39</v>
      </c>
      <c r="P334" s="7" t="s">
        <v>44</v>
      </c>
      <c r="Q334" s="7" t="s">
        <v>33</v>
      </c>
      <c r="R334" s="7" t="s">
        <v>426</v>
      </c>
      <c r="S334" s="7" t="s">
        <v>425</v>
      </c>
      <c r="T334" s="7"/>
      <c r="U334" s="8" t="s">
        <v>436</v>
      </c>
      <c r="V334" s="7"/>
      <c r="W334" s="7" t="s">
        <v>241</v>
      </c>
    </row>
    <row r="335" spans="1:23" x14ac:dyDescent="0.25">
      <c r="A335" s="52" t="str">
        <f t="shared" si="6"/>
        <v>ENERO</v>
      </c>
      <c r="B335" s="53">
        <v>46032</v>
      </c>
      <c r="C335" s="49" t="s">
        <v>237</v>
      </c>
      <c r="D335" s="49"/>
      <c r="E335" s="54">
        <v>8000</v>
      </c>
      <c r="F335" s="54">
        <v>0</v>
      </c>
      <c r="G335" s="62">
        <f>Tabla3[[#This Row],[EGRESOS]]-Tabla3[[#This Row],[INGRESOS]]</f>
        <v>8000</v>
      </c>
      <c r="H335" s="104"/>
      <c r="I335" s="16">
        <v>1450</v>
      </c>
      <c r="J335" s="14">
        <f>Tabla3[[#This Row],[EGRESOS]]/Tabla3[[#This Row],[TC]]</f>
        <v>5.5172413793103452</v>
      </c>
      <c r="K335" s="14">
        <f>Tabla3[[#This Row],[INGRESOS]]/Tabla3[[#This Row],[TC]]</f>
        <v>0</v>
      </c>
      <c r="L335" s="7" t="s">
        <v>238</v>
      </c>
      <c r="M335" s="7" t="s">
        <v>238</v>
      </c>
      <c r="N335" s="7" t="s">
        <v>238</v>
      </c>
      <c r="O335" s="7" t="s">
        <v>39</v>
      </c>
      <c r="P335" s="7" t="s">
        <v>44</v>
      </c>
      <c r="Q335" s="7" t="s">
        <v>33</v>
      </c>
      <c r="R335" s="7" t="s">
        <v>426</v>
      </c>
      <c r="S335" s="7" t="s">
        <v>427</v>
      </c>
      <c r="T335" s="7"/>
      <c r="U335" s="8" t="s">
        <v>436</v>
      </c>
      <c r="V335" s="7"/>
      <c r="W335" s="7" t="s">
        <v>241</v>
      </c>
    </row>
    <row r="336" spans="1:23" x14ac:dyDescent="0.25">
      <c r="A336" s="52" t="str">
        <f t="shared" si="6"/>
        <v>ENERO</v>
      </c>
      <c r="B336" s="53">
        <v>46032</v>
      </c>
      <c r="C336" s="49" t="s">
        <v>237</v>
      </c>
      <c r="D336" s="49"/>
      <c r="E336" s="54">
        <v>4807</v>
      </c>
      <c r="F336" s="54">
        <v>0</v>
      </c>
      <c r="G336" s="62">
        <f>Tabla3[[#This Row],[EGRESOS]]-Tabla3[[#This Row],[INGRESOS]]</f>
        <v>4807</v>
      </c>
      <c r="H336" s="104"/>
      <c r="I336" s="16">
        <v>1450</v>
      </c>
      <c r="J336" s="14">
        <f>Tabla3[[#This Row],[EGRESOS]]/Tabla3[[#This Row],[TC]]</f>
        <v>3.3151724137931033</v>
      </c>
      <c r="K336" s="14">
        <f>Tabla3[[#This Row],[INGRESOS]]/Tabla3[[#This Row],[TC]]</f>
        <v>0</v>
      </c>
      <c r="L336" s="7" t="s">
        <v>238</v>
      </c>
      <c r="M336" s="7" t="s">
        <v>238</v>
      </c>
      <c r="N336" s="7" t="s">
        <v>238</v>
      </c>
      <c r="O336" s="7" t="s">
        <v>17</v>
      </c>
      <c r="P336" s="7" t="s">
        <v>26</v>
      </c>
      <c r="Q336" s="7" t="s">
        <v>293</v>
      </c>
      <c r="R336" s="7"/>
      <c r="S336" s="7" t="s">
        <v>242</v>
      </c>
      <c r="T336" s="7"/>
      <c r="U336" s="8" t="s">
        <v>233</v>
      </c>
      <c r="V336" s="7"/>
      <c r="W336" s="7" t="s">
        <v>241</v>
      </c>
    </row>
    <row r="337" spans="1:23" x14ac:dyDescent="0.25">
      <c r="A337" s="52" t="str">
        <f t="shared" si="6"/>
        <v>ENERO</v>
      </c>
      <c r="B337" s="53">
        <v>46032</v>
      </c>
      <c r="C337" s="49" t="s">
        <v>237</v>
      </c>
      <c r="D337" s="49"/>
      <c r="E337" s="54">
        <v>220000</v>
      </c>
      <c r="F337" s="54">
        <v>0</v>
      </c>
      <c r="G337" s="62">
        <f>Tabla3[[#This Row],[EGRESOS]]-Tabla3[[#This Row],[INGRESOS]]</f>
        <v>220000</v>
      </c>
      <c r="H337" s="104"/>
      <c r="I337" s="16">
        <v>1450</v>
      </c>
      <c r="J337" s="14">
        <f>Tabla3[[#This Row],[EGRESOS]]/Tabla3[[#This Row],[TC]]</f>
        <v>151.72413793103448</v>
      </c>
      <c r="K337" s="14">
        <f>Tabla3[[#This Row],[INGRESOS]]/Tabla3[[#This Row],[TC]]</f>
        <v>0</v>
      </c>
      <c r="L337" s="7" t="s">
        <v>238</v>
      </c>
      <c r="M337" s="7" t="s">
        <v>238</v>
      </c>
      <c r="N337" s="7" t="s">
        <v>238</v>
      </c>
      <c r="O337" s="7" t="s">
        <v>17</v>
      </c>
      <c r="P337" s="7" t="s">
        <v>26</v>
      </c>
      <c r="Q337" s="7" t="s">
        <v>293</v>
      </c>
      <c r="R337" s="7" t="s">
        <v>307</v>
      </c>
      <c r="S337" s="7" t="s">
        <v>242</v>
      </c>
      <c r="T337" s="7"/>
      <c r="U337" s="8" t="s">
        <v>233</v>
      </c>
      <c r="V337" s="7"/>
      <c r="W337" s="7" t="s">
        <v>241</v>
      </c>
    </row>
    <row r="338" spans="1:23" x14ac:dyDescent="0.25">
      <c r="A338" s="52" t="str">
        <f t="shared" si="6"/>
        <v>ENERO</v>
      </c>
      <c r="B338" s="53">
        <v>46032</v>
      </c>
      <c r="C338" s="49" t="s">
        <v>237</v>
      </c>
      <c r="D338" s="49"/>
      <c r="E338" s="54">
        <v>26724</v>
      </c>
      <c r="F338" s="54">
        <v>0</v>
      </c>
      <c r="G338" s="62">
        <f>Tabla3[[#This Row],[EGRESOS]]-Tabla3[[#This Row],[INGRESOS]]</f>
        <v>26724</v>
      </c>
      <c r="H338" s="104"/>
      <c r="I338" s="16">
        <v>1450</v>
      </c>
      <c r="J338" s="14">
        <f>Tabla3[[#This Row],[EGRESOS]]/Tabla3[[#This Row],[TC]]</f>
        <v>18.430344827586207</v>
      </c>
      <c r="K338" s="14">
        <f>Tabla3[[#This Row],[INGRESOS]]/Tabla3[[#This Row],[TC]]</f>
        <v>0</v>
      </c>
      <c r="L338" s="7" t="s">
        <v>238</v>
      </c>
      <c r="M338" s="7" t="s">
        <v>238</v>
      </c>
      <c r="N338" s="7" t="s">
        <v>238</v>
      </c>
      <c r="O338" s="7" t="s">
        <v>17</v>
      </c>
      <c r="P338" s="7" t="s">
        <v>26</v>
      </c>
      <c r="Q338" s="7"/>
      <c r="R338" s="7" t="s">
        <v>429</v>
      </c>
      <c r="S338" s="7" t="s">
        <v>428</v>
      </c>
      <c r="T338" s="7"/>
      <c r="U338" s="8" t="s">
        <v>311</v>
      </c>
      <c r="V338" s="7"/>
      <c r="W338" s="7"/>
    </row>
    <row r="339" spans="1:23" x14ac:dyDescent="0.25">
      <c r="A339" s="52" t="str">
        <f t="shared" si="6"/>
        <v>ENERO</v>
      </c>
      <c r="B339" s="53">
        <v>46032</v>
      </c>
      <c r="C339" s="49" t="s">
        <v>237</v>
      </c>
      <c r="D339" s="49"/>
      <c r="E339" s="54">
        <v>150000</v>
      </c>
      <c r="F339" s="54">
        <v>0</v>
      </c>
      <c r="G339" s="62">
        <f>Tabla3[[#This Row],[EGRESOS]]-Tabla3[[#This Row],[INGRESOS]]</f>
        <v>150000</v>
      </c>
      <c r="H339" s="104"/>
      <c r="I339" s="16">
        <v>1450</v>
      </c>
      <c r="J339" s="14">
        <f>Tabla3[[#This Row],[EGRESOS]]/Tabla3[[#This Row],[TC]]</f>
        <v>103.44827586206897</v>
      </c>
      <c r="K339" s="14">
        <f>Tabla3[[#This Row],[INGRESOS]]/Tabla3[[#This Row],[TC]]</f>
        <v>0</v>
      </c>
      <c r="L339" s="7" t="s">
        <v>238</v>
      </c>
      <c r="M339" s="7" t="s">
        <v>238</v>
      </c>
      <c r="N339" s="7" t="s">
        <v>238</v>
      </c>
      <c r="O339" s="7" t="s">
        <v>52</v>
      </c>
      <c r="P339" s="7" t="s">
        <v>198</v>
      </c>
      <c r="Q339" s="7" t="s">
        <v>55</v>
      </c>
      <c r="R339" s="7" t="s">
        <v>434</v>
      </c>
      <c r="S339" s="7" t="s">
        <v>430</v>
      </c>
      <c r="T339" s="7"/>
      <c r="U339" s="8" t="s">
        <v>235</v>
      </c>
      <c r="V339" s="7"/>
      <c r="W339" s="7" t="s">
        <v>241</v>
      </c>
    </row>
    <row r="340" spans="1:23" x14ac:dyDescent="0.25">
      <c r="A340" s="52" t="str">
        <f t="shared" si="6"/>
        <v>ENERO</v>
      </c>
      <c r="B340" s="53">
        <v>46032</v>
      </c>
      <c r="C340" s="49" t="s">
        <v>237</v>
      </c>
      <c r="D340" s="49"/>
      <c r="E340" s="54">
        <v>500000</v>
      </c>
      <c r="F340" s="54">
        <v>0</v>
      </c>
      <c r="G340" s="62">
        <f>Tabla3[[#This Row],[EGRESOS]]-Tabla3[[#This Row],[INGRESOS]]</f>
        <v>500000</v>
      </c>
      <c r="H340" s="104"/>
      <c r="I340" s="16">
        <v>1450</v>
      </c>
      <c r="J340" s="14">
        <f>Tabla3[[#This Row],[EGRESOS]]/Tabla3[[#This Row],[TC]]</f>
        <v>344.82758620689657</v>
      </c>
      <c r="K340" s="14">
        <f>Tabla3[[#This Row],[INGRESOS]]/Tabla3[[#This Row],[TC]]</f>
        <v>0</v>
      </c>
      <c r="L340" s="7" t="s">
        <v>238</v>
      </c>
      <c r="M340" s="7" t="s">
        <v>238</v>
      </c>
      <c r="N340" s="7" t="s">
        <v>238</v>
      </c>
      <c r="O340" s="7" t="s">
        <v>17</v>
      </c>
      <c r="P340" s="7" t="s">
        <v>26</v>
      </c>
      <c r="Q340" s="7" t="s">
        <v>293</v>
      </c>
      <c r="R340" s="7"/>
      <c r="S340" s="7" t="s">
        <v>289</v>
      </c>
      <c r="T340" s="7"/>
      <c r="U340" s="8" t="s">
        <v>233</v>
      </c>
      <c r="V340" s="7"/>
      <c r="W340" s="7" t="s">
        <v>241</v>
      </c>
    </row>
    <row r="341" spans="1:23" x14ac:dyDescent="0.25">
      <c r="A341" s="52" t="str">
        <f t="shared" ref="A341:A344" si="7">"FEBRERO"</f>
        <v>FEBRERO</v>
      </c>
      <c r="B341" s="53">
        <v>46057</v>
      </c>
      <c r="C341" s="49" t="s">
        <v>237</v>
      </c>
      <c r="D341" s="49"/>
      <c r="E341" s="54">
        <v>292500</v>
      </c>
      <c r="F341" s="54">
        <v>0</v>
      </c>
      <c r="G341" s="62">
        <f>Tabla3[[#This Row],[EGRESOS]]-Tabla3[[#This Row],[INGRESOS]]</f>
        <v>292500</v>
      </c>
      <c r="H341" s="104"/>
      <c r="I341" s="16">
        <v>1450</v>
      </c>
      <c r="J341" s="14">
        <f>Tabla3[[#This Row],[EGRESOS]]/Tabla3[[#This Row],[TC]]</f>
        <v>201.72413793103448</v>
      </c>
      <c r="K341" s="14">
        <f>Tabla3[[#This Row],[INGRESOS]]/Tabla3[[#This Row],[TC]]</f>
        <v>0</v>
      </c>
      <c r="L341" s="7" t="s">
        <v>238</v>
      </c>
      <c r="M341" s="7" t="s">
        <v>238</v>
      </c>
      <c r="N341" s="7" t="s">
        <v>238</v>
      </c>
      <c r="O341" s="7" t="s">
        <v>17</v>
      </c>
      <c r="P341" s="7" t="s">
        <v>26</v>
      </c>
      <c r="Q341" s="7" t="s">
        <v>231</v>
      </c>
      <c r="R341" s="7" t="s">
        <v>435</v>
      </c>
      <c r="S341" s="7" t="s">
        <v>99</v>
      </c>
      <c r="T341" s="7"/>
      <c r="U341" s="7" t="s">
        <v>233</v>
      </c>
      <c r="V341" s="7"/>
      <c r="W341" s="7" t="s">
        <v>241</v>
      </c>
    </row>
    <row r="342" spans="1:23" x14ac:dyDescent="0.25">
      <c r="A342" s="52" t="str">
        <f t="shared" si="7"/>
        <v>FEBRERO</v>
      </c>
      <c r="B342" s="53">
        <v>46059</v>
      </c>
      <c r="C342" s="49" t="s">
        <v>237</v>
      </c>
      <c r="D342" s="49"/>
      <c r="E342" s="54">
        <v>750000</v>
      </c>
      <c r="F342" s="54">
        <v>0</v>
      </c>
      <c r="G342" s="62">
        <f>Tabla3[[#This Row],[EGRESOS]]-Tabla3[[#This Row],[INGRESOS]]</f>
        <v>750000</v>
      </c>
      <c r="H342" s="104"/>
      <c r="I342" s="16">
        <v>1450</v>
      </c>
      <c r="J342" s="14">
        <f>Tabla3[[#This Row],[EGRESOS]]/Tabla3[[#This Row],[TC]]</f>
        <v>517.24137931034488</v>
      </c>
      <c r="K342" s="14">
        <f>Tabla3[[#This Row],[INGRESOS]]/Tabla3[[#This Row],[TC]]</f>
        <v>0</v>
      </c>
      <c r="L342" s="7" t="s">
        <v>238</v>
      </c>
      <c r="M342" s="7" t="s">
        <v>238</v>
      </c>
      <c r="N342" s="7" t="s">
        <v>238</v>
      </c>
      <c r="O342" s="7" t="s">
        <v>17</v>
      </c>
      <c r="P342" s="7" t="s">
        <v>26</v>
      </c>
      <c r="Q342" s="7" t="s">
        <v>231</v>
      </c>
      <c r="R342" s="7" t="s">
        <v>435</v>
      </c>
      <c r="S342" s="7" t="s">
        <v>99</v>
      </c>
      <c r="T342" s="7"/>
      <c r="U342" s="7" t="s">
        <v>233</v>
      </c>
      <c r="V342" s="7"/>
      <c r="W342" s="7" t="s">
        <v>241</v>
      </c>
    </row>
    <row r="343" spans="1:23" x14ac:dyDescent="0.25">
      <c r="A343" s="52" t="str">
        <f t="shared" si="7"/>
        <v>FEBRERO</v>
      </c>
      <c r="B343" s="53">
        <v>46059</v>
      </c>
      <c r="C343" s="49" t="s">
        <v>237</v>
      </c>
      <c r="D343" s="49"/>
      <c r="E343" s="54">
        <v>30000</v>
      </c>
      <c r="F343" s="54">
        <v>0</v>
      </c>
      <c r="G343" s="62">
        <f>Tabla3[[#This Row],[EGRESOS]]-Tabla3[[#This Row],[INGRESOS]]</f>
        <v>30000</v>
      </c>
      <c r="H343" s="104"/>
      <c r="I343" s="16">
        <v>1450</v>
      </c>
      <c r="J343" s="14">
        <f>Tabla3[[#This Row],[EGRESOS]]/Tabla3[[#This Row],[TC]]</f>
        <v>20.689655172413794</v>
      </c>
      <c r="K343" s="14">
        <f>Tabla3[[#This Row],[INGRESOS]]/Tabla3[[#This Row],[TC]]</f>
        <v>0</v>
      </c>
      <c r="L343" s="7" t="s">
        <v>238</v>
      </c>
      <c r="M343" s="7" t="s">
        <v>238</v>
      </c>
      <c r="N343" s="7" t="s">
        <v>238</v>
      </c>
      <c r="O343" s="7" t="s">
        <v>17</v>
      </c>
      <c r="P343" s="7" t="s">
        <v>26</v>
      </c>
      <c r="Q343" s="7"/>
      <c r="R343" s="7"/>
      <c r="S343" s="7" t="s">
        <v>431</v>
      </c>
      <c r="T343" s="7"/>
      <c r="U343" s="7" t="s">
        <v>437</v>
      </c>
      <c r="V343" s="7"/>
      <c r="W343" s="7" t="s">
        <v>241</v>
      </c>
    </row>
    <row r="344" spans="1:23" x14ac:dyDescent="0.25">
      <c r="A344" s="52" t="str">
        <f t="shared" si="7"/>
        <v>FEBRERO</v>
      </c>
      <c r="B344" s="53">
        <v>46059</v>
      </c>
      <c r="C344" s="49" t="s">
        <v>237</v>
      </c>
      <c r="D344" s="49"/>
      <c r="E344" s="54">
        <v>180000</v>
      </c>
      <c r="F344" s="54">
        <v>0</v>
      </c>
      <c r="G344" s="62">
        <f>Tabla3[[#This Row],[EGRESOS]]-Tabla3[[#This Row],[INGRESOS]]</f>
        <v>180000</v>
      </c>
      <c r="H344" s="104"/>
      <c r="I344" s="16">
        <v>1450</v>
      </c>
      <c r="J344" s="14">
        <f>Tabla3[[#This Row],[EGRESOS]]/Tabla3[[#This Row],[TC]]</f>
        <v>124.13793103448276</v>
      </c>
      <c r="K344" s="14">
        <f>Tabla3[[#This Row],[INGRESOS]]/Tabla3[[#This Row],[TC]]</f>
        <v>0</v>
      </c>
      <c r="L344" s="7" t="s">
        <v>238</v>
      </c>
      <c r="M344" s="7" t="s">
        <v>238</v>
      </c>
      <c r="N344" s="7" t="s">
        <v>238</v>
      </c>
      <c r="O344" s="7" t="s">
        <v>17</v>
      </c>
      <c r="P344" s="7" t="s">
        <v>26</v>
      </c>
      <c r="Q344" s="7" t="s">
        <v>293</v>
      </c>
      <c r="R344" s="7"/>
      <c r="S344" s="7" t="s">
        <v>242</v>
      </c>
      <c r="T344" s="7"/>
      <c r="U344" s="7" t="s">
        <v>233</v>
      </c>
      <c r="V344" s="7"/>
      <c r="W344" s="7" t="s">
        <v>241</v>
      </c>
    </row>
    <row r="345" spans="1:23" x14ac:dyDescent="0.25">
      <c r="A345" s="52" t="str">
        <f>"FEBRERO"</f>
        <v>FEBRERO</v>
      </c>
      <c r="B345" s="53">
        <v>46062</v>
      </c>
      <c r="C345" s="49" t="s">
        <v>237</v>
      </c>
      <c r="D345" s="49"/>
      <c r="E345" s="54">
        <v>4807</v>
      </c>
      <c r="F345" s="54">
        <v>0</v>
      </c>
      <c r="G345" s="62">
        <f>Tabla3[[#This Row],[EGRESOS]]-Tabla3[[#This Row],[INGRESOS]]</f>
        <v>4807</v>
      </c>
      <c r="H345" s="104"/>
      <c r="I345" s="16">
        <v>1450</v>
      </c>
      <c r="J345" s="14">
        <f>Tabla3[[#This Row],[EGRESOS]]/Tabla3[[#This Row],[TC]]</f>
        <v>3.3151724137931033</v>
      </c>
      <c r="K345" s="14">
        <f>Tabla3[[#This Row],[INGRESOS]]/Tabla3[[#This Row],[TC]]</f>
        <v>0</v>
      </c>
      <c r="L345" s="7" t="s">
        <v>238</v>
      </c>
      <c r="M345" s="7" t="s">
        <v>238</v>
      </c>
      <c r="N345" s="7" t="s">
        <v>238</v>
      </c>
      <c r="O345" s="7" t="s">
        <v>17</v>
      </c>
      <c r="P345" s="7" t="s">
        <v>26</v>
      </c>
      <c r="Q345" s="7" t="s">
        <v>293</v>
      </c>
      <c r="R345" s="7" t="s">
        <v>307</v>
      </c>
      <c r="S345" s="7" t="s">
        <v>242</v>
      </c>
      <c r="T345" s="7"/>
      <c r="U345" s="7" t="s">
        <v>233</v>
      </c>
      <c r="V345" s="7"/>
      <c r="W345" s="7" t="s">
        <v>241</v>
      </c>
    </row>
    <row r="346" spans="1:23" x14ac:dyDescent="0.25">
      <c r="A346" s="52" t="str">
        <f>"FEBRERO"</f>
        <v>FEBRERO</v>
      </c>
      <c r="B346" s="53">
        <v>46063</v>
      </c>
      <c r="C346" s="49" t="s">
        <v>237</v>
      </c>
      <c r="D346" s="49"/>
      <c r="E346" s="54">
        <v>712000</v>
      </c>
      <c r="F346" s="54">
        <v>0</v>
      </c>
      <c r="G346" s="62">
        <f>Tabla3[[#This Row],[EGRESOS]]-Tabla3[[#This Row],[INGRESOS]]</f>
        <v>712000</v>
      </c>
      <c r="H346" s="104"/>
      <c r="I346" s="16">
        <v>1450</v>
      </c>
      <c r="J346" s="14">
        <f>Tabla3[[#This Row],[EGRESOS]]/Tabla3[[#This Row],[TC]]</f>
        <v>491.0344827586207</v>
      </c>
      <c r="K346" s="14">
        <f>Tabla3[[#This Row],[INGRESOS]]/Tabla3[[#This Row],[TC]]</f>
        <v>0</v>
      </c>
      <c r="L346" s="7" t="s">
        <v>238</v>
      </c>
      <c r="M346" s="7" t="s">
        <v>238</v>
      </c>
      <c r="N346" s="7" t="s">
        <v>238</v>
      </c>
      <c r="O346" s="7" t="s">
        <v>17</v>
      </c>
      <c r="P346" s="7" t="s">
        <v>26</v>
      </c>
      <c r="Q346" s="7" t="s">
        <v>231</v>
      </c>
      <c r="R346" s="7" t="s">
        <v>432</v>
      </c>
      <c r="S346" s="7" t="s">
        <v>99</v>
      </c>
      <c r="T346" s="7"/>
      <c r="U346" s="7" t="s">
        <v>233</v>
      </c>
      <c r="V346" s="7"/>
      <c r="W346" s="7" t="s">
        <v>241</v>
      </c>
    </row>
    <row r="347" spans="1:23" x14ac:dyDescent="0.25">
      <c r="A347" s="52" t="str">
        <f t="shared" ref="A347:A352" si="8">"FEBRERO"</f>
        <v>FEBRERO</v>
      </c>
      <c r="B347" s="53">
        <v>46072</v>
      </c>
      <c r="C347" s="49" t="s">
        <v>237</v>
      </c>
      <c r="D347" s="49"/>
      <c r="E347" s="54">
        <v>0</v>
      </c>
      <c r="F347" s="54">
        <v>1074765</v>
      </c>
      <c r="G347" s="62">
        <f>Tabla3[[#This Row],[EGRESOS]]-Tabla3[[#This Row],[INGRESOS]]</f>
        <v>-1074765</v>
      </c>
      <c r="H347" s="104"/>
      <c r="I347" s="16">
        <v>1450</v>
      </c>
      <c r="J347" s="14">
        <f>Tabla3[[#This Row],[EGRESOS]]/Tabla3[[#This Row],[TC]]</f>
        <v>0</v>
      </c>
      <c r="K347" s="14">
        <f>Tabla3[[#This Row],[INGRESOS]]/Tabla3[[#This Row],[TC]]</f>
        <v>741.21724137931039</v>
      </c>
      <c r="L347" s="7" t="s">
        <v>238</v>
      </c>
      <c r="M347" s="7" t="s">
        <v>238</v>
      </c>
      <c r="N347" s="7" t="s">
        <v>238</v>
      </c>
      <c r="O347" s="7" t="s">
        <v>17</v>
      </c>
      <c r="P347" s="7" t="s">
        <v>31</v>
      </c>
      <c r="Q347" s="7" t="s">
        <v>29</v>
      </c>
      <c r="R347" s="7"/>
      <c r="S347" s="7" t="s">
        <v>240</v>
      </c>
      <c r="T347" s="7"/>
      <c r="U347" s="8" t="s">
        <v>467</v>
      </c>
      <c r="V347" s="7"/>
      <c r="W347" s="7" t="s">
        <v>241</v>
      </c>
    </row>
    <row r="348" spans="1:23" x14ac:dyDescent="0.25">
      <c r="A348" s="52" t="str">
        <f t="shared" si="8"/>
        <v>FEBRERO</v>
      </c>
      <c r="B348" s="53">
        <v>46073</v>
      </c>
      <c r="C348" s="49" t="s">
        <v>237</v>
      </c>
      <c r="D348" s="49"/>
      <c r="E348" s="54">
        <v>43947</v>
      </c>
      <c r="F348" s="54">
        <v>0</v>
      </c>
      <c r="G348" s="62">
        <f>Tabla3[[#This Row],[EGRESOS]]-Tabla3[[#This Row],[INGRESOS]]</f>
        <v>43947</v>
      </c>
      <c r="H348" s="104"/>
      <c r="I348" s="16">
        <v>1450</v>
      </c>
      <c r="J348" s="14">
        <f>Tabla3[[#This Row],[EGRESOS]]/Tabla3[[#This Row],[TC]]</f>
        <v>30.308275862068964</v>
      </c>
      <c r="K348" s="14">
        <f>Tabla3[[#This Row],[INGRESOS]]/Tabla3[[#This Row],[TC]]</f>
        <v>0</v>
      </c>
      <c r="L348" s="7" t="s">
        <v>238</v>
      </c>
      <c r="M348" s="7" t="s">
        <v>238</v>
      </c>
      <c r="N348" s="7" t="s">
        <v>238</v>
      </c>
      <c r="O348" s="7" t="s">
        <v>17</v>
      </c>
      <c r="P348" s="7" t="s">
        <v>28</v>
      </c>
      <c r="Q348" s="7" t="s">
        <v>239</v>
      </c>
      <c r="R348" s="7" t="s">
        <v>442</v>
      </c>
      <c r="S348" s="7" t="s">
        <v>281</v>
      </c>
      <c r="T348" s="7"/>
      <c r="U348" s="7" t="s">
        <v>312</v>
      </c>
      <c r="V348" s="7" t="s">
        <v>98</v>
      </c>
      <c r="W348" s="7" t="s">
        <v>241</v>
      </c>
    </row>
    <row r="349" spans="1:23" x14ac:dyDescent="0.25">
      <c r="A349" s="52" t="str">
        <f t="shared" si="8"/>
        <v>FEBRERO</v>
      </c>
      <c r="B349" s="53">
        <v>46073</v>
      </c>
      <c r="C349" s="49" t="s">
        <v>237</v>
      </c>
      <c r="D349" s="49"/>
      <c r="E349" s="54">
        <v>235000</v>
      </c>
      <c r="F349" s="54">
        <v>0</v>
      </c>
      <c r="G349" s="62">
        <f>Tabla3[[#This Row],[EGRESOS]]-Tabla3[[#This Row],[INGRESOS]]</f>
        <v>235000</v>
      </c>
      <c r="H349" s="104"/>
      <c r="I349" s="16">
        <v>1450</v>
      </c>
      <c r="J349" s="14">
        <f>Tabla3[[#This Row],[EGRESOS]]/Tabla3[[#This Row],[TC]]</f>
        <v>162.06896551724137</v>
      </c>
      <c r="K349" s="14">
        <f>Tabla3[[#This Row],[INGRESOS]]/Tabla3[[#This Row],[TC]]</f>
        <v>0</v>
      </c>
      <c r="L349" s="7" t="s">
        <v>238</v>
      </c>
      <c r="M349" s="7" t="s">
        <v>238</v>
      </c>
      <c r="N349" s="7" t="s">
        <v>238</v>
      </c>
      <c r="O349" s="7" t="s">
        <v>17</v>
      </c>
      <c r="P349" s="7" t="s">
        <v>28</v>
      </c>
      <c r="Q349" s="7" t="s">
        <v>239</v>
      </c>
      <c r="R349" s="7" t="s">
        <v>443</v>
      </c>
      <c r="S349" s="7" t="s">
        <v>281</v>
      </c>
      <c r="T349" s="7"/>
      <c r="U349" s="7" t="s">
        <v>312</v>
      </c>
      <c r="V349" s="7" t="s">
        <v>98</v>
      </c>
      <c r="W349" s="7" t="s">
        <v>241</v>
      </c>
    </row>
    <row r="350" spans="1:23" x14ac:dyDescent="0.25">
      <c r="A350" s="52" t="str">
        <f t="shared" si="8"/>
        <v>FEBRERO</v>
      </c>
      <c r="B350" s="53">
        <v>46073</v>
      </c>
      <c r="C350" s="49" t="s">
        <v>237</v>
      </c>
      <c r="D350" s="49"/>
      <c r="E350" s="54">
        <v>200000</v>
      </c>
      <c r="F350" s="54">
        <v>0</v>
      </c>
      <c r="G350" s="62">
        <f>Tabla3[[#This Row],[EGRESOS]]-Tabla3[[#This Row],[INGRESOS]]</f>
        <v>200000</v>
      </c>
      <c r="H350" s="104"/>
      <c r="I350" s="16">
        <v>1450</v>
      </c>
      <c r="J350" s="14">
        <f>Tabla3[[#This Row],[EGRESOS]]/Tabla3[[#This Row],[TC]]</f>
        <v>137.93103448275863</v>
      </c>
      <c r="K350" s="14">
        <f>Tabla3[[#This Row],[INGRESOS]]/Tabla3[[#This Row],[TC]]</f>
        <v>0</v>
      </c>
      <c r="L350" s="7" t="s">
        <v>238</v>
      </c>
      <c r="M350" s="7" t="s">
        <v>238</v>
      </c>
      <c r="N350" s="7" t="s">
        <v>238</v>
      </c>
      <c r="O350" s="7" t="s">
        <v>17</v>
      </c>
      <c r="P350" s="7" t="s">
        <v>28</v>
      </c>
      <c r="Q350" s="7" t="s">
        <v>239</v>
      </c>
      <c r="R350" s="7" t="s">
        <v>237</v>
      </c>
      <c r="S350" s="7" t="s">
        <v>281</v>
      </c>
      <c r="T350" s="7"/>
      <c r="U350" s="7" t="s">
        <v>312</v>
      </c>
      <c r="V350" s="7" t="s">
        <v>98</v>
      </c>
      <c r="W350" s="7" t="s">
        <v>241</v>
      </c>
    </row>
    <row r="351" spans="1:23" x14ac:dyDescent="0.25">
      <c r="A351" s="52" t="str">
        <f t="shared" si="8"/>
        <v>FEBRERO</v>
      </c>
      <c r="B351" s="53">
        <v>46073</v>
      </c>
      <c r="C351" s="49" t="s">
        <v>237</v>
      </c>
      <c r="D351" s="49"/>
      <c r="E351" s="54">
        <v>495000</v>
      </c>
      <c r="F351" s="54">
        <v>0</v>
      </c>
      <c r="G351" s="62">
        <f>Tabla3[[#This Row],[EGRESOS]]-Tabla3[[#This Row],[INGRESOS]]</f>
        <v>495000</v>
      </c>
      <c r="H351" s="104"/>
      <c r="I351" s="16">
        <v>1450</v>
      </c>
      <c r="J351" s="14">
        <f>Tabla3[[#This Row],[EGRESOS]]/Tabla3[[#This Row],[TC]]</f>
        <v>341.37931034482756</v>
      </c>
      <c r="K351" s="14">
        <f>Tabla3[[#This Row],[INGRESOS]]/Tabla3[[#This Row],[TC]]</f>
        <v>0</v>
      </c>
      <c r="L351" s="7" t="s">
        <v>238</v>
      </c>
      <c r="M351" s="7" t="s">
        <v>238</v>
      </c>
      <c r="N351" s="7" t="s">
        <v>238</v>
      </c>
      <c r="O351" s="7" t="s">
        <v>17</v>
      </c>
      <c r="P351" s="7" t="s">
        <v>26</v>
      </c>
      <c r="Q351" s="7" t="s">
        <v>293</v>
      </c>
      <c r="R351" s="7"/>
      <c r="S351" s="7" t="s">
        <v>242</v>
      </c>
      <c r="T351" s="7"/>
      <c r="U351" s="7" t="s">
        <v>233</v>
      </c>
      <c r="V351" s="7"/>
      <c r="W351" s="7" t="s">
        <v>241</v>
      </c>
    </row>
    <row r="352" spans="1:23" x14ac:dyDescent="0.25">
      <c r="A352" s="52" t="str">
        <f t="shared" si="8"/>
        <v>FEBRERO</v>
      </c>
      <c r="B352" s="53">
        <v>46073</v>
      </c>
      <c r="C352" s="49" t="s">
        <v>237</v>
      </c>
      <c r="D352" s="49"/>
      <c r="E352" s="54">
        <v>104120</v>
      </c>
      <c r="F352" s="54">
        <v>0</v>
      </c>
      <c r="G352" s="62">
        <f>Tabla3[[#This Row],[EGRESOS]]-Tabla3[[#This Row],[INGRESOS]]</f>
        <v>104120</v>
      </c>
      <c r="H352" s="104"/>
      <c r="I352" s="16">
        <v>1450</v>
      </c>
      <c r="J352" s="14">
        <f>Tabla3[[#This Row],[EGRESOS]]/Tabla3[[#This Row],[TC]]</f>
        <v>71.806896551724137</v>
      </c>
      <c r="K352" s="14">
        <f>Tabla3[[#This Row],[INGRESOS]]/Tabla3[[#This Row],[TC]]</f>
        <v>0</v>
      </c>
      <c r="L352" s="7" t="s">
        <v>238</v>
      </c>
      <c r="M352" s="7" t="s">
        <v>238</v>
      </c>
      <c r="N352" s="7" t="s">
        <v>238</v>
      </c>
      <c r="O352" s="7" t="s">
        <v>17</v>
      </c>
      <c r="P352" s="7" t="s">
        <v>28</v>
      </c>
      <c r="Q352" s="7" t="s">
        <v>239</v>
      </c>
      <c r="R352" s="7" t="s">
        <v>444</v>
      </c>
      <c r="S352" s="7" t="s">
        <v>281</v>
      </c>
      <c r="T352" s="7"/>
      <c r="U352" s="7" t="s">
        <v>312</v>
      </c>
      <c r="V352" s="7" t="s">
        <v>98</v>
      </c>
      <c r="W352" s="7" t="s">
        <v>241</v>
      </c>
    </row>
  </sheetData>
  <phoneticPr fontId="15" type="noConversion"/>
  <pageMargins left="0.25" right="0.25" top="0.75" bottom="0.75" header="0.3" footer="0.3"/>
  <pageSetup paperSize="5" orientation="landscape" r:id="rId1"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22882-3F4F-4995-971B-907230BC5A32}">
  <sheetPr codeName="Hoja4">
    <tabColor theme="0" tint="-0.14999847407452621"/>
  </sheetPr>
  <dimension ref="A1:T38"/>
  <sheetViews>
    <sheetView workbookViewId="0">
      <selection activeCell="I33" sqref="I33"/>
    </sheetView>
  </sheetViews>
  <sheetFormatPr baseColWidth="10" defaultColWidth="11.42578125" defaultRowHeight="15" x14ac:dyDescent="0.25"/>
  <cols>
    <col min="1" max="1" width="1.140625" customWidth="1"/>
    <col min="2" max="2" width="36.140625" bestFit="1" customWidth="1"/>
    <col min="3" max="3" width="22.42578125" bestFit="1" customWidth="1"/>
    <col min="4" max="5" width="15.5703125" bestFit="1" customWidth="1"/>
    <col min="6" max="6" width="16.7109375" bestFit="1" customWidth="1"/>
    <col min="7" max="7" width="14.5703125" bestFit="1" customWidth="1"/>
    <col min="8" max="9" width="16.7109375" bestFit="1" customWidth="1"/>
    <col min="10" max="10" width="5.140625" customWidth="1"/>
    <col min="11" max="11" width="5.85546875" customWidth="1"/>
    <col min="12" max="12" width="36.140625" bestFit="1" customWidth="1"/>
    <col min="13" max="13" width="22.42578125" bestFit="1" customWidth="1"/>
    <col min="14" max="14" width="15.5703125" bestFit="1" customWidth="1"/>
    <col min="15" max="15" width="12.5703125" bestFit="1" customWidth="1"/>
    <col min="16" max="16" width="16.7109375" bestFit="1" customWidth="1"/>
    <col min="17" max="17" width="11.7109375" bestFit="1" customWidth="1"/>
    <col min="18" max="19" width="16.7109375" bestFit="1" customWidth="1"/>
    <col min="20" max="21" width="18.28515625" bestFit="1" customWidth="1"/>
  </cols>
  <sheetData>
    <row r="1" spans="1:20" ht="18.75" x14ac:dyDescent="0.3">
      <c r="A1" s="7"/>
      <c r="B1" s="20" t="s">
        <v>468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</row>
    <row r="2" spans="1:20" x14ac:dyDescent="0.25">
      <c r="A2" s="7"/>
      <c r="B2" s="65" t="s">
        <v>190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</row>
    <row r="3" spans="1:20" x14ac:dyDescent="0.25">
      <c r="A3" s="7"/>
      <c r="B3" s="64" t="s">
        <v>13</v>
      </c>
      <c r="C3" s="21" t="s">
        <v>59</v>
      </c>
      <c r="D3" s="123"/>
      <c r="E3" s="123"/>
      <c r="F3" s="123"/>
      <c r="G3" s="123"/>
      <c r="H3" s="22"/>
      <c r="I3" s="7"/>
      <c r="J3" s="7"/>
      <c r="K3" s="7"/>
      <c r="L3" s="63" t="s">
        <v>14</v>
      </c>
      <c r="M3" s="21" t="s">
        <v>59</v>
      </c>
      <c r="N3" s="123"/>
      <c r="O3" s="123"/>
      <c r="P3" s="123"/>
      <c r="Q3" s="123"/>
      <c r="R3" s="22"/>
    </row>
    <row r="4" spans="1:20" x14ac:dyDescent="0.25">
      <c r="A4" s="7"/>
      <c r="B4" s="21" t="s">
        <v>12</v>
      </c>
      <c r="C4" s="23" t="s">
        <v>17</v>
      </c>
      <c r="D4" s="24" t="s">
        <v>34</v>
      </c>
      <c r="E4" s="24" t="s">
        <v>39</v>
      </c>
      <c r="F4" s="24" t="s">
        <v>251</v>
      </c>
      <c r="G4" s="24" t="s">
        <v>52</v>
      </c>
      <c r="H4" s="25" t="s">
        <v>58</v>
      </c>
      <c r="I4" s="7"/>
      <c r="J4" s="7"/>
      <c r="K4" s="7"/>
      <c r="L4" s="21" t="s">
        <v>12</v>
      </c>
      <c r="M4" s="23" t="s">
        <v>17</v>
      </c>
      <c r="N4" s="24" t="s">
        <v>34</v>
      </c>
      <c r="O4" s="24" t="s">
        <v>39</v>
      </c>
      <c r="P4" s="24" t="s">
        <v>251</v>
      </c>
      <c r="Q4" s="24" t="s">
        <v>52</v>
      </c>
      <c r="R4" s="25" t="s">
        <v>58</v>
      </c>
    </row>
    <row r="5" spans="1:20" x14ac:dyDescent="0.25">
      <c r="A5" s="7"/>
      <c r="B5" s="26" t="s">
        <v>60</v>
      </c>
      <c r="C5" s="105">
        <v>19437063.59</v>
      </c>
      <c r="D5" s="106">
        <v>7022574.9000000004</v>
      </c>
      <c r="E5" s="106">
        <v>6368449.9900000002</v>
      </c>
      <c r="F5" s="106">
        <v>38523423.590000004</v>
      </c>
      <c r="G5" s="106">
        <v>4078511.66</v>
      </c>
      <c r="H5" s="29">
        <v>75430023.730000004</v>
      </c>
      <c r="I5" s="7"/>
      <c r="J5" s="7"/>
      <c r="K5" s="7"/>
      <c r="L5" s="26" t="s">
        <v>60</v>
      </c>
      <c r="M5" s="27">
        <v>2652487.5299999998</v>
      </c>
      <c r="N5" s="28">
        <v>64686741.090000004</v>
      </c>
      <c r="O5" s="28">
        <v>0</v>
      </c>
      <c r="P5" s="28">
        <v>36702718.060000002</v>
      </c>
      <c r="Q5" s="28">
        <v>0</v>
      </c>
      <c r="R5" s="29">
        <v>104041946.68000001</v>
      </c>
    </row>
    <row r="6" spans="1:20" x14ac:dyDescent="0.25">
      <c r="A6" s="7"/>
      <c r="B6" s="80" t="s">
        <v>283</v>
      </c>
      <c r="C6" s="30"/>
      <c r="D6" s="31">
        <v>2469057.2000000002</v>
      </c>
      <c r="E6" s="31">
        <v>750000</v>
      </c>
      <c r="F6" s="31"/>
      <c r="G6" s="31"/>
      <c r="H6" s="145">
        <v>3219057.2</v>
      </c>
      <c r="I6" s="7"/>
      <c r="J6" s="7"/>
      <c r="K6" s="7"/>
      <c r="L6" s="80" t="s">
        <v>283</v>
      </c>
      <c r="M6" s="30"/>
      <c r="N6" s="31">
        <v>0</v>
      </c>
      <c r="O6" s="31">
        <v>0</v>
      </c>
      <c r="P6" s="31"/>
      <c r="Q6" s="31"/>
      <c r="R6" s="145">
        <v>0</v>
      </c>
    </row>
    <row r="7" spans="1:20" x14ac:dyDescent="0.25">
      <c r="A7" s="7"/>
      <c r="B7" s="80" t="s">
        <v>235</v>
      </c>
      <c r="C7" s="30"/>
      <c r="D7" s="31">
        <v>4553517.7</v>
      </c>
      <c r="E7" s="31">
        <v>5356449.99</v>
      </c>
      <c r="F7" s="31"/>
      <c r="G7" s="31">
        <v>4078511.66</v>
      </c>
      <c r="H7" s="145">
        <v>13988479.350000001</v>
      </c>
      <c r="I7" s="7"/>
      <c r="J7" s="7"/>
      <c r="K7" s="7"/>
      <c r="L7" s="80" t="s">
        <v>235</v>
      </c>
      <c r="M7" s="30"/>
      <c r="N7" s="31">
        <v>0</v>
      </c>
      <c r="O7" s="31">
        <v>0</v>
      </c>
      <c r="P7" s="31"/>
      <c r="Q7" s="31">
        <v>0</v>
      </c>
      <c r="R7" s="145">
        <v>0</v>
      </c>
    </row>
    <row r="8" spans="1:20" x14ac:dyDescent="0.25">
      <c r="A8" s="7"/>
      <c r="B8" s="80" t="s">
        <v>61</v>
      </c>
      <c r="C8" s="30">
        <v>2381820.0700000003</v>
      </c>
      <c r="D8" s="31"/>
      <c r="E8" s="31">
        <v>209000</v>
      </c>
      <c r="F8" s="31"/>
      <c r="G8" s="31"/>
      <c r="H8" s="145">
        <v>2590820.0700000003</v>
      </c>
      <c r="I8" s="7"/>
      <c r="J8" s="7"/>
      <c r="K8" s="7"/>
      <c r="L8" s="80" t="s">
        <v>61</v>
      </c>
      <c r="M8" s="30">
        <v>66987.53</v>
      </c>
      <c r="N8" s="31"/>
      <c r="O8" s="31">
        <v>0</v>
      </c>
      <c r="P8" s="31"/>
      <c r="Q8" s="31"/>
      <c r="R8" s="145">
        <v>66987.53</v>
      </c>
    </row>
    <row r="9" spans="1:20" x14ac:dyDescent="0.25">
      <c r="A9" s="7"/>
      <c r="B9" s="80" t="s">
        <v>253</v>
      </c>
      <c r="C9" s="30"/>
      <c r="D9" s="31"/>
      <c r="E9" s="31"/>
      <c r="F9" s="31">
        <v>36702718.060000002</v>
      </c>
      <c r="G9" s="31"/>
      <c r="H9" s="145">
        <v>36702718.060000002</v>
      </c>
      <c r="I9" s="7"/>
      <c r="J9" s="7"/>
      <c r="K9" s="7"/>
      <c r="L9" s="80" t="s">
        <v>253</v>
      </c>
      <c r="M9" s="30"/>
      <c r="N9" s="31"/>
      <c r="O9" s="31"/>
      <c r="P9" s="31">
        <v>36702718.060000002</v>
      </c>
      <c r="Q9" s="31"/>
      <c r="R9" s="145">
        <v>36702718.060000002</v>
      </c>
    </row>
    <row r="10" spans="1:20" x14ac:dyDescent="0.25">
      <c r="A10" s="7"/>
      <c r="B10" s="80" t="s">
        <v>311</v>
      </c>
      <c r="C10" s="30">
        <v>26724</v>
      </c>
      <c r="D10" s="31"/>
      <c r="E10" s="31">
        <v>35000</v>
      </c>
      <c r="F10" s="31"/>
      <c r="G10" s="31"/>
      <c r="H10" s="145">
        <v>61724</v>
      </c>
      <c r="I10" s="7"/>
      <c r="J10" s="7"/>
      <c r="K10" s="7"/>
      <c r="L10" s="80" t="s">
        <v>311</v>
      </c>
      <c r="M10" s="30">
        <v>0</v>
      </c>
      <c r="N10" s="31"/>
      <c r="O10" s="31">
        <v>0</v>
      </c>
      <c r="P10" s="31"/>
      <c r="Q10" s="31"/>
      <c r="R10" s="145">
        <v>0</v>
      </c>
    </row>
    <row r="11" spans="1:20" x14ac:dyDescent="0.25">
      <c r="A11" s="7"/>
      <c r="B11" s="80" t="s">
        <v>436</v>
      </c>
      <c r="C11" s="30"/>
      <c r="D11" s="31"/>
      <c r="E11" s="31">
        <v>18000</v>
      </c>
      <c r="F11" s="31"/>
      <c r="G11" s="31"/>
      <c r="H11" s="145">
        <v>18000</v>
      </c>
      <c r="I11" s="7"/>
      <c r="J11" s="7"/>
      <c r="K11" s="7"/>
      <c r="L11" s="80" t="s">
        <v>436</v>
      </c>
      <c r="M11" s="30"/>
      <c r="N11" s="31"/>
      <c r="O11" s="31">
        <v>0</v>
      </c>
      <c r="P11" s="31"/>
      <c r="Q11" s="31"/>
      <c r="R11" s="32">
        <v>0</v>
      </c>
    </row>
    <row r="12" spans="1:20" x14ac:dyDescent="0.25">
      <c r="A12" s="7"/>
      <c r="B12" s="80" t="s">
        <v>233</v>
      </c>
      <c r="C12" s="30">
        <v>6164361.5199999996</v>
      </c>
      <c r="D12" s="31"/>
      <c r="E12" s="31"/>
      <c r="F12" s="31"/>
      <c r="G12" s="31"/>
      <c r="H12" s="145">
        <v>6164361.5199999996</v>
      </c>
      <c r="I12" s="7"/>
      <c r="J12" s="7"/>
      <c r="K12" s="7"/>
      <c r="L12" s="80" t="s">
        <v>233</v>
      </c>
      <c r="M12" s="30">
        <v>0</v>
      </c>
      <c r="N12" s="31"/>
      <c r="O12" s="31"/>
      <c r="P12" s="31"/>
      <c r="Q12" s="31"/>
      <c r="R12" s="145">
        <v>0</v>
      </c>
    </row>
    <row r="13" spans="1:20" x14ac:dyDescent="0.25">
      <c r="A13" s="7"/>
      <c r="B13" s="80" t="s">
        <v>266</v>
      </c>
      <c r="C13" s="30">
        <v>2588000</v>
      </c>
      <c r="D13" s="31"/>
      <c r="E13" s="31"/>
      <c r="F13" s="31"/>
      <c r="G13" s="31"/>
      <c r="H13" s="145">
        <v>2588000</v>
      </c>
      <c r="I13" s="7"/>
      <c r="J13" s="7"/>
      <c r="K13" s="7"/>
      <c r="L13" s="80" t="s">
        <v>266</v>
      </c>
      <c r="M13" s="30">
        <v>0</v>
      </c>
      <c r="N13" s="31"/>
      <c r="O13" s="31"/>
      <c r="P13" s="31"/>
      <c r="Q13" s="31"/>
      <c r="R13" s="145">
        <v>0</v>
      </c>
    </row>
    <row r="14" spans="1:20" x14ac:dyDescent="0.25">
      <c r="A14" s="7"/>
      <c r="B14" s="80" t="s">
        <v>310</v>
      </c>
      <c r="C14" s="30">
        <v>2000000</v>
      </c>
      <c r="D14" s="31"/>
      <c r="E14" s="31"/>
      <c r="F14" s="31"/>
      <c r="G14" s="31"/>
      <c r="H14" s="145">
        <v>2000000</v>
      </c>
      <c r="I14" s="7"/>
      <c r="J14" s="7"/>
      <c r="K14" s="7"/>
      <c r="L14" s="80" t="s">
        <v>310</v>
      </c>
      <c r="M14" s="30">
        <v>0</v>
      </c>
      <c r="N14" s="31"/>
      <c r="O14" s="31"/>
      <c r="P14" s="31"/>
      <c r="Q14" s="31"/>
      <c r="R14" s="145">
        <v>0</v>
      </c>
    </row>
    <row r="15" spans="1:20" x14ac:dyDescent="0.25">
      <c r="A15" s="7"/>
      <c r="B15" s="80" t="s">
        <v>312</v>
      </c>
      <c r="C15" s="30">
        <v>2795658</v>
      </c>
      <c r="D15" s="31"/>
      <c r="E15" s="31"/>
      <c r="F15" s="31"/>
      <c r="G15" s="31"/>
      <c r="H15" s="145">
        <v>2795658</v>
      </c>
      <c r="I15" s="7"/>
      <c r="J15" s="7"/>
      <c r="K15" s="7"/>
      <c r="L15" s="80" t="s">
        <v>312</v>
      </c>
      <c r="M15" s="30">
        <v>0</v>
      </c>
      <c r="N15" s="31"/>
      <c r="O15" s="31"/>
      <c r="P15" s="31"/>
      <c r="Q15" s="31"/>
      <c r="R15" s="145">
        <v>0</v>
      </c>
    </row>
    <row r="16" spans="1:20" x14ac:dyDescent="0.25">
      <c r="A16" s="7"/>
      <c r="B16" s="80" t="s">
        <v>313</v>
      </c>
      <c r="C16" s="30">
        <v>0</v>
      </c>
      <c r="D16" s="31"/>
      <c r="E16" s="31"/>
      <c r="F16" s="31"/>
      <c r="G16" s="31"/>
      <c r="H16" s="145">
        <v>0</v>
      </c>
      <c r="I16" s="7"/>
      <c r="J16" s="7"/>
      <c r="K16" s="7"/>
      <c r="L16" s="80" t="s">
        <v>313</v>
      </c>
      <c r="M16" s="30">
        <v>135000</v>
      </c>
      <c r="N16" s="31"/>
      <c r="O16" s="31"/>
      <c r="P16" s="31"/>
      <c r="Q16" s="31"/>
      <c r="R16" s="145">
        <v>135000</v>
      </c>
    </row>
    <row r="17" spans="1:18" x14ac:dyDescent="0.25">
      <c r="A17" s="7"/>
      <c r="B17" s="80" t="s">
        <v>314</v>
      </c>
      <c r="C17" s="30"/>
      <c r="D17" s="31">
        <v>0</v>
      </c>
      <c r="E17" s="31"/>
      <c r="F17" s="31"/>
      <c r="G17" s="31"/>
      <c r="H17" s="145">
        <v>0</v>
      </c>
      <c r="I17" s="7"/>
      <c r="J17" s="7"/>
      <c r="K17" s="7"/>
      <c r="L17" s="80" t="s">
        <v>314</v>
      </c>
      <c r="M17" s="30"/>
      <c r="N17" s="31">
        <v>64686741.090000004</v>
      </c>
      <c r="O17" s="31"/>
      <c r="P17" s="31"/>
      <c r="Q17" s="31"/>
      <c r="R17" s="145">
        <v>64686741.090000004</v>
      </c>
    </row>
    <row r="18" spans="1:18" x14ac:dyDescent="0.25">
      <c r="A18" s="7"/>
      <c r="B18" s="80" t="s">
        <v>267</v>
      </c>
      <c r="C18" s="30"/>
      <c r="D18" s="31"/>
      <c r="E18" s="31"/>
      <c r="F18" s="31">
        <v>1820705.53</v>
      </c>
      <c r="G18" s="31"/>
      <c r="H18" s="145">
        <v>1820705.53</v>
      </c>
      <c r="I18" s="7"/>
      <c r="J18" s="7"/>
      <c r="K18" s="7"/>
      <c r="L18" s="80" t="s">
        <v>267</v>
      </c>
      <c r="M18" s="30"/>
      <c r="N18" s="31"/>
      <c r="O18" s="31"/>
      <c r="P18" s="31">
        <v>0</v>
      </c>
      <c r="Q18" s="31"/>
      <c r="R18" s="145">
        <v>0</v>
      </c>
    </row>
    <row r="19" spans="1:18" x14ac:dyDescent="0.25">
      <c r="A19" s="7"/>
      <c r="B19" s="80" t="s">
        <v>467</v>
      </c>
      <c r="C19" s="30">
        <v>3480500</v>
      </c>
      <c r="D19" s="31"/>
      <c r="E19" s="31"/>
      <c r="F19" s="31"/>
      <c r="G19" s="31"/>
      <c r="H19" s="145">
        <v>3480500</v>
      </c>
      <c r="I19" s="7"/>
      <c r="J19" s="7"/>
      <c r="K19" s="7"/>
      <c r="L19" s="80" t="s">
        <v>467</v>
      </c>
      <c r="M19" s="30">
        <v>2450500</v>
      </c>
      <c r="N19" s="31"/>
      <c r="O19" s="31"/>
      <c r="P19" s="31"/>
      <c r="Q19" s="31"/>
      <c r="R19" s="145">
        <v>2450500</v>
      </c>
    </row>
    <row r="20" spans="1:18" x14ac:dyDescent="0.25">
      <c r="A20" s="7"/>
      <c r="B20" s="107" t="s">
        <v>62</v>
      </c>
      <c r="C20" s="108">
        <v>19123430.66</v>
      </c>
      <c r="D20" s="109">
        <v>10589918.560000001</v>
      </c>
      <c r="E20" s="109">
        <v>7149598.71</v>
      </c>
      <c r="F20" s="109">
        <v>119989215.92</v>
      </c>
      <c r="G20" s="109">
        <v>1370600.02</v>
      </c>
      <c r="H20" s="32">
        <v>158222763.87</v>
      </c>
      <c r="I20" s="7"/>
      <c r="J20" s="7"/>
      <c r="K20" s="7"/>
      <c r="L20" s="107" t="s">
        <v>62</v>
      </c>
      <c r="M20" s="30">
        <v>3784765</v>
      </c>
      <c r="N20" s="31">
        <v>702900</v>
      </c>
      <c r="O20" s="31">
        <v>0</v>
      </c>
      <c r="P20" s="31">
        <v>120999174.36</v>
      </c>
      <c r="Q20" s="31">
        <v>0</v>
      </c>
      <c r="R20" s="32">
        <v>125486839.36</v>
      </c>
    </row>
    <row r="21" spans="1:18" x14ac:dyDescent="0.25">
      <c r="A21" s="7"/>
      <c r="B21" s="80" t="s">
        <v>283</v>
      </c>
      <c r="C21" s="30"/>
      <c r="D21" s="31">
        <v>10000000</v>
      </c>
      <c r="E21" s="31">
        <v>2164212.0300000003</v>
      </c>
      <c r="F21" s="31"/>
      <c r="G21" s="31"/>
      <c r="H21" s="145">
        <v>12164212.030000001</v>
      </c>
      <c r="I21" s="7"/>
      <c r="J21" s="7"/>
      <c r="K21" s="7"/>
      <c r="L21" s="80" t="s">
        <v>283</v>
      </c>
      <c r="M21" s="30"/>
      <c r="N21" s="31">
        <v>0</v>
      </c>
      <c r="O21" s="31">
        <v>0</v>
      </c>
      <c r="P21" s="31"/>
      <c r="Q21" s="31"/>
      <c r="R21" s="145">
        <v>0</v>
      </c>
    </row>
    <row r="22" spans="1:18" x14ac:dyDescent="0.25">
      <c r="A22" s="7"/>
      <c r="B22" s="80" t="s">
        <v>235</v>
      </c>
      <c r="C22" s="30">
        <v>100000</v>
      </c>
      <c r="D22" s="31">
        <v>589918.56000000006</v>
      </c>
      <c r="E22" s="31">
        <v>4605386.68</v>
      </c>
      <c r="F22" s="31"/>
      <c r="G22" s="31">
        <v>1370600.02</v>
      </c>
      <c r="H22" s="145">
        <v>6665905.2599999998</v>
      </c>
      <c r="I22" s="7"/>
      <c r="J22" s="7"/>
      <c r="K22" s="7"/>
      <c r="L22" s="80" t="s">
        <v>235</v>
      </c>
      <c r="M22" s="30">
        <v>0</v>
      </c>
      <c r="N22" s="31">
        <v>0</v>
      </c>
      <c r="O22" s="31">
        <v>0</v>
      </c>
      <c r="P22" s="31"/>
      <c r="Q22" s="31">
        <v>0</v>
      </c>
      <c r="R22" s="145">
        <v>0</v>
      </c>
    </row>
    <row r="23" spans="1:18" x14ac:dyDescent="0.25">
      <c r="A23" s="7"/>
      <c r="B23" s="80" t="s">
        <v>466</v>
      </c>
      <c r="C23" s="30"/>
      <c r="D23" s="31"/>
      <c r="E23" s="31"/>
      <c r="F23" s="31">
        <v>0</v>
      </c>
      <c r="G23" s="31"/>
      <c r="H23" s="145">
        <v>0</v>
      </c>
      <c r="I23" s="7"/>
      <c r="J23" s="7"/>
      <c r="K23" s="7"/>
      <c r="L23" s="80" t="s">
        <v>466</v>
      </c>
      <c r="M23" s="30"/>
      <c r="N23" s="31"/>
      <c r="O23" s="31"/>
      <c r="P23" s="31">
        <v>28420000</v>
      </c>
      <c r="Q23" s="31"/>
      <c r="R23" s="145">
        <v>28420000</v>
      </c>
    </row>
    <row r="24" spans="1:18" x14ac:dyDescent="0.25">
      <c r="A24" s="7"/>
      <c r="B24" s="80" t="s">
        <v>61</v>
      </c>
      <c r="C24" s="30">
        <v>2126880.4499999993</v>
      </c>
      <c r="D24" s="31"/>
      <c r="E24" s="31"/>
      <c r="F24" s="31"/>
      <c r="G24" s="31"/>
      <c r="H24" s="145">
        <v>2126880.4499999993</v>
      </c>
      <c r="I24" s="7"/>
      <c r="J24" s="7"/>
      <c r="K24" s="7"/>
      <c r="L24" s="80" t="s">
        <v>61</v>
      </c>
      <c r="M24" s="30">
        <v>0</v>
      </c>
      <c r="N24" s="31"/>
      <c r="O24" s="31"/>
      <c r="P24" s="31"/>
      <c r="Q24" s="31"/>
      <c r="R24" s="145">
        <v>0</v>
      </c>
    </row>
    <row r="25" spans="1:18" x14ac:dyDescent="0.25">
      <c r="A25" s="7"/>
      <c r="B25" s="80" t="s">
        <v>253</v>
      </c>
      <c r="C25" s="30"/>
      <c r="D25" s="31"/>
      <c r="E25" s="31"/>
      <c r="F25" s="31">
        <v>63083174.359999999</v>
      </c>
      <c r="G25" s="31"/>
      <c r="H25" s="145">
        <v>63083174.359999999</v>
      </c>
      <c r="I25" s="7"/>
      <c r="J25" s="7"/>
      <c r="K25" s="7"/>
      <c r="L25" s="80" t="s">
        <v>253</v>
      </c>
      <c r="M25" s="30"/>
      <c r="N25" s="31"/>
      <c r="O25" s="31"/>
      <c r="P25" s="31">
        <v>63083174.359999999</v>
      </c>
      <c r="Q25" s="31"/>
      <c r="R25" s="145">
        <v>63083174.359999999</v>
      </c>
    </row>
    <row r="26" spans="1:18" x14ac:dyDescent="0.25">
      <c r="A26" s="7"/>
      <c r="B26" s="80" t="s">
        <v>436</v>
      </c>
      <c r="C26" s="30"/>
      <c r="D26" s="31"/>
      <c r="E26" s="31">
        <v>380000</v>
      </c>
      <c r="F26" s="31"/>
      <c r="G26" s="31"/>
      <c r="H26" s="145">
        <v>380000</v>
      </c>
      <c r="I26" s="7"/>
      <c r="J26" s="7"/>
      <c r="K26" s="7"/>
      <c r="L26" s="80" t="s">
        <v>436</v>
      </c>
      <c r="M26" s="30"/>
      <c r="N26" s="31"/>
      <c r="O26" s="31">
        <v>0</v>
      </c>
      <c r="P26" s="31"/>
      <c r="Q26" s="31"/>
      <c r="R26" s="145">
        <v>0</v>
      </c>
    </row>
    <row r="27" spans="1:18" x14ac:dyDescent="0.25">
      <c r="A27" s="7"/>
      <c r="B27" s="80" t="s">
        <v>437</v>
      </c>
      <c r="C27" s="30">
        <v>30000</v>
      </c>
      <c r="D27" s="31"/>
      <c r="E27" s="31"/>
      <c r="F27" s="31"/>
      <c r="G27" s="31"/>
      <c r="H27" s="145">
        <v>30000</v>
      </c>
      <c r="I27" s="7"/>
      <c r="J27" s="7"/>
      <c r="K27" s="7"/>
      <c r="L27" s="80" t="s">
        <v>437</v>
      </c>
      <c r="M27" s="30">
        <v>0</v>
      </c>
      <c r="N27" s="31"/>
      <c r="O27" s="31"/>
      <c r="P27" s="31"/>
      <c r="Q27" s="31"/>
      <c r="R27" s="145">
        <v>0</v>
      </c>
    </row>
    <row r="28" spans="1:18" x14ac:dyDescent="0.25">
      <c r="A28" s="7"/>
      <c r="B28" s="80" t="s">
        <v>233</v>
      </c>
      <c r="C28" s="30">
        <v>3381498.21</v>
      </c>
      <c r="D28" s="31"/>
      <c r="E28" s="31"/>
      <c r="F28" s="31"/>
      <c r="G28" s="31"/>
      <c r="H28" s="145">
        <v>3381498.21</v>
      </c>
      <c r="I28" s="7"/>
      <c r="J28" s="7"/>
      <c r="K28" s="7"/>
      <c r="L28" s="80" t="s">
        <v>233</v>
      </c>
      <c r="M28" s="30">
        <v>0</v>
      </c>
      <c r="N28" s="31"/>
      <c r="O28" s="31"/>
      <c r="P28" s="31"/>
      <c r="Q28" s="31"/>
      <c r="R28" s="145">
        <v>0</v>
      </c>
    </row>
    <row r="29" spans="1:18" x14ac:dyDescent="0.25">
      <c r="A29" s="7"/>
      <c r="B29" s="80" t="s">
        <v>266</v>
      </c>
      <c r="C29" s="30">
        <v>8213000</v>
      </c>
      <c r="D29" s="31"/>
      <c r="E29" s="31"/>
      <c r="F29" s="31"/>
      <c r="G29" s="31"/>
      <c r="H29" s="145">
        <v>8213000</v>
      </c>
      <c r="I29" s="7"/>
      <c r="J29" s="7"/>
      <c r="K29" s="7"/>
      <c r="L29" s="80" t="s">
        <v>266</v>
      </c>
      <c r="M29" s="30">
        <v>0</v>
      </c>
      <c r="N29" s="31"/>
      <c r="O29" s="31"/>
      <c r="P29" s="31"/>
      <c r="Q29" s="31"/>
      <c r="R29" s="145">
        <v>0</v>
      </c>
    </row>
    <row r="30" spans="1:18" x14ac:dyDescent="0.25">
      <c r="A30" s="7"/>
      <c r="B30" s="80" t="s">
        <v>310</v>
      </c>
      <c r="C30" s="30">
        <v>1000000</v>
      </c>
      <c r="D30" s="31"/>
      <c r="E30" s="31"/>
      <c r="F30" s="31"/>
      <c r="G30" s="31"/>
      <c r="H30" s="145">
        <v>1000000</v>
      </c>
      <c r="I30" s="7"/>
      <c r="J30" s="7"/>
      <c r="K30" s="7"/>
      <c r="L30" s="80" t="s">
        <v>310</v>
      </c>
      <c r="M30" s="30">
        <v>0</v>
      </c>
      <c r="N30" s="31"/>
      <c r="O30" s="31"/>
      <c r="P30" s="31"/>
      <c r="Q30" s="31"/>
      <c r="R30" s="145">
        <v>0</v>
      </c>
    </row>
    <row r="31" spans="1:18" x14ac:dyDescent="0.25">
      <c r="A31" s="7"/>
      <c r="B31" s="80" t="s">
        <v>312</v>
      </c>
      <c r="C31" s="30">
        <v>1583067</v>
      </c>
      <c r="D31" s="31"/>
      <c r="E31" s="31"/>
      <c r="F31" s="31"/>
      <c r="G31" s="31"/>
      <c r="H31" s="145">
        <v>1583067</v>
      </c>
      <c r="I31" s="7"/>
      <c r="J31" s="7"/>
      <c r="K31" s="7"/>
      <c r="L31" s="80" t="s">
        <v>312</v>
      </c>
      <c r="M31" s="30">
        <v>0</v>
      </c>
      <c r="N31" s="31"/>
      <c r="O31" s="31"/>
      <c r="P31" s="31"/>
      <c r="Q31" s="31"/>
      <c r="R31" s="145">
        <v>0</v>
      </c>
    </row>
    <row r="32" spans="1:18" x14ac:dyDescent="0.25">
      <c r="A32" s="7"/>
      <c r="B32" s="80" t="s">
        <v>313</v>
      </c>
      <c r="C32" s="30">
        <v>1510000</v>
      </c>
      <c r="D32" s="31"/>
      <c r="E32" s="31"/>
      <c r="F32" s="31"/>
      <c r="G32" s="31"/>
      <c r="H32" s="145">
        <v>1510000</v>
      </c>
      <c r="I32" s="7"/>
      <c r="J32" s="7"/>
      <c r="K32" s="7"/>
      <c r="L32" s="80" t="s">
        <v>313</v>
      </c>
      <c r="M32" s="30">
        <v>1510000</v>
      </c>
      <c r="N32" s="31"/>
      <c r="O32" s="31"/>
      <c r="P32" s="31"/>
      <c r="Q32" s="31"/>
      <c r="R32" s="145">
        <v>1510000</v>
      </c>
    </row>
    <row r="33" spans="1:18" x14ac:dyDescent="0.25">
      <c r="A33" s="7"/>
      <c r="B33" s="80" t="s">
        <v>314</v>
      </c>
      <c r="C33" s="30"/>
      <c r="D33" s="31">
        <v>0</v>
      </c>
      <c r="E33" s="31"/>
      <c r="F33" s="31"/>
      <c r="G33" s="31"/>
      <c r="H33" s="145">
        <v>0</v>
      </c>
      <c r="I33" s="7"/>
      <c r="J33" s="7"/>
      <c r="K33" s="7"/>
      <c r="L33" s="80" t="s">
        <v>314</v>
      </c>
      <c r="M33" s="30"/>
      <c r="N33" s="31">
        <v>702900</v>
      </c>
      <c r="O33" s="31"/>
      <c r="P33" s="31"/>
      <c r="Q33" s="31"/>
      <c r="R33" s="145">
        <v>702900</v>
      </c>
    </row>
    <row r="34" spans="1:18" x14ac:dyDescent="0.25">
      <c r="A34" s="7"/>
      <c r="B34" s="80" t="s">
        <v>411</v>
      </c>
      <c r="C34" s="30"/>
      <c r="D34" s="31"/>
      <c r="E34" s="31"/>
      <c r="F34" s="31">
        <v>55095708</v>
      </c>
      <c r="G34" s="31"/>
      <c r="H34" s="145">
        <v>55095708</v>
      </c>
      <c r="I34" s="7"/>
      <c r="J34" s="7"/>
      <c r="K34" s="7"/>
      <c r="L34" s="80" t="s">
        <v>411</v>
      </c>
      <c r="M34" s="30"/>
      <c r="N34" s="31"/>
      <c r="O34" s="31"/>
      <c r="P34" s="31">
        <v>0</v>
      </c>
      <c r="Q34" s="31"/>
      <c r="R34" s="145">
        <v>0</v>
      </c>
    </row>
    <row r="35" spans="1:18" x14ac:dyDescent="0.25">
      <c r="A35" s="7"/>
      <c r="B35" s="80" t="s">
        <v>267</v>
      </c>
      <c r="C35" s="30"/>
      <c r="D35" s="31"/>
      <c r="E35" s="31"/>
      <c r="F35" s="31">
        <v>1810333.56</v>
      </c>
      <c r="G35" s="31"/>
      <c r="H35" s="145">
        <v>1810333.56</v>
      </c>
      <c r="I35" s="7"/>
      <c r="J35" s="7"/>
      <c r="K35" s="7"/>
      <c r="L35" s="80" t="s">
        <v>267</v>
      </c>
      <c r="M35" s="30"/>
      <c r="N35" s="31"/>
      <c r="O35" s="31"/>
      <c r="P35" s="31">
        <v>0</v>
      </c>
      <c r="Q35" s="31"/>
      <c r="R35" s="145">
        <v>0</v>
      </c>
    </row>
    <row r="36" spans="1:18" x14ac:dyDescent="0.25">
      <c r="B36" s="80" t="s">
        <v>465</v>
      </c>
      <c r="C36" s="30"/>
      <c r="D36" s="31"/>
      <c r="E36" s="31"/>
      <c r="F36" s="31">
        <v>0</v>
      </c>
      <c r="G36" s="31"/>
      <c r="H36" s="145">
        <v>0</v>
      </c>
      <c r="I36" s="7"/>
      <c r="J36" s="7"/>
      <c r="K36" s="7"/>
      <c r="L36" s="80" t="s">
        <v>465</v>
      </c>
      <c r="M36" s="30"/>
      <c r="N36" s="31"/>
      <c r="O36" s="31"/>
      <c r="P36" s="31">
        <v>29496000</v>
      </c>
      <c r="Q36" s="31"/>
      <c r="R36" s="145">
        <v>29496000</v>
      </c>
    </row>
    <row r="37" spans="1:18" x14ac:dyDescent="0.25">
      <c r="B37" s="80" t="s">
        <v>467</v>
      </c>
      <c r="C37" s="30">
        <v>1178985</v>
      </c>
      <c r="D37" s="31"/>
      <c r="E37" s="31"/>
      <c r="F37" s="31"/>
      <c r="G37" s="31"/>
      <c r="H37" s="145">
        <v>1178985</v>
      </c>
      <c r="I37" s="7"/>
      <c r="J37" s="7"/>
      <c r="K37" s="7"/>
      <c r="L37" s="80" t="s">
        <v>467</v>
      </c>
      <c r="M37" s="30">
        <v>2274765</v>
      </c>
      <c r="N37" s="31"/>
      <c r="O37" s="31"/>
      <c r="P37" s="31"/>
      <c r="Q37" s="31"/>
      <c r="R37" s="145">
        <v>2274765</v>
      </c>
    </row>
    <row r="38" spans="1:18" x14ac:dyDescent="0.25">
      <c r="B38" s="33" t="s">
        <v>58</v>
      </c>
      <c r="C38" s="34">
        <v>38560494.25</v>
      </c>
      <c r="D38" s="112">
        <v>17612493.459999997</v>
      </c>
      <c r="E38" s="112">
        <v>13518048.699999999</v>
      </c>
      <c r="F38" s="112">
        <v>158512639.50999999</v>
      </c>
      <c r="G38" s="112">
        <v>5449111.6799999997</v>
      </c>
      <c r="H38" s="68">
        <v>233652787.60000002</v>
      </c>
      <c r="I38" s="7"/>
      <c r="J38" s="7"/>
      <c r="K38" s="7"/>
      <c r="L38" s="33" t="s">
        <v>58</v>
      </c>
      <c r="M38" s="34">
        <v>6437252.5299999993</v>
      </c>
      <c r="N38" s="112">
        <v>65389641.090000004</v>
      </c>
      <c r="O38" s="112">
        <v>0</v>
      </c>
      <c r="P38" s="112">
        <v>157701892.42000002</v>
      </c>
      <c r="Q38" s="112">
        <v>0</v>
      </c>
      <c r="R38" s="69">
        <v>229528786.04000002</v>
      </c>
    </row>
  </sheetData>
  <pageMargins left="0.25" right="0.25" top="0.75" bottom="0.75" header="0.3" footer="0.3"/>
  <pageSetup paperSize="9" orientation="landscape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CB823-CAC2-4438-A536-9ABBDD65C90E}">
  <dimension ref="A1:O36"/>
  <sheetViews>
    <sheetView topLeftCell="A13" workbookViewId="0">
      <selection activeCell="H19" sqref="H19"/>
    </sheetView>
  </sheetViews>
  <sheetFormatPr baseColWidth="10" defaultColWidth="11.42578125" defaultRowHeight="15" x14ac:dyDescent="0.25"/>
  <cols>
    <col min="1" max="1" width="1.42578125" customWidth="1"/>
    <col min="2" max="2" width="20.42578125" customWidth="1"/>
    <col min="3" max="3" width="17.28515625" customWidth="1"/>
    <col min="4" max="5" width="16.7109375" bestFit="1" customWidth="1"/>
    <col min="6" max="9" width="15.5703125" bestFit="1" customWidth="1"/>
    <col min="10" max="13" width="14.42578125" customWidth="1"/>
    <col min="14" max="14" width="16.42578125" customWidth="1"/>
    <col min="15" max="15" width="15.5703125" bestFit="1" customWidth="1"/>
  </cols>
  <sheetData>
    <row r="1" spans="1:15" ht="18.75" x14ac:dyDescent="0.3">
      <c r="A1" s="7"/>
      <c r="B1" s="20" t="s">
        <v>126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 x14ac:dyDescent="0.2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5" x14ac:dyDescent="0.2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4" spans="1:15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5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 spans="1:15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 x14ac:dyDescent="0.2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spans="1:15" x14ac:dyDescent="0.2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spans="1:15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" x14ac:dyDescent="0.25">
      <c r="A15" s="7"/>
      <c r="B15" s="39" t="s">
        <v>127</v>
      </c>
      <c r="C15" s="39" t="s">
        <v>60</v>
      </c>
      <c r="D15" s="39" t="s">
        <v>62</v>
      </c>
      <c r="E15" s="39" t="s">
        <v>63</v>
      </c>
      <c r="F15" s="39" t="s">
        <v>64</v>
      </c>
      <c r="G15" s="39" t="s">
        <v>65</v>
      </c>
      <c r="H15" s="39" t="s">
        <v>66</v>
      </c>
      <c r="I15" s="39" t="s">
        <v>67</v>
      </c>
      <c r="J15" s="39" t="s">
        <v>68</v>
      </c>
      <c r="K15" s="39" t="s">
        <v>69</v>
      </c>
      <c r="L15" s="39" t="s">
        <v>70</v>
      </c>
      <c r="M15" s="39" t="s">
        <v>112</v>
      </c>
      <c r="N15" s="39" t="s">
        <v>128</v>
      </c>
      <c r="O15" s="39" t="s">
        <v>10</v>
      </c>
    </row>
    <row r="16" spans="1:15" x14ac:dyDescent="0.25">
      <c r="A16" s="7"/>
      <c r="B16" s="40" t="s">
        <v>7</v>
      </c>
      <c r="C16" s="73">
        <f>C17+C21</f>
        <v>135000</v>
      </c>
      <c r="D16" s="73">
        <f t="shared" ref="D16:N16" si="0">D17+D21</f>
        <v>2710000</v>
      </c>
      <c r="E16" s="73">
        <f t="shared" si="0"/>
        <v>0</v>
      </c>
      <c r="F16" s="73">
        <f t="shared" si="0"/>
        <v>0</v>
      </c>
      <c r="G16" s="73">
        <f t="shared" si="0"/>
        <v>0</v>
      </c>
      <c r="H16" s="73">
        <f t="shared" si="0"/>
        <v>0</v>
      </c>
      <c r="I16" s="73">
        <f t="shared" si="0"/>
        <v>0</v>
      </c>
      <c r="J16" s="73">
        <f t="shared" si="0"/>
        <v>0</v>
      </c>
      <c r="K16" s="73">
        <f t="shared" si="0"/>
        <v>0</v>
      </c>
      <c r="L16" s="73">
        <f t="shared" si="0"/>
        <v>0</v>
      </c>
      <c r="M16" s="73">
        <f t="shared" si="0"/>
        <v>0</v>
      </c>
      <c r="N16" s="73">
        <f t="shared" si="0"/>
        <v>0</v>
      </c>
      <c r="O16" s="73">
        <f>SUM(O17:O33)</f>
        <v>18879725</v>
      </c>
    </row>
    <row r="17" spans="1:15" x14ac:dyDescent="0.25">
      <c r="A17" s="7"/>
      <c r="B17" s="75" t="s">
        <v>28</v>
      </c>
      <c r="C17" s="43">
        <f>SUM(C18:C20)</f>
        <v>135000</v>
      </c>
      <c r="D17" s="43">
        <f t="shared" ref="D17:N17" si="1">SUM(D18:D20)</f>
        <v>1510000</v>
      </c>
      <c r="E17" s="43">
        <f t="shared" si="1"/>
        <v>0</v>
      </c>
      <c r="F17" s="43">
        <f t="shared" si="1"/>
        <v>0</v>
      </c>
      <c r="G17" s="43">
        <f t="shared" si="1"/>
        <v>0</v>
      </c>
      <c r="H17" s="43">
        <f t="shared" si="1"/>
        <v>0</v>
      </c>
      <c r="I17" s="43">
        <f t="shared" si="1"/>
        <v>0</v>
      </c>
      <c r="J17" s="43">
        <f t="shared" si="1"/>
        <v>0</v>
      </c>
      <c r="K17" s="43">
        <f t="shared" si="1"/>
        <v>0</v>
      </c>
      <c r="L17" s="43">
        <f t="shared" si="1"/>
        <v>0</v>
      </c>
      <c r="M17" s="43">
        <f t="shared" si="1"/>
        <v>0</v>
      </c>
      <c r="N17" s="43">
        <f t="shared" si="1"/>
        <v>0</v>
      </c>
      <c r="O17" s="43">
        <f>SUM(Tabla45[[#This Row],[ENERO]:[DICIEMBRE]])</f>
        <v>1645000</v>
      </c>
    </row>
    <row r="18" spans="1:15" x14ac:dyDescent="0.25">
      <c r="A18" s="7"/>
      <c r="B18" s="74" t="s">
        <v>98</v>
      </c>
      <c r="C18" s="76">
        <f>SUMIFS(Tabla3[INGRESOS],Tabla3[SOCIO],Tabla45[[#This Row],[ACTIVIDADES]],Tabla3[PERIODO],Tabla45[[#Headers],[ENERO]])</f>
        <v>135000</v>
      </c>
      <c r="D18" s="76">
        <f>SUMIFS(Tabla3[INGRESOS],Tabla3[SOCIO],Tabla45[[#This Row],[ACTIVIDADES]],Tabla3[PERIODO],Tabla45[[#Headers],[FEBRERO]])</f>
        <v>1510000</v>
      </c>
      <c r="E18" s="76">
        <f>SUMIFS(Tabla3[INGRESOS],Tabla3[SOCIO],Tabla45[[#This Row],[ACTIVIDADES]],Tabla3[PERIODO],Tabla45[[#Headers],[MARZO]])</f>
        <v>0</v>
      </c>
      <c r="F18" s="76">
        <f>SUMIFS(Tabla3[INGRESOS],Tabla3[SOCIO],Tabla45[[#This Row],[ACTIVIDADES]],Tabla3[PERIODO],Tabla45[[#Headers],[ABRIL]])</f>
        <v>0</v>
      </c>
      <c r="G18" s="76">
        <f>SUMIFS(Tabla3[INGRESOS],Tabla3[SOCIO],Tabla45[[#This Row],[ACTIVIDADES]],Tabla3[PERIODO],Tabla45[[#Headers],[MAYO]])</f>
        <v>0</v>
      </c>
      <c r="H18" s="76">
        <f>SUMIFS(Tabla3[INGRESOS],Tabla3[SOCIO],Tabla45[[#This Row],[ACTIVIDADES]],Tabla3[PERIODO],Tabla45[[#Headers],[JUNIO]])</f>
        <v>0</v>
      </c>
      <c r="I18" s="76">
        <f>SUMIFS(Tabla3[INGRESOS],Tabla3[SOCIO],Tabla45[[#This Row],[ACTIVIDADES]],Tabla3[PERIODO],Tabla45[[#Headers],[JULIO]])</f>
        <v>0</v>
      </c>
      <c r="J18" s="76"/>
      <c r="K18" s="76"/>
      <c r="L18" s="76"/>
      <c r="M18" s="76"/>
      <c r="N18" s="76"/>
      <c r="O18" s="76">
        <f>SUM(Tabla45[[#This Row],[ENERO]:[DICIEMBRE]])</f>
        <v>1645000</v>
      </c>
    </row>
    <row r="19" spans="1:15" x14ac:dyDescent="0.25">
      <c r="A19" s="7"/>
      <c r="B19" s="74" t="s">
        <v>102</v>
      </c>
      <c r="C19" s="76">
        <f>SUMIFS(Tabla3[INGRESOS],Tabla3[SOCIO],Tabla45[[#This Row],[ACTIVIDADES]],Tabla3[PERIODO],Tabla45[[#Headers],[ENERO]])</f>
        <v>0</v>
      </c>
      <c r="D19" s="76">
        <f>SUMIFS(Tabla3[INGRESOS],Tabla3[SOCIO],Tabla45[[#This Row],[ACTIVIDADES]],Tabla3[PERIODO],Tabla45[[#Headers],[FEBRERO]])</f>
        <v>0</v>
      </c>
      <c r="E19" s="76">
        <f>SUMIFS(Tabla3[INGRESOS],Tabla3[SOCIO],Tabla45[[#This Row],[ACTIVIDADES]],Tabla3[PERIODO],Tabla45[[#Headers],[MARZO]])</f>
        <v>0</v>
      </c>
      <c r="F19" s="76">
        <f>SUMIFS(Tabla3[INGRESOS],Tabla3[SOCIO],Tabla45[[#This Row],[ACTIVIDADES]],Tabla3[PERIODO],Tabla45[[#Headers],[ABRIL]])</f>
        <v>0</v>
      </c>
      <c r="G19" s="76">
        <f>SUMIFS(Tabla3[INGRESOS],Tabla3[SOCIO],Tabla45[[#This Row],[ACTIVIDADES]],Tabla3[PERIODO],Tabla45[[#Headers],[MAYO]])</f>
        <v>0</v>
      </c>
      <c r="H19" s="77"/>
      <c r="I19" s="77"/>
      <c r="J19" s="77"/>
      <c r="K19" s="77"/>
      <c r="L19" s="77"/>
      <c r="M19" s="77"/>
      <c r="N19" s="77"/>
      <c r="O19" s="76">
        <f>SUM(Tabla45[[#This Row],[ENERO]:[DICIEMBRE]])</f>
        <v>0</v>
      </c>
    </row>
    <row r="20" spans="1:15" x14ac:dyDescent="0.25">
      <c r="A20" s="7"/>
      <c r="B20" s="74" t="s">
        <v>108</v>
      </c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6">
        <f>SUM(Tabla45[[#This Row],[ENERO]:[DICIEMBRE]])</f>
        <v>0</v>
      </c>
    </row>
    <row r="21" spans="1:15" x14ac:dyDescent="0.25">
      <c r="A21" s="7"/>
      <c r="B21" s="75" t="s">
        <v>31</v>
      </c>
      <c r="C21" s="43">
        <f>SUM(C22:C23)</f>
        <v>0</v>
      </c>
      <c r="D21" s="43">
        <f t="shared" ref="D21:N21" si="2">SUM(D22:D23)</f>
        <v>1200000</v>
      </c>
      <c r="E21" s="43">
        <f t="shared" si="2"/>
        <v>0</v>
      </c>
      <c r="F21" s="43">
        <f t="shared" si="2"/>
        <v>0</v>
      </c>
      <c r="G21" s="43">
        <f t="shared" si="2"/>
        <v>0</v>
      </c>
      <c r="H21" s="43">
        <f t="shared" si="2"/>
        <v>0</v>
      </c>
      <c r="I21" s="43">
        <f t="shared" si="2"/>
        <v>0</v>
      </c>
      <c r="J21" s="43">
        <f t="shared" si="2"/>
        <v>0</v>
      </c>
      <c r="K21" s="43">
        <f t="shared" si="2"/>
        <v>0</v>
      </c>
      <c r="L21" s="43">
        <f t="shared" si="2"/>
        <v>0</v>
      </c>
      <c r="M21" s="43">
        <f t="shared" si="2"/>
        <v>0</v>
      </c>
      <c r="N21" s="43">
        <f t="shared" si="2"/>
        <v>0</v>
      </c>
      <c r="O21" s="76">
        <f>SUM(Tabla45[[#This Row],[ENERO]:[DICIEMBRE]])</f>
        <v>1200000</v>
      </c>
    </row>
    <row r="22" spans="1:15" x14ac:dyDescent="0.25">
      <c r="A22" s="7"/>
      <c r="B22" s="74" t="s">
        <v>107</v>
      </c>
      <c r="C22" s="76">
        <f>SUMIFS(Tabla3[INGRESOS],Tabla3[PROVEEDOR CLIENTE],Tabla45[[#This Row],[ACTIVIDADES]],Tabla3[PERIODO],Tabla45[[#Headers],[ENERO]])</f>
        <v>0</v>
      </c>
      <c r="D22" s="76">
        <f>SUMIFS(Tabla3[INGRESOS],Tabla3[PROVEEDOR CLIENTE],Tabla45[[#This Row],[ACTIVIDADES]],Tabla3[PERIODO],Tabla45[[#Headers],[FEBRERO]])</f>
        <v>1200000</v>
      </c>
      <c r="E22" s="76">
        <f>SUMIFS(Tabla3[INGRESOS],Tabla3[PROVEEDOR CLIENTE],Tabla45[[#This Row],[ACTIVIDADES]],Tabla3[PERIODO],Tabla45[[#Headers],[MARZO]])</f>
        <v>0</v>
      </c>
      <c r="F22" s="76">
        <f>SUMIFS(Tabla3[INGRESOS],Tabla3[PROVEEDOR CLIENTE],Tabla45[[#This Row],[ACTIVIDADES]],Tabla3[PERIODO],Tabla45[[#Headers],[ABRIL]])</f>
        <v>0</v>
      </c>
      <c r="G22" s="76">
        <f>SUMIFS(Tabla3[INGRESOS],Tabla3[PROVEEDOR CLIENTE],Tabla45[[#This Row],[ACTIVIDADES]],Tabla3[PERIODO],Tabla45[[#Headers],[MAYO]])</f>
        <v>0</v>
      </c>
      <c r="H22" s="77"/>
      <c r="I22" s="77"/>
      <c r="J22" s="77"/>
      <c r="K22" s="77"/>
      <c r="L22" s="77"/>
      <c r="M22" s="77"/>
      <c r="N22" s="77"/>
      <c r="O22" s="76">
        <f>SUM(Tabla45[[#This Row],[ENERO]:[DICIEMBRE]])</f>
        <v>1200000</v>
      </c>
    </row>
    <row r="23" spans="1:15" x14ac:dyDescent="0.25">
      <c r="A23" s="7"/>
      <c r="B23" s="74" t="s">
        <v>109</v>
      </c>
      <c r="C23" s="76">
        <f>SUMIFS(Tabla3[INGRESOS],Tabla3[PROVEEDOR CLIENTE],Tabla45[[#This Row],[ACTIVIDADES]],Tabla3[PERIODO],Tabla45[[#Headers],[ENERO]])</f>
        <v>0</v>
      </c>
      <c r="D23" s="76">
        <f>SUMIFS(Tabla3[INGRESOS],Tabla3[PROVEEDOR CLIENTE],Tabla45[[#This Row],[ACTIVIDADES]],Tabla3[PERIODO],Tabla45[[#Headers],[FEBRERO]])</f>
        <v>0</v>
      </c>
      <c r="E23" s="76">
        <f>SUMIFS(Tabla3[INGRESOS],Tabla3[PROVEEDOR CLIENTE],Tabla45[[#This Row],[ACTIVIDADES]],Tabla3[PERIODO],Tabla45[[#Headers],[MARZO]])</f>
        <v>0</v>
      </c>
      <c r="F23" s="76">
        <f>SUMIFS(Tabla3[INGRESOS],Tabla3[PROVEEDOR CLIENTE],Tabla45[[#This Row],[ACTIVIDADES]],Tabla3[PERIODO],Tabla45[[#Headers],[ABRIL]])</f>
        <v>0</v>
      </c>
      <c r="G23" s="76">
        <f>SUMIFS(Tabla3[INGRESOS],Tabla3[PROVEEDOR CLIENTE],Tabla45[[#This Row],[ACTIVIDADES]],Tabla3[PERIODO],Tabla45[[#Headers],[MAYO]])</f>
        <v>0</v>
      </c>
      <c r="H23" s="77"/>
      <c r="I23" s="77"/>
      <c r="J23" s="77"/>
      <c r="K23" s="77"/>
      <c r="L23" s="77"/>
      <c r="M23" s="77"/>
      <c r="N23" s="77"/>
      <c r="O23" s="76">
        <f>SUM(Tabla45[[#This Row],[ENERO]:[DICIEMBRE]])</f>
        <v>0</v>
      </c>
    </row>
    <row r="24" spans="1:15" x14ac:dyDescent="0.25">
      <c r="A24" s="7"/>
      <c r="B24" s="74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6">
        <f>SUM(Tabla45[[#This Row],[ENERO]:[DICIEMBRE]])</f>
        <v>0</v>
      </c>
    </row>
    <row r="25" spans="1:15" x14ac:dyDescent="0.25">
      <c r="A25" s="7"/>
      <c r="B25" s="39" t="s">
        <v>8</v>
      </c>
      <c r="C25" s="72">
        <f>-(+C26+C30)</f>
        <v>-7383658</v>
      </c>
      <c r="D25" s="72">
        <f t="shared" ref="D25:N25" si="3">-(+D26+D30)</f>
        <v>-5806067</v>
      </c>
      <c r="E25" s="72">
        <f t="shared" si="3"/>
        <v>0</v>
      </c>
      <c r="F25" s="72">
        <f t="shared" si="3"/>
        <v>0</v>
      </c>
      <c r="G25" s="72">
        <f t="shared" si="3"/>
        <v>0</v>
      </c>
      <c r="H25" s="72">
        <f t="shared" si="3"/>
        <v>0</v>
      </c>
      <c r="I25" s="72">
        <f t="shared" si="3"/>
        <v>0</v>
      </c>
      <c r="J25" s="72">
        <f t="shared" si="3"/>
        <v>0</v>
      </c>
      <c r="K25" s="72">
        <f t="shared" si="3"/>
        <v>0</v>
      </c>
      <c r="L25" s="72">
        <f t="shared" si="3"/>
        <v>0</v>
      </c>
      <c r="M25" s="72">
        <f t="shared" si="3"/>
        <v>0</v>
      </c>
      <c r="N25" s="72">
        <f t="shared" si="3"/>
        <v>0</v>
      </c>
      <c r="O25" s="72">
        <f>SUM(Tabla45[[#This Row],[ENERO]:[DICIEMBRE]])</f>
        <v>-13189725</v>
      </c>
    </row>
    <row r="26" spans="1:15" x14ac:dyDescent="0.25">
      <c r="A26" s="7"/>
      <c r="B26" s="75" t="s">
        <v>28</v>
      </c>
      <c r="C26" s="43">
        <f>SUM(C27:C29)</f>
        <v>7383658</v>
      </c>
      <c r="D26" s="43">
        <f t="shared" ref="D26:N26" si="4">SUM(D27:D29)</f>
        <v>5806067</v>
      </c>
      <c r="E26" s="43">
        <f t="shared" si="4"/>
        <v>0</v>
      </c>
      <c r="F26" s="43">
        <f t="shared" si="4"/>
        <v>0</v>
      </c>
      <c r="G26" s="43">
        <f t="shared" si="4"/>
        <v>0</v>
      </c>
      <c r="H26" s="43">
        <f t="shared" si="4"/>
        <v>0</v>
      </c>
      <c r="I26" s="43">
        <f t="shared" si="4"/>
        <v>0</v>
      </c>
      <c r="J26" s="43">
        <f t="shared" si="4"/>
        <v>0</v>
      </c>
      <c r="K26" s="43">
        <f t="shared" si="4"/>
        <v>0</v>
      </c>
      <c r="L26" s="43">
        <f t="shared" si="4"/>
        <v>0</v>
      </c>
      <c r="M26" s="43">
        <f t="shared" si="4"/>
        <v>0</v>
      </c>
      <c r="N26" s="43">
        <f t="shared" si="4"/>
        <v>0</v>
      </c>
      <c r="O26" s="43">
        <f>SUM(Tabla45[[#This Row],[ENERO]:[DICIEMBRE]])</f>
        <v>13189725</v>
      </c>
    </row>
    <row r="27" spans="1:15" x14ac:dyDescent="0.25">
      <c r="A27" s="7"/>
      <c r="B27" s="74" t="s">
        <v>98</v>
      </c>
      <c r="C27" s="76">
        <f>SUMIFS(Tabla3[EGRESOS],Tabla3[SOCIO],Tabla45[[#This Row],[ACTIVIDADES]],Tabla3[PERIODO],Tabla45[[#Headers],[ENERO]])</f>
        <v>2795658</v>
      </c>
      <c r="D27" s="76">
        <f>SUMIFS(Tabla3[EGRESOS],Tabla3[SOCIO],Tabla45[[#This Row],[ACTIVIDADES]],Tabla3[PERIODO],Tabla45[[#Headers],[FEBRERO]])</f>
        <v>3093067</v>
      </c>
      <c r="E27" s="76">
        <f>SUMIFS(Tabla3[EGRESOS],Tabla3[SOCIO],Tabla45[[#This Row],[ACTIVIDADES]],Tabla3[PERIODO],Tabla45[[#Headers],[MARZO]])</f>
        <v>0</v>
      </c>
      <c r="F27" s="76">
        <f>SUMIFS(Tabla3[EGRESOS],Tabla3[SOCIO],Tabla45[[#This Row],[ACTIVIDADES]],Tabla3[PERIODO],Tabla45[[#Headers],[ABRIL]])</f>
        <v>0</v>
      </c>
      <c r="G27" s="76">
        <f>SUMIFS(Tabla3[EGRESOS],Tabla3[SOCIO],Tabla45[[#This Row],[ACTIVIDADES]],Tabla3[PERIODO],Tabla45[[#Headers],[MAYO]])</f>
        <v>0</v>
      </c>
      <c r="H27" s="76">
        <f>SUMIFS(Tabla3[EGRESOS],Tabla3[SOCIO],Tabla45[[#This Row],[ACTIVIDADES]],Tabla3[PERIODO],Tabla45[[#Headers],[JUNIO]])</f>
        <v>0</v>
      </c>
      <c r="I27" s="76">
        <f>SUMIFS(Tabla3[EGRESOS],Tabla3[SOCIO],Tabla45[[#This Row],[ACTIVIDADES]],Tabla3[PERIODO],Tabla45[[#Headers],[JULIO]])</f>
        <v>0</v>
      </c>
      <c r="J27" s="76">
        <f>SUMIFS(Tabla3[EGRESOS],Tabla3[SOCIO],Tabla45[[#This Row],[ACTIVIDADES]],Tabla3[PERIODO],Tabla45[[#Headers],[AGOSTO]])</f>
        <v>0</v>
      </c>
      <c r="K27" s="76">
        <f>SUMIFS(Tabla3[EGRESOS],Tabla3[SOCIO],Tabla45[[#This Row],[ACTIVIDADES]],Tabla3[PERIODO],Tabla45[[#Headers],[SEPTIEMBRE]])</f>
        <v>0</v>
      </c>
      <c r="L27" s="76">
        <f>SUMIFS(Tabla3[EGRESOS],Tabla3[SOCIO],Tabla45[[#This Row],[ACTIVIDADES]],Tabla3[PERIODO],Tabla45[[#Headers],[OCTUBRE]])</f>
        <v>0</v>
      </c>
      <c r="M27" s="76">
        <f>SUMIFS(Tabla3[EGRESOS],Tabla3[SOCIO],Tabla45[[#This Row],[ACTIVIDADES]],Tabla3[PERIODO],Tabla45[[#Headers],[NOVIEMBRE]])</f>
        <v>0</v>
      </c>
      <c r="N27" s="76">
        <f>SUMIFS(Tabla3[EGRESOS],Tabla3[SOCIO],Tabla45[[#This Row],[ACTIVIDADES]],Tabla3[PERIODO],Tabla45[[#Headers],[DICIEMBRE]])</f>
        <v>0</v>
      </c>
      <c r="O27" s="76">
        <f>SUM(Tabla45[[#This Row],[ENERO]:[DICIEMBRE]])</f>
        <v>5888725</v>
      </c>
    </row>
    <row r="28" spans="1:15" x14ac:dyDescent="0.25">
      <c r="A28" s="7"/>
      <c r="B28" s="74" t="s">
        <v>102</v>
      </c>
      <c r="C28" s="76">
        <f>SUMIFS(Tabla3[EGRESOS],Tabla3[SOCIO],Tabla45[[#This Row],[ACTIVIDADES]],Tabla3[PERIODO],Tabla45[[#Headers],[ENERO]])</f>
        <v>2588000</v>
      </c>
      <c r="D28" s="76">
        <f>SUMIFS(Tabla3[EGRESOS],Tabla3[SOCIO],Tabla45[[#This Row],[ACTIVIDADES]],Tabla3[PERIODO],Tabla45[[#Headers],[FEBRERO]])</f>
        <v>1713000</v>
      </c>
      <c r="E28" s="76">
        <f>SUMIFS(Tabla3[EGRESOS],Tabla3[SOCIO],Tabla45[[#This Row],[ACTIVIDADES]],Tabla3[PERIODO],Tabla45[[#Headers],[MARZO]])</f>
        <v>0</v>
      </c>
      <c r="F28" s="76">
        <f>SUMIFS(Tabla3[EGRESOS],Tabla3[SOCIO],Tabla45[[#This Row],[ACTIVIDADES]],Tabla3[PERIODO],Tabla45[[#Headers],[ABRIL]])</f>
        <v>0</v>
      </c>
      <c r="G28" s="76">
        <f>SUMIFS(Tabla3[EGRESOS],Tabla3[SOCIO],Tabla45[[#This Row],[ACTIVIDADES]],Tabla3[PERIODO],Tabla45[[#Headers],[MAYO]])</f>
        <v>0</v>
      </c>
      <c r="H28" s="76">
        <f>SUMIFS(Tabla3[EGRESOS],Tabla3[SOCIO],Tabla45[[#This Row],[ACTIVIDADES]],Tabla3[PERIODO],Tabla45[[#Headers],[JUNIO]])</f>
        <v>0</v>
      </c>
      <c r="I28" s="76">
        <f>SUMIFS(Tabla3[EGRESOS],Tabla3[SOCIO],Tabla45[[#This Row],[ACTIVIDADES]],Tabla3[PERIODO],Tabla45[[#Headers],[JULIO]])</f>
        <v>0</v>
      </c>
      <c r="J28" s="76">
        <f>SUMIFS(Tabla3[EGRESOS],Tabla3[SOCIO],Tabla45[[#This Row],[ACTIVIDADES]],Tabla3[PERIODO],Tabla45[[#Headers],[AGOSTO]])</f>
        <v>0</v>
      </c>
      <c r="K28" s="76">
        <f>SUMIFS(Tabla3[EGRESOS],Tabla3[SOCIO],Tabla45[[#This Row],[ACTIVIDADES]],Tabla3[PERIODO],Tabla45[[#Headers],[SEPTIEMBRE]])</f>
        <v>0</v>
      </c>
      <c r="L28" s="76">
        <f>SUMIFS(Tabla3[EGRESOS],Tabla3[SOCIO],Tabla45[[#This Row],[ACTIVIDADES]],Tabla3[PERIODO],Tabla45[[#Headers],[OCTUBRE]])</f>
        <v>0</v>
      </c>
      <c r="M28" s="76">
        <f>SUMIFS(Tabla3[EGRESOS],Tabla3[SOCIO],Tabla45[[#This Row],[ACTIVIDADES]],Tabla3[PERIODO],Tabla45[[#Headers],[NOVIEMBRE]])</f>
        <v>0</v>
      </c>
      <c r="N28" s="76">
        <f>SUMIFS(Tabla3[EGRESOS],Tabla3[SOCIO],Tabla45[[#This Row],[ACTIVIDADES]],Tabla3[PERIODO],Tabla45[[#Headers],[DICIEMBRE]])</f>
        <v>0</v>
      </c>
      <c r="O28" s="76">
        <f>SUM(Tabla45[[#This Row],[ENERO]:[DICIEMBRE]])</f>
        <v>4301000</v>
      </c>
    </row>
    <row r="29" spans="1:15" x14ac:dyDescent="0.25">
      <c r="A29" s="7"/>
      <c r="B29" s="74" t="s">
        <v>108</v>
      </c>
      <c r="C29" s="76">
        <f>SUMIFS(Tabla3[EGRESOS],Tabla3[SOCIO],Tabla45[[#This Row],[ACTIVIDADES]],Tabla3[PERIODO],Tabla45[[#Headers],[ENERO]])</f>
        <v>2000000</v>
      </c>
      <c r="D29" s="76">
        <f>SUMIFS(Tabla3[EGRESOS],Tabla3[SOCIO],Tabla45[[#This Row],[ACTIVIDADES]],Tabla3[PERIODO],Tabla45[[#Headers],[FEBRERO]])</f>
        <v>1000000</v>
      </c>
      <c r="E29" s="76">
        <f>SUMIFS(Tabla3[EGRESOS],Tabla3[SOCIO],Tabla45[[#This Row],[ACTIVIDADES]],Tabla3[PERIODO],Tabla45[[#Headers],[MARZO]])</f>
        <v>0</v>
      </c>
      <c r="F29" s="76">
        <f>SUMIFS(Tabla3[EGRESOS],Tabla3[SOCIO],Tabla45[[#This Row],[ACTIVIDADES]],Tabla3[PERIODO],Tabla45[[#Headers],[ABRIL]])</f>
        <v>0</v>
      </c>
      <c r="G29" s="76">
        <f>SUMIFS(Tabla3[EGRESOS],Tabla3[SOCIO],Tabla45[[#This Row],[ACTIVIDADES]],Tabla3[PERIODO],Tabla45[[#Headers],[MAYO]])</f>
        <v>0</v>
      </c>
      <c r="H29" s="76">
        <f>SUMIFS(Tabla3[EGRESOS],Tabla3[SOCIO],Tabla45[[#This Row],[ACTIVIDADES]],Tabla3[PERIODO],Tabla45[[#Headers],[JUNIO]])</f>
        <v>0</v>
      </c>
      <c r="I29" s="76">
        <f>SUMIFS(Tabla3[EGRESOS],Tabla3[SOCIO],Tabla45[[#This Row],[ACTIVIDADES]],Tabla3[PERIODO],Tabla45[[#Headers],[JULIO]])</f>
        <v>0</v>
      </c>
      <c r="J29" s="76">
        <f>SUMIFS(Tabla3[EGRESOS],Tabla3[SOCIO],Tabla45[[#This Row],[ACTIVIDADES]],Tabla3[PERIODO],Tabla45[[#Headers],[AGOSTO]])</f>
        <v>0</v>
      </c>
      <c r="K29" s="76">
        <f>SUMIFS(Tabla3[EGRESOS],Tabla3[SOCIO],Tabla45[[#This Row],[ACTIVIDADES]],Tabla3[PERIODO],Tabla45[[#Headers],[SEPTIEMBRE]])</f>
        <v>0</v>
      </c>
      <c r="L29" s="76">
        <f>SUMIFS(Tabla3[EGRESOS],Tabla3[SOCIO],Tabla45[[#This Row],[ACTIVIDADES]],Tabla3[PERIODO],Tabla45[[#Headers],[OCTUBRE]])</f>
        <v>0</v>
      </c>
      <c r="M29" s="76">
        <f>SUMIFS(Tabla3[EGRESOS],Tabla3[SOCIO],Tabla45[[#This Row],[ACTIVIDADES]],Tabla3[PERIODO],Tabla45[[#Headers],[NOVIEMBRE]])</f>
        <v>0</v>
      </c>
      <c r="N29" s="76">
        <f>SUMIFS(Tabla3[EGRESOS],Tabla3[SOCIO],Tabla45[[#This Row],[ACTIVIDADES]],Tabla3[PERIODO],Tabla45[[#Headers],[DICIEMBRE]])</f>
        <v>0</v>
      </c>
      <c r="O29" s="76">
        <f>SUM(Tabla45[[#This Row],[ENERO]:[DICIEMBRE]])</f>
        <v>3000000</v>
      </c>
    </row>
    <row r="30" spans="1:15" x14ac:dyDescent="0.25">
      <c r="A30" s="7"/>
      <c r="B30" s="75" t="s">
        <v>31</v>
      </c>
      <c r="C30" s="43">
        <f>SUBTOTAL(109,C31:C33)</f>
        <v>0</v>
      </c>
      <c r="D30" s="43">
        <f t="shared" ref="D30:N30" si="5">SUBTOTAL(109,D31:D33)</f>
        <v>0</v>
      </c>
      <c r="E30" s="43">
        <f t="shared" si="5"/>
        <v>0</v>
      </c>
      <c r="F30" s="43">
        <f t="shared" si="5"/>
        <v>0</v>
      </c>
      <c r="G30" s="43">
        <f t="shared" si="5"/>
        <v>0</v>
      </c>
      <c r="H30" s="43">
        <f t="shared" si="5"/>
        <v>0</v>
      </c>
      <c r="I30" s="43">
        <f t="shared" si="5"/>
        <v>0</v>
      </c>
      <c r="J30" s="43">
        <f t="shared" si="5"/>
        <v>0</v>
      </c>
      <c r="K30" s="43">
        <f t="shared" si="5"/>
        <v>0</v>
      </c>
      <c r="L30" s="43">
        <f t="shared" si="5"/>
        <v>0</v>
      </c>
      <c r="M30" s="43">
        <f t="shared" si="5"/>
        <v>0</v>
      </c>
      <c r="N30" s="43">
        <f t="shared" si="5"/>
        <v>0</v>
      </c>
      <c r="O30" s="76">
        <f>SUM(Tabla45[[#This Row],[ENERO]:[DICIEMBRE]])</f>
        <v>0</v>
      </c>
    </row>
    <row r="31" spans="1:15" x14ac:dyDescent="0.25">
      <c r="A31" s="7"/>
      <c r="B31" s="74" t="s">
        <v>107</v>
      </c>
      <c r="C31" s="76">
        <f>SUMIFS(Tabla3[EGRESOS],Tabla3[PROVEEDOR CLIENTE],Tabla45[[#This Row],[ACTIVIDADES]],Tabla3[PERIODO],Tabla45[[#Headers],[ENERO]])</f>
        <v>0</v>
      </c>
      <c r="D31" s="76">
        <f>SUMIFS(Tabla3[EGRESOS],Tabla3[PROVEEDOR CLIENTE],Tabla45[[#This Row],[ACTIVIDADES]],Tabla3[PERIODO],Tabla45[[#Headers],[FEBRERO]])</f>
        <v>0</v>
      </c>
      <c r="E31" s="76">
        <f>SUMIFS(Tabla3[EGRESOS],Tabla3[PROVEEDOR CLIENTE],Tabla45[[#This Row],[ACTIVIDADES]],Tabla3[PERIODO],Tabla45[[#Headers],[MARZO]])</f>
        <v>0</v>
      </c>
      <c r="F31" s="76">
        <f>SUMIFS(Tabla3[EGRESOS],Tabla3[PROVEEDOR CLIENTE],Tabla45[[#This Row],[ACTIVIDADES]],Tabla3[PERIODO],Tabla45[[#Headers],[ABRIL]])</f>
        <v>0</v>
      </c>
      <c r="G31" s="76">
        <f>SUMIFS(Tabla3[EGRESOS],Tabla3[PROVEEDOR CLIENTE],Tabla45[[#This Row],[ACTIVIDADES]],Tabla3[PERIODO],Tabla45[[#Headers],[MAYO]])</f>
        <v>0</v>
      </c>
      <c r="H31" s="77"/>
      <c r="I31" s="77"/>
      <c r="J31" s="77"/>
      <c r="K31" s="77"/>
      <c r="L31" s="77"/>
      <c r="M31" s="77"/>
      <c r="N31" s="77"/>
      <c r="O31" s="76">
        <f>SUM(Tabla45[[#This Row],[ENERO]:[DICIEMBRE]])</f>
        <v>0</v>
      </c>
    </row>
    <row r="32" spans="1:15" x14ac:dyDescent="0.25">
      <c r="A32" s="7"/>
      <c r="B32" s="74" t="s">
        <v>109</v>
      </c>
      <c r="C32" s="76">
        <f>SUMIFS(Tabla3[EGRESOS],Tabla3[PROVEEDOR CLIENTE],Tabla45[[#This Row],[ACTIVIDADES]],Tabla3[PERIODO],Tabla45[[#Headers],[ENERO]])</f>
        <v>0</v>
      </c>
      <c r="D32" s="76">
        <f>SUMIFS(Tabla3[EGRESOS],Tabla3[PROVEEDOR CLIENTE],Tabla45[[#This Row],[ACTIVIDADES]],Tabla3[PERIODO],Tabla45[[#Headers],[FEBRERO]])</f>
        <v>0</v>
      </c>
      <c r="E32" s="76">
        <f>SUMIFS(Tabla3[EGRESOS],Tabla3[PROVEEDOR CLIENTE],Tabla45[[#This Row],[ACTIVIDADES]],Tabla3[PERIODO],Tabla45[[#Headers],[MARZO]])</f>
        <v>0</v>
      </c>
      <c r="F32" s="76">
        <f>SUMIFS(Tabla3[EGRESOS],Tabla3[PROVEEDOR CLIENTE],Tabla45[[#This Row],[ACTIVIDADES]],Tabla3[PERIODO],Tabla45[[#Headers],[ABRIL]])</f>
        <v>0</v>
      </c>
      <c r="G32" s="76">
        <f>SUMIFS(Tabla3[EGRESOS],Tabla3[PROVEEDOR CLIENTE],Tabla45[[#This Row],[ACTIVIDADES]],Tabla3[PERIODO],Tabla45[[#Headers],[MAYO]])</f>
        <v>0</v>
      </c>
      <c r="H32" s="16"/>
      <c r="I32" s="16"/>
      <c r="J32" s="16"/>
      <c r="K32" s="16"/>
      <c r="L32" s="16"/>
      <c r="M32" s="16"/>
      <c r="N32" s="16"/>
      <c r="O32" s="76">
        <f>SUM(Tabla45[[#This Row],[ENERO]:[DICIEMBRE]])</f>
        <v>0</v>
      </c>
    </row>
    <row r="33" spans="1:15" x14ac:dyDescent="0.25">
      <c r="A33" s="7"/>
      <c r="B33" s="74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76">
        <f>SUM(Tabla45[[#This Row],[ENERO]:[DICIEMBRE]])</f>
        <v>0</v>
      </c>
    </row>
    <row r="34" spans="1:15" x14ac:dyDescent="0.25">
      <c r="A34" s="7"/>
      <c r="B34" s="40" t="s">
        <v>77</v>
      </c>
      <c r="C34" s="41">
        <f>C16+C25</f>
        <v>-7248658</v>
      </c>
      <c r="D34" s="41">
        <f t="shared" ref="D34:N34" si="6">D16+D25</f>
        <v>-3096067</v>
      </c>
      <c r="E34" s="41">
        <f t="shared" si="6"/>
        <v>0</v>
      </c>
      <c r="F34" s="41">
        <f t="shared" si="6"/>
        <v>0</v>
      </c>
      <c r="G34" s="41">
        <f t="shared" si="6"/>
        <v>0</v>
      </c>
      <c r="H34" s="41">
        <f t="shared" si="6"/>
        <v>0</v>
      </c>
      <c r="I34" s="41">
        <f t="shared" si="6"/>
        <v>0</v>
      </c>
      <c r="J34" s="41">
        <f t="shared" si="6"/>
        <v>0</v>
      </c>
      <c r="K34" s="41">
        <f t="shared" si="6"/>
        <v>0</v>
      </c>
      <c r="L34" s="41">
        <f t="shared" si="6"/>
        <v>0</v>
      </c>
      <c r="M34" s="41">
        <f t="shared" si="6"/>
        <v>0</v>
      </c>
      <c r="N34" s="41">
        <f t="shared" si="6"/>
        <v>0</v>
      </c>
      <c r="O34" s="40"/>
    </row>
    <row r="35" spans="1:15" x14ac:dyDescent="0.25">
      <c r="A35" s="7"/>
      <c r="B35" s="74" t="s">
        <v>138</v>
      </c>
      <c r="C35" s="16">
        <f>C34</f>
        <v>-7248658</v>
      </c>
      <c r="D35" s="18">
        <f>Tabla45[[#This Row],[ENERO]]+D34</f>
        <v>-10344725</v>
      </c>
      <c r="E35" s="18">
        <f>Tabla45[[#This Row],[FEBRERO]]+E34</f>
        <v>-10344725</v>
      </c>
      <c r="F35" s="18">
        <f>Tabla45[[#This Row],[MARZO]]+F34</f>
        <v>-10344725</v>
      </c>
      <c r="G35" s="18">
        <f>Tabla45[[#This Row],[ABRIL]]+G34</f>
        <v>-10344725</v>
      </c>
      <c r="H35" s="18">
        <f>Tabla45[[#This Row],[MAYO]]+H34</f>
        <v>-10344725</v>
      </c>
      <c r="I35" s="18">
        <f>Tabla45[[#This Row],[JUNIO]]+I34</f>
        <v>-10344725</v>
      </c>
      <c r="J35" s="18">
        <f>Tabla45[[#This Row],[JULIO]]+J34</f>
        <v>-10344725</v>
      </c>
      <c r="K35" s="18">
        <f>Tabla45[[#This Row],[AGOSTO]]+K34</f>
        <v>-10344725</v>
      </c>
      <c r="L35" s="18">
        <f>Tabla45[[#This Row],[SEPTIEMBRE]]+L34</f>
        <v>-10344725</v>
      </c>
      <c r="M35" s="18">
        <f>Tabla45[[#This Row],[OCTUBRE]]+M34</f>
        <v>-10344725</v>
      </c>
      <c r="N35" s="18">
        <f>Tabla45[[#This Row],[NOVIEMBRE]]+N34</f>
        <v>-10344725</v>
      </c>
      <c r="O35" s="38"/>
    </row>
    <row r="36" spans="1:15" x14ac:dyDescent="0.25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</row>
  </sheetData>
  <phoneticPr fontId="15" type="noConversion"/>
  <pageMargins left="0.25" right="0.25" top="0.75" bottom="0.75" header="0.3" footer="0.3"/>
  <pageSetup paperSize="5" orientation="landscape" r:id="rId1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4132-FDC8-402D-8DC9-6095B8B3C89C}">
  <sheetPr codeName="Hoja7"/>
  <dimension ref="A1:AK20"/>
  <sheetViews>
    <sheetView workbookViewId="0">
      <selection activeCell="H15" sqref="H15"/>
    </sheetView>
  </sheetViews>
  <sheetFormatPr baseColWidth="10" defaultColWidth="11.42578125" defaultRowHeight="15" x14ac:dyDescent="0.25"/>
  <cols>
    <col min="1" max="1" width="17" style="1" bestFit="1" customWidth="1"/>
    <col min="2" max="2" width="3.5703125" customWidth="1"/>
    <col min="3" max="4" width="12.42578125" customWidth="1"/>
    <col min="5" max="5" width="15.85546875" customWidth="1"/>
    <col min="6" max="6" width="11" customWidth="1"/>
    <col min="7" max="7" width="14.7109375" customWidth="1"/>
    <col min="8" max="8" width="17.42578125" customWidth="1"/>
    <col min="9" max="10" width="14" customWidth="1"/>
    <col min="11" max="11" width="2.5703125" customWidth="1"/>
    <col min="12" max="12" width="19.42578125" bestFit="1" customWidth="1"/>
    <col min="13" max="14" width="14.7109375" customWidth="1"/>
    <col min="15" max="15" width="2.5703125" customWidth="1"/>
    <col min="16" max="16" width="19.7109375" customWidth="1"/>
    <col min="17" max="17" width="21.5703125" customWidth="1"/>
    <col min="18" max="18" width="2.85546875" customWidth="1"/>
    <col min="19" max="19" width="21" customWidth="1"/>
    <col min="20" max="20" width="2.5703125" customWidth="1"/>
    <col min="21" max="21" width="17.42578125" bestFit="1" customWidth="1"/>
    <col min="22" max="22" width="18.28515625" customWidth="1"/>
    <col min="23" max="23" width="12" customWidth="1"/>
    <col min="24" max="24" width="18.140625" customWidth="1"/>
    <col min="25" max="25" width="4.5703125" customWidth="1"/>
  </cols>
  <sheetData>
    <row r="1" spans="1:37" x14ac:dyDescent="0.25">
      <c r="A1" s="3" t="s">
        <v>127</v>
      </c>
      <c r="C1" s="3" t="s">
        <v>17</v>
      </c>
      <c r="D1" s="3"/>
      <c r="E1" s="3"/>
      <c r="F1" s="3"/>
      <c r="G1" s="146"/>
      <c r="H1" s="146"/>
      <c r="I1" s="146"/>
      <c r="J1" s="146"/>
      <c r="L1" s="4" t="s">
        <v>139</v>
      </c>
      <c r="M1" s="4"/>
      <c r="N1" s="4"/>
      <c r="P1" s="3" t="s">
        <v>34</v>
      </c>
      <c r="Q1" s="4"/>
      <c r="S1" s="3" t="s">
        <v>52</v>
      </c>
      <c r="T1" s="7"/>
      <c r="U1" s="3" t="s">
        <v>39</v>
      </c>
      <c r="V1" s="3"/>
      <c r="W1" s="3"/>
      <c r="X1" s="3"/>
      <c r="Y1" s="7"/>
      <c r="Z1" s="3" t="s">
        <v>50</v>
      </c>
      <c r="AA1" s="3"/>
      <c r="AB1" s="3"/>
      <c r="AC1" s="3"/>
      <c r="AD1" s="3"/>
    </row>
    <row r="2" spans="1:37" x14ac:dyDescent="0.25">
      <c r="A2" s="10" t="s">
        <v>17</v>
      </c>
      <c r="C2" s="5" t="s">
        <v>26</v>
      </c>
      <c r="D2" s="5"/>
      <c r="E2" s="5"/>
      <c r="F2" s="5" t="s">
        <v>28</v>
      </c>
      <c r="G2" s="5" t="s">
        <v>31</v>
      </c>
      <c r="H2" s="5" t="s">
        <v>23</v>
      </c>
      <c r="I2" s="5" t="s">
        <v>18</v>
      </c>
      <c r="J2" s="5" t="s">
        <v>21</v>
      </c>
      <c r="L2" s="5" t="s">
        <v>140</v>
      </c>
      <c r="M2" s="5" t="s">
        <v>32</v>
      </c>
      <c r="N2" s="5" t="s">
        <v>6</v>
      </c>
      <c r="P2" s="5" t="s">
        <v>141</v>
      </c>
      <c r="Q2" s="5" t="s">
        <v>142</v>
      </c>
      <c r="S2" s="5" t="s">
        <v>9</v>
      </c>
      <c r="T2" s="7"/>
      <c r="U2" s="5" t="s">
        <v>44</v>
      </c>
      <c r="V2" s="5" t="s">
        <v>40</v>
      </c>
      <c r="W2" s="5" t="s">
        <v>42</v>
      </c>
      <c r="X2" s="5" t="s">
        <v>143</v>
      </c>
      <c r="Y2" s="7"/>
      <c r="Z2" s="5" t="s">
        <v>144</v>
      </c>
      <c r="AA2" s="5" t="s">
        <v>145</v>
      </c>
      <c r="AB2" s="5" t="s">
        <v>146</v>
      </c>
      <c r="AC2" s="5" t="s">
        <v>51</v>
      </c>
      <c r="AD2" s="5" t="s">
        <v>147</v>
      </c>
    </row>
    <row r="3" spans="1:37" x14ac:dyDescent="0.25">
      <c r="A3" s="10" t="s">
        <v>34</v>
      </c>
      <c r="C3" s="6" t="s">
        <v>148</v>
      </c>
      <c r="D3" s="6" t="s">
        <v>21</v>
      </c>
      <c r="E3" s="6" t="s">
        <v>149</v>
      </c>
      <c r="F3" s="6" t="s">
        <v>29</v>
      </c>
      <c r="G3" s="6" t="s">
        <v>150</v>
      </c>
      <c r="H3" s="6" t="s">
        <v>151</v>
      </c>
      <c r="I3" s="6" t="s">
        <v>106</v>
      </c>
      <c r="J3" s="6" t="s">
        <v>43</v>
      </c>
      <c r="L3" s="6" t="s">
        <v>152</v>
      </c>
      <c r="M3" s="6"/>
      <c r="N3" s="6" t="s">
        <v>153</v>
      </c>
      <c r="P3" s="6" t="s">
        <v>154</v>
      </c>
      <c r="Q3" s="6" t="s">
        <v>154</v>
      </c>
      <c r="S3" s="6" t="s">
        <v>154</v>
      </c>
      <c r="T3" s="7"/>
      <c r="U3" s="6" t="s">
        <v>48</v>
      </c>
      <c r="V3" s="6" t="s">
        <v>155</v>
      </c>
      <c r="W3" s="6" t="s">
        <v>156</v>
      </c>
      <c r="X3" s="6" t="s">
        <v>157</v>
      </c>
      <c r="Y3" s="7"/>
      <c r="Z3" s="6" t="s">
        <v>158</v>
      </c>
      <c r="AA3" s="6" t="s">
        <v>54</v>
      </c>
      <c r="AB3" s="6" t="s">
        <v>54</v>
      </c>
      <c r="AC3" s="6" t="s">
        <v>54</v>
      </c>
    </row>
    <row r="4" spans="1:37" x14ac:dyDescent="0.25">
      <c r="A4" s="10" t="s">
        <v>52</v>
      </c>
      <c r="C4" s="147" t="s">
        <v>159</v>
      </c>
      <c r="D4" s="147"/>
      <c r="E4" s="147"/>
      <c r="F4" s="6" t="s">
        <v>30</v>
      </c>
      <c r="G4" s="6" t="s">
        <v>160</v>
      </c>
      <c r="H4" s="6" t="s">
        <v>161</v>
      </c>
      <c r="I4" s="6" t="s">
        <v>20</v>
      </c>
      <c r="J4" s="6" t="s">
        <v>162</v>
      </c>
      <c r="L4" s="6"/>
      <c r="M4" s="6"/>
      <c r="N4" s="6"/>
      <c r="P4" s="6" t="s">
        <v>163</v>
      </c>
      <c r="Q4" s="6" t="s">
        <v>163</v>
      </c>
      <c r="S4" s="6" t="s">
        <v>3</v>
      </c>
      <c r="T4" s="7"/>
      <c r="U4" s="6" t="s">
        <v>41</v>
      </c>
      <c r="V4" s="6" t="s">
        <v>164</v>
      </c>
      <c r="W4" s="6" t="s">
        <v>162</v>
      </c>
      <c r="X4" s="6" t="s">
        <v>165</v>
      </c>
      <c r="Y4" s="7"/>
      <c r="Z4" s="6" t="s">
        <v>54</v>
      </c>
      <c r="AA4" s="6" t="s">
        <v>166</v>
      </c>
      <c r="AB4" s="6" t="s">
        <v>27</v>
      </c>
      <c r="AC4" s="6"/>
    </row>
    <row r="5" spans="1:37" x14ac:dyDescent="0.25">
      <c r="A5" s="10" t="s">
        <v>39</v>
      </c>
      <c r="C5" s="147" t="s">
        <v>100</v>
      </c>
      <c r="D5" s="147"/>
      <c r="E5" s="147"/>
      <c r="F5" s="6"/>
      <c r="G5" s="6"/>
      <c r="H5" s="6" t="s">
        <v>167</v>
      </c>
      <c r="I5" s="6" t="s">
        <v>19</v>
      </c>
      <c r="J5" s="6"/>
      <c r="L5" s="6"/>
      <c r="M5" s="6"/>
      <c r="N5" s="6"/>
      <c r="P5" s="6" t="s">
        <v>168</v>
      </c>
      <c r="Q5" s="6" t="s">
        <v>168</v>
      </c>
      <c r="S5" s="6" t="s">
        <v>169</v>
      </c>
      <c r="T5" s="7"/>
      <c r="U5" s="6" t="s">
        <v>47</v>
      </c>
      <c r="V5" s="6" t="s">
        <v>170</v>
      </c>
      <c r="W5" s="6"/>
      <c r="X5" s="6"/>
      <c r="Y5" s="7"/>
      <c r="Z5" s="6" t="s">
        <v>27</v>
      </c>
      <c r="AA5" s="6"/>
      <c r="AB5" s="6"/>
      <c r="AC5" s="6"/>
    </row>
    <row r="6" spans="1:37" x14ac:dyDescent="0.25">
      <c r="A6" s="10" t="s">
        <v>5</v>
      </c>
      <c r="C6" s="147" t="s">
        <v>99</v>
      </c>
      <c r="D6" s="147"/>
      <c r="E6" s="147"/>
      <c r="F6" s="6"/>
      <c r="G6" s="6"/>
      <c r="H6" s="6" t="s">
        <v>49</v>
      </c>
      <c r="I6" s="6" t="s">
        <v>171</v>
      </c>
      <c r="J6" s="6"/>
      <c r="L6" s="6"/>
      <c r="M6" s="6"/>
      <c r="N6" s="6"/>
      <c r="P6" s="6" t="s">
        <v>172</v>
      </c>
      <c r="Q6" s="6" t="s">
        <v>172</v>
      </c>
      <c r="S6" s="6" t="s">
        <v>54</v>
      </c>
      <c r="T6" s="7"/>
      <c r="U6" s="6" t="s">
        <v>3</v>
      </c>
      <c r="V6" s="6" t="s">
        <v>173</v>
      </c>
      <c r="W6" s="6"/>
      <c r="X6" s="6"/>
      <c r="Y6" s="7"/>
    </row>
    <row r="7" spans="1:37" x14ac:dyDescent="0.25">
      <c r="H7" s="6" t="s">
        <v>103</v>
      </c>
      <c r="I7" s="6" t="s">
        <v>174</v>
      </c>
      <c r="P7" s="6" t="s">
        <v>175</v>
      </c>
      <c r="Q7" s="6" t="s">
        <v>175</v>
      </c>
      <c r="S7" s="6" t="s">
        <v>176</v>
      </c>
      <c r="T7" s="7"/>
      <c r="U7" s="6" t="s">
        <v>46</v>
      </c>
      <c r="V7" s="6" t="s">
        <v>177</v>
      </c>
      <c r="W7" s="6"/>
      <c r="X7" s="6"/>
      <c r="Y7" s="7"/>
    </row>
    <row r="8" spans="1:37" x14ac:dyDescent="0.25">
      <c r="H8" s="6" t="s">
        <v>105</v>
      </c>
      <c r="I8" s="6" t="s">
        <v>27</v>
      </c>
      <c r="P8" s="6" t="s">
        <v>114</v>
      </c>
      <c r="Q8" s="6" t="s">
        <v>114</v>
      </c>
      <c r="S8" s="6" t="s">
        <v>35</v>
      </c>
      <c r="T8" s="7"/>
      <c r="U8" s="6" t="s">
        <v>45</v>
      </c>
      <c r="V8" s="6" t="s">
        <v>178</v>
      </c>
      <c r="W8" s="6"/>
      <c r="X8" s="6"/>
      <c r="Y8" s="7"/>
    </row>
    <row r="9" spans="1:37" x14ac:dyDescent="0.25">
      <c r="H9" s="6" t="s">
        <v>179</v>
      </c>
      <c r="P9" s="6" t="s">
        <v>111</v>
      </c>
      <c r="Q9" s="6" t="s">
        <v>111</v>
      </c>
      <c r="S9" s="6" t="s">
        <v>180</v>
      </c>
      <c r="T9" s="7"/>
      <c r="U9" s="6" t="s">
        <v>33</v>
      </c>
      <c r="V9" s="6" t="s">
        <v>181</v>
      </c>
      <c r="W9" s="6"/>
      <c r="X9" s="6"/>
      <c r="Y9" s="7"/>
    </row>
    <row r="10" spans="1:37" x14ac:dyDescent="0.25">
      <c r="P10" s="6" t="s">
        <v>110</v>
      </c>
      <c r="Q10" s="6" t="s">
        <v>110</v>
      </c>
      <c r="S10" s="6" t="s">
        <v>55</v>
      </c>
      <c r="T10" s="7"/>
      <c r="U10" s="6" t="s">
        <v>182</v>
      </c>
      <c r="V10" s="6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</row>
    <row r="11" spans="1:37" x14ac:dyDescent="0.25">
      <c r="P11" s="6" t="s">
        <v>183</v>
      </c>
      <c r="Q11" s="6" t="s">
        <v>183</v>
      </c>
      <c r="S11" s="6" t="s">
        <v>56</v>
      </c>
      <c r="T11" s="7"/>
      <c r="U11" s="6" t="s">
        <v>149</v>
      </c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</row>
    <row r="12" spans="1:37" x14ac:dyDescent="0.25">
      <c r="P12" s="6" t="s">
        <v>115</v>
      </c>
      <c r="Q12" s="6" t="s">
        <v>115</v>
      </c>
      <c r="S12" s="6" t="s">
        <v>39</v>
      </c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</row>
    <row r="13" spans="1:37" x14ac:dyDescent="0.25">
      <c r="P13" s="6" t="s">
        <v>184</v>
      </c>
      <c r="Q13" s="6" t="s">
        <v>184</v>
      </c>
      <c r="S13" s="6" t="s">
        <v>53</v>
      </c>
      <c r="T13" s="7"/>
      <c r="U13" s="7"/>
      <c r="V13" s="7"/>
      <c r="W13" s="7"/>
      <c r="X13" s="7"/>
      <c r="Y13" s="7"/>
      <c r="Z13" s="7"/>
      <c r="AA13" s="7"/>
      <c r="AB13" s="9"/>
      <c r="AC13" s="7"/>
      <c r="AD13" s="7"/>
      <c r="AE13" s="7"/>
      <c r="AF13" s="7"/>
      <c r="AG13" s="7"/>
      <c r="AH13" s="7"/>
      <c r="AI13" s="7"/>
      <c r="AJ13" s="7"/>
      <c r="AK13" s="7"/>
    </row>
    <row r="14" spans="1:37" x14ac:dyDescent="0.25">
      <c r="P14" s="6" t="s">
        <v>3</v>
      </c>
      <c r="Q14" s="6" t="s">
        <v>3</v>
      </c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</row>
    <row r="15" spans="1:37" x14ac:dyDescent="0.25">
      <c r="P15" s="6" t="s">
        <v>56</v>
      </c>
      <c r="Q15" s="6" t="s">
        <v>56</v>
      </c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</row>
    <row r="16" spans="1:37" x14ac:dyDescent="0.25">
      <c r="A16" s="2"/>
      <c r="P16" s="6" t="s">
        <v>185</v>
      </c>
      <c r="Q16" s="6" t="s">
        <v>185</v>
      </c>
      <c r="S16" s="8"/>
      <c r="T16" s="8"/>
      <c r="U16" s="8"/>
      <c r="V16" s="8"/>
      <c r="W16" s="8"/>
      <c r="X16" s="8"/>
      <c r="Y16" s="8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</row>
    <row r="17" spans="1:37" x14ac:dyDescent="0.25">
      <c r="A17" s="2"/>
      <c r="P17" s="6" t="s">
        <v>186</v>
      </c>
      <c r="Q17" s="6"/>
      <c r="S17" s="8"/>
      <c r="T17" s="8"/>
      <c r="U17" s="8"/>
      <c r="V17" s="8"/>
      <c r="W17" s="8"/>
      <c r="X17" s="8"/>
      <c r="Y17" s="8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</row>
    <row r="18" spans="1:37" x14ac:dyDescent="0.25">
      <c r="A18" s="2"/>
      <c r="P18" s="6" t="s">
        <v>187</v>
      </c>
      <c r="S18" s="8"/>
      <c r="T18" s="8"/>
      <c r="U18" s="8"/>
      <c r="V18" s="8"/>
      <c r="W18" s="8"/>
      <c r="X18" s="8"/>
      <c r="Y18" s="8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</row>
    <row r="19" spans="1:37" x14ac:dyDescent="0.25">
      <c r="S19" s="8"/>
      <c r="T19" s="8"/>
      <c r="U19" s="8"/>
      <c r="V19" s="8"/>
      <c r="W19" s="8"/>
      <c r="X19" s="8"/>
      <c r="Y19" s="8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</row>
    <row r="20" spans="1:37" x14ac:dyDescent="0.25"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</row>
  </sheetData>
  <sheetProtection sheet="1" objects="1" scenarios="1"/>
  <mergeCells count="4">
    <mergeCell ref="G1:J1"/>
    <mergeCell ref="C4:E4"/>
    <mergeCell ref="C5:E5"/>
    <mergeCell ref="C6:E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D972E70-5E18-4DCC-A993-E1CD9AC2D8A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RESUMEN</vt:lpstr>
      <vt:lpstr>ACTIVIDADES</vt:lpstr>
      <vt:lpstr>MOV</vt:lpstr>
      <vt:lpstr>RDOS</vt:lpstr>
      <vt:lpstr>CAPITAL</vt:lpstr>
      <vt:lpstr>LISTA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Kevin</dc:creator>
  <cp:keywords/>
  <dc:description/>
  <cp:lastModifiedBy>Kevin Toledo</cp:lastModifiedBy>
  <cp:revision/>
  <dcterms:created xsi:type="dcterms:W3CDTF">2023-12-14T13:45:41Z</dcterms:created>
  <dcterms:modified xsi:type="dcterms:W3CDTF">2026-02-25T13:54:28Z</dcterms:modified>
  <cp:category/>
  <cp:contentStatus/>
</cp:coreProperties>
</file>