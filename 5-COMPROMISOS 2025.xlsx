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codeName="ThisWorkbook"/>
  <xr:revisionPtr revIDLastSave="0" documentId="13_ncr:1_{F433BCA8-9D12-4D88-B32B-D1433127B114}" xr6:coauthVersionLast="47" xr6:coauthVersionMax="47" xr10:uidLastSave="{00000000-0000-0000-0000-000000000000}"/>
  <bookViews>
    <workbookView xWindow="-120" yWindow="-120" windowWidth="20730" windowHeight="11160" tabRatio="415" xr2:uid="{00000000-000D-0000-FFFF-FFFF00000000}"/>
  </bookViews>
  <sheets>
    <sheet name="Ligero" sheetId="17" r:id="rId1"/>
    <sheet name="CREDITO MACRO FW 120tn 3,5% $30" sheetId="22" r:id="rId2"/>
    <sheet name="CREDITO MACRO FW 90tn 3,5% $295" sheetId="23" r:id="rId3"/>
  </sheets>
  <definedNames>
    <definedName name="FACTURAS">#REF!</definedName>
    <definedName name="Hoy" localSheetId="0">TODAY()</definedName>
    <definedName name="Incremento_de_desplazamiento" localSheetId="0">Ligero!$E$7</definedName>
    <definedName name="Inicio_del_proyecto" localSheetId="0">Ligero!$E$6</definedName>
    <definedName name="_xlnm.Print_Titles" localSheetId="0">Ligero!$6:$11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7" l="1"/>
  <c r="L57" i="17"/>
  <c r="E22" i="17"/>
  <c r="E23" i="17"/>
  <c r="E24" i="17"/>
  <c r="E25" i="17"/>
  <c r="E14" i="17"/>
  <c r="E15" i="17"/>
  <c r="E16" i="17"/>
  <c r="B33" i="17"/>
  <c r="D41" i="17"/>
  <c r="D42" i="17"/>
  <c r="D43" i="17"/>
  <c r="D35" i="17"/>
  <c r="D36" i="17"/>
  <c r="D37" i="17"/>
  <c r="D38" i="17"/>
  <c r="D39" i="17"/>
  <c r="D40" i="17"/>
  <c r="L71" i="17" l="1"/>
  <c r="B71" i="17"/>
  <c r="D71" i="17" s="1"/>
  <c r="I7" i="23"/>
  <c r="I12" i="23" s="1"/>
  <c r="H7" i="23"/>
  <c r="H12" i="23" s="1"/>
  <c r="G7" i="23"/>
  <c r="G9" i="23"/>
  <c r="G12" i="23"/>
  <c r="G4" i="23"/>
  <c r="E16" i="23"/>
  <c r="I7" i="22"/>
  <c r="I9" i="22" s="1"/>
  <c r="H7" i="22"/>
  <c r="H12" i="22" s="1"/>
  <c r="E16" i="22"/>
  <c r="G7" i="22"/>
  <c r="G9" i="22"/>
  <c r="G12" i="22"/>
  <c r="G4" i="22"/>
  <c r="E18" i="17"/>
  <c r="E19" i="17"/>
  <c r="L59" i="17"/>
  <c r="D34" i="17"/>
  <c r="L61" i="17"/>
  <c r="L28" i="17"/>
  <c r="L29" i="17"/>
  <c r="L30" i="17"/>
  <c r="L31" i="17"/>
  <c r="D28" i="17"/>
  <c r="E28" i="17"/>
  <c r="D29" i="17"/>
  <c r="E29" i="17"/>
  <c r="D30" i="17"/>
  <c r="E30" i="17"/>
  <c r="D31" i="17"/>
  <c r="E31" i="17"/>
  <c r="D32" i="17"/>
  <c r="E32" i="17"/>
  <c r="L26" i="17"/>
  <c r="L27" i="17"/>
  <c r="E27" i="17"/>
  <c r="E26" i="17"/>
  <c r="D27" i="17"/>
  <c r="D26" i="17"/>
  <c r="L21" i="17"/>
  <c r="L22" i="17"/>
  <c r="L23" i="17"/>
  <c r="L24" i="17"/>
  <c r="L25" i="17"/>
  <c r="E21" i="17"/>
  <c r="D21" i="17"/>
  <c r="D22" i="17"/>
  <c r="D23" i="17"/>
  <c r="D24" i="17"/>
  <c r="D25" i="17"/>
  <c r="B20" i="17"/>
  <c r="B12" i="17" s="1"/>
  <c r="L20" i="17"/>
  <c r="E20" i="17"/>
  <c r="D18" i="17"/>
  <c r="D19" i="17"/>
  <c r="L63" i="17"/>
  <c r="D63" i="17"/>
  <c r="D20" i="17" l="1"/>
  <c r="G16" i="23"/>
  <c r="H9" i="23"/>
  <c r="I9" i="23"/>
  <c r="H9" i="22"/>
  <c r="I12" i="22"/>
  <c r="G16" i="22"/>
  <c r="D62" i="17"/>
  <c r="L60" i="17"/>
  <c r="B72" i="17"/>
  <c r="B54" i="17" s="1"/>
  <c r="B47" i="17" s="1"/>
  <c r="L19" i="17"/>
  <c r="L44" i="17"/>
  <c r="L45" i="17"/>
  <c r="L46" i="17"/>
  <c r="D45" i="17"/>
  <c r="D46" i="17"/>
  <c r="D44" i="17"/>
  <c r="C72" i="17"/>
  <c r="L55" i="17"/>
  <c r="L56" i="17"/>
  <c r="L58" i="17"/>
  <c r="L64" i="17"/>
  <c r="L65" i="17"/>
  <c r="L66" i="17"/>
  <c r="L67" i="17"/>
  <c r="L68" i="17"/>
  <c r="L69" i="17"/>
  <c r="L70" i="17"/>
  <c r="D69" i="17"/>
  <c r="D70" i="17"/>
  <c r="L13" i="17"/>
  <c r="E9" i="17"/>
  <c r="M71" i="17" l="1"/>
  <c r="M57" i="17"/>
  <c r="D33" i="17"/>
  <c r="M61" i="17"/>
  <c r="M59" i="17"/>
  <c r="M28" i="17"/>
  <c r="M30" i="17"/>
  <c r="M29" i="17"/>
  <c r="M31" i="17"/>
  <c r="M26" i="17"/>
  <c r="M27" i="17"/>
  <c r="M20" i="17"/>
  <c r="M21" i="17"/>
  <c r="M25" i="17"/>
  <c r="M24" i="17"/>
  <c r="M22" i="17"/>
  <c r="M23" i="17"/>
  <c r="M63" i="17"/>
  <c r="D72" i="17"/>
  <c r="M60" i="17"/>
  <c r="M19" i="17"/>
  <c r="M46" i="17"/>
  <c r="M45" i="17"/>
  <c r="M44" i="17"/>
  <c r="M70" i="17"/>
  <c r="M69" i="17"/>
  <c r="M68" i="17"/>
  <c r="M67" i="17"/>
  <c r="M66" i="17"/>
  <c r="M65" i="17"/>
  <c r="M64" i="17"/>
  <c r="M58" i="17"/>
  <c r="M56" i="17"/>
  <c r="M55" i="17"/>
  <c r="M52" i="17"/>
  <c r="M17" i="17"/>
  <c r="M16" i="17"/>
  <c r="M18" i="17"/>
  <c r="M15" i="17"/>
  <c r="M14" i="17"/>
  <c r="C47" i="17"/>
  <c r="C33" i="17" s="1"/>
  <c r="E48" i="17"/>
  <c r="E49" i="17"/>
  <c r="E50" i="17"/>
  <c r="E51" i="17"/>
  <c r="E52" i="17"/>
  <c r="E53" i="17"/>
  <c r="D49" i="17"/>
  <c r="D50" i="17"/>
  <c r="D51" i="17"/>
  <c r="D52" i="17"/>
  <c r="D53" i="17"/>
  <c r="D48" i="17"/>
  <c r="L51" i="17"/>
  <c r="L52" i="17"/>
  <c r="L53" i="17"/>
  <c r="L49" i="17"/>
  <c r="L50" i="17"/>
  <c r="L48" i="17"/>
  <c r="E17" i="17"/>
  <c r="E13" i="17"/>
  <c r="D64" i="17"/>
  <c r="D65" i="17"/>
  <c r="D66" i="17"/>
  <c r="D67" i="17"/>
  <c r="D68" i="17"/>
  <c r="D58" i="17"/>
  <c r="D59" i="17"/>
  <c r="D56" i="17"/>
  <c r="D57" i="17"/>
  <c r="D55" i="17"/>
  <c r="D13" i="17"/>
  <c r="D16" i="17"/>
  <c r="D17" i="17"/>
  <c r="L18" i="17"/>
  <c r="L14" i="17"/>
  <c r="L15" i="17"/>
  <c r="L16" i="17"/>
  <c r="L17" i="17"/>
  <c r="E12" i="17" l="1"/>
  <c r="D12" i="17"/>
  <c r="D54" i="17"/>
  <c r="D47" i="17" s="1"/>
  <c r="E47" i="17"/>
  <c r="E33" i="17" s="1"/>
  <c r="E6" i="17" a="1"/>
  <c r="E6" i="17" s="1"/>
  <c r="P7" i="17" s="1"/>
  <c r="Q7" i="17" l="1"/>
  <c r="P11" i="17"/>
  <c r="P33" i="17"/>
  <c r="P54" i="17"/>
  <c r="P16" i="17"/>
  <c r="P17" i="17"/>
  <c r="P12" i="17"/>
  <c r="P14" i="17"/>
  <c r="P6" i="17"/>
  <c r="P13" i="17"/>
  <c r="P15" i="17"/>
  <c r="Q54" i="17" l="1"/>
  <c r="Q15" i="17"/>
  <c r="Q13" i="17"/>
  <c r="R7" i="17"/>
  <c r="Q12" i="17"/>
  <c r="Q33" i="17"/>
  <c r="Q11" i="17"/>
  <c r="Q16" i="17"/>
  <c r="Q14" i="17"/>
  <c r="Q17" i="17"/>
  <c r="R54" i="17" l="1"/>
  <c r="R13" i="17"/>
  <c r="R11" i="17"/>
  <c r="R17" i="17"/>
  <c r="R16" i="17"/>
  <c r="R15" i="17"/>
  <c r="R12" i="17"/>
  <c r="R14" i="17"/>
  <c r="R33" i="17"/>
  <c r="S7" i="17"/>
  <c r="S17" i="17" l="1"/>
  <c r="S15" i="17"/>
  <c r="T7" i="17"/>
  <c r="S12" i="17"/>
  <c r="S14" i="17"/>
  <c r="S54" i="17"/>
  <c r="S13" i="17"/>
  <c r="S11" i="17"/>
  <c r="S16" i="17"/>
  <c r="S33" i="17"/>
  <c r="T16" i="17" l="1"/>
  <c r="T13" i="17"/>
  <c r="T14" i="17"/>
  <c r="T54" i="17"/>
  <c r="T12" i="17"/>
  <c r="T15" i="17"/>
  <c r="T11" i="17"/>
  <c r="T17" i="17"/>
  <c r="U7" i="17"/>
  <c r="T33" i="17"/>
  <c r="U12" i="17" l="1"/>
  <c r="U16" i="17"/>
  <c r="U33" i="17"/>
  <c r="V7" i="17"/>
  <c r="U14" i="17"/>
  <c r="U11" i="17"/>
  <c r="U13" i="17"/>
  <c r="U54" i="17"/>
  <c r="U15" i="17"/>
  <c r="U17" i="17"/>
  <c r="V15" i="17" l="1"/>
  <c r="V11" i="17"/>
  <c r="V17" i="17"/>
  <c r="V14" i="17"/>
  <c r="V12" i="17"/>
  <c r="V33" i="17"/>
  <c r="V54" i="17"/>
  <c r="V16" i="17"/>
  <c r="W7" i="17"/>
  <c r="V13" i="17"/>
  <c r="W33" i="17" l="1"/>
  <c r="W13" i="17"/>
  <c r="W14" i="17"/>
  <c r="W17" i="17"/>
  <c r="W6" i="17"/>
  <c r="W11" i="17"/>
  <c r="W54" i="17"/>
  <c r="W12" i="17"/>
  <c r="X7" i="17"/>
  <c r="W15" i="17"/>
  <c r="W16" i="17"/>
  <c r="X13" i="17" l="1"/>
  <c r="X14" i="17"/>
  <c r="X15" i="17"/>
  <c r="X12" i="17"/>
  <c r="X16" i="17"/>
  <c r="X11" i="17"/>
  <c r="X17" i="17"/>
  <c r="X54" i="17"/>
  <c r="X33" i="17"/>
  <c r="Y7" i="17"/>
  <c r="Y16" i="17" l="1"/>
  <c r="Y14" i="17"/>
  <c r="Z7" i="17"/>
  <c r="Y13" i="17"/>
  <c r="Y54" i="17"/>
  <c r="Y11" i="17"/>
  <c r="Y17" i="17"/>
  <c r="Y15" i="17"/>
  <c r="Y12" i="17"/>
  <c r="Y33" i="17"/>
  <c r="Z15" i="17" l="1"/>
  <c r="AA7" i="17"/>
  <c r="Z14" i="17"/>
  <c r="Z13" i="17"/>
  <c r="Z11" i="17"/>
  <c r="Z12" i="17"/>
  <c r="Z17" i="17"/>
  <c r="Z54" i="17"/>
  <c r="Z16" i="17"/>
  <c r="Z33" i="17"/>
  <c r="AA13" i="17" l="1"/>
  <c r="AA12" i="17"/>
  <c r="AA33" i="17"/>
  <c r="AA54" i="17"/>
  <c r="AA15" i="17"/>
  <c r="AA16" i="17"/>
  <c r="AB7" i="17"/>
  <c r="AA11" i="17"/>
  <c r="AA14" i="17"/>
  <c r="AA17" i="17"/>
  <c r="AB12" i="17" l="1"/>
  <c r="AB14" i="17"/>
  <c r="AB13" i="17"/>
  <c r="AB54" i="17"/>
  <c r="AC7" i="17"/>
  <c r="AB16" i="17"/>
  <c r="AB17" i="17"/>
  <c r="AB11" i="17"/>
  <c r="AB33" i="17"/>
  <c r="AB15" i="17"/>
  <c r="AC17" i="17" l="1"/>
  <c r="AC54" i="17"/>
  <c r="AD7" i="17"/>
  <c r="AC12" i="17"/>
  <c r="AC33" i="17"/>
  <c r="AC16" i="17"/>
  <c r="AC11" i="17"/>
  <c r="AC15" i="17"/>
  <c r="AC13" i="17"/>
  <c r="AC14" i="17"/>
  <c r="AD54" i="17" l="1"/>
  <c r="AD17" i="17"/>
  <c r="AD12" i="17"/>
  <c r="AD6" i="17"/>
  <c r="AD33" i="17"/>
  <c r="AE7" i="17"/>
  <c r="AD15" i="17"/>
  <c r="AD11" i="17"/>
  <c r="AD16" i="17"/>
  <c r="AD14" i="17"/>
  <c r="AD13" i="17"/>
  <c r="AE33" i="17" l="1"/>
  <c r="AF7" i="17"/>
  <c r="AE12" i="17"/>
  <c r="AE13" i="17"/>
  <c r="AE16" i="17"/>
  <c r="AE17" i="17"/>
  <c r="AE14" i="17"/>
  <c r="AE11" i="17"/>
  <c r="AE54" i="17"/>
  <c r="AE15" i="17"/>
  <c r="AF12" i="17" l="1"/>
  <c r="AF16" i="17"/>
  <c r="AF33" i="17"/>
  <c r="AF17" i="17"/>
  <c r="AF11" i="17"/>
  <c r="AG7" i="17"/>
  <c r="AF54" i="17"/>
  <c r="AF14" i="17"/>
  <c r="AF15" i="17"/>
  <c r="AF13" i="17"/>
  <c r="AG14" i="17" l="1"/>
  <c r="AG54" i="17"/>
  <c r="AG15" i="17"/>
  <c r="AH7" i="17"/>
  <c r="AG12" i="17"/>
  <c r="AG16" i="17"/>
  <c r="AG11" i="17"/>
  <c r="AG13" i="17"/>
  <c r="AG17" i="17"/>
  <c r="AG33" i="17"/>
  <c r="AH12" i="17" l="1"/>
  <c r="AH16" i="17"/>
  <c r="AH11" i="17"/>
  <c r="AH17" i="17"/>
  <c r="AI7" i="17"/>
  <c r="AH54" i="17"/>
  <c r="AH15" i="17"/>
  <c r="AH13" i="17"/>
  <c r="AH14" i="17"/>
  <c r="AH33" i="17"/>
  <c r="AI13" i="17" l="1"/>
  <c r="AI33" i="17"/>
  <c r="AI14" i="17"/>
  <c r="AI12" i="17"/>
  <c r="AI16" i="17"/>
  <c r="AI17" i="17"/>
  <c r="AI54" i="17"/>
  <c r="AI11" i="17"/>
  <c r="AI15" i="17"/>
  <c r="AJ7" i="17"/>
  <c r="AJ54" i="17" l="1"/>
  <c r="AJ33" i="17"/>
  <c r="AJ12" i="17"/>
  <c r="AJ11" i="17"/>
  <c r="AJ14" i="17"/>
  <c r="AJ15" i="17"/>
  <c r="AJ13" i="17"/>
  <c r="AJ16" i="17"/>
  <c r="AK7" i="17"/>
  <c r="AJ17" i="17"/>
  <c r="AK11" i="17" l="1"/>
  <c r="AK6" i="17"/>
  <c r="AK16" i="17"/>
  <c r="AL7" i="17"/>
  <c r="AK13" i="17"/>
  <c r="AK12" i="17"/>
  <c r="AK17" i="17"/>
  <c r="AK15" i="17"/>
  <c r="AK33" i="17"/>
  <c r="AK14" i="17"/>
  <c r="AK54" i="17"/>
  <c r="AL17" i="17" l="1"/>
  <c r="AL13" i="17"/>
  <c r="AM7" i="17"/>
  <c r="AL15" i="17"/>
  <c r="AL14" i="17"/>
  <c r="AL54" i="17"/>
  <c r="AL33" i="17"/>
  <c r="AL11" i="17"/>
  <c r="AL12" i="17"/>
  <c r="AL16" i="17"/>
  <c r="AM14" i="17" l="1"/>
  <c r="AM33" i="17"/>
  <c r="AM11" i="17"/>
  <c r="AM12" i="17"/>
  <c r="AM16" i="17"/>
  <c r="AM54" i="17"/>
  <c r="AM13" i="17"/>
  <c r="AM17" i="17"/>
  <c r="AM15" i="17"/>
  <c r="AN7" i="17"/>
  <c r="AN16" i="17" l="1"/>
  <c r="AN11" i="17"/>
  <c r="AN17" i="17"/>
  <c r="AN14" i="17"/>
  <c r="AN54" i="17"/>
  <c r="AN13" i="17"/>
  <c r="AN33" i="17"/>
  <c r="AO7" i="17"/>
  <c r="AN12" i="17"/>
  <c r="AN15" i="17"/>
  <c r="AO33" i="17" l="1"/>
  <c r="AO14" i="17"/>
  <c r="AP7" i="17"/>
  <c r="AO54" i="17"/>
  <c r="AO12" i="17"/>
  <c r="AO16" i="17"/>
  <c r="AO13" i="17"/>
  <c r="AO11" i="17"/>
  <c r="AO15" i="17"/>
  <c r="AO17" i="17"/>
  <c r="AP15" i="17" l="1"/>
  <c r="AP16" i="17"/>
  <c r="AP11" i="17"/>
  <c r="AP33" i="17"/>
  <c r="AP13" i="17"/>
  <c r="AP14" i="17"/>
  <c r="AQ7" i="17"/>
  <c r="AP54" i="17"/>
  <c r="AP12" i="17"/>
  <c r="AP17" i="17"/>
  <c r="AQ17" i="17" l="1"/>
  <c r="AQ54" i="17"/>
  <c r="AQ14" i="17"/>
  <c r="AQ13" i="17"/>
  <c r="AR7" i="17"/>
  <c r="AQ12" i="17"/>
  <c r="AQ33" i="17"/>
  <c r="AQ11" i="17"/>
  <c r="AQ15" i="17"/>
  <c r="AQ16" i="17"/>
  <c r="AR17" i="17" l="1"/>
  <c r="AR12" i="17"/>
  <c r="AR11" i="17"/>
  <c r="AR6" i="17"/>
  <c r="AR33" i="17"/>
  <c r="AR13" i="17"/>
  <c r="AR14" i="17"/>
  <c r="AR15" i="17"/>
  <c r="AS7" i="17"/>
  <c r="AR16" i="17"/>
  <c r="AR54" i="17"/>
  <c r="AS17" i="17" l="1"/>
  <c r="AS54" i="17"/>
  <c r="AS11" i="17"/>
  <c r="AT7" i="17"/>
  <c r="AS13" i="17"/>
  <c r="AS15" i="17"/>
  <c r="AS33" i="17"/>
  <c r="AS12" i="17"/>
  <c r="AS16" i="17"/>
  <c r="AS14" i="17"/>
  <c r="AT15" i="17" l="1"/>
  <c r="AT16" i="17"/>
  <c r="AT13" i="17"/>
  <c r="AT14" i="17"/>
  <c r="AT54" i="17"/>
  <c r="AT17" i="17"/>
  <c r="AT11" i="17"/>
  <c r="AU7" i="17"/>
  <c r="AT12" i="17"/>
  <c r="AT33" i="17"/>
  <c r="AU11" i="17" l="1"/>
  <c r="AU54" i="17"/>
  <c r="AU33" i="17"/>
  <c r="AU15" i="17"/>
  <c r="AV7" i="17"/>
  <c r="AU12" i="17"/>
  <c r="AU17" i="17"/>
  <c r="AU13" i="17"/>
  <c r="AU14" i="17"/>
  <c r="AU16" i="17"/>
  <c r="AV12" i="17" l="1"/>
  <c r="AV13" i="17"/>
  <c r="AV14" i="17"/>
  <c r="AV16" i="17"/>
  <c r="AV54" i="17"/>
  <c r="AV11" i="17"/>
  <c r="AV33" i="17"/>
  <c r="AV17" i="17"/>
  <c r="AW7" i="17"/>
  <c r="AV15" i="17"/>
  <c r="AW11" i="17" l="1"/>
  <c r="AW16" i="17"/>
  <c r="AW13" i="17"/>
  <c r="AW15" i="17"/>
  <c r="AW14" i="17"/>
  <c r="AX7" i="17"/>
  <c r="AW17" i="17"/>
  <c r="AW54" i="17"/>
  <c r="AW12" i="17"/>
  <c r="AW33" i="17"/>
  <c r="AY7" i="17" l="1"/>
  <c r="AX16" i="17"/>
  <c r="AX17" i="17"/>
  <c r="AX11" i="17"/>
  <c r="AX33" i="17"/>
  <c r="AX14" i="17"/>
  <c r="AX12" i="17"/>
  <c r="AX15" i="17"/>
  <c r="AX54" i="17"/>
  <c r="AX13" i="17"/>
  <c r="AY54" i="17" l="1"/>
  <c r="AY14" i="17"/>
  <c r="AY17" i="17"/>
  <c r="AZ7" i="17"/>
  <c r="AY13" i="17"/>
  <c r="AY12" i="17"/>
  <c r="AY6" i="17"/>
  <c r="AY33" i="17"/>
  <c r="AY16" i="17"/>
  <c r="AY11" i="17"/>
  <c r="AY15" i="17"/>
  <c r="AZ13" i="17" l="1"/>
  <c r="AZ17" i="17"/>
  <c r="AZ11" i="17"/>
  <c r="AZ14" i="17"/>
  <c r="AZ12" i="17"/>
  <c r="AZ16" i="17"/>
  <c r="BA7" i="17"/>
  <c r="AZ33" i="17"/>
  <c r="AZ15" i="17"/>
  <c r="AZ54" i="17"/>
  <c r="BB7" i="17" l="1"/>
  <c r="BA17" i="17"/>
  <c r="BA15" i="17"/>
  <c r="BA14" i="17"/>
  <c r="BA13" i="17"/>
  <c r="BA54" i="17"/>
  <c r="BA11" i="17"/>
  <c r="BA12" i="17"/>
  <c r="BA16" i="17"/>
  <c r="BA33" i="17"/>
  <c r="BB15" i="17" l="1"/>
  <c r="BB11" i="17"/>
  <c r="BB16" i="17"/>
  <c r="BB33" i="17"/>
  <c r="BB17" i="17"/>
  <c r="BC7" i="17"/>
  <c r="BB12" i="17"/>
  <c r="BB14" i="17"/>
  <c r="BB54" i="17"/>
  <c r="BB13" i="17"/>
  <c r="BC14" i="17" l="1"/>
  <c r="BC15" i="17"/>
  <c r="BC33" i="17"/>
  <c r="BC13" i="17"/>
  <c r="BC17" i="17"/>
  <c r="BC54" i="17"/>
  <c r="BC12" i="17"/>
  <c r="BC11" i="17"/>
  <c r="BD7" i="17"/>
  <c r="BC16" i="17"/>
  <c r="BE7" i="17" l="1"/>
  <c r="BD12" i="17"/>
  <c r="BD13" i="17"/>
  <c r="BD15" i="17"/>
  <c r="BD16" i="17"/>
  <c r="BD17" i="17"/>
  <c r="BD14" i="17"/>
  <c r="BD11" i="17"/>
  <c r="BD33" i="17"/>
  <c r="BD54" i="17"/>
  <c r="BE14" i="17" l="1"/>
  <c r="BE12" i="17"/>
  <c r="BE11" i="17"/>
  <c r="BE16" i="17"/>
  <c r="BE15" i="17"/>
  <c r="BE17" i="17"/>
  <c r="BF7" i="17"/>
  <c r="BE33" i="17"/>
  <c r="BE13" i="17"/>
  <c r="BE54" i="17"/>
  <c r="BF15" i="17" l="1"/>
  <c r="BF11" i="17"/>
  <c r="BF16" i="17"/>
  <c r="BF33" i="17"/>
  <c r="BG7" i="17"/>
  <c r="BF14" i="17"/>
  <c r="BF13" i="17"/>
  <c r="BF6" i="17"/>
  <c r="BF54" i="17"/>
  <c r="BF12" i="17"/>
  <c r="BF17" i="17"/>
  <c r="BG15" i="17" l="1"/>
  <c r="BH7" i="17"/>
  <c r="BG16" i="17"/>
  <c r="BG11" i="17"/>
  <c r="BG54" i="17"/>
  <c r="BG14" i="17"/>
  <c r="BG17" i="17"/>
  <c r="BG13" i="17"/>
  <c r="BG33" i="17"/>
  <c r="BG12" i="17"/>
  <c r="BH54" i="17" l="1"/>
  <c r="BH13" i="17"/>
  <c r="BH12" i="17"/>
  <c r="BH33" i="17"/>
  <c r="BI7" i="17"/>
  <c r="BH16" i="17"/>
  <c r="BH17" i="17"/>
  <c r="BH11" i="17"/>
  <c r="BH14" i="17"/>
  <c r="BH15" i="17"/>
  <c r="BI16" i="17" l="1"/>
  <c r="BI13" i="17"/>
  <c r="BJ7" i="17"/>
  <c r="BI54" i="17"/>
  <c r="BI12" i="17"/>
  <c r="BI14" i="17"/>
  <c r="BI17" i="17"/>
  <c r="BI11" i="17"/>
  <c r="BI15" i="17"/>
  <c r="BI33" i="17"/>
  <c r="BJ12" i="17" l="1"/>
  <c r="BJ54" i="17"/>
  <c r="BJ33" i="17"/>
  <c r="BJ11" i="17"/>
  <c r="BK7" i="17"/>
  <c r="BJ16" i="17"/>
  <c r="BJ15" i="17"/>
  <c r="BJ13" i="17"/>
  <c r="BJ14" i="17"/>
  <c r="BJ17" i="17"/>
  <c r="BK13" i="17" l="1"/>
  <c r="BK12" i="17"/>
  <c r="BK14" i="17"/>
  <c r="BK16" i="17"/>
  <c r="BK17" i="17"/>
  <c r="BK33" i="17"/>
  <c r="BK54" i="17"/>
  <c r="BK15" i="17"/>
  <c r="BK11" i="17"/>
  <c r="BL7" i="17"/>
  <c r="BL14" i="17" l="1"/>
  <c r="BL15" i="17"/>
  <c r="BL16" i="17"/>
  <c r="BL11" i="17"/>
  <c r="BL17" i="17"/>
  <c r="BL54" i="17"/>
  <c r="BL33" i="17"/>
  <c r="BM7" i="17"/>
  <c r="BL12" i="17"/>
  <c r="BL13" i="17"/>
  <c r="BM54" i="17" l="1"/>
  <c r="BM6" i="17"/>
  <c r="BM17" i="17"/>
  <c r="BM33" i="17"/>
  <c r="BN7" i="17"/>
  <c r="BM16" i="17"/>
  <c r="BM15" i="17"/>
  <c r="BM12" i="17"/>
  <c r="BM11" i="17"/>
  <c r="BM13" i="17"/>
  <c r="BM14" i="17"/>
  <c r="BN12" i="17" l="1"/>
  <c r="BN54" i="17"/>
  <c r="BN14" i="17"/>
  <c r="BN15" i="17"/>
  <c r="BN13" i="17"/>
  <c r="BN17" i="17"/>
  <c r="BN11" i="17"/>
  <c r="BO7" i="17"/>
  <c r="BN16" i="17"/>
  <c r="BN33" i="17"/>
  <c r="BP7" i="17" l="1"/>
  <c r="BO12" i="17"/>
  <c r="BO17" i="17"/>
  <c r="BO14" i="17"/>
  <c r="BO54" i="17"/>
  <c r="BO13" i="17"/>
  <c r="BO11" i="17"/>
  <c r="BO15" i="17"/>
  <c r="BO16" i="17"/>
  <c r="BO33" i="17"/>
  <c r="BP16" i="17" l="1"/>
  <c r="BP12" i="17"/>
  <c r="BP33" i="17"/>
  <c r="BP11" i="17"/>
  <c r="BP54" i="17"/>
  <c r="BQ7" i="17"/>
  <c r="BP13" i="17"/>
  <c r="BP17" i="17"/>
  <c r="BP15" i="17"/>
  <c r="BP14" i="17"/>
  <c r="BQ11" i="17" l="1"/>
  <c r="BQ13" i="17"/>
  <c r="BQ17" i="17"/>
  <c r="BQ54" i="17"/>
  <c r="BQ12" i="17"/>
  <c r="BQ16" i="17"/>
  <c r="BQ33" i="17"/>
  <c r="BR7" i="17"/>
  <c r="BQ15" i="17"/>
  <c r="BQ14" i="17"/>
  <c r="BR13" i="17" l="1"/>
  <c r="BR54" i="17"/>
  <c r="BS7" i="17"/>
  <c r="BR12" i="17"/>
  <c r="BR17" i="17"/>
  <c r="BR11" i="17"/>
  <c r="BR16" i="17"/>
  <c r="BR15" i="17"/>
  <c r="BR33" i="17"/>
  <c r="BR14" i="17"/>
  <c r="BS14" i="17" l="1"/>
  <c r="BS54" i="17"/>
  <c r="BS33" i="17"/>
  <c r="BS13" i="17"/>
  <c r="BS12" i="17"/>
  <c r="BS17" i="17"/>
  <c r="BS16" i="17"/>
  <c r="BS11" i="17"/>
  <c r="BS15"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K14" authorId="0" shapeId="0" xr:uid="{FE1AB731-422B-416C-8AF6-E29EF67A85FC}">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 PUEDE PASAR AL 30/7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<sst xmlns="http://schemas.openxmlformats.org/spreadsheetml/2006/main" count="265" uniqueCount="110">
  <si>
    <t>COMPROMISOS 2025</t>
  </si>
  <si>
    <t>Nombre de la empresa</t>
  </si>
  <si>
    <t>G&amp;E SA</t>
  </si>
  <si>
    <t>Leyenda:</t>
  </si>
  <si>
    <t>Según lo previsto</t>
  </si>
  <si>
    <t>Riesgo bajo</t>
  </si>
  <si>
    <t>Riesgo medio</t>
  </si>
  <si>
    <t>Riesgo alto</t>
  </si>
  <si>
    <t>Sin asignar</t>
  </si>
  <si>
    <t>Responsable del proyecto</t>
  </si>
  <si>
    <t>Fecha de inicio del proyecto:</t>
  </si>
  <si>
    <t>Incremento de desplazamiento:</t>
  </si>
  <si>
    <t>Tipo de cambio DIVISA COMPRADOR a la fecha</t>
  </si>
  <si>
    <t>FECHA DE HOY</t>
  </si>
  <si>
    <t>Descripción del hito</t>
  </si>
  <si>
    <t>MONTO INICIAL</t>
  </si>
  <si>
    <t>A DEVOLVER</t>
  </si>
  <si>
    <t>MONTO INICIAL EN USD</t>
  </si>
  <si>
    <t>MONTO A DEVOLVER EN USD</t>
  </si>
  <si>
    <t>CATEGORIA</t>
  </si>
  <si>
    <t>ASIGNADO A</t>
  </si>
  <si>
    <t>TASA INTERES</t>
  </si>
  <si>
    <t>COMISION</t>
  </si>
  <si>
    <t>FECHA INICIAL</t>
  </si>
  <si>
    <t>FECHA FINAL</t>
  </si>
  <si>
    <t>DIAS</t>
  </si>
  <si>
    <t>DIAS PARA VENCIMIENTO</t>
  </si>
  <si>
    <t>ESTADO</t>
  </si>
  <si>
    <t>FINANZAS</t>
  </si>
  <si>
    <t>CREDITO GALICIA</t>
  </si>
  <si>
    <t>CREDITOS</t>
  </si>
  <si>
    <t>PAGADO</t>
  </si>
  <si>
    <t>CREDITO MACRO FW 120tn 3,5% $300</t>
  </si>
  <si>
    <t>CREDITO MACRO FW 90tn 3,5% $295</t>
  </si>
  <si>
    <t>CREDITO NACION</t>
  </si>
  <si>
    <r>
      <t xml:space="preserve">CREDITO </t>
    </r>
    <r>
      <rPr>
        <b/>
        <sz val="10"/>
        <rFont val="Calibri"/>
        <family val="2"/>
      </rPr>
      <t>TARJETA AGRONACION</t>
    </r>
  </si>
  <si>
    <t>PENDIENTE</t>
  </si>
  <si>
    <t>CREDITO MACRO SIN SOJA</t>
  </si>
  <si>
    <t>CREDITO MACRO</t>
  </si>
  <si>
    <t>CREDITO PAMPA cuota 1</t>
  </si>
  <si>
    <t>CREDITO PAMPA cuota 2</t>
  </si>
  <si>
    <t>CREDITO PAMPA cuota 3</t>
  </si>
  <si>
    <t>CREDITO PAMPA cuota 4</t>
  </si>
  <si>
    <t>CREDITO PAMPA cuota 5</t>
  </si>
  <si>
    <t>CREDITO PAMPA cuota 6</t>
  </si>
  <si>
    <t>CREDITO GALICIA 1</t>
  </si>
  <si>
    <t>CREDITO GALICIA 2</t>
  </si>
  <si>
    <t>ACUERDO MACRO 1</t>
  </si>
  <si>
    <t>ACUERDO MACRO 2</t>
  </si>
  <si>
    <t>ACUERDO GALICIA</t>
  </si>
  <si>
    <t>ACUERDO PAMPA</t>
  </si>
  <si>
    <t>ACUERDO NACION</t>
  </si>
  <si>
    <t>GANADERIA</t>
  </si>
  <si>
    <t>COMPRA DE HACIENDA 68 TERN</t>
  </si>
  <si>
    <t>COMPRA</t>
  </si>
  <si>
    <t>COMPRA DE HACIENDA 70 TERN</t>
  </si>
  <si>
    <t>COMPRA DE HACIENDA 63 TERN</t>
  </si>
  <si>
    <t>COMPRA DE HACIENDA 63 TERN M</t>
  </si>
  <si>
    <t>COMPRA DE HACIENDA 17 TERN H</t>
  </si>
  <si>
    <t>COMPRA DE HACIENDA 25 TERN M</t>
  </si>
  <si>
    <t>COMPRA DE HACIENDA 55 TERN H</t>
  </si>
  <si>
    <t xml:space="preserve">COMPRA DE HACIENDA 43 TERN </t>
  </si>
  <si>
    <t xml:space="preserve">COMPRA DE HACIENDA 22 TERN </t>
  </si>
  <si>
    <t>CENTRO GANADEROS</t>
  </si>
  <si>
    <t>TASAS</t>
  </si>
  <si>
    <t>CUENTAS A PAGAR 2024</t>
  </si>
  <si>
    <t>RENTAS PLAN DE PAGO CUOTA 1</t>
  </si>
  <si>
    <t>RENTAS</t>
  </si>
  <si>
    <t>RENTAS PLAN DE PAGO CUOTA 2</t>
  </si>
  <si>
    <t>RENTAS PLAN DE PAGO CUOTA 3</t>
  </si>
  <si>
    <t>RENTAS PLAN DE PAGO CUOTA 4</t>
  </si>
  <si>
    <t>RENTAS PLAN DE PAGO CUOTA 5</t>
  </si>
  <si>
    <t>RENTAS PLAN DE PAGO CUOTA 6</t>
  </si>
  <si>
    <t>CUENTAS A PAGAR 2025</t>
  </si>
  <si>
    <t>TODO CAMPO INSUMOS</t>
  </si>
  <si>
    <t>INSUMOS</t>
  </si>
  <si>
    <t>SEMILLAS</t>
  </si>
  <si>
    <t>LOS GROBOS</t>
  </si>
  <si>
    <t>ACA</t>
  </si>
  <si>
    <t>AGRONASAJA</t>
  </si>
  <si>
    <t>EL JAQUE</t>
  </si>
  <si>
    <t>COTAGRO</t>
  </si>
  <si>
    <t>BAYER/MONSANTO</t>
  </si>
  <si>
    <t>CHEQUES ENERO</t>
  </si>
  <si>
    <t>PROVEEDORES</t>
  </si>
  <si>
    <t>CHEQUES FEBRERO</t>
  </si>
  <si>
    <t>CHEQUES MARZO</t>
  </si>
  <si>
    <t>CHEQUES ABRIL</t>
  </si>
  <si>
    <t>CHEQUES MAYO</t>
  </si>
  <si>
    <t>CHEQUES JUNIO</t>
  </si>
  <si>
    <t>CHEQUE JULIO</t>
  </si>
  <si>
    <t>CHEQUE AGOSTO</t>
  </si>
  <si>
    <t>OTRAS CUENTAS A PAGAR 2025</t>
  </si>
  <si>
    <t>Para agregar más datos, inserte filas nuevas ENCIMA de esta.</t>
  </si>
  <si>
    <t>FECHA VENCIMIENTO</t>
  </si>
  <si>
    <t>FECHA DE LIQUIDACION</t>
  </si>
  <si>
    <t>DETALLES</t>
  </si>
  <si>
    <t>IMPORTE</t>
  </si>
  <si>
    <t>TC</t>
  </si>
  <si>
    <t>IMPORTE M/N</t>
  </si>
  <si>
    <t>TASA DE INTERES A 270</t>
  </si>
  <si>
    <t>TASA DE INTERESES EXCEDIDO</t>
  </si>
  <si>
    <t>Ref. Op. PFE-0300-029206/001/002 - Nro. Bol. 2597037:</t>
  </si>
  <si>
    <t>Liq.Vta.Div.ML *Capital</t>
  </si>
  <si>
    <t>Liq.Vta.Div.ML *Interes</t>
  </si>
  <si>
    <t>Ref. Op. PFE-0300-029206/001/002:</t>
  </si>
  <si>
    <t>IVA s/interes activo</t>
  </si>
  <si>
    <t>IVA PERCEPCION s/int.act.</t>
  </si>
  <si>
    <t>TASA DE INTERES A 210</t>
  </si>
  <si>
    <t>KWS- SUPRA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</si>
</sst>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8" formatCode="&quot;$&quot;\ #,##0.00;[Red]\-&quot;$&quot;\ #,##0.00"/>
    <numFmt numFmtId="44" formatCode="_-&quot;$&quot;\ * #,##0.00_-;\-&quot;$&quot;\ * #,##0.00_-;_-&quot;$&quot;\ * &quot;-&quot;??_-;_-@_-"/>
    <numFmt numFmtId="164" formatCode="_-* #,##0\ &quot;€&quot;_-;\-* #,##0\ &quot;€&quot;_-;_-* &quot;-&quot;\ &quot;€&quot;_-;_-@_-"/>
    <numFmt numFmtId="165" formatCode="_-* #,##0.00\ &quot;€&quot;_-;\-* #,##0.00\ &quot;€&quot;_-;_-* &quot;-&quot;??\ &quot;€&quot;_-;_-@_-"/>
    <numFmt numFmtId="166" formatCode="_(* #,##0.00_);_(* \(#,##0.00\);_(* &quot;-&quot;??_);_(@_)"/>
    <numFmt numFmtId="167" formatCode="d"/>
    <numFmt numFmtId="168" formatCode="#,##0_ ;\-#,##0\ "/>
    <numFmt numFmtId="169" formatCode="_-[$USD]\ * #,##0.00_-;\-[$USD]\ * #,##0.00_-;_-[$USD]\ * &quot;-&quot;??_-;_-@_-"/>
    <numFmt numFmtId="170" formatCode="_-[$$-409]* #,##0.00_ ;_-[$$-409]* \-#,##0.00\ ;_-[$$-409]* &quot;-&quot;??_ ;_-@_ "/>
  </numFmts>
  <fonts count="37"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sz val="11"/>
      <color theme="0"/>
      <name val="Calibri"/>
      <family val="2"/>
      <scheme val="minor"/>
    </font>
    <font>
      <b/>
      <sz val="10"/>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b/>
      <sz val="11"/>
      <color theme="0"/>
      <name val="Calibri"/>
      <family val="2"/>
      <scheme val="minor"/>
    </font>
    <font>
      <b/>
      <sz val="16"/>
      <name val="Calibri"/>
      <family val="2"/>
      <scheme val="minor"/>
    </font>
    <font>
      <b/>
      <sz val="16"/>
      <color rgb="FF000000"/>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b/>
      <sz val="10"/>
      <name val="Calibri"/>
      <family val="2"/>
      <scheme val="minor"/>
    </font>
    <font>
      <b/>
      <sz val="11"/>
      <name val="Calibri"/>
      <family val="2"/>
      <scheme val="major"/>
    </font>
    <font>
      <b/>
      <sz val="16"/>
      <name val="Calibri"/>
      <family val="2"/>
      <scheme val="major"/>
    </font>
    <font>
      <sz val="10"/>
      <color theme="1"/>
      <name val="Calibri"/>
      <family val="2"/>
      <scheme val="minor"/>
    </font>
    <font>
      <sz val="10"/>
      <color rgb="FFFF0000"/>
      <name val="Calibri"/>
      <family val="2"/>
      <scheme val="minor"/>
    </font>
    <font>
      <b/>
      <sz val="10"/>
      <color theme="1" tint="0.499984740745262"/>
      <name val="Calibri"/>
      <family val="2"/>
      <scheme val="minor"/>
    </font>
    <font>
      <sz val="10"/>
      <color theme="0"/>
      <name val="Calibri"/>
      <family val="2"/>
      <scheme val="minor"/>
    </font>
    <font>
      <sz val="10"/>
      <color theme="1" tint="0.499984740745262"/>
      <name val="Calibri"/>
      <family val="2"/>
      <scheme val="minor"/>
    </font>
    <font>
      <sz val="10"/>
      <name val="Calibri"/>
      <family val="2"/>
    </font>
    <font>
      <b/>
      <sz val="10"/>
      <name val="Calibri"/>
      <family val="2"/>
    </font>
  </fonts>
  <fills count="46">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6" tint="0.79998168889431442"/>
        <bgColor indexed="64"/>
      </patternFill>
    </fill>
    <fill>
      <patternFill patternType="solid">
        <fgColor theme="2" tint="-4.9989318521683403E-2"/>
        <bgColor indexed="64"/>
      </patternFill>
    </fill>
    <fill>
      <patternFill patternType="solid">
        <fgColor theme="4" tint="0.79998168889431442"/>
        <bgColor indexed="64"/>
      </patternFill>
    </fill>
    <fill>
      <patternFill patternType="solid">
        <fgColor theme="9" tint="0.79998168889431442"/>
        <bgColor indexed="64"/>
      </patternFill>
    </fill>
  </fills>
  <borders count="17">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34998626667073579"/>
      </left>
      <right style="thin">
        <color theme="0" tint="-0.34998626667073579"/>
      </right>
      <top/>
      <bottom style="thin">
        <color theme="0" tint="-0.34998626667073579"/>
      </bottom>
      <diagonal/>
    </border>
    <border>
      <left/>
      <right/>
      <top/>
      <bottom style="thin">
        <color indexed="64"/>
      </bottom>
      <diagonal/>
    </border>
  </borders>
  <cellStyleXfs count="51">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7" fillId="0" borderId="0"/>
    <xf numFmtId="166"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168" fontId="4" fillId="0" borderId="0" applyFont="0" applyFill="0" applyBorder="0" applyProtection="0">
      <alignment horizontal="center" vertical="center"/>
    </xf>
    <xf numFmtId="0" fontId="7" fillId="3" borderId="0" applyNumberFormat="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16" fillId="0" borderId="0" applyNumberFormat="0" applyFill="0" applyBorder="0" applyAlignment="0" applyProtection="0"/>
    <xf numFmtId="0" fontId="17" fillId="11" borderId="0" applyNumberFormat="0" applyBorder="0" applyAlignment="0" applyProtection="0"/>
    <xf numFmtId="0" fontId="18" fillId="12" borderId="0" applyNumberFormat="0" applyBorder="0" applyAlignment="0" applyProtection="0"/>
    <xf numFmtId="0" fontId="19" fillId="13" borderId="0" applyNumberFormat="0" applyBorder="0" applyAlignment="0" applyProtection="0"/>
    <xf numFmtId="0" fontId="20" fillId="14" borderId="9" applyNumberFormat="0" applyAlignment="0" applyProtection="0"/>
    <xf numFmtId="0" fontId="21" fillId="15" borderId="10" applyNumberFormat="0" applyAlignment="0" applyProtection="0"/>
    <xf numFmtId="0" fontId="22" fillId="15" borderId="9" applyNumberFormat="0" applyAlignment="0" applyProtection="0"/>
    <xf numFmtId="0" fontId="23" fillId="0" borderId="11" applyNumberFormat="0" applyFill="0" applyAlignment="0" applyProtection="0"/>
    <xf numFmtId="0" fontId="13" fillId="16" borderId="12" applyNumberFormat="0" applyAlignment="0" applyProtection="0"/>
    <xf numFmtId="0" fontId="24" fillId="0" borderId="0" applyNumberFormat="0" applyFill="0" applyBorder="0" applyAlignment="0" applyProtection="0"/>
    <xf numFmtId="0" fontId="4" fillId="17" borderId="13" applyNumberFormat="0" applyFont="0" applyAlignment="0" applyProtection="0"/>
    <xf numFmtId="0" fontId="25" fillId="0" borderId="0" applyNumberFormat="0" applyFill="0" applyBorder="0" applyAlignment="0" applyProtection="0"/>
    <xf numFmtId="0" fontId="26" fillId="0" borderId="14" applyNumberFormat="0" applyFill="0" applyAlignment="0" applyProtection="0"/>
    <xf numFmtId="0" fontId="7"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7"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7"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7"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7" fillId="37"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44" fontId="4" fillId="0" borderId="0" applyFont="0" applyFill="0" applyBorder="0" applyAlignment="0" applyProtection="0"/>
  </cellStyleXfs>
  <cellXfs count="151">
    <xf numFmtId="0" fontId="0" fillId="0" borderId="0" xfId="0"/>
    <xf numFmtId="0" fontId="0" fillId="0" borderId="0" xfId="0" applyAlignment="1">
      <alignment vertical="center"/>
    </xf>
    <xf numFmtId="0" fontId="0" fillId="0" borderId="0" xfId="0" applyAlignment="1">
      <alignment horizontal="right" vertical="center"/>
    </xf>
    <xf numFmtId="0" fontId="0" fillId="0" borderId="4" xfId="0" applyBorder="1" applyAlignment="1">
      <alignment horizontal="center" vertical="center"/>
    </xf>
    <xf numFmtId="0" fontId="3" fillId="0" borderId="0" xfId="0" applyFont="1" applyAlignment="1">
      <alignment horizontal="center" vertical="center"/>
    </xf>
    <xf numFmtId="0" fontId="3" fillId="2" borderId="0" xfId="0" applyFont="1" applyFill="1"/>
    <xf numFmtId="0" fontId="3" fillId="0" borderId="0" xfId="0" applyFont="1" applyAlignment="1">
      <alignment vertical="center"/>
    </xf>
    <xf numFmtId="0" fontId="3" fillId="0" borderId="0" xfId="0" applyFont="1" applyAlignment="1">
      <alignment horizontal="left" vertical="center" indent="2"/>
    </xf>
    <xf numFmtId="0" fontId="3" fillId="0" borderId="0" xfId="0" applyFont="1"/>
    <xf numFmtId="0" fontId="3" fillId="0" borderId="0" xfId="0" applyFont="1" applyAlignment="1">
      <alignment horizontal="right" vertical="center"/>
    </xf>
    <xf numFmtId="0" fontId="3" fillId="0" borderId="3" xfId="0" applyFont="1" applyBorder="1"/>
    <xf numFmtId="0" fontId="11" fillId="0" borderId="0" xfId="0" applyFont="1" applyAlignment="1">
      <alignment vertical="center"/>
    </xf>
    <xf numFmtId="0" fontId="8" fillId="0" borderId="3" xfId="0" applyFont="1" applyBorder="1" applyAlignment="1">
      <alignment horizontal="center" vertical="center" wrapText="1"/>
    </xf>
    <xf numFmtId="0" fontId="9" fillId="0" borderId="8" xfId="0" applyFont="1" applyBorder="1"/>
    <xf numFmtId="0" fontId="14" fillId="0" borderId="8" xfId="0" applyFont="1" applyBorder="1" applyAlignment="1">
      <alignment vertical="center"/>
    </xf>
    <xf numFmtId="0" fontId="15" fillId="0" borderId="8" xfId="0" applyFont="1" applyBorder="1" applyAlignment="1">
      <alignment vertical="center"/>
    </xf>
    <xf numFmtId="0" fontId="12" fillId="0" borderId="8" xfId="0" applyFont="1" applyBorder="1" applyAlignment="1">
      <alignment vertical="center"/>
    </xf>
    <xf numFmtId="0" fontId="1" fillId="10" borderId="1" xfId="0" applyFont="1" applyFill="1" applyBorder="1" applyAlignment="1">
      <alignment horizontal="center" vertical="center" shrinkToFit="1"/>
    </xf>
    <xf numFmtId="167" fontId="1" fillId="10" borderId="6" xfId="0" applyNumberFormat="1" applyFont="1" applyFill="1" applyBorder="1" applyAlignment="1">
      <alignment horizontal="center" vertical="center"/>
    </xf>
    <xf numFmtId="167" fontId="1" fillId="10" borderId="5" xfId="0" applyNumberFormat="1" applyFont="1" applyFill="1" applyBorder="1" applyAlignment="1">
      <alignment horizontal="center" vertical="center"/>
    </xf>
    <xf numFmtId="167" fontId="1" fillId="10" borderId="7" xfId="0" applyNumberFormat="1" applyFont="1" applyFill="1" applyBorder="1" applyAlignment="1">
      <alignment horizontal="center" vertical="center"/>
    </xf>
    <xf numFmtId="167" fontId="1" fillId="10" borderId="2" xfId="0" applyNumberFormat="1" applyFont="1" applyFill="1" applyBorder="1" applyAlignment="1">
      <alignment horizontal="center" vertical="center"/>
    </xf>
    <xf numFmtId="167" fontId="1" fillId="10" borderId="0" xfId="0" applyNumberFormat="1" applyFont="1" applyFill="1" applyAlignment="1">
      <alignment horizontal="center" vertical="center"/>
    </xf>
    <xf numFmtId="167" fontId="1" fillId="10" borderId="3" xfId="0" applyNumberFormat="1" applyFont="1" applyFill="1" applyBorder="1" applyAlignment="1">
      <alignment horizontal="center" vertical="center"/>
    </xf>
    <xf numFmtId="0" fontId="28" fillId="0" borderId="0" xfId="5" applyFont="1" applyFill="1" applyBorder="1" applyAlignment="1">
      <alignment horizontal="left" vertical="center"/>
    </xf>
    <xf numFmtId="0" fontId="28" fillId="0" borderId="0" xfId="0" applyFont="1" applyAlignment="1">
      <alignment horizontal="left" vertical="center"/>
    </xf>
    <xf numFmtId="0" fontId="1" fillId="41" borderId="0" xfId="0" applyFont="1" applyFill="1" applyAlignment="1">
      <alignment horizontal="left" vertical="center" wrapText="1" indent="2"/>
    </xf>
    <xf numFmtId="0" fontId="1" fillId="41" borderId="0" xfId="0" applyFont="1" applyFill="1" applyAlignment="1">
      <alignment horizontal="center" vertical="center"/>
    </xf>
    <xf numFmtId="9" fontId="27" fillId="41" borderId="0" xfId="2" applyFont="1" applyFill="1" applyBorder="1">
      <alignment horizontal="center" vertical="center"/>
    </xf>
    <xf numFmtId="14" fontId="1" fillId="41" borderId="0" xfId="9" applyFont="1" applyFill="1" applyBorder="1">
      <alignment horizontal="center" vertical="center"/>
    </xf>
    <xf numFmtId="168" fontId="1" fillId="41" borderId="0" xfId="10" applyFont="1" applyFill="1" applyBorder="1">
      <alignment horizontal="center" vertical="center"/>
    </xf>
    <xf numFmtId="44" fontId="1" fillId="41" borderId="0" xfId="12" applyNumberFormat="1" applyFont="1" applyFill="1" applyAlignment="1">
      <alignment horizontal="left" vertical="center" wrapText="1" indent="2"/>
    </xf>
    <xf numFmtId="169" fontId="1" fillId="41" borderId="0" xfId="12" applyNumberFormat="1" applyFont="1" applyFill="1" applyAlignment="1">
      <alignment horizontal="left" vertical="center" wrapText="1" indent="2"/>
    </xf>
    <xf numFmtId="10" fontId="27" fillId="41" borderId="0" xfId="2" applyNumberFormat="1" applyFont="1" applyFill="1" applyBorder="1">
      <alignment horizontal="center" vertical="center"/>
    </xf>
    <xf numFmtId="0" fontId="0" fillId="41" borderId="4" xfId="0" applyFill="1" applyBorder="1" applyAlignment="1">
      <alignment horizontal="center" vertical="center"/>
    </xf>
    <xf numFmtId="167" fontId="1" fillId="41" borderId="3" xfId="0" applyNumberFormat="1" applyFont="1" applyFill="1" applyBorder="1" applyAlignment="1">
      <alignment horizontal="center" vertical="center"/>
    </xf>
    <xf numFmtId="0" fontId="0" fillId="41" borderId="0" xfId="0" applyFill="1"/>
    <xf numFmtId="0" fontId="1" fillId="10" borderId="15" xfId="0" applyFont="1" applyFill="1" applyBorder="1" applyAlignment="1">
      <alignment horizontal="center" vertical="center" shrinkToFit="1"/>
    </xf>
    <xf numFmtId="167" fontId="1" fillId="41" borderId="0" xfId="0" applyNumberFormat="1" applyFont="1" applyFill="1" applyAlignment="1">
      <alignment horizontal="center" vertical="center"/>
    </xf>
    <xf numFmtId="9" fontId="27" fillId="41" borderId="0" xfId="2" applyFont="1" applyFill="1">
      <alignment horizontal="center" vertical="center"/>
    </xf>
    <xf numFmtId="0" fontId="30" fillId="0" borderId="0" xfId="0" applyFont="1"/>
    <xf numFmtId="0" fontId="30" fillId="0" borderId="0" xfId="0" applyFont="1" applyAlignment="1">
      <alignment horizontal="center"/>
    </xf>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horizontal="left" vertical="center" indent="2"/>
    </xf>
    <xf numFmtId="0" fontId="1" fillId="0" borderId="0" xfId="0" applyFont="1"/>
    <xf numFmtId="0" fontId="1" fillId="0" borderId="0" xfId="0" applyFont="1" applyAlignment="1">
      <alignment horizontal="right" vertical="center"/>
    </xf>
    <xf numFmtId="0" fontId="1" fillId="0" borderId="0" xfId="8" applyFont="1" applyFill="1" applyAlignment="1">
      <alignment horizontal="left" vertical="center" indent="2"/>
    </xf>
    <xf numFmtId="44" fontId="1" fillId="0" borderId="0" xfId="12" applyNumberFormat="1" applyFont="1" applyAlignment="1">
      <alignment horizontal="left" vertical="center" indent="2"/>
    </xf>
    <xf numFmtId="0" fontId="8" fillId="9" borderId="0" xfId="0" applyFont="1" applyFill="1" applyAlignment="1">
      <alignment horizontal="left" vertical="center" indent="1"/>
    </xf>
    <xf numFmtId="0" fontId="8" fillId="9" borderId="0" xfId="0" applyFont="1" applyFill="1" applyAlignment="1">
      <alignment horizontal="left" vertical="center" wrapText="1" indent="1"/>
    </xf>
    <xf numFmtId="0" fontId="8" fillId="9" borderId="0" xfId="0" applyFont="1" applyFill="1" applyAlignment="1">
      <alignment horizontal="center" vertical="center" wrapText="1"/>
    </xf>
    <xf numFmtId="0" fontId="27" fillId="0" borderId="0" xfId="0" applyFont="1" applyAlignment="1">
      <alignment horizontal="left" vertical="center" wrapText="1" indent="1"/>
    </xf>
    <xf numFmtId="44" fontId="27" fillId="0" borderId="0" xfId="0" applyNumberFormat="1" applyFont="1" applyAlignment="1">
      <alignment horizontal="left" vertical="center" wrapText="1" indent="1"/>
    </xf>
    <xf numFmtId="169" fontId="27" fillId="0" borderId="0" xfId="0" applyNumberFormat="1" applyFont="1" applyAlignment="1">
      <alignment horizontal="left" vertical="center" wrapText="1" indent="1"/>
    </xf>
    <xf numFmtId="9" fontId="27" fillId="0" borderId="0" xfId="2" applyFont="1" applyFill="1" applyBorder="1">
      <alignment horizontal="center" vertical="center"/>
    </xf>
    <xf numFmtId="14" fontId="1" fillId="0" borderId="0" xfId="9" applyFont="1" applyFill="1" applyBorder="1">
      <alignment horizontal="center" vertical="center"/>
    </xf>
    <xf numFmtId="168" fontId="1" fillId="0" borderId="0" xfId="10" applyFont="1" applyFill="1" applyBorder="1">
      <alignment horizontal="center" vertical="center"/>
    </xf>
    <xf numFmtId="1" fontId="31" fillId="41" borderId="0" xfId="10" applyNumberFormat="1" applyFont="1" applyFill="1" applyBorder="1">
      <alignment horizontal="center" vertical="center"/>
    </xf>
    <xf numFmtId="168" fontId="31" fillId="41" borderId="0" xfId="10" applyFont="1" applyFill="1" applyBorder="1">
      <alignment horizontal="center" vertical="center"/>
    </xf>
    <xf numFmtId="0" fontId="27" fillId="2" borderId="0" xfId="0" applyFont="1" applyFill="1" applyAlignment="1">
      <alignment horizontal="left" vertical="center" wrapText="1" indent="1"/>
    </xf>
    <xf numFmtId="0" fontId="1" fillId="2" borderId="0" xfId="0" applyFont="1" applyFill="1" applyAlignment="1">
      <alignment horizontal="center" vertical="center"/>
    </xf>
    <xf numFmtId="9" fontId="27" fillId="2" borderId="0" xfId="2" applyFont="1" applyFill="1" applyBorder="1">
      <alignment horizontal="center" vertical="center"/>
    </xf>
    <xf numFmtId="14" fontId="1" fillId="2" borderId="0" xfId="9" applyFont="1" applyFill="1" applyBorder="1">
      <alignment horizontal="center" vertical="center"/>
    </xf>
    <xf numFmtId="168" fontId="1" fillId="2" borderId="0" xfId="10" applyFont="1" applyFill="1" applyBorder="1">
      <alignment horizontal="center" vertical="center"/>
    </xf>
    <xf numFmtId="1" fontId="1" fillId="2" borderId="0" xfId="10" applyNumberFormat="1" applyFont="1" applyFill="1" applyBorder="1">
      <alignment horizontal="center" vertical="center"/>
    </xf>
    <xf numFmtId="1" fontId="1" fillId="41" borderId="0" xfId="10" applyNumberFormat="1" applyFont="1" applyFill="1" applyBorder="1">
      <alignment horizontal="center" vertical="center"/>
    </xf>
    <xf numFmtId="44" fontId="27" fillId="2" borderId="0" xfId="12" applyNumberFormat="1" applyFont="1" applyFill="1" applyAlignment="1">
      <alignment horizontal="left" vertical="center" wrapText="1" indent="1"/>
    </xf>
    <xf numFmtId="169" fontId="27" fillId="2" borderId="0" xfId="12" applyNumberFormat="1" applyFont="1" applyFill="1" applyAlignment="1">
      <alignment horizontal="left" vertical="center" wrapText="1" indent="1"/>
    </xf>
    <xf numFmtId="0" fontId="1" fillId="41" borderId="0" xfId="0" applyFont="1" applyFill="1" applyAlignment="1">
      <alignment horizontal="left" vertical="center" wrapText="1" indent="3"/>
    </xf>
    <xf numFmtId="0" fontId="30" fillId="0" borderId="0" xfId="0" applyFont="1" applyAlignment="1">
      <alignment horizontal="left" wrapText="1" indent="1"/>
    </xf>
    <xf numFmtId="0" fontId="1" fillId="0" borderId="0" xfId="0" applyFont="1" applyAlignment="1">
      <alignment horizontal="left" vertical="center" wrapText="1" indent="2"/>
    </xf>
    <xf numFmtId="0" fontId="30" fillId="0" borderId="0" xfId="0" applyFont="1" applyAlignment="1">
      <alignment horizontal="center" vertical="center"/>
    </xf>
    <xf numFmtId="0" fontId="32" fillId="0" borderId="0" xfId="0" applyFont="1" applyAlignment="1">
      <alignment horizontal="center" vertical="center"/>
    </xf>
    <xf numFmtId="14" fontId="30" fillId="0" borderId="0" xfId="9" applyFont="1">
      <alignment horizontal="center" vertical="center"/>
    </xf>
    <xf numFmtId="14" fontId="1" fillId="0" borderId="0" xfId="9" applyFont="1" applyFill="1">
      <alignment horizontal="center" vertical="center"/>
    </xf>
    <xf numFmtId="0" fontId="33" fillId="0" borderId="0" xfId="0" applyFont="1" applyAlignment="1">
      <alignment horizontal="center"/>
    </xf>
    <xf numFmtId="0" fontId="34" fillId="0" borderId="0" xfId="1" applyFont="1" applyAlignment="1" applyProtection="1">
      <alignment horizontal="center" vertical="center"/>
    </xf>
    <xf numFmtId="0" fontId="10" fillId="0" borderId="0" xfId="6" applyFont="1" applyFill="1" applyAlignment="1">
      <alignment horizontal="left" vertical="center" indent="2"/>
    </xf>
    <xf numFmtId="0" fontId="10" fillId="0" borderId="0" xfId="0" applyFont="1" applyAlignment="1">
      <alignment horizontal="left" vertical="center" indent="2"/>
    </xf>
    <xf numFmtId="0" fontId="3" fillId="0" borderId="0" xfId="0" applyFont="1" applyAlignment="1">
      <alignment horizontal="center"/>
    </xf>
    <xf numFmtId="0" fontId="4" fillId="0" borderId="0" xfId="0" applyFont="1"/>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0" fontId="3" fillId="0" borderId="0" xfId="0" applyFont="1" applyAlignment="1">
      <alignment horizontal="left" vertical="center"/>
    </xf>
    <xf numFmtId="170" fontId="3" fillId="0" borderId="0" xfId="12" applyNumberFormat="1" applyFont="1" applyAlignment="1">
      <alignment horizontal="left" vertical="center" indent="2"/>
    </xf>
    <xf numFmtId="14" fontId="10" fillId="0" borderId="0" xfId="12" applyNumberFormat="1" applyFont="1" applyAlignment="1">
      <alignment horizontal="left" vertical="center" indent="2"/>
    </xf>
    <xf numFmtId="8" fontId="30" fillId="0" borderId="0" xfId="0" applyNumberFormat="1" applyFont="1"/>
    <xf numFmtId="0" fontId="1" fillId="42" borderId="0" xfId="0" applyFont="1" applyFill="1" applyAlignment="1">
      <alignment horizontal="left" vertical="center" wrapText="1" indent="2"/>
    </xf>
    <xf numFmtId="44" fontId="1" fillId="42" borderId="0" xfId="12" applyNumberFormat="1" applyFont="1" applyFill="1" applyAlignment="1">
      <alignment horizontal="left" vertical="center" wrapText="1" indent="2"/>
    </xf>
    <xf numFmtId="0" fontId="1" fillId="42" borderId="0" xfId="0" applyFont="1" applyFill="1" applyAlignment="1">
      <alignment horizontal="center" vertical="center"/>
    </xf>
    <xf numFmtId="10" fontId="27" fillId="42" borderId="0" xfId="2" applyNumberFormat="1" applyFont="1" applyFill="1" applyBorder="1">
      <alignment horizontal="center" vertical="center"/>
    </xf>
    <xf numFmtId="9" fontId="27" fillId="42" borderId="0" xfId="2" applyFont="1" applyFill="1" applyBorder="1">
      <alignment horizontal="center" vertical="center"/>
    </xf>
    <xf numFmtId="14" fontId="1" fillId="42" borderId="0" xfId="9" applyFont="1" applyFill="1" applyBorder="1">
      <alignment horizontal="center" vertical="center"/>
    </xf>
    <xf numFmtId="168" fontId="1" fillId="42" borderId="0" xfId="10" applyFont="1" applyFill="1" applyBorder="1">
      <alignment horizontal="center" vertical="center"/>
    </xf>
    <xf numFmtId="44" fontId="27" fillId="43" borderId="0" xfId="0" applyNumberFormat="1" applyFont="1" applyFill="1" applyAlignment="1">
      <alignment horizontal="left" vertical="center" wrapText="1" indent="1"/>
    </xf>
    <xf numFmtId="169" fontId="27" fillId="43" borderId="0" xfId="0" applyNumberFormat="1" applyFont="1" applyFill="1" applyAlignment="1">
      <alignment horizontal="left" vertical="center" wrapText="1" indent="1"/>
    </xf>
    <xf numFmtId="14" fontId="27" fillId="42" borderId="0" xfId="9" applyFont="1" applyFill="1" applyBorder="1">
      <alignment horizontal="center" vertical="center"/>
    </xf>
    <xf numFmtId="1" fontId="1" fillId="42" borderId="0" xfId="10" applyNumberFormat="1" applyFont="1" applyFill="1" applyBorder="1">
      <alignment horizontal="center" vertical="center"/>
    </xf>
    <xf numFmtId="169" fontId="27" fillId="41" borderId="0" xfId="12" applyNumberFormat="1" applyFont="1" applyFill="1" applyAlignment="1">
      <alignment horizontal="left" vertical="center" wrapText="1" indent="2"/>
    </xf>
    <xf numFmtId="44" fontId="27" fillId="41" borderId="0" xfId="12" applyNumberFormat="1" applyFont="1" applyFill="1" applyAlignment="1">
      <alignment horizontal="left" vertical="center" wrapText="1" indent="2"/>
    </xf>
    <xf numFmtId="0" fontId="27" fillId="42" borderId="0" xfId="0" applyFont="1" applyFill="1" applyAlignment="1">
      <alignment horizontal="left" vertical="center" wrapText="1" indent="2"/>
    </xf>
    <xf numFmtId="169" fontId="27" fillId="42" borderId="0" xfId="12" applyNumberFormat="1" applyFont="1" applyFill="1" applyAlignment="1">
      <alignment horizontal="left" vertical="center" wrapText="1" indent="2"/>
    </xf>
    <xf numFmtId="44" fontId="27" fillId="42" borderId="0" xfId="12" applyNumberFormat="1" applyFont="1" applyFill="1" applyAlignment="1">
      <alignment horizontal="left" vertical="center" wrapText="1" indent="2"/>
    </xf>
    <xf numFmtId="1" fontId="31" fillId="42" borderId="0" xfId="10" applyNumberFormat="1" applyFont="1" applyFill="1" applyBorder="1">
      <alignment horizontal="center" vertical="center"/>
    </xf>
    <xf numFmtId="10" fontId="1" fillId="42" borderId="0" xfId="2" applyNumberFormat="1" applyFont="1" applyFill="1" applyBorder="1">
      <alignment horizontal="center" vertical="center"/>
    </xf>
    <xf numFmtId="9" fontId="1" fillId="42" borderId="0" xfId="2" applyFont="1" applyFill="1" applyBorder="1">
      <alignment horizontal="center" vertical="center"/>
    </xf>
    <xf numFmtId="8" fontId="1" fillId="42" borderId="0" xfId="12" applyNumberFormat="1" applyFont="1" applyFill="1" applyAlignment="1">
      <alignment horizontal="left" vertical="center" wrapText="1" indent="2"/>
    </xf>
    <xf numFmtId="0" fontId="26" fillId="41" borderId="16" xfId="0" applyFont="1" applyFill="1" applyBorder="1"/>
    <xf numFmtId="169" fontId="26" fillId="41" borderId="0" xfId="0" applyNumberFormat="1" applyFont="1" applyFill="1"/>
    <xf numFmtId="165" fontId="0" fillId="41" borderId="0" xfId="12" applyFont="1" applyFill="1" applyBorder="1"/>
    <xf numFmtId="169" fontId="0" fillId="41" borderId="0" xfId="0" applyNumberFormat="1" applyFill="1"/>
    <xf numFmtId="44" fontId="0" fillId="41" borderId="0" xfId="12" applyNumberFormat="1" applyFont="1" applyFill="1" applyBorder="1"/>
    <xf numFmtId="0" fontId="0" fillId="41" borderId="16" xfId="0" applyFill="1" applyBorder="1"/>
    <xf numFmtId="44" fontId="26" fillId="41" borderId="0" xfId="0" applyNumberFormat="1" applyFont="1" applyFill="1"/>
    <xf numFmtId="14" fontId="0" fillId="41" borderId="0" xfId="0" applyNumberFormat="1" applyFill="1" applyAlignment="1">
      <alignment horizontal="center"/>
    </xf>
    <xf numFmtId="0" fontId="0" fillId="41" borderId="0" xfId="0" applyFill="1" applyAlignment="1">
      <alignment horizontal="center"/>
    </xf>
    <xf numFmtId="0" fontId="0" fillId="2" borderId="0" xfId="0" applyFill="1"/>
    <xf numFmtId="169" fontId="26" fillId="2" borderId="0" xfId="0" applyNumberFormat="1" applyFont="1" applyFill="1"/>
    <xf numFmtId="0" fontId="0" fillId="2" borderId="16" xfId="0" applyFill="1" applyBorder="1"/>
    <xf numFmtId="10" fontId="26" fillId="2" borderId="0" xfId="2" applyNumberFormat="1" applyFont="1" applyFill="1" applyBorder="1">
      <alignment horizontal="center" vertical="center"/>
    </xf>
    <xf numFmtId="0" fontId="1" fillId="44" borderId="0" xfId="0" applyFont="1" applyFill="1" applyAlignment="1">
      <alignment horizontal="left" vertical="center" wrapText="1" indent="2"/>
    </xf>
    <xf numFmtId="44" fontId="27" fillId="44" borderId="0" xfId="12" applyNumberFormat="1" applyFont="1" applyFill="1" applyAlignment="1">
      <alignment horizontal="left" vertical="center" wrapText="1" indent="2"/>
    </xf>
    <xf numFmtId="0" fontId="27" fillId="44" borderId="0" xfId="0" applyFont="1" applyFill="1" applyAlignment="1">
      <alignment horizontal="left" vertical="center" wrapText="1" indent="1"/>
    </xf>
    <xf numFmtId="169" fontId="27" fillId="44" borderId="0" xfId="12" applyNumberFormat="1" applyFont="1" applyFill="1" applyAlignment="1">
      <alignment horizontal="left" vertical="center" wrapText="1" indent="2"/>
    </xf>
    <xf numFmtId="0" fontId="1" fillId="44" borderId="0" xfId="0" applyFont="1" applyFill="1" applyAlignment="1">
      <alignment horizontal="center" vertical="center"/>
    </xf>
    <xf numFmtId="10" fontId="27" fillId="44" borderId="0" xfId="2" applyNumberFormat="1" applyFont="1" applyFill="1" applyBorder="1">
      <alignment horizontal="center" vertical="center"/>
    </xf>
    <xf numFmtId="9" fontId="27" fillId="44" borderId="0" xfId="2" applyFont="1" applyFill="1" applyBorder="1">
      <alignment horizontal="center" vertical="center"/>
    </xf>
    <xf numFmtId="14" fontId="1" fillId="44" borderId="0" xfId="9" applyFont="1" applyFill="1" applyBorder="1">
      <alignment horizontal="center" vertical="center"/>
    </xf>
    <xf numFmtId="168" fontId="1" fillId="44" borderId="0" xfId="10" applyFont="1" applyFill="1" applyBorder="1">
      <alignment horizontal="center" vertical="center"/>
    </xf>
    <xf numFmtId="1" fontId="1" fillId="44" borderId="0" xfId="10" applyNumberFormat="1" applyFont="1" applyFill="1" applyBorder="1">
      <alignment horizontal="center" vertical="center"/>
    </xf>
    <xf numFmtId="0" fontId="1" fillId="45" borderId="0" xfId="0" applyFont="1" applyFill="1" applyAlignment="1">
      <alignment horizontal="left" vertical="center" wrapText="1" indent="2"/>
    </xf>
    <xf numFmtId="44" fontId="1" fillId="45" borderId="0" xfId="12" applyNumberFormat="1" applyFont="1" applyFill="1" applyAlignment="1">
      <alignment horizontal="left" vertical="center" wrapText="1" indent="2"/>
    </xf>
    <xf numFmtId="44" fontId="27" fillId="45" borderId="0" xfId="12" applyNumberFormat="1" applyFont="1" applyFill="1" applyAlignment="1">
      <alignment horizontal="left" vertical="center" wrapText="1" indent="2"/>
    </xf>
    <xf numFmtId="169" fontId="27" fillId="45" borderId="0" xfId="12" applyNumberFormat="1" applyFont="1" applyFill="1" applyAlignment="1">
      <alignment horizontal="left" vertical="center" wrapText="1" indent="2"/>
    </xf>
    <xf numFmtId="0" fontId="1" fillId="45" borderId="0" xfId="0" applyFont="1" applyFill="1" applyAlignment="1">
      <alignment horizontal="center" vertical="center"/>
    </xf>
    <xf numFmtId="10" fontId="27" fillId="45" borderId="0" xfId="2" applyNumberFormat="1" applyFont="1" applyFill="1" applyBorder="1">
      <alignment horizontal="center" vertical="center"/>
    </xf>
    <xf numFmtId="9" fontId="27" fillId="45" borderId="0" xfId="2" applyFont="1" applyFill="1" applyBorder="1">
      <alignment horizontal="center" vertical="center"/>
    </xf>
    <xf numFmtId="14" fontId="1" fillId="45" borderId="0" xfId="9" applyFont="1" applyFill="1" applyBorder="1">
      <alignment horizontal="center" vertical="center"/>
    </xf>
    <xf numFmtId="14" fontId="27" fillId="45" borderId="0" xfId="9" applyFont="1" applyFill="1" applyBorder="1">
      <alignment horizontal="center" vertical="center"/>
    </xf>
    <xf numFmtId="168" fontId="1" fillId="45" borderId="0" xfId="10" applyFont="1" applyFill="1" applyBorder="1">
      <alignment horizontal="center" vertical="center"/>
    </xf>
    <xf numFmtId="1" fontId="1" fillId="45" borderId="0" xfId="10" applyNumberFormat="1" applyFont="1" applyFill="1" applyBorder="1">
      <alignment horizontal="center" vertical="center"/>
    </xf>
    <xf numFmtId="0" fontId="35" fillId="42" borderId="0" xfId="0" applyFont="1" applyFill="1" applyAlignment="1">
      <alignment horizontal="left" vertical="center" wrapText="1" indent="2"/>
    </xf>
    <xf numFmtId="0" fontId="13" fillId="6" borderId="0" xfId="0" applyFont="1" applyFill="1" applyAlignment="1">
      <alignment horizontal="center" vertical="center" wrapText="1"/>
    </xf>
    <xf numFmtId="0" fontId="10" fillId="4" borderId="0" xfId="0" applyFont="1" applyFill="1" applyAlignment="1">
      <alignment horizontal="center" vertical="center" wrapText="1"/>
    </xf>
    <xf numFmtId="0" fontId="29" fillId="2" borderId="0" xfId="5" applyFont="1" applyFill="1" applyAlignment="1">
      <alignment horizontal="left" vertical="center" indent="1"/>
    </xf>
    <xf numFmtId="0" fontId="11" fillId="2" borderId="0" xfId="0" applyFont="1" applyFill="1" applyAlignment="1">
      <alignment horizontal="center" vertical="center"/>
    </xf>
    <xf numFmtId="0" fontId="3" fillId="2" borderId="0" xfId="0" applyFont="1" applyFill="1" applyAlignment="1">
      <alignment horizontal="center" vertical="center"/>
    </xf>
    <xf numFmtId="0" fontId="13" fillId="5" borderId="0" xfId="11" applyFont="1" applyFill="1" applyAlignment="1">
      <alignment horizontal="center" vertical="center" wrapText="1"/>
    </xf>
    <xf numFmtId="0" fontId="13" fillId="7" borderId="0" xfId="0" applyFont="1" applyFill="1" applyAlignment="1">
      <alignment horizontal="center" vertical="center" wrapText="1"/>
    </xf>
    <xf numFmtId="0" fontId="13" fillId="8" borderId="0" xfId="0" applyFont="1" applyFill="1" applyAlignment="1">
      <alignment horizontal="center" vertical="center" wrapText="1"/>
    </xf>
  </cellXfs>
  <cellStyles count="51">
    <cellStyle name="20% - Énfasis1" xfId="28" builtinId="30" customBuiltin="1"/>
    <cellStyle name="20% - Énfasis2" xfId="32" builtinId="34" customBuiltin="1"/>
    <cellStyle name="20% - Énfasis3" xfId="35" builtinId="38" customBuiltin="1"/>
    <cellStyle name="20% - Énfasis4" xfId="39" builtinId="42" customBuiltin="1"/>
    <cellStyle name="20% - Énfasis5" xfId="43" builtinId="46" customBuiltin="1"/>
    <cellStyle name="20% - Énfasis6" xfId="47" builtinId="50" customBuiltin="1"/>
    <cellStyle name="40% - Énfasis1" xfId="29" builtinId="31" customBuiltin="1"/>
    <cellStyle name="40% - Énfasis2" xfId="33" builtinId="35" customBuiltin="1"/>
    <cellStyle name="40% - Énfasis3" xfId="36" builtinId="39" customBuiltin="1"/>
    <cellStyle name="40% - Énfasis4" xfId="40" builtinId="43" customBuiltin="1"/>
    <cellStyle name="40% - Énfasis5" xfId="44" builtinId="47" customBuiltin="1"/>
    <cellStyle name="40% - Énfasis6" xfId="48" builtinId="51" customBuiltin="1"/>
    <cellStyle name="60% - Énfasis1" xfId="30" builtinId="32" customBuiltin="1"/>
    <cellStyle name="60% - Énfasis2" xfId="34" builtinId="36" customBuiltin="1"/>
    <cellStyle name="60% - Énfasis3" xfId="37" builtinId="40" customBuiltin="1"/>
    <cellStyle name="60% - Énfasis4" xfId="41" builtinId="44" customBuiltin="1"/>
    <cellStyle name="60% - Énfasis5" xfId="45" builtinId="48" customBuiltin="1"/>
    <cellStyle name="60% - Énfasis6" xfId="49" builtinId="52" customBuiltin="1"/>
    <cellStyle name="Bueno" xfId="15" builtinId="26" customBuiltin="1"/>
    <cellStyle name="Cálculo" xfId="20" builtinId="22" customBuiltin="1"/>
    <cellStyle name="Celda de comprobación" xfId="22" builtinId="23" customBuiltin="1"/>
    <cellStyle name="Celda vinculada" xfId="21" builtinId="24" customBuiltin="1"/>
    <cellStyle name="Encabezado 1" xfId="6" builtinId="16" customBuiltin="1"/>
    <cellStyle name="Encabezado 4" xfId="14" builtinId="19" customBuiltin="1"/>
    <cellStyle name="Énfasis1" xfId="27" builtinId="29" customBuiltin="1"/>
    <cellStyle name="Énfasis2" xfId="31" builtinId="33" customBuiltin="1"/>
    <cellStyle name="Énfasis3" xfId="11" builtinId="37" customBuiltin="1"/>
    <cellStyle name="Énfasis4" xfId="38" builtinId="41" customBuiltin="1"/>
    <cellStyle name="Énfasis5" xfId="42" builtinId="45" customBuiltin="1"/>
    <cellStyle name="Énfasis6" xfId="46" builtinId="49" customBuiltin="1"/>
    <cellStyle name="Entrada" xfId="18" builtinId="20" customBuiltin="1"/>
    <cellStyle name="Fecha" xfId="9" xr:uid="{229918B6-DD13-4F5A-97B9-305F7E002AA3}"/>
    <cellStyle name="Hipervínculo" xfId="1" builtinId="8" customBuiltin="1"/>
    <cellStyle name="Incorrecto" xfId="16" builtinId="27" customBuiltin="1"/>
    <cellStyle name="Millares" xfId="4" builtinId="3" customBuiltin="1"/>
    <cellStyle name="Millares [0]" xfId="10" builtinId="6" customBuiltin="1"/>
    <cellStyle name="Moneda" xfId="12" builtinId="4" customBuiltin="1"/>
    <cellStyle name="Moneda [0]" xfId="13" builtinId="7" customBuiltin="1"/>
    <cellStyle name="Moneda 2" xfId="50" xr:uid="{DAFDCD9C-C62F-4CCC-8A18-F1FF86AE8DDA}"/>
    <cellStyle name="Neutral" xfId="17" builtinId="28" customBuiltin="1"/>
    <cellStyle name="Normal" xfId="0" builtinId="0" customBuiltin="1"/>
    <cellStyle name="Notas" xfId="24" builtinId="10" customBuiltin="1"/>
    <cellStyle name="Porcentaje" xfId="2" builtinId="5" customBuiltin="1"/>
    <cellStyle name="Salida" xfId="19" builtinId="21" customBuiltin="1"/>
    <cellStyle name="Texto de advertencia" xfId="23" builtinId="11" customBuiltin="1"/>
    <cellStyle name="Texto explicativo" xfId="25" builtinId="53" customBuiltin="1"/>
    <cellStyle name="Título" xfId="5" builtinId="15" customBuiltin="1"/>
    <cellStyle name="Título 2" xfId="7" builtinId="17" customBuiltin="1"/>
    <cellStyle name="Título 3" xfId="8" builtinId="18" customBuiltin="1"/>
    <cellStyle name="Total" xfId="26" builtinId="25" customBuiltin="1"/>
    <cellStyle name="zHiddenText" xfId="3" xr:uid="{26E66EE6-E33F-4D77-BAE4-0FB4F5BBF673}"/>
  </cellStyles>
  <dxfs count="38">
    <dxf>
      <fill>
        <patternFill>
          <bgColor theme="9"/>
        </patternFill>
      </fill>
      <border>
        <left/>
        <right/>
        <top/>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fill>
        <patternFill patternType="none">
          <fgColor indexed="64"/>
          <bgColor indexed="65"/>
        </patternFill>
      </fill>
    </dxf>
    <dxf>
      <font>
        <strike val="0"/>
        <outline val="0"/>
        <shadow val="0"/>
        <u val="none"/>
        <vertAlign val="baseline"/>
        <sz val="10"/>
        <name val="Calibri"/>
        <family val="2"/>
        <scheme val="minor"/>
      </font>
    </dxf>
    <dxf>
      <font>
        <b/>
        <i val="0"/>
        <strike val="0"/>
        <condense val="0"/>
        <extend val="0"/>
        <outline val="0"/>
        <shadow val="0"/>
        <u val="none"/>
        <vertAlign val="baseline"/>
        <sz val="10"/>
        <color auto="1"/>
        <name val="Calibri"/>
        <family val="2"/>
        <scheme val="minor"/>
      </font>
      <fill>
        <patternFill patternType="solid">
          <fgColor indexed="64"/>
          <bgColor theme="0"/>
        </patternFill>
      </fil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center" vertical="center" textRotation="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0"/>
        <color auto="1"/>
        <name val="Calibri"/>
        <family val="2"/>
        <scheme val="minor"/>
      </font>
      <numFmt numFmtId="169" formatCode="_-[$USD]\ * #,##0.00_-;\-[$USD]\ * #,##0.00_-;_-[$USD]\ * &quot;-&quot;??_-;_-@_-"/>
      <fill>
        <patternFill patternType="solid">
          <fgColor indexed="64"/>
          <bgColor theme="0"/>
        </patternFill>
      </fill>
      <alignment horizontal="left" vertical="center" textRotation="0" wrapText="1" indent="2" justifyLastLine="0" shrinkToFit="0" readingOrder="0"/>
    </dxf>
    <dxf>
      <font>
        <b/>
        <i val="0"/>
        <strike val="0"/>
        <condense val="0"/>
        <extend val="0"/>
        <outline val="0"/>
        <shadow val="0"/>
        <u val="none"/>
        <vertAlign val="baseline"/>
        <sz val="10"/>
        <color auto="1"/>
        <name val="Calibri"/>
        <family val="2"/>
        <scheme val="minor"/>
      </font>
      <numFmt numFmtId="34" formatCode="_-&quot;$&quot;\ * #,##0.00_-;\-&quot;$&quot;\ * #,##0.00_-;_-&quot;$&quot;\ * &quot;-&quot;??_-;_-@_-"/>
      <fill>
        <patternFill patternType="solid">
          <fgColor indexed="64"/>
          <bgColor theme="0"/>
        </patternFill>
      </fill>
      <alignment horizontal="left" vertical="center" textRotation="0" wrapText="1" indent="2" justifyLastLine="0" shrinkToFit="0" readingOrder="0"/>
    </dxf>
    <dxf>
      <font>
        <b/>
        <i val="0"/>
        <strike val="0"/>
        <condense val="0"/>
        <extend val="0"/>
        <outline val="0"/>
        <shadow val="0"/>
        <u val="none"/>
        <vertAlign val="baseline"/>
        <sz val="10"/>
        <color auto="1"/>
        <name val="Calibri"/>
        <family val="2"/>
        <scheme val="minor"/>
      </font>
      <numFmt numFmtId="34" formatCode="_-&quot;$&quot;\ * #,##0.00_-;\-&quot;$&quot;\ * #,##0.00_-;_-&quot;$&quot;\ * &quot;-&quot;??_-;_-@_-"/>
      <fill>
        <patternFill patternType="solid">
          <fgColor indexed="64"/>
          <bgColor theme="0"/>
        </patternFill>
      </fill>
      <alignment horizontal="left" vertical="center" textRotation="0" wrapText="1" indent="2" justifyLastLine="0" shrinkToFit="0" readingOrder="0"/>
    </dxf>
    <dxf>
      <font>
        <b val="0"/>
        <i val="0"/>
        <strike val="0"/>
        <condense val="0"/>
        <extend val="0"/>
        <outline val="0"/>
        <shadow val="0"/>
        <u val="none"/>
        <vertAlign val="baseline"/>
        <sz val="10"/>
        <color auto="1"/>
        <name val="Calibri"/>
        <family val="2"/>
        <scheme val="minor"/>
      </font>
      <alignment horizontal="left" vertical="center" textRotation="0" wrapText="1" indent="2" justifyLastLine="0" shrinkToFit="0" readingOrder="0"/>
    </dxf>
    <dxf>
      <font>
        <strike val="0"/>
        <outline val="0"/>
        <shadow val="0"/>
        <u val="none"/>
        <vertAlign val="baseline"/>
        <sz val="10"/>
        <name val="Calibri"/>
        <family val="2"/>
        <scheme val="minor"/>
      </font>
      <alignment horizontal="left" vertical="bottom" textRotation="0" wrapText="1" relativeIndent="1" justifyLastLine="0" shrinkToFit="0" readingOrder="0"/>
    </dxf>
    <dxf>
      <font>
        <strike val="0"/>
        <outline val="0"/>
        <shadow val="0"/>
        <u val="none"/>
        <vertAlign val="baseline"/>
        <sz val="10"/>
        <name val="Calibri"/>
        <family val="2"/>
        <scheme val="minor"/>
      </font>
    </dxf>
    <dxf>
      <font>
        <b/>
        <strike val="0"/>
        <outline val="0"/>
        <shadow val="0"/>
        <u val="none"/>
        <vertAlign val="baseline"/>
        <sz val="10"/>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PivotStyle="PivotStyleLight16">
    <tableStyle name="Estilo de tabla personalizado" pivot="0" count="4" xr9:uid="{4904D139-63E4-4221-B7C9-C6C5B7A50FAF}">
      <tableStyleElement type="wholeTable" dxfId="37"/>
      <tableStyleElement type="headerRow" dxfId="36"/>
      <tableStyleElement type="firstRowStripe" dxfId="35"/>
      <tableStyleElement type="secondRowStripe" dxfId="34"/>
    </tableStyle>
    <tableStyle name="ListaTareasPendientes" pivot="0" count="9" xr9:uid="{00000000-0011-0000-FFFF-FFFF00000000}">
      <tableStyleElement type="wholeTable" dxfId="33"/>
      <tableStyleElement type="headerRow" dxfId="32"/>
      <tableStyleElement type="totalRow" dxfId="31"/>
      <tableStyleElement type="firstColumn" dxfId="30"/>
      <tableStyleElement type="lastColumn" dxfId="29"/>
      <tableStyleElement type="firstRowStripe" dxfId="28"/>
      <tableStyleElement type="secondRowStripe" dxfId="27"/>
      <tableStyleElement type="firstColumnStripe" dxfId="26"/>
      <tableStyleElement type="secondColumnStripe" dxfId="2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ctrlProps/ctrlProp1.xml><?xml version="1.0" encoding="utf-8"?>
<formControlPr xmlns="http://schemas.microsoft.com/office/spreadsheetml/2009/9/main" objectType="Scroll" dx="39" fmlaLink="$E$7" horiz="1" max="365" page="2"/>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15</xdr:col>
          <xdr:colOff>28575</xdr:colOff>
          <xdr:row>7</xdr:row>
          <xdr:rowOff>57150</xdr:rowOff>
        </xdr:from>
        <xdr:to>
          <xdr:col>97</xdr:col>
          <xdr:colOff>38100</xdr:colOff>
          <xdr:row>8</xdr:row>
          <xdr:rowOff>0</xdr:rowOff>
        </xdr:to>
        <xdr:sp macro="" textlink="">
          <xdr:nvSpPr>
            <xdr:cNvPr id="16385" name="Barra de desplazamiento 1" descr="Barra de desplazamiento para desplazarse por la escala de tiempo del proyecto Ghantt." hidden="1">
              <a:extLst>
                <a:ext uri="{63B3BB69-23CF-44E3-9099-C40C66FF867C}">
                  <a14:compatExt spid="_x0000_s16385"/>
                </a:ext>
                <a:ext uri="{FF2B5EF4-FFF2-40B4-BE49-F238E27FC236}">
                  <a16:creationId xmlns:a16="http://schemas.microsoft.com/office/drawing/2014/main" id="{00000000-0008-0000-00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Hitos4352" displayName="Hitos4352" ref="A11:N76" totalsRowShown="0" headerRowDxfId="24" dataDxfId="23">
  <tableColumns count="14">
    <tableColumn id="1" xr3:uid="{619BF8F6-D0F1-41AD-871D-FE0240C45A93}" name="Descripción del hito" dataDxfId="22"/>
    <tableColumn id="7" xr3:uid="{4EEA9893-C1D8-43E3-B4E7-DA80501D15D9}" name="MONTO INICIAL" dataDxfId="21"/>
    <tableColumn id="9" xr3:uid="{9B6F094D-6DBB-4BBA-82A3-E2FB9DC9B321}" name="A DEVOLVER" dataDxfId="20" dataCellStyle="Moneda"/>
    <tableColumn id="11" xr3:uid="{4583247F-6BA9-49B9-9A18-72529D9086FE}" name="MONTO INICIAL EN USD" dataDxfId="19" dataCellStyle="Moneda"/>
    <tableColumn id="10" xr3:uid="{EB3087FB-ECA7-4C89-8132-5AA693B3B39C}" name="MONTO A DEVOLVER EN USD" dataDxfId="18" dataCellStyle="Moneda"/>
    <tableColumn id="2" xr3:uid="{39BD914E-FB02-4352-846C-6D59624DC0B0}" name="CATEGORIA" dataDxfId="17"/>
    <tableColumn id="3" xr3:uid="{D274194F-BCA0-44F3-84B2-217254EE241C}" name="ASIGNADO A" dataDxfId="16"/>
    <tableColumn id="4" xr3:uid="{8385BC6F-56EE-4363-A106-8DB0A1E4EF5A}" name="TASA INTERES" dataDxfId="15"/>
    <tableColumn id="12" xr3:uid="{82C5DE7F-EB9F-456B-B18E-650DC04AE7CE}" name="COMISION" dataDxfId="14" dataCellStyle="Porcentaje"/>
    <tableColumn id="5" xr3:uid="{02926609-7B93-4B6F-BE96-92EC7A949E4B}" name="FECHA INICIAL" dataDxfId="13" dataCellStyle="Fecha"/>
    <tableColumn id="8" xr3:uid="{C2EC8D95-4964-4C3E-9790-F5FA3BCD4446}" name="FECHA FINAL" dataDxfId="12" dataCellStyle="Fecha"/>
    <tableColumn id="6" xr3:uid="{8FF9BE8E-04B7-4B39-AC27-D2E534204BC3}" name="DIAS" dataDxfId="11"/>
    <tableColumn id="15" xr3:uid="{60B4BA8D-6CD0-48D2-B79D-6F3F2E04B294}" name="DIAS PARA VENCIMIENTO" dataDxfId="10"/>
    <tableColumn id="16" xr3:uid="{76778E74-DE28-40DF-9DB8-9A6F8ADCC417}" name="ESTADO" dataDxfId="9"/>
  </tableColumns>
  <tableStyleInfo name="ListaTareasPendientes" showFirstColumn="1" showLastColumn="0" showRowStripes="1" showColumnStripes="0"/>
  <extLst>
    <ext xmlns:x14="http://schemas.microsoft.com/office/spreadsheetml/2009/9/main" uri="{504A1905-F514-4f6f-8877-14C23A59335A}">
      <x14:table altTextSummary="Escriba la información del proyecto en esta tabla. Escriba una descripción del hito de una fase, tarea, actividad, etc. en la columna de debajo de Descripción. Seleccione una categoría en la columna Categoría. Asigne el elemento a alguien de la columna Asignado a. Actualice el progreso y consulte las barras de datos que se actualizan automáticamente en la columna de progreso. Escriba la fecha de inicio en la columna Inicio y el número de días en la columna Número de días. Los datos de Ghantt de las celdas J9 a BM 34 se actualizarán automáticamente. Agregar filas nuevas a la tabla para añadir más tarea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7" Type="http://schemas.openxmlformats.org/officeDocument/2006/relationships/comments" Target="../comments1.xml"/><Relationship Id="rId2" Type="http://schemas.openxmlformats.org/officeDocument/2006/relationships/printerSettings" Target="../printerSettings/printerSettings1.bin"/><Relationship Id="rId1" Type="http://schemas.openxmlformats.org/officeDocument/2006/relationships/hyperlink" Target="DOCUMENTOS%20FINANCIEROS\Detalle%20de%20cuota-%20NACION.pdf" TargetMode="External"/><Relationship Id="rId6" Type="http://schemas.openxmlformats.org/officeDocument/2006/relationships/table" Target="../tables/table1.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dimension ref="A1:CO89"/>
  <sheetViews>
    <sheetView showGridLines="0" tabSelected="1" showRuler="0" topLeftCell="A11" zoomScale="80" zoomScaleNormal="80" zoomScalePageLayoutView="70" workbookViewId="0">
      <selection activeCell="U16" sqref="U16"/>
    </sheetView>
  </sheetViews>
  <sheetFormatPr baseColWidth="10" defaultColWidth="8.85546875" defaultRowHeight="30" customHeight="1" x14ac:dyDescent="0.25"/>
  <cols>
    <col min="1" max="1" width="19.28515625" style="40" customWidth="1"/>
    <col min="2" max="2" width="18.7109375" style="40" customWidth="1"/>
    <col min="3" max="3" width="22.42578125" style="40" customWidth="1"/>
    <col min="4" max="4" width="17.42578125" style="40" customWidth="1"/>
    <col min="5" max="5" width="19.85546875" style="40" bestFit="1" customWidth="1"/>
    <col min="6" max="6" width="14.5703125" style="40" hidden="1" customWidth="1"/>
    <col min="7" max="7" width="10" style="40" hidden="1" customWidth="1"/>
    <col min="8" max="8" width="8.5703125" style="40" customWidth="1"/>
    <col min="9" max="9" width="6.42578125" style="40" customWidth="1"/>
    <col min="10" max="10" width="10.85546875" style="41" customWidth="1"/>
    <col min="11" max="11" width="11.7109375" style="41" customWidth="1"/>
    <col min="12" max="12" width="7.7109375" style="40" customWidth="1"/>
    <col min="13" max="13" width="8.140625" style="40" customWidth="1"/>
    <col min="14" max="14" width="11.7109375" style="40" customWidth="1"/>
    <col min="15" max="15" width="2.7109375" customWidth="1"/>
    <col min="16" max="88" width="3.28515625" customWidth="1"/>
  </cols>
  <sheetData>
    <row r="1" spans="1:78" ht="25.15" customHeight="1" x14ac:dyDescent="0.25"/>
    <row r="2" spans="1:78" ht="49.9" customHeight="1" x14ac:dyDescent="0.25">
      <c r="A2" s="145" t="s">
        <v>0</v>
      </c>
      <c r="B2" s="145"/>
      <c r="C2" s="145"/>
      <c r="D2" s="145"/>
      <c r="E2" s="145"/>
      <c r="F2" s="145"/>
      <c r="G2" s="145"/>
      <c r="H2" s="145"/>
      <c r="I2" s="145"/>
      <c r="J2" s="145"/>
      <c r="K2" s="145"/>
      <c r="L2" s="145"/>
      <c r="M2" s="145"/>
      <c r="N2" s="145"/>
      <c r="O2" s="145"/>
      <c r="P2" s="146"/>
      <c r="Q2" s="146"/>
      <c r="R2" s="146"/>
      <c r="S2" s="146"/>
      <c r="T2" s="146"/>
      <c r="U2" s="146"/>
      <c r="V2" s="147"/>
      <c r="W2" s="147"/>
      <c r="X2" s="147"/>
      <c r="Y2" s="147"/>
      <c r="Z2" s="147"/>
      <c r="AA2" s="147"/>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row>
    <row r="3" spans="1:78" ht="19.899999999999999" customHeight="1" x14ac:dyDescent="0.25">
      <c r="A3" s="24"/>
      <c r="B3" s="24"/>
      <c r="C3" s="24"/>
      <c r="D3" s="24"/>
      <c r="E3" s="24"/>
      <c r="F3" s="25"/>
      <c r="G3" s="6"/>
      <c r="H3" s="6"/>
      <c r="I3" s="6"/>
      <c r="J3" s="4"/>
      <c r="K3" s="4"/>
      <c r="L3" s="6"/>
      <c r="M3" s="6"/>
      <c r="N3" s="42"/>
      <c r="O3" s="6"/>
      <c r="P3" s="11"/>
      <c r="Q3" s="1"/>
      <c r="R3" s="1"/>
      <c r="S3" s="1"/>
    </row>
    <row r="4" spans="1:78" ht="30" customHeight="1" x14ac:dyDescent="0.25">
      <c r="A4" s="78" t="s">
        <v>1</v>
      </c>
      <c r="B4" s="78"/>
      <c r="C4" s="78"/>
      <c r="D4" s="78"/>
      <c r="E4" s="79" t="s">
        <v>2</v>
      </c>
      <c r="G4" s="7"/>
      <c r="H4" s="8"/>
      <c r="I4" s="8"/>
      <c r="J4" s="80"/>
      <c r="K4" s="80"/>
      <c r="L4" s="9" t="s">
        <v>3</v>
      </c>
      <c r="M4" s="9"/>
      <c r="N4" s="46"/>
      <c r="O4" s="8"/>
      <c r="P4" s="148" t="s">
        <v>4</v>
      </c>
      <c r="Q4" s="148"/>
      <c r="R4" s="148"/>
      <c r="S4" s="148"/>
      <c r="U4" s="149" t="s">
        <v>5</v>
      </c>
      <c r="V4" s="149"/>
      <c r="W4" s="149"/>
      <c r="X4" s="149"/>
      <c r="Z4" s="150" t="s">
        <v>6</v>
      </c>
      <c r="AA4" s="150"/>
      <c r="AB4" s="150"/>
      <c r="AC4" s="150"/>
      <c r="AE4" s="143" t="s">
        <v>7</v>
      </c>
      <c r="AF4" s="143"/>
      <c r="AG4" s="143"/>
      <c r="AH4" s="143"/>
      <c r="AJ4" s="144" t="s">
        <v>8</v>
      </c>
      <c r="AK4" s="144"/>
      <c r="AL4" s="144"/>
      <c r="AM4" s="144"/>
    </row>
    <row r="5" spans="1:78" ht="30" customHeight="1" x14ac:dyDescent="0.25">
      <c r="A5" s="79" t="s">
        <v>9</v>
      </c>
      <c r="B5" s="79"/>
      <c r="C5" s="79"/>
      <c r="D5" s="79"/>
      <c r="E5" s="81"/>
      <c r="G5" s="7"/>
      <c r="H5" s="8"/>
      <c r="I5" s="8"/>
      <c r="J5" s="80"/>
      <c r="K5" s="80"/>
      <c r="L5" s="8"/>
      <c r="M5" s="8"/>
      <c r="N5" s="45"/>
      <c r="O5" s="8"/>
    </row>
    <row r="6" spans="1:78" ht="30" customHeight="1" x14ac:dyDescent="0.35">
      <c r="A6" s="82" t="s">
        <v>10</v>
      </c>
      <c r="B6" s="82"/>
      <c r="C6" s="82"/>
      <c r="D6" s="82"/>
      <c r="E6" s="83" cm="1">
        <f t="array" aca="1" ref="E6" ca="1">IFERROR(IF(MIN(Hitos4352[FECHA INICIAL])=0,TODAY(),#REF!(Hitos4352[FECHA INICIAL])),TODAY())</f>
        <v>46079</v>
      </c>
      <c r="G6" s="83"/>
      <c r="H6" s="8"/>
      <c r="I6" s="8"/>
      <c r="J6" s="80"/>
      <c r="K6" s="80"/>
      <c r="L6" s="8"/>
      <c r="M6" s="8"/>
      <c r="N6" s="45"/>
      <c r="O6" s="8"/>
      <c r="P6" s="14" t="str">
        <f ca="1">TEXT(P7,"mmmm")</f>
        <v>febrero</v>
      </c>
      <c r="Q6" s="14"/>
      <c r="R6" s="14"/>
      <c r="S6" s="14"/>
      <c r="T6" s="14"/>
      <c r="U6" s="14"/>
      <c r="V6" s="14"/>
      <c r="W6" s="14" t="str">
        <f ca="1">IF(TEXT(W7,"mmmm")=P6,"",TEXT(W7,"mmmm"))</f>
        <v>marzo</v>
      </c>
      <c r="X6" s="14"/>
      <c r="Y6" s="14"/>
      <c r="Z6" s="14"/>
      <c r="AA6" s="14"/>
      <c r="AB6" s="14"/>
      <c r="AC6" s="14"/>
      <c r="AD6" s="14" t="str">
        <f ca="1">IF(OR(TEXT(AD7,"mmmm")=W6,TEXT(AD7,"mmmm")=P6),"",TEXT(AD7,"mmmm"))</f>
        <v/>
      </c>
      <c r="AE6" s="14"/>
      <c r="AF6" s="14"/>
      <c r="AG6" s="14"/>
      <c r="AH6" s="14"/>
      <c r="AI6" s="14"/>
      <c r="AJ6" s="14"/>
      <c r="AK6" s="14" t="str">
        <f ca="1">IF(OR(TEXT(AK7,"mmmm")=AD6,TEXT(AK7,"mmmm")=W6,TEXT(AK7,"mmmm")=P6),"",TEXT(AK7,"mmmm"))</f>
        <v/>
      </c>
      <c r="AL6" s="14"/>
      <c r="AM6" s="14"/>
      <c r="AN6" s="14"/>
      <c r="AO6" s="14"/>
      <c r="AP6" s="14"/>
      <c r="AQ6" s="14"/>
      <c r="AR6" s="14" t="str">
        <f ca="1">IF(OR(TEXT(AR7,"mmmm")=AK6,TEXT(AR7,"mmmm")=AD6,TEXT(AR7,"mmmm")=W6,TEXT(AR7,"mmmm")=P6),"",TEXT(AR7,"mmmm"))</f>
        <v/>
      </c>
      <c r="AS6" s="14"/>
      <c r="AT6" s="14"/>
      <c r="AU6" s="14"/>
      <c r="AV6" s="14"/>
      <c r="AW6" s="14"/>
      <c r="AX6" s="14"/>
      <c r="AY6" s="14" t="str">
        <f ca="1">IF(OR(TEXT(AY7,"mmmm")=AR6,TEXT(AY7,"mmmm")=AK6,TEXT(AY7,"mmmm")=AD6,TEXT(AY7,"mmmm")=W6),"",TEXT(AY7,"mmmm"))</f>
        <v>abril</v>
      </c>
      <c r="AZ6" s="14"/>
      <c r="BA6" s="14"/>
      <c r="BB6" s="14"/>
      <c r="BC6" s="14"/>
      <c r="BD6" s="14"/>
      <c r="BE6" s="15"/>
      <c r="BF6" s="15" t="str">
        <f ca="1">IF(OR(TEXT(BF7,"mmmm")=AY6,TEXT(BF7,"mmmm")=AR6,TEXT(BF7,"mmmm")=AK6,TEXT(BF7,"mmmm")=AD6),"",TEXT(BF7,"mmmm"))</f>
        <v/>
      </c>
      <c r="BG6" s="15"/>
      <c r="BH6" s="15"/>
      <c r="BI6" s="16"/>
      <c r="BJ6" s="13"/>
      <c r="BK6" s="13"/>
      <c r="BL6" s="13"/>
      <c r="BM6" s="13" t="str">
        <f ca="1">IF(OR(TEXT(BM7,"mmmm")=BF6,TEXT(BM7,"mmmm")=AY6,TEXT(BM7,"mmmm")=AR6,TEXT(BM7,"mmmm")=AK6),"",TEXT(BM7,"mmmm"))</f>
        <v/>
      </c>
      <c r="BN6" s="13"/>
      <c r="BO6" s="13"/>
      <c r="BP6" s="13"/>
      <c r="BQ6" s="13"/>
      <c r="BR6" s="13"/>
      <c r="BS6" s="13"/>
    </row>
    <row r="7" spans="1:78" ht="30" customHeight="1" x14ac:dyDescent="0.25">
      <c r="A7" s="82" t="s">
        <v>11</v>
      </c>
      <c r="B7" s="82"/>
      <c r="C7" s="82"/>
      <c r="D7" s="82"/>
      <c r="E7" s="84">
        <v>1</v>
      </c>
      <c r="G7" s="7"/>
      <c r="H7" s="8"/>
      <c r="I7" s="8"/>
      <c r="J7" s="8"/>
      <c r="K7" s="8"/>
      <c r="L7" s="8"/>
      <c r="M7" s="8"/>
      <c r="N7" s="45"/>
      <c r="O7" s="10"/>
      <c r="P7" s="18">
        <f ca="1">IFERROR(Inicio_del_proyecto+Incremento_de_desplazamiento,TODAY())</f>
        <v>46080</v>
      </c>
      <c r="Q7" s="19">
        <f ca="1">P7+1</f>
        <v>46081</v>
      </c>
      <c r="R7" s="19">
        <f t="shared" ref="R7:BE7" ca="1" si="0">Q7+1</f>
        <v>46082</v>
      </c>
      <c r="S7" s="19">
        <f t="shared" ca="1" si="0"/>
        <v>46083</v>
      </c>
      <c r="T7" s="19">
        <f t="shared" ca="1" si="0"/>
        <v>46084</v>
      </c>
      <c r="U7" s="19">
        <f t="shared" ca="1" si="0"/>
        <v>46085</v>
      </c>
      <c r="V7" s="20">
        <f t="shared" ca="1" si="0"/>
        <v>46086</v>
      </c>
      <c r="W7" s="19">
        <f ca="1">V7+1</f>
        <v>46087</v>
      </c>
      <c r="X7" s="19">
        <f ca="1">W7+1</f>
        <v>46088</v>
      </c>
      <c r="Y7" s="19">
        <f t="shared" ca="1" si="0"/>
        <v>46089</v>
      </c>
      <c r="Z7" s="19">
        <f t="shared" ca="1" si="0"/>
        <v>46090</v>
      </c>
      <c r="AA7" s="19">
        <f t="shared" ca="1" si="0"/>
        <v>46091</v>
      </c>
      <c r="AB7" s="19">
        <f t="shared" ca="1" si="0"/>
        <v>46092</v>
      </c>
      <c r="AC7" s="20">
        <f t="shared" ca="1" si="0"/>
        <v>46093</v>
      </c>
      <c r="AD7" s="19">
        <f ca="1">AC7+1</f>
        <v>46094</v>
      </c>
      <c r="AE7" s="19">
        <f ca="1">AD7+1</f>
        <v>46095</v>
      </c>
      <c r="AF7" s="19">
        <f t="shared" ca="1" si="0"/>
        <v>46096</v>
      </c>
      <c r="AG7" s="19">
        <f t="shared" ca="1" si="0"/>
        <v>46097</v>
      </c>
      <c r="AH7" s="19">
        <f t="shared" ca="1" si="0"/>
        <v>46098</v>
      </c>
      <c r="AI7" s="19">
        <f t="shared" ca="1" si="0"/>
        <v>46099</v>
      </c>
      <c r="AJ7" s="20">
        <f t="shared" ca="1" si="0"/>
        <v>46100</v>
      </c>
      <c r="AK7" s="19">
        <f ca="1">AJ7+1</f>
        <v>46101</v>
      </c>
      <c r="AL7" s="19">
        <f ca="1">AK7+1</f>
        <v>46102</v>
      </c>
      <c r="AM7" s="19">
        <f t="shared" ca="1" si="0"/>
        <v>46103</v>
      </c>
      <c r="AN7" s="19">
        <f t="shared" ca="1" si="0"/>
        <v>46104</v>
      </c>
      <c r="AO7" s="19">
        <f t="shared" ca="1" si="0"/>
        <v>46105</v>
      </c>
      <c r="AP7" s="19">
        <f t="shared" ca="1" si="0"/>
        <v>46106</v>
      </c>
      <c r="AQ7" s="20">
        <f t="shared" ca="1" si="0"/>
        <v>46107</v>
      </c>
      <c r="AR7" s="19">
        <f ca="1">AQ7+1</f>
        <v>46108</v>
      </c>
      <c r="AS7" s="19">
        <f ca="1">AR7+1</f>
        <v>46109</v>
      </c>
      <c r="AT7" s="19">
        <f t="shared" ca="1" si="0"/>
        <v>46110</v>
      </c>
      <c r="AU7" s="19">
        <f t="shared" ca="1" si="0"/>
        <v>46111</v>
      </c>
      <c r="AV7" s="19">
        <f t="shared" ca="1" si="0"/>
        <v>46112</v>
      </c>
      <c r="AW7" s="19">
        <f t="shared" ca="1" si="0"/>
        <v>46113</v>
      </c>
      <c r="AX7" s="20">
        <f t="shared" ca="1" si="0"/>
        <v>46114</v>
      </c>
      <c r="AY7" s="19">
        <f ca="1">AX7+1</f>
        <v>46115</v>
      </c>
      <c r="AZ7" s="19">
        <f ca="1">AY7+1</f>
        <v>46116</v>
      </c>
      <c r="BA7" s="19">
        <f t="shared" ca="1" si="0"/>
        <v>46117</v>
      </c>
      <c r="BB7" s="19">
        <f t="shared" ca="1" si="0"/>
        <v>46118</v>
      </c>
      <c r="BC7" s="19">
        <f t="shared" ca="1" si="0"/>
        <v>46119</v>
      </c>
      <c r="BD7" s="19">
        <f t="shared" ca="1" si="0"/>
        <v>46120</v>
      </c>
      <c r="BE7" s="20">
        <f t="shared" ca="1" si="0"/>
        <v>46121</v>
      </c>
      <c r="BF7" s="19">
        <f ca="1">BE7+1</f>
        <v>46122</v>
      </c>
      <c r="BG7" s="19">
        <f ca="1">BF7+1</f>
        <v>46123</v>
      </c>
      <c r="BH7" s="19">
        <f t="shared" ref="BH7:BL7" ca="1" si="1">BG7+1</f>
        <v>46124</v>
      </c>
      <c r="BI7" s="19">
        <f t="shared" ca="1" si="1"/>
        <v>46125</v>
      </c>
      <c r="BJ7" s="19">
        <f t="shared" ca="1" si="1"/>
        <v>46126</v>
      </c>
      <c r="BK7" s="19">
        <f t="shared" ca="1" si="1"/>
        <v>46127</v>
      </c>
      <c r="BL7" s="20">
        <f t="shared" ca="1" si="1"/>
        <v>46128</v>
      </c>
      <c r="BM7" s="19">
        <f ca="1">BL7+1</f>
        <v>46129</v>
      </c>
      <c r="BN7" s="19">
        <f ca="1">BM7+1</f>
        <v>46130</v>
      </c>
      <c r="BO7" s="19">
        <f t="shared" ref="BO7:BS7" ca="1" si="2">BN7+1</f>
        <v>46131</v>
      </c>
      <c r="BP7" s="19">
        <f t="shared" ca="1" si="2"/>
        <v>46132</v>
      </c>
      <c r="BQ7" s="19">
        <f t="shared" ca="1" si="2"/>
        <v>46133</v>
      </c>
      <c r="BR7" s="19">
        <f t="shared" ca="1" si="2"/>
        <v>46134</v>
      </c>
      <c r="BS7" s="20">
        <f t="shared" ca="1" si="2"/>
        <v>46135</v>
      </c>
    </row>
    <row r="8" spans="1:78" ht="19.899999999999999" customHeight="1" x14ac:dyDescent="0.25">
      <c r="A8" s="82" t="s">
        <v>12</v>
      </c>
      <c r="B8" s="7"/>
      <c r="C8" s="7"/>
      <c r="D8" s="7"/>
      <c r="E8" s="85">
        <v>1337</v>
      </c>
      <c r="G8" s="7"/>
      <c r="H8" s="8"/>
      <c r="I8" s="8"/>
      <c r="J8" s="8"/>
      <c r="K8" s="8"/>
      <c r="L8" s="8"/>
      <c r="M8" s="8"/>
      <c r="N8" s="45"/>
      <c r="O8" s="10"/>
      <c r="P8" s="21"/>
      <c r="Q8" s="22"/>
      <c r="R8" s="22"/>
      <c r="S8" s="22"/>
      <c r="T8" s="22"/>
      <c r="U8" s="22"/>
      <c r="V8" s="22"/>
      <c r="W8" s="21"/>
      <c r="X8" s="22"/>
      <c r="Y8" s="22"/>
      <c r="Z8" s="22"/>
      <c r="AA8" s="22"/>
      <c r="AB8" s="22"/>
      <c r="AC8" s="23"/>
      <c r="AD8" s="22"/>
      <c r="AE8" s="22"/>
      <c r="AF8" s="22"/>
      <c r="AG8" s="22"/>
      <c r="AH8" s="22"/>
      <c r="AI8" s="22"/>
      <c r="AJ8" s="23"/>
      <c r="AK8" s="22"/>
      <c r="AL8" s="22"/>
      <c r="AM8" s="22"/>
      <c r="AN8" s="22"/>
      <c r="AO8" s="22"/>
      <c r="AP8" s="22"/>
      <c r="AQ8" s="23"/>
      <c r="AR8" s="22"/>
      <c r="AS8" s="22"/>
      <c r="AT8" s="22"/>
      <c r="AU8" s="22"/>
      <c r="AV8" s="22"/>
      <c r="AW8" s="22"/>
      <c r="AX8" s="23"/>
      <c r="AY8" s="22"/>
      <c r="AZ8" s="22"/>
      <c r="BA8" s="22"/>
      <c r="BB8" s="22"/>
      <c r="BC8" s="22"/>
      <c r="BD8" s="22"/>
      <c r="BE8" s="23"/>
      <c r="BF8" s="22"/>
      <c r="BG8" s="22"/>
      <c r="BH8" s="22"/>
      <c r="BI8" s="22"/>
      <c r="BJ8" s="22"/>
      <c r="BK8" s="22"/>
      <c r="BL8" s="23"/>
      <c r="BM8" s="22"/>
      <c r="BN8" s="22"/>
      <c r="BO8" s="22"/>
      <c r="BP8" s="22"/>
      <c r="BQ8" s="22"/>
      <c r="BR8" s="22"/>
      <c r="BS8" s="23"/>
    </row>
    <row r="9" spans="1:78" ht="19.899999999999999" customHeight="1" x14ac:dyDescent="0.25">
      <c r="A9" s="82" t="s">
        <v>13</v>
      </c>
      <c r="B9" s="7"/>
      <c r="C9" s="7"/>
      <c r="D9" s="7"/>
      <c r="E9" s="86">
        <f ca="1">TODAY()</f>
        <v>46079</v>
      </c>
      <c r="G9" s="7"/>
      <c r="H9" s="8"/>
      <c r="I9" s="8"/>
      <c r="J9" s="8"/>
      <c r="K9" s="8"/>
      <c r="L9" s="8"/>
      <c r="M9" s="8"/>
      <c r="N9" s="45"/>
      <c r="O9" s="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8"/>
      <c r="BG9" s="38"/>
      <c r="BH9" s="38"/>
      <c r="BI9" s="38"/>
      <c r="BJ9" s="38"/>
      <c r="BK9" s="38"/>
      <c r="BL9" s="38"/>
      <c r="BM9" s="38"/>
      <c r="BN9" s="38"/>
      <c r="BO9" s="38"/>
      <c r="BP9" s="38"/>
      <c r="BQ9" s="38"/>
      <c r="BR9" s="38"/>
      <c r="BS9" s="35"/>
      <c r="BT9" s="36"/>
      <c r="BU9" s="36"/>
      <c r="BV9" s="36"/>
      <c r="BW9" s="36"/>
      <c r="BX9" s="36"/>
      <c r="BY9" s="36"/>
      <c r="BZ9" s="36"/>
    </row>
    <row r="10" spans="1:78" ht="19.899999999999999" customHeight="1" x14ac:dyDescent="0.25">
      <c r="A10" s="47"/>
      <c r="B10" s="44"/>
      <c r="C10" s="44"/>
      <c r="D10" s="44"/>
      <c r="E10" s="44"/>
      <c r="F10" s="48"/>
      <c r="G10" s="44"/>
      <c r="H10" s="45"/>
      <c r="I10" s="45"/>
      <c r="J10" s="45"/>
      <c r="K10" s="45"/>
      <c r="L10" s="45"/>
      <c r="M10" s="45"/>
      <c r="N10" s="45"/>
      <c r="O10" s="8"/>
      <c r="P10" s="38"/>
      <c r="Q10" s="38"/>
      <c r="R10" s="38"/>
      <c r="S10" s="38"/>
      <c r="T10" s="38"/>
      <c r="U10" s="38"/>
      <c r="V10" s="38"/>
      <c r="W10" s="38"/>
      <c r="X10" s="38"/>
      <c r="Y10" s="38"/>
      <c r="Z10" s="38"/>
      <c r="AA10" s="38"/>
      <c r="AB10" s="38"/>
      <c r="AC10" s="38"/>
      <c r="AD10" s="38"/>
      <c r="AE10" s="38"/>
      <c r="AF10" s="38"/>
      <c r="AG10" s="38"/>
      <c r="AH10" s="38"/>
      <c r="AI10" s="38"/>
      <c r="AJ10" s="38"/>
      <c r="AK10" s="38"/>
      <c r="AL10" s="38"/>
      <c r="AM10" s="38"/>
      <c r="AN10" s="38"/>
      <c r="AO10" s="38"/>
      <c r="AP10" s="38"/>
      <c r="AQ10" s="38"/>
      <c r="AR10" s="38"/>
      <c r="AS10" s="38"/>
      <c r="AT10" s="38"/>
      <c r="AU10" s="38"/>
      <c r="AV10" s="38"/>
      <c r="AW10" s="38"/>
      <c r="AX10" s="38"/>
      <c r="AY10" s="38"/>
      <c r="AZ10" s="38"/>
      <c r="BA10" s="38"/>
      <c r="BB10" s="38"/>
      <c r="BC10" s="38"/>
      <c r="BD10" s="38"/>
      <c r="BE10" s="38"/>
      <c r="BF10" s="38"/>
      <c r="BG10" s="38"/>
      <c r="BH10" s="38"/>
      <c r="BI10" s="38"/>
      <c r="BJ10" s="38"/>
      <c r="BK10" s="38"/>
      <c r="BL10" s="38"/>
      <c r="BM10" s="38"/>
      <c r="BN10" s="38"/>
      <c r="BO10" s="38"/>
      <c r="BP10" s="38"/>
      <c r="BQ10" s="38"/>
      <c r="BR10" s="38"/>
      <c r="BS10" s="35"/>
      <c r="BT10" s="36"/>
      <c r="BU10" s="36"/>
      <c r="BV10" s="36"/>
      <c r="BW10" s="36"/>
      <c r="BX10" s="36"/>
      <c r="BY10" s="36"/>
      <c r="BZ10" s="36"/>
    </row>
    <row r="11" spans="1:78" ht="40.15" customHeight="1" x14ac:dyDescent="0.25">
      <c r="A11" s="49" t="s">
        <v>14</v>
      </c>
      <c r="B11" s="49" t="s">
        <v>15</v>
      </c>
      <c r="C11" s="49" t="s">
        <v>16</v>
      </c>
      <c r="D11" s="50" t="s">
        <v>17</v>
      </c>
      <c r="E11" s="50" t="s">
        <v>18</v>
      </c>
      <c r="F11" s="51" t="s">
        <v>19</v>
      </c>
      <c r="G11" s="51" t="s">
        <v>20</v>
      </c>
      <c r="H11" s="51" t="s">
        <v>21</v>
      </c>
      <c r="I11" s="51" t="s">
        <v>22</v>
      </c>
      <c r="J11" s="51" t="s">
        <v>23</v>
      </c>
      <c r="K11" s="51" t="s">
        <v>24</v>
      </c>
      <c r="L11" s="51" t="s">
        <v>25</v>
      </c>
      <c r="M11" s="51" t="s">
        <v>26</v>
      </c>
      <c r="N11" s="51" t="s">
        <v>27</v>
      </c>
      <c r="O11" s="12"/>
      <c r="P11" s="37" t="str">
        <f t="shared" ref="P11:BS11" ca="1" si="3">LEFT(TEXT(P7,"ddd"),1)</f>
        <v>v</v>
      </c>
      <c r="Q11" s="37" t="str">
        <f t="shared" ca="1" si="3"/>
        <v>s</v>
      </c>
      <c r="R11" s="37" t="str">
        <f t="shared" ca="1" si="3"/>
        <v>d</v>
      </c>
      <c r="S11" s="37" t="str">
        <f t="shared" ca="1" si="3"/>
        <v>l</v>
      </c>
      <c r="T11" s="37" t="str">
        <f t="shared" ca="1" si="3"/>
        <v>m</v>
      </c>
      <c r="U11" s="37" t="str">
        <f t="shared" ca="1" si="3"/>
        <v>m</v>
      </c>
      <c r="V11" s="37" t="str">
        <f t="shared" ca="1" si="3"/>
        <v>j</v>
      </c>
      <c r="W11" s="37" t="str">
        <f t="shared" ca="1" si="3"/>
        <v>v</v>
      </c>
      <c r="X11" s="37" t="str">
        <f t="shared" ca="1" si="3"/>
        <v>s</v>
      </c>
      <c r="Y11" s="37" t="str">
        <f t="shared" ca="1" si="3"/>
        <v>d</v>
      </c>
      <c r="Z11" s="37" t="str">
        <f t="shared" ca="1" si="3"/>
        <v>l</v>
      </c>
      <c r="AA11" s="37" t="str">
        <f t="shared" ca="1" si="3"/>
        <v>m</v>
      </c>
      <c r="AB11" s="37" t="str">
        <f t="shared" ca="1" si="3"/>
        <v>m</v>
      </c>
      <c r="AC11" s="37" t="str">
        <f t="shared" ca="1" si="3"/>
        <v>j</v>
      </c>
      <c r="AD11" s="37" t="str">
        <f t="shared" ca="1" si="3"/>
        <v>v</v>
      </c>
      <c r="AE11" s="37" t="str">
        <f t="shared" ca="1" si="3"/>
        <v>s</v>
      </c>
      <c r="AF11" s="37" t="str">
        <f t="shared" ca="1" si="3"/>
        <v>d</v>
      </c>
      <c r="AG11" s="37" t="str">
        <f t="shared" ca="1" si="3"/>
        <v>l</v>
      </c>
      <c r="AH11" s="37" t="str">
        <f t="shared" ca="1" si="3"/>
        <v>m</v>
      </c>
      <c r="AI11" s="37" t="str">
        <f t="shared" ca="1" si="3"/>
        <v>m</v>
      </c>
      <c r="AJ11" s="37" t="str">
        <f t="shared" ca="1" si="3"/>
        <v>j</v>
      </c>
      <c r="AK11" s="37" t="str">
        <f t="shared" ca="1" si="3"/>
        <v>v</v>
      </c>
      <c r="AL11" s="37" t="str">
        <f t="shared" ca="1" si="3"/>
        <v>s</v>
      </c>
      <c r="AM11" s="37" t="str">
        <f t="shared" ca="1" si="3"/>
        <v>d</v>
      </c>
      <c r="AN11" s="37" t="str">
        <f t="shared" ca="1" si="3"/>
        <v>l</v>
      </c>
      <c r="AO11" s="37" t="str">
        <f t="shared" ca="1" si="3"/>
        <v>m</v>
      </c>
      <c r="AP11" s="37" t="str">
        <f t="shared" ca="1" si="3"/>
        <v>m</v>
      </c>
      <c r="AQ11" s="37" t="str">
        <f t="shared" ca="1" si="3"/>
        <v>j</v>
      </c>
      <c r="AR11" s="37" t="str">
        <f t="shared" ca="1" si="3"/>
        <v>v</v>
      </c>
      <c r="AS11" s="37" t="str">
        <f t="shared" ca="1" si="3"/>
        <v>s</v>
      </c>
      <c r="AT11" s="37" t="str">
        <f t="shared" ca="1" si="3"/>
        <v>d</v>
      </c>
      <c r="AU11" s="37" t="str">
        <f t="shared" ca="1" si="3"/>
        <v>l</v>
      </c>
      <c r="AV11" s="37" t="str">
        <f t="shared" ca="1" si="3"/>
        <v>m</v>
      </c>
      <c r="AW11" s="37" t="str">
        <f t="shared" ca="1" si="3"/>
        <v>m</v>
      </c>
      <c r="AX11" s="37" t="str">
        <f t="shared" ca="1" si="3"/>
        <v>j</v>
      </c>
      <c r="AY11" s="37" t="str">
        <f t="shared" ca="1" si="3"/>
        <v>v</v>
      </c>
      <c r="AZ11" s="37" t="str">
        <f t="shared" ca="1" si="3"/>
        <v>s</v>
      </c>
      <c r="BA11" s="37" t="str">
        <f t="shared" ca="1" si="3"/>
        <v>d</v>
      </c>
      <c r="BB11" s="37" t="str">
        <f t="shared" ca="1" si="3"/>
        <v>l</v>
      </c>
      <c r="BC11" s="37" t="str">
        <f t="shared" ca="1" si="3"/>
        <v>m</v>
      </c>
      <c r="BD11" s="37" t="str">
        <f t="shared" ca="1" si="3"/>
        <v>m</v>
      </c>
      <c r="BE11" s="37" t="str">
        <f t="shared" ca="1" si="3"/>
        <v>j</v>
      </c>
      <c r="BF11" s="37" t="str">
        <f t="shared" ca="1" si="3"/>
        <v>v</v>
      </c>
      <c r="BG11" s="37" t="str">
        <f t="shared" ca="1" si="3"/>
        <v>s</v>
      </c>
      <c r="BH11" s="37" t="str">
        <f t="shared" ca="1" si="3"/>
        <v>d</v>
      </c>
      <c r="BI11" s="37" t="str">
        <f t="shared" ca="1" si="3"/>
        <v>l</v>
      </c>
      <c r="BJ11" s="37" t="str">
        <f t="shared" ca="1" si="3"/>
        <v>m</v>
      </c>
      <c r="BK11" s="37" t="str">
        <f t="shared" ca="1" si="3"/>
        <v>m</v>
      </c>
      <c r="BL11" s="37" t="str">
        <f t="shared" ca="1" si="3"/>
        <v>j</v>
      </c>
      <c r="BM11" s="37" t="str">
        <f t="shared" ca="1" si="3"/>
        <v>v</v>
      </c>
      <c r="BN11" s="37" t="str">
        <f t="shared" ca="1" si="3"/>
        <v>s</v>
      </c>
      <c r="BO11" s="37" t="str">
        <f t="shared" ca="1" si="3"/>
        <v>d</v>
      </c>
      <c r="BP11" s="37" t="str">
        <f t="shared" ca="1" si="3"/>
        <v>l</v>
      </c>
      <c r="BQ11" s="37" t="str">
        <f t="shared" ca="1" si="3"/>
        <v>m</v>
      </c>
      <c r="BR11" s="37" t="str">
        <f t="shared" ca="1" si="3"/>
        <v>m</v>
      </c>
      <c r="BS11" s="17" t="str">
        <f t="shared" ca="1" si="3"/>
        <v>j</v>
      </c>
    </row>
    <row r="12" spans="1:78" s="1" customFormat="1" ht="40.15" customHeight="1" x14ac:dyDescent="0.25">
      <c r="A12" s="52" t="s">
        <v>28</v>
      </c>
      <c r="B12" s="53">
        <f>SUM(B13:B32)</f>
        <v>263642930.00000006</v>
      </c>
      <c r="C12" s="53">
        <f>SUM(C13:C32)</f>
        <v>333095579.12</v>
      </c>
      <c r="D12" s="54">
        <f>SUM(D13:D32)</f>
        <v>254746.26333333339</v>
      </c>
      <c r="E12" s="54">
        <f>SUM(E13:E32)</f>
        <v>261147.0242265386</v>
      </c>
      <c r="F12" s="43"/>
      <c r="G12" s="43"/>
      <c r="H12" s="55"/>
      <c r="I12" s="55"/>
      <c r="J12" s="56"/>
      <c r="K12" s="56"/>
      <c r="L12" s="57"/>
      <c r="M12" s="57"/>
      <c r="N12" s="57"/>
      <c r="O12" s="4"/>
      <c r="P12" s="3" t="str">
        <f t="shared" ref="P12:Y17" ca="1" si="4">IF(AND($F12="Objetivo",P$7&gt;=$J12,P$7&lt;=$J12+$L12-1),2,IF(AND($F12="Hito",P$7&gt;=$J12,P$7&lt;=$J12+$L12-1),1,""))</f>
        <v/>
      </c>
      <c r="Q12" s="3" t="str">
        <f t="shared" ca="1" si="4"/>
        <v/>
      </c>
      <c r="R12" s="3" t="str">
        <f t="shared" ca="1" si="4"/>
        <v/>
      </c>
      <c r="S12" s="3" t="str">
        <f t="shared" ca="1" si="4"/>
        <v/>
      </c>
      <c r="T12" s="3" t="str">
        <f t="shared" ca="1" si="4"/>
        <v/>
      </c>
      <c r="U12" s="3" t="str">
        <f t="shared" ca="1" si="4"/>
        <v/>
      </c>
      <c r="V12" s="3" t="str">
        <f t="shared" ca="1" si="4"/>
        <v/>
      </c>
      <c r="W12" s="3" t="str">
        <f t="shared" ca="1" si="4"/>
        <v/>
      </c>
      <c r="X12" s="3" t="str">
        <f t="shared" ca="1" si="4"/>
        <v/>
      </c>
      <c r="Y12" s="3" t="str">
        <f t="shared" ca="1" si="4"/>
        <v/>
      </c>
      <c r="Z12" s="3" t="str">
        <f t="shared" ref="Z12:AI17" ca="1" si="5">IF(AND($F12="Objetivo",Z$7&gt;=$J12,Z$7&lt;=$J12+$L12-1),2,IF(AND($F12="Hito",Z$7&gt;=$J12,Z$7&lt;=$J12+$L12-1),1,""))</f>
        <v/>
      </c>
      <c r="AA12" s="3" t="str">
        <f t="shared" ca="1" si="5"/>
        <v/>
      </c>
      <c r="AB12" s="3" t="str">
        <f t="shared" ca="1" si="5"/>
        <v/>
      </c>
      <c r="AC12" s="3" t="str">
        <f t="shared" ca="1" si="5"/>
        <v/>
      </c>
      <c r="AD12" s="3" t="str">
        <f t="shared" ca="1" si="5"/>
        <v/>
      </c>
      <c r="AE12" s="3" t="str">
        <f t="shared" ca="1" si="5"/>
        <v/>
      </c>
      <c r="AF12" s="3" t="str">
        <f t="shared" ca="1" si="5"/>
        <v/>
      </c>
      <c r="AG12" s="3" t="str">
        <f t="shared" ca="1" si="5"/>
        <v/>
      </c>
      <c r="AH12" s="3" t="str">
        <f t="shared" ca="1" si="5"/>
        <v/>
      </c>
      <c r="AI12" s="3" t="str">
        <f t="shared" ca="1" si="5"/>
        <v/>
      </c>
      <c r="AJ12" s="3" t="str">
        <f t="shared" ref="AJ12:AS17" ca="1" si="6">IF(AND($F12="Objetivo",AJ$7&gt;=$J12,AJ$7&lt;=$J12+$L12-1),2,IF(AND($F12="Hito",AJ$7&gt;=$J12,AJ$7&lt;=$J12+$L12-1),1,""))</f>
        <v/>
      </c>
      <c r="AK12" s="3" t="str">
        <f t="shared" ca="1" si="6"/>
        <v/>
      </c>
      <c r="AL12" s="3" t="str">
        <f t="shared" ca="1" si="6"/>
        <v/>
      </c>
      <c r="AM12" s="3" t="str">
        <f t="shared" ca="1" si="6"/>
        <v/>
      </c>
      <c r="AN12" s="3" t="str">
        <f t="shared" ca="1" si="6"/>
        <v/>
      </c>
      <c r="AO12" s="3" t="str">
        <f t="shared" ca="1" si="6"/>
        <v/>
      </c>
      <c r="AP12" s="3" t="str">
        <f t="shared" ca="1" si="6"/>
        <v/>
      </c>
      <c r="AQ12" s="3" t="str">
        <f t="shared" ca="1" si="6"/>
        <v/>
      </c>
      <c r="AR12" s="3" t="str">
        <f t="shared" ca="1" si="6"/>
        <v/>
      </c>
      <c r="AS12" s="3" t="str">
        <f t="shared" ca="1" si="6"/>
        <v/>
      </c>
      <c r="AT12" s="3" t="str">
        <f t="shared" ref="AT12:BC17" ca="1" si="7">IF(AND($F12="Objetivo",AT$7&gt;=$J12,AT$7&lt;=$J12+$L12-1),2,IF(AND($F12="Hito",AT$7&gt;=$J12,AT$7&lt;=$J12+$L12-1),1,""))</f>
        <v/>
      </c>
      <c r="AU12" s="3" t="str">
        <f t="shared" ca="1" si="7"/>
        <v/>
      </c>
      <c r="AV12" s="3" t="str">
        <f t="shared" ca="1" si="7"/>
        <v/>
      </c>
      <c r="AW12" s="3" t="str">
        <f t="shared" ca="1" si="7"/>
        <v/>
      </c>
      <c r="AX12" s="3" t="str">
        <f t="shared" ca="1" si="7"/>
        <v/>
      </c>
      <c r="AY12" s="3" t="str">
        <f t="shared" ca="1" si="7"/>
        <v/>
      </c>
      <c r="AZ12" s="3" t="str">
        <f t="shared" ca="1" si="7"/>
        <v/>
      </c>
      <c r="BA12" s="3" t="str">
        <f t="shared" ca="1" si="7"/>
        <v/>
      </c>
      <c r="BB12" s="3" t="str">
        <f t="shared" ca="1" si="7"/>
        <v/>
      </c>
      <c r="BC12" s="3" t="str">
        <f t="shared" ca="1" si="7"/>
        <v/>
      </c>
      <c r="BD12" s="3" t="str">
        <f t="shared" ref="BD12:BM17" ca="1" si="8">IF(AND($F12="Objetivo",BD$7&gt;=$J12,BD$7&lt;=$J12+$L12-1),2,IF(AND($F12="Hito",BD$7&gt;=$J12,BD$7&lt;=$J12+$L12-1),1,""))</f>
        <v/>
      </c>
      <c r="BE12" s="3" t="str">
        <f t="shared" ca="1" si="8"/>
        <v/>
      </c>
      <c r="BF12" s="3" t="str">
        <f t="shared" ca="1" si="8"/>
        <v/>
      </c>
      <c r="BG12" s="3" t="str">
        <f t="shared" ca="1" si="8"/>
        <v/>
      </c>
      <c r="BH12" s="3" t="str">
        <f t="shared" ca="1" si="8"/>
        <v/>
      </c>
      <c r="BI12" s="3" t="str">
        <f t="shared" ca="1" si="8"/>
        <v/>
      </c>
      <c r="BJ12" s="3" t="str">
        <f t="shared" ca="1" si="8"/>
        <v/>
      </c>
      <c r="BK12" s="3" t="str">
        <f t="shared" ca="1" si="8"/>
        <v/>
      </c>
      <c r="BL12" s="3" t="str">
        <f t="shared" ca="1" si="8"/>
        <v/>
      </c>
      <c r="BM12" s="3" t="str">
        <f t="shared" ca="1" si="8"/>
        <v/>
      </c>
      <c r="BN12" s="3" t="str">
        <f t="shared" ref="BN12:BS17" ca="1" si="9">IF(AND($F12="Objetivo",BN$7&gt;=$J12,BN$7&lt;=$J12+$L12-1),2,IF(AND($F12="Hito",BN$7&gt;=$J12,BN$7&lt;=$J12+$L12-1),1,""))</f>
        <v/>
      </c>
      <c r="BO12" s="3" t="str">
        <f t="shared" ca="1" si="9"/>
        <v/>
      </c>
      <c r="BP12" s="3" t="str">
        <f t="shared" ca="1" si="9"/>
        <v/>
      </c>
      <c r="BQ12" s="3" t="str">
        <f t="shared" ca="1" si="9"/>
        <v/>
      </c>
      <c r="BR12" s="3" t="str">
        <f t="shared" ca="1" si="9"/>
        <v/>
      </c>
      <c r="BS12" s="3" t="str">
        <f t="shared" ca="1" si="9"/>
        <v/>
      </c>
    </row>
    <row r="13" spans="1:78" s="1" customFormat="1" ht="40.15" customHeight="1" x14ac:dyDescent="0.25">
      <c r="A13" s="88" t="s">
        <v>29</v>
      </c>
      <c r="B13" s="89">
        <v>17500000</v>
      </c>
      <c r="C13" s="103">
        <v>22882213.690000001</v>
      </c>
      <c r="D13" s="102">
        <f>Hitos4352[[#This Row],[MONTO INICIAL]]/1000</f>
        <v>17500</v>
      </c>
      <c r="E13" s="102">
        <f>Hitos4352[[#This Row],[A DEVOLVER]]/$E$8</f>
        <v>17114.595130890055</v>
      </c>
      <c r="F13" s="90" t="s">
        <v>6</v>
      </c>
      <c r="G13" s="90" t="s">
        <v>30</v>
      </c>
      <c r="H13" s="91">
        <v>0.3</v>
      </c>
      <c r="I13" s="92">
        <v>0.01</v>
      </c>
      <c r="J13" s="93">
        <v>45567</v>
      </c>
      <c r="K13" s="97">
        <v>45749</v>
      </c>
      <c r="L13" s="94">
        <f>Hitos4352[[#This Row],[FECHA FINAL]]-Hitos4352[[#This Row],[FECHA INICIAL]]</f>
        <v>182</v>
      </c>
      <c r="M13" s="98"/>
      <c r="N13" s="94" t="s">
        <v>31</v>
      </c>
      <c r="O13" s="4"/>
      <c r="P13" s="3" t="str">
        <f t="shared" ca="1" si="4"/>
        <v/>
      </c>
      <c r="Q13" s="3" t="str">
        <f t="shared" ca="1" si="4"/>
        <v/>
      </c>
      <c r="R13" s="3" t="str">
        <f t="shared" ca="1" si="4"/>
        <v/>
      </c>
      <c r="S13" s="3" t="str">
        <f t="shared" ca="1" si="4"/>
        <v/>
      </c>
      <c r="T13" s="3" t="str">
        <f t="shared" ca="1" si="4"/>
        <v/>
      </c>
      <c r="U13" s="3" t="str">
        <f t="shared" ca="1" si="4"/>
        <v/>
      </c>
      <c r="V13" s="3" t="str">
        <f t="shared" ca="1" si="4"/>
        <v/>
      </c>
      <c r="W13" s="3" t="str">
        <f t="shared" ca="1" si="4"/>
        <v/>
      </c>
      <c r="X13" s="3" t="str">
        <f t="shared" ca="1" si="4"/>
        <v/>
      </c>
      <c r="Y13" s="3" t="str">
        <f t="shared" ca="1" si="4"/>
        <v/>
      </c>
      <c r="Z13" s="3" t="str">
        <f t="shared" ca="1" si="5"/>
        <v/>
      </c>
      <c r="AA13" s="3" t="str">
        <f t="shared" ca="1" si="5"/>
        <v/>
      </c>
      <c r="AB13" s="3" t="str">
        <f t="shared" ca="1" si="5"/>
        <v/>
      </c>
      <c r="AC13" s="3" t="str">
        <f t="shared" ca="1" si="5"/>
        <v/>
      </c>
      <c r="AD13" s="3" t="str">
        <f t="shared" ca="1" si="5"/>
        <v/>
      </c>
      <c r="AE13" s="3" t="str">
        <f t="shared" ca="1" si="5"/>
        <v/>
      </c>
      <c r="AF13" s="3" t="str">
        <f t="shared" ca="1" si="5"/>
        <v/>
      </c>
      <c r="AG13" s="3" t="str">
        <f t="shared" ca="1" si="5"/>
        <v/>
      </c>
      <c r="AH13" s="3" t="str">
        <f t="shared" ca="1" si="5"/>
        <v/>
      </c>
      <c r="AI13" s="3" t="str">
        <f t="shared" ca="1" si="5"/>
        <v/>
      </c>
      <c r="AJ13" s="3" t="str">
        <f t="shared" ca="1" si="6"/>
        <v/>
      </c>
      <c r="AK13" s="3" t="str">
        <f t="shared" ca="1" si="6"/>
        <v/>
      </c>
      <c r="AL13" s="3" t="str">
        <f t="shared" ca="1" si="6"/>
        <v/>
      </c>
      <c r="AM13" s="3" t="str">
        <f t="shared" ca="1" si="6"/>
        <v/>
      </c>
      <c r="AN13" s="3" t="str">
        <f t="shared" ca="1" si="6"/>
        <v/>
      </c>
      <c r="AO13" s="3" t="str">
        <f t="shared" ca="1" si="6"/>
        <v/>
      </c>
      <c r="AP13" s="3" t="str">
        <f t="shared" ca="1" si="6"/>
        <v/>
      </c>
      <c r="AQ13" s="3" t="str">
        <f t="shared" ca="1" si="6"/>
        <v/>
      </c>
      <c r="AR13" s="3" t="str">
        <f t="shared" ca="1" si="6"/>
        <v/>
      </c>
      <c r="AS13" s="3" t="str">
        <f t="shared" ca="1" si="6"/>
        <v/>
      </c>
      <c r="AT13" s="3" t="str">
        <f t="shared" ca="1" si="7"/>
        <v/>
      </c>
      <c r="AU13" s="3" t="str">
        <f t="shared" ca="1" si="7"/>
        <v/>
      </c>
      <c r="AV13" s="3" t="str">
        <f t="shared" ca="1" si="7"/>
        <v/>
      </c>
      <c r="AW13" s="3" t="str">
        <f t="shared" ca="1" si="7"/>
        <v/>
      </c>
      <c r="AX13" s="3" t="str">
        <f t="shared" ca="1" si="7"/>
        <v/>
      </c>
      <c r="AY13" s="3" t="str">
        <f t="shared" ca="1" si="7"/>
        <v/>
      </c>
      <c r="AZ13" s="3" t="str">
        <f t="shared" ca="1" si="7"/>
        <v/>
      </c>
      <c r="BA13" s="3" t="str">
        <f t="shared" ca="1" si="7"/>
        <v/>
      </c>
      <c r="BB13" s="3" t="str">
        <f t="shared" ca="1" si="7"/>
        <v/>
      </c>
      <c r="BC13" s="3" t="str">
        <f t="shared" ca="1" si="7"/>
        <v/>
      </c>
      <c r="BD13" s="3" t="str">
        <f t="shared" ca="1" si="8"/>
        <v/>
      </c>
      <c r="BE13" s="3" t="str">
        <f t="shared" ca="1" si="8"/>
        <v/>
      </c>
      <c r="BF13" s="3" t="str">
        <f t="shared" ca="1" si="8"/>
        <v/>
      </c>
      <c r="BG13" s="3" t="str">
        <f t="shared" ca="1" si="8"/>
        <v/>
      </c>
      <c r="BH13" s="3" t="str">
        <f t="shared" ca="1" si="8"/>
        <v/>
      </c>
      <c r="BI13" s="3" t="str">
        <f t="shared" ca="1" si="8"/>
        <v/>
      </c>
      <c r="BJ13" s="3" t="str">
        <f t="shared" ca="1" si="8"/>
        <v/>
      </c>
      <c r="BK13" s="3" t="str">
        <f t="shared" ca="1" si="8"/>
        <v/>
      </c>
      <c r="BL13" s="3" t="str">
        <f t="shared" ca="1" si="8"/>
        <v/>
      </c>
      <c r="BM13" s="3" t="str">
        <f t="shared" ca="1" si="8"/>
        <v/>
      </c>
      <c r="BN13" s="3" t="str">
        <f t="shared" ca="1" si="9"/>
        <v/>
      </c>
      <c r="BO13" s="3" t="str">
        <f t="shared" ca="1" si="9"/>
        <v/>
      </c>
      <c r="BP13" s="3" t="str">
        <f t="shared" ca="1" si="9"/>
        <v/>
      </c>
      <c r="BQ13" s="3" t="str">
        <f t="shared" ca="1" si="9"/>
        <v/>
      </c>
      <c r="BR13" s="3" t="str">
        <f t="shared" ca="1" si="9"/>
        <v/>
      </c>
      <c r="BS13" s="3" t="str">
        <f t="shared" ca="1" si="9"/>
        <v/>
      </c>
    </row>
    <row r="14" spans="1:78" s="1" customFormat="1" ht="40.15" customHeight="1" x14ac:dyDescent="0.25">
      <c r="A14" s="101" t="s">
        <v>32</v>
      </c>
      <c r="B14" s="89">
        <v>24550000</v>
      </c>
      <c r="C14" s="103">
        <v>35003614</v>
      </c>
      <c r="D14" s="102">
        <v>25000</v>
      </c>
      <c r="E14" s="102">
        <f>Hitos4352[[#This Row],[A DEVOLVER]]/$E$8</f>
        <v>26180.713537771131</v>
      </c>
      <c r="F14" s="90" t="s">
        <v>6</v>
      </c>
      <c r="G14" s="90" t="s">
        <v>30</v>
      </c>
      <c r="H14" s="91">
        <v>3.5000000000000003E-2</v>
      </c>
      <c r="I14" s="92">
        <v>0.01</v>
      </c>
      <c r="J14" s="93">
        <v>45589</v>
      </c>
      <c r="K14" s="97">
        <v>45859</v>
      </c>
      <c r="L14" s="94">
        <f>Hitos4352[[#This Row],[FECHA FINAL]]-Hitos4352[[#This Row],[FECHA INICIAL]]</f>
        <v>270</v>
      </c>
      <c r="M14" s="98">
        <f ca="1">Hitos4352[[#This Row],[FECHA FINAL]]-E$9</f>
        <v>-220</v>
      </c>
      <c r="N14" s="94" t="s">
        <v>31</v>
      </c>
      <c r="O14" s="4"/>
      <c r="P14" s="3" t="str">
        <f t="shared" ca="1" si="4"/>
        <v/>
      </c>
      <c r="Q14" s="3" t="str">
        <f t="shared" ca="1" si="4"/>
        <v/>
      </c>
      <c r="R14" s="3" t="str">
        <f t="shared" ca="1" si="4"/>
        <v/>
      </c>
      <c r="S14" s="3" t="str">
        <f t="shared" ca="1" si="4"/>
        <v/>
      </c>
      <c r="T14" s="3" t="str">
        <f t="shared" ca="1" si="4"/>
        <v/>
      </c>
      <c r="U14" s="3" t="str">
        <f t="shared" ca="1" si="4"/>
        <v/>
      </c>
      <c r="V14" s="3" t="str">
        <f t="shared" ca="1" si="4"/>
        <v/>
      </c>
      <c r="W14" s="3" t="str">
        <f t="shared" ca="1" si="4"/>
        <v/>
      </c>
      <c r="X14" s="3" t="str">
        <f t="shared" ca="1" si="4"/>
        <v/>
      </c>
      <c r="Y14" s="3" t="str">
        <f t="shared" ca="1" si="4"/>
        <v/>
      </c>
      <c r="Z14" s="3" t="str">
        <f t="shared" ca="1" si="5"/>
        <v/>
      </c>
      <c r="AA14" s="3" t="str">
        <f t="shared" ca="1" si="5"/>
        <v/>
      </c>
      <c r="AB14" s="3" t="str">
        <f t="shared" ca="1" si="5"/>
        <v/>
      </c>
      <c r="AC14" s="3" t="str">
        <f t="shared" ca="1" si="5"/>
        <v/>
      </c>
      <c r="AD14" s="3" t="str">
        <f t="shared" ca="1" si="5"/>
        <v/>
      </c>
      <c r="AE14" s="3" t="str">
        <f t="shared" ca="1" si="5"/>
        <v/>
      </c>
      <c r="AF14" s="3" t="str">
        <f t="shared" ca="1" si="5"/>
        <v/>
      </c>
      <c r="AG14" s="3" t="str">
        <f t="shared" ca="1" si="5"/>
        <v/>
      </c>
      <c r="AH14" s="3" t="str">
        <f t="shared" ca="1" si="5"/>
        <v/>
      </c>
      <c r="AI14" s="3" t="str">
        <f t="shared" ca="1" si="5"/>
        <v/>
      </c>
      <c r="AJ14" s="3" t="str">
        <f t="shared" ca="1" si="6"/>
        <v/>
      </c>
      <c r="AK14" s="3" t="str">
        <f t="shared" ca="1" si="6"/>
        <v/>
      </c>
      <c r="AL14" s="3" t="str">
        <f t="shared" ca="1" si="6"/>
        <v/>
      </c>
      <c r="AM14" s="3" t="str">
        <f t="shared" ca="1" si="6"/>
        <v/>
      </c>
      <c r="AN14" s="3" t="str">
        <f t="shared" ca="1" si="6"/>
        <v/>
      </c>
      <c r="AO14" s="3" t="str">
        <f t="shared" ca="1" si="6"/>
        <v/>
      </c>
      <c r="AP14" s="3" t="str">
        <f t="shared" ca="1" si="6"/>
        <v/>
      </c>
      <c r="AQ14" s="3" t="str">
        <f t="shared" ca="1" si="6"/>
        <v/>
      </c>
      <c r="AR14" s="3" t="str">
        <f t="shared" ca="1" si="6"/>
        <v/>
      </c>
      <c r="AS14" s="3" t="str">
        <f t="shared" ca="1" si="6"/>
        <v/>
      </c>
      <c r="AT14" s="3" t="str">
        <f t="shared" ca="1" si="7"/>
        <v/>
      </c>
      <c r="AU14" s="3" t="str">
        <f t="shared" ca="1" si="7"/>
        <v/>
      </c>
      <c r="AV14" s="3" t="str">
        <f t="shared" ca="1" si="7"/>
        <v/>
      </c>
      <c r="AW14" s="3" t="str">
        <f t="shared" ca="1" si="7"/>
        <v/>
      </c>
      <c r="AX14" s="3" t="str">
        <f t="shared" ca="1" si="7"/>
        <v/>
      </c>
      <c r="AY14" s="3" t="str">
        <f t="shared" ca="1" si="7"/>
        <v/>
      </c>
      <c r="AZ14" s="3" t="str">
        <f t="shared" ca="1" si="7"/>
        <v/>
      </c>
      <c r="BA14" s="3" t="str">
        <f t="shared" ca="1" si="7"/>
        <v/>
      </c>
      <c r="BB14" s="3" t="str">
        <f t="shared" ca="1" si="7"/>
        <v/>
      </c>
      <c r="BC14" s="3" t="str">
        <f t="shared" ca="1" si="7"/>
        <v/>
      </c>
      <c r="BD14" s="3" t="str">
        <f t="shared" ca="1" si="8"/>
        <v/>
      </c>
      <c r="BE14" s="3" t="str">
        <f t="shared" ca="1" si="8"/>
        <v/>
      </c>
      <c r="BF14" s="3" t="str">
        <f t="shared" ca="1" si="8"/>
        <v/>
      </c>
      <c r="BG14" s="3" t="str">
        <f t="shared" ca="1" si="8"/>
        <v/>
      </c>
      <c r="BH14" s="3" t="str">
        <f t="shared" ca="1" si="8"/>
        <v/>
      </c>
      <c r="BI14" s="3" t="str">
        <f t="shared" ca="1" si="8"/>
        <v/>
      </c>
      <c r="BJ14" s="3" t="str">
        <f t="shared" ca="1" si="8"/>
        <v/>
      </c>
      <c r="BK14" s="3" t="str">
        <f t="shared" ca="1" si="8"/>
        <v/>
      </c>
      <c r="BL14" s="3" t="str">
        <f t="shared" ca="1" si="8"/>
        <v/>
      </c>
      <c r="BM14" s="3" t="str">
        <f t="shared" ca="1" si="8"/>
        <v/>
      </c>
      <c r="BN14" s="3" t="str">
        <f t="shared" ca="1" si="9"/>
        <v/>
      </c>
      <c r="BO14" s="3" t="str">
        <f t="shared" ca="1" si="9"/>
        <v/>
      </c>
      <c r="BP14" s="3" t="str">
        <f t="shared" ca="1" si="9"/>
        <v/>
      </c>
      <c r="BQ14" s="3" t="str">
        <f t="shared" ca="1" si="9"/>
        <v/>
      </c>
      <c r="BR14" s="3" t="str">
        <f t="shared" ca="1" si="9"/>
        <v/>
      </c>
      <c r="BS14" s="3" t="str">
        <f t="shared" ca="1" si="9"/>
        <v/>
      </c>
    </row>
    <row r="15" spans="1:78" s="1" customFormat="1" ht="40.15" customHeight="1" x14ac:dyDescent="0.25">
      <c r="A15" s="101" t="s">
        <v>33</v>
      </c>
      <c r="B15" s="89">
        <v>19730000</v>
      </c>
      <c r="C15" s="103">
        <v>24634929.239999998</v>
      </c>
      <c r="D15" s="102">
        <v>20000</v>
      </c>
      <c r="E15" s="102">
        <f>Hitos4352[[#This Row],[A DEVOLVER]]/$E$8</f>
        <v>18425.526731488404</v>
      </c>
      <c r="F15" s="90" t="s">
        <v>6</v>
      </c>
      <c r="G15" s="90" t="s">
        <v>30</v>
      </c>
      <c r="H15" s="91">
        <v>3.5000000000000003E-2</v>
      </c>
      <c r="I15" s="92">
        <v>0.01</v>
      </c>
      <c r="J15" s="93">
        <v>45597</v>
      </c>
      <c r="K15" s="97">
        <v>45807</v>
      </c>
      <c r="L15" s="94">
        <f>Hitos4352[[#This Row],[FECHA FINAL]]-Hitos4352[[#This Row],[FECHA INICIAL]]</f>
        <v>210</v>
      </c>
      <c r="M15" s="98">
        <f ca="1">Hitos4352[[#This Row],[FECHA FINAL]]-E$9</f>
        <v>-272</v>
      </c>
      <c r="N15" s="94" t="s">
        <v>31</v>
      </c>
      <c r="O15" s="4"/>
      <c r="P15" s="3" t="str">
        <f t="shared" ca="1" si="4"/>
        <v/>
      </c>
      <c r="Q15" s="3" t="str">
        <f t="shared" ca="1" si="4"/>
        <v/>
      </c>
      <c r="R15" s="3" t="str">
        <f t="shared" ca="1" si="4"/>
        <v/>
      </c>
      <c r="S15" s="3" t="str">
        <f t="shared" ca="1" si="4"/>
        <v/>
      </c>
      <c r="T15" s="3" t="str">
        <f t="shared" ca="1" si="4"/>
        <v/>
      </c>
      <c r="U15" s="3" t="str">
        <f t="shared" ca="1" si="4"/>
        <v/>
      </c>
      <c r="V15" s="3" t="str">
        <f t="shared" ca="1" si="4"/>
        <v/>
      </c>
      <c r="W15" s="3" t="str">
        <f t="shared" ca="1" si="4"/>
        <v/>
      </c>
      <c r="X15" s="3" t="str">
        <f t="shared" ca="1" si="4"/>
        <v/>
      </c>
      <c r="Y15" s="3" t="str">
        <f t="shared" ca="1" si="4"/>
        <v/>
      </c>
      <c r="Z15" s="3" t="str">
        <f t="shared" ca="1" si="5"/>
        <v/>
      </c>
      <c r="AA15" s="3" t="str">
        <f t="shared" ca="1" si="5"/>
        <v/>
      </c>
      <c r="AB15" s="3" t="str">
        <f t="shared" ca="1" si="5"/>
        <v/>
      </c>
      <c r="AC15" s="3" t="str">
        <f t="shared" ca="1" si="5"/>
        <v/>
      </c>
      <c r="AD15" s="3" t="str">
        <f t="shared" ca="1" si="5"/>
        <v/>
      </c>
      <c r="AE15" s="3" t="str">
        <f t="shared" ca="1" si="5"/>
        <v/>
      </c>
      <c r="AF15" s="3" t="str">
        <f t="shared" ca="1" si="5"/>
        <v/>
      </c>
      <c r="AG15" s="3" t="str">
        <f t="shared" ca="1" si="5"/>
        <v/>
      </c>
      <c r="AH15" s="3" t="str">
        <f t="shared" ca="1" si="5"/>
        <v/>
      </c>
      <c r="AI15" s="3" t="str">
        <f t="shared" ca="1" si="5"/>
        <v/>
      </c>
      <c r="AJ15" s="3" t="str">
        <f t="shared" ca="1" si="6"/>
        <v/>
      </c>
      <c r="AK15" s="3" t="str">
        <f t="shared" ca="1" si="6"/>
        <v/>
      </c>
      <c r="AL15" s="3" t="str">
        <f t="shared" ca="1" si="6"/>
        <v/>
      </c>
      <c r="AM15" s="3" t="str">
        <f t="shared" ca="1" si="6"/>
        <v/>
      </c>
      <c r="AN15" s="3" t="str">
        <f t="shared" ca="1" si="6"/>
        <v/>
      </c>
      <c r="AO15" s="3" t="str">
        <f t="shared" ca="1" si="6"/>
        <v/>
      </c>
      <c r="AP15" s="3" t="str">
        <f t="shared" ca="1" si="6"/>
        <v/>
      </c>
      <c r="AQ15" s="3" t="str">
        <f t="shared" ca="1" si="6"/>
        <v/>
      </c>
      <c r="AR15" s="3" t="str">
        <f t="shared" ca="1" si="6"/>
        <v/>
      </c>
      <c r="AS15" s="3" t="str">
        <f t="shared" ca="1" si="6"/>
        <v/>
      </c>
      <c r="AT15" s="3" t="str">
        <f t="shared" ca="1" si="7"/>
        <v/>
      </c>
      <c r="AU15" s="3" t="str">
        <f t="shared" ca="1" si="7"/>
        <v/>
      </c>
      <c r="AV15" s="3" t="str">
        <f t="shared" ca="1" si="7"/>
        <v/>
      </c>
      <c r="AW15" s="3" t="str">
        <f t="shared" ca="1" si="7"/>
        <v/>
      </c>
      <c r="AX15" s="3" t="str">
        <f t="shared" ca="1" si="7"/>
        <v/>
      </c>
      <c r="AY15" s="3" t="str">
        <f t="shared" ca="1" si="7"/>
        <v/>
      </c>
      <c r="AZ15" s="3" t="str">
        <f t="shared" ca="1" si="7"/>
        <v/>
      </c>
      <c r="BA15" s="3" t="str">
        <f t="shared" ca="1" si="7"/>
        <v/>
      </c>
      <c r="BB15" s="3" t="str">
        <f t="shared" ca="1" si="7"/>
        <v/>
      </c>
      <c r="BC15" s="3" t="str">
        <f t="shared" ca="1" si="7"/>
        <v/>
      </c>
      <c r="BD15" s="3" t="str">
        <f t="shared" ca="1" si="8"/>
        <v/>
      </c>
      <c r="BE15" s="3" t="str">
        <f t="shared" ca="1" si="8"/>
        <v/>
      </c>
      <c r="BF15" s="3" t="str">
        <f t="shared" ca="1" si="8"/>
        <v/>
      </c>
      <c r="BG15" s="3" t="str">
        <f t="shared" ca="1" si="8"/>
        <v/>
      </c>
      <c r="BH15" s="3" t="str">
        <f t="shared" ca="1" si="8"/>
        <v/>
      </c>
      <c r="BI15" s="3" t="str">
        <f t="shared" ca="1" si="8"/>
        <v/>
      </c>
      <c r="BJ15" s="3" t="str">
        <f t="shared" ca="1" si="8"/>
        <v/>
      </c>
      <c r="BK15" s="3" t="str">
        <f t="shared" ca="1" si="8"/>
        <v/>
      </c>
      <c r="BL15" s="3" t="str">
        <f t="shared" ca="1" si="8"/>
        <v/>
      </c>
      <c r="BM15" s="3" t="str">
        <f t="shared" ca="1" si="8"/>
        <v/>
      </c>
      <c r="BN15" s="3" t="str">
        <f t="shared" ca="1" si="9"/>
        <v/>
      </c>
      <c r="BO15" s="3" t="str">
        <f t="shared" ca="1" si="9"/>
        <v/>
      </c>
      <c r="BP15" s="3" t="str">
        <f t="shared" ca="1" si="9"/>
        <v/>
      </c>
      <c r="BQ15" s="3" t="str">
        <f t="shared" ca="1" si="9"/>
        <v/>
      </c>
      <c r="BR15" s="3" t="str">
        <f t="shared" ca="1" si="9"/>
        <v/>
      </c>
      <c r="BS15" s="3" t="str">
        <f t="shared" ca="1" si="9"/>
        <v/>
      </c>
    </row>
    <row r="16" spans="1:78" s="1" customFormat="1" ht="40.15" customHeight="1" x14ac:dyDescent="0.25">
      <c r="A16" s="101" t="s">
        <v>34</v>
      </c>
      <c r="B16" s="89">
        <v>48500000</v>
      </c>
      <c r="C16" s="103">
        <v>66683061.909999996</v>
      </c>
      <c r="D16" s="102">
        <f>Hitos4352[[#This Row],[MONTO INICIAL]]/1000</f>
        <v>48500</v>
      </c>
      <c r="E16" s="102">
        <f>Hitos4352[[#This Row],[A DEVOLVER]]/$E$8</f>
        <v>49875.139798055345</v>
      </c>
      <c r="F16" s="90" t="s">
        <v>6</v>
      </c>
      <c r="G16" s="90" t="s">
        <v>30</v>
      </c>
      <c r="H16" s="91">
        <v>0.41</v>
      </c>
      <c r="I16" s="92">
        <v>0.01</v>
      </c>
      <c r="J16" s="93">
        <v>45600</v>
      </c>
      <c r="K16" s="97">
        <v>45898</v>
      </c>
      <c r="L16" s="94">
        <f>Hitos4352[[#This Row],[FECHA FINAL]]-Hitos4352[[#This Row],[FECHA INICIAL]]</f>
        <v>298</v>
      </c>
      <c r="M16" s="98">
        <f ca="1">Hitos4352[[#This Row],[FECHA FINAL]]-E$9</f>
        <v>-181</v>
      </c>
      <c r="N16" s="94" t="s">
        <v>31</v>
      </c>
      <c r="O16" s="4"/>
      <c r="P16" s="3" t="str">
        <f t="shared" ca="1" si="4"/>
        <v/>
      </c>
      <c r="Q16" s="3" t="str">
        <f t="shared" ca="1" si="4"/>
        <v/>
      </c>
      <c r="R16" s="3" t="str">
        <f t="shared" ca="1" si="4"/>
        <v/>
      </c>
      <c r="S16" s="3" t="str">
        <f t="shared" ca="1" si="4"/>
        <v/>
      </c>
      <c r="T16" s="3" t="str">
        <f t="shared" ca="1" si="4"/>
        <v/>
      </c>
      <c r="U16" s="3" t="str">
        <f t="shared" ca="1" si="4"/>
        <v/>
      </c>
      <c r="V16" s="3" t="str">
        <f t="shared" ca="1" si="4"/>
        <v/>
      </c>
      <c r="W16" s="3" t="str">
        <f t="shared" ca="1" si="4"/>
        <v/>
      </c>
      <c r="X16" s="3" t="str">
        <f t="shared" ca="1" si="4"/>
        <v/>
      </c>
      <c r="Y16" s="3" t="str">
        <f t="shared" ca="1" si="4"/>
        <v/>
      </c>
      <c r="Z16" s="3" t="str">
        <f t="shared" ca="1" si="5"/>
        <v/>
      </c>
      <c r="AA16" s="3" t="str">
        <f t="shared" ca="1" si="5"/>
        <v/>
      </c>
      <c r="AB16" s="3" t="str">
        <f t="shared" ca="1" si="5"/>
        <v/>
      </c>
      <c r="AC16" s="3" t="str">
        <f t="shared" ca="1" si="5"/>
        <v/>
      </c>
      <c r="AD16" s="3" t="str">
        <f t="shared" ca="1" si="5"/>
        <v/>
      </c>
      <c r="AE16" s="3" t="str">
        <f t="shared" ca="1" si="5"/>
        <v/>
      </c>
      <c r="AF16" s="3" t="str">
        <f t="shared" ca="1" si="5"/>
        <v/>
      </c>
      <c r="AG16" s="3" t="str">
        <f t="shared" ca="1" si="5"/>
        <v/>
      </c>
      <c r="AH16" s="3" t="str">
        <f t="shared" ca="1" si="5"/>
        <v/>
      </c>
      <c r="AI16" s="3" t="str">
        <f t="shared" ca="1" si="5"/>
        <v/>
      </c>
      <c r="AJ16" s="3" t="str">
        <f t="shared" ca="1" si="6"/>
        <v/>
      </c>
      <c r="AK16" s="3" t="str">
        <f t="shared" ca="1" si="6"/>
        <v/>
      </c>
      <c r="AL16" s="3" t="str">
        <f t="shared" ca="1" si="6"/>
        <v/>
      </c>
      <c r="AM16" s="3" t="str">
        <f t="shared" ca="1" si="6"/>
        <v/>
      </c>
      <c r="AN16" s="3" t="str">
        <f t="shared" ca="1" si="6"/>
        <v/>
      </c>
      <c r="AO16" s="3" t="str">
        <f t="shared" ca="1" si="6"/>
        <v/>
      </c>
      <c r="AP16" s="3" t="str">
        <f t="shared" ca="1" si="6"/>
        <v/>
      </c>
      <c r="AQ16" s="3" t="str">
        <f t="shared" ca="1" si="6"/>
        <v/>
      </c>
      <c r="AR16" s="3" t="str">
        <f t="shared" ca="1" si="6"/>
        <v/>
      </c>
      <c r="AS16" s="3" t="str">
        <f t="shared" ca="1" si="6"/>
        <v/>
      </c>
      <c r="AT16" s="3" t="str">
        <f t="shared" ca="1" si="7"/>
        <v/>
      </c>
      <c r="AU16" s="3" t="str">
        <f t="shared" ca="1" si="7"/>
        <v/>
      </c>
      <c r="AV16" s="3" t="str">
        <f t="shared" ca="1" si="7"/>
        <v/>
      </c>
      <c r="AW16" s="3" t="str">
        <f t="shared" ca="1" si="7"/>
        <v/>
      </c>
      <c r="AX16" s="3" t="str">
        <f t="shared" ca="1" si="7"/>
        <v/>
      </c>
      <c r="AY16" s="3" t="str">
        <f t="shared" ca="1" si="7"/>
        <v/>
      </c>
      <c r="AZ16" s="3" t="str">
        <f t="shared" ca="1" si="7"/>
        <v/>
      </c>
      <c r="BA16" s="3" t="str">
        <f t="shared" ca="1" si="7"/>
        <v/>
      </c>
      <c r="BB16" s="3" t="str">
        <f t="shared" ca="1" si="7"/>
        <v/>
      </c>
      <c r="BC16" s="3" t="str">
        <f t="shared" ca="1" si="7"/>
        <v/>
      </c>
      <c r="BD16" s="3" t="str">
        <f t="shared" ca="1" si="8"/>
        <v/>
      </c>
      <c r="BE16" s="3" t="str">
        <f t="shared" ca="1" si="8"/>
        <v/>
      </c>
      <c r="BF16" s="3" t="str">
        <f t="shared" ca="1" si="8"/>
        <v/>
      </c>
      <c r="BG16" s="3" t="str">
        <f t="shared" ca="1" si="8"/>
        <v/>
      </c>
      <c r="BH16" s="3" t="str">
        <f t="shared" ca="1" si="8"/>
        <v/>
      </c>
      <c r="BI16" s="3" t="str">
        <f t="shared" ca="1" si="8"/>
        <v/>
      </c>
      <c r="BJ16" s="3" t="str">
        <f t="shared" ca="1" si="8"/>
        <v/>
      </c>
      <c r="BK16" s="3" t="str">
        <f t="shared" ca="1" si="8"/>
        <v/>
      </c>
      <c r="BL16" s="3" t="str">
        <f t="shared" ca="1" si="8"/>
        <v/>
      </c>
      <c r="BM16" s="3" t="str">
        <f t="shared" ca="1" si="8"/>
        <v/>
      </c>
      <c r="BN16" s="3" t="str">
        <f t="shared" ca="1" si="9"/>
        <v/>
      </c>
      <c r="BO16" s="3" t="str">
        <f t="shared" ca="1" si="9"/>
        <v/>
      </c>
      <c r="BP16" s="3" t="str">
        <f t="shared" ca="1" si="9"/>
        <v/>
      </c>
      <c r="BQ16" s="3" t="str">
        <f t="shared" ca="1" si="9"/>
        <v/>
      </c>
      <c r="BR16" s="3" t="str">
        <f t="shared" ca="1" si="9"/>
        <v/>
      </c>
      <c r="BS16" s="3" t="str">
        <f t="shared" ca="1" si="9"/>
        <v/>
      </c>
    </row>
    <row r="17" spans="1:71" s="1" customFormat="1" ht="40.15" customHeight="1" x14ac:dyDescent="0.25">
      <c r="A17" s="142" t="s">
        <v>35</v>
      </c>
      <c r="B17" s="89">
        <v>19900000</v>
      </c>
      <c r="C17" s="103">
        <v>25870000</v>
      </c>
      <c r="D17" s="102">
        <f>Hitos4352[[#This Row],[MONTO INICIAL]]/1000</f>
        <v>19900</v>
      </c>
      <c r="E17" s="102">
        <f>Hitos4352[[#This Row],[A DEVOLVER]]/$E$8</f>
        <v>19349.289454001497</v>
      </c>
      <c r="F17" s="90" t="s">
        <v>6</v>
      </c>
      <c r="G17" s="90" t="s">
        <v>30</v>
      </c>
      <c r="H17" s="91">
        <v>0.3</v>
      </c>
      <c r="I17" s="92">
        <v>0.01</v>
      </c>
      <c r="J17" s="93">
        <v>45581</v>
      </c>
      <c r="K17" s="97">
        <v>45931</v>
      </c>
      <c r="L17" s="94">
        <f>Hitos4352[[#This Row],[FECHA FINAL]]-Hitos4352[[#This Row],[FECHA INICIAL]]</f>
        <v>350</v>
      </c>
      <c r="M17" s="98">
        <f ca="1">Hitos4352[[#This Row],[FECHA FINAL]]-E$9</f>
        <v>-148</v>
      </c>
      <c r="N17" s="94" t="s">
        <v>31</v>
      </c>
      <c r="O17" s="4"/>
      <c r="P17" s="3" t="str">
        <f t="shared" ca="1" si="4"/>
        <v/>
      </c>
      <c r="Q17" s="3" t="str">
        <f t="shared" ca="1" si="4"/>
        <v/>
      </c>
      <c r="R17" s="3" t="str">
        <f t="shared" ca="1" si="4"/>
        <v/>
      </c>
      <c r="S17" s="3" t="str">
        <f t="shared" ca="1" si="4"/>
        <v/>
      </c>
      <c r="T17" s="3" t="str">
        <f t="shared" ca="1" si="4"/>
        <v/>
      </c>
      <c r="U17" s="3" t="str">
        <f t="shared" ca="1" si="4"/>
        <v/>
      </c>
      <c r="V17" s="3" t="str">
        <f t="shared" ca="1" si="4"/>
        <v/>
      </c>
      <c r="W17" s="3" t="str">
        <f t="shared" ca="1" si="4"/>
        <v/>
      </c>
      <c r="X17" s="3" t="str">
        <f t="shared" ca="1" si="4"/>
        <v/>
      </c>
      <c r="Y17" s="3" t="str">
        <f t="shared" ca="1" si="4"/>
        <v/>
      </c>
      <c r="Z17" s="3" t="str">
        <f t="shared" ca="1" si="5"/>
        <v/>
      </c>
      <c r="AA17" s="3" t="str">
        <f t="shared" ca="1" si="5"/>
        <v/>
      </c>
      <c r="AB17" s="3" t="str">
        <f t="shared" ca="1" si="5"/>
        <v/>
      </c>
      <c r="AC17" s="3" t="str">
        <f t="shared" ca="1" si="5"/>
        <v/>
      </c>
      <c r="AD17" s="3" t="str">
        <f t="shared" ca="1" si="5"/>
        <v/>
      </c>
      <c r="AE17" s="3" t="str">
        <f t="shared" ca="1" si="5"/>
        <v/>
      </c>
      <c r="AF17" s="3" t="str">
        <f t="shared" ca="1" si="5"/>
        <v/>
      </c>
      <c r="AG17" s="3" t="str">
        <f t="shared" ca="1" si="5"/>
        <v/>
      </c>
      <c r="AH17" s="3" t="str">
        <f t="shared" ca="1" si="5"/>
        <v/>
      </c>
      <c r="AI17" s="3" t="str">
        <f t="shared" ca="1" si="5"/>
        <v/>
      </c>
      <c r="AJ17" s="3" t="str">
        <f t="shared" ca="1" si="6"/>
        <v/>
      </c>
      <c r="AK17" s="3" t="str">
        <f t="shared" ca="1" si="6"/>
        <v/>
      </c>
      <c r="AL17" s="3" t="str">
        <f t="shared" ca="1" si="6"/>
        <v/>
      </c>
      <c r="AM17" s="3" t="str">
        <f t="shared" ca="1" si="6"/>
        <v/>
      </c>
      <c r="AN17" s="3" t="str">
        <f t="shared" ca="1" si="6"/>
        <v/>
      </c>
      <c r="AO17" s="3" t="str">
        <f t="shared" ca="1" si="6"/>
        <v/>
      </c>
      <c r="AP17" s="3" t="str">
        <f t="shared" ca="1" si="6"/>
        <v/>
      </c>
      <c r="AQ17" s="3" t="str">
        <f t="shared" ca="1" si="6"/>
        <v/>
      </c>
      <c r="AR17" s="3" t="str">
        <f t="shared" ca="1" si="6"/>
        <v/>
      </c>
      <c r="AS17" s="3" t="str">
        <f t="shared" ca="1" si="6"/>
        <v/>
      </c>
      <c r="AT17" s="3" t="str">
        <f t="shared" ca="1" si="7"/>
        <v/>
      </c>
      <c r="AU17" s="3" t="str">
        <f t="shared" ca="1" si="7"/>
        <v/>
      </c>
      <c r="AV17" s="3" t="str">
        <f t="shared" ca="1" si="7"/>
        <v/>
      </c>
      <c r="AW17" s="3" t="str">
        <f t="shared" ca="1" si="7"/>
        <v/>
      </c>
      <c r="AX17" s="3" t="str">
        <f t="shared" ca="1" si="7"/>
        <v/>
      </c>
      <c r="AY17" s="3" t="str">
        <f t="shared" ca="1" si="7"/>
        <v/>
      </c>
      <c r="AZ17" s="3" t="str">
        <f t="shared" ca="1" si="7"/>
        <v/>
      </c>
      <c r="BA17" s="3" t="str">
        <f t="shared" ca="1" si="7"/>
        <v/>
      </c>
      <c r="BB17" s="3" t="str">
        <f t="shared" ca="1" si="7"/>
        <v/>
      </c>
      <c r="BC17" s="3" t="str">
        <f t="shared" ca="1" si="7"/>
        <v/>
      </c>
      <c r="BD17" s="3" t="str">
        <f t="shared" ca="1" si="8"/>
        <v/>
      </c>
      <c r="BE17" s="3" t="str">
        <f t="shared" ca="1" si="8"/>
        <v/>
      </c>
      <c r="BF17" s="3" t="str">
        <f t="shared" ca="1" si="8"/>
        <v/>
      </c>
      <c r="BG17" s="3" t="str">
        <f t="shared" ca="1" si="8"/>
        <v/>
      </c>
      <c r="BH17" s="3" t="str">
        <f t="shared" ca="1" si="8"/>
        <v/>
      </c>
      <c r="BI17" s="3" t="str">
        <f t="shared" ca="1" si="8"/>
        <v/>
      </c>
      <c r="BJ17" s="3" t="str">
        <f t="shared" ca="1" si="8"/>
        <v/>
      </c>
      <c r="BK17" s="3" t="str">
        <f t="shared" ca="1" si="8"/>
        <v/>
      </c>
      <c r="BL17" s="3" t="str">
        <f t="shared" ca="1" si="8"/>
        <v/>
      </c>
      <c r="BM17" s="3" t="str">
        <f t="shared" ca="1" si="8"/>
        <v/>
      </c>
      <c r="BN17" s="3" t="str">
        <f t="shared" ca="1" si="9"/>
        <v/>
      </c>
      <c r="BO17" s="3" t="str">
        <f t="shared" ca="1" si="9"/>
        <v/>
      </c>
      <c r="BP17" s="3" t="str">
        <f t="shared" ca="1" si="9"/>
        <v/>
      </c>
      <c r="BQ17" s="3" t="str">
        <f t="shared" ca="1" si="9"/>
        <v/>
      </c>
      <c r="BR17" s="3" t="str">
        <f t="shared" ca="1" si="9"/>
        <v/>
      </c>
      <c r="BS17" s="3" t="str">
        <f t="shared" ca="1" si="9"/>
        <v/>
      </c>
    </row>
    <row r="18" spans="1:71" s="1" customFormat="1" ht="40.15" customHeight="1" x14ac:dyDescent="0.25">
      <c r="A18" s="101" t="s">
        <v>37</v>
      </c>
      <c r="B18" s="89">
        <v>30000000</v>
      </c>
      <c r="C18" s="103">
        <v>39491465.219999999</v>
      </c>
      <c r="D18" s="102">
        <f>Hitos4352[[#This Row],[MONTO INICIAL]]/1000</f>
        <v>30000</v>
      </c>
      <c r="E18" s="102">
        <f>Hitos4352[[#This Row],[A DEVOLVER]]/1316.1</f>
        <v>30006.43204923638</v>
      </c>
      <c r="F18" s="90" t="s">
        <v>6</v>
      </c>
      <c r="G18" s="90" t="s">
        <v>30</v>
      </c>
      <c r="H18" s="91">
        <v>4.3499999999999997E-2</v>
      </c>
      <c r="I18" s="92">
        <v>0.01</v>
      </c>
      <c r="J18" s="93">
        <v>45644</v>
      </c>
      <c r="K18" s="97">
        <v>45825</v>
      </c>
      <c r="L18" s="94">
        <f>Hitos4352[[#This Row],[FECHA FINAL]]-Hitos4352[[#This Row],[FECHA INICIAL]]</f>
        <v>181</v>
      </c>
      <c r="M18" s="98">
        <f ca="1">Hitos4352[[#This Row],[FECHA FINAL]]-E$9</f>
        <v>-254</v>
      </c>
      <c r="N18" s="94" t="s">
        <v>31</v>
      </c>
      <c r="O18" s="4"/>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row>
    <row r="19" spans="1:71" s="1" customFormat="1" ht="40.15" customHeight="1" x14ac:dyDescent="0.25">
      <c r="A19" s="88" t="s">
        <v>38</v>
      </c>
      <c r="B19" s="89">
        <v>25762930</v>
      </c>
      <c r="C19" s="103">
        <v>33934206.200000003</v>
      </c>
      <c r="D19" s="102">
        <f>Hitos4352[[#This Row],[MONTO INICIAL]]/1000</f>
        <v>25762.93</v>
      </c>
      <c r="E19" s="102">
        <f>Hitos4352[[#This Row],[A DEVOLVER]]/1305</f>
        <v>26003.223141762453</v>
      </c>
      <c r="F19" s="90" t="s">
        <v>6</v>
      </c>
      <c r="G19" s="90" t="s">
        <v>30</v>
      </c>
      <c r="H19" s="91">
        <v>0.05</v>
      </c>
      <c r="I19" s="92">
        <v>0.01</v>
      </c>
      <c r="J19" s="93">
        <v>45679</v>
      </c>
      <c r="K19" s="97">
        <v>45889</v>
      </c>
      <c r="L19" s="94">
        <f>Hitos4352[[#This Row],[FECHA FINAL]]-Hitos4352[[#This Row],[FECHA INICIAL]]</f>
        <v>210</v>
      </c>
      <c r="M19" s="98">
        <f ca="1">Hitos4352[[#This Row],[FECHA FINAL]]-E$9</f>
        <v>-190</v>
      </c>
      <c r="N19" s="94" t="s">
        <v>31</v>
      </c>
      <c r="O19" s="4"/>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row>
    <row r="20" spans="1:71" s="1" customFormat="1" ht="40.15" customHeight="1" x14ac:dyDescent="0.25">
      <c r="A20" s="88" t="s">
        <v>39</v>
      </c>
      <c r="B20" s="89">
        <f>20000000/6</f>
        <v>3333333.3333333335</v>
      </c>
      <c r="C20" s="103">
        <v>3713385</v>
      </c>
      <c r="D20" s="102">
        <f>Hitos4352[[#This Row],[MONTO INICIAL]]/1000</f>
        <v>3333.3333333333335</v>
      </c>
      <c r="E20" s="102">
        <f>Hitos4352[[#This Row],[A DEVOLVER]]/1000</f>
        <v>3713.3850000000002</v>
      </c>
      <c r="F20" s="90" t="s">
        <v>6</v>
      </c>
      <c r="G20" s="90" t="s">
        <v>30</v>
      </c>
      <c r="H20" s="91">
        <v>0.38490000000000002</v>
      </c>
      <c r="I20" s="92">
        <v>0.01</v>
      </c>
      <c r="J20" s="93">
        <v>45748</v>
      </c>
      <c r="K20" s="97">
        <v>45772</v>
      </c>
      <c r="L20" s="94">
        <f>Hitos4352[[#This Row],[FECHA FINAL]]-Hitos4352[[#This Row],[FECHA INICIAL]]</f>
        <v>24</v>
      </c>
      <c r="M20" s="98">
        <f ca="1">Hitos4352[[#This Row],[FECHA FINAL]]-E$9</f>
        <v>-307</v>
      </c>
      <c r="N20" s="94" t="s">
        <v>31</v>
      </c>
      <c r="O20" s="4"/>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row>
    <row r="21" spans="1:71" s="1" customFormat="1" ht="40.15" customHeight="1" x14ac:dyDescent="0.25">
      <c r="A21" s="88" t="s">
        <v>40</v>
      </c>
      <c r="B21" s="89">
        <v>3333333.3333333335</v>
      </c>
      <c r="C21" s="103">
        <v>3722019</v>
      </c>
      <c r="D21" s="102">
        <f>Hitos4352[[#This Row],[MONTO INICIAL]]/1000</f>
        <v>3333.3333333333335</v>
      </c>
      <c r="E21" s="102">
        <f>Hitos4352[[#This Row],[A DEVOLVER]]/1000</f>
        <v>3722.0189999999998</v>
      </c>
      <c r="F21" s="90" t="s">
        <v>6</v>
      </c>
      <c r="G21" s="90" t="s">
        <v>30</v>
      </c>
      <c r="H21" s="91">
        <v>0.38490000000000002</v>
      </c>
      <c r="I21" s="92">
        <v>0.01</v>
      </c>
      <c r="J21" s="93">
        <v>45748</v>
      </c>
      <c r="K21" s="97">
        <v>45803</v>
      </c>
      <c r="L21" s="94">
        <f>Hitos4352[[#This Row],[FECHA FINAL]]-Hitos4352[[#This Row],[FECHA INICIAL]]</f>
        <v>55</v>
      </c>
      <c r="M21" s="98">
        <f ca="1">Hitos4352[[#This Row],[FECHA FINAL]]-E$9</f>
        <v>-276</v>
      </c>
      <c r="N21" s="94" t="s">
        <v>31</v>
      </c>
      <c r="O21" s="4"/>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row>
    <row r="22" spans="1:71" s="1" customFormat="1" ht="40.15" customHeight="1" x14ac:dyDescent="0.25">
      <c r="A22" s="88" t="s">
        <v>41</v>
      </c>
      <c r="B22" s="89">
        <v>3333333.3333333335</v>
      </c>
      <c r="C22" s="103">
        <v>3695805</v>
      </c>
      <c r="D22" s="102">
        <f>Hitos4352[[#This Row],[MONTO INICIAL]]/1000</f>
        <v>3333.3333333333335</v>
      </c>
      <c r="E22" s="102">
        <f>Hitos4352[[#This Row],[A DEVOLVER]]/1000</f>
        <v>3695.8049999999998</v>
      </c>
      <c r="F22" s="90" t="s">
        <v>6</v>
      </c>
      <c r="G22" s="90" t="s">
        <v>30</v>
      </c>
      <c r="H22" s="91">
        <v>0.38490000000000002</v>
      </c>
      <c r="I22" s="92">
        <v>0.01</v>
      </c>
      <c r="J22" s="93">
        <v>45748</v>
      </c>
      <c r="K22" s="97">
        <v>45833</v>
      </c>
      <c r="L22" s="94">
        <f>Hitos4352[[#This Row],[FECHA FINAL]]-Hitos4352[[#This Row],[FECHA INICIAL]]</f>
        <v>85</v>
      </c>
      <c r="M22" s="98">
        <f ca="1">Hitos4352[[#This Row],[FECHA FINAL]]-E$9</f>
        <v>-246</v>
      </c>
      <c r="N22" s="94" t="s">
        <v>31</v>
      </c>
      <c r="O22" s="4"/>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row>
    <row r="23" spans="1:71" s="1" customFormat="1" ht="40.15" customHeight="1" x14ac:dyDescent="0.25">
      <c r="A23" s="88" t="s">
        <v>42</v>
      </c>
      <c r="B23" s="89">
        <v>3333333.3333333335</v>
      </c>
      <c r="C23" s="103">
        <v>3686448</v>
      </c>
      <c r="D23" s="102">
        <f>Hitos4352[[#This Row],[MONTO INICIAL]]/1000</f>
        <v>3333.3333333333335</v>
      </c>
      <c r="E23" s="102">
        <f>Hitos4352[[#This Row],[A DEVOLVER]]/1000</f>
        <v>3686.4479999999999</v>
      </c>
      <c r="F23" s="90" t="s">
        <v>6</v>
      </c>
      <c r="G23" s="90" t="s">
        <v>30</v>
      </c>
      <c r="H23" s="91">
        <v>0.38490000000000002</v>
      </c>
      <c r="I23" s="92">
        <v>0.01</v>
      </c>
      <c r="J23" s="93">
        <v>45748</v>
      </c>
      <c r="K23" s="97">
        <v>45863</v>
      </c>
      <c r="L23" s="94">
        <f>Hitos4352[[#This Row],[FECHA FINAL]]-Hitos4352[[#This Row],[FECHA INICIAL]]</f>
        <v>115</v>
      </c>
      <c r="M23" s="98">
        <f ca="1">Hitos4352[[#This Row],[FECHA FINAL]]-E$9</f>
        <v>-216</v>
      </c>
      <c r="N23" s="94" t="s">
        <v>31</v>
      </c>
      <c r="O23" s="4"/>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row>
    <row r="24" spans="1:71" s="1" customFormat="1" ht="40.15" customHeight="1" x14ac:dyDescent="0.25">
      <c r="A24" s="88" t="s">
        <v>43</v>
      </c>
      <c r="B24" s="89">
        <v>3333333.3333333335</v>
      </c>
      <c r="C24" s="103">
        <v>3683954</v>
      </c>
      <c r="D24" s="102">
        <f>Hitos4352[[#This Row],[MONTO INICIAL]]/1000</f>
        <v>3333.3333333333335</v>
      </c>
      <c r="E24" s="102">
        <f>Hitos4352[[#This Row],[A DEVOLVER]]/1000</f>
        <v>3683.9540000000002</v>
      </c>
      <c r="F24" s="90" t="s">
        <v>6</v>
      </c>
      <c r="G24" s="90" t="s">
        <v>30</v>
      </c>
      <c r="H24" s="91">
        <v>0.38490000000000002</v>
      </c>
      <c r="I24" s="92">
        <v>0.01</v>
      </c>
      <c r="J24" s="93">
        <v>45748</v>
      </c>
      <c r="K24" s="97">
        <v>45894</v>
      </c>
      <c r="L24" s="94">
        <f>Hitos4352[[#This Row],[FECHA FINAL]]-Hitos4352[[#This Row],[FECHA INICIAL]]</f>
        <v>146</v>
      </c>
      <c r="M24" s="98">
        <f ca="1">Hitos4352[[#This Row],[FECHA FINAL]]-E$9</f>
        <v>-185</v>
      </c>
      <c r="N24" s="94" t="s">
        <v>31</v>
      </c>
      <c r="O24" s="4"/>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row>
    <row r="25" spans="1:71" s="1" customFormat="1" ht="40.15" customHeight="1" x14ac:dyDescent="0.25">
      <c r="A25" s="88" t="s">
        <v>44</v>
      </c>
      <c r="B25" s="89">
        <v>3333333.3333333335</v>
      </c>
      <c r="C25" s="103">
        <v>3670571</v>
      </c>
      <c r="D25" s="102">
        <f>Hitos4352[[#This Row],[MONTO INICIAL]]/1000</f>
        <v>3333.3333333333335</v>
      </c>
      <c r="E25" s="102">
        <f>Hitos4352[[#This Row],[A DEVOLVER]]/1000</f>
        <v>3670.5709999999999</v>
      </c>
      <c r="F25" s="90" t="s">
        <v>6</v>
      </c>
      <c r="G25" s="90" t="s">
        <v>30</v>
      </c>
      <c r="H25" s="91">
        <v>0.38490000000000002</v>
      </c>
      <c r="I25" s="92">
        <v>0.01</v>
      </c>
      <c r="J25" s="93">
        <v>45748</v>
      </c>
      <c r="K25" s="97">
        <v>45925</v>
      </c>
      <c r="L25" s="94">
        <f>Hitos4352[[#This Row],[FECHA FINAL]]-Hitos4352[[#This Row],[FECHA INICIAL]]</f>
        <v>177</v>
      </c>
      <c r="M25" s="98">
        <f ca="1">Hitos4352[[#This Row],[FECHA FINAL]]-E$9</f>
        <v>-154</v>
      </c>
      <c r="N25" s="94" t="s">
        <v>31</v>
      </c>
      <c r="O25" s="4"/>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row>
    <row r="26" spans="1:71" s="1" customFormat="1" ht="40.15" customHeight="1" x14ac:dyDescent="0.25">
      <c r="A26" s="88" t="s">
        <v>45</v>
      </c>
      <c r="B26" s="89">
        <v>10000000</v>
      </c>
      <c r="C26" s="103">
        <v>12699375.35</v>
      </c>
      <c r="D26" s="102">
        <f>Hitos4352[[#This Row],[MONTO INICIAL]]/1200</f>
        <v>8333.3333333333339</v>
      </c>
      <c r="E26" s="102">
        <f>Hitos4352[[#This Row],[A DEVOLVER]]/1200</f>
        <v>10582.812791666667</v>
      </c>
      <c r="F26" s="90" t="s">
        <v>6</v>
      </c>
      <c r="G26" s="90" t="s">
        <v>30</v>
      </c>
      <c r="H26" s="91">
        <v>0.47</v>
      </c>
      <c r="I26" s="92"/>
      <c r="J26" s="93">
        <v>45755</v>
      </c>
      <c r="K26" s="97">
        <v>45938</v>
      </c>
      <c r="L26" s="94">
        <f>Hitos4352[[#This Row],[FECHA FINAL]]-Hitos4352[[#This Row],[FECHA INICIAL]]</f>
        <v>183</v>
      </c>
      <c r="M26" s="98">
        <f ca="1">Hitos4352[[#This Row],[FECHA FINAL]]-E$9</f>
        <v>-141</v>
      </c>
      <c r="N26" s="94" t="s">
        <v>31</v>
      </c>
      <c r="O26" s="4"/>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row>
    <row r="27" spans="1:71" s="1" customFormat="1" ht="40.15" customHeight="1" x14ac:dyDescent="0.25">
      <c r="A27" s="131" t="s">
        <v>46</v>
      </c>
      <c r="B27" s="132">
        <v>7500000</v>
      </c>
      <c r="C27" s="133">
        <v>9524531.5099999998</v>
      </c>
      <c r="D27" s="134">
        <f>Hitos4352[[#This Row],[MONTO INICIAL]]/1200</f>
        <v>6250</v>
      </c>
      <c r="E27" s="134">
        <f>Hitos4352[[#This Row],[A DEVOLVER]]/1200</f>
        <v>7937.1095916666663</v>
      </c>
      <c r="F27" s="135" t="s">
        <v>6</v>
      </c>
      <c r="G27" s="135" t="s">
        <v>30</v>
      </c>
      <c r="H27" s="136">
        <v>0.47</v>
      </c>
      <c r="I27" s="137"/>
      <c r="J27" s="138">
        <v>45757</v>
      </c>
      <c r="K27" s="139">
        <v>45940</v>
      </c>
      <c r="L27" s="140">
        <f>Hitos4352[[#This Row],[FECHA FINAL]]-Hitos4352[[#This Row],[FECHA INICIAL]]</f>
        <v>183</v>
      </c>
      <c r="M27" s="141">
        <f ca="1">Hitos4352[[#This Row],[FECHA FINAL]]-E$9</f>
        <v>-139</v>
      </c>
      <c r="N27" s="140" t="s">
        <v>31</v>
      </c>
      <c r="O27" s="4"/>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row>
    <row r="28" spans="1:71" s="1" customFormat="1" ht="40.15" customHeight="1" x14ac:dyDescent="0.25">
      <c r="A28" s="88" t="s">
        <v>47</v>
      </c>
      <c r="B28" s="89">
        <v>6000000</v>
      </c>
      <c r="C28" s="103">
        <v>6000000</v>
      </c>
      <c r="D28" s="102">
        <f>Hitos4352[[#This Row],[MONTO INICIAL]]/1200</f>
        <v>5000</v>
      </c>
      <c r="E28" s="102">
        <f>Hitos4352[[#This Row],[A DEVOLVER]]/1200</f>
        <v>5000</v>
      </c>
      <c r="F28" s="90" t="s">
        <v>6</v>
      </c>
      <c r="G28" s="90" t="s">
        <v>30</v>
      </c>
      <c r="H28" s="91">
        <v>0.44879999999999998</v>
      </c>
      <c r="I28" s="92"/>
      <c r="J28" s="93">
        <v>45785</v>
      </c>
      <c r="K28" s="97">
        <v>45814</v>
      </c>
      <c r="L28" s="94">
        <f>Hitos4352[[#This Row],[FECHA FINAL]]-Hitos4352[[#This Row],[FECHA INICIAL]]</f>
        <v>29</v>
      </c>
      <c r="M28" s="98">
        <f ca="1">Hitos4352[[#This Row],[FECHA FINAL]]-E$9</f>
        <v>-265</v>
      </c>
      <c r="N28" s="94" t="s">
        <v>31</v>
      </c>
      <c r="O28" s="4"/>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row>
    <row r="29" spans="1:71" s="1" customFormat="1" ht="40.15" customHeight="1" x14ac:dyDescent="0.25">
      <c r="A29" s="88" t="s">
        <v>48</v>
      </c>
      <c r="B29" s="89">
        <v>14000000</v>
      </c>
      <c r="C29" s="103">
        <v>14000000</v>
      </c>
      <c r="D29" s="102">
        <f>Hitos4352[[#This Row],[MONTO INICIAL]]/1200</f>
        <v>11666.666666666666</v>
      </c>
      <c r="E29" s="102">
        <f>Hitos4352[[#This Row],[A DEVOLVER]]/1200</f>
        <v>11666.666666666666</v>
      </c>
      <c r="F29" s="90" t="s">
        <v>6</v>
      </c>
      <c r="G29" s="90" t="s">
        <v>30</v>
      </c>
      <c r="H29" s="91">
        <v>0.43730000000000002</v>
      </c>
      <c r="I29" s="92"/>
      <c r="J29" s="93">
        <v>45698</v>
      </c>
      <c r="K29" s="97">
        <v>45791</v>
      </c>
      <c r="L29" s="94">
        <f>Hitos4352[[#This Row],[FECHA FINAL]]-Hitos4352[[#This Row],[FECHA INICIAL]]</f>
        <v>93</v>
      </c>
      <c r="M29" s="98">
        <f ca="1">Hitos4352[[#This Row],[FECHA FINAL]]-E$9</f>
        <v>-288</v>
      </c>
      <c r="N29" s="94" t="s">
        <v>31</v>
      </c>
      <c r="O29" s="4"/>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row>
    <row r="30" spans="1:71" s="1" customFormat="1" ht="40.15" customHeight="1" x14ac:dyDescent="0.25">
      <c r="A30" s="88" t="s">
        <v>49</v>
      </c>
      <c r="B30" s="89">
        <v>7200000</v>
      </c>
      <c r="C30" s="103">
        <v>7200000</v>
      </c>
      <c r="D30" s="102">
        <f>Hitos4352[[#This Row],[MONTO INICIAL]]/1200</f>
        <v>6000</v>
      </c>
      <c r="E30" s="102">
        <f>Hitos4352[[#This Row],[A DEVOLVER]]/1200</f>
        <v>6000</v>
      </c>
      <c r="F30" s="90" t="s">
        <v>6</v>
      </c>
      <c r="G30" s="90" t="s">
        <v>30</v>
      </c>
      <c r="H30" s="91">
        <v>0.53</v>
      </c>
      <c r="I30" s="92"/>
      <c r="J30" s="93">
        <v>45713</v>
      </c>
      <c r="K30" s="97">
        <v>45929</v>
      </c>
      <c r="L30" s="94">
        <f>Hitos4352[[#This Row],[FECHA FINAL]]-Hitos4352[[#This Row],[FECHA INICIAL]]</f>
        <v>216</v>
      </c>
      <c r="M30" s="98">
        <f ca="1">Hitos4352[[#This Row],[FECHA FINAL]]-E$9</f>
        <v>-150</v>
      </c>
      <c r="N30" s="94" t="s">
        <v>31</v>
      </c>
      <c r="O30" s="4"/>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row>
    <row r="31" spans="1:71" s="1" customFormat="1" ht="40.15" customHeight="1" x14ac:dyDescent="0.25">
      <c r="A31" s="88" t="s">
        <v>50</v>
      </c>
      <c r="B31" s="89">
        <v>10000000</v>
      </c>
      <c r="C31" s="103">
        <v>10000000</v>
      </c>
      <c r="D31" s="102">
        <f>Hitos4352[[#This Row],[MONTO INICIAL]]/1200</f>
        <v>8333.3333333333339</v>
      </c>
      <c r="E31" s="102">
        <f>Hitos4352[[#This Row],[A DEVOLVER]]/1200</f>
        <v>8333.3333333333339</v>
      </c>
      <c r="F31" s="90" t="s">
        <v>6</v>
      </c>
      <c r="G31" s="90" t="s">
        <v>30</v>
      </c>
      <c r="H31" s="91">
        <v>0.56000000000000005</v>
      </c>
      <c r="I31" s="92"/>
      <c r="J31" s="93">
        <v>45700</v>
      </c>
      <c r="K31" s="97">
        <v>45796</v>
      </c>
      <c r="L31" s="94">
        <f>Hitos4352[[#This Row],[FECHA FINAL]]-Hitos4352[[#This Row],[FECHA INICIAL]]</f>
        <v>96</v>
      </c>
      <c r="M31" s="98">
        <f ca="1">Hitos4352[[#This Row],[FECHA FINAL]]-E$9</f>
        <v>-283</v>
      </c>
      <c r="N31" s="94" t="s">
        <v>31</v>
      </c>
      <c r="O31" s="4"/>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row>
    <row r="32" spans="1:71" s="1" customFormat="1" ht="40.15" customHeight="1" x14ac:dyDescent="0.25">
      <c r="A32" s="88" t="s">
        <v>51</v>
      </c>
      <c r="B32" s="89">
        <v>3000000</v>
      </c>
      <c r="C32" s="103">
        <v>3000000</v>
      </c>
      <c r="D32" s="102">
        <f>Hitos4352[[#This Row],[MONTO INICIAL]]/1200</f>
        <v>2500</v>
      </c>
      <c r="E32" s="102">
        <f>Hitos4352[[#This Row],[A DEVOLVER]]/1200</f>
        <v>2500</v>
      </c>
      <c r="F32" s="90" t="s">
        <v>6</v>
      </c>
      <c r="G32" s="90" t="s">
        <v>30</v>
      </c>
      <c r="H32" s="91">
        <v>0.57999999999999996</v>
      </c>
      <c r="I32" s="92"/>
      <c r="J32" s="93"/>
      <c r="K32" s="97">
        <v>45838</v>
      </c>
      <c r="L32" s="94"/>
      <c r="M32" s="98"/>
      <c r="N32" s="94" t="s">
        <v>31</v>
      </c>
      <c r="O32" s="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c r="BG32" s="3"/>
      <c r="BH32" s="3"/>
      <c r="BI32" s="3"/>
      <c r="BJ32" s="3"/>
      <c r="BK32" s="3"/>
      <c r="BL32" s="3"/>
      <c r="BM32" s="3"/>
      <c r="BN32" s="3"/>
      <c r="BO32" s="3"/>
      <c r="BP32" s="3"/>
      <c r="BQ32" s="3"/>
      <c r="BR32" s="3"/>
      <c r="BS32" s="3"/>
    </row>
    <row r="33" spans="1:71" s="1" customFormat="1" ht="40.15" customHeight="1" x14ac:dyDescent="0.25">
      <c r="A33" s="60" t="s">
        <v>52</v>
      </c>
      <c r="B33" s="95">
        <f>SUBTOTAL(109,B34:B46)</f>
        <v>342809150.81775004</v>
      </c>
      <c r="C33" s="95">
        <f>SUBTOTAL(109,C34:C46)</f>
        <v>0</v>
      </c>
      <c r="D33" s="96">
        <f>SUBTOTAL(109,D34:D46)</f>
        <v>256401.75827804784</v>
      </c>
      <c r="E33" s="96">
        <f>SUBTOTAL(109,E34:E46)</f>
        <v>0</v>
      </c>
      <c r="F33" s="61"/>
      <c r="G33" s="61"/>
      <c r="H33" s="62"/>
      <c r="I33" s="62"/>
      <c r="J33" s="63"/>
      <c r="K33" s="63"/>
      <c r="L33" s="64"/>
      <c r="M33" s="65"/>
      <c r="N33" s="64"/>
      <c r="O33" s="4"/>
      <c r="P33" s="34" t="str">
        <f t="shared" ref="P33:AU33" ca="1" si="10">IF(AND($F33="Objetivo",P$7&gt;=$J33,P$7&lt;=$J33+$L33-1),2,IF(AND($F33="Hito",P$7&gt;=$J33,P$7&lt;=$J33+$L33-1),1,""))</f>
        <v/>
      </c>
      <c r="Q33" s="34" t="str">
        <f t="shared" ca="1" si="10"/>
        <v/>
      </c>
      <c r="R33" s="34" t="str">
        <f t="shared" ca="1" si="10"/>
        <v/>
      </c>
      <c r="S33" s="34" t="str">
        <f t="shared" ca="1" si="10"/>
        <v/>
      </c>
      <c r="T33" s="34" t="str">
        <f t="shared" ca="1" si="10"/>
        <v/>
      </c>
      <c r="U33" s="34" t="str">
        <f t="shared" ca="1" si="10"/>
        <v/>
      </c>
      <c r="V33" s="34" t="str">
        <f t="shared" ca="1" si="10"/>
        <v/>
      </c>
      <c r="W33" s="34" t="str">
        <f t="shared" ca="1" si="10"/>
        <v/>
      </c>
      <c r="X33" s="34" t="str">
        <f t="shared" ca="1" si="10"/>
        <v/>
      </c>
      <c r="Y33" s="34" t="str">
        <f t="shared" ca="1" si="10"/>
        <v/>
      </c>
      <c r="Z33" s="34" t="str">
        <f t="shared" ca="1" si="10"/>
        <v/>
      </c>
      <c r="AA33" s="34" t="str">
        <f t="shared" ca="1" si="10"/>
        <v/>
      </c>
      <c r="AB33" s="34" t="str">
        <f t="shared" ca="1" si="10"/>
        <v/>
      </c>
      <c r="AC33" s="34" t="str">
        <f t="shared" ca="1" si="10"/>
        <v/>
      </c>
      <c r="AD33" s="34" t="str">
        <f t="shared" ca="1" si="10"/>
        <v/>
      </c>
      <c r="AE33" s="34" t="str">
        <f t="shared" ca="1" si="10"/>
        <v/>
      </c>
      <c r="AF33" s="34" t="str">
        <f t="shared" ca="1" si="10"/>
        <v/>
      </c>
      <c r="AG33" s="34" t="str">
        <f t="shared" ca="1" si="10"/>
        <v/>
      </c>
      <c r="AH33" s="34" t="str">
        <f t="shared" ca="1" si="10"/>
        <v/>
      </c>
      <c r="AI33" s="34" t="str">
        <f t="shared" ca="1" si="10"/>
        <v/>
      </c>
      <c r="AJ33" s="34" t="str">
        <f t="shared" ca="1" si="10"/>
        <v/>
      </c>
      <c r="AK33" s="34" t="str">
        <f t="shared" ca="1" si="10"/>
        <v/>
      </c>
      <c r="AL33" s="34" t="str">
        <f t="shared" ca="1" si="10"/>
        <v/>
      </c>
      <c r="AM33" s="34" t="str">
        <f t="shared" ca="1" si="10"/>
        <v/>
      </c>
      <c r="AN33" s="34" t="str">
        <f t="shared" ca="1" si="10"/>
        <v/>
      </c>
      <c r="AO33" s="34" t="str">
        <f t="shared" ca="1" si="10"/>
        <v/>
      </c>
      <c r="AP33" s="34" t="str">
        <f t="shared" ca="1" si="10"/>
        <v/>
      </c>
      <c r="AQ33" s="34" t="str">
        <f t="shared" ca="1" si="10"/>
        <v/>
      </c>
      <c r="AR33" s="34" t="str">
        <f t="shared" ca="1" si="10"/>
        <v/>
      </c>
      <c r="AS33" s="34" t="str">
        <f t="shared" ca="1" si="10"/>
        <v/>
      </c>
      <c r="AT33" s="34" t="str">
        <f t="shared" ca="1" si="10"/>
        <v/>
      </c>
      <c r="AU33" s="34" t="str">
        <f t="shared" ca="1" si="10"/>
        <v/>
      </c>
      <c r="AV33" s="34" t="str">
        <f t="shared" ref="AV33:BS33" ca="1" si="11">IF(AND($F33="Objetivo",AV$7&gt;=$J33,AV$7&lt;=$J33+$L33-1),2,IF(AND($F33="Hito",AV$7&gt;=$J33,AV$7&lt;=$J33+$L33-1),1,""))</f>
        <v/>
      </c>
      <c r="AW33" s="34" t="str">
        <f t="shared" ca="1" si="11"/>
        <v/>
      </c>
      <c r="AX33" s="34" t="str">
        <f t="shared" ca="1" si="11"/>
        <v/>
      </c>
      <c r="AY33" s="34" t="str">
        <f t="shared" ca="1" si="11"/>
        <v/>
      </c>
      <c r="AZ33" s="34" t="str">
        <f t="shared" ca="1" si="11"/>
        <v/>
      </c>
      <c r="BA33" s="34" t="str">
        <f t="shared" ca="1" si="11"/>
        <v/>
      </c>
      <c r="BB33" s="34" t="str">
        <f t="shared" ca="1" si="11"/>
        <v/>
      </c>
      <c r="BC33" s="34" t="str">
        <f t="shared" ca="1" si="11"/>
        <v/>
      </c>
      <c r="BD33" s="34" t="str">
        <f t="shared" ca="1" si="11"/>
        <v/>
      </c>
      <c r="BE33" s="34" t="str">
        <f t="shared" ca="1" si="11"/>
        <v/>
      </c>
      <c r="BF33" s="34" t="str">
        <f t="shared" ca="1" si="11"/>
        <v/>
      </c>
      <c r="BG33" s="3" t="str">
        <f t="shared" ca="1" si="11"/>
        <v/>
      </c>
      <c r="BH33" s="3" t="str">
        <f t="shared" ca="1" si="11"/>
        <v/>
      </c>
      <c r="BI33" s="3" t="str">
        <f t="shared" ca="1" si="11"/>
        <v/>
      </c>
      <c r="BJ33" s="3" t="str">
        <f t="shared" ca="1" si="11"/>
        <v/>
      </c>
      <c r="BK33" s="3" t="str">
        <f t="shared" ca="1" si="11"/>
        <v/>
      </c>
      <c r="BL33" s="3" t="str">
        <f t="shared" ca="1" si="11"/>
        <v/>
      </c>
      <c r="BM33" s="3" t="str">
        <f t="shared" ca="1" si="11"/>
        <v/>
      </c>
      <c r="BN33" s="3" t="str">
        <f t="shared" ca="1" si="11"/>
        <v/>
      </c>
      <c r="BO33" s="3" t="str">
        <f t="shared" ca="1" si="11"/>
        <v/>
      </c>
      <c r="BP33" s="3" t="str">
        <f t="shared" ca="1" si="11"/>
        <v/>
      </c>
      <c r="BQ33" s="3" t="str">
        <f t="shared" ca="1" si="11"/>
        <v/>
      </c>
      <c r="BR33" s="3" t="str">
        <f t="shared" ca="1" si="11"/>
        <v/>
      </c>
      <c r="BS33" s="3" t="str">
        <f t="shared" ca="1" si="11"/>
        <v/>
      </c>
    </row>
    <row r="34" spans="1:71" s="1" customFormat="1" ht="40.15" customHeight="1" x14ac:dyDescent="0.25">
      <c r="A34" s="121" t="s">
        <v>53</v>
      </c>
      <c r="B34" s="122">
        <v>43650000</v>
      </c>
      <c r="C34" s="123"/>
      <c r="D34" s="124">
        <f>Hitos4352[[#This Row],[MONTO INICIAL]]/$E$8</f>
        <v>32647.718773373224</v>
      </c>
      <c r="E34" s="123"/>
      <c r="F34" s="125"/>
      <c r="G34" s="125" t="s">
        <v>54</v>
      </c>
      <c r="H34" s="126">
        <v>0</v>
      </c>
      <c r="I34" s="127">
        <v>0</v>
      </c>
      <c r="J34" s="128"/>
      <c r="K34" s="128"/>
      <c r="L34" s="129"/>
      <c r="M34" s="130"/>
      <c r="N34" s="129" t="s">
        <v>31</v>
      </c>
      <c r="O34" s="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
      <c r="BH34" s="3"/>
      <c r="BI34" s="3"/>
      <c r="BJ34" s="3"/>
      <c r="BK34" s="3"/>
      <c r="BL34" s="3"/>
      <c r="BM34" s="3"/>
      <c r="BN34" s="3"/>
      <c r="BO34" s="3"/>
      <c r="BP34" s="3"/>
      <c r="BQ34" s="3"/>
      <c r="BR34" s="3"/>
      <c r="BS34" s="3"/>
    </row>
    <row r="35" spans="1:71" s="1" customFormat="1" ht="40.15" customHeight="1" x14ac:dyDescent="0.25">
      <c r="A35" s="121" t="s">
        <v>55</v>
      </c>
      <c r="B35" s="122">
        <v>50400000</v>
      </c>
      <c r="C35" s="123"/>
      <c r="D35" s="124">
        <f>Hitos4352[[#This Row],[MONTO INICIAL]]/$E$8</f>
        <v>37696.33507853403</v>
      </c>
      <c r="E35" s="123"/>
      <c r="F35" s="125"/>
      <c r="G35" s="125"/>
      <c r="H35" s="126">
        <v>0</v>
      </c>
      <c r="I35" s="127">
        <v>0</v>
      </c>
      <c r="J35" s="128"/>
      <c r="K35" s="128"/>
      <c r="L35" s="129"/>
      <c r="M35" s="130"/>
      <c r="N35" s="129" t="s">
        <v>31</v>
      </c>
      <c r="O35" s="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c r="BA35" s="34"/>
      <c r="BB35" s="34"/>
      <c r="BC35" s="34"/>
      <c r="BD35" s="34"/>
      <c r="BE35" s="34"/>
      <c r="BF35" s="34"/>
      <c r="BG35" s="3"/>
      <c r="BH35" s="3"/>
      <c r="BI35" s="3"/>
      <c r="BJ35" s="3"/>
      <c r="BK35" s="3"/>
      <c r="BL35" s="3"/>
      <c r="BM35" s="3"/>
      <c r="BN35" s="3"/>
      <c r="BO35" s="3"/>
      <c r="BP35" s="3"/>
      <c r="BQ35" s="3"/>
      <c r="BR35" s="3"/>
      <c r="BS35" s="3"/>
    </row>
    <row r="36" spans="1:71" s="1" customFormat="1" ht="40.15" customHeight="1" x14ac:dyDescent="0.25">
      <c r="A36" s="121" t="s">
        <v>55</v>
      </c>
      <c r="B36" s="122">
        <v>50495200.000000007</v>
      </c>
      <c r="C36" s="123"/>
      <c r="D36" s="124">
        <f>Hitos4352[[#This Row],[MONTO INICIAL]]/$E$8</f>
        <v>37767.539267015709</v>
      </c>
      <c r="E36" s="123"/>
      <c r="F36" s="125"/>
      <c r="G36" s="125"/>
      <c r="H36" s="126">
        <v>0</v>
      </c>
      <c r="I36" s="127">
        <v>0</v>
      </c>
      <c r="J36" s="128"/>
      <c r="K36" s="128"/>
      <c r="L36" s="129"/>
      <c r="M36" s="130"/>
      <c r="N36" s="129" t="s">
        <v>31</v>
      </c>
      <c r="O36" s="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
      <c r="BH36" s="3"/>
      <c r="BI36" s="3"/>
      <c r="BJ36" s="3"/>
      <c r="BK36" s="3"/>
      <c r="BL36" s="3"/>
      <c r="BM36" s="3"/>
      <c r="BN36" s="3"/>
      <c r="BO36" s="3"/>
      <c r="BP36" s="3"/>
      <c r="BQ36" s="3"/>
      <c r="BR36" s="3"/>
      <c r="BS36" s="3"/>
    </row>
    <row r="37" spans="1:71" s="1" customFormat="1" ht="40.15" customHeight="1" x14ac:dyDescent="0.25">
      <c r="A37" s="121" t="s">
        <v>56</v>
      </c>
      <c r="B37" s="122">
        <v>45458280</v>
      </c>
      <c r="C37" s="123"/>
      <c r="D37" s="124">
        <f>Hitos4352[[#This Row],[MONTO INICIAL]]/$E$8</f>
        <v>34000.209424083769</v>
      </c>
      <c r="E37" s="123"/>
      <c r="F37" s="125"/>
      <c r="G37" s="125"/>
      <c r="H37" s="126">
        <v>0</v>
      </c>
      <c r="I37" s="127">
        <v>0</v>
      </c>
      <c r="J37" s="128"/>
      <c r="K37" s="128"/>
      <c r="L37" s="129"/>
      <c r="M37" s="130"/>
      <c r="N37" s="129" t="s">
        <v>31</v>
      </c>
      <c r="O37" s="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c r="BG37" s="3"/>
      <c r="BH37" s="3"/>
      <c r="BI37" s="3"/>
      <c r="BJ37" s="3"/>
      <c r="BK37" s="3"/>
      <c r="BL37" s="3"/>
      <c r="BM37" s="3"/>
      <c r="BN37" s="3"/>
      <c r="BO37" s="3"/>
      <c r="BP37" s="3"/>
      <c r="BQ37" s="3"/>
      <c r="BR37" s="3"/>
      <c r="BS37" s="3"/>
    </row>
    <row r="38" spans="1:71" s="1" customFormat="1" ht="40.15" customHeight="1" x14ac:dyDescent="0.25">
      <c r="A38" s="121" t="s">
        <v>57</v>
      </c>
      <c r="B38" s="122">
        <v>46783435.302500002</v>
      </c>
      <c r="C38" s="123"/>
      <c r="D38" s="124">
        <f>Hitos4352[[#This Row],[MONTO INICIAL]]/$E$8</f>
        <v>34991.350263649962</v>
      </c>
      <c r="E38" s="123"/>
      <c r="F38" s="125"/>
      <c r="G38" s="125"/>
      <c r="H38" s="126">
        <v>0</v>
      </c>
      <c r="I38" s="127">
        <v>0</v>
      </c>
      <c r="J38" s="128"/>
      <c r="K38" s="128"/>
      <c r="L38" s="129"/>
      <c r="M38" s="130"/>
      <c r="N38" s="129" t="s">
        <v>31</v>
      </c>
      <c r="O38" s="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c r="BA38" s="34"/>
      <c r="BB38" s="34"/>
      <c r="BC38" s="34"/>
      <c r="BD38" s="34"/>
      <c r="BE38" s="34"/>
      <c r="BF38" s="34"/>
      <c r="BG38" s="3"/>
      <c r="BH38" s="3"/>
      <c r="BI38" s="3"/>
      <c r="BJ38" s="3"/>
      <c r="BK38" s="3"/>
      <c r="BL38" s="3"/>
      <c r="BM38" s="3"/>
      <c r="BN38" s="3"/>
      <c r="BO38" s="3"/>
      <c r="BP38" s="3"/>
      <c r="BQ38" s="3"/>
      <c r="BR38" s="3"/>
      <c r="BS38" s="3"/>
    </row>
    <row r="39" spans="1:71" s="1" customFormat="1" ht="40.15" customHeight="1" x14ac:dyDescent="0.25">
      <c r="A39" s="121" t="s">
        <v>58</v>
      </c>
      <c r="B39" s="122">
        <v>13261602.8025</v>
      </c>
      <c r="C39" s="123"/>
      <c r="D39" s="124">
        <f>Hitos4352[[#This Row],[MONTO INICIAL]]/$E$8</f>
        <v>9918.9250579655945</v>
      </c>
      <c r="E39" s="123"/>
      <c r="F39" s="125"/>
      <c r="G39" s="125"/>
      <c r="H39" s="126">
        <v>0</v>
      </c>
      <c r="I39" s="127">
        <v>0</v>
      </c>
      <c r="J39" s="128"/>
      <c r="K39" s="128"/>
      <c r="L39" s="129"/>
      <c r="M39" s="130"/>
      <c r="N39" s="129" t="s">
        <v>31</v>
      </c>
      <c r="O39" s="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
      <c r="BH39" s="3"/>
      <c r="BI39" s="3"/>
      <c r="BJ39" s="3"/>
      <c r="BK39" s="3"/>
      <c r="BL39" s="3"/>
      <c r="BM39" s="3"/>
      <c r="BN39" s="3"/>
      <c r="BO39" s="3"/>
      <c r="BP39" s="3"/>
      <c r="BQ39" s="3"/>
      <c r="BR39" s="3"/>
      <c r="BS39" s="3"/>
    </row>
    <row r="40" spans="1:71" s="1" customFormat="1" ht="40.15" customHeight="1" x14ac:dyDescent="0.25">
      <c r="A40" s="121" t="s">
        <v>59</v>
      </c>
      <c r="B40" s="122">
        <v>15465553.231375001</v>
      </c>
      <c r="C40" s="123"/>
      <c r="D40" s="124">
        <f>Hitos4352[[#This Row],[MONTO INICIAL]]/$E$8</f>
        <v>11567.354698111445</v>
      </c>
      <c r="E40" s="123"/>
      <c r="F40" s="125"/>
      <c r="G40" s="125"/>
      <c r="H40" s="126">
        <v>0</v>
      </c>
      <c r="I40" s="127">
        <v>0</v>
      </c>
      <c r="J40" s="128"/>
      <c r="K40" s="128"/>
      <c r="L40" s="129"/>
      <c r="M40" s="130"/>
      <c r="N40" s="129" t="s">
        <v>31</v>
      </c>
      <c r="O40" s="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
      <c r="BH40" s="3"/>
      <c r="BI40" s="3"/>
      <c r="BJ40" s="3"/>
      <c r="BK40" s="3"/>
      <c r="BL40" s="3"/>
      <c r="BM40" s="3"/>
      <c r="BN40" s="3"/>
      <c r="BO40" s="3"/>
      <c r="BP40" s="3"/>
      <c r="BQ40" s="3"/>
      <c r="BR40" s="3"/>
      <c r="BS40" s="3"/>
    </row>
    <row r="41" spans="1:71" s="1" customFormat="1" ht="40.15" customHeight="1" x14ac:dyDescent="0.25">
      <c r="A41" s="121" t="s">
        <v>60</v>
      </c>
      <c r="B41" s="122">
        <v>33173343.981374998</v>
      </c>
      <c r="C41" s="123"/>
      <c r="D41" s="124">
        <f>Hitos4352[[#This Row],[MONTO INICIAL]]/$E$8</f>
        <v>24811.77560312266</v>
      </c>
      <c r="E41" s="123"/>
      <c r="F41" s="125"/>
      <c r="G41" s="125"/>
      <c r="H41" s="126">
        <v>0</v>
      </c>
      <c r="I41" s="127">
        <v>0</v>
      </c>
      <c r="J41" s="128"/>
      <c r="K41" s="128"/>
      <c r="L41" s="129"/>
      <c r="M41" s="130"/>
      <c r="N41" s="129" t="s">
        <v>31</v>
      </c>
      <c r="O41" s="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
      <c r="BH41" s="3"/>
      <c r="BI41" s="3"/>
      <c r="BJ41" s="3"/>
      <c r="BK41" s="3"/>
      <c r="BL41" s="3"/>
      <c r="BM41" s="3"/>
      <c r="BN41" s="3"/>
      <c r="BO41" s="3"/>
      <c r="BP41" s="3"/>
      <c r="BQ41" s="3"/>
      <c r="BR41" s="3"/>
      <c r="BS41" s="3"/>
    </row>
    <row r="42" spans="1:71" s="1" customFormat="1" ht="40.15" customHeight="1" x14ac:dyDescent="0.25">
      <c r="A42" s="121" t="s">
        <v>61</v>
      </c>
      <c r="B42" s="122">
        <v>29653870</v>
      </c>
      <c r="C42" s="123"/>
      <c r="D42" s="124">
        <f>Hitos4352[[#This Row],[MONTO INICIAL]]/$E$8</f>
        <v>22179.409124906506</v>
      </c>
      <c r="E42" s="123"/>
      <c r="F42" s="125"/>
      <c r="G42" s="125"/>
      <c r="H42" s="126">
        <v>0</v>
      </c>
      <c r="I42" s="127">
        <v>0</v>
      </c>
      <c r="J42" s="128"/>
      <c r="K42" s="128"/>
      <c r="L42" s="129"/>
      <c r="M42" s="130"/>
      <c r="N42" s="129" t="s">
        <v>31</v>
      </c>
      <c r="O42" s="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c r="BA42" s="34"/>
      <c r="BB42" s="34"/>
      <c r="BC42" s="34"/>
      <c r="BD42" s="34"/>
      <c r="BE42" s="34"/>
      <c r="BF42" s="34"/>
      <c r="BG42" s="3"/>
      <c r="BH42" s="3"/>
      <c r="BI42" s="3"/>
      <c r="BJ42" s="3"/>
      <c r="BK42" s="3"/>
      <c r="BL42" s="3"/>
      <c r="BM42" s="3"/>
      <c r="BN42" s="3"/>
      <c r="BO42" s="3"/>
      <c r="BP42" s="3"/>
      <c r="BQ42" s="3"/>
      <c r="BR42" s="3"/>
      <c r="BS42" s="3"/>
    </row>
    <row r="43" spans="1:71" s="1" customFormat="1" ht="40.15" customHeight="1" x14ac:dyDescent="0.25">
      <c r="A43" s="121" t="s">
        <v>62</v>
      </c>
      <c r="B43" s="122">
        <v>13362130.000000002</v>
      </c>
      <c r="C43" s="123"/>
      <c r="D43" s="124">
        <f>Hitos4352[[#This Row],[MONTO INICIAL]]/$E$8</f>
        <v>9994.1136873597625</v>
      </c>
      <c r="E43" s="123"/>
      <c r="F43" s="125"/>
      <c r="G43" s="125"/>
      <c r="H43" s="126">
        <v>0</v>
      </c>
      <c r="I43" s="127">
        <v>0</v>
      </c>
      <c r="J43" s="128"/>
      <c r="K43" s="128"/>
      <c r="L43" s="129"/>
      <c r="M43" s="130"/>
      <c r="N43" s="129" t="s">
        <v>31</v>
      </c>
      <c r="O43" s="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
      <c r="BH43" s="3"/>
      <c r="BI43" s="3"/>
      <c r="BJ43" s="3"/>
      <c r="BK43" s="3"/>
      <c r="BL43" s="3"/>
      <c r="BM43" s="3"/>
      <c r="BN43" s="3"/>
      <c r="BO43" s="3"/>
      <c r="BP43" s="3"/>
      <c r="BQ43" s="3"/>
      <c r="BR43" s="3"/>
      <c r="BS43" s="3"/>
    </row>
    <row r="44" spans="1:71" s="1" customFormat="1" ht="40.15" customHeight="1" x14ac:dyDescent="0.25">
      <c r="A44" s="26" t="s">
        <v>63</v>
      </c>
      <c r="B44" s="31">
        <v>183758.2</v>
      </c>
      <c r="C44" s="100"/>
      <c r="D44" s="99">
        <f>Hitos4352[[#This Row],[MONTO INICIAL]]/$E$8</f>
        <v>137.44068810770383</v>
      </c>
      <c r="E44" s="99"/>
      <c r="F44" s="27" t="s">
        <v>4</v>
      </c>
      <c r="G44" s="27" t="s">
        <v>64</v>
      </c>
      <c r="H44" s="33">
        <v>0</v>
      </c>
      <c r="I44" s="28">
        <v>0</v>
      </c>
      <c r="J44" s="29">
        <v>45058</v>
      </c>
      <c r="K44" s="29">
        <v>45118</v>
      </c>
      <c r="L44" s="30">
        <f>Hitos4352[[#This Row],[FECHA FINAL]]-Hitos4352[[#This Row],[FECHA INICIAL]]</f>
        <v>60</v>
      </c>
      <c r="M44" s="66">
        <f ca="1">Hitos4352[[#This Row],[FECHA FINAL]]-$E$9</f>
        <v>-961</v>
      </c>
      <c r="N44" s="59" t="s">
        <v>36</v>
      </c>
      <c r="O44" s="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
      <c r="BH44" s="3"/>
      <c r="BI44" s="3"/>
      <c r="BJ44" s="3"/>
      <c r="BK44" s="3"/>
      <c r="BL44" s="3"/>
      <c r="BM44" s="3"/>
      <c r="BN44" s="3"/>
      <c r="BO44" s="3"/>
      <c r="BP44" s="3"/>
      <c r="BQ44" s="3"/>
      <c r="BR44" s="3"/>
      <c r="BS44" s="3"/>
    </row>
    <row r="45" spans="1:71" s="1" customFormat="1" ht="40.15" customHeight="1" x14ac:dyDescent="0.25">
      <c r="A45" s="26" t="s">
        <v>63</v>
      </c>
      <c r="B45" s="31">
        <v>646600</v>
      </c>
      <c r="C45" s="100"/>
      <c r="D45" s="99">
        <f>Hitos4352[[#This Row],[MONTO INICIAL]]/$E$8</f>
        <v>483.62004487658936</v>
      </c>
      <c r="E45" s="99"/>
      <c r="F45" s="27" t="s">
        <v>4</v>
      </c>
      <c r="G45" s="27" t="s">
        <v>64</v>
      </c>
      <c r="H45" s="33">
        <v>0</v>
      </c>
      <c r="I45" s="28">
        <v>0</v>
      </c>
      <c r="J45" s="29">
        <v>45390</v>
      </c>
      <c r="K45" s="29">
        <v>45450</v>
      </c>
      <c r="L45" s="30">
        <f>Hitos4352[[#This Row],[FECHA FINAL]]-Hitos4352[[#This Row],[FECHA INICIAL]]</f>
        <v>60</v>
      </c>
      <c r="M45" s="66">
        <f ca="1">Hitos4352[[#This Row],[FECHA FINAL]]-$E$9</f>
        <v>-629</v>
      </c>
      <c r="N45" s="59" t="s">
        <v>36</v>
      </c>
      <c r="O45" s="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
      <c r="BH45" s="3"/>
      <c r="BI45" s="3"/>
      <c r="BJ45" s="3"/>
      <c r="BK45" s="3"/>
      <c r="BL45" s="3"/>
      <c r="BM45" s="3"/>
      <c r="BN45" s="3"/>
      <c r="BO45" s="3"/>
      <c r="BP45" s="3"/>
      <c r="BQ45" s="3"/>
      <c r="BR45" s="3"/>
      <c r="BS45" s="3"/>
    </row>
    <row r="46" spans="1:71" s="1" customFormat="1" ht="40.15" customHeight="1" x14ac:dyDescent="0.25">
      <c r="A46" s="26" t="s">
        <v>63</v>
      </c>
      <c r="B46" s="31">
        <v>275377.3</v>
      </c>
      <c r="C46" s="100"/>
      <c r="D46" s="99">
        <f>Hitos4352[[#This Row],[MONTO INICIAL]]/$E$8</f>
        <v>205.96656694091249</v>
      </c>
      <c r="E46" s="99"/>
      <c r="F46" s="27" t="s">
        <v>4</v>
      </c>
      <c r="G46" s="27" t="s">
        <v>64</v>
      </c>
      <c r="H46" s="33">
        <v>0</v>
      </c>
      <c r="I46" s="28">
        <v>0</v>
      </c>
      <c r="J46" s="29">
        <v>45258</v>
      </c>
      <c r="K46" s="29">
        <v>45318</v>
      </c>
      <c r="L46" s="30">
        <f>Hitos4352[[#This Row],[FECHA FINAL]]-Hitos4352[[#This Row],[FECHA INICIAL]]</f>
        <v>60</v>
      </c>
      <c r="M46" s="66">
        <f ca="1">Hitos4352[[#This Row],[FECHA FINAL]]-$E$9</f>
        <v>-761</v>
      </c>
      <c r="N46" s="59" t="s">
        <v>36</v>
      </c>
      <c r="O46" s="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c r="BA46" s="34"/>
      <c r="BB46" s="34"/>
      <c r="BC46" s="34"/>
      <c r="BD46" s="34"/>
      <c r="BE46" s="34"/>
      <c r="BF46" s="34"/>
      <c r="BG46" s="3"/>
      <c r="BH46" s="3"/>
      <c r="BI46" s="3"/>
      <c r="BJ46" s="3"/>
      <c r="BK46" s="3"/>
      <c r="BL46" s="3"/>
      <c r="BM46" s="3"/>
      <c r="BN46" s="3"/>
      <c r="BO46" s="3"/>
      <c r="BP46" s="3"/>
      <c r="BQ46" s="3"/>
      <c r="BR46" s="3"/>
      <c r="BS46" s="3"/>
    </row>
    <row r="47" spans="1:71" s="1" customFormat="1" ht="40.15" customHeight="1" x14ac:dyDescent="0.25">
      <c r="A47" s="60" t="s">
        <v>65</v>
      </c>
      <c r="B47" s="67">
        <f>SUBTOTAL(109,B48:B53)</f>
        <v>6918000</v>
      </c>
      <c r="C47" s="67">
        <f>SUBTOTAL(109,C48:C53)</f>
        <v>6918000</v>
      </c>
      <c r="D47" s="68">
        <f>SUBTOTAL(109,D48:D53)</f>
        <v>5174.2707554225872</v>
      </c>
      <c r="E47" s="68">
        <f>SUBTOTAL(109,E48:E53)</f>
        <v>5174.2707554225872</v>
      </c>
      <c r="F47" s="61"/>
      <c r="G47" s="61"/>
      <c r="H47" s="62"/>
      <c r="I47" s="62"/>
      <c r="J47" s="63"/>
      <c r="K47" s="63"/>
      <c r="L47" s="64"/>
      <c r="M47" s="65"/>
      <c r="N47" s="64"/>
      <c r="O47" s="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c r="BA47" s="34"/>
      <c r="BB47" s="34"/>
      <c r="BC47" s="34"/>
      <c r="BD47" s="34"/>
      <c r="BE47" s="34"/>
      <c r="BF47" s="34"/>
      <c r="BG47" s="3"/>
      <c r="BH47" s="3"/>
      <c r="BI47" s="3"/>
      <c r="BJ47" s="3"/>
      <c r="BK47" s="3"/>
      <c r="BL47" s="3"/>
      <c r="BM47" s="3"/>
      <c r="BN47" s="3"/>
      <c r="BO47" s="3"/>
      <c r="BP47" s="3"/>
      <c r="BQ47" s="3"/>
      <c r="BR47" s="3"/>
      <c r="BS47" s="3"/>
    </row>
    <row r="48" spans="1:71" s="1" customFormat="1" ht="40.15" customHeight="1" x14ac:dyDescent="0.25">
      <c r="A48" s="88" t="s">
        <v>66</v>
      </c>
      <c r="B48" s="89">
        <v>1153000</v>
      </c>
      <c r="C48" s="103">
        <v>1153000</v>
      </c>
      <c r="D48" s="102">
        <f>Hitos4352[[#This Row],[MONTO INICIAL]]/$E$8</f>
        <v>862.37845923709801</v>
      </c>
      <c r="E48" s="102">
        <f>Hitos4352[[#This Row],[A DEVOLVER]]/$E$8</f>
        <v>862.37845923709801</v>
      </c>
      <c r="F48" s="90" t="s">
        <v>5</v>
      </c>
      <c r="G48" s="90" t="s">
        <v>67</v>
      </c>
      <c r="H48" s="91">
        <v>0</v>
      </c>
      <c r="I48" s="92"/>
      <c r="J48" s="93">
        <v>45653</v>
      </c>
      <c r="K48" s="97">
        <v>45653</v>
      </c>
      <c r="L48" s="94">
        <f>Hitos4352[[#This Row],[FECHA FINAL]]-Hitos4352[[#This Row],[FECHA INICIAL]]</f>
        <v>0</v>
      </c>
      <c r="M48" s="104"/>
      <c r="N48" s="94" t="s">
        <v>31</v>
      </c>
      <c r="O48" s="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c r="BA48" s="34"/>
      <c r="BB48" s="34"/>
      <c r="BC48" s="34"/>
      <c r="BD48" s="34"/>
      <c r="BE48" s="34"/>
      <c r="BF48" s="34"/>
      <c r="BG48" s="3"/>
      <c r="BH48" s="3"/>
      <c r="BI48" s="3"/>
      <c r="BJ48" s="3"/>
      <c r="BK48" s="3"/>
      <c r="BL48" s="3"/>
      <c r="BM48" s="3"/>
      <c r="BN48" s="3"/>
      <c r="BO48" s="3"/>
      <c r="BP48" s="3"/>
      <c r="BQ48" s="3"/>
      <c r="BR48" s="3"/>
      <c r="BS48" s="3"/>
    </row>
    <row r="49" spans="1:71" s="1" customFormat="1" ht="40.15" customHeight="1" x14ac:dyDescent="0.25">
      <c r="A49" s="88" t="s">
        <v>68</v>
      </c>
      <c r="B49" s="89">
        <v>1153000</v>
      </c>
      <c r="C49" s="103">
        <v>1153000</v>
      </c>
      <c r="D49" s="102">
        <f>Hitos4352[[#This Row],[MONTO INICIAL]]/$E$8</f>
        <v>862.37845923709801</v>
      </c>
      <c r="E49" s="102">
        <f>Hitos4352[[#This Row],[A DEVOLVER]]/$E$8</f>
        <v>862.37845923709801</v>
      </c>
      <c r="F49" s="90" t="s">
        <v>5</v>
      </c>
      <c r="G49" s="90" t="s">
        <v>67</v>
      </c>
      <c r="H49" s="105">
        <v>0</v>
      </c>
      <c r="I49" s="106"/>
      <c r="J49" s="93">
        <v>45653</v>
      </c>
      <c r="K49" s="97">
        <v>45667</v>
      </c>
      <c r="L49" s="94">
        <f>Hitos4352[[#This Row],[FECHA FINAL]]-Hitos4352[[#This Row],[FECHA INICIAL]]</f>
        <v>14</v>
      </c>
      <c r="M49" s="98"/>
      <c r="N49" s="94" t="s">
        <v>31</v>
      </c>
      <c r="O49" s="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c r="BA49" s="34"/>
      <c r="BB49" s="34"/>
      <c r="BC49" s="34"/>
      <c r="BD49" s="34"/>
      <c r="BE49" s="34"/>
      <c r="BF49" s="34"/>
      <c r="BG49" s="3"/>
      <c r="BH49" s="3"/>
      <c r="BI49" s="3"/>
      <c r="BJ49" s="3"/>
      <c r="BK49" s="3"/>
      <c r="BL49" s="3"/>
      <c r="BM49" s="3"/>
      <c r="BN49" s="3"/>
      <c r="BO49" s="3"/>
      <c r="BP49" s="3"/>
      <c r="BQ49" s="3"/>
      <c r="BR49" s="3"/>
      <c r="BS49" s="3"/>
    </row>
    <row r="50" spans="1:71" s="1" customFormat="1" ht="40.15" customHeight="1" x14ac:dyDescent="0.25">
      <c r="A50" s="88" t="s">
        <v>69</v>
      </c>
      <c r="B50" s="89">
        <v>1153000</v>
      </c>
      <c r="C50" s="103">
        <v>1153000</v>
      </c>
      <c r="D50" s="102">
        <f>Hitos4352[[#This Row],[MONTO INICIAL]]/$E$8</f>
        <v>862.37845923709801</v>
      </c>
      <c r="E50" s="102">
        <f>Hitos4352[[#This Row],[A DEVOLVER]]/$E$8</f>
        <v>862.37845923709801</v>
      </c>
      <c r="F50" s="90" t="s">
        <v>5</v>
      </c>
      <c r="G50" s="90" t="s">
        <v>67</v>
      </c>
      <c r="H50" s="105">
        <v>0</v>
      </c>
      <c r="I50" s="106"/>
      <c r="J50" s="93">
        <v>45653</v>
      </c>
      <c r="K50" s="97">
        <v>45698</v>
      </c>
      <c r="L50" s="94">
        <f>Hitos4352[[#This Row],[FECHA FINAL]]-Hitos4352[[#This Row],[FECHA INICIAL]]</f>
        <v>45</v>
      </c>
      <c r="M50" s="98"/>
      <c r="N50" s="94" t="s">
        <v>31</v>
      </c>
      <c r="O50" s="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c r="BA50" s="34"/>
      <c r="BB50" s="34"/>
      <c r="BC50" s="34"/>
      <c r="BD50" s="34"/>
      <c r="BE50" s="34"/>
      <c r="BF50" s="34"/>
      <c r="BG50" s="3"/>
      <c r="BH50" s="3"/>
      <c r="BI50" s="3"/>
      <c r="BJ50" s="3"/>
      <c r="BK50" s="3"/>
      <c r="BL50" s="3"/>
      <c r="BM50" s="3"/>
      <c r="BN50" s="3"/>
      <c r="BO50" s="3"/>
      <c r="BP50" s="3"/>
      <c r="BQ50" s="3"/>
      <c r="BR50" s="3"/>
      <c r="BS50" s="3"/>
    </row>
    <row r="51" spans="1:71" s="1" customFormat="1" ht="40.15" customHeight="1" x14ac:dyDescent="0.25">
      <c r="A51" s="88" t="s">
        <v>70</v>
      </c>
      <c r="B51" s="89">
        <v>1153000</v>
      </c>
      <c r="C51" s="103">
        <v>1153000</v>
      </c>
      <c r="D51" s="102">
        <f>Hitos4352[[#This Row],[MONTO INICIAL]]/$E$8</f>
        <v>862.37845923709801</v>
      </c>
      <c r="E51" s="102">
        <f>Hitos4352[[#This Row],[A DEVOLVER]]/$E$8</f>
        <v>862.37845923709801</v>
      </c>
      <c r="F51" s="90" t="s">
        <v>5</v>
      </c>
      <c r="G51" s="90" t="s">
        <v>67</v>
      </c>
      <c r="H51" s="105">
        <v>0</v>
      </c>
      <c r="I51" s="106"/>
      <c r="J51" s="93">
        <v>45653</v>
      </c>
      <c r="K51" s="97">
        <v>45726</v>
      </c>
      <c r="L51" s="94">
        <f>Hitos4352[[#This Row],[FECHA FINAL]]-Hitos4352[[#This Row],[FECHA INICIAL]]</f>
        <v>73</v>
      </c>
      <c r="M51" s="98"/>
      <c r="N51" s="94" t="s">
        <v>31</v>
      </c>
      <c r="O51" s="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c r="BA51" s="34"/>
      <c r="BB51" s="34"/>
      <c r="BC51" s="34"/>
      <c r="BD51" s="34"/>
      <c r="BE51" s="34"/>
      <c r="BF51" s="34"/>
      <c r="BG51" s="3"/>
      <c r="BH51" s="3"/>
      <c r="BI51" s="3"/>
      <c r="BJ51" s="3"/>
      <c r="BK51" s="3"/>
      <c r="BL51" s="3"/>
      <c r="BM51" s="3"/>
      <c r="BN51" s="3"/>
      <c r="BO51" s="3"/>
      <c r="BP51" s="3"/>
      <c r="BQ51" s="3"/>
      <c r="BR51" s="3"/>
      <c r="BS51" s="3"/>
    </row>
    <row r="52" spans="1:71" s="1" customFormat="1" ht="40.15" customHeight="1" x14ac:dyDescent="0.25">
      <c r="A52" s="88" t="s">
        <v>71</v>
      </c>
      <c r="B52" s="89">
        <v>1153000</v>
      </c>
      <c r="C52" s="103">
        <v>1153000</v>
      </c>
      <c r="D52" s="102">
        <f>Hitos4352[[#This Row],[MONTO INICIAL]]/$E$8</f>
        <v>862.37845923709801</v>
      </c>
      <c r="E52" s="102">
        <f>Hitos4352[[#This Row],[A DEVOLVER]]/$E$8</f>
        <v>862.37845923709801</v>
      </c>
      <c r="F52" s="90" t="s">
        <v>5</v>
      </c>
      <c r="G52" s="90" t="s">
        <v>67</v>
      </c>
      <c r="H52" s="91">
        <v>0</v>
      </c>
      <c r="I52" s="92"/>
      <c r="J52" s="93">
        <v>45653</v>
      </c>
      <c r="K52" s="97">
        <v>45757</v>
      </c>
      <c r="L52" s="94">
        <f>Hitos4352[[#This Row],[FECHA FINAL]]-Hitos4352[[#This Row],[FECHA INICIAL]]</f>
        <v>104</v>
      </c>
      <c r="M52" s="98">
        <f ca="1">Hitos4352[[#This Row],[FECHA FINAL]]-$E$9</f>
        <v>-322</v>
      </c>
      <c r="N52" s="94" t="s">
        <v>31</v>
      </c>
      <c r="O52" s="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
      <c r="BH52" s="3"/>
      <c r="BI52" s="3"/>
      <c r="BJ52" s="3"/>
      <c r="BK52" s="3"/>
      <c r="BL52" s="3"/>
      <c r="BM52" s="3"/>
      <c r="BN52" s="3"/>
      <c r="BO52" s="3"/>
      <c r="BP52" s="3"/>
      <c r="BQ52" s="3"/>
      <c r="BR52" s="3"/>
      <c r="BS52" s="3"/>
    </row>
    <row r="53" spans="1:71" s="1" customFormat="1" ht="40.15" customHeight="1" x14ac:dyDescent="0.25">
      <c r="A53" s="88" t="s">
        <v>72</v>
      </c>
      <c r="B53" s="89">
        <v>1153000</v>
      </c>
      <c r="C53" s="103">
        <v>1153000</v>
      </c>
      <c r="D53" s="102">
        <f>Hitos4352[[#This Row],[MONTO INICIAL]]/$E$8</f>
        <v>862.37845923709801</v>
      </c>
      <c r="E53" s="102">
        <f>Hitos4352[[#This Row],[A DEVOLVER]]/$E$8</f>
        <v>862.37845923709801</v>
      </c>
      <c r="F53" s="90" t="s">
        <v>5</v>
      </c>
      <c r="G53" s="90" t="s">
        <v>67</v>
      </c>
      <c r="H53" s="91">
        <v>0</v>
      </c>
      <c r="I53" s="92"/>
      <c r="J53" s="93">
        <v>45653</v>
      </c>
      <c r="K53" s="97">
        <v>45787</v>
      </c>
      <c r="L53" s="94">
        <f>Hitos4352[[#This Row],[FECHA FINAL]]-Hitos4352[[#This Row],[FECHA INICIAL]]</f>
        <v>134</v>
      </c>
      <c r="M53" s="98"/>
      <c r="N53" s="94" t="s">
        <v>31</v>
      </c>
      <c r="O53" s="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c r="BA53" s="34"/>
      <c r="BB53" s="34"/>
      <c r="BC53" s="34"/>
      <c r="BD53" s="34"/>
      <c r="BE53" s="34"/>
      <c r="BF53" s="34"/>
      <c r="BG53" s="3"/>
      <c r="BH53" s="3"/>
      <c r="BI53" s="3"/>
      <c r="BJ53" s="3"/>
      <c r="BK53" s="3"/>
      <c r="BL53" s="3"/>
      <c r="BM53" s="3"/>
      <c r="BN53" s="3"/>
      <c r="BO53" s="3"/>
      <c r="BP53" s="3"/>
      <c r="BQ53" s="3"/>
      <c r="BR53" s="3"/>
      <c r="BS53" s="3"/>
    </row>
    <row r="54" spans="1:71" s="1" customFormat="1" ht="40.15" customHeight="1" x14ac:dyDescent="0.25">
      <c r="A54" s="60" t="s">
        <v>73</v>
      </c>
      <c r="B54" s="67">
        <f>SUBTOTAL(109,B55:B70)</f>
        <v>413752664.30360001</v>
      </c>
      <c r="C54" s="67"/>
      <c r="D54" s="68">
        <f>SUBTOTAL(109,D55:D70)</f>
        <v>417577.66830360005</v>
      </c>
      <c r="E54" s="68"/>
      <c r="F54" s="61"/>
      <c r="G54" s="61"/>
      <c r="H54" s="62"/>
      <c r="I54" s="62"/>
      <c r="J54" s="63"/>
      <c r="K54" s="63"/>
      <c r="L54" s="64"/>
      <c r="M54" s="65"/>
      <c r="N54" s="64"/>
      <c r="O54" s="4"/>
      <c r="P54" s="34" t="str">
        <f t="shared" ref="P54:AU54" ca="1" si="12">IF(AND($F54="Objetivo",P$7&gt;=$J54,P$7&lt;=$J54+$L54-1),2,IF(AND($F54="Hito",P$7&gt;=$J54,P$7&lt;=$J54+$L54-1),1,""))</f>
        <v/>
      </c>
      <c r="Q54" s="34" t="str">
        <f t="shared" ca="1" si="12"/>
        <v/>
      </c>
      <c r="R54" s="34" t="str">
        <f t="shared" ca="1" si="12"/>
        <v/>
      </c>
      <c r="S54" s="34" t="str">
        <f t="shared" ca="1" si="12"/>
        <v/>
      </c>
      <c r="T54" s="34" t="str">
        <f t="shared" ca="1" si="12"/>
        <v/>
      </c>
      <c r="U54" s="34" t="str">
        <f t="shared" ca="1" si="12"/>
        <v/>
      </c>
      <c r="V54" s="34" t="str">
        <f t="shared" ca="1" si="12"/>
        <v/>
      </c>
      <c r="W54" s="34" t="str">
        <f t="shared" ca="1" si="12"/>
        <v/>
      </c>
      <c r="X54" s="34" t="str">
        <f t="shared" ca="1" si="12"/>
        <v/>
      </c>
      <c r="Y54" s="34" t="str">
        <f t="shared" ca="1" si="12"/>
        <v/>
      </c>
      <c r="Z54" s="34" t="str">
        <f t="shared" ca="1" si="12"/>
        <v/>
      </c>
      <c r="AA54" s="34" t="str">
        <f t="shared" ca="1" si="12"/>
        <v/>
      </c>
      <c r="AB54" s="34" t="str">
        <f t="shared" ca="1" si="12"/>
        <v/>
      </c>
      <c r="AC54" s="34" t="str">
        <f t="shared" ca="1" si="12"/>
        <v/>
      </c>
      <c r="AD54" s="34" t="str">
        <f t="shared" ca="1" si="12"/>
        <v/>
      </c>
      <c r="AE54" s="34" t="str">
        <f t="shared" ca="1" si="12"/>
        <v/>
      </c>
      <c r="AF54" s="34" t="str">
        <f t="shared" ca="1" si="12"/>
        <v/>
      </c>
      <c r="AG54" s="34" t="str">
        <f t="shared" ca="1" si="12"/>
        <v/>
      </c>
      <c r="AH54" s="34" t="str">
        <f t="shared" ca="1" si="12"/>
        <v/>
      </c>
      <c r="AI54" s="34" t="str">
        <f t="shared" ca="1" si="12"/>
        <v/>
      </c>
      <c r="AJ54" s="34" t="str">
        <f t="shared" ca="1" si="12"/>
        <v/>
      </c>
      <c r="AK54" s="34" t="str">
        <f t="shared" ca="1" si="12"/>
        <v/>
      </c>
      <c r="AL54" s="34" t="str">
        <f t="shared" ca="1" si="12"/>
        <v/>
      </c>
      <c r="AM54" s="34" t="str">
        <f t="shared" ca="1" si="12"/>
        <v/>
      </c>
      <c r="AN54" s="34" t="str">
        <f t="shared" ca="1" si="12"/>
        <v/>
      </c>
      <c r="AO54" s="34" t="str">
        <f t="shared" ca="1" si="12"/>
        <v/>
      </c>
      <c r="AP54" s="34" t="str">
        <f t="shared" ca="1" si="12"/>
        <v/>
      </c>
      <c r="AQ54" s="34" t="str">
        <f t="shared" ca="1" si="12"/>
        <v/>
      </c>
      <c r="AR54" s="34" t="str">
        <f t="shared" ca="1" si="12"/>
        <v/>
      </c>
      <c r="AS54" s="34" t="str">
        <f t="shared" ca="1" si="12"/>
        <v/>
      </c>
      <c r="AT54" s="34" t="str">
        <f t="shared" ca="1" si="12"/>
        <v/>
      </c>
      <c r="AU54" s="34" t="str">
        <f t="shared" ca="1" si="12"/>
        <v/>
      </c>
      <c r="AV54" s="34" t="str">
        <f t="shared" ref="AV54:BS54" ca="1" si="13">IF(AND($F54="Objetivo",AV$7&gt;=$J54,AV$7&lt;=$J54+$L54-1),2,IF(AND($F54="Hito",AV$7&gt;=$J54,AV$7&lt;=$J54+$L54-1),1,""))</f>
        <v/>
      </c>
      <c r="AW54" s="34" t="str">
        <f t="shared" ca="1" si="13"/>
        <v/>
      </c>
      <c r="AX54" s="34" t="str">
        <f t="shared" ca="1" si="13"/>
        <v/>
      </c>
      <c r="AY54" s="34" t="str">
        <f t="shared" ca="1" si="13"/>
        <v/>
      </c>
      <c r="AZ54" s="34" t="str">
        <f t="shared" ca="1" si="13"/>
        <v/>
      </c>
      <c r="BA54" s="34" t="str">
        <f t="shared" ca="1" si="13"/>
        <v/>
      </c>
      <c r="BB54" s="34" t="str">
        <f t="shared" ca="1" si="13"/>
        <v/>
      </c>
      <c r="BC54" s="34" t="str">
        <f t="shared" ca="1" si="13"/>
        <v/>
      </c>
      <c r="BD54" s="34" t="str">
        <f t="shared" ca="1" si="13"/>
        <v/>
      </c>
      <c r="BE54" s="34" t="str">
        <f t="shared" ca="1" si="13"/>
        <v/>
      </c>
      <c r="BF54" s="34" t="str">
        <f t="shared" ca="1" si="13"/>
        <v/>
      </c>
      <c r="BG54" s="34" t="str">
        <f t="shared" ca="1" si="13"/>
        <v/>
      </c>
      <c r="BH54" s="34" t="str">
        <f t="shared" ca="1" si="13"/>
        <v/>
      </c>
      <c r="BI54" s="34" t="str">
        <f t="shared" ca="1" si="13"/>
        <v/>
      </c>
      <c r="BJ54" s="34" t="str">
        <f t="shared" ca="1" si="13"/>
        <v/>
      </c>
      <c r="BK54" s="34" t="str">
        <f t="shared" ca="1" si="13"/>
        <v/>
      </c>
      <c r="BL54" s="34" t="str">
        <f t="shared" ca="1" si="13"/>
        <v/>
      </c>
      <c r="BM54" s="34" t="str">
        <f t="shared" ca="1" si="13"/>
        <v/>
      </c>
      <c r="BN54" s="34" t="str">
        <f t="shared" ca="1" si="13"/>
        <v/>
      </c>
      <c r="BO54" s="34" t="str">
        <f t="shared" ca="1" si="13"/>
        <v/>
      </c>
      <c r="BP54" s="34" t="str">
        <f t="shared" ca="1" si="13"/>
        <v/>
      </c>
      <c r="BQ54" s="34" t="str">
        <f t="shared" ca="1" si="13"/>
        <v/>
      </c>
      <c r="BR54" s="34" t="str">
        <f t="shared" ca="1" si="13"/>
        <v/>
      </c>
      <c r="BS54" s="34" t="str">
        <f t="shared" ca="1" si="13"/>
        <v/>
      </c>
    </row>
    <row r="55" spans="1:71" s="1" customFormat="1" ht="40.15" customHeight="1" x14ac:dyDescent="0.25">
      <c r="A55" s="88" t="s">
        <v>74</v>
      </c>
      <c r="B55" s="89">
        <v>15000000</v>
      </c>
      <c r="C55" s="103"/>
      <c r="D55" s="102">
        <f>Hitos4352[[#This Row],[MONTO INICIAL]]/1000</f>
        <v>15000</v>
      </c>
      <c r="E55" s="102"/>
      <c r="F55" s="90" t="s">
        <v>4</v>
      </c>
      <c r="G55" s="90" t="s">
        <v>75</v>
      </c>
      <c r="H55" s="91">
        <v>0</v>
      </c>
      <c r="I55" s="92"/>
      <c r="J55" s="93">
        <v>45616</v>
      </c>
      <c r="K55" s="97">
        <v>45838</v>
      </c>
      <c r="L55" s="94">
        <f>Hitos4352[[#This Row],[FECHA FINAL]]-Hitos4352[[#This Row],[FECHA INICIAL]]</f>
        <v>222</v>
      </c>
      <c r="M55" s="98">
        <f ca="1">Hitos4352[[#This Row],[FECHA FINAL]]-$E$9</f>
        <v>-241</v>
      </c>
      <c r="N55" s="94" t="s">
        <v>31</v>
      </c>
      <c r="O55" s="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row>
    <row r="56" spans="1:71" s="1" customFormat="1" ht="40.15" customHeight="1" x14ac:dyDescent="0.25">
      <c r="A56" s="88" t="s">
        <v>74</v>
      </c>
      <c r="B56" s="89">
        <v>15000000</v>
      </c>
      <c r="C56" s="103"/>
      <c r="D56" s="102">
        <f>Hitos4352[[#This Row],[MONTO INICIAL]]/1000</f>
        <v>15000</v>
      </c>
      <c r="E56" s="102"/>
      <c r="F56" s="90" t="s">
        <v>4</v>
      </c>
      <c r="G56" s="90" t="s">
        <v>75</v>
      </c>
      <c r="H56" s="91">
        <v>0</v>
      </c>
      <c r="I56" s="92"/>
      <c r="J56" s="93">
        <v>45617</v>
      </c>
      <c r="K56" s="97">
        <v>45866</v>
      </c>
      <c r="L56" s="94">
        <f>Hitos4352[[#This Row],[FECHA FINAL]]-Hitos4352[[#This Row],[FECHA INICIAL]]</f>
        <v>249</v>
      </c>
      <c r="M56" s="98">
        <f ca="1">Hitos4352[[#This Row],[FECHA FINAL]]-$E$9</f>
        <v>-213</v>
      </c>
      <c r="N56" s="94" t="s">
        <v>31</v>
      </c>
      <c r="O56" s="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row>
    <row r="57" spans="1:71" s="1" customFormat="1" ht="40.15" customHeight="1" x14ac:dyDescent="0.25">
      <c r="A57" s="88" t="s">
        <v>109</v>
      </c>
      <c r="B57" s="89">
        <v>22589000</v>
      </c>
      <c r="C57" s="103"/>
      <c r="D57" s="102">
        <f>Hitos4352[[#This Row],[MONTO INICIAL]]/1000</f>
        <v>22589</v>
      </c>
      <c r="E57" s="102"/>
      <c r="F57" s="90" t="s">
        <v>4</v>
      </c>
      <c r="G57" s="90" t="s">
        <v>76</v>
      </c>
      <c r="H57" s="91">
        <v>0</v>
      </c>
      <c r="I57" s="92"/>
      <c r="J57" s="93">
        <v>45585</v>
      </c>
      <c r="K57" s="97">
        <v>45950</v>
      </c>
      <c r="L57" s="94">
        <f>Hitos4352[[#This Row],[FECHA FINAL]]-Hitos4352[[#This Row],[FECHA INICIAL]]</f>
        <v>365</v>
      </c>
      <c r="M57" s="98">
        <f ca="1">Hitos4352[[#This Row],[FECHA FINAL]]-$E$9</f>
        <v>-129</v>
      </c>
      <c r="N57" s="94" t="s">
        <v>31</v>
      </c>
      <c r="O57" s="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row>
    <row r="58" spans="1:71" s="1" customFormat="1" ht="40.15" customHeight="1" x14ac:dyDescent="0.25">
      <c r="A58" s="88" t="s">
        <v>77</v>
      </c>
      <c r="B58" s="89">
        <v>3392880</v>
      </c>
      <c r="C58" s="103"/>
      <c r="D58" s="102">
        <f>Hitos4352[[#This Row],[MONTO INICIAL]]/1000</f>
        <v>3392.88</v>
      </c>
      <c r="E58" s="102"/>
      <c r="F58" s="90" t="s">
        <v>4</v>
      </c>
      <c r="G58" s="90" t="s">
        <v>75</v>
      </c>
      <c r="H58" s="91">
        <v>0</v>
      </c>
      <c r="I58" s="92"/>
      <c r="J58" s="93">
        <v>45575</v>
      </c>
      <c r="K58" s="93">
        <v>45797</v>
      </c>
      <c r="L58" s="94">
        <f>Hitos4352[[#This Row],[FECHA FINAL]]-Hitos4352[[#This Row],[FECHA INICIAL]]</f>
        <v>222</v>
      </c>
      <c r="M58" s="98">
        <f ca="1">Hitos4352[[#This Row],[FECHA FINAL]]-$E$9</f>
        <v>-282</v>
      </c>
      <c r="N58" s="94" t="s">
        <v>31</v>
      </c>
      <c r="O58" s="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row>
    <row r="59" spans="1:71" s="1" customFormat="1" ht="40.15" customHeight="1" x14ac:dyDescent="0.25">
      <c r="A59" s="88" t="s">
        <v>78</v>
      </c>
      <c r="B59" s="89">
        <v>11051058.720000001</v>
      </c>
      <c r="C59" s="103"/>
      <c r="D59" s="102">
        <f>Hitos4352[[#This Row],[MONTO INICIAL]]/1000</f>
        <v>11051.058720000001</v>
      </c>
      <c r="E59" s="102"/>
      <c r="F59" s="90" t="s">
        <v>4</v>
      </c>
      <c r="G59" s="90" t="s">
        <v>75</v>
      </c>
      <c r="H59" s="91">
        <v>0</v>
      </c>
      <c r="I59" s="92"/>
      <c r="J59" s="93">
        <v>45624</v>
      </c>
      <c r="K59" s="93">
        <v>45807</v>
      </c>
      <c r="L59" s="94">
        <f>Hitos4352[[#This Row],[FECHA FINAL]]-Hitos4352[[#This Row],[FECHA INICIAL]]</f>
        <v>183</v>
      </c>
      <c r="M59" s="98">
        <f ca="1">Hitos4352[[#This Row],[FECHA FINAL]]-$E$9</f>
        <v>-272</v>
      </c>
      <c r="N59" s="94" t="s">
        <v>31</v>
      </c>
      <c r="O59" s="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row>
    <row r="60" spans="1:71" s="1" customFormat="1" ht="40.15" customHeight="1" x14ac:dyDescent="0.25">
      <c r="A60" s="88" t="s">
        <v>79</v>
      </c>
      <c r="B60" s="89">
        <v>1286036</v>
      </c>
      <c r="C60" s="103"/>
      <c r="D60" s="102">
        <v>1234.2</v>
      </c>
      <c r="E60" s="102"/>
      <c r="F60" s="90" t="s">
        <v>4</v>
      </c>
      <c r="G60" s="90" t="s">
        <v>75</v>
      </c>
      <c r="H60" s="91">
        <v>0</v>
      </c>
      <c r="I60" s="92"/>
      <c r="J60" s="93">
        <v>45673</v>
      </c>
      <c r="K60" s="93">
        <v>45807</v>
      </c>
      <c r="L60" s="94">
        <f>Hitos4352[[#This Row],[FECHA FINAL]]-Hitos4352[[#This Row],[FECHA INICIAL]]</f>
        <v>134</v>
      </c>
      <c r="M60" s="98">
        <f ca="1">Hitos4352[[#This Row],[FECHA FINAL]]-$E$9</f>
        <v>-272</v>
      </c>
      <c r="N60" s="94" t="s">
        <v>31</v>
      </c>
      <c r="O60" s="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c r="BA60" s="34"/>
      <c r="BB60" s="34"/>
      <c r="BC60" s="34"/>
      <c r="BD60" s="34"/>
      <c r="BE60" s="34"/>
      <c r="BF60" s="34"/>
      <c r="BG60" s="34"/>
      <c r="BH60" s="34"/>
      <c r="BI60" s="34"/>
      <c r="BJ60" s="34"/>
      <c r="BK60" s="34"/>
      <c r="BL60" s="34"/>
      <c r="BM60" s="34"/>
      <c r="BN60" s="34"/>
      <c r="BO60" s="34"/>
      <c r="BP60" s="34"/>
      <c r="BQ60" s="34"/>
      <c r="BR60" s="34"/>
      <c r="BS60" s="34"/>
    </row>
    <row r="61" spans="1:71" s="1" customFormat="1" ht="40.15" customHeight="1" x14ac:dyDescent="0.25">
      <c r="A61" s="26" t="s">
        <v>80</v>
      </c>
      <c r="B61" s="31"/>
      <c r="C61" s="100"/>
      <c r="D61" s="99">
        <v>3876.84</v>
      </c>
      <c r="E61" s="99"/>
      <c r="F61" s="27" t="s">
        <v>4</v>
      </c>
      <c r="G61" s="27" t="s">
        <v>75</v>
      </c>
      <c r="H61" s="33">
        <v>0</v>
      </c>
      <c r="I61" s="28"/>
      <c r="J61" s="29">
        <v>45545</v>
      </c>
      <c r="K61" s="29">
        <v>45807</v>
      </c>
      <c r="L61" s="30">
        <f>Hitos4352[[#This Row],[FECHA FINAL]]-Hitos4352[[#This Row],[FECHA INICIAL]]</f>
        <v>262</v>
      </c>
      <c r="M61" s="58">
        <f ca="1">Hitos4352[[#This Row],[FECHA FINAL]]-$E$9</f>
        <v>-272</v>
      </c>
      <c r="N61" s="59" t="s">
        <v>36</v>
      </c>
      <c r="O61" s="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c r="BA61" s="34"/>
      <c r="BB61" s="34"/>
      <c r="BC61" s="34"/>
      <c r="BD61" s="34"/>
      <c r="BE61" s="34"/>
      <c r="BF61" s="34"/>
      <c r="BG61" s="34"/>
      <c r="BH61" s="34"/>
      <c r="BI61" s="34"/>
      <c r="BJ61" s="34"/>
      <c r="BK61" s="34"/>
      <c r="BL61" s="34"/>
      <c r="BM61" s="34"/>
      <c r="BN61" s="34"/>
      <c r="BO61" s="34"/>
      <c r="BP61" s="34"/>
      <c r="BQ61" s="34"/>
      <c r="BR61" s="34"/>
      <c r="BS61" s="34"/>
    </row>
    <row r="62" spans="1:71" s="1" customFormat="1" ht="40.15" customHeight="1" x14ac:dyDescent="0.25">
      <c r="A62" s="88" t="s">
        <v>81</v>
      </c>
      <c r="B62" s="89">
        <v>14490496.34</v>
      </c>
      <c r="C62" s="103"/>
      <c r="D62" s="102">
        <f>Hitos4352[[#This Row],[MONTO INICIAL]]/1000</f>
        <v>14490.49634</v>
      </c>
      <c r="E62" s="102"/>
      <c r="F62" s="90" t="s">
        <v>4</v>
      </c>
      <c r="G62" s="90" t="s">
        <v>75</v>
      </c>
      <c r="H62" s="91">
        <v>0</v>
      </c>
      <c r="I62" s="92"/>
      <c r="J62" s="93"/>
      <c r="K62" s="93">
        <v>45868</v>
      </c>
      <c r="L62" s="94"/>
      <c r="M62" s="98"/>
      <c r="N62" s="94" t="s">
        <v>31</v>
      </c>
      <c r="O62" s="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c r="BA62" s="34"/>
      <c r="BB62" s="34"/>
      <c r="BC62" s="34"/>
      <c r="BD62" s="34"/>
      <c r="BE62" s="34"/>
      <c r="BF62" s="34"/>
      <c r="BG62" s="34"/>
      <c r="BH62" s="34"/>
      <c r="BI62" s="34"/>
      <c r="BJ62" s="34"/>
      <c r="BK62" s="34"/>
      <c r="BL62" s="34"/>
      <c r="BM62" s="34"/>
      <c r="BN62" s="34"/>
      <c r="BO62" s="34"/>
      <c r="BP62" s="34"/>
      <c r="BQ62" s="34"/>
      <c r="BR62" s="34"/>
      <c r="BS62" s="34"/>
    </row>
    <row r="63" spans="1:71" s="1" customFormat="1" ht="40.15" customHeight="1" x14ac:dyDescent="0.25">
      <c r="A63" s="88" t="s">
        <v>82</v>
      </c>
      <c r="B63" s="89">
        <v>16912539.2436</v>
      </c>
      <c r="C63" s="103"/>
      <c r="D63" s="102">
        <f>Hitos4352[[#This Row],[MONTO INICIAL]]/1000</f>
        <v>16912.5392436</v>
      </c>
      <c r="E63" s="102"/>
      <c r="F63" s="90" t="s">
        <v>4</v>
      </c>
      <c r="G63" s="90" t="s">
        <v>75</v>
      </c>
      <c r="H63" s="91">
        <v>0</v>
      </c>
      <c r="I63" s="92"/>
      <c r="J63" s="93">
        <v>45708</v>
      </c>
      <c r="K63" s="93">
        <v>45853</v>
      </c>
      <c r="L63" s="94">
        <f>Hitos4352[[#This Row],[FECHA FINAL]]-Hitos4352[[#This Row],[FECHA INICIAL]]</f>
        <v>145</v>
      </c>
      <c r="M63" s="98">
        <f ca="1">Hitos4352[[#This Row],[FECHA FINAL]]-$E$9</f>
        <v>-226</v>
      </c>
      <c r="N63" s="94" t="s">
        <v>31</v>
      </c>
      <c r="O63" s="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c r="BA63" s="34"/>
      <c r="BB63" s="34"/>
      <c r="BC63" s="34"/>
      <c r="BD63" s="34"/>
      <c r="BE63" s="34"/>
      <c r="BF63" s="34"/>
      <c r="BG63" s="34"/>
      <c r="BH63" s="34"/>
      <c r="BI63" s="34"/>
      <c r="BJ63" s="34"/>
      <c r="BK63" s="34"/>
      <c r="BL63" s="34"/>
      <c r="BM63" s="34"/>
      <c r="BN63" s="34"/>
      <c r="BO63" s="34"/>
      <c r="BP63" s="34"/>
      <c r="BQ63" s="34"/>
      <c r="BR63" s="34"/>
      <c r="BS63" s="34"/>
    </row>
    <row r="64" spans="1:71" s="1" customFormat="1" ht="40.15" customHeight="1" x14ac:dyDescent="0.25">
      <c r="A64" s="88" t="s">
        <v>83</v>
      </c>
      <c r="B64" s="89">
        <v>7597543</v>
      </c>
      <c r="C64" s="103"/>
      <c r="D64" s="102">
        <f>Hitos4352[[#This Row],[MONTO INICIAL]]/1000</f>
        <v>7597.5429999999997</v>
      </c>
      <c r="E64" s="102"/>
      <c r="F64" s="90" t="s">
        <v>4</v>
      </c>
      <c r="G64" s="90" t="s">
        <v>84</v>
      </c>
      <c r="H64" s="91">
        <v>0</v>
      </c>
      <c r="I64" s="92"/>
      <c r="J64" s="93">
        <v>45658</v>
      </c>
      <c r="K64" s="93">
        <v>45689</v>
      </c>
      <c r="L64" s="94">
        <f>Hitos4352[[#This Row],[FECHA FINAL]]-Hitos4352[[#This Row],[FECHA INICIAL]]</f>
        <v>31</v>
      </c>
      <c r="M64" s="98">
        <f ca="1">Hitos4352[[#This Row],[FECHA FINAL]]-$E$9</f>
        <v>-390</v>
      </c>
      <c r="N64" s="94" t="s">
        <v>31</v>
      </c>
      <c r="O64" s="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c r="BA64" s="34"/>
      <c r="BB64" s="34"/>
      <c r="BC64" s="34"/>
      <c r="BD64" s="34"/>
      <c r="BE64" s="34"/>
      <c r="BF64" s="34"/>
      <c r="BG64" s="34"/>
      <c r="BH64" s="34"/>
      <c r="BI64" s="34"/>
      <c r="BJ64" s="34"/>
      <c r="BK64" s="34"/>
      <c r="BL64" s="34"/>
      <c r="BM64" s="34"/>
      <c r="BN64" s="34"/>
      <c r="BO64" s="34"/>
      <c r="BP64" s="34"/>
      <c r="BQ64" s="34"/>
      <c r="BR64" s="34"/>
      <c r="BS64" s="34"/>
    </row>
    <row r="65" spans="1:93" s="1" customFormat="1" ht="40.15" customHeight="1" x14ac:dyDescent="0.25">
      <c r="A65" s="88" t="s">
        <v>85</v>
      </c>
      <c r="B65" s="89">
        <v>7627382</v>
      </c>
      <c r="C65" s="103"/>
      <c r="D65" s="102">
        <f>Hitos4352[[#This Row],[MONTO INICIAL]]/1000</f>
        <v>7627.3819999999996</v>
      </c>
      <c r="E65" s="102"/>
      <c r="F65" s="90" t="s">
        <v>4</v>
      </c>
      <c r="G65" s="90" t="s">
        <v>84</v>
      </c>
      <c r="H65" s="91">
        <v>0</v>
      </c>
      <c r="I65" s="92"/>
      <c r="J65" s="93">
        <v>45689</v>
      </c>
      <c r="K65" s="93">
        <v>45716</v>
      </c>
      <c r="L65" s="94">
        <f>Hitos4352[[#This Row],[FECHA FINAL]]-Hitos4352[[#This Row],[FECHA INICIAL]]</f>
        <v>27</v>
      </c>
      <c r="M65" s="98">
        <f ca="1">Hitos4352[[#This Row],[FECHA FINAL]]-$E$9</f>
        <v>-363</v>
      </c>
      <c r="N65" s="94" t="s">
        <v>31</v>
      </c>
      <c r="O65" s="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c r="BA65" s="34"/>
      <c r="BB65" s="34"/>
      <c r="BC65" s="34"/>
      <c r="BD65" s="34"/>
      <c r="BE65" s="34"/>
      <c r="BF65" s="34"/>
      <c r="BG65" s="34"/>
      <c r="BH65" s="34"/>
      <c r="BI65" s="34"/>
      <c r="BJ65" s="34"/>
      <c r="BK65" s="34"/>
      <c r="BL65" s="34"/>
      <c r="BM65" s="34"/>
      <c r="BN65" s="34"/>
      <c r="BO65" s="34"/>
      <c r="BP65" s="34"/>
      <c r="BQ65" s="34"/>
      <c r="BR65" s="34"/>
      <c r="BS65" s="34"/>
    </row>
    <row r="66" spans="1:93" s="1" customFormat="1" ht="40.15" customHeight="1" x14ac:dyDescent="0.25">
      <c r="A66" s="88" t="s">
        <v>86</v>
      </c>
      <c r="B66" s="89">
        <v>17105287</v>
      </c>
      <c r="C66" s="103"/>
      <c r="D66" s="102">
        <f>Hitos4352[[#This Row],[MONTO INICIAL]]/1000</f>
        <v>17105.287</v>
      </c>
      <c r="E66" s="102"/>
      <c r="F66" s="90" t="s">
        <v>4</v>
      </c>
      <c r="G66" s="90" t="s">
        <v>84</v>
      </c>
      <c r="H66" s="91">
        <v>0</v>
      </c>
      <c r="I66" s="92"/>
      <c r="J66" s="93">
        <v>45717</v>
      </c>
      <c r="K66" s="93">
        <v>45747</v>
      </c>
      <c r="L66" s="94">
        <f>Hitos4352[[#This Row],[FECHA FINAL]]-Hitos4352[[#This Row],[FECHA INICIAL]]</f>
        <v>30</v>
      </c>
      <c r="M66" s="98">
        <f ca="1">Hitos4352[[#This Row],[FECHA FINAL]]-$E$9</f>
        <v>-332</v>
      </c>
      <c r="N66" s="94" t="s">
        <v>31</v>
      </c>
      <c r="O66" s="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4"/>
      <c r="BJ66" s="34"/>
      <c r="BK66" s="34"/>
      <c r="BL66" s="34"/>
      <c r="BM66" s="34"/>
      <c r="BN66" s="34"/>
      <c r="BO66" s="34"/>
      <c r="BP66" s="34"/>
      <c r="BQ66" s="34"/>
      <c r="BR66" s="34"/>
      <c r="BS66" s="34"/>
    </row>
    <row r="67" spans="1:93" s="1" customFormat="1" ht="40.15" customHeight="1" x14ac:dyDescent="0.25">
      <c r="A67" s="88" t="s">
        <v>87</v>
      </c>
      <c r="B67" s="107">
        <v>144165417</v>
      </c>
      <c r="C67" s="103"/>
      <c r="D67" s="102">
        <f>Hitos4352[[#This Row],[MONTO INICIAL]]/1000</f>
        <v>144165.41699999999</v>
      </c>
      <c r="E67" s="102"/>
      <c r="F67" s="90" t="s">
        <v>4</v>
      </c>
      <c r="G67" s="90" t="s">
        <v>84</v>
      </c>
      <c r="H67" s="91">
        <v>0</v>
      </c>
      <c r="I67" s="92"/>
      <c r="J67" s="93">
        <v>45748</v>
      </c>
      <c r="K67" s="93">
        <v>45777</v>
      </c>
      <c r="L67" s="94">
        <f>Hitos4352[[#This Row],[FECHA FINAL]]-Hitos4352[[#This Row],[FECHA INICIAL]]</f>
        <v>29</v>
      </c>
      <c r="M67" s="98">
        <f ca="1">Hitos4352[[#This Row],[FECHA FINAL]]-$E$9</f>
        <v>-302</v>
      </c>
      <c r="N67" s="94" t="s">
        <v>31</v>
      </c>
      <c r="O67" s="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4"/>
      <c r="BJ67" s="34"/>
      <c r="BK67" s="34"/>
      <c r="BL67" s="34"/>
      <c r="BM67" s="34"/>
      <c r="BN67" s="34"/>
      <c r="BO67" s="34"/>
      <c r="BP67" s="34"/>
      <c r="BQ67" s="34"/>
      <c r="BR67" s="34"/>
      <c r="BS67" s="34"/>
    </row>
    <row r="68" spans="1:93" s="1" customFormat="1" ht="40.15" customHeight="1" x14ac:dyDescent="0.25">
      <c r="A68" s="88" t="s">
        <v>88</v>
      </c>
      <c r="B68" s="107">
        <v>13291900</v>
      </c>
      <c r="C68" s="103"/>
      <c r="D68" s="102">
        <f>Hitos4352[[#This Row],[MONTO INICIAL]]/1000</f>
        <v>13291.9</v>
      </c>
      <c r="E68" s="102"/>
      <c r="F68" s="90" t="s">
        <v>4</v>
      </c>
      <c r="G68" s="90" t="s">
        <v>84</v>
      </c>
      <c r="H68" s="91">
        <v>0</v>
      </c>
      <c r="I68" s="92"/>
      <c r="J68" s="93">
        <v>45778</v>
      </c>
      <c r="K68" s="93">
        <v>45808</v>
      </c>
      <c r="L68" s="94">
        <f>Hitos4352[[#This Row],[FECHA FINAL]]-Hitos4352[[#This Row],[FECHA INICIAL]]</f>
        <v>30</v>
      </c>
      <c r="M68" s="98">
        <f ca="1">Hitos4352[[#This Row],[FECHA FINAL]]-$E$9</f>
        <v>-271</v>
      </c>
      <c r="N68" s="94" t="s">
        <v>31</v>
      </c>
      <c r="O68" s="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c r="BA68" s="34"/>
      <c r="BB68" s="34"/>
      <c r="BC68" s="34"/>
      <c r="BD68" s="34"/>
      <c r="BE68" s="34"/>
      <c r="BF68" s="34"/>
      <c r="BG68" s="34"/>
      <c r="BH68" s="34"/>
      <c r="BI68" s="34"/>
      <c r="BJ68" s="34"/>
      <c r="BK68" s="34"/>
      <c r="BL68" s="34"/>
      <c r="BM68" s="34"/>
      <c r="BN68" s="34"/>
      <c r="BO68" s="34"/>
      <c r="BP68" s="34"/>
      <c r="BQ68" s="34"/>
      <c r="BR68" s="34"/>
      <c r="BS68" s="34"/>
    </row>
    <row r="69" spans="1:93" s="1" customFormat="1" ht="40.15" customHeight="1" x14ac:dyDescent="0.25">
      <c r="A69" s="88" t="s">
        <v>89</v>
      </c>
      <c r="B69" s="107">
        <v>59394652</v>
      </c>
      <c r="C69" s="103"/>
      <c r="D69" s="102">
        <f>Hitos4352[[#This Row],[MONTO INICIAL]]/1000</f>
        <v>59394.652000000002</v>
      </c>
      <c r="E69" s="102"/>
      <c r="F69" s="90" t="s">
        <v>4</v>
      </c>
      <c r="G69" s="90" t="s">
        <v>84</v>
      </c>
      <c r="H69" s="91">
        <v>0</v>
      </c>
      <c r="I69" s="92"/>
      <c r="J69" s="93">
        <v>45809</v>
      </c>
      <c r="K69" s="93">
        <v>45838</v>
      </c>
      <c r="L69" s="94">
        <f>Hitos4352[[#This Row],[FECHA FINAL]]-Hitos4352[[#This Row],[FECHA INICIAL]]</f>
        <v>29</v>
      </c>
      <c r="M69" s="98">
        <f ca="1">Hitos4352[[#This Row],[FECHA FINAL]]-$E$9</f>
        <v>-241</v>
      </c>
      <c r="N69" s="94" t="s">
        <v>31</v>
      </c>
      <c r="O69" s="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c r="BA69" s="34"/>
      <c r="BB69" s="34"/>
      <c r="BC69" s="34"/>
      <c r="BD69" s="34"/>
      <c r="BE69" s="34"/>
      <c r="BF69" s="34"/>
      <c r="BG69" s="34"/>
      <c r="BH69" s="34"/>
      <c r="BI69" s="34"/>
      <c r="BJ69" s="34"/>
      <c r="BK69" s="34"/>
      <c r="BL69" s="34"/>
      <c r="BM69" s="34"/>
      <c r="BN69" s="34"/>
      <c r="BO69" s="34"/>
      <c r="BP69" s="34"/>
      <c r="BQ69" s="34"/>
      <c r="BR69" s="34"/>
      <c r="BS69" s="34"/>
    </row>
    <row r="70" spans="1:93" s="1" customFormat="1" ht="40.15" customHeight="1" x14ac:dyDescent="0.25">
      <c r="A70" s="88" t="s">
        <v>90</v>
      </c>
      <c r="B70" s="107">
        <v>64848473</v>
      </c>
      <c r="C70" s="103"/>
      <c r="D70" s="102">
        <f>Hitos4352[[#This Row],[MONTO INICIAL]]/1000</f>
        <v>64848.472999999998</v>
      </c>
      <c r="E70" s="102"/>
      <c r="F70" s="90" t="s">
        <v>4</v>
      </c>
      <c r="G70" s="90" t="s">
        <v>84</v>
      </c>
      <c r="H70" s="91">
        <v>0</v>
      </c>
      <c r="I70" s="92"/>
      <c r="J70" s="93">
        <v>45839</v>
      </c>
      <c r="K70" s="93">
        <v>45869</v>
      </c>
      <c r="L70" s="94">
        <f>Hitos4352[[#This Row],[FECHA FINAL]]-Hitos4352[[#This Row],[FECHA INICIAL]]</f>
        <v>30</v>
      </c>
      <c r="M70" s="98">
        <f ca="1">Hitos4352[[#This Row],[FECHA FINAL]]-$E$9</f>
        <v>-210</v>
      </c>
      <c r="N70" s="94" t="s">
        <v>31</v>
      </c>
      <c r="O70" s="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c r="BA70" s="34"/>
      <c r="BB70" s="34"/>
      <c r="BC70" s="34"/>
      <c r="BD70" s="34"/>
      <c r="BE70" s="34"/>
      <c r="BF70" s="34"/>
      <c r="BG70" s="34"/>
      <c r="BH70" s="34"/>
      <c r="BI70" s="34"/>
      <c r="BJ70" s="34"/>
      <c r="BK70" s="34"/>
      <c r="BL70" s="34"/>
      <c r="BM70" s="34"/>
      <c r="BN70" s="34"/>
      <c r="BO70" s="34"/>
      <c r="BP70" s="34"/>
      <c r="BQ70" s="34"/>
      <c r="BR70" s="34"/>
      <c r="BS70" s="34"/>
    </row>
    <row r="71" spans="1:93" s="1" customFormat="1" ht="40.15" customHeight="1" x14ac:dyDescent="0.25">
      <c r="A71" s="88" t="s">
        <v>91</v>
      </c>
      <c r="B71" s="107">
        <f>154957965-116353985</f>
        <v>38603980</v>
      </c>
      <c r="C71" s="103"/>
      <c r="D71" s="102">
        <f>Hitos4352[[#This Row],[MONTO INICIAL]]/1000</f>
        <v>38603.980000000003</v>
      </c>
      <c r="E71" s="102"/>
      <c r="F71" s="90"/>
      <c r="G71" s="90"/>
      <c r="H71" s="91">
        <v>0</v>
      </c>
      <c r="I71" s="92"/>
      <c r="J71" s="93">
        <v>45870</v>
      </c>
      <c r="K71" s="93">
        <v>45900</v>
      </c>
      <c r="L71" s="94">
        <f>Hitos4352[[#This Row],[FECHA FINAL]]-Hitos4352[[#This Row],[FECHA INICIAL]]</f>
        <v>30</v>
      </c>
      <c r="M71" s="98">
        <f ca="1">Hitos4352[[#This Row],[FECHA FINAL]]-$E$9</f>
        <v>-179</v>
      </c>
      <c r="N71" s="94" t="s">
        <v>31</v>
      </c>
      <c r="O71" s="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c r="BA71" s="34"/>
      <c r="BB71" s="34"/>
      <c r="BC71" s="34"/>
      <c r="BD71" s="34"/>
      <c r="BE71" s="34"/>
      <c r="BF71" s="34"/>
      <c r="BG71" s="34"/>
      <c r="BH71" s="34"/>
      <c r="BI71" s="34"/>
      <c r="BJ71" s="34"/>
      <c r="BK71" s="34"/>
      <c r="BL71" s="34"/>
      <c r="BM71" s="34"/>
      <c r="BN71" s="34"/>
      <c r="BO71" s="34"/>
      <c r="BP71" s="34"/>
      <c r="BQ71" s="34"/>
      <c r="BR71" s="34"/>
      <c r="BS71" s="34"/>
    </row>
    <row r="72" spans="1:93" s="1" customFormat="1" ht="40.15" customHeight="1" x14ac:dyDescent="0.25">
      <c r="A72" s="60" t="s">
        <v>92</v>
      </c>
      <c r="B72" s="67">
        <f>SUBTOTAL(109,B73:B75)</f>
        <v>0</v>
      </c>
      <c r="C72" s="67">
        <f>SUBTOTAL(109,C73:C74)</f>
        <v>0</v>
      </c>
      <c r="D72" s="68">
        <f>SUBTOTAL(109,D73:D75)</f>
        <v>0</v>
      </c>
      <c r="E72" s="68"/>
      <c r="F72" s="60"/>
      <c r="G72" s="60"/>
      <c r="H72" s="60"/>
      <c r="I72" s="60"/>
      <c r="J72" s="60"/>
      <c r="K72" s="60"/>
      <c r="L72" s="60"/>
      <c r="M72" s="60"/>
      <c r="N72" s="60"/>
      <c r="O72" s="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c r="BA72" s="34"/>
      <c r="BB72" s="34"/>
      <c r="BC72" s="34"/>
      <c r="BD72" s="34"/>
      <c r="BE72" s="34"/>
      <c r="BF72" s="34"/>
      <c r="BG72" s="34"/>
      <c r="BH72" s="34"/>
      <c r="BI72" s="34"/>
      <c r="BJ72" s="34"/>
      <c r="BK72" s="34"/>
      <c r="BL72" s="34"/>
      <c r="BM72" s="34"/>
      <c r="BN72" s="34"/>
      <c r="BO72" s="34"/>
      <c r="BP72" s="34"/>
      <c r="BQ72" s="34"/>
      <c r="BR72" s="34"/>
      <c r="BS72" s="34"/>
    </row>
    <row r="73" spans="1:93" s="1" customFormat="1" ht="40.15" customHeight="1" x14ac:dyDescent="0.25">
      <c r="A73" s="26"/>
      <c r="B73" s="31"/>
      <c r="C73" s="100"/>
      <c r="D73" s="99"/>
      <c r="E73" s="100"/>
      <c r="F73" s="27"/>
      <c r="G73" s="27"/>
      <c r="H73" s="33"/>
      <c r="I73" s="28"/>
      <c r="J73" s="29"/>
      <c r="K73" s="29"/>
      <c r="L73" s="30"/>
      <c r="M73" s="66"/>
      <c r="N73" s="59"/>
      <c r="O73" s="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c r="BA73" s="34"/>
      <c r="BB73" s="34"/>
      <c r="BC73" s="34"/>
      <c r="BD73" s="34"/>
      <c r="BE73" s="34"/>
      <c r="BF73" s="34"/>
      <c r="BG73" s="34"/>
      <c r="BH73" s="34"/>
      <c r="BI73" s="34"/>
      <c r="BJ73" s="34"/>
      <c r="BK73" s="34"/>
      <c r="BL73" s="34"/>
      <c r="BM73" s="34"/>
      <c r="BN73" s="34"/>
      <c r="BO73" s="34"/>
      <c r="BP73" s="34"/>
      <c r="BQ73" s="34"/>
      <c r="BR73" s="34"/>
      <c r="BS73" s="34"/>
    </row>
    <row r="74" spans="1:93" s="1" customFormat="1" ht="40.15" customHeight="1" x14ac:dyDescent="0.25">
      <c r="A74" s="26"/>
      <c r="B74" s="31"/>
      <c r="C74" s="100"/>
      <c r="D74" s="99"/>
      <c r="E74" s="100"/>
      <c r="F74" s="27"/>
      <c r="G74" s="27"/>
      <c r="H74" s="33"/>
      <c r="I74" s="28"/>
      <c r="J74" s="29"/>
      <c r="K74" s="29"/>
      <c r="L74" s="30"/>
      <c r="M74" s="66"/>
      <c r="N74" s="59"/>
      <c r="O74" s="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4"/>
      <c r="BJ74" s="34"/>
      <c r="BK74" s="34"/>
      <c r="BL74" s="34"/>
      <c r="BM74" s="34"/>
      <c r="BN74" s="34"/>
      <c r="BO74" s="34"/>
      <c r="BP74" s="34"/>
      <c r="BQ74" s="34"/>
      <c r="BR74" s="34"/>
      <c r="BS74" s="34"/>
    </row>
    <row r="75" spans="1:93" s="1" customFormat="1" ht="40.15" customHeight="1" x14ac:dyDescent="0.25">
      <c r="A75" s="69"/>
      <c r="B75" s="31"/>
      <c r="C75" s="100"/>
      <c r="D75" s="99"/>
      <c r="E75" s="100"/>
      <c r="F75" s="27"/>
      <c r="G75" s="27"/>
      <c r="H75" s="28"/>
      <c r="I75" s="28"/>
      <c r="J75" s="29"/>
      <c r="K75" s="29"/>
      <c r="L75" s="30"/>
      <c r="M75" s="30"/>
      <c r="N75" s="30"/>
      <c r="O75" s="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4"/>
      <c r="BJ75" s="34"/>
      <c r="BK75" s="34"/>
      <c r="BL75" s="34"/>
      <c r="BM75" s="34"/>
      <c r="BN75" s="34"/>
      <c r="BO75" s="34"/>
      <c r="BP75" s="34"/>
      <c r="BQ75" s="34"/>
      <c r="BR75" s="34"/>
      <c r="BS75" s="34"/>
    </row>
    <row r="76" spans="1:93" s="1" customFormat="1" ht="57.75" customHeight="1" x14ac:dyDescent="0.25">
      <c r="A76" s="60" t="s">
        <v>93</v>
      </c>
      <c r="B76" s="67"/>
      <c r="C76" s="67"/>
      <c r="D76" s="68"/>
      <c r="E76" s="68"/>
      <c r="F76" s="60"/>
      <c r="G76" s="60"/>
      <c r="H76" s="60"/>
      <c r="I76" s="60"/>
      <c r="J76" s="60"/>
      <c r="K76" s="60"/>
      <c r="L76" s="60"/>
      <c r="M76" s="60"/>
      <c r="N76" s="60"/>
      <c r="O76" s="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c r="BA76" s="34"/>
      <c r="BB76" s="34"/>
      <c r="BC76" s="34"/>
      <c r="BD76" s="34"/>
      <c r="BE76" s="34"/>
      <c r="BF76" s="34"/>
      <c r="BG76" s="34"/>
      <c r="BH76" s="34"/>
      <c r="BI76" s="34"/>
      <c r="BJ76" s="34"/>
      <c r="BK76" s="34"/>
      <c r="BL76" s="34"/>
      <c r="BM76" s="34"/>
      <c r="BN76" s="34"/>
      <c r="BO76" s="34"/>
      <c r="BP76" s="34"/>
      <c r="BQ76" s="34"/>
      <c r="BR76" s="34"/>
      <c r="BS76" s="34"/>
    </row>
    <row r="77" spans="1:93" ht="30" customHeight="1" x14ac:dyDescent="0.25">
      <c r="A77" s="70"/>
      <c r="B77" s="71"/>
      <c r="C77" s="31"/>
      <c r="D77" s="31"/>
      <c r="E77" s="32"/>
      <c r="F77" s="72"/>
      <c r="G77" s="73"/>
      <c r="I77" s="39"/>
      <c r="J77" s="74"/>
      <c r="K77" s="75"/>
      <c r="L77" s="76"/>
      <c r="M77" s="76"/>
      <c r="N77" s="76"/>
      <c r="O77" s="2"/>
      <c r="BT77" s="1"/>
      <c r="BU77" s="1"/>
      <c r="BV77" s="1"/>
      <c r="BW77" s="1"/>
      <c r="BX77" s="1"/>
      <c r="BY77" s="1"/>
      <c r="BZ77" s="1"/>
      <c r="CA77" s="1"/>
      <c r="CB77" s="1"/>
      <c r="CC77" s="1"/>
      <c r="CD77" s="1"/>
      <c r="CE77" s="1"/>
      <c r="CF77" s="1"/>
      <c r="CG77" s="1"/>
      <c r="CH77" s="1"/>
      <c r="CI77" s="1"/>
      <c r="CJ77" s="1"/>
      <c r="CK77" s="1"/>
      <c r="CL77" s="1"/>
      <c r="CM77" s="1"/>
      <c r="CN77" s="1"/>
      <c r="CO77" s="1"/>
    </row>
    <row r="78" spans="1:93" ht="30" customHeight="1" x14ac:dyDescent="0.25">
      <c r="A78" s="70"/>
      <c r="B78" s="71"/>
      <c r="C78" s="31"/>
      <c r="D78" s="31"/>
      <c r="E78" s="32"/>
      <c r="F78" s="72"/>
      <c r="G78" s="77"/>
      <c r="I78" s="39"/>
      <c r="J78" s="74"/>
      <c r="K78" s="75"/>
      <c r="BT78" s="1"/>
      <c r="BU78" s="1"/>
      <c r="BV78" s="1"/>
      <c r="BW78" s="1"/>
      <c r="BX78" s="1"/>
      <c r="BY78" s="1"/>
      <c r="BZ78" s="1"/>
      <c r="CA78" s="1"/>
      <c r="CB78" s="1"/>
      <c r="CC78" s="1"/>
      <c r="CD78" s="1"/>
      <c r="CE78" s="1"/>
      <c r="CF78" s="1"/>
      <c r="CG78" s="1"/>
      <c r="CH78" s="1"/>
      <c r="CI78" s="1"/>
      <c r="CJ78" s="1"/>
      <c r="CK78" s="1"/>
      <c r="CL78" s="1"/>
      <c r="CM78" s="1"/>
      <c r="CN78" s="1"/>
      <c r="CO78" s="1"/>
    </row>
    <row r="79" spans="1:93" ht="30" customHeight="1" x14ac:dyDescent="0.25">
      <c r="A79" s="70"/>
      <c r="B79" s="71"/>
      <c r="C79" s="31"/>
      <c r="D79" s="31"/>
      <c r="E79" s="32"/>
      <c r="F79" s="72"/>
      <c r="G79" s="72"/>
      <c r="I79" s="39"/>
      <c r="J79" s="74"/>
      <c r="K79" s="75"/>
      <c r="BT79" s="1"/>
      <c r="BU79" s="1"/>
      <c r="BV79" s="1"/>
      <c r="BW79" s="1"/>
      <c r="BX79" s="1"/>
      <c r="BY79" s="1"/>
      <c r="BZ79" s="1"/>
      <c r="CA79" s="1"/>
      <c r="CB79" s="1"/>
      <c r="CC79" s="1"/>
      <c r="CD79" s="1"/>
      <c r="CE79" s="1"/>
      <c r="CF79" s="1"/>
      <c r="CG79" s="1"/>
      <c r="CH79" s="1"/>
      <c r="CI79" s="1"/>
      <c r="CJ79" s="1"/>
      <c r="CK79" s="1"/>
      <c r="CL79" s="1"/>
      <c r="CM79" s="1"/>
      <c r="CN79" s="1"/>
      <c r="CO79" s="1"/>
    </row>
    <row r="80" spans="1:93" ht="30" customHeight="1" x14ac:dyDescent="0.25">
      <c r="A80" s="70"/>
      <c r="B80" s="71"/>
      <c r="C80" s="31"/>
      <c r="D80" s="31"/>
      <c r="E80" s="32"/>
      <c r="F80" s="72"/>
      <c r="G80" s="72"/>
      <c r="I80" s="39"/>
      <c r="J80" s="74"/>
      <c r="K80" s="75"/>
      <c r="BT80" s="1"/>
      <c r="BU80" s="1"/>
      <c r="BV80" s="1"/>
      <c r="BW80" s="1"/>
      <c r="BX80" s="1"/>
      <c r="BY80" s="1"/>
      <c r="BZ80" s="1"/>
      <c r="CA80" s="1"/>
      <c r="CB80" s="1"/>
      <c r="CC80" s="1"/>
      <c r="CD80" s="1"/>
      <c r="CE80" s="1"/>
      <c r="CF80" s="1"/>
      <c r="CG80" s="1"/>
      <c r="CH80" s="1"/>
      <c r="CI80" s="1"/>
      <c r="CJ80" s="1"/>
      <c r="CK80" s="1"/>
      <c r="CL80" s="1"/>
      <c r="CM80" s="1"/>
      <c r="CN80" s="1"/>
      <c r="CO80" s="1"/>
    </row>
    <row r="81" spans="1:93" ht="30" customHeight="1" x14ac:dyDescent="0.25">
      <c r="A81" s="70"/>
      <c r="B81" s="71"/>
      <c r="C81" s="31"/>
      <c r="D81" s="31"/>
      <c r="E81" s="32"/>
      <c r="F81" s="72"/>
      <c r="G81" s="72"/>
      <c r="I81" s="39"/>
      <c r="J81" s="74"/>
      <c r="K81" s="75"/>
      <c r="BT81" s="1"/>
      <c r="BU81" s="1"/>
      <c r="BV81" s="1"/>
      <c r="BW81" s="1"/>
      <c r="BX81" s="1"/>
      <c r="BY81" s="1"/>
      <c r="BZ81" s="1"/>
      <c r="CA81" s="1"/>
      <c r="CB81" s="1"/>
      <c r="CC81" s="1"/>
      <c r="CD81" s="1"/>
      <c r="CE81" s="1"/>
      <c r="CF81" s="1"/>
      <c r="CG81" s="1"/>
      <c r="CH81" s="1"/>
      <c r="CI81" s="1"/>
      <c r="CJ81" s="1"/>
      <c r="CK81" s="1"/>
      <c r="CL81" s="1"/>
      <c r="CM81" s="1"/>
      <c r="CN81" s="1"/>
      <c r="CO81" s="1"/>
    </row>
    <row r="82" spans="1:93" ht="30" customHeight="1" x14ac:dyDescent="0.25">
      <c r="A82" s="70"/>
      <c r="B82" s="71"/>
      <c r="C82" s="31"/>
      <c r="D82" s="31"/>
      <c r="E82" s="32"/>
      <c r="F82" s="72"/>
      <c r="G82" s="72"/>
      <c r="I82" s="39"/>
      <c r="J82" s="74"/>
      <c r="K82" s="75"/>
      <c r="BT82" s="1"/>
      <c r="BU82" s="1"/>
      <c r="BV82" s="1"/>
      <c r="BW82" s="1"/>
      <c r="BX82" s="1"/>
      <c r="BY82" s="1"/>
      <c r="BZ82" s="1"/>
      <c r="CA82" s="1"/>
      <c r="CB82" s="1"/>
      <c r="CC82" s="1"/>
      <c r="CD82" s="1"/>
      <c r="CE82" s="1"/>
      <c r="CF82" s="1"/>
      <c r="CG82" s="1"/>
      <c r="CH82" s="1"/>
      <c r="CI82" s="1"/>
      <c r="CJ82" s="1"/>
      <c r="CK82" s="1"/>
      <c r="CL82" s="1"/>
      <c r="CM82" s="1"/>
      <c r="CN82" s="1"/>
      <c r="CO82" s="1"/>
    </row>
    <row r="83" spans="1:93" ht="30" customHeight="1" x14ac:dyDescent="0.25">
      <c r="BT83" s="1"/>
      <c r="BU83" s="1"/>
      <c r="BV83" s="1"/>
      <c r="BW83" s="1"/>
      <c r="BX83" s="1"/>
      <c r="BY83" s="1"/>
      <c r="BZ83" s="1"/>
      <c r="CA83" s="1"/>
      <c r="CB83" s="1"/>
      <c r="CC83" s="1"/>
      <c r="CD83" s="1"/>
      <c r="CE83" s="1"/>
      <c r="CF83" s="1"/>
      <c r="CG83" s="1"/>
      <c r="CH83" s="1"/>
      <c r="CI83" s="1"/>
      <c r="CJ83" s="1"/>
      <c r="CK83" s="1"/>
      <c r="CL83" s="1"/>
      <c r="CM83" s="1"/>
      <c r="CN83" s="1"/>
      <c r="CO83" s="1"/>
    </row>
    <row r="84" spans="1:93" ht="30" customHeight="1" x14ac:dyDescent="0.25">
      <c r="BT84" s="1"/>
      <c r="BU84" s="1"/>
      <c r="BV84" s="1"/>
      <c r="BW84" s="1"/>
      <c r="BX84" s="1"/>
      <c r="BY84" s="1"/>
      <c r="BZ84" s="1"/>
      <c r="CA84" s="1"/>
      <c r="CB84" s="1"/>
      <c r="CC84" s="1"/>
      <c r="CD84" s="1"/>
      <c r="CE84" s="1"/>
      <c r="CF84" s="1"/>
      <c r="CG84" s="1"/>
      <c r="CH84" s="1"/>
      <c r="CI84" s="1"/>
      <c r="CJ84" s="1"/>
      <c r="CK84" s="1"/>
      <c r="CL84" s="1"/>
      <c r="CM84" s="1"/>
      <c r="CN84" s="1"/>
      <c r="CO84" s="1"/>
    </row>
    <row r="85" spans="1:93" ht="30" customHeight="1" x14ac:dyDescent="0.25">
      <c r="BT85" s="1"/>
      <c r="BU85" s="1"/>
      <c r="BV85" s="1"/>
      <c r="BW85" s="1"/>
      <c r="BX85" s="1"/>
      <c r="BY85" s="1"/>
      <c r="BZ85" s="1"/>
      <c r="CA85" s="1"/>
      <c r="CB85" s="1"/>
      <c r="CC85" s="1"/>
      <c r="CD85" s="1"/>
      <c r="CE85" s="1"/>
      <c r="CF85" s="1"/>
      <c r="CG85" s="1"/>
      <c r="CH85" s="1"/>
      <c r="CI85" s="1"/>
      <c r="CJ85" s="1"/>
      <c r="CK85" s="1"/>
      <c r="CL85" s="1"/>
      <c r="CM85" s="1"/>
      <c r="CN85" s="1"/>
      <c r="CO85" s="1"/>
    </row>
    <row r="86" spans="1:93" ht="30" customHeight="1" x14ac:dyDescent="0.25">
      <c r="BT86" s="1"/>
      <c r="BU86" s="1"/>
      <c r="BV86" s="1"/>
      <c r="BW86" s="1"/>
      <c r="BX86" s="1"/>
      <c r="BY86" s="1"/>
      <c r="BZ86" s="1"/>
      <c r="CA86" s="1"/>
      <c r="CB86" s="1"/>
      <c r="CC86" s="1"/>
      <c r="CD86" s="1"/>
      <c r="CE86" s="1"/>
      <c r="CF86" s="1"/>
      <c r="CG86" s="1"/>
      <c r="CH86" s="1"/>
      <c r="CI86" s="1"/>
      <c r="CJ86" s="1"/>
      <c r="CK86" s="1"/>
      <c r="CL86" s="1"/>
      <c r="CM86" s="1"/>
      <c r="CN86" s="1"/>
      <c r="CO86" s="1"/>
    </row>
    <row r="87" spans="1:93" ht="30" customHeight="1" x14ac:dyDescent="0.25">
      <c r="BT87" s="1"/>
      <c r="BU87" s="1"/>
      <c r="BV87" s="1"/>
      <c r="BW87" s="1"/>
      <c r="BX87" s="1"/>
      <c r="BY87" s="1"/>
      <c r="BZ87" s="1"/>
      <c r="CA87" s="1"/>
      <c r="CB87" s="1"/>
      <c r="CC87" s="1"/>
      <c r="CD87" s="1"/>
      <c r="CE87" s="1"/>
      <c r="CF87" s="1"/>
      <c r="CG87" s="1"/>
      <c r="CH87" s="1"/>
      <c r="CI87" s="1"/>
      <c r="CJ87" s="1"/>
      <c r="CK87" s="1"/>
      <c r="CL87" s="1"/>
      <c r="CM87" s="1"/>
      <c r="CN87" s="1"/>
      <c r="CO87" s="1"/>
    </row>
    <row r="88" spans="1:93" ht="30" customHeight="1" x14ac:dyDescent="0.25">
      <c r="E88" s="87"/>
      <c r="BT88" s="1"/>
      <c r="BU88" s="1"/>
      <c r="BV88" s="1"/>
      <c r="BW88" s="1"/>
      <c r="BX88" s="1"/>
      <c r="BY88" s="1"/>
      <c r="BZ88" s="1"/>
      <c r="CA88" s="1"/>
      <c r="CB88" s="1"/>
      <c r="CC88" s="1"/>
      <c r="CD88" s="1"/>
      <c r="CE88" s="1"/>
      <c r="CF88" s="1"/>
      <c r="CG88" s="1"/>
      <c r="CH88" s="1"/>
      <c r="CI88" s="1"/>
      <c r="CJ88" s="1"/>
      <c r="CK88" s="1"/>
      <c r="CL88" s="1"/>
      <c r="CM88" s="1"/>
      <c r="CN88" s="1"/>
      <c r="CO88" s="1"/>
    </row>
    <row r="89" spans="1:93" ht="30" customHeight="1" x14ac:dyDescent="0.25">
      <c r="BT89" s="1"/>
      <c r="BU89" s="1"/>
      <c r="BV89" s="1"/>
      <c r="BW89" s="1"/>
      <c r="BX89" s="1"/>
      <c r="BY89" s="1"/>
      <c r="BZ89" s="1"/>
      <c r="CA89" s="1"/>
      <c r="CB89" s="1"/>
      <c r="CC89" s="1"/>
      <c r="CD89" s="1"/>
      <c r="CE89" s="1"/>
      <c r="CF89" s="1"/>
      <c r="CG89" s="1"/>
      <c r="CH89" s="1"/>
      <c r="CI89" s="1"/>
      <c r="CJ89" s="1"/>
      <c r="CK89" s="1"/>
      <c r="CL89" s="1"/>
      <c r="CM89" s="1"/>
      <c r="CN89" s="1"/>
      <c r="CO89" s="1"/>
    </row>
  </sheetData>
  <mergeCells count="8">
    <mergeCell ref="AE4:AH4"/>
    <mergeCell ref="AJ4:AM4"/>
    <mergeCell ref="A2:O2"/>
    <mergeCell ref="P2:U2"/>
    <mergeCell ref="V2:AA2"/>
    <mergeCell ref="P4:S4"/>
    <mergeCell ref="U4:X4"/>
    <mergeCell ref="Z4:AC4"/>
  </mergeCells>
  <conditionalFormatting sqref="H73:I75 H11:I71">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P6:AT6">
    <cfRule type="expression" dxfId="8" priority="4">
      <formula>P$7&lt;=EOMONTH($P$7,0)</formula>
    </cfRule>
  </conditionalFormatting>
  <conditionalFormatting sqref="P6:BS6">
    <cfRule type="expression" dxfId="7" priority="2">
      <formula>AND(P$7&lt;=EOMONTH($P$7,1),P$7&gt;EOMONTH($P$7,0))</formula>
    </cfRule>
  </conditionalFormatting>
  <conditionalFormatting sqref="P7:BS76">
    <cfRule type="expression" dxfId="6" priority="1">
      <formula>AND(TODAY()&gt;=P$7,TODAY()&lt;Q$7)</formula>
    </cfRule>
  </conditionalFormatting>
  <conditionalFormatting sqref="P12:BS54 P55:BM75 Q55:BS76 P56:P76">
    <cfRule type="expression" dxfId="5" priority="386" stopIfTrue="1">
      <formula>AND($F12="Riesgo alto",P$7&gt;=$J12,P$7&lt;=$J12+$L12-1)</formula>
    </cfRule>
    <cfRule type="expression" dxfId="4" priority="387" stopIfTrue="1">
      <formula>AND($F12="Según lo previsto",P$7&gt;=$J12,P$7&lt;=$J12+$L12-1)</formula>
    </cfRule>
    <cfRule type="expression" dxfId="3" priority="388" stopIfTrue="1">
      <formula>AND($F12="Riesgo medio",P$7&gt;=$J12,P$7&lt;=$J12+$L12-1)</formula>
    </cfRule>
    <cfRule type="expression" dxfId="2" priority="389" stopIfTrue="1">
      <formula>AND(LEN($F12)=0,P$7&gt;=$J12,P$7&lt;=$J12+$L12-1)</formula>
    </cfRule>
  </conditionalFormatting>
  <conditionalFormatting sqref="Q6:BS6">
    <cfRule type="expression" dxfId="1" priority="3">
      <formula>AND(Q$7&lt;=EOMONTH($P$7,2),Q$7&gt;EOMONTH($P$7,0),Q$7&gt;EOMONTH($P$7,1))</formula>
    </cfRule>
  </conditionalFormatting>
  <conditionalFormatting sqref="Q55:BS76 P56:P76 P12:BS54 P55:BM75">
    <cfRule type="expression" dxfId="0" priority="385" stopIfTrue="1">
      <formula>AND($F12="Riesgo bajo",P$7&gt;=$J12,P$7&lt;=$J12+$L12-1)</formula>
    </cfRule>
  </conditionalFormatting>
  <dataValidations count="2">
    <dataValidation type="whole" operator="greaterThanOrEqual" allowBlank="1" showInputMessage="1" promptTitle="Incremento de desplazamiento" prompt="Al cambiar este número, se desplazará la vista del diagrama de Gantt." sqref="E7" xr:uid="{662A47A0-7258-440E-8D71-BC54CBC9C651}">
      <formula1>0</formula1>
    </dataValidation>
    <dataValidation type="list" allowBlank="1" showInputMessage="1" showErrorMessage="1" sqref="F12:F76" xr:uid="{12A8278F-D51D-4B98-A311-DB5FCD18D214}">
      <formula1>"Objetivo,Hito,Según lo previsto, Riesgo bajo, Riesgo medio, Riesgo alto"</formula1>
    </dataValidation>
  </dataValidations>
  <hyperlinks>
    <hyperlink ref="A16" r:id="rId1" xr:uid="{32BA6ECB-9C5C-4A6A-A3FB-1BFE42202F1F}"/>
  </hyperlinks>
  <pageMargins left="0.51181102362204722" right="0.51181102362204722" top="0.74803149606299213" bottom="0.74803149606299213" header="0.31496062992125984" footer="0.31496062992125984"/>
  <pageSetup paperSize="5" fitToHeight="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16385" r:id="rId5" name="Barra de desplazamiento 1">
              <controlPr defaultSize="0" autoPict="0" altText="Barra de desplazamiento para desplazarse por la escala de tiempo del proyecto Ghantt.">
                <anchor moveWithCells="1">
                  <from>
                    <xdr:col>15</xdr:col>
                    <xdr:colOff>28575</xdr:colOff>
                    <xdr:row>7</xdr:row>
                    <xdr:rowOff>57150</xdr:rowOff>
                  </from>
                  <to>
                    <xdr:col>97</xdr:col>
                    <xdr:colOff>38100</xdr:colOff>
                    <xdr:row>8</xdr:row>
                    <xdr:rowOff>0</xdr:rowOff>
                  </to>
                </anchor>
              </controlPr>
            </control>
          </mc:Choice>
        </mc:AlternateContent>
      </controls>
    </mc:Choice>
  </mc:AlternateContent>
  <tableParts count="1">
    <tablePart r:id="rId6"/>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H73:I75 H11:I71</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P76:BM76</xm:sqref>
        </x14:conditionalFormatting>
        <x14:conditionalFormatting xmlns:xm="http://schemas.microsoft.com/office/excel/2006/main">
          <x14:cfRule type="iconSet" priority="390"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P12:BS54 P56:P76 P55:BM75 Q55:BS76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CBA4E-D9E6-41AD-B7E5-76EB3CDDAA33}">
  <dimension ref="A1:J16"/>
  <sheetViews>
    <sheetView workbookViewId="0">
      <selection activeCell="I19" sqref="I19"/>
    </sheetView>
  </sheetViews>
  <sheetFormatPr baseColWidth="10" defaultColWidth="11.42578125" defaultRowHeight="15" x14ac:dyDescent="0.25"/>
  <cols>
    <col min="1" max="1" width="3.28515625" customWidth="1"/>
    <col min="2" max="2" width="19.5703125" customWidth="1"/>
    <col min="3" max="3" width="15.28515625" customWidth="1"/>
    <col min="4" max="4" width="33" customWidth="1"/>
    <col min="5" max="5" width="18.7109375" customWidth="1"/>
    <col min="7" max="7" width="15.5703125" bestFit="1" customWidth="1"/>
    <col min="8" max="8" width="22.140625" customWidth="1"/>
    <col min="10" max="10" width="15.7109375" customWidth="1"/>
  </cols>
  <sheetData>
    <row r="1" spans="1:10" x14ac:dyDescent="0.25">
      <c r="A1" s="36"/>
      <c r="B1" s="36"/>
      <c r="C1" s="36"/>
      <c r="D1" s="36"/>
      <c r="E1" s="36"/>
      <c r="F1" s="36"/>
      <c r="G1" s="36"/>
      <c r="H1" s="36"/>
      <c r="I1" s="36"/>
      <c r="J1" s="36"/>
    </row>
    <row r="2" spans="1:10" x14ac:dyDescent="0.25">
      <c r="A2" s="36"/>
      <c r="B2" s="108" t="s">
        <v>94</v>
      </c>
      <c r="C2" s="108" t="s">
        <v>95</v>
      </c>
      <c r="D2" s="108" t="s">
        <v>96</v>
      </c>
      <c r="E2" s="108" t="s">
        <v>97</v>
      </c>
      <c r="F2" s="108" t="s">
        <v>98</v>
      </c>
      <c r="G2" s="108" t="s">
        <v>99</v>
      </c>
      <c r="H2" s="108" t="s">
        <v>100</v>
      </c>
      <c r="I2" s="108" t="s">
        <v>101</v>
      </c>
      <c r="J2" s="108"/>
    </row>
    <row r="3" spans="1:10" x14ac:dyDescent="0.25">
      <c r="A3" s="36"/>
      <c r="B3" s="36"/>
      <c r="C3" s="36"/>
      <c r="D3" s="36"/>
      <c r="E3" s="36"/>
      <c r="F3" s="110"/>
      <c r="G3" s="36"/>
      <c r="H3" s="117"/>
      <c r="I3" s="117"/>
      <c r="J3" s="117"/>
    </row>
    <row r="4" spans="1:10" x14ac:dyDescent="0.25">
      <c r="A4" s="36"/>
      <c r="B4" s="115">
        <v>45859</v>
      </c>
      <c r="C4" s="115">
        <v>45877</v>
      </c>
      <c r="D4" s="36" t="s">
        <v>102</v>
      </c>
      <c r="E4" s="111">
        <v>25000</v>
      </c>
      <c r="F4" s="112">
        <v>1340</v>
      </c>
      <c r="G4" s="112">
        <f>E4*F4</f>
        <v>33500000</v>
      </c>
      <c r="H4" s="120">
        <v>4.9500000000000002E-2</v>
      </c>
      <c r="I4" s="120">
        <v>7.4200000000000002E-2</v>
      </c>
      <c r="J4" s="117"/>
    </row>
    <row r="5" spans="1:10" x14ac:dyDescent="0.25">
      <c r="A5" s="36"/>
      <c r="B5" s="116"/>
      <c r="C5" s="116"/>
      <c r="D5" s="36" t="s">
        <v>103</v>
      </c>
      <c r="E5" s="111"/>
      <c r="F5" s="112"/>
      <c r="G5" s="112"/>
      <c r="H5" s="117"/>
      <c r="I5" s="117"/>
      <c r="J5" s="117"/>
    </row>
    <row r="6" spans="1:10" x14ac:dyDescent="0.25">
      <c r="A6" s="36"/>
      <c r="B6" s="116"/>
      <c r="C6" s="116"/>
      <c r="D6" s="36"/>
      <c r="E6" s="111"/>
      <c r="F6" s="112"/>
      <c r="G6" s="112"/>
      <c r="H6" s="117"/>
      <c r="I6" s="117"/>
      <c r="J6" s="117"/>
    </row>
    <row r="7" spans="1:10" x14ac:dyDescent="0.25">
      <c r="A7" s="36"/>
      <c r="B7" s="116"/>
      <c r="C7" s="116"/>
      <c r="D7" s="36" t="s">
        <v>104</v>
      </c>
      <c r="E7" s="109">
        <v>1001.87</v>
      </c>
      <c r="F7" s="112">
        <v>1340</v>
      </c>
      <c r="G7" s="112">
        <f t="shared" ref="G7:G12" si="0">E7*F7</f>
        <v>1342505.8</v>
      </c>
      <c r="H7" s="118">
        <f>(H4)*270/365*E4</f>
        <v>915.41095890410963</v>
      </c>
      <c r="I7" s="118">
        <f>(I4)*17/365*E4</f>
        <v>86.397260273972606</v>
      </c>
      <c r="J7" s="117"/>
    </row>
    <row r="8" spans="1:10" x14ac:dyDescent="0.25">
      <c r="A8" s="36"/>
      <c r="B8" s="116"/>
      <c r="C8" s="116"/>
      <c r="D8" s="36"/>
      <c r="E8" s="109"/>
      <c r="F8" s="112"/>
      <c r="G8" s="112"/>
      <c r="H8" s="117"/>
      <c r="I8" s="117"/>
      <c r="J8" s="117"/>
    </row>
    <row r="9" spans="1:10" x14ac:dyDescent="0.25">
      <c r="A9" s="36"/>
      <c r="B9" s="116"/>
      <c r="C9" s="116"/>
      <c r="D9" s="36" t="s">
        <v>105</v>
      </c>
      <c r="E9" s="109">
        <v>105.2</v>
      </c>
      <c r="F9" s="112">
        <v>1340</v>
      </c>
      <c r="G9" s="112">
        <f t="shared" si="0"/>
        <v>140968</v>
      </c>
      <c r="H9" s="118">
        <f>H7*10.5/100</f>
        <v>96.118150684931521</v>
      </c>
      <c r="I9" s="118">
        <f>I7*10.5/100</f>
        <v>9.0717123287671235</v>
      </c>
      <c r="J9" s="117"/>
    </row>
    <row r="10" spans="1:10" x14ac:dyDescent="0.25">
      <c r="A10" s="36"/>
      <c r="B10" s="116"/>
      <c r="C10" s="116"/>
      <c r="D10" s="36" t="s">
        <v>106</v>
      </c>
      <c r="E10" s="109"/>
      <c r="F10" s="112"/>
      <c r="G10" s="112"/>
      <c r="H10" s="117"/>
      <c r="I10" s="117"/>
      <c r="J10" s="117"/>
    </row>
    <row r="11" spans="1:10" x14ac:dyDescent="0.25">
      <c r="A11" s="36"/>
      <c r="B11" s="116"/>
      <c r="C11" s="116"/>
      <c r="D11" s="36"/>
      <c r="E11" s="109"/>
      <c r="F11" s="112"/>
      <c r="G11" s="112"/>
      <c r="H11" s="117"/>
      <c r="I11" s="117"/>
      <c r="J11" s="117"/>
    </row>
    <row r="12" spans="1:10" x14ac:dyDescent="0.25">
      <c r="A12" s="36"/>
      <c r="B12" s="116"/>
      <c r="C12" s="116"/>
      <c r="D12" s="36" t="s">
        <v>107</v>
      </c>
      <c r="E12" s="109">
        <v>15.03</v>
      </c>
      <c r="F12" s="112">
        <v>1340</v>
      </c>
      <c r="G12" s="112">
        <f t="shared" si="0"/>
        <v>20140.2</v>
      </c>
      <c r="H12" s="118">
        <f>H7*0.015</f>
        <v>13.731164383561644</v>
      </c>
      <c r="I12" s="118">
        <f>I7*0.015</f>
        <v>1.2959589041095891</v>
      </c>
      <c r="J12" s="117"/>
    </row>
    <row r="13" spans="1:10" x14ac:dyDescent="0.25">
      <c r="A13" s="36"/>
      <c r="B13" s="36"/>
      <c r="C13" s="36"/>
      <c r="D13" s="36"/>
      <c r="E13" s="36"/>
      <c r="F13" s="36"/>
      <c r="G13" s="36"/>
      <c r="H13" s="117"/>
      <c r="I13" s="117"/>
      <c r="J13" s="117"/>
    </row>
    <row r="14" spans="1:10" x14ac:dyDescent="0.25">
      <c r="A14" s="36"/>
      <c r="B14" s="36"/>
      <c r="C14" s="36"/>
      <c r="D14" s="36"/>
      <c r="E14" s="36"/>
      <c r="F14" s="36"/>
      <c r="G14" s="36"/>
      <c r="H14" s="117"/>
      <c r="I14" s="117"/>
      <c r="J14" s="117"/>
    </row>
    <row r="15" spans="1:10" x14ac:dyDescent="0.25">
      <c r="A15" s="36"/>
      <c r="B15" s="113"/>
      <c r="C15" s="113"/>
      <c r="D15" s="113"/>
      <c r="E15" s="113"/>
      <c r="F15" s="113"/>
      <c r="G15" s="113"/>
      <c r="H15" s="119"/>
      <c r="I15" s="119"/>
      <c r="J15" s="119"/>
    </row>
    <row r="16" spans="1:10" x14ac:dyDescent="0.25">
      <c r="A16" s="36"/>
      <c r="B16" s="36"/>
      <c r="C16" s="36"/>
      <c r="D16" s="36"/>
      <c r="E16" s="109">
        <f t="shared" ref="E16" si="1">SUM(E4:E13)</f>
        <v>26122.1</v>
      </c>
      <c r="F16" s="114"/>
      <c r="G16" s="114">
        <f>SUM(G4:G13)</f>
        <v>35003614</v>
      </c>
      <c r="H16" s="36"/>
      <c r="I16" s="36"/>
      <c r="J16" s="3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0AD7A-9785-427D-9D18-7B0788F3B621}">
  <dimension ref="B1:I16"/>
  <sheetViews>
    <sheetView workbookViewId="0">
      <selection activeCell="D20" sqref="D20"/>
    </sheetView>
  </sheetViews>
  <sheetFormatPr baseColWidth="10" defaultColWidth="11.42578125" defaultRowHeight="15" x14ac:dyDescent="0.25"/>
  <cols>
    <col min="1" max="1" width="2.42578125" customWidth="1"/>
    <col min="2" max="2" width="19.5703125" customWidth="1"/>
    <col min="3" max="3" width="15.28515625" customWidth="1"/>
    <col min="4" max="4" width="33" customWidth="1"/>
    <col min="5" max="5" width="18.7109375" customWidth="1"/>
    <col min="7" max="7" width="15.5703125" bestFit="1" customWidth="1"/>
    <col min="8" max="8" width="22.140625" customWidth="1"/>
    <col min="9" max="9" width="27.5703125" bestFit="1" customWidth="1"/>
  </cols>
  <sheetData>
    <row r="1" spans="2:9" x14ac:dyDescent="0.25">
      <c r="B1" s="36"/>
      <c r="C1" s="36"/>
      <c r="D1" s="36"/>
      <c r="E1" s="36"/>
      <c r="F1" s="36"/>
      <c r="G1" s="36"/>
      <c r="H1" s="36"/>
      <c r="I1" s="36"/>
    </row>
    <row r="2" spans="2:9" x14ac:dyDescent="0.25">
      <c r="B2" s="108" t="s">
        <v>94</v>
      </c>
      <c r="C2" s="108" t="s">
        <v>95</v>
      </c>
      <c r="D2" s="108" t="s">
        <v>96</v>
      </c>
      <c r="E2" s="108" t="s">
        <v>97</v>
      </c>
      <c r="F2" s="108" t="s">
        <v>98</v>
      </c>
      <c r="G2" s="108" t="s">
        <v>99</v>
      </c>
      <c r="H2" s="108" t="s">
        <v>108</v>
      </c>
      <c r="I2" s="108" t="s">
        <v>101</v>
      </c>
    </row>
    <row r="3" spans="2:9" x14ac:dyDescent="0.25">
      <c r="B3" s="36"/>
      <c r="C3" s="36"/>
      <c r="D3" s="36"/>
      <c r="E3" s="36"/>
      <c r="F3" s="110"/>
      <c r="G3" s="36"/>
      <c r="H3" s="117"/>
      <c r="I3" s="117"/>
    </row>
    <row r="4" spans="2:9" x14ac:dyDescent="0.25">
      <c r="B4" s="115">
        <v>45807</v>
      </c>
      <c r="C4" s="115">
        <v>45820</v>
      </c>
      <c r="D4" s="36" t="s">
        <v>102</v>
      </c>
      <c r="E4" s="111">
        <v>20000</v>
      </c>
      <c r="F4" s="112">
        <v>1198</v>
      </c>
      <c r="G4" s="112">
        <f>E4*F4</f>
        <v>23960000</v>
      </c>
      <c r="H4" s="120">
        <v>0.04</v>
      </c>
      <c r="I4" s="120">
        <v>0.06</v>
      </c>
    </row>
    <row r="5" spans="2:9" x14ac:dyDescent="0.25">
      <c r="B5" s="116"/>
      <c r="C5" s="116"/>
      <c r="D5" s="36" t="s">
        <v>103</v>
      </c>
      <c r="E5" s="111"/>
      <c r="F5" s="112"/>
      <c r="G5" s="112"/>
      <c r="H5" s="117"/>
      <c r="I5" s="117"/>
    </row>
    <row r="6" spans="2:9" x14ac:dyDescent="0.25">
      <c r="B6" s="116"/>
      <c r="C6" s="116"/>
      <c r="D6" s="36"/>
      <c r="E6" s="111"/>
      <c r="F6" s="112"/>
      <c r="G6" s="112"/>
      <c r="H6" s="117"/>
      <c r="I6" s="117"/>
    </row>
    <row r="7" spans="2:9" x14ac:dyDescent="0.25">
      <c r="B7" s="116"/>
      <c r="C7" s="116"/>
      <c r="D7" s="36" t="s">
        <v>104</v>
      </c>
      <c r="E7" s="109">
        <v>503.01</v>
      </c>
      <c r="F7" s="112">
        <v>1198</v>
      </c>
      <c r="G7" s="112">
        <f t="shared" ref="G7:G12" si="0">E7*F7</f>
        <v>602605.98</v>
      </c>
      <c r="H7" s="118">
        <f>E4*H4*210/365</f>
        <v>460.27397260273972</v>
      </c>
      <c r="I7" s="118">
        <f>E4*I4*13/365</f>
        <v>42.739726027397261</v>
      </c>
    </row>
    <row r="8" spans="2:9" x14ac:dyDescent="0.25">
      <c r="B8" s="116"/>
      <c r="C8" s="116"/>
      <c r="D8" s="36"/>
      <c r="E8" s="109"/>
      <c r="F8" s="112"/>
      <c r="G8" s="112"/>
      <c r="H8" s="117"/>
      <c r="I8" s="117"/>
    </row>
    <row r="9" spans="2:9" x14ac:dyDescent="0.25">
      <c r="B9" s="116"/>
      <c r="C9" s="116"/>
      <c r="D9" s="36" t="s">
        <v>105</v>
      </c>
      <c r="E9" s="109">
        <v>52.82</v>
      </c>
      <c r="F9" s="112">
        <v>1198</v>
      </c>
      <c r="G9" s="112">
        <f t="shared" si="0"/>
        <v>63278.36</v>
      </c>
      <c r="H9" s="118">
        <f>H7*0.105</f>
        <v>48.328767123287669</v>
      </c>
      <c r="I9" s="118">
        <f>I7*0.105</f>
        <v>4.4876712328767123</v>
      </c>
    </row>
    <row r="10" spans="2:9" x14ac:dyDescent="0.25">
      <c r="B10" s="116"/>
      <c r="C10" s="116"/>
      <c r="D10" s="36" t="s">
        <v>106</v>
      </c>
      <c r="E10" s="109"/>
      <c r="F10" s="112"/>
      <c r="G10" s="112"/>
      <c r="H10" s="117"/>
      <c r="I10" s="117"/>
    </row>
    <row r="11" spans="2:9" x14ac:dyDescent="0.25">
      <c r="B11" s="116"/>
      <c r="C11" s="116"/>
      <c r="D11" s="36"/>
      <c r="E11" s="109"/>
      <c r="F11" s="112"/>
      <c r="G11" s="112"/>
      <c r="H11" s="117"/>
      <c r="I11" s="117"/>
    </row>
    <row r="12" spans="2:9" x14ac:dyDescent="0.25">
      <c r="B12" s="116"/>
      <c r="C12" s="116"/>
      <c r="D12" s="36" t="s">
        <v>107</v>
      </c>
      <c r="E12" s="109">
        <v>7.55</v>
      </c>
      <c r="F12" s="112">
        <v>1198</v>
      </c>
      <c r="G12" s="112">
        <f t="shared" si="0"/>
        <v>9044.9</v>
      </c>
      <c r="H12" s="118">
        <f>H7*0.015</f>
        <v>6.904109589041096</v>
      </c>
      <c r="I12" s="118">
        <f>I7*0.015</f>
        <v>0.64109589041095894</v>
      </c>
    </row>
    <row r="13" spans="2:9" x14ac:dyDescent="0.25">
      <c r="B13" s="36"/>
      <c r="C13" s="36"/>
      <c r="D13" s="36"/>
      <c r="E13" s="36"/>
      <c r="F13" s="36"/>
      <c r="G13" s="36"/>
      <c r="H13" s="117"/>
      <c r="I13" s="117"/>
    </row>
    <row r="14" spans="2:9" x14ac:dyDescent="0.25">
      <c r="B14" s="36"/>
      <c r="C14" s="36"/>
      <c r="D14" s="36"/>
      <c r="E14" s="36"/>
      <c r="F14" s="36"/>
      <c r="G14" s="36"/>
      <c r="H14" s="117"/>
      <c r="I14" s="117"/>
    </row>
    <row r="15" spans="2:9" x14ac:dyDescent="0.25">
      <c r="B15" s="113"/>
      <c r="C15" s="113"/>
      <c r="D15" s="113"/>
      <c r="E15" s="113"/>
      <c r="F15" s="113"/>
      <c r="G15" s="113"/>
      <c r="H15" s="119"/>
      <c r="I15" s="119"/>
    </row>
    <row r="16" spans="2:9" x14ac:dyDescent="0.25">
      <c r="B16" s="36"/>
      <c r="C16" s="36"/>
      <c r="D16" s="36"/>
      <c r="E16" s="109">
        <f t="shared" ref="E16:G16" si="1">SUM(E4:E13)</f>
        <v>20563.379999999997</v>
      </c>
      <c r="F16" s="114"/>
      <c r="G16" s="114">
        <f t="shared" si="1"/>
        <v>24634929.239999998</v>
      </c>
      <c r="H16" s="36"/>
      <c r="I16" s="3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9060724-9CA2-4290-8A0C-B53624A594E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Ligero</vt:lpstr>
      <vt:lpstr>CREDITO MACRO FW 120tn 3,5% $30</vt:lpstr>
      <vt:lpstr>CREDITO MACRO FW 90tn 3,5% $295</vt:lpstr>
      <vt:lpstr>Ligero!Incremento_de_desplazamiento</vt:lpstr>
      <vt:lpstr>Ligero!Inicio_del_proyecto</vt:lpstr>
      <vt:lpstr>Ligero!Títulos_a_imprimir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2021-02-17T05:31:39Z</dcterms:created>
  <dcterms:modified xsi:type="dcterms:W3CDTF">2026-02-26T12:11:25Z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