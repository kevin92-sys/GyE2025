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omments1.xml" ContentType="application/vnd.openxmlformats-officedocument.spreadsheetml.comments+xml"/>
  <Override PartName="/xl/tables/table3.xml" ContentType="application/vnd.openxmlformats-officedocument.spreadsheetml.table+xml"/>
  <Override PartName="/xl/comments2.xml" ContentType="application/vnd.openxmlformats-officedocument.spreadsheetml.comments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drawings/drawing1.xml" ContentType="application/vnd.openxmlformats-officedocument.drawing+xml"/>
  <Override PartName="/xl/ctrlProps/ctrlProp1.xml" ContentType="application/vnd.ms-excel.controlproperties+xml"/>
  <Override PartName="/xl/pivotTables/pivotTable1.xml" ContentType="application/vnd.openxmlformats-officedocument.spreadsheetml.pivotTable+xml"/>
  <Override PartName="/xl/drawings/drawing2.xml" ContentType="application/vnd.openxmlformats-officedocument.drawing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charts/chartEx2.xml" ContentType="application/vnd.ms-office.chartex+xml"/>
  <Override PartName="/xl/charts/style2.xml" ContentType="application/vnd.ms-office.chartstyle+xml"/>
  <Override PartName="/xl/charts/colors2.xml" ContentType="application/vnd.ms-office.chartcolorstyle+xml"/>
  <Override PartName="/xl/charts/chartEx3.xml" ContentType="application/vnd.ms-office.chartex+xml"/>
  <Override PartName="/xl/charts/style3.xml" ContentType="application/vnd.ms-office.chartstyle+xml"/>
  <Override PartName="/xl/charts/colors3.xml" ContentType="application/vnd.ms-office.chartcolorstyle+xml"/>
  <Override PartName="/xl/charts/chart1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Ex4.xml" ContentType="application/vnd.ms-office.chartex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hidePivotFieldList="1"/>
  <mc:AlternateContent xmlns:mc="http://schemas.openxmlformats.org/markup-compatibility/2006">
    <mc:Choice Requires="x15">
      <x15ac:absPath xmlns:x15ac="http://schemas.microsoft.com/office/spreadsheetml/2010/11/ac" url="C:\Users\Kevin\Dropbox\Administracion\2025\FINANZAS 2025\"/>
    </mc:Choice>
  </mc:AlternateContent>
  <xr:revisionPtr revIDLastSave="0" documentId="13_ncr:1_{0C3B2E17-B909-410B-8205-AEE96FD55302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2024" sheetId="9" r:id="rId1"/>
    <sheet name="2025" sheetId="3" r:id="rId2"/>
    <sheet name="2026" sheetId="8" r:id="rId3"/>
    <sheet name="TRATAMIENTOS" sheetId="6" r:id="rId4"/>
    <sheet name="MB-TERNERO" sheetId="5" r:id="rId5"/>
    <sheet name="PESADA" sheetId="4" r:id="rId6"/>
  </sheets>
  <externalReferences>
    <externalReference r:id="rId7"/>
    <externalReference r:id="rId8"/>
    <externalReference r:id="rId9"/>
  </externalReferences>
  <definedNames>
    <definedName name="_xlchart.v1.0" hidden="1">PESADA!$D$2:$D$44</definedName>
    <definedName name="_xlchart.v1.1" hidden="1">PESADA!$D$52:$D$335</definedName>
    <definedName name="_xlchart.v1.2" hidden="1">PESADA!$D$2:$D$44</definedName>
    <definedName name="_xlchart.v1.3" hidden="1">PESADA!$D$52:$D$335</definedName>
    <definedName name="ACT" localSheetId="1">#REF!</definedName>
    <definedName name="ACT">#REF!</definedName>
    <definedName name="ACTIVIDAD" localSheetId="1">[1]LISTAS!$A$3:$A$17</definedName>
    <definedName name="ACTIVIDAD">#REF!</definedName>
    <definedName name="ADMINISTRACION" localSheetId="1">#REF!</definedName>
    <definedName name="ADMINISTRACION">#REF!</definedName>
    <definedName name="AGRICULTURA" localSheetId="1">#REF!</definedName>
    <definedName name="AGRICULTURA">#REF!</definedName>
    <definedName name="_xlnm.Print_Area" localSheetId="4">'MB-TERNERO'!$B$1:$G$36</definedName>
    <definedName name="BASEDATOS" localSheetId="1">#REF!</definedName>
    <definedName name="BASEDATOS">#REF!</definedName>
    <definedName name="BOVINOS" localSheetId="1">#REF!</definedName>
    <definedName name="BOVINOS">#REF!</definedName>
    <definedName name="CAPRINOS" localSheetId="1">#REF!</definedName>
    <definedName name="CAPRINOS">#REF!</definedName>
    <definedName name="COMBUSTIBLE" localSheetId="1">#REF!</definedName>
    <definedName name="COMBUSTIBLE">#REF!</definedName>
    <definedName name="EST" localSheetId="1">#REF!</definedName>
    <definedName name="EST">#REF!</definedName>
    <definedName name="ESTADO">[1]LISTAS!$O$3:$O$6</definedName>
    <definedName name="ESTRUCTURA" localSheetId="1">#REF!</definedName>
    <definedName name="ESTRUCTURA">#REF!</definedName>
    <definedName name="FORRAJE" localSheetId="1">#REF!</definedName>
    <definedName name="FORRAJE">#REF!</definedName>
    <definedName name="FR" localSheetId="1">#REF!</definedName>
    <definedName name="FR">#REF!</definedName>
    <definedName name="g" localSheetId="4">'MB-TERNERO'!$G$3</definedName>
    <definedName name="g">#REF!</definedName>
    <definedName name="GANADERIA" localSheetId="1">#REF!</definedName>
    <definedName name="GANADERIA">#REF!</definedName>
    <definedName name="GENERAL" localSheetId="1">#REF!</definedName>
    <definedName name="GENERAL">#REF!</definedName>
    <definedName name="GORDO" localSheetId="4">'MB-TERNERO'!#REF!</definedName>
    <definedName name="GORDO">#REF!</definedName>
    <definedName name="GORDO_MB" localSheetId="4">'MB-TERNERO'!$G$3</definedName>
    <definedName name="GORDO_MB">#REF!</definedName>
    <definedName name="IMPUESTOS" localSheetId="1">#REF!</definedName>
    <definedName name="IMPUESTOS">#REF!</definedName>
    <definedName name="INTERESES" localSheetId="1">#REF!</definedName>
    <definedName name="INTERESES">#REF!</definedName>
    <definedName name="INVENADA_MB" localSheetId="4">'MB-TERNERO'!$G$4</definedName>
    <definedName name="INVENADA_MB">#REF!</definedName>
    <definedName name="MAQUINARIA" localSheetId="1">#REF!</definedName>
    <definedName name="MAQUINARIA">#REF!</definedName>
    <definedName name="MB_CCF" localSheetId="4">'MB-TERNERO'!$G$38</definedName>
    <definedName name="MB_CCF">#REF!</definedName>
    <definedName name="OVINO" localSheetId="1">#REF!</definedName>
    <definedName name="OVINO">#REF!</definedName>
    <definedName name="PORCINOS" localSheetId="1">#REF!</definedName>
    <definedName name="PORCINOS">#REF!</definedName>
    <definedName name="SEGUROS" localSheetId="1">#REF!</definedName>
    <definedName name="SEGUROS">#REF!</definedName>
    <definedName name="SEMILLAS">[2]!Tabla4[#All]</definedName>
    <definedName name="SOCIOS" localSheetId="1">#REF!</definedName>
    <definedName name="SOCIOS">#REF!</definedName>
    <definedName name="SUELDOS" localSheetId="1">#REF!</definedName>
    <definedName name="SUELDOS">#REF!</definedName>
    <definedName name="TIPO_FACT">[1]LISTAS!$S$3:$S$7</definedName>
  </definedNames>
  <calcPr calcId="191029"/>
  <pivotCaches>
    <pivotCache cacheId="0" r:id="rId10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P10" i="9" l="1"/>
  <c r="L10" i="9"/>
  <c r="M10" i="9" s="1"/>
  <c r="O10" i="9" s="1"/>
  <c r="H10" i="9"/>
  <c r="F10" i="9"/>
  <c r="L9" i="9"/>
  <c r="M9" i="9" s="1"/>
  <c r="H9" i="9"/>
  <c r="F9" i="9"/>
  <c r="L8" i="9"/>
  <c r="M8" i="9" s="1"/>
  <c r="H8" i="9"/>
  <c r="F8" i="9"/>
  <c r="L7" i="9"/>
  <c r="M7" i="9" s="1"/>
  <c r="F7" i="9"/>
  <c r="L6" i="9"/>
  <c r="M6" i="9" s="1"/>
  <c r="F6" i="9"/>
  <c r="R5" i="9"/>
  <c r="Y5" i="9" s="1"/>
  <c r="O5" i="9"/>
  <c r="V5" i="9" s="1"/>
  <c r="M5" i="9"/>
  <c r="L5" i="9"/>
  <c r="F5" i="9"/>
  <c r="H5" i="9" s="1"/>
  <c r="F4" i="9"/>
  <c r="J4" i="9" s="1"/>
  <c r="F3" i="9"/>
  <c r="I3" i="9" s="1"/>
  <c r="P17" i="8"/>
  <c r="N17" i="8"/>
  <c r="F17" i="8"/>
  <c r="I17" i="8" s="1"/>
  <c r="N16" i="8"/>
  <c r="P16" i="8" s="1"/>
  <c r="F16" i="8"/>
  <c r="H16" i="8" s="1"/>
  <c r="I16" i="8" s="1"/>
  <c r="N15" i="8"/>
  <c r="P15" i="8" s="1"/>
  <c r="F15" i="8"/>
  <c r="H15" i="8" s="1"/>
  <c r="I15" i="8" s="1"/>
  <c r="N14" i="8"/>
  <c r="P14" i="8" s="1"/>
  <c r="F14" i="8"/>
  <c r="H14" i="8" s="1"/>
  <c r="I14" i="8" s="1"/>
  <c r="S13" i="8"/>
  <c r="F13" i="8"/>
  <c r="H13" i="8" s="1"/>
  <c r="I13" i="8" s="1"/>
  <c r="N12" i="8"/>
  <c r="P12" i="8" s="1"/>
  <c r="J12" i="8"/>
  <c r="H12" i="8"/>
  <c r="I12" i="8" s="1"/>
  <c r="M12" i="8" s="1"/>
  <c r="F12" i="8"/>
  <c r="S11" i="8"/>
  <c r="P11" i="8"/>
  <c r="W11" i="8" s="1"/>
  <c r="Z11" i="8" s="1"/>
  <c r="N11" i="8"/>
  <c r="I11" i="8"/>
  <c r="M11" i="8" s="1"/>
  <c r="H11" i="8"/>
  <c r="F11" i="8"/>
  <c r="N10" i="8"/>
  <c r="P10" i="8" s="1"/>
  <c r="I10" i="8"/>
  <c r="H10" i="8"/>
  <c r="F10" i="8"/>
  <c r="N9" i="8"/>
  <c r="P9" i="8" s="1"/>
  <c r="I9" i="8"/>
  <c r="H9" i="8"/>
  <c r="F9" i="8"/>
  <c r="N8" i="8"/>
  <c r="P8" i="8" s="1"/>
  <c r="I8" i="8"/>
  <c r="H8" i="8"/>
  <c r="F8" i="8"/>
  <c r="N7" i="8"/>
  <c r="P7" i="8" s="1"/>
  <c r="I7" i="8"/>
  <c r="H7" i="8"/>
  <c r="F7" i="8"/>
  <c r="I6" i="8"/>
  <c r="N6" i="8" s="1"/>
  <c r="P6" i="8" s="1"/>
  <c r="W6" i="8" s="1"/>
  <c r="Z6" i="8" s="1"/>
  <c r="F6" i="8"/>
  <c r="F5" i="8"/>
  <c r="I5" i="8" s="1"/>
  <c r="F4" i="8"/>
  <c r="I4" i="8" s="1"/>
  <c r="N3" i="8"/>
  <c r="P3" i="8" s="1"/>
  <c r="W3" i="8" s="1"/>
  <c r="Z3" i="8" s="1"/>
  <c r="M3" i="8"/>
  <c r="H3" i="8"/>
  <c r="F3" i="8"/>
  <c r="F1" i="8"/>
  <c r="E1" i="8"/>
  <c r="D1" i="8"/>
  <c r="N19" i="3"/>
  <c r="P19" i="3" s="1"/>
  <c r="S19" i="3" s="1"/>
  <c r="W19" i="3" s="1"/>
  <c r="X19" i="3" s="1"/>
  <c r="N20" i="3"/>
  <c r="P20" i="3" s="1"/>
  <c r="S20" i="3" s="1"/>
  <c r="W20" i="3" s="1"/>
  <c r="X20" i="3" s="1"/>
  <c r="M4" i="9" l="1"/>
  <c r="L4" i="9"/>
  <c r="O8" i="9"/>
  <c r="V8" i="9" s="1"/>
  <c r="Y8" i="9" s="1"/>
  <c r="R8" i="9"/>
  <c r="O7" i="9"/>
  <c r="R7" i="9"/>
  <c r="V10" i="9"/>
  <c r="Y10" i="9" s="1"/>
  <c r="R10" i="9"/>
  <c r="L3" i="9"/>
  <c r="M3" i="9" s="1"/>
  <c r="O3" i="9" s="1"/>
  <c r="O6" i="9"/>
  <c r="V6" i="9" s="1"/>
  <c r="Y6" i="9" s="1"/>
  <c r="R6" i="9"/>
  <c r="O9" i="9"/>
  <c r="R9" i="9"/>
  <c r="N5" i="8"/>
  <c r="P5" i="8" s="1"/>
  <c r="W5" i="8" s="1"/>
  <c r="Z5" i="8" s="1"/>
  <c r="M5" i="8"/>
  <c r="S16" i="8"/>
  <c r="W16" i="8" s="1"/>
  <c r="Z16" i="8" s="1"/>
  <c r="S8" i="8"/>
  <c r="W8" i="8"/>
  <c r="Z8" i="8" s="1"/>
  <c r="S9" i="8"/>
  <c r="W9" i="8"/>
  <c r="Z9" i="8" s="1"/>
  <c r="S10" i="8"/>
  <c r="W10" i="8"/>
  <c r="Z10" i="8" s="1"/>
  <c r="S15" i="8"/>
  <c r="W15" i="8" s="1"/>
  <c r="Z15" i="8" s="1"/>
  <c r="S12" i="8"/>
  <c r="W12" i="8" s="1"/>
  <c r="Z12" i="8" s="1"/>
  <c r="S14" i="8"/>
  <c r="W14" i="8" s="1"/>
  <c r="Z14" i="8" s="1"/>
  <c r="S7" i="8"/>
  <c r="W7" i="8"/>
  <c r="Z7" i="8" s="1"/>
  <c r="M4" i="8"/>
  <c r="N4" i="8"/>
  <c r="P4" i="8" s="1"/>
  <c r="W4" i="8" s="1"/>
  <c r="Z4" i="8" s="1"/>
  <c r="Z1" i="8" s="1"/>
  <c r="M6" i="8"/>
  <c r="S17" i="8"/>
  <c r="W17" i="8" s="1"/>
  <c r="Z17" i="8" s="1"/>
  <c r="Z20" i="3"/>
  <c r="Z19" i="3"/>
  <c r="R3" i="9" l="1"/>
  <c r="Y3" i="9" s="1"/>
  <c r="V9" i="9"/>
  <c r="Y9" i="9" s="1"/>
  <c r="P7" i="9"/>
  <c r="V7" i="9"/>
  <c r="Y7" i="9" s="1"/>
  <c r="R4" i="9"/>
  <c r="V4" i="9"/>
  <c r="Y4" i="9" s="1"/>
  <c r="O4" i="9"/>
  <c r="F20" i="3"/>
  <c r="H20" i="3" s="1"/>
  <c r="F19" i="3"/>
  <c r="H19" i="3" s="1"/>
  <c r="N18" i="3"/>
  <c r="P18" i="3" s="1"/>
  <c r="F18" i="3"/>
  <c r="H18" i="3" s="1"/>
  <c r="N15" i="3"/>
  <c r="P15" i="3" s="1"/>
  <c r="N16" i="3"/>
  <c r="P16" i="3" s="1"/>
  <c r="N17" i="3"/>
  <c r="P17" i="3" s="1"/>
  <c r="S17" i="3" s="1"/>
  <c r="F17" i="3"/>
  <c r="H17" i="3" s="1"/>
  <c r="F5" i="3"/>
  <c r="F6" i="3"/>
  <c r="F7" i="3"/>
  <c r="F8" i="3"/>
  <c r="F9" i="3"/>
  <c r="F10" i="3"/>
  <c r="F11" i="3"/>
  <c r="F12" i="3"/>
  <c r="F13" i="3"/>
  <c r="F16" i="3"/>
  <c r="H16" i="3" s="1"/>
  <c r="L14" i="3"/>
  <c r="V3" i="9" l="1"/>
  <c r="N14" i="3"/>
  <c r="L1" i="3"/>
  <c r="S18" i="3"/>
  <c r="W18" i="3" s="1"/>
  <c r="X18" i="3" s="1"/>
  <c r="W17" i="3"/>
  <c r="X17" i="3" s="1"/>
  <c r="S16" i="3"/>
  <c r="W16" i="3" s="1"/>
  <c r="X16" i="3" s="1"/>
  <c r="S15" i="3"/>
  <c r="W15" i="3" s="1"/>
  <c r="X15" i="3" s="1"/>
  <c r="P14" i="3"/>
  <c r="F15" i="3"/>
  <c r="H15" i="3" s="1"/>
  <c r="F14" i="3"/>
  <c r="H14" i="3" s="1"/>
  <c r="I96" i="4"/>
  <c r="Z15" i="3" l="1"/>
  <c r="Z16" i="3"/>
  <c r="Z18" i="3"/>
  <c r="Z17" i="3"/>
  <c r="S14" i="3"/>
  <c r="W14" i="3" s="1"/>
  <c r="X14" i="3" s="1"/>
  <c r="I13" i="3"/>
  <c r="N13" i="3" s="1"/>
  <c r="P13" i="3" s="1"/>
  <c r="W13" i="3" s="1"/>
  <c r="Z13" i="3" s="1"/>
  <c r="I12" i="3"/>
  <c r="N12" i="3" s="1"/>
  <c r="P12" i="3" s="1"/>
  <c r="W12" i="3" s="1"/>
  <c r="Z12" i="3" s="1"/>
  <c r="I11" i="3"/>
  <c r="N11" i="3" s="1"/>
  <c r="P11" i="3" s="1"/>
  <c r="W11" i="3" s="1"/>
  <c r="Z11" i="3" s="1"/>
  <c r="I8" i="3"/>
  <c r="N8" i="3" s="1"/>
  <c r="P8" i="3" s="1"/>
  <c r="W8" i="3" s="1"/>
  <c r="Z8" i="3" s="1"/>
  <c r="I10" i="3"/>
  <c r="N10" i="3" s="1"/>
  <c r="P10" i="3" s="1"/>
  <c r="W10" i="3" s="1"/>
  <c r="Z10" i="3" s="1"/>
  <c r="I9" i="3"/>
  <c r="N9" i="3" s="1"/>
  <c r="P9" i="3" s="1"/>
  <c r="W9" i="3" s="1"/>
  <c r="Z9" i="3" s="1"/>
  <c r="G28" i="5"/>
  <c r="P24" i="5" s="1"/>
  <c r="G25" i="5"/>
  <c r="G19" i="5"/>
  <c r="G15" i="5"/>
  <c r="F15" i="5" s="1"/>
  <c r="G14" i="5"/>
  <c r="F14" i="5" s="1"/>
  <c r="G13" i="5"/>
  <c r="F13" i="5"/>
  <c r="G12" i="5"/>
  <c r="F12" i="5"/>
  <c r="T11" i="5"/>
  <c r="T13" i="5" s="1"/>
  <c r="E9" i="5"/>
  <c r="F9" i="5" s="1"/>
  <c r="G9" i="5" s="1"/>
  <c r="W7" i="5"/>
  <c r="Y7" i="5" s="1"/>
  <c r="F5" i="5"/>
  <c r="D46" i="4"/>
  <c r="I6" i="3"/>
  <c r="N6" i="3" s="1"/>
  <c r="P6" i="3" s="1"/>
  <c r="W6" i="3" s="1"/>
  <c r="Z6" i="3" s="1"/>
  <c r="I7" i="3"/>
  <c r="N7" i="3" s="1"/>
  <c r="P7" i="3" s="1"/>
  <c r="W7" i="3" s="1"/>
  <c r="Z7" i="3" s="1"/>
  <c r="I5" i="3"/>
  <c r="N5" i="3" s="1"/>
  <c r="P5" i="3" s="1"/>
  <c r="W5" i="3" s="1"/>
  <c r="Z5" i="3" s="1"/>
  <c r="N4" i="3"/>
  <c r="P4" i="3" s="1"/>
  <c r="W4" i="3" s="1"/>
  <c r="Z4" i="3" s="1"/>
  <c r="F4" i="3"/>
  <c r="H4" i="3" s="1"/>
  <c r="N3" i="3"/>
  <c r="P3" i="3" s="1"/>
  <c r="W3" i="3" s="1"/>
  <c r="Z3" i="3" s="1"/>
  <c r="F3" i="3"/>
  <c r="H3" i="3" s="1"/>
  <c r="Z14" i="3" l="1"/>
  <c r="P20" i="5"/>
  <c r="F20" i="5"/>
  <c r="V7" i="5"/>
  <c r="T8" i="5"/>
  <c r="T9" i="5"/>
  <c r="T10" i="5"/>
  <c r="T12" i="5"/>
  <c r="E10" i="5"/>
  <c r="G10" i="5" s="1"/>
  <c r="G16" i="5"/>
  <c r="X7" i="5"/>
  <c r="T14" i="5"/>
  <c r="U7" i="5"/>
  <c r="G27" i="5" l="1"/>
  <c r="E34" i="5"/>
  <c r="G34" i="5" s="1"/>
  <c r="G18" i="5"/>
  <c r="F10" i="5"/>
  <c r="G20" i="5"/>
  <c r="G35" i="5" l="1"/>
  <c r="G36" i="5" s="1"/>
  <c r="P21" i="5"/>
  <c r="P22" i="5"/>
  <c r="P23" i="5"/>
  <c r="G21" i="5"/>
  <c r="M27" i="5"/>
  <c r="G26" i="5" l="1"/>
  <c r="G30" i="5" s="1"/>
  <c r="G38" i="5" s="1"/>
  <c r="G23" i="5"/>
  <c r="F21" i="5"/>
  <c r="N33" i="5"/>
  <c r="G40" i="5" l="1"/>
  <c r="G41" i="5" s="1"/>
  <c r="L7" i="5"/>
  <c r="M4" i="5"/>
  <c r="M29" i="5"/>
  <c r="M30" i="5"/>
  <c r="M31" i="5"/>
  <c r="M28" i="5"/>
  <c r="M32" i="5"/>
  <c r="M33" i="5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Kevin</author>
  </authors>
  <commentList>
    <comment ref="A8" authorId="0" shapeId="0" xr:uid="{870BDE0D-5208-445A-B50E-6D9A3FE8721B}">
      <text>
        <r>
          <rPr>
            <b/>
            <sz val="9"/>
            <color indexed="81"/>
            <rFont val="Tahoma"/>
            <family val="2"/>
          </rPr>
          <t>Kevin:</t>
        </r>
        <r>
          <rPr>
            <sz val="9"/>
            <color indexed="81"/>
            <rFont val="Tahoma"/>
            <family val="2"/>
          </rPr>
          <t xml:space="preserve">
VER SI SE MURIO POR MANCHA</t>
        </r>
      </text>
    </comment>
    <comment ref="C9" authorId="0" shapeId="0" xr:uid="{031834C0-C23D-4833-8354-F240FC0C321B}">
      <text>
        <r>
          <rPr>
            <b/>
            <sz val="9"/>
            <color indexed="81"/>
            <rFont val="Tahoma"/>
            <family val="2"/>
          </rPr>
          <t>Kevin:</t>
        </r>
        <r>
          <rPr>
            <sz val="9"/>
            <color indexed="81"/>
            <rFont val="Tahoma"/>
            <family val="2"/>
          </rPr>
          <t xml:space="preserve">
EMPASTE</t>
        </r>
      </text>
    </comment>
    <comment ref="C10" authorId="0" shapeId="0" xr:uid="{59907B8C-239D-4D50-95D9-879377FA1485}">
      <text>
        <r>
          <rPr>
            <b/>
            <sz val="9"/>
            <color indexed="81"/>
            <rFont val="Tahoma"/>
            <family val="2"/>
          </rPr>
          <t>Kevin:</t>
        </r>
        <r>
          <rPr>
            <sz val="9"/>
            <color indexed="81"/>
            <rFont val="Tahoma"/>
            <family val="2"/>
          </rPr>
          <t xml:space="preserve">
EMPASTE
</t>
        </r>
      </text>
    </comment>
    <comment ref="C11" authorId="0" shapeId="0" xr:uid="{4295677D-EB0A-4E66-AB61-2046CFDD6458}">
      <text>
        <r>
          <rPr>
            <b/>
            <sz val="9"/>
            <color indexed="81"/>
            <rFont val="Tahoma"/>
            <family val="2"/>
          </rPr>
          <t>Kevin:</t>
        </r>
        <r>
          <rPr>
            <sz val="9"/>
            <color indexed="81"/>
            <rFont val="Tahoma"/>
            <family val="2"/>
          </rPr>
          <t xml:space="preserve">
NEUMONIA
</t>
        </r>
      </text>
    </comment>
    <comment ref="C12" authorId="0" shapeId="0" xr:uid="{BF4400CA-3627-4FD4-A3E3-49054F53ED75}">
      <text>
        <r>
          <rPr>
            <b/>
            <sz val="9"/>
            <color indexed="81"/>
            <rFont val="Tahoma"/>
            <family val="2"/>
          </rPr>
          <t>Kevin:</t>
        </r>
        <r>
          <rPr>
            <sz val="9"/>
            <color indexed="81"/>
            <rFont val="Tahoma"/>
            <family val="2"/>
          </rPr>
          <t xml:space="preserve">
EMPASTADO</t>
        </r>
      </text>
    </comment>
    <comment ref="C13" authorId="0" shapeId="0" xr:uid="{29D40B56-0B0F-488D-8FB7-D7A57137D093}">
      <text>
        <r>
          <rPr>
            <b/>
            <sz val="9"/>
            <color indexed="81"/>
            <rFont val="Tahoma"/>
            <family val="2"/>
          </rPr>
          <t>Kevin:</t>
        </r>
        <r>
          <rPr>
            <sz val="9"/>
            <color indexed="81"/>
            <rFont val="Tahoma"/>
            <family val="2"/>
          </rPr>
          <t xml:space="preserve">
EMPASTE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Kevin</author>
  </authors>
  <commentList>
    <comment ref="H7" authorId="0" shapeId="0" xr:uid="{91867016-9426-4514-AAC3-FE5DD20F808F}">
      <text>
        <r>
          <rPr>
            <b/>
            <sz val="9"/>
            <color indexed="81"/>
            <rFont val="Tahoma"/>
            <family val="2"/>
          </rPr>
          <t>Kevin:
valor parcial de kg</t>
        </r>
      </text>
    </comment>
    <comment ref="C15" authorId="0" shapeId="0" xr:uid="{6B520AA7-83F9-420D-818F-2454DE6F493B}">
      <text>
        <r>
          <rPr>
            <b/>
            <sz val="9"/>
            <color indexed="81"/>
            <rFont val="Tahoma"/>
            <family val="2"/>
          </rPr>
          <t>Kevin:</t>
        </r>
        <r>
          <rPr>
            <sz val="9"/>
            <color indexed="81"/>
            <rFont val="Tahoma"/>
            <family val="2"/>
          </rPr>
          <t xml:space="preserve">
POSIBLE CAUSA: LENGUA PALO</t>
        </r>
      </text>
    </comment>
    <comment ref="C16" authorId="0" shapeId="0" xr:uid="{F6FD1CE7-665C-4705-93B3-7B247F3A76FD}">
      <text>
        <r>
          <rPr>
            <b/>
            <sz val="9"/>
            <color indexed="81"/>
            <rFont val="Tahoma"/>
            <family val="2"/>
          </rPr>
          <t>Kevin:</t>
        </r>
        <r>
          <rPr>
            <sz val="9"/>
            <color indexed="81"/>
            <rFont val="Tahoma"/>
            <family val="2"/>
          </rPr>
          <t xml:space="preserve">
DE LA TROPA208, EN ALFALFA LOTE 3, POSIBLE CAUSA: MANCHA CLOSTRIDIAL</t>
        </r>
      </text>
    </comment>
  </commentList>
</comments>
</file>

<file path=xl/sharedStrings.xml><?xml version="1.0" encoding="utf-8"?>
<sst xmlns="http://schemas.openxmlformats.org/spreadsheetml/2006/main" count="833" uniqueCount="220">
  <si>
    <t>VENTA</t>
  </si>
  <si>
    <t>PROVEEDOR</t>
  </si>
  <si>
    <t>RETENCIONES</t>
  </si>
  <si>
    <t>CANTIDAD</t>
  </si>
  <si>
    <t>DETALLES</t>
  </si>
  <si>
    <t>FECHA</t>
  </si>
  <si>
    <t>1002-00006375</t>
  </si>
  <si>
    <t>COLOMBO&amp;MAGLIANO</t>
  </si>
  <si>
    <t>TERNEROS</t>
  </si>
  <si>
    <t>COMPRA</t>
  </si>
  <si>
    <t>V. HUID</t>
  </si>
  <si>
    <t>NOVILLOS</t>
  </si>
  <si>
    <t>COBRADO</t>
  </si>
  <si>
    <t>00244-00002798</t>
  </si>
  <si>
    <t>DIRECTO</t>
  </si>
  <si>
    <t>00244-00002778</t>
  </si>
  <si>
    <t>01029-00001727</t>
  </si>
  <si>
    <t>20 DIAS</t>
  </si>
  <si>
    <t>01030-00000155</t>
  </si>
  <si>
    <t>25 DIAS</t>
  </si>
  <si>
    <t>01030-00000154</t>
  </si>
  <si>
    <t>00002-00000451</t>
  </si>
  <si>
    <t>ESTADO</t>
  </si>
  <si>
    <t>N COMPROB</t>
  </si>
  <si>
    <t>ORIGEN</t>
  </si>
  <si>
    <t xml:space="preserve">PLAZO </t>
  </si>
  <si>
    <t>TOTAL A LIQUIDAR</t>
  </si>
  <si>
    <t>NOTA CRED</t>
  </si>
  <si>
    <t>IMPORT NETO</t>
  </si>
  <si>
    <t>Derecho Registro</t>
  </si>
  <si>
    <t>Semovientes Bs.As. ag.4-88-0003-9</t>
  </si>
  <si>
    <t>IVA 10,5</t>
  </si>
  <si>
    <t>GASTOS ADM</t>
  </si>
  <si>
    <t>COMISIONES</t>
  </si>
  <si>
    <t>IMPORTE BRUTO</t>
  </si>
  <si>
    <t>EFECTIVO</t>
  </si>
  <si>
    <t>TOTAL</t>
  </si>
  <si>
    <t>DESBASTE</t>
  </si>
  <si>
    <t>PRECIO POR KG</t>
  </si>
  <si>
    <t>KG TOTAL BAL DEST</t>
  </si>
  <si>
    <t>KG TOTALES ORIG</t>
  </si>
  <si>
    <t>KG POR AN</t>
  </si>
  <si>
    <t>RINDE</t>
  </si>
  <si>
    <t>CANT NETA</t>
  </si>
  <si>
    <t>MUERTOS</t>
  </si>
  <si>
    <t>CONCEPTO</t>
  </si>
  <si>
    <t>N ANIMALES</t>
  </si>
  <si>
    <t>1019-00002288</t>
  </si>
  <si>
    <t>PAGADO</t>
  </si>
  <si>
    <t>GUIAS</t>
  </si>
  <si>
    <t>SALADILLO, BUENOS AIRES.</t>
  </si>
  <si>
    <t>30 DIAS</t>
  </si>
  <si>
    <t>30-90 DIAS</t>
  </si>
  <si>
    <t>VON BRUDERSDORFF</t>
  </si>
  <si>
    <t xml:space="preserve"> 19/11/2024</t>
  </si>
  <si>
    <t>HORA</t>
  </si>
  <si>
    <t>PESO</t>
  </si>
  <si>
    <t>PRMDI</t>
  </si>
  <si>
    <t>Abril</t>
  </si>
  <si>
    <t>Precio venta a faena</t>
  </si>
  <si>
    <t>Análisis de Sensibilidad al precio de la Invernada y del Gordo</t>
  </si>
  <si>
    <t>Precio compra terneras/os destete</t>
  </si>
  <si>
    <t>Precio tal cual alimento balanceado</t>
  </si>
  <si>
    <t>% de Materia Seca</t>
  </si>
  <si>
    <t>Precio gordo ($/Kg)</t>
  </si>
  <si>
    <t>Peso neto de entrada</t>
  </si>
  <si>
    <t>Peso neto venta</t>
  </si>
  <si>
    <t>Mortandad</t>
  </si>
  <si>
    <t>Precio Invernada ($/Kg)</t>
  </si>
  <si>
    <t>Consumo promedio MS en terminación</t>
  </si>
  <si>
    <t>Eficiencia conversión y Ciclo terminación</t>
  </si>
  <si>
    <t>Cabezas/jaula</t>
  </si>
  <si>
    <t xml:space="preserve">Flete compra </t>
  </si>
  <si>
    <t xml:space="preserve">Flete venta </t>
  </si>
  <si>
    <t>Gastos de compra</t>
  </si>
  <si>
    <t>Gastos de venta</t>
  </si>
  <si>
    <t>Total gastos de comercialización</t>
  </si>
  <si>
    <t>Costo Amortización / Estructura/Personal *</t>
  </si>
  <si>
    <t>Costo Sanidad e identificación</t>
  </si>
  <si>
    <t>Impacto de los costos sobre el valor del Gordo</t>
  </si>
  <si>
    <t>Costo Alimentación</t>
  </si>
  <si>
    <t>Compra invernada</t>
  </si>
  <si>
    <t>Costos totales Engorde</t>
  </si>
  <si>
    <t>Alimentación</t>
  </si>
  <si>
    <t>Gastos de comercialización</t>
  </si>
  <si>
    <t>Costo promedio/kg ganado</t>
  </si>
  <si>
    <t>Gastos de estructura</t>
  </si>
  <si>
    <t>Sanidad e identificación</t>
  </si>
  <si>
    <t>Valor ternero invernada</t>
  </si>
  <si>
    <t>Estructura del costo</t>
  </si>
  <si>
    <t>Invernada</t>
  </si>
  <si>
    <t>Valor ternero gordo</t>
  </si>
  <si>
    <t>Alimento</t>
  </si>
  <si>
    <t>Sanidad</t>
  </si>
  <si>
    <r>
      <t xml:space="preserve">Utilidad </t>
    </r>
    <r>
      <rPr>
        <b/>
        <i/>
        <sz val="10"/>
        <color indexed="10"/>
        <rFont val="Calibri"/>
        <family val="2"/>
      </rPr>
      <t xml:space="preserve">antes de impuestos nacionales y provinciales </t>
    </r>
    <r>
      <rPr>
        <b/>
        <i/>
        <sz val="10"/>
        <rFont val="Calibri"/>
        <family val="2"/>
      </rPr>
      <t>SIN costo financiero</t>
    </r>
  </si>
  <si>
    <t>Gs comercialización</t>
  </si>
  <si>
    <t>Fletes</t>
  </si>
  <si>
    <t>Costo Financiero</t>
  </si>
  <si>
    <t>Tasa anual</t>
  </si>
  <si>
    <t>Estructura</t>
  </si>
  <si>
    <t>Plazo compra</t>
  </si>
  <si>
    <t>Plazo venta</t>
  </si>
  <si>
    <t>Días de financiamiento</t>
  </si>
  <si>
    <t>Tasa a aplicar</t>
  </si>
  <si>
    <t>Total Costo</t>
  </si>
  <si>
    <t>Hacienda</t>
  </si>
  <si>
    <t>(pago AB cada 15 días)</t>
  </si>
  <si>
    <t>Costo financiero total</t>
  </si>
  <si>
    <r>
      <t xml:space="preserve">Utilidad </t>
    </r>
    <r>
      <rPr>
        <b/>
        <i/>
        <sz val="10"/>
        <color indexed="10"/>
        <rFont val="Calibri"/>
        <family val="2"/>
      </rPr>
      <t>antes de impuestos nacionales y provinciales</t>
    </r>
    <r>
      <rPr>
        <b/>
        <i/>
        <sz val="10"/>
        <rFont val="Calibri"/>
        <family val="2"/>
      </rPr>
      <t xml:space="preserve"> CON costo financiero</t>
    </r>
  </si>
  <si>
    <t>Renta sobre inversiòn</t>
  </si>
  <si>
    <t>Renta anualizada</t>
  </si>
  <si>
    <t>Engorde a Corral Modelo General 2025 - Ternero/Ternera</t>
  </si>
  <si>
    <t>N ANIMAL</t>
  </si>
  <si>
    <t>CONDICION</t>
  </si>
  <si>
    <t>GORDO</t>
  </si>
  <si>
    <t>VACUNADO</t>
  </si>
  <si>
    <t>FLACO 60 DIAS</t>
  </si>
  <si>
    <t>FLACO 30 DIAS</t>
  </si>
  <si>
    <t>PROMEDIO</t>
  </si>
  <si>
    <t>FLACO GORDO</t>
  </si>
  <si>
    <t>QUEBRADO</t>
  </si>
  <si>
    <t>tc=860</t>
  </si>
  <si>
    <t>tc=1255</t>
  </si>
  <si>
    <t>FLACO 90 DIAS</t>
  </si>
  <si>
    <t>Cuenta de N ANIMAL</t>
  </si>
  <si>
    <t>Etiquetas de fila</t>
  </si>
  <si>
    <t>Total general</t>
  </si>
  <si>
    <t>PICCIOCHI-RAUL</t>
  </si>
  <si>
    <t>MARTES</t>
  </si>
  <si>
    <t>IVERMECTINA</t>
  </si>
  <si>
    <t>APLICACIÓN DE IVERMECTINA</t>
  </si>
  <si>
    <t>CURABICHERA</t>
  </si>
  <si>
    <t>APLICACIÓN CURABICHERA</t>
  </si>
  <si>
    <t>DEXAMETASONA</t>
  </si>
  <si>
    <t>APLICACIÓN INTRAMUSCULAR 10mm DEXAMET</t>
  </si>
  <si>
    <t>MARTES, JUEVES Y SABADO</t>
  </si>
  <si>
    <t>PENICILINA</t>
  </si>
  <si>
    <t>APLICACIÓN INTRAMUSCULAR 1 FRASCO PENICILINA</t>
  </si>
  <si>
    <t>IODO</t>
  </si>
  <si>
    <t>IODO DILUIDO CON JERINGA AGUA OXI</t>
  </si>
  <si>
    <t>REALIZADOR</t>
  </si>
  <si>
    <t>DIAS DE APLICACIÓN</t>
  </si>
  <si>
    <t>INSUMOS</t>
  </si>
  <si>
    <t>TRATAMIENTO</t>
  </si>
  <si>
    <t>CVM CONSIGNATARIOS</t>
  </si>
  <si>
    <t>GENERAL ROCA</t>
  </si>
  <si>
    <t>N0004-00006021</t>
  </si>
  <si>
    <t>N0008728459</t>
  </si>
  <si>
    <t>N0008728453</t>
  </si>
  <si>
    <t>N0008728449</t>
  </si>
  <si>
    <t>BALCARCE -BS AS</t>
  </si>
  <si>
    <t>CORTE</t>
  </si>
  <si>
    <t>KOSHER</t>
  </si>
  <si>
    <t>HILTON</t>
  </si>
  <si>
    <t>COLOMBO Y COLOMBO</t>
  </si>
  <si>
    <t>N0016-00023179</t>
  </si>
  <si>
    <t>06/07 - 05/08</t>
  </si>
  <si>
    <t>13/06 - 13/07</t>
  </si>
  <si>
    <t xml:space="preserve">2da dosis vacuna respiratoria </t>
  </si>
  <si>
    <t xml:space="preserve">2da dosis vacuna clostridial </t>
  </si>
  <si>
    <t>Desparasitación con levamisol</t>
  </si>
  <si>
    <t>Pour on BT para piojos</t>
  </si>
  <si>
    <t>203 animales</t>
  </si>
  <si>
    <t xml:space="preserve">1ra dosis vacuna respiratoria </t>
  </si>
  <si>
    <t xml:space="preserve">1ra dosis vacuna clostridial </t>
  </si>
  <si>
    <t>Cobre inyectable</t>
  </si>
  <si>
    <t>Pour on BT para piojos.</t>
  </si>
  <si>
    <t>A todos se los desparasitar con moxidectin (cydectin alpha) y 50 animales se les agrego levamisol para el ensayo</t>
  </si>
  <si>
    <t>MOVIMIENTO</t>
  </si>
  <si>
    <t>TROPA</t>
  </si>
  <si>
    <t>68 animales</t>
  </si>
  <si>
    <t>Ivermectina (IVM)</t>
  </si>
  <si>
    <t>Moxidectin (MOX)</t>
  </si>
  <si>
    <t>Doramectina (DOR)</t>
  </si>
  <si>
    <t>Ricobendazol (RBZ)</t>
  </si>
  <si>
    <t>JUEVES</t>
  </si>
  <si>
    <t>COMPRADOS</t>
  </si>
  <si>
    <t>Clostridial y respiratoria 1era dosis</t>
  </si>
  <si>
    <t>CASARES - BS AS</t>
  </si>
  <si>
    <t>ALVEAR - BS AS</t>
  </si>
  <si>
    <t>KG DE CARNE</t>
  </si>
  <si>
    <t>N° Liq: 1615</t>
  </si>
  <si>
    <t>N° Liq: 24429</t>
  </si>
  <si>
    <t>N° Liq: 24543</t>
  </si>
  <si>
    <t>25/07 - 25/08</t>
  </si>
  <si>
    <t>30-45 DIAS</t>
  </si>
  <si>
    <t>30-60 DIAS</t>
  </si>
  <si>
    <t>TAPALQUE</t>
  </si>
  <si>
    <t>N0008770640</t>
  </si>
  <si>
    <t>N0008773536</t>
  </si>
  <si>
    <t xml:space="preserve">2 ml Cobre inyectable </t>
  </si>
  <si>
    <t xml:space="preserve">Pour on p/piojos </t>
  </si>
  <si>
    <t>2da dosis de vacunas respiratoria y clostridial</t>
  </si>
  <si>
    <t>Pour on p/piojos</t>
  </si>
  <si>
    <t xml:space="preserve">1ra dosis de vacunas respiratoria y clostridial </t>
  </si>
  <si>
    <t xml:space="preserve">Desparasitacion con 5 ml de moxidectin </t>
  </si>
  <si>
    <t xml:space="preserve">5 ml vacuna polivalente </t>
  </si>
  <si>
    <t>5 ml vacuna feed Lot plus</t>
  </si>
  <si>
    <t>5 ml cydectin alpha</t>
  </si>
  <si>
    <t>Pour p/piojos</t>
  </si>
  <si>
    <t>80 animales</t>
  </si>
  <si>
    <t xml:space="preserve">A las dos tropas que faltan entrar hay que ponerles </t>
  </si>
  <si>
    <t>MIERCOLES</t>
  </si>
  <si>
    <t>N° Liq: 24611</t>
  </si>
  <si>
    <t>N° Liq: 24626</t>
  </si>
  <si>
    <t>TERNEROS M</t>
  </si>
  <si>
    <t>TERNEROS H</t>
  </si>
  <si>
    <t>FLETES</t>
  </si>
  <si>
    <t>FERRERE</t>
  </si>
  <si>
    <t>DE DIOS FACUNDO</t>
  </si>
  <si>
    <t>MONTO FLETE</t>
  </si>
  <si>
    <t>N0016-00023411</t>
  </si>
  <si>
    <t>N0016-00023401</t>
  </si>
  <si>
    <t>N0016-00023384</t>
  </si>
  <si>
    <t>N0016-00023416</t>
  </si>
  <si>
    <t>N° Liq:24748</t>
  </si>
  <si>
    <t>N° Liq:24808</t>
  </si>
  <si>
    <t>VAQUILLONAS</t>
  </si>
  <si>
    <t>BUSTOS Y BELTRAN SA</t>
  </si>
  <si>
    <t>relacion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</si>
</sst>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7">
    <numFmt numFmtId="44" formatCode="_-&quot;$&quot;\ * #,##0.00_-;\-&quot;$&quot;\ * #,##0.00_-;_-&quot;$&quot;\ * &quot;-&quot;??_-;_-@_-"/>
    <numFmt numFmtId="164" formatCode="_-&quot;$&quot;\ * #,##0.000_-;\-&quot;$&quot;\ * #,##0.000_-;_-&quot;$&quot;\ * &quot;-&quot;???_-;_-@_-"/>
    <numFmt numFmtId="165" formatCode="0.000"/>
    <numFmt numFmtId="166" formatCode="dd/mm/yy;@"/>
    <numFmt numFmtId="167" formatCode="&quot;$/kg&quot;\ #,##0.00"/>
    <numFmt numFmtId="168" formatCode="#,##0.0\ &quot;Kg MS/Kg carne&quot;"/>
    <numFmt numFmtId="169" formatCode="&quot;$/kg&quot;\ #,##0.00\ &quot;(MS)&quot;"/>
    <numFmt numFmtId="170" formatCode="&quot;$/kg&quot;\ #,##0.000"/>
    <numFmt numFmtId="171" formatCode="#,###\ &quot;Kg/cab&quot;"/>
    <numFmt numFmtId="172" formatCode="_ [$$-2C0A]\ * #,##0.0_ ;_ [$$-2C0A]\ * \-#,##0.0_ ;_ [$$-2C0A]\ * &quot;-&quot;??_ ;_ @_ "/>
    <numFmt numFmtId="173" formatCode="0.00%\ &quot;PV&quot;"/>
    <numFmt numFmtId="174" formatCode="#,##0.0\ &quot;kgMS/cab.día&quot;"/>
    <numFmt numFmtId="175" formatCode="#,##0.0\ &quot;kgMV/cab.día&quot;"/>
    <numFmt numFmtId="176" formatCode="#,##0.00\ &quot;$/día&quot;"/>
    <numFmt numFmtId="177" formatCode="#,##0\ &quot;días&quot;"/>
    <numFmt numFmtId="178" formatCode="#,##0.00\ &quot;Kg ADPV&quot;"/>
    <numFmt numFmtId="179" formatCode="0.00\ &quot;meses&quot;"/>
    <numFmt numFmtId="180" formatCode="#,##0.00\ &quot;ciclos/año&quot;"/>
    <numFmt numFmtId="181" formatCode="#,##0\ &quot;terneras/os  -&quot;"/>
    <numFmt numFmtId="182" formatCode="#,##0\ &quot;gordos&quot;"/>
    <numFmt numFmtId="183" formatCode="#,###\ &quot;$/cab.&quot;"/>
    <numFmt numFmtId="184" formatCode="#,##0.00\ &quot;$/km&quot;"/>
    <numFmt numFmtId="185" formatCode="&quot;(&quot;#,##0\ &quot;km)&quot;"/>
    <numFmt numFmtId="186" formatCode="#,###.00\ &quot;$/cab.&quot;"/>
    <numFmt numFmtId="187" formatCode="#,###.0\ &quot;$/cab.&quot;"/>
    <numFmt numFmtId="188" formatCode="#,##0.00\ &quot;meses&quot;"/>
    <numFmt numFmtId="189" formatCode="&quot;utilidad:&quot;\ 0%"/>
    <numFmt numFmtId="190" formatCode="#,###.00\ &quot;Kg/cab&quot;"/>
    <numFmt numFmtId="191" formatCode="&quot;$/cab&quot;\ #,##0.00"/>
    <numFmt numFmtId="192" formatCode="#,##0.0\ &quot;$/día&quot;"/>
    <numFmt numFmtId="193" formatCode="#,##0.0\ &quot;$/cab.&quot;"/>
    <numFmt numFmtId="194" formatCode="0.0%"/>
    <numFmt numFmtId="195" formatCode="#,##0\ &quot;Kg/ha&quot;"/>
    <numFmt numFmtId="196" formatCode="\ #,##0.0\ &quot;$ tot.&quot;"/>
    <numFmt numFmtId="197" formatCode="#,##0.00\ &quot;$/kg&quot;"/>
    <numFmt numFmtId="198" formatCode="#,###.00\ &quot;$/kg&quot;"/>
    <numFmt numFmtId="199" formatCode="_ [$$-2C0A]\ * #,##0.00_ ;_ [$$-2C0A]\ * \-#,##0.00_ ;_ [$$-2C0A]\ * &quot;-&quot;??_ ;_ @_ "/>
  </numFmts>
  <fonts count="4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FF0000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0"/>
      <color rgb="FF00B05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11"/>
      <color rgb="FF3F3F3F"/>
      <name val="Calibri"/>
      <family val="2"/>
      <scheme val="minor"/>
    </font>
    <font>
      <sz val="10"/>
      <color indexed="9"/>
      <name val="Calibri"/>
      <family val="2"/>
    </font>
    <font>
      <b/>
      <i/>
      <sz val="16"/>
      <name val="Calibri"/>
      <family val="2"/>
    </font>
    <font>
      <b/>
      <i/>
      <sz val="10"/>
      <name val="Calibri"/>
      <family val="2"/>
    </font>
    <font>
      <sz val="10"/>
      <color indexed="8"/>
      <name val="Calibri"/>
      <family val="2"/>
    </font>
    <font>
      <sz val="8"/>
      <color indexed="8"/>
      <name val="Calibri"/>
      <family val="2"/>
    </font>
    <font>
      <i/>
      <sz val="10"/>
      <name val="Calibri"/>
      <family val="2"/>
    </font>
    <font>
      <sz val="10"/>
      <color rgb="FFFF0000"/>
      <name val="Calibri"/>
      <family val="2"/>
    </font>
    <font>
      <sz val="10"/>
      <name val="Calibri"/>
      <family val="2"/>
    </font>
    <font>
      <b/>
      <sz val="14"/>
      <color indexed="21"/>
      <name val="Calibri"/>
      <family val="2"/>
    </font>
    <font>
      <sz val="11"/>
      <color indexed="8"/>
      <name val="Calibri"/>
      <family val="2"/>
    </font>
    <font>
      <b/>
      <sz val="10"/>
      <name val="Calibri"/>
      <family val="2"/>
    </font>
    <font>
      <b/>
      <sz val="9"/>
      <name val="Calibri"/>
      <family val="2"/>
    </font>
    <font>
      <b/>
      <sz val="12"/>
      <color indexed="21"/>
      <name val="Calibri"/>
      <family val="2"/>
    </font>
    <font>
      <b/>
      <sz val="12"/>
      <name val="Calibri"/>
      <family val="2"/>
    </font>
    <font>
      <b/>
      <i/>
      <sz val="10"/>
      <color indexed="10"/>
      <name val="Calibri"/>
      <family val="2"/>
    </font>
    <font>
      <b/>
      <i/>
      <sz val="12"/>
      <name val="Calibri"/>
      <family val="2"/>
    </font>
    <font>
      <b/>
      <sz val="12"/>
      <color indexed="30"/>
      <name val="Calibri"/>
      <family val="2"/>
    </font>
    <font>
      <sz val="14"/>
      <name val="Calibri"/>
      <family val="2"/>
    </font>
    <font>
      <sz val="11"/>
      <color rgb="FF000000"/>
      <name val="Calibri"/>
      <family val="2"/>
    </font>
    <font>
      <sz val="8"/>
      <name val="Calibri"/>
      <family val="2"/>
      <scheme val="minor"/>
    </font>
    <font>
      <b/>
      <sz val="1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name val="Calibri"/>
      <family val="2"/>
      <scheme val="minor"/>
    </font>
    <font>
      <b/>
      <sz val="11"/>
      <color theme="9" tint="-0.499984740745262"/>
      <name val="Calibri"/>
      <family val="2"/>
      <scheme val="minor"/>
    </font>
    <font>
      <b/>
      <sz val="11"/>
      <color rgb="FFC0000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2F2F2"/>
      </patternFill>
    </fill>
    <fill>
      <patternFill patternType="solid">
        <fgColor indexed="65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</fills>
  <borders count="43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57"/>
      </left>
      <right/>
      <top style="thick">
        <color indexed="57"/>
      </top>
      <bottom/>
      <diagonal/>
    </border>
    <border>
      <left/>
      <right/>
      <top style="thick">
        <color indexed="57"/>
      </top>
      <bottom/>
      <diagonal/>
    </border>
    <border>
      <left/>
      <right style="thick">
        <color indexed="57"/>
      </right>
      <top style="thick">
        <color indexed="57"/>
      </top>
      <bottom/>
      <diagonal/>
    </border>
    <border>
      <left style="thick">
        <color indexed="57"/>
      </left>
      <right/>
      <top/>
      <bottom/>
      <diagonal/>
    </border>
    <border>
      <left/>
      <right style="thick">
        <color indexed="57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ck">
        <color indexed="57"/>
      </left>
      <right/>
      <top/>
      <bottom style="thick">
        <color indexed="57"/>
      </bottom>
      <diagonal/>
    </border>
    <border>
      <left/>
      <right/>
      <top/>
      <bottom style="thick">
        <color indexed="57"/>
      </bottom>
      <diagonal/>
    </border>
    <border>
      <left/>
      <right style="thick">
        <color indexed="57"/>
      </right>
      <top/>
      <bottom style="thick">
        <color indexed="57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ck">
        <color indexed="17"/>
      </left>
      <right/>
      <top style="thick">
        <color indexed="17"/>
      </top>
      <bottom/>
      <diagonal/>
    </border>
    <border>
      <left/>
      <right/>
      <top style="thick">
        <color indexed="17"/>
      </top>
      <bottom/>
      <diagonal/>
    </border>
    <border>
      <left/>
      <right style="thick">
        <color indexed="17"/>
      </right>
      <top style="thick">
        <color indexed="17"/>
      </top>
      <bottom/>
      <diagonal/>
    </border>
    <border>
      <left style="thick">
        <color indexed="17"/>
      </left>
      <right/>
      <top/>
      <bottom style="dotted">
        <color indexed="17"/>
      </bottom>
      <diagonal/>
    </border>
    <border>
      <left/>
      <right/>
      <top/>
      <bottom style="dotted">
        <color indexed="17"/>
      </bottom>
      <diagonal/>
    </border>
    <border>
      <left/>
      <right style="thick">
        <color indexed="17"/>
      </right>
      <top/>
      <bottom style="dotted">
        <color indexed="17"/>
      </bottom>
      <diagonal/>
    </border>
    <border>
      <left style="thick">
        <color indexed="17"/>
      </left>
      <right/>
      <top/>
      <bottom style="thick">
        <color indexed="17"/>
      </bottom>
      <diagonal/>
    </border>
    <border>
      <left/>
      <right/>
      <top/>
      <bottom style="thick">
        <color indexed="17"/>
      </bottom>
      <diagonal/>
    </border>
    <border>
      <left/>
      <right style="thick">
        <color indexed="17"/>
      </right>
      <top/>
      <bottom style="thick">
        <color indexed="17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6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4" fillId="4" borderId="5" applyNumberFormat="0" applyAlignment="0" applyProtection="0"/>
    <xf numFmtId="9" fontId="24" fillId="0" borderId="0" applyFont="0" applyFill="0" applyBorder="0" applyAlignment="0" applyProtection="0"/>
    <xf numFmtId="0" fontId="36" fillId="0" borderId="0" applyNumberFormat="0" applyFill="0" applyBorder="0" applyAlignment="0" applyProtection="0"/>
  </cellStyleXfs>
  <cellXfs count="289">
    <xf numFmtId="0" fontId="0" fillId="0" borderId="0" xfId="0"/>
    <xf numFmtId="0" fontId="4" fillId="0" borderId="0" xfId="0" applyFont="1"/>
    <xf numFmtId="0" fontId="3" fillId="3" borderId="4" xfId="0" applyFont="1" applyFill="1" applyBorder="1" applyAlignment="1">
      <alignment horizontal="center" vertical="center" wrapText="1"/>
    </xf>
    <xf numFmtId="166" fontId="7" fillId="3" borderId="0" xfId="0" applyNumberFormat="1" applyFont="1" applyFill="1" applyAlignment="1">
      <alignment horizontal="center"/>
    </xf>
    <xf numFmtId="0" fontId="7" fillId="3" borderId="0" xfId="0" applyFont="1" applyFill="1"/>
    <xf numFmtId="165" fontId="7" fillId="3" borderId="0" xfId="0" applyNumberFormat="1" applyFont="1" applyFill="1"/>
    <xf numFmtId="2" fontId="7" fillId="3" borderId="0" xfId="0" applyNumberFormat="1" applyFont="1" applyFill="1"/>
    <xf numFmtId="44" fontId="7" fillId="3" borderId="0" xfId="1" applyFont="1" applyFill="1" applyBorder="1"/>
    <xf numFmtId="10" fontId="7" fillId="3" borderId="0" xfId="2" applyNumberFormat="1" applyFont="1" applyFill="1" applyBorder="1"/>
    <xf numFmtId="44" fontId="7" fillId="3" borderId="0" xfId="0" applyNumberFormat="1" applyFont="1" applyFill="1"/>
    <xf numFmtId="44" fontId="6" fillId="3" borderId="0" xfId="0" applyNumberFormat="1" applyFont="1" applyFill="1"/>
    <xf numFmtId="44" fontId="11" fillId="3" borderId="0" xfId="0" applyNumberFormat="1" applyFont="1" applyFill="1"/>
    <xf numFmtId="0" fontId="0" fillId="3" borderId="0" xfId="0" applyFill="1"/>
    <xf numFmtId="166" fontId="5" fillId="3" borderId="0" xfId="0" applyNumberFormat="1" applyFont="1" applyFill="1" applyAlignment="1">
      <alignment horizontal="center"/>
    </xf>
    <xf numFmtId="0" fontId="5" fillId="3" borderId="0" xfId="0" applyFont="1" applyFill="1"/>
    <xf numFmtId="165" fontId="5" fillId="3" borderId="0" xfId="0" applyNumberFormat="1" applyFont="1" applyFill="1"/>
    <xf numFmtId="2" fontId="5" fillId="3" borderId="0" xfId="0" applyNumberFormat="1" applyFont="1" applyFill="1"/>
    <xf numFmtId="44" fontId="5" fillId="3" borderId="0" xfId="1" applyFont="1" applyFill="1" applyBorder="1"/>
    <xf numFmtId="10" fontId="5" fillId="3" borderId="0" xfId="2" applyNumberFormat="1" applyFont="1" applyFill="1" applyBorder="1"/>
    <xf numFmtId="44" fontId="5" fillId="3" borderId="0" xfId="0" applyNumberFormat="1" applyFont="1" applyFill="1"/>
    <xf numFmtId="0" fontId="4" fillId="3" borderId="0" xfId="0" applyFont="1" applyFill="1"/>
    <xf numFmtId="166" fontId="8" fillId="3" borderId="0" xfId="0" applyNumberFormat="1" applyFont="1" applyFill="1" applyAlignment="1">
      <alignment horizontal="center"/>
    </xf>
    <xf numFmtId="0" fontId="8" fillId="3" borderId="0" xfId="0" applyFont="1" applyFill="1"/>
    <xf numFmtId="165" fontId="8" fillId="3" borderId="0" xfId="0" applyNumberFormat="1" applyFont="1" applyFill="1"/>
    <xf numFmtId="2" fontId="8" fillId="3" borderId="0" xfId="0" applyNumberFormat="1" applyFont="1" applyFill="1"/>
    <xf numFmtId="44" fontId="8" fillId="3" borderId="0" xfId="1" applyFont="1" applyFill="1" applyBorder="1"/>
    <xf numFmtId="10" fontId="8" fillId="3" borderId="0" xfId="2" applyNumberFormat="1" applyFont="1" applyFill="1" applyBorder="1"/>
    <xf numFmtId="44" fontId="8" fillId="3" borderId="0" xfId="0" applyNumberFormat="1" applyFont="1" applyFill="1"/>
    <xf numFmtId="44" fontId="9" fillId="3" borderId="0" xfId="0" applyNumberFormat="1" applyFont="1" applyFill="1"/>
    <xf numFmtId="16" fontId="8" fillId="3" borderId="0" xfId="0" applyNumberFormat="1" applyFont="1" applyFill="1"/>
    <xf numFmtId="0" fontId="2" fillId="3" borderId="0" xfId="0" applyFont="1" applyFill="1"/>
    <xf numFmtId="44" fontId="10" fillId="3" borderId="0" xfId="0" applyNumberFormat="1" applyFont="1" applyFill="1"/>
    <xf numFmtId="16" fontId="5" fillId="3" borderId="0" xfId="0" applyNumberFormat="1" applyFont="1" applyFill="1"/>
    <xf numFmtId="0" fontId="3" fillId="3" borderId="2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3" borderId="0" xfId="0" applyFont="1" applyFill="1"/>
    <xf numFmtId="0" fontId="3" fillId="3" borderId="3" xfId="0" applyFont="1" applyFill="1" applyBorder="1"/>
    <xf numFmtId="0" fontId="0" fillId="3" borderId="3" xfId="0" applyFill="1" applyBorder="1"/>
    <xf numFmtId="164" fontId="0" fillId="3" borderId="3" xfId="0" applyNumberFormat="1" applyFill="1" applyBorder="1"/>
    <xf numFmtId="44" fontId="0" fillId="3" borderId="3" xfId="0" applyNumberFormat="1" applyFill="1" applyBorder="1"/>
    <xf numFmtId="18" fontId="0" fillId="3" borderId="0" xfId="0" applyNumberFormat="1" applyFill="1"/>
    <xf numFmtId="0" fontId="15" fillId="0" borderId="0" xfId="0" applyFont="1" applyAlignment="1">
      <alignment vertical="center"/>
    </xf>
    <xf numFmtId="4" fontId="17" fillId="5" borderId="0" xfId="0" applyNumberFormat="1" applyFont="1" applyFill="1" applyAlignment="1">
      <alignment vertical="center"/>
    </xf>
    <xf numFmtId="0" fontId="18" fillId="0" borderId="0" xfId="0" applyFont="1" applyAlignment="1">
      <alignment vertical="center"/>
    </xf>
    <xf numFmtId="0" fontId="19" fillId="0" borderId="0" xfId="0" applyFont="1" applyAlignment="1">
      <alignment vertical="center"/>
    </xf>
    <xf numFmtId="4" fontId="20" fillId="0" borderId="2" xfId="0" applyNumberFormat="1" applyFont="1" applyBorder="1" applyAlignment="1">
      <alignment horizontal="left" vertical="center"/>
    </xf>
    <xf numFmtId="4" fontId="20" fillId="0" borderId="1" xfId="0" applyNumberFormat="1" applyFont="1" applyBorder="1" applyAlignment="1">
      <alignment horizontal="left" vertical="center"/>
    </xf>
    <xf numFmtId="4" fontId="21" fillId="5" borderId="1" xfId="0" applyNumberFormat="1" applyFont="1" applyFill="1" applyBorder="1" applyAlignment="1">
      <alignment vertical="center"/>
    </xf>
    <xf numFmtId="167" fontId="22" fillId="2" borderId="9" xfId="0" applyNumberFormat="1" applyFont="1" applyFill="1" applyBorder="1" applyAlignment="1" applyProtection="1">
      <alignment horizontal="center" vertical="center"/>
      <protection locked="0"/>
    </xf>
    <xf numFmtId="4" fontId="17" fillId="5" borderId="7" xfId="0" applyNumberFormat="1" applyFont="1" applyFill="1" applyBorder="1" applyAlignment="1">
      <alignment vertical="center"/>
    </xf>
    <xf numFmtId="4" fontId="17" fillId="5" borderId="13" xfId="0" applyNumberFormat="1" applyFont="1" applyFill="1" applyBorder="1" applyAlignment="1">
      <alignment vertical="center"/>
    </xf>
    <xf numFmtId="168" fontId="18" fillId="0" borderId="0" xfId="0" applyNumberFormat="1" applyFont="1" applyAlignment="1">
      <alignment horizontal="center" vertical="center"/>
    </xf>
    <xf numFmtId="0" fontId="22" fillId="0" borderId="0" xfId="0" applyFont="1" applyAlignment="1">
      <alignment vertical="center"/>
    </xf>
    <xf numFmtId="0" fontId="18" fillId="0" borderId="14" xfId="0" applyFont="1" applyBorder="1" applyAlignment="1">
      <alignment vertical="center"/>
    </xf>
    <xf numFmtId="4" fontId="20" fillId="0" borderId="15" xfId="0" applyNumberFormat="1" applyFont="1" applyBorder="1" applyAlignment="1">
      <alignment horizontal="right" vertical="center"/>
    </xf>
    <xf numFmtId="9" fontId="20" fillId="2" borderId="9" xfId="4" applyFont="1" applyFill="1" applyBorder="1" applyAlignment="1" applyProtection="1">
      <alignment vertical="center"/>
      <protection locked="0"/>
    </xf>
    <xf numFmtId="169" fontId="22" fillId="0" borderId="9" xfId="0" applyNumberFormat="1" applyFont="1" applyBorder="1" applyAlignment="1">
      <alignment horizontal="center" vertical="center"/>
    </xf>
    <xf numFmtId="167" fontId="22" fillId="2" borderId="9" xfId="0" applyNumberFormat="1" applyFont="1" applyFill="1" applyBorder="1" applyAlignment="1">
      <alignment horizontal="center" vertical="center"/>
    </xf>
    <xf numFmtId="170" fontId="22" fillId="0" borderId="13" xfId="0" applyNumberFormat="1" applyFont="1" applyBorder="1" applyAlignment="1">
      <alignment horizontal="left" vertical="center"/>
    </xf>
    <xf numFmtId="4" fontId="20" fillId="5" borderId="2" xfId="0" applyNumberFormat="1" applyFont="1" applyFill="1" applyBorder="1" applyAlignment="1">
      <alignment vertical="center"/>
    </xf>
    <xf numFmtId="4" fontId="20" fillId="5" borderId="1" xfId="0" applyNumberFormat="1" applyFont="1" applyFill="1" applyBorder="1" applyAlignment="1">
      <alignment vertical="center"/>
    </xf>
    <xf numFmtId="4" fontId="22" fillId="5" borderId="1" xfId="0" applyNumberFormat="1" applyFont="1" applyFill="1" applyBorder="1" applyAlignment="1">
      <alignment vertical="center"/>
    </xf>
    <xf numFmtId="4" fontId="22" fillId="5" borderId="15" xfId="0" applyNumberFormat="1" applyFont="1" applyFill="1" applyBorder="1" applyAlignment="1">
      <alignment vertical="center"/>
    </xf>
    <xf numFmtId="171" fontId="22" fillId="2" borderId="9" xfId="0" applyNumberFormat="1" applyFont="1" applyFill="1" applyBorder="1" applyAlignment="1" applyProtection="1">
      <alignment horizontal="center" vertical="center"/>
      <protection locked="0"/>
    </xf>
    <xf numFmtId="171" fontId="22" fillId="0" borderId="7" xfId="0" applyNumberFormat="1" applyFont="1" applyBorder="1" applyAlignment="1">
      <alignment horizontal="center" vertical="center"/>
    </xf>
    <xf numFmtId="171" fontId="22" fillId="0" borderId="13" xfId="0" applyNumberFormat="1" applyFont="1" applyBorder="1" applyAlignment="1">
      <alignment horizontal="center" vertical="center"/>
    </xf>
    <xf numFmtId="4" fontId="25" fillId="5" borderId="0" xfId="0" applyNumberFormat="1" applyFont="1" applyFill="1" applyAlignment="1">
      <alignment vertical="center"/>
    </xf>
    <xf numFmtId="9" fontId="22" fillId="0" borderId="9" xfId="0" applyNumberFormat="1" applyFont="1" applyBorder="1" applyAlignment="1">
      <alignment horizontal="center" vertical="center"/>
    </xf>
    <xf numFmtId="0" fontId="22" fillId="0" borderId="9" xfId="0" applyFont="1" applyBorder="1" applyAlignment="1">
      <alignment horizontal="center" vertical="center"/>
    </xf>
    <xf numFmtId="172" fontId="15" fillId="0" borderId="0" xfId="0" applyNumberFormat="1" applyFont="1" applyAlignment="1">
      <alignment vertical="center"/>
    </xf>
    <xf numFmtId="2" fontId="14" fillId="4" borderId="5" xfId="3" applyNumberFormat="1" applyAlignment="1">
      <alignment horizontal="center" vertical="center"/>
    </xf>
    <xf numFmtId="2" fontId="18" fillId="0" borderId="9" xfId="0" applyNumberFormat="1" applyFont="1" applyBorder="1" applyAlignment="1">
      <alignment vertical="center"/>
    </xf>
    <xf numFmtId="4" fontId="20" fillId="5" borderId="15" xfId="0" applyNumberFormat="1" applyFont="1" applyFill="1" applyBorder="1" applyAlignment="1">
      <alignment vertical="center"/>
    </xf>
    <xf numFmtId="10" fontId="22" fillId="2" borderId="9" xfId="4" applyNumberFormat="1" applyFont="1" applyFill="1" applyBorder="1" applyAlignment="1" applyProtection="1">
      <alignment horizontal="center" vertical="center"/>
      <protection locked="0"/>
    </xf>
    <xf numFmtId="4" fontId="22" fillId="5" borderId="7" xfId="0" applyNumberFormat="1" applyFont="1" applyFill="1" applyBorder="1" applyAlignment="1">
      <alignment vertical="center"/>
    </xf>
    <xf numFmtId="4" fontId="22" fillId="5" borderId="13" xfId="0" applyNumberFormat="1" applyFont="1" applyFill="1" applyBorder="1" applyAlignment="1">
      <alignment vertical="center"/>
    </xf>
    <xf numFmtId="1" fontId="22" fillId="0" borderId="9" xfId="0" applyNumberFormat="1" applyFont="1" applyBorder="1" applyAlignment="1">
      <alignment horizontal="center" vertical="center"/>
    </xf>
    <xf numFmtId="0" fontId="18" fillId="0" borderId="15" xfId="0" applyFont="1" applyBorder="1" applyAlignment="1">
      <alignment vertical="center"/>
    </xf>
    <xf numFmtId="173" fontId="22" fillId="2" borderId="9" xfId="4" applyNumberFormat="1" applyFont="1" applyFill="1" applyBorder="1" applyAlignment="1" applyProtection="1">
      <alignment horizontal="center" vertical="center"/>
      <protection locked="0"/>
    </xf>
    <xf numFmtId="174" fontId="22" fillId="5" borderId="9" xfId="0" applyNumberFormat="1" applyFont="1" applyFill="1" applyBorder="1" applyAlignment="1">
      <alignment horizontal="center" vertical="center"/>
    </xf>
    <xf numFmtId="175" fontId="22" fillId="5" borderId="9" xfId="0" applyNumberFormat="1" applyFont="1" applyFill="1" applyBorder="1" applyAlignment="1">
      <alignment horizontal="center" vertical="center"/>
    </xf>
    <xf numFmtId="176" fontId="22" fillId="5" borderId="9" xfId="0" applyNumberFormat="1" applyFont="1" applyFill="1" applyBorder="1" applyAlignment="1">
      <alignment horizontal="center" vertical="center"/>
    </xf>
    <xf numFmtId="177" fontId="22" fillId="5" borderId="7" xfId="0" applyNumberFormat="1" applyFont="1" applyFill="1" applyBorder="1" applyAlignment="1">
      <alignment horizontal="center" vertical="center"/>
    </xf>
    <xf numFmtId="177" fontId="22" fillId="5" borderId="13" xfId="0" applyNumberFormat="1" applyFont="1" applyFill="1" applyBorder="1" applyAlignment="1">
      <alignment horizontal="center" vertical="center"/>
    </xf>
    <xf numFmtId="168" fontId="22" fillId="2" borderId="9" xfId="0" applyNumberFormat="1" applyFont="1" applyFill="1" applyBorder="1" applyAlignment="1" applyProtection="1">
      <alignment vertical="center"/>
      <protection locked="0"/>
    </xf>
    <xf numFmtId="178" fontId="22" fillId="0" borderId="9" xfId="0" applyNumberFormat="1" applyFont="1" applyBorder="1" applyAlignment="1">
      <alignment horizontal="center" vertical="center"/>
    </xf>
    <xf numFmtId="179" fontId="22" fillId="0" borderId="9" xfId="0" applyNumberFormat="1" applyFont="1" applyBorder="1" applyAlignment="1">
      <alignment horizontal="center" vertical="center"/>
    </xf>
    <xf numFmtId="177" fontId="22" fillId="5" borderId="9" xfId="0" applyNumberFormat="1" applyFont="1" applyFill="1" applyBorder="1" applyAlignment="1">
      <alignment horizontal="center" vertical="center"/>
    </xf>
    <xf numFmtId="180" fontId="22" fillId="5" borderId="7" xfId="0" applyNumberFormat="1" applyFont="1" applyFill="1" applyBorder="1" applyAlignment="1">
      <alignment vertical="center"/>
    </xf>
    <xf numFmtId="180" fontId="22" fillId="5" borderId="13" xfId="0" applyNumberFormat="1" applyFont="1" applyFill="1" applyBorder="1" applyAlignment="1">
      <alignment vertical="center"/>
    </xf>
    <xf numFmtId="4" fontId="20" fillId="5" borderId="7" xfId="0" applyNumberFormat="1" applyFont="1" applyFill="1" applyBorder="1" applyAlignment="1">
      <alignment vertical="center"/>
    </xf>
    <xf numFmtId="4" fontId="20" fillId="5" borderId="0" xfId="0" applyNumberFormat="1" applyFont="1" applyFill="1" applyAlignment="1">
      <alignment vertical="center"/>
    </xf>
    <xf numFmtId="181" fontId="22" fillId="2" borderId="2" xfId="0" applyNumberFormat="1" applyFont="1" applyFill="1" applyBorder="1" applyAlignment="1" applyProtection="1">
      <alignment horizontal="right" vertical="center"/>
      <protection locked="0"/>
    </xf>
    <xf numFmtId="182" fontId="22" fillId="2" borderId="15" xfId="0" applyNumberFormat="1" applyFont="1" applyFill="1" applyBorder="1" applyAlignment="1" applyProtection="1">
      <alignment horizontal="left" vertical="center"/>
      <protection locked="0"/>
    </xf>
    <xf numFmtId="4" fontId="22" fillId="5" borderId="16" xfId="0" applyNumberFormat="1" applyFont="1" applyFill="1" applyBorder="1" applyAlignment="1">
      <alignment horizontal="left" vertical="center" wrapText="1"/>
    </xf>
    <xf numFmtId="183" fontId="22" fillId="5" borderId="7" xfId="0" applyNumberFormat="1" applyFont="1" applyFill="1" applyBorder="1" applyAlignment="1">
      <alignment horizontal="center" vertical="center"/>
    </xf>
    <xf numFmtId="183" fontId="22" fillId="5" borderId="13" xfId="0" applyNumberFormat="1" applyFont="1" applyFill="1" applyBorder="1" applyAlignment="1">
      <alignment horizontal="center" vertical="center"/>
    </xf>
    <xf numFmtId="4" fontId="20" fillId="0" borderId="6" xfId="0" applyNumberFormat="1" applyFont="1" applyBorder="1" applyAlignment="1">
      <alignment vertical="center"/>
    </xf>
    <xf numFmtId="4" fontId="20" fillId="0" borderId="3" xfId="0" applyNumberFormat="1" applyFont="1" applyBorder="1" applyAlignment="1">
      <alignment vertical="center"/>
    </xf>
    <xf numFmtId="185" fontId="22" fillId="2" borderId="9" xfId="0" applyNumberFormat="1" applyFont="1" applyFill="1" applyBorder="1" applyAlignment="1" applyProtection="1">
      <alignment horizontal="center" vertical="center"/>
      <protection locked="0"/>
    </xf>
    <xf numFmtId="170" fontId="22" fillId="0" borderId="3" xfId="0" applyNumberFormat="1" applyFont="1" applyBorder="1" applyAlignment="1">
      <alignment horizontal="center" vertical="center"/>
    </xf>
    <xf numFmtId="186" fontId="22" fillId="5" borderId="18" xfId="0" applyNumberFormat="1" applyFont="1" applyFill="1" applyBorder="1" applyAlignment="1">
      <alignment horizontal="center" vertical="center" wrapText="1"/>
    </xf>
    <xf numFmtId="4" fontId="20" fillId="5" borderId="8" xfId="0" applyNumberFormat="1" applyFont="1" applyFill="1" applyBorder="1" applyAlignment="1">
      <alignment vertical="center"/>
    </xf>
    <xf numFmtId="4" fontId="20" fillId="5" borderId="4" xfId="0" applyNumberFormat="1" applyFont="1" applyFill="1" applyBorder="1" applyAlignment="1">
      <alignment vertical="center"/>
    </xf>
    <xf numFmtId="170" fontId="22" fillId="0" borderId="4" xfId="0" applyNumberFormat="1" applyFont="1" applyBorder="1" applyAlignment="1">
      <alignment horizontal="center" vertical="center"/>
    </xf>
    <xf numFmtId="186" fontId="22" fillId="5" borderId="20" xfId="0" applyNumberFormat="1" applyFont="1" applyFill="1" applyBorder="1" applyAlignment="1">
      <alignment horizontal="center" vertical="center" wrapText="1"/>
    </xf>
    <xf numFmtId="4" fontId="20" fillId="0" borderId="2" xfId="0" applyNumberFormat="1" applyFont="1" applyBorder="1" applyAlignment="1">
      <alignment vertical="center"/>
    </xf>
    <xf numFmtId="4" fontId="20" fillId="0" borderId="1" xfId="0" applyNumberFormat="1" applyFont="1" applyBorder="1" applyAlignment="1">
      <alignment vertical="center"/>
    </xf>
    <xf numFmtId="10" fontId="22" fillId="2" borderId="9" xfId="0" applyNumberFormat="1" applyFont="1" applyFill="1" applyBorder="1" applyAlignment="1" applyProtection="1">
      <alignment horizontal="center" vertical="center"/>
      <protection locked="0"/>
    </xf>
    <xf numFmtId="0" fontId="18" fillId="0" borderId="1" xfId="0" applyFont="1" applyBorder="1" applyAlignment="1">
      <alignment vertical="center"/>
    </xf>
    <xf numFmtId="170" fontId="22" fillId="0" borderId="1" xfId="0" applyNumberFormat="1" applyFont="1" applyBorder="1" applyAlignment="1">
      <alignment horizontal="center" vertical="center"/>
    </xf>
    <xf numFmtId="186" fontId="22" fillId="5" borderId="15" xfId="0" applyNumberFormat="1" applyFont="1" applyFill="1" applyBorder="1" applyAlignment="1">
      <alignment horizontal="center" vertical="center" wrapText="1"/>
    </xf>
    <xf numFmtId="183" fontId="22" fillId="5" borderId="21" xfId="0" applyNumberFormat="1" applyFont="1" applyFill="1" applyBorder="1" applyAlignment="1">
      <alignment horizontal="center" vertical="center"/>
    </xf>
    <xf numFmtId="0" fontId="18" fillId="0" borderId="22" xfId="0" applyFont="1" applyBorder="1" applyAlignment="1">
      <alignment vertical="center"/>
    </xf>
    <xf numFmtId="0" fontId="18" fillId="0" borderId="23" xfId="0" applyFont="1" applyBorder="1" applyAlignment="1">
      <alignment vertical="center"/>
    </xf>
    <xf numFmtId="4" fontId="17" fillId="5" borderId="4" xfId="0" applyNumberFormat="1" applyFont="1" applyFill="1" applyBorder="1" applyAlignment="1">
      <alignment vertical="center"/>
    </xf>
    <xf numFmtId="183" fontId="22" fillId="5" borderId="0" xfId="0" applyNumberFormat="1" applyFont="1" applyFill="1" applyAlignment="1">
      <alignment horizontal="center" vertical="center"/>
    </xf>
    <xf numFmtId="188" fontId="22" fillId="5" borderId="0" xfId="0" applyNumberFormat="1" applyFont="1" applyFill="1" applyAlignment="1">
      <alignment vertical="center"/>
    </xf>
    <xf numFmtId="4" fontId="22" fillId="5" borderId="0" xfId="0" applyNumberFormat="1" applyFont="1" applyFill="1" applyAlignment="1">
      <alignment vertical="center"/>
    </xf>
    <xf numFmtId="177" fontId="26" fillId="0" borderId="0" xfId="0" applyNumberFormat="1" applyFont="1" applyAlignment="1">
      <alignment horizontal="center" vertical="center"/>
    </xf>
    <xf numFmtId="176" fontId="22" fillId="5" borderId="1" xfId="0" applyNumberFormat="1" applyFont="1" applyFill="1" applyBorder="1" applyAlignment="1">
      <alignment horizontal="center" vertical="center"/>
    </xf>
    <xf numFmtId="189" fontId="22" fillId="0" borderId="15" xfId="0" applyNumberFormat="1" applyFont="1" applyBorder="1" applyAlignment="1">
      <alignment horizontal="center" vertical="center"/>
    </xf>
    <xf numFmtId="190" fontId="22" fillId="2" borderId="9" xfId="0" applyNumberFormat="1" applyFont="1" applyFill="1" applyBorder="1" applyAlignment="1" applyProtection="1">
      <alignment horizontal="center" vertical="center"/>
      <protection locked="0"/>
    </xf>
    <xf numFmtId="183" fontId="22" fillId="5" borderId="17" xfId="0" applyNumberFormat="1" applyFont="1" applyFill="1" applyBorder="1" applyAlignment="1">
      <alignment horizontal="center" vertical="center"/>
    </xf>
    <xf numFmtId="191" fontId="22" fillId="0" borderId="1" xfId="0" applyNumberFormat="1" applyFont="1" applyBorder="1" applyAlignment="1">
      <alignment horizontal="center" vertical="center"/>
    </xf>
    <xf numFmtId="191" fontId="22" fillId="2" borderId="9" xfId="0" applyNumberFormat="1" applyFont="1" applyFill="1" applyBorder="1" applyAlignment="1" applyProtection="1">
      <alignment horizontal="center" vertical="center"/>
      <protection locked="0"/>
    </xf>
    <xf numFmtId="183" fontId="22" fillId="5" borderId="24" xfId="0" applyNumberFormat="1" applyFont="1" applyFill="1" applyBorder="1" applyAlignment="1">
      <alignment horizontal="center" vertical="center"/>
    </xf>
    <xf numFmtId="192" fontId="22" fillId="5" borderId="24" xfId="0" applyNumberFormat="1" applyFont="1" applyFill="1" applyBorder="1" applyAlignment="1">
      <alignment horizontal="center" vertical="center"/>
    </xf>
    <xf numFmtId="193" fontId="22" fillId="5" borderId="24" xfId="0" applyNumberFormat="1" applyFont="1" applyFill="1" applyBorder="1" applyAlignment="1">
      <alignment horizontal="center" vertical="center"/>
    </xf>
    <xf numFmtId="0" fontId="22" fillId="0" borderId="28" xfId="0" applyFont="1" applyBorder="1" applyAlignment="1">
      <alignment vertical="center"/>
    </xf>
    <xf numFmtId="0" fontId="22" fillId="0" borderId="29" xfId="0" applyFont="1" applyBorder="1" applyAlignment="1">
      <alignment vertical="center"/>
    </xf>
    <xf numFmtId="194" fontId="25" fillId="0" borderId="30" xfId="4" applyNumberFormat="1" applyFont="1" applyBorder="1" applyAlignment="1">
      <alignment vertical="center"/>
    </xf>
    <xf numFmtId="4" fontId="17" fillId="5" borderId="8" xfId="0" applyNumberFormat="1" applyFont="1" applyFill="1" applyBorder="1" applyAlignment="1">
      <alignment vertical="center"/>
    </xf>
    <xf numFmtId="195" fontId="25" fillId="5" borderId="4" xfId="0" applyNumberFormat="1" applyFont="1" applyFill="1" applyBorder="1" applyAlignment="1">
      <alignment vertical="center"/>
    </xf>
    <xf numFmtId="176" fontId="22" fillId="5" borderId="4" xfId="0" applyNumberFormat="1" applyFont="1" applyFill="1" applyBorder="1" applyAlignment="1">
      <alignment horizontal="center" vertical="center"/>
    </xf>
    <xf numFmtId="196" fontId="22" fillId="5" borderId="4" xfId="0" applyNumberFormat="1" applyFont="1" applyFill="1" applyBorder="1" applyAlignment="1">
      <alignment horizontal="center" vertical="center"/>
    </xf>
    <xf numFmtId="192" fontId="22" fillId="5" borderId="19" xfId="0" applyNumberFormat="1" applyFont="1" applyFill="1" applyBorder="1" applyAlignment="1">
      <alignment horizontal="center" vertical="center"/>
    </xf>
    <xf numFmtId="193" fontId="25" fillId="5" borderId="19" xfId="0" applyNumberFormat="1" applyFont="1" applyFill="1" applyBorder="1" applyAlignment="1">
      <alignment horizontal="center" vertical="center"/>
    </xf>
    <xf numFmtId="197" fontId="22" fillId="5" borderId="0" xfId="0" applyNumberFormat="1" applyFont="1" applyFill="1" applyAlignment="1">
      <alignment horizontal="right" vertical="center"/>
    </xf>
    <xf numFmtId="198" fontId="22" fillId="5" borderId="0" xfId="0" applyNumberFormat="1" applyFont="1" applyFill="1" applyAlignment="1">
      <alignment vertical="center"/>
    </xf>
    <xf numFmtId="172" fontId="20" fillId="5" borderId="0" xfId="0" applyNumberFormat="1" applyFont="1" applyFill="1" applyAlignment="1">
      <alignment horizontal="left" vertical="center" wrapText="1"/>
    </xf>
    <xf numFmtId="172" fontId="20" fillId="5" borderId="0" xfId="0" applyNumberFormat="1" applyFont="1" applyFill="1" applyAlignment="1">
      <alignment horizontal="left" vertical="center"/>
    </xf>
    <xf numFmtId="0" fontId="22" fillId="0" borderId="31" xfId="0" applyFont="1" applyBorder="1" applyAlignment="1">
      <alignment vertical="center"/>
    </xf>
    <xf numFmtId="4" fontId="25" fillId="5" borderId="32" xfId="0" applyNumberFormat="1" applyFont="1" applyFill="1" applyBorder="1" applyAlignment="1">
      <alignment vertical="center"/>
    </xf>
    <xf numFmtId="0" fontId="22" fillId="0" borderId="32" xfId="0" applyFont="1" applyBorder="1" applyAlignment="1">
      <alignment vertical="center"/>
    </xf>
    <xf numFmtId="194" fontId="25" fillId="0" borderId="33" xfId="4" applyNumberFormat="1" applyFont="1" applyBorder="1" applyAlignment="1">
      <alignment vertical="center"/>
    </xf>
    <xf numFmtId="172" fontId="20" fillId="5" borderId="9" xfId="0" applyNumberFormat="1" applyFont="1" applyFill="1" applyBorder="1" applyAlignment="1">
      <alignment horizontal="left" vertical="center" wrapText="1"/>
    </xf>
    <xf numFmtId="172" fontId="20" fillId="5" borderId="9" xfId="0" applyNumberFormat="1" applyFont="1" applyFill="1" applyBorder="1" applyAlignment="1">
      <alignment horizontal="left" vertical="center"/>
    </xf>
    <xf numFmtId="0" fontId="28" fillId="0" borderId="34" xfId="0" applyFont="1" applyBorder="1" applyAlignment="1">
      <alignment vertical="center"/>
    </xf>
    <xf numFmtId="0" fontId="22" fillId="0" borderId="35" xfId="0" applyFont="1" applyBorder="1" applyAlignment="1">
      <alignment vertical="center"/>
    </xf>
    <xf numFmtId="0" fontId="22" fillId="0" borderId="36" xfId="0" applyFont="1" applyBorder="1" applyAlignment="1">
      <alignment vertical="center"/>
    </xf>
    <xf numFmtId="172" fontId="17" fillId="5" borderId="0" xfId="0" applyNumberFormat="1" applyFont="1" applyFill="1" applyAlignment="1">
      <alignment horizontal="left" vertical="center" wrapText="1"/>
    </xf>
    <xf numFmtId="0" fontId="22" fillId="0" borderId="37" xfId="0" applyFont="1" applyBorder="1" applyAlignment="1">
      <alignment vertical="center"/>
    </xf>
    <xf numFmtId="10" fontId="22" fillId="0" borderId="0" xfId="0" applyNumberFormat="1" applyFont="1" applyAlignment="1">
      <alignment vertical="center"/>
    </xf>
    <xf numFmtId="199" fontId="22" fillId="0" borderId="0" xfId="0" applyNumberFormat="1" applyFont="1" applyAlignment="1">
      <alignment vertical="center"/>
    </xf>
    <xf numFmtId="0" fontId="22" fillId="0" borderId="38" xfId="0" applyFont="1" applyBorder="1" applyAlignment="1">
      <alignment vertical="center"/>
    </xf>
    <xf numFmtId="9" fontId="17" fillId="5" borderId="0" xfId="4" applyFont="1" applyFill="1" applyBorder="1" applyAlignment="1" applyProtection="1">
      <alignment horizontal="center" vertical="center" wrapText="1"/>
    </xf>
    <xf numFmtId="4" fontId="20" fillId="5" borderId="0" xfId="0" applyNumberFormat="1" applyFont="1" applyFill="1" applyAlignment="1">
      <alignment vertical="center" wrapText="1"/>
    </xf>
    <xf numFmtId="199" fontId="30" fillId="6" borderId="19" xfId="0" applyNumberFormat="1" applyFont="1" applyFill="1" applyBorder="1" applyAlignment="1">
      <alignment horizontal="left" vertical="center" wrapText="1"/>
    </xf>
    <xf numFmtId="4" fontId="17" fillId="5" borderId="0" xfId="0" applyNumberFormat="1" applyFont="1" applyFill="1" applyAlignment="1">
      <alignment vertical="center" wrapText="1"/>
    </xf>
    <xf numFmtId="194" fontId="17" fillId="5" borderId="0" xfId="4" applyNumberFormat="1" applyFont="1" applyFill="1" applyBorder="1" applyAlignment="1" applyProtection="1">
      <alignment horizontal="center" vertical="center" wrapText="1"/>
    </xf>
    <xf numFmtId="4" fontId="20" fillId="5" borderId="6" xfId="0" applyNumberFormat="1" applyFont="1" applyFill="1" applyBorder="1" applyAlignment="1">
      <alignment vertical="center" wrapText="1"/>
    </xf>
    <xf numFmtId="4" fontId="20" fillId="5" borderId="3" xfId="0" applyNumberFormat="1" applyFont="1" applyFill="1" applyBorder="1" applyAlignment="1">
      <alignment vertical="center" wrapText="1"/>
    </xf>
    <xf numFmtId="4" fontId="20" fillId="5" borderId="3" xfId="0" applyNumberFormat="1" applyFont="1" applyFill="1" applyBorder="1" applyAlignment="1">
      <alignment horizontal="right" vertical="center" wrapText="1"/>
    </xf>
    <xf numFmtId="10" fontId="22" fillId="7" borderId="9" xfId="0" applyNumberFormat="1" applyFont="1" applyFill="1" applyBorder="1" applyAlignment="1" applyProtection="1">
      <alignment horizontal="center" vertical="center"/>
      <protection locked="0"/>
    </xf>
    <xf numFmtId="0" fontId="18" fillId="0" borderId="7" xfId="0" applyFont="1" applyBorder="1" applyAlignment="1">
      <alignment vertical="center"/>
    </xf>
    <xf numFmtId="4" fontId="20" fillId="5" borderId="9" xfId="0" applyNumberFormat="1" applyFont="1" applyFill="1" applyBorder="1" applyAlignment="1">
      <alignment horizontal="center" vertical="center" wrapText="1"/>
    </xf>
    <xf numFmtId="0" fontId="20" fillId="0" borderId="9" xfId="0" applyFont="1" applyBorder="1" applyAlignment="1">
      <alignment horizontal="center" vertical="center" wrapText="1"/>
    </xf>
    <xf numFmtId="0" fontId="22" fillId="0" borderId="39" xfId="0" applyFont="1" applyBorder="1" applyAlignment="1">
      <alignment vertical="center"/>
    </xf>
    <xf numFmtId="10" fontId="22" fillId="0" borderId="40" xfId="0" applyNumberFormat="1" applyFont="1" applyBorder="1" applyAlignment="1">
      <alignment vertical="center"/>
    </xf>
    <xf numFmtId="199" fontId="22" fillId="0" borderId="40" xfId="0" applyNumberFormat="1" applyFont="1" applyBorder="1" applyAlignment="1">
      <alignment vertical="center"/>
    </xf>
    <xf numFmtId="0" fontId="22" fillId="0" borderId="41" xfId="0" applyFont="1" applyBorder="1" applyAlignment="1">
      <alignment vertical="center"/>
    </xf>
    <xf numFmtId="0" fontId="20" fillId="0" borderId="9" xfId="0" applyFont="1" applyBorder="1" applyAlignment="1">
      <alignment vertical="center"/>
    </xf>
    <xf numFmtId="177" fontId="22" fillId="7" borderId="9" xfId="0" applyNumberFormat="1" applyFont="1" applyFill="1" applyBorder="1" applyAlignment="1">
      <alignment horizontal="center" vertical="center"/>
    </xf>
    <xf numFmtId="177" fontId="22" fillId="0" borderId="9" xfId="0" applyNumberFormat="1" applyFont="1" applyBorder="1" applyAlignment="1">
      <alignment horizontal="center" vertical="center"/>
    </xf>
    <xf numFmtId="9" fontId="22" fillId="0" borderId="9" xfId="4" applyFont="1" applyBorder="1" applyAlignment="1">
      <alignment horizontal="center" vertical="center"/>
    </xf>
    <xf numFmtId="199" fontId="22" fillId="0" borderId="9" xfId="0" applyNumberFormat="1" applyFont="1" applyBorder="1" applyAlignment="1">
      <alignment vertical="center"/>
    </xf>
    <xf numFmtId="0" fontId="22" fillId="0" borderId="8" xfId="0" applyFont="1" applyBorder="1" applyAlignment="1">
      <alignment vertical="center"/>
    </xf>
    <xf numFmtId="0" fontId="22" fillId="0" borderId="4" xfId="0" applyFont="1" applyBorder="1" applyAlignment="1">
      <alignment vertical="center"/>
    </xf>
    <xf numFmtId="4" fontId="22" fillId="5" borderId="4" xfId="0" applyNumberFormat="1" applyFont="1" applyFill="1" applyBorder="1" applyAlignment="1">
      <alignment vertical="center"/>
    </xf>
    <xf numFmtId="4" fontId="20" fillId="5" borderId="4" xfId="0" applyNumberFormat="1" applyFont="1" applyFill="1" applyBorder="1" applyAlignment="1">
      <alignment horizontal="right" vertical="center"/>
    </xf>
    <xf numFmtId="199" fontId="30" fillId="6" borderId="9" xfId="0" applyNumberFormat="1" applyFont="1" applyFill="1" applyBorder="1" applyAlignment="1">
      <alignment horizontal="left" vertical="center" wrapText="1"/>
    </xf>
    <xf numFmtId="4" fontId="22" fillId="5" borderId="0" xfId="0" applyNumberFormat="1" applyFont="1" applyFill="1" applyAlignment="1">
      <alignment horizontal="right" vertical="center"/>
    </xf>
    <xf numFmtId="10" fontId="31" fillId="5" borderId="9" xfId="4" applyNumberFormat="1" applyFont="1" applyFill="1" applyBorder="1" applyAlignment="1" applyProtection="1">
      <alignment horizontal="center" vertical="center"/>
    </xf>
    <xf numFmtId="199" fontId="18" fillId="0" borderId="0" xfId="0" applyNumberFormat="1" applyFont="1" applyAlignment="1">
      <alignment vertical="center"/>
    </xf>
    <xf numFmtId="10" fontId="31" fillId="5" borderId="0" xfId="4" applyNumberFormat="1" applyFont="1" applyFill="1" applyBorder="1" applyAlignment="1" applyProtection="1">
      <alignment horizontal="center" vertical="center"/>
    </xf>
    <xf numFmtId="0" fontId="18" fillId="0" borderId="0" xfId="0" applyFont="1" applyAlignment="1">
      <alignment horizontal="right" vertical="center"/>
    </xf>
    <xf numFmtId="167" fontId="32" fillId="0" borderId="42" xfId="0" applyNumberFormat="1" applyFont="1" applyBorder="1" applyAlignment="1">
      <alignment vertical="center"/>
    </xf>
    <xf numFmtId="177" fontId="18" fillId="0" borderId="0" xfId="0" applyNumberFormat="1" applyFont="1" applyAlignment="1">
      <alignment vertical="center"/>
    </xf>
    <xf numFmtId="187" fontId="25" fillId="5" borderId="20" xfId="0" applyNumberFormat="1" applyFont="1" applyFill="1" applyBorder="1" applyAlignment="1">
      <alignment horizontal="center" vertical="center" wrapText="1"/>
    </xf>
    <xf numFmtId="197" fontId="25" fillId="5" borderId="9" xfId="0" applyNumberFormat="1" applyFont="1" applyFill="1" applyBorder="1" applyAlignment="1">
      <alignment vertical="center"/>
    </xf>
    <xf numFmtId="167" fontId="25" fillId="2" borderId="9" xfId="0" applyNumberFormat="1" applyFont="1" applyFill="1" applyBorder="1" applyAlignment="1" applyProtection="1">
      <alignment horizontal="center" vertical="center"/>
      <protection locked="0"/>
    </xf>
    <xf numFmtId="0" fontId="3" fillId="3" borderId="4" xfId="0" applyFont="1" applyFill="1" applyBorder="1"/>
    <xf numFmtId="14" fontId="0" fillId="3" borderId="0" xfId="0" applyNumberFormat="1" applyFill="1"/>
    <xf numFmtId="0" fontId="3" fillId="3" borderId="0" xfId="0" applyFont="1" applyFill="1" applyAlignment="1">
      <alignment horizontal="right"/>
    </xf>
    <xf numFmtId="165" fontId="3" fillId="3" borderId="0" xfId="0" applyNumberFormat="1" applyFont="1" applyFill="1" applyAlignment="1">
      <alignment horizontal="right"/>
    </xf>
    <xf numFmtId="2" fontId="5" fillId="3" borderId="3" xfId="0" applyNumberFormat="1" applyFont="1" applyFill="1" applyBorder="1"/>
    <xf numFmtId="44" fontId="5" fillId="3" borderId="3" xfId="1" applyFont="1" applyFill="1" applyBorder="1"/>
    <xf numFmtId="0" fontId="0" fillId="3" borderId="0" xfId="0" applyFill="1" applyAlignment="1">
      <alignment horizontal="left"/>
    </xf>
    <xf numFmtId="0" fontId="0" fillId="3" borderId="0" xfId="0" applyFill="1" applyAlignment="1">
      <alignment horizontal="center"/>
    </xf>
    <xf numFmtId="0" fontId="35" fillId="3" borderId="4" xfId="0" applyFont="1" applyFill="1" applyBorder="1"/>
    <xf numFmtId="0" fontId="0" fillId="0" borderId="3" xfId="0" applyBorder="1"/>
    <xf numFmtId="0" fontId="35" fillId="3" borderId="4" xfId="0" applyFont="1" applyFill="1" applyBorder="1" applyAlignment="1">
      <alignment horizontal="center" vertical="center" wrapText="1"/>
    </xf>
    <xf numFmtId="0" fontId="35" fillId="3" borderId="0" xfId="0" applyFont="1" applyFill="1" applyAlignment="1">
      <alignment horizontal="center" vertical="center" wrapText="1"/>
    </xf>
    <xf numFmtId="166" fontId="5" fillId="3" borderId="3" xfId="0" applyNumberFormat="1" applyFont="1" applyFill="1" applyBorder="1" applyAlignment="1">
      <alignment horizontal="center"/>
    </xf>
    <xf numFmtId="0" fontId="5" fillId="3" borderId="3" xfId="0" applyFont="1" applyFill="1" applyBorder="1"/>
    <xf numFmtId="3" fontId="5" fillId="3" borderId="3" xfId="0" applyNumberFormat="1" applyFont="1" applyFill="1" applyBorder="1"/>
    <xf numFmtId="44" fontId="5" fillId="3" borderId="3" xfId="0" applyNumberFormat="1" applyFont="1" applyFill="1" applyBorder="1"/>
    <xf numFmtId="4" fontId="4" fillId="3" borderId="3" xfId="0" applyNumberFormat="1" applyFont="1" applyFill="1" applyBorder="1"/>
    <xf numFmtId="0" fontId="4" fillId="3" borderId="3" xfId="0" applyFont="1" applyFill="1" applyBorder="1"/>
    <xf numFmtId="3" fontId="5" fillId="3" borderId="0" xfId="0" applyNumberFormat="1" applyFont="1" applyFill="1"/>
    <xf numFmtId="0" fontId="37" fillId="3" borderId="0" xfId="5" applyFont="1" applyFill="1" applyBorder="1"/>
    <xf numFmtId="0" fontId="35" fillId="3" borderId="0" xfId="0" applyFont="1" applyFill="1"/>
    <xf numFmtId="14" fontId="35" fillId="3" borderId="0" xfId="0" applyNumberFormat="1" applyFont="1" applyFill="1"/>
    <xf numFmtId="14" fontId="3" fillId="3" borderId="0" xfId="0" applyNumberFormat="1" applyFont="1" applyFill="1"/>
    <xf numFmtId="44" fontId="5" fillId="3" borderId="0" xfId="1" applyFont="1" applyFill="1"/>
    <xf numFmtId="0" fontId="37" fillId="3" borderId="0" xfId="5" applyFont="1" applyFill="1"/>
    <xf numFmtId="2" fontId="4" fillId="3" borderId="0" xfId="0" applyNumberFormat="1" applyFont="1" applyFill="1"/>
    <xf numFmtId="0" fontId="4" fillId="3" borderId="4" xfId="0" applyFont="1" applyFill="1" applyBorder="1"/>
    <xf numFmtId="0" fontId="0" fillId="0" borderId="4" xfId="0" applyBorder="1"/>
    <xf numFmtId="44" fontId="4" fillId="3" borderId="0" xfId="1" applyFont="1" applyFill="1"/>
    <xf numFmtId="0" fontId="37" fillId="0" borderId="0" xfId="5" applyFont="1" applyFill="1"/>
    <xf numFmtId="2" fontId="4" fillId="3" borderId="3" xfId="0" applyNumberFormat="1" applyFont="1" applyFill="1" applyBorder="1"/>
    <xf numFmtId="2" fontId="0" fillId="3" borderId="0" xfId="0" applyNumberFormat="1" applyFill="1"/>
    <xf numFmtId="1" fontId="4" fillId="3" borderId="0" xfId="0" applyNumberFormat="1" applyFont="1" applyFill="1"/>
    <xf numFmtId="44" fontId="4" fillId="3" borderId="0" xfId="1" applyFont="1" applyFill="1" applyBorder="1"/>
    <xf numFmtId="44" fontId="1" fillId="3" borderId="0" xfId="1" applyFont="1" applyFill="1" applyBorder="1"/>
    <xf numFmtId="44" fontId="0" fillId="3" borderId="0" xfId="1" applyFont="1" applyFill="1" applyBorder="1"/>
    <xf numFmtId="44" fontId="0" fillId="3" borderId="0" xfId="0" applyNumberFormat="1" applyFill="1"/>
    <xf numFmtId="44" fontId="4" fillId="3" borderId="0" xfId="0" applyNumberFormat="1" applyFont="1" applyFill="1"/>
    <xf numFmtId="44" fontId="35" fillId="3" borderId="0" xfId="1" applyFont="1" applyFill="1" applyBorder="1"/>
    <xf numFmtId="44" fontId="38" fillId="3" borderId="0" xfId="0" applyNumberFormat="1" applyFont="1" applyFill="1"/>
    <xf numFmtId="1" fontId="0" fillId="3" borderId="0" xfId="0" applyNumberFormat="1" applyFill="1"/>
    <xf numFmtId="44" fontId="39" fillId="3" borderId="0" xfId="0" applyNumberFormat="1" applyFont="1" applyFill="1"/>
    <xf numFmtId="44" fontId="39" fillId="3" borderId="3" xfId="0" applyNumberFormat="1" applyFont="1" applyFill="1" applyBorder="1"/>
    <xf numFmtId="0" fontId="4" fillId="3" borderId="3" xfId="0" applyFont="1" applyFill="1" applyBorder="1" applyAlignment="1">
      <alignment horizontal="center"/>
    </xf>
    <xf numFmtId="0" fontId="4" fillId="3" borderId="0" xfId="0" applyFont="1" applyFill="1" applyAlignment="1">
      <alignment horizontal="center"/>
    </xf>
    <xf numFmtId="166" fontId="0" fillId="3" borderId="0" xfId="0" applyNumberFormat="1" applyFill="1" applyAlignment="1">
      <alignment horizontal="center"/>
    </xf>
    <xf numFmtId="3" fontId="0" fillId="3" borderId="0" xfId="0" applyNumberFormat="1" applyFill="1"/>
    <xf numFmtId="165" fontId="4" fillId="3" borderId="0" xfId="0" applyNumberFormat="1" applyFont="1" applyFill="1"/>
    <xf numFmtId="10" fontId="0" fillId="3" borderId="0" xfId="2" applyNumberFormat="1" applyFont="1" applyFill="1" applyBorder="1"/>
    <xf numFmtId="4" fontId="0" fillId="3" borderId="0" xfId="0" applyNumberFormat="1" applyFill="1"/>
    <xf numFmtId="44" fontId="3" fillId="3" borderId="0" xfId="0" applyNumberFormat="1" applyFont="1" applyFill="1"/>
    <xf numFmtId="166" fontId="4" fillId="3" borderId="0" xfId="0" applyNumberFormat="1" applyFont="1" applyFill="1" applyAlignment="1">
      <alignment horizontal="center"/>
    </xf>
    <xf numFmtId="10" fontId="4" fillId="3" borderId="0" xfId="2" applyNumberFormat="1" applyFont="1" applyFill="1" applyBorder="1"/>
    <xf numFmtId="16" fontId="4" fillId="3" borderId="0" xfId="0" applyNumberFormat="1" applyFont="1" applyFill="1"/>
    <xf numFmtId="166" fontId="4" fillId="3" borderId="4" xfId="0" applyNumberFormat="1" applyFont="1" applyFill="1" applyBorder="1" applyAlignment="1">
      <alignment horizontal="center"/>
    </xf>
    <xf numFmtId="3" fontId="0" fillId="3" borderId="4" xfId="0" applyNumberFormat="1" applyFill="1" applyBorder="1"/>
    <xf numFmtId="165" fontId="4" fillId="3" borderId="4" xfId="0" applyNumberFormat="1" applyFont="1" applyFill="1" applyBorder="1"/>
    <xf numFmtId="2" fontId="4" fillId="3" borderId="4" xfId="0" applyNumberFormat="1" applyFont="1" applyFill="1" applyBorder="1"/>
    <xf numFmtId="44" fontId="4" fillId="3" borderId="4" xfId="1" applyFont="1" applyFill="1" applyBorder="1"/>
    <xf numFmtId="10" fontId="4" fillId="3" borderId="4" xfId="2" applyNumberFormat="1" applyFont="1" applyFill="1" applyBorder="1"/>
    <xf numFmtId="44" fontId="0" fillId="3" borderId="4" xfId="1" applyFont="1" applyFill="1" applyBorder="1"/>
    <xf numFmtId="44" fontId="4" fillId="3" borderId="4" xfId="0" applyNumberFormat="1" applyFont="1" applyFill="1" applyBorder="1"/>
    <xf numFmtId="44" fontId="35" fillId="3" borderId="4" xfId="1" applyFont="1" applyFill="1" applyBorder="1"/>
    <xf numFmtId="44" fontId="3" fillId="3" borderId="4" xfId="0" applyNumberFormat="1" applyFont="1" applyFill="1" applyBorder="1"/>
    <xf numFmtId="16" fontId="4" fillId="3" borderId="4" xfId="0" applyNumberFormat="1" applyFont="1" applyFill="1" applyBorder="1"/>
    <xf numFmtId="0" fontId="0" fillId="3" borderId="4" xfId="0" applyFill="1" applyBorder="1"/>
    <xf numFmtId="0" fontId="0" fillId="3" borderId="4" xfId="0" applyFill="1" applyBorder="1" applyAlignment="1">
      <alignment horizontal="center"/>
    </xf>
    <xf numFmtId="44" fontId="6" fillId="3" borderId="0" xfId="1" applyFont="1" applyFill="1"/>
    <xf numFmtId="2" fontId="0" fillId="3" borderId="3" xfId="0" applyNumberFormat="1" applyFill="1" applyBorder="1"/>
    <xf numFmtId="4" fontId="17" fillId="5" borderId="2" xfId="0" applyNumberFormat="1" applyFont="1" applyFill="1" applyBorder="1" applyAlignment="1">
      <alignment vertical="center"/>
    </xf>
    <xf numFmtId="4" fontId="17" fillId="5" borderId="1" xfId="0" applyNumberFormat="1" applyFont="1" applyFill="1" applyBorder="1" applyAlignment="1">
      <alignment vertical="center"/>
    </xf>
    <xf numFmtId="4" fontId="17" fillId="5" borderId="15" xfId="0" applyNumberFormat="1" applyFont="1" applyFill="1" applyBorder="1" applyAlignment="1">
      <alignment vertical="center"/>
    </xf>
    <xf numFmtId="4" fontId="16" fillId="5" borderId="0" xfId="0" applyNumberFormat="1" applyFont="1" applyFill="1" applyAlignment="1">
      <alignment horizontal="center" vertical="center"/>
    </xf>
    <xf numFmtId="17" fontId="16" fillId="5" borderId="4" xfId="0" applyNumberFormat="1" applyFont="1" applyFill="1" applyBorder="1" applyAlignment="1">
      <alignment horizontal="center" vertical="center"/>
    </xf>
    <xf numFmtId="0" fontId="23" fillId="0" borderId="10" xfId="0" applyFont="1" applyBorder="1" applyAlignment="1">
      <alignment horizontal="center" vertical="center"/>
    </xf>
    <xf numFmtId="0" fontId="23" fillId="0" borderId="11" xfId="0" applyFont="1" applyBorder="1" applyAlignment="1">
      <alignment horizontal="center" vertical="center"/>
    </xf>
    <xf numFmtId="0" fontId="23" fillId="0" borderId="12" xfId="0" applyFont="1" applyBorder="1" applyAlignment="1">
      <alignment horizontal="center" vertical="center"/>
    </xf>
    <xf numFmtId="0" fontId="25" fillId="0" borderId="4" xfId="0" applyFont="1" applyBorder="1" applyAlignment="1">
      <alignment horizontal="center" vertical="center"/>
    </xf>
    <xf numFmtId="4" fontId="20" fillId="5" borderId="2" xfId="0" applyNumberFormat="1" applyFont="1" applyFill="1" applyBorder="1" applyAlignment="1">
      <alignment vertical="center"/>
    </xf>
    <xf numFmtId="4" fontId="20" fillId="5" borderId="1" xfId="0" applyNumberFormat="1" applyFont="1" applyFill="1" applyBorder="1" applyAlignment="1">
      <alignment vertical="center"/>
    </xf>
    <xf numFmtId="4" fontId="25" fillId="5" borderId="16" xfId="0" applyNumberFormat="1" applyFont="1" applyFill="1" applyBorder="1" applyAlignment="1">
      <alignment horizontal="center" vertical="center" textRotation="90"/>
    </xf>
    <xf numFmtId="184" fontId="22" fillId="2" borderId="17" xfId="0" applyNumberFormat="1" applyFont="1" applyFill="1" applyBorder="1" applyAlignment="1" applyProtection="1">
      <alignment horizontal="center" vertical="center"/>
      <protection locked="0"/>
    </xf>
    <xf numFmtId="184" fontId="22" fillId="2" borderId="19" xfId="0" applyNumberFormat="1" applyFont="1" applyFill="1" applyBorder="1" applyAlignment="1" applyProtection="1">
      <alignment horizontal="center" vertical="center"/>
      <protection locked="0"/>
    </xf>
    <xf numFmtId="0" fontId="27" fillId="0" borderId="25" xfId="0" applyFont="1" applyBorder="1" applyAlignment="1">
      <alignment horizontal="center" vertical="center"/>
    </xf>
    <xf numFmtId="0" fontId="27" fillId="0" borderId="26" xfId="0" applyFont="1" applyBorder="1" applyAlignment="1">
      <alignment horizontal="center" vertical="center"/>
    </xf>
    <xf numFmtId="0" fontId="27" fillId="0" borderId="27" xfId="0" applyFont="1" applyBorder="1" applyAlignment="1">
      <alignment horizontal="center" vertical="center"/>
    </xf>
    <xf numFmtId="4" fontId="17" fillId="5" borderId="2" xfId="0" applyNumberFormat="1" applyFont="1" applyFill="1" applyBorder="1" applyAlignment="1">
      <alignment vertical="center" wrapText="1"/>
    </xf>
    <xf numFmtId="4" fontId="17" fillId="5" borderId="1" xfId="0" applyNumberFormat="1" applyFont="1" applyFill="1" applyBorder="1" applyAlignment="1">
      <alignment vertical="center" wrapText="1"/>
    </xf>
    <xf numFmtId="4" fontId="17" fillId="5" borderId="15" xfId="0" applyNumberFormat="1" applyFont="1" applyFill="1" applyBorder="1" applyAlignment="1">
      <alignment vertical="center" wrapText="1"/>
    </xf>
    <xf numFmtId="4" fontId="20" fillId="5" borderId="2" xfId="0" applyNumberFormat="1" applyFont="1" applyFill="1" applyBorder="1" applyAlignment="1">
      <alignment horizontal="left" vertical="center" wrapText="1"/>
    </xf>
    <xf numFmtId="4" fontId="20" fillId="5" borderId="1" xfId="0" applyNumberFormat="1" applyFont="1" applyFill="1" applyBorder="1" applyAlignment="1">
      <alignment horizontal="left" vertical="center" wrapText="1"/>
    </xf>
    <xf numFmtId="4" fontId="20" fillId="5" borderId="15" xfId="0" applyNumberFormat="1" applyFont="1" applyFill="1" applyBorder="1" applyAlignment="1">
      <alignment horizontal="left" vertical="center" wrapText="1"/>
    </xf>
    <xf numFmtId="4" fontId="20" fillId="5" borderId="2" xfId="0" applyNumberFormat="1" applyFont="1" applyFill="1" applyBorder="1" applyAlignment="1">
      <alignment vertical="center" wrapText="1"/>
    </xf>
    <xf numFmtId="4" fontId="20" fillId="5" borderId="1" xfId="0" applyNumberFormat="1" applyFont="1" applyFill="1" applyBorder="1" applyAlignment="1">
      <alignment vertical="center" wrapText="1"/>
    </xf>
    <xf numFmtId="4" fontId="20" fillId="5" borderId="15" xfId="0" applyNumberFormat="1" applyFont="1" applyFill="1" applyBorder="1" applyAlignment="1">
      <alignment vertical="center" wrapText="1"/>
    </xf>
    <xf numFmtId="4" fontId="20" fillId="5" borderId="2" xfId="0" applyNumberFormat="1" applyFont="1" applyFill="1" applyBorder="1" applyAlignment="1">
      <alignment horizontal="center" vertical="center"/>
    </xf>
    <xf numFmtId="4" fontId="20" fillId="5" borderId="15" xfId="0" applyNumberFormat="1" applyFont="1" applyFill="1" applyBorder="1" applyAlignment="1">
      <alignment horizontal="center" vertical="center"/>
    </xf>
  </cellXfs>
  <cellStyles count="6">
    <cellStyle name="Hipervínculo" xfId="5" builtinId="8"/>
    <cellStyle name="Moneda" xfId="1" builtinId="4"/>
    <cellStyle name="Normal" xfId="0" builtinId="0"/>
    <cellStyle name="Porcentaje" xfId="2" builtinId="5"/>
    <cellStyle name="Porcentaje 2" xfId="4" xr:uid="{BAB51559-19AC-46F9-A89A-4488CA8FC40C}"/>
    <cellStyle name="Salida" xfId="3" builtinId="21"/>
  </cellStyles>
  <dxfs count="173"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border>
        <bottom style="thin">
          <color indexed="64"/>
        </bottom>
      </border>
    </dxf>
    <dxf>
      <font>
        <b/>
      </font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indexed="64"/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fgColor indexed="64"/>
          <bgColor theme="0"/>
        </patternFill>
      </fill>
    </dxf>
    <dxf>
      <fill>
        <patternFill>
          <fgColor indexed="64"/>
          <bgColor theme="0"/>
        </patternFill>
      </fill>
    </dxf>
    <dxf>
      <fill>
        <patternFill>
          <fgColor indexed="64"/>
          <bgColor theme="0"/>
        </patternFill>
      </fill>
    </dxf>
    <dxf>
      <fill>
        <patternFill>
          <fgColor indexed="64"/>
          <bgColor theme="0"/>
        </patternFill>
      </fill>
    </dxf>
    <dxf>
      <numFmt numFmtId="19" formatCode="d/m/yyyy"/>
      <fill>
        <patternFill>
          <fgColor indexed="64"/>
          <bgColor theme="0"/>
        </patternFill>
      </fill>
    </dxf>
    <dxf>
      <fill>
        <patternFill>
          <fgColor indexed="64"/>
          <bgColor theme="0"/>
        </patternFill>
      </fill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indexed="64"/>
          <bgColor theme="0"/>
        </patternFill>
      </fill>
    </dxf>
    <dxf>
      <fill>
        <patternFill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ill>
        <patternFill>
          <fgColor indexed="64"/>
          <bgColor theme="0"/>
        </patternFill>
      </fill>
    </dxf>
    <dxf>
      <fill>
        <patternFill>
          <fgColor indexed="64"/>
          <bgColor theme="0"/>
        </patternFill>
      </fill>
    </dxf>
    <dxf>
      <fill>
        <patternFill>
          <fgColor indexed="64"/>
          <bgColor theme="0"/>
        </patternFill>
      </fill>
    </dxf>
    <dxf>
      <fill>
        <patternFill>
          <fgColor indexed="64"/>
          <bgColor theme="0"/>
        </patternFill>
      </fill>
    </dxf>
    <dxf>
      <fill>
        <patternFill>
          <fgColor indexed="64"/>
          <bgColor theme="0"/>
        </patternFill>
      </fill>
    </dxf>
    <dxf>
      <fill>
        <patternFill>
          <fgColor indexed="64"/>
          <bgColor theme="0"/>
        </patternFill>
      </fill>
    </dxf>
    <dxf>
      <fill>
        <patternFill>
          <fgColor indexed="64"/>
          <bgColor theme="0"/>
        </patternFill>
      </fill>
    </dxf>
    <dxf>
      <fill>
        <patternFill>
          <fgColor indexed="64"/>
          <bgColor theme="0"/>
        </patternFill>
      </fill>
    </dxf>
    <dxf>
      <fill>
        <patternFill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numFmt numFmtId="34" formatCode="_-&quot;$&quot;\ * #,##0.00_-;\-&quot;$&quot;\ * #,##0.00_-;_-&quot;$&quot;\ * &quot;-&quot;??_-;_-@_-"/>
      <fill>
        <patternFill patternType="solid">
          <fgColor indexed="64"/>
          <bgColor theme="0"/>
        </patternFill>
      </fill>
    </dxf>
    <dxf>
      <fill>
        <patternFill>
          <fgColor indexed="64"/>
          <bgColor theme="0"/>
        </patternFill>
      </fill>
    </dxf>
    <dxf>
      <fill>
        <patternFill>
          <fgColor indexed="64"/>
          <bgColor theme="0"/>
        </patternFill>
      </fill>
    </dxf>
    <dxf>
      <fill>
        <patternFill>
          <fgColor indexed="64"/>
          <bgColor theme="0"/>
        </patternFill>
      </fill>
    </dxf>
    <dxf>
      <fill>
        <patternFill>
          <fgColor indexed="64"/>
          <bgColor theme="0"/>
        </patternFill>
      </fill>
    </dxf>
    <dxf>
      <fill>
        <patternFill>
          <fgColor indexed="64"/>
          <bgColor theme="0"/>
        </patternFill>
      </fill>
    </dxf>
    <dxf>
      <fill>
        <patternFill>
          <fgColor indexed="64"/>
          <bgColor theme="0"/>
        </patternFill>
      </fill>
    </dxf>
    <dxf>
      <fill>
        <patternFill>
          <fgColor indexed="64"/>
          <bgColor theme="0"/>
        </patternFill>
      </fill>
    </dxf>
    <dxf>
      <fill>
        <patternFill>
          <fgColor indexed="64"/>
          <bgColor theme="0"/>
        </patternFill>
      </fill>
    </dxf>
    <dxf>
      <fill>
        <patternFill>
          <fgColor indexed="64"/>
          <bgColor theme="0"/>
        </patternFill>
      </fill>
    </dxf>
    <dxf>
      <fill>
        <patternFill>
          <fgColor indexed="64"/>
          <bgColor theme="0"/>
        </patternFill>
      </fill>
    </dxf>
    <dxf>
      <numFmt numFmtId="2" formatCode="0.00"/>
      <fill>
        <patternFill patternType="solid">
          <fgColor indexed="64"/>
          <bgColor theme="0"/>
        </patternFill>
      </fill>
    </dxf>
    <dxf>
      <fill>
        <patternFill>
          <fgColor indexed="64"/>
          <bgColor theme="0"/>
        </patternFill>
      </fill>
    </dxf>
    <dxf>
      <fill>
        <patternFill>
          <fgColor indexed="64"/>
          <bgColor theme="0"/>
        </patternFill>
      </fill>
    </dxf>
    <dxf>
      <fill>
        <patternFill>
          <fgColor indexed="64"/>
          <bgColor theme="0"/>
        </patternFill>
      </fill>
    </dxf>
    <dxf>
      <fill>
        <patternFill>
          <fgColor indexed="64"/>
          <bgColor theme="0"/>
        </patternFill>
      </fill>
    </dxf>
    <dxf>
      <fill>
        <patternFill>
          <fgColor indexed="64"/>
          <bgColor theme="0"/>
        </patternFill>
      </fill>
    </dxf>
    <dxf>
      <fill>
        <patternFill>
          <fgColor indexed="64"/>
          <bgColor theme="0"/>
        </patternFill>
      </fill>
    </dxf>
    <dxf>
      <fill>
        <patternFill>
          <fgColor indexed="64"/>
          <bgColor theme="0"/>
        </patternFill>
      </fill>
    </dxf>
    <dxf>
      <fill>
        <patternFill>
          <fgColor indexed="64"/>
          <bgColor theme="0"/>
        </patternFill>
      </fill>
    </dxf>
    <dxf>
      <fill>
        <patternFill>
          <fgColor indexed="64"/>
          <bgColor theme="0"/>
        </patternFill>
      </fill>
    </dxf>
    <dxf>
      <fill>
        <patternFill>
          <fgColor indexed="64"/>
          <bgColor theme="0"/>
        </patternFill>
      </fill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>
          <fgColor indexed="64"/>
          <bgColor theme="0"/>
        </patternFill>
      </fill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>
          <fgColor indexed="64"/>
          <bgColor theme="0"/>
        </patternFill>
      </fill>
      <alignment horizontal="center" vertical="center" textRotation="0" wrapText="1" indent="0" justifyLastLine="0" shrinkToFit="0" readingOrder="0"/>
    </dxf>
    <dxf>
      <fill>
        <patternFill patternType="none">
          <fgColor indexed="64"/>
          <bgColor theme="0"/>
        </patternFill>
      </fill>
    </dxf>
    <dxf>
      <fill>
        <patternFill patternType="none">
          <fgColor indexed="64"/>
          <bgColor theme="0"/>
        </patternFill>
      </fill>
    </dxf>
    <dxf>
      <fill>
        <patternFill patternType="none">
          <fgColor indexed="64"/>
          <bgColor theme="0"/>
        </patternFill>
      </fill>
    </dxf>
    <dxf>
      <fill>
        <patternFill patternType="none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none">
          <fgColor indexed="64"/>
          <bgColor theme="0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34" formatCode="_-&quot;$&quot;\ * #,##0.00_-;\-&quot;$&quot;\ * #,##0.00_-;_-&quot;$&quot;\ * &quot;-&quot;??_-;_-@_-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34" formatCode="_-&quot;$&quot;\ * #,##0.00_-;\-&quot;$&quot;\ * #,##0.00_-;_-&quot;$&quot;\ * &quot;-&quot;??_-;_-@_-"/>
      <fill>
        <patternFill patternType="none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34" formatCode="_-&quot;$&quot;\ * #,##0.00_-;\-&quot;$&quot;\ * #,##0.00_-;_-&quot;$&quot;\ * &quot;-&quot;??_-;_-@_-"/>
    </dxf>
    <dxf>
      <fill>
        <patternFill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34" formatCode="_-&quot;$&quot;\ * #,##0.00_-;\-&quot;$&quot;\ * #,##0.00_-;_-&quot;$&quot;\ 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34" formatCode="_-&quot;$&quot;\ * #,##0.00_-;\-&quot;$&quot;\ * #,##0.00_-;_-&quot;$&quot;\ * &quot;-&quot;??_-;_-@_-"/>
      <fill>
        <patternFill patternType="none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34" formatCode="_-&quot;$&quot;\ * #,##0.00_-;\-&quot;$&quot;\ * #,##0.00_-;_-&quot;$&quot;\ 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numFmt numFmtId="34" formatCode="_-&quot;$&quot;\ * #,##0.00_-;\-&quot;$&quot;\ * #,##0.00_-;_-&quot;$&quot;\ * &quot;-&quot;??_-;_-@_-"/>
      <fill>
        <patternFill patternType="none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34" formatCode="_-&quot;$&quot;\ * #,##0.00_-;\-&quot;$&quot;\ * #,##0.00_-;_-&quot;$&quot;\ 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numFmt numFmtId="34" formatCode="_-&quot;$&quot;\ * #,##0.00_-;\-&quot;$&quot;\ * #,##0.00_-;_-&quot;$&quot;\ * &quot;-&quot;??_-;_-@_-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34" formatCode="_-&quot;$&quot;\ * #,##0.00_-;\-&quot;$&quot;\ * #,##0.00_-;_-&quot;$&quot;\ 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34" formatCode="_-&quot;$&quot;\ * #,##0.00_-;\-&quot;$&quot;\ * #,##0.00_-;_-&quot;$&quot;\ * &quot;-&quot;??_-;_-@_-"/>
      <fill>
        <patternFill patternType="none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34" formatCode="_-&quot;$&quot;\ * #,##0.00_-;\-&quot;$&quot;\ * #,##0.00_-;_-&quot;$&quot;\ 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34" formatCode="_-&quot;$&quot;\ * #,##0.00_-;\-&quot;$&quot;\ * #,##0.00_-;_-&quot;$&quot;\ * &quot;-&quot;??_-;_-@_-"/>
      <fill>
        <patternFill patternType="none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34" formatCode="_-&quot;$&quot;\ * #,##0.00_-;\-&quot;$&quot;\ * #,##0.00_-;_-&quot;$&quot;\ 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34" formatCode="_-&quot;$&quot;\ * #,##0.00_-;\-&quot;$&quot;\ * #,##0.00_-;_-&quot;$&quot;\ * &quot;-&quot;??_-;_-@_-"/>
      <fill>
        <patternFill patternType="none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34" formatCode="_-&quot;$&quot;\ * #,##0.00_-;\-&quot;$&quot;\ * #,##0.00_-;_-&quot;$&quot;\ 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numFmt numFmtId="34" formatCode="_-&quot;$&quot;\ * #,##0.00_-;\-&quot;$&quot;\ * #,##0.00_-;_-&quot;$&quot;\ * &quot;-&quot;??_-;_-@_-"/>
      <fill>
        <patternFill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34" formatCode="_-&quot;$&quot;\ * #,##0.00_-;\-&quot;$&quot;\ * #,##0.00_-;_-&quot;$&quot;\ * &quot;-&quot;??_-;_-@_-"/>
      <fill>
        <patternFill patternType="none">
          <fgColor indexed="64"/>
          <bgColor theme="0"/>
        </patternFill>
      </fill>
    </dxf>
    <dxf>
      <fill>
        <patternFill patternType="none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none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none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rgb="FFFFFF0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none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rgb="FFFFFF0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none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2" formatCode="0.00"/>
      <fill>
        <patternFill patternType="none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2" formatCode="0.00"/>
      <fill>
        <patternFill patternType="none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5" formatCode="0.000"/>
      <fill>
        <patternFill patternType="solid">
          <fgColor indexed="64"/>
          <bgColor rgb="FFFFFF0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5" formatCode="0.000"/>
      <fill>
        <patternFill patternType="none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rgb="FFFFFF00"/>
        </patternFill>
      </fill>
    </dxf>
    <dxf>
      <fill>
        <patternFill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rgb="FFFFFF0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none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rgb="FFFFFF0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none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rgb="FFFFFF0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none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none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none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6" formatCode="dd/mm/yy;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6" formatCode="dd/mm/yy;@"/>
      <fill>
        <patternFill patternType="none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theme="0"/>
        </patternFill>
      </fill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/>
        <top/>
        <bottom/>
      </border>
    </dxf>
    <dxf>
      <font>
        <strike val="0"/>
        <outline val="0"/>
        <shadow val="0"/>
        <vertAlign val="baseline"/>
        <color auto="1"/>
        <name val="Calibri"/>
        <family val="2"/>
        <scheme val="minor"/>
      </font>
      <fill>
        <patternFill patternType="solid">
          <fgColor indexed="64"/>
          <bgColor theme="0"/>
        </patternFill>
      </fill>
    </dxf>
    <dxf>
      <font>
        <strike val="0"/>
        <outline val="0"/>
        <shadow val="0"/>
        <vertAlign val="baseline"/>
        <color auto="1"/>
        <name val="Calibri"/>
        <family val="2"/>
        <scheme val="minor"/>
      </font>
      <fill>
        <patternFill patternType="solid">
          <fgColor indexed="64"/>
          <bgColor theme="0"/>
        </patternFill>
      </fill>
    </dxf>
    <dxf>
      <font>
        <strike val="0"/>
        <outline val="0"/>
        <shadow val="0"/>
        <vertAlign val="baseline"/>
        <color auto="1"/>
        <name val="Calibri"/>
        <family val="2"/>
        <scheme val="minor"/>
      </font>
      <fill>
        <patternFill patternType="solid">
          <fgColor indexed="64"/>
          <bgColor theme="0"/>
        </patternFill>
      </fill>
    </dxf>
    <dxf>
      <font>
        <strike val="0"/>
        <outline val="0"/>
        <shadow val="0"/>
        <vertAlign val="baseline"/>
        <color auto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vertAlign val="baseline"/>
        <color auto="1"/>
        <name val="Calibri"/>
        <family val="2"/>
        <scheme val="minor"/>
      </font>
      <fill>
        <patternFill patternType="solid">
          <fgColor indexed="64"/>
          <bgColor theme="0"/>
        </patternFill>
      </fill>
    </dxf>
    <dxf>
      <font>
        <strike val="0"/>
        <outline val="0"/>
        <shadow val="0"/>
        <vertAlign val="baseline"/>
        <color auto="1"/>
        <name val="Calibri"/>
        <family val="2"/>
        <scheme val="minor"/>
      </font>
      <fill>
        <patternFill patternType="solid">
          <fgColor indexed="64"/>
          <bgColor theme="0"/>
        </patternFill>
      </fill>
    </dxf>
    <dxf>
      <font>
        <strike val="0"/>
        <outline val="0"/>
        <shadow val="0"/>
        <vertAlign val="baseline"/>
        <color auto="1"/>
        <name val="Calibri"/>
        <family val="2"/>
        <scheme val="minor"/>
      </font>
      <fill>
        <patternFill patternType="solid">
          <fgColor indexed="64"/>
          <bgColor theme="0"/>
        </patternFill>
      </fill>
    </dxf>
    <dxf>
      <font>
        <strike val="0"/>
        <outline val="0"/>
        <shadow val="0"/>
        <vertAlign val="baseline"/>
        <color auto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numFmt numFmtId="34" formatCode="_-&quot;$&quot;\ * #,##0.00_-;\-&quot;$&quot;\ * #,##0.00_-;_-&quot;$&quot;\ * &quot;-&quot;??_-;_-@_-"/>
      <fill>
        <patternFill patternType="solid">
          <fgColor indexed="64"/>
          <bgColor theme="0"/>
        </patternFill>
      </fill>
    </dxf>
    <dxf>
      <font>
        <strike val="0"/>
        <outline val="0"/>
        <shadow val="0"/>
        <vertAlign val="baseline"/>
        <color auto="1"/>
        <name val="Calibri"/>
        <family val="2"/>
        <scheme val="minor"/>
      </font>
    </dxf>
    <dxf>
      <font>
        <strike val="0"/>
        <outline val="0"/>
        <shadow val="0"/>
        <vertAlign val="baseline"/>
        <color auto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fill>
        <patternFill patternType="solid">
          <fgColor indexed="64"/>
          <bgColor theme="0"/>
        </patternFill>
      </fill>
    </dxf>
    <dxf>
      <font>
        <strike val="0"/>
        <outline val="0"/>
        <shadow val="0"/>
        <vertAlign val="baseline"/>
        <color auto="1"/>
        <name val="Calibri"/>
        <family val="2"/>
        <scheme val="minor"/>
      </font>
    </dxf>
    <dxf>
      <font>
        <strike val="0"/>
        <outline val="0"/>
        <shadow val="0"/>
        <vertAlign val="baseline"/>
        <color auto="1"/>
        <name val="Calibri"/>
        <family val="2"/>
        <scheme val="minor"/>
      </font>
    </dxf>
    <dxf>
      <font>
        <strike val="0"/>
        <outline val="0"/>
        <shadow val="0"/>
        <vertAlign val="baseline"/>
        <color auto="1"/>
        <name val="Calibri"/>
        <family val="2"/>
        <scheme val="minor"/>
      </font>
    </dxf>
    <dxf>
      <font>
        <strike val="0"/>
        <outline val="0"/>
        <shadow val="0"/>
        <vertAlign val="baseline"/>
        <color auto="1"/>
        <name val="Calibri"/>
        <family val="2"/>
        <scheme val="minor"/>
      </font>
    </dxf>
    <dxf>
      <font>
        <strike val="0"/>
        <outline val="0"/>
        <shadow val="0"/>
        <vertAlign val="baseline"/>
        <color auto="1"/>
        <name val="Calibri"/>
        <family val="2"/>
        <scheme val="minor"/>
      </font>
    </dxf>
    <dxf>
      <font>
        <strike val="0"/>
        <outline val="0"/>
        <shadow val="0"/>
        <vertAlign val="baseline"/>
        <color auto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fill>
        <patternFill patternType="solid">
          <fgColor indexed="64"/>
          <bgColor theme="0"/>
        </patternFill>
      </fill>
    </dxf>
    <dxf>
      <font>
        <strike val="0"/>
        <outline val="0"/>
        <shadow val="0"/>
        <vertAlign val="baseline"/>
        <color auto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fill>
        <patternFill patternType="solid">
          <fgColor indexed="64"/>
          <bgColor theme="0"/>
        </patternFill>
      </fill>
    </dxf>
    <dxf>
      <font>
        <strike val="0"/>
        <outline val="0"/>
        <shadow val="0"/>
        <vertAlign val="baseline"/>
        <color auto="1"/>
        <name val="Calibri"/>
        <family val="2"/>
        <scheme val="minor"/>
      </font>
    </dxf>
    <dxf>
      <font>
        <strike val="0"/>
        <outline val="0"/>
        <shadow val="0"/>
        <vertAlign val="baseline"/>
        <color auto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numFmt numFmtId="2" formatCode="0.00"/>
      <fill>
        <patternFill patternType="solid">
          <fgColor indexed="64"/>
          <bgColor theme="0"/>
        </patternFill>
      </fill>
    </dxf>
    <dxf>
      <font>
        <strike val="0"/>
        <outline val="0"/>
        <shadow val="0"/>
        <vertAlign val="baseline"/>
        <color auto="1"/>
        <name val="Calibri"/>
        <family val="2"/>
        <scheme val="minor"/>
      </font>
    </dxf>
    <dxf>
      <font>
        <strike val="0"/>
        <outline val="0"/>
        <shadow val="0"/>
        <vertAlign val="baseline"/>
        <color auto="1"/>
        <name val="Calibri"/>
        <family val="2"/>
        <scheme val="minor"/>
      </font>
    </dxf>
    <dxf>
      <font>
        <b val="0"/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2" formatCode="0.00"/>
    </dxf>
    <dxf>
      <font>
        <strike val="0"/>
        <outline val="0"/>
        <shadow val="0"/>
        <vertAlign val="baseline"/>
        <color auto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numFmt numFmtId="3" formatCode="#,##0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fill>
        <patternFill patternType="solid">
          <fgColor indexed="64"/>
          <bgColor theme="0"/>
        </patternFill>
      </fill>
    </dxf>
    <dxf>
      <font>
        <strike val="0"/>
        <outline val="0"/>
        <shadow val="0"/>
        <vertAlign val="baseline"/>
        <color auto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numFmt numFmtId="166" formatCode="dd/mm/yy;@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vertAlign val="baseline"/>
        <color auto="1"/>
        <name val="Calibri"/>
        <family val="2"/>
        <scheme val="minor"/>
      </font>
      <fill>
        <patternFill patternType="solid">
          <fgColor indexed="64"/>
          <bgColor theme="0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colors>
    <mruColors>
      <color rgb="FF99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2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3.xml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Ex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Ex4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PESADA!$A$2</c:f>
              <c:strCache>
                <c:ptCount val="1"/>
                <c:pt idx="0">
                  <c:v> 19/11/2024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PESADA!$C$52:$C$335</c:f>
              <c:numCache>
                <c:formatCode>General</c:formatCode>
                <c:ptCount val="28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</c:numCache>
            </c:numRef>
          </c:xVal>
          <c:yVal>
            <c:numRef>
              <c:f>PESADA!$D$2:$D$44</c:f>
              <c:numCache>
                <c:formatCode>General</c:formatCode>
                <c:ptCount val="43"/>
                <c:pt idx="0">
                  <c:v>250</c:v>
                </c:pt>
                <c:pt idx="1">
                  <c:v>285</c:v>
                </c:pt>
                <c:pt idx="2">
                  <c:v>230</c:v>
                </c:pt>
                <c:pt idx="3">
                  <c:v>395</c:v>
                </c:pt>
                <c:pt idx="4">
                  <c:v>380</c:v>
                </c:pt>
                <c:pt idx="5">
                  <c:v>360</c:v>
                </c:pt>
                <c:pt idx="6">
                  <c:v>305</c:v>
                </c:pt>
                <c:pt idx="7">
                  <c:v>330</c:v>
                </c:pt>
                <c:pt idx="8">
                  <c:v>280</c:v>
                </c:pt>
                <c:pt idx="9">
                  <c:v>295</c:v>
                </c:pt>
                <c:pt idx="10">
                  <c:v>230</c:v>
                </c:pt>
                <c:pt idx="11">
                  <c:v>305</c:v>
                </c:pt>
                <c:pt idx="12">
                  <c:v>300</c:v>
                </c:pt>
                <c:pt idx="13">
                  <c:v>335</c:v>
                </c:pt>
                <c:pt idx="14">
                  <c:v>270</c:v>
                </c:pt>
                <c:pt idx="15">
                  <c:v>315</c:v>
                </c:pt>
                <c:pt idx="16">
                  <c:v>355</c:v>
                </c:pt>
                <c:pt idx="17">
                  <c:v>300</c:v>
                </c:pt>
                <c:pt idx="18">
                  <c:v>310</c:v>
                </c:pt>
                <c:pt idx="19">
                  <c:v>285</c:v>
                </c:pt>
                <c:pt idx="20">
                  <c:v>315</c:v>
                </c:pt>
                <c:pt idx="21">
                  <c:v>295</c:v>
                </c:pt>
                <c:pt idx="22">
                  <c:v>310</c:v>
                </c:pt>
                <c:pt idx="23">
                  <c:v>330</c:v>
                </c:pt>
                <c:pt idx="24">
                  <c:v>300</c:v>
                </c:pt>
                <c:pt idx="25">
                  <c:v>305</c:v>
                </c:pt>
                <c:pt idx="26">
                  <c:v>280</c:v>
                </c:pt>
                <c:pt idx="27">
                  <c:v>325</c:v>
                </c:pt>
                <c:pt idx="28">
                  <c:v>260</c:v>
                </c:pt>
                <c:pt idx="29">
                  <c:v>275</c:v>
                </c:pt>
                <c:pt idx="30">
                  <c:v>305</c:v>
                </c:pt>
                <c:pt idx="31">
                  <c:v>240</c:v>
                </c:pt>
                <c:pt idx="32">
                  <c:v>320</c:v>
                </c:pt>
                <c:pt idx="33">
                  <c:v>285</c:v>
                </c:pt>
                <c:pt idx="34">
                  <c:v>280</c:v>
                </c:pt>
                <c:pt idx="35">
                  <c:v>210</c:v>
                </c:pt>
                <c:pt idx="36">
                  <c:v>295</c:v>
                </c:pt>
                <c:pt idx="37">
                  <c:v>225</c:v>
                </c:pt>
                <c:pt idx="38">
                  <c:v>225</c:v>
                </c:pt>
                <c:pt idx="39">
                  <c:v>330</c:v>
                </c:pt>
                <c:pt idx="40">
                  <c:v>310</c:v>
                </c:pt>
                <c:pt idx="41">
                  <c:v>315</c:v>
                </c:pt>
                <c:pt idx="42">
                  <c:v>340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7C1-4591-A3CC-815F9686C068}"/>
            </c:ext>
          </c:extLst>
        </c:ser>
        <c:ser>
          <c:idx val="1"/>
          <c:order val="1"/>
          <c:tx>
            <c:strRef>
              <c:f>PESADA!$A$55</c:f>
              <c:strCache>
                <c:ptCount val="1"/>
                <c:pt idx="0">
                  <c:v>1/4/2025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25400" cap="rnd">
                <a:solidFill>
                  <a:srgbClr val="C00000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PESADA!$C$52:$C$335</c:f>
              <c:numCache>
                <c:formatCode>General</c:formatCode>
                <c:ptCount val="28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</c:numCache>
            </c:numRef>
          </c:xVal>
          <c:yVal>
            <c:numRef>
              <c:f>PESADA!$D$52:$D$335</c:f>
              <c:numCache>
                <c:formatCode>General</c:formatCode>
                <c:ptCount val="284"/>
                <c:pt idx="0">
                  <c:v>500</c:v>
                </c:pt>
                <c:pt idx="1">
                  <c:v>355</c:v>
                </c:pt>
                <c:pt idx="2">
                  <c:v>500</c:v>
                </c:pt>
                <c:pt idx="3">
                  <c:v>415</c:v>
                </c:pt>
                <c:pt idx="4">
                  <c:v>335</c:v>
                </c:pt>
                <c:pt idx="5">
                  <c:v>390</c:v>
                </c:pt>
                <c:pt idx="6">
                  <c:v>395</c:v>
                </c:pt>
                <c:pt idx="7">
                  <c:v>500</c:v>
                </c:pt>
                <c:pt idx="8">
                  <c:v>440</c:v>
                </c:pt>
                <c:pt idx="9">
                  <c:v>440</c:v>
                </c:pt>
                <c:pt idx="10">
                  <c:v>460</c:v>
                </c:pt>
                <c:pt idx="11">
                  <c:v>450</c:v>
                </c:pt>
                <c:pt idx="12">
                  <c:v>430</c:v>
                </c:pt>
                <c:pt idx="13">
                  <c:v>355</c:v>
                </c:pt>
                <c:pt idx="14">
                  <c:v>385</c:v>
                </c:pt>
                <c:pt idx="15">
                  <c:v>320</c:v>
                </c:pt>
                <c:pt idx="16">
                  <c:v>410</c:v>
                </c:pt>
                <c:pt idx="17">
                  <c:v>395</c:v>
                </c:pt>
                <c:pt idx="18">
                  <c:v>350</c:v>
                </c:pt>
                <c:pt idx="19">
                  <c:v>345</c:v>
                </c:pt>
                <c:pt idx="20">
                  <c:v>360</c:v>
                </c:pt>
                <c:pt idx="21">
                  <c:v>400</c:v>
                </c:pt>
                <c:pt idx="22">
                  <c:v>390</c:v>
                </c:pt>
                <c:pt idx="23">
                  <c:v>375</c:v>
                </c:pt>
                <c:pt idx="24">
                  <c:v>395</c:v>
                </c:pt>
                <c:pt idx="25">
                  <c:v>460</c:v>
                </c:pt>
                <c:pt idx="26">
                  <c:v>395</c:v>
                </c:pt>
                <c:pt idx="27">
                  <c:v>405</c:v>
                </c:pt>
                <c:pt idx="28">
                  <c:v>370</c:v>
                </c:pt>
                <c:pt idx="29">
                  <c:v>440</c:v>
                </c:pt>
                <c:pt idx="30">
                  <c:v>475</c:v>
                </c:pt>
                <c:pt idx="31">
                  <c:v>470</c:v>
                </c:pt>
                <c:pt idx="32">
                  <c:v>410</c:v>
                </c:pt>
                <c:pt idx="33">
                  <c:v>330</c:v>
                </c:pt>
                <c:pt idx="34">
                  <c:v>390</c:v>
                </c:pt>
                <c:pt idx="35">
                  <c:v>450</c:v>
                </c:pt>
                <c:pt idx="36">
                  <c:v>410</c:v>
                </c:pt>
                <c:pt idx="37">
                  <c:v>365</c:v>
                </c:pt>
                <c:pt idx="38">
                  <c:v>405</c:v>
                </c:pt>
                <c:pt idx="39">
                  <c:v>370</c:v>
                </c:pt>
                <c:pt idx="40">
                  <c:v>405</c:v>
                </c:pt>
                <c:pt idx="41">
                  <c:v>435</c:v>
                </c:pt>
                <c:pt idx="42">
                  <c:v>470</c:v>
                </c:pt>
                <c:pt idx="43">
                  <c:v>400</c:v>
                </c:pt>
                <c:pt idx="44">
                  <c:v>450</c:v>
                </c:pt>
                <c:pt idx="45">
                  <c:v>390</c:v>
                </c:pt>
                <c:pt idx="46">
                  <c:v>405</c:v>
                </c:pt>
                <c:pt idx="47">
                  <c:v>385</c:v>
                </c:pt>
                <c:pt idx="48">
                  <c:v>435</c:v>
                </c:pt>
                <c:pt idx="49">
                  <c:v>390</c:v>
                </c:pt>
                <c:pt idx="50">
                  <c:v>420</c:v>
                </c:pt>
                <c:pt idx="51">
                  <c:v>450</c:v>
                </c:pt>
                <c:pt idx="52">
                  <c:v>430</c:v>
                </c:pt>
                <c:pt idx="53">
                  <c:v>430</c:v>
                </c:pt>
                <c:pt idx="54">
                  <c:v>400</c:v>
                </c:pt>
                <c:pt idx="55">
                  <c:v>410</c:v>
                </c:pt>
                <c:pt idx="56">
                  <c:v>425</c:v>
                </c:pt>
                <c:pt idx="57">
                  <c:v>420</c:v>
                </c:pt>
                <c:pt idx="58">
                  <c:v>430</c:v>
                </c:pt>
                <c:pt idx="59">
                  <c:v>410</c:v>
                </c:pt>
                <c:pt idx="60">
                  <c:v>385</c:v>
                </c:pt>
                <c:pt idx="61">
                  <c:v>420</c:v>
                </c:pt>
                <c:pt idx="62">
                  <c:v>415</c:v>
                </c:pt>
                <c:pt idx="63">
                  <c:v>435</c:v>
                </c:pt>
                <c:pt idx="64">
                  <c:v>435</c:v>
                </c:pt>
                <c:pt idx="65">
                  <c:v>395</c:v>
                </c:pt>
                <c:pt idx="66">
                  <c:v>365</c:v>
                </c:pt>
                <c:pt idx="67">
                  <c:v>435</c:v>
                </c:pt>
                <c:pt idx="68">
                  <c:v>450</c:v>
                </c:pt>
                <c:pt idx="69">
                  <c:v>450</c:v>
                </c:pt>
                <c:pt idx="70">
                  <c:v>330</c:v>
                </c:pt>
                <c:pt idx="71">
                  <c:v>390</c:v>
                </c:pt>
                <c:pt idx="72">
                  <c:v>400</c:v>
                </c:pt>
                <c:pt idx="73">
                  <c:v>340</c:v>
                </c:pt>
                <c:pt idx="74">
                  <c:v>440</c:v>
                </c:pt>
                <c:pt idx="75">
                  <c:v>415</c:v>
                </c:pt>
                <c:pt idx="76">
                  <c:v>420</c:v>
                </c:pt>
                <c:pt idx="77">
                  <c:v>400</c:v>
                </c:pt>
                <c:pt idx="78">
                  <c:v>385</c:v>
                </c:pt>
                <c:pt idx="79">
                  <c:v>480</c:v>
                </c:pt>
                <c:pt idx="80">
                  <c:v>477</c:v>
                </c:pt>
                <c:pt idx="81">
                  <c:v>465</c:v>
                </c:pt>
                <c:pt idx="82">
                  <c:v>430</c:v>
                </c:pt>
                <c:pt idx="83">
                  <c:v>455</c:v>
                </c:pt>
                <c:pt idx="84">
                  <c:v>470</c:v>
                </c:pt>
                <c:pt idx="85">
                  <c:v>430</c:v>
                </c:pt>
                <c:pt idx="86">
                  <c:v>365</c:v>
                </c:pt>
                <c:pt idx="87">
                  <c:v>385</c:v>
                </c:pt>
                <c:pt idx="88">
                  <c:v>440</c:v>
                </c:pt>
                <c:pt idx="89">
                  <c:v>350</c:v>
                </c:pt>
                <c:pt idx="90">
                  <c:v>460</c:v>
                </c:pt>
                <c:pt idx="91">
                  <c:v>380</c:v>
                </c:pt>
                <c:pt idx="92">
                  <c:v>430</c:v>
                </c:pt>
                <c:pt idx="93">
                  <c:v>340</c:v>
                </c:pt>
                <c:pt idx="94">
                  <c:v>445</c:v>
                </c:pt>
                <c:pt idx="95">
                  <c:v>410</c:v>
                </c:pt>
                <c:pt idx="96">
                  <c:v>415</c:v>
                </c:pt>
                <c:pt idx="97">
                  <c:v>415</c:v>
                </c:pt>
                <c:pt idx="98">
                  <c:v>430</c:v>
                </c:pt>
                <c:pt idx="99">
                  <c:v>445</c:v>
                </c:pt>
                <c:pt idx="100">
                  <c:v>425</c:v>
                </c:pt>
                <c:pt idx="101">
                  <c:v>430</c:v>
                </c:pt>
                <c:pt idx="102">
                  <c:v>420</c:v>
                </c:pt>
                <c:pt idx="103">
                  <c:v>460</c:v>
                </c:pt>
                <c:pt idx="104">
                  <c:v>425</c:v>
                </c:pt>
                <c:pt idx="105">
                  <c:v>305</c:v>
                </c:pt>
                <c:pt idx="106">
                  <c:v>375</c:v>
                </c:pt>
                <c:pt idx="107">
                  <c:v>480</c:v>
                </c:pt>
                <c:pt idx="108">
                  <c:v>415</c:v>
                </c:pt>
                <c:pt idx="109">
                  <c:v>370</c:v>
                </c:pt>
                <c:pt idx="110">
                  <c:v>390</c:v>
                </c:pt>
                <c:pt idx="111">
                  <c:v>445</c:v>
                </c:pt>
                <c:pt idx="112">
                  <c:v>290</c:v>
                </c:pt>
                <c:pt idx="113">
                  <c:v>505</c:v>
                </c:pt>
                <c:pt idx="114">
                  <c:v>410</c:v>
                </c:pt>
                <c:pt idx="115">
                  <c:v>350</c:v>
                </c:pt>
                <c:pt idx="116">
                  <c:v>405</c:v>
                </c:pt>
                <c:pt idx="117">
                  <c:v>350</c:v>
                </c:pt>
                <c:pt idx="118">
                  <c:v>395</c:v>
                </c:pt>
                <c:pt idx="119">
                  <c:v>335</c:v>
                </c:pt>
                <c:pt idx="120">
                  <c:v>380</c:v>
                </c:pt>
                <c:pt idx="121">
                  <c:v>370</c:v>
                </c:pt>
                <c:pt idx="122">
                  <c:v>400</c:v>
                </c:pt>
                <c:pt idx="123">
                  <c:v>405</c:v>
                </c:pt>
                <c:pt idx="124">
                  <c:v>465</c:v>
                </c:pt>
                <c:pt idx="125">
                  <c:v>375</c:v>
                </c:pt>
                <c:pt idx="126">
                  <c:v>430</c:v>
                </c:pt>
                <c:pt idx="127">
                  <c:v>455</c:v>
                </c:pt>
                <c:pt idx="128">
                  <c:v>350</c:v>
                </c:pt>
                <c:pt idx="129">
                  <c:v>380</c:v>
                </c:pt>
                <c:pt idx="130">
                  <c:v>420</c:v>
                </c:pt>
                <c:pt idx="131">
                  <c:v>405</c:v>
                </c:pt>
                <c:pt idx="132">
                  <c:v>425</c:v>
                </c:pt>
                <c:pt idx="133">
                  <c:v>415</c:v>
                </c:pt>
                <c:pt idx="134">
                  <c:v>355</c:v>
                </c:pt>
                <c:pt idx="135">
                  <c:v>370</c:v>
                </c:pt>
                <c:pt idx="136">
                  <c:v>435</c:v>
                </c:pt>
                <c:pt idx="137">
                  <c:v>375</c:v>
                </c:pt>
                <c:pt idx="138">
                  <c:v>415</c:v>
                </c:pt>
                <c:pt idx="139">
                  <c:v>355</c:v>
                </c:pt>
                <c:pt idx="140">
                  <c:v>380</c:v>
                </c:pt>
                <c:pt idx="141">
                  <c:v>400</c:v>
                </c:pt>
                <c:pt idx="142">
                  <c:v>515</c:v>
                </c:pt>
                <c:pt idx="143">
                  <c:v>385</c:v>
                </c:pt>
                <c:pt idx="144">
                  <c:v>430</c:v>
                </c:pt>
                <c:pt idx="145">
                  <c:v>450</c:v>
                </c:pt>
                <c:pt idx="146">
                  <c:v>280</c:v>
                </c:pt>
                <c:pt idx="147">
                  <c:v>385</c:v>
                </c:pt>
                <c:pt idx="148">
                  <c:v>340</c:v>
                </c:pt>
                <c:pt idx="149">
                  <c:v>465</c:v>
                </c:pt>
                <c:pt idx="150">
                  <c:v>370</c:v>
                </c:pt>
                <c:pt idx="151">
                  <c:v>395</c:v>
                </c:pt>
                <c:pt idx="152">
                  <c:v>400</c:v>
                </c:pt>
                <c:pt idx="153">
                  <c:v>355</c:v>
                </c:pt>
                <c:pt idx="154">
                  <c:v>425</c:v>
                </c:pt>
                <c:pt idx="155">
                  <c:v>390</c:v>
                </c:pt>
                <c:pt idx="156">
                  <c:v>375</c:v>
                </c:pt>
                <c:pt idx="157">
                  <c:v>340</c:v>
                </c:pt>
                <c:pt idx="158">
                  <c:v>330</c:v>
                </c:pt>
                <c:pt idx="159">
                  <c:v>390</c:v>
                </c:pt>
                <c:pt idx="160">
                  <c:v>420</c:v>
                </c:pt>
                <c:pt idx="161">
                  <c:v>420</c:v>
                </c:pt>
                <c:pt idx="162">
                  <c:v>370</c:v>
                </c:pt>
                <c:pt idx="163">
                  <c:v>410</c:v>
                </c:pt>
                <c:pt idx="164">
                  <c:v>325</c:v>
                </c:pt>
                <c:pt idx="165">
                  <c:v>320</c:v>
                </c:pt>
                <c:pt idx="166">
                  <c:v>435</c:v>
                </c:pt>
                <c:pt idx="167">
                  <c:v>470</c:v>
                </c:pt>
                <c:pt idx="168">
                  <c:v>410</c:v>
                </c:pt>
                <c:pt idx="169">
                  <c:v>435</c:v>
                </c:pt>
                <c:pt idx="170">
                  <c:v>475</c:v>
                </c:pt>
                <c:pt idx="171">
                  <c:v>360</c:v>
                </c:pt>
                <c:pt idx="172">
                  <c:v>430</c:v>
                </c:pt>
                <c:pt idx="173">
                  <c:v>450</c:v>
                </c:pt>
                <c:pt idx="174">
                  <c:v>410</c:v>
                </c:pt>
                <c:pt idx="175">
                  <c:v>340</c:v>
                </c:pt>
                <c:pt idx="176">
                  <c:v>390</c:v>
                </c:pt>
                <c:pt idx="177">
                  <c:v>315</c:v>
                </c:pt>
                <c:pt idx="178">
                  <c:v>380</c:v>
                </c:pt>
                <c:pt idx="179">
                  <c:v>440</c:v>
                </c:pt>
                <c:pt idx="180">
                  <c:v>530</c:v>
                </c:pt>
                <c:pt idx="181">
                  <c:v>395</c:v>
                </c:pt>
                <c:pt idx="182">
                  <c:v>415</c:v>
                </c:pt>
                <c:pt idx="183">
                  <c:v>435</c:v>
                </c:pt>
                <c:pt idx="184">
                  <c:v>410</c:v>
                </c:pt>
                <c:pt idx="185">
                  <c:v>390</c:v>
                </c:pt>
                <c:pt idx="186">
                  <c:v>375</c:v>
                </c:pt>
                <c:pt idx="187">
                  <c:v>440</c:v>
                </c:pt>
                <c:pt idx="188">
                  <c:v>435</c:v>
                </c:pt>
                <c:pt idx="189">
                  <c:v>370</c:v>
                </c:pt>
                <c:pt idx="190">
                  <c:v>400</c:v>
                </c:pt>
                <c:pt idx="191">
                  <c:v>425</c:v>
                </c:pt>
                <c:pt idx="192">
                  <c:v>350</c:v>
                </c:pt>
                <c:pt idx="193">
                  <c:v>395</c:v>
                </c:pt>
                <c:pt idx="194">
                  <c:v>405</c:v>
                </c:pt>
                <c:pt idx="195">
                  <c:v>365</c:v>
                </c:pt>
                <c:pt idx="196">
                  <c:v>340</c:v>
                </c:pt>
                <c:pt idx="197">
                  <c:v>420</c:v>
                </c:pt>
                <c:pt idx="198">
                  <c:v>350</c:v>
                </c:pt>
                <c:pt idx="199">
                  <c:v>390</c:v>
                </c:pt>
                <c:pt idx="200">
                  <c:v>415</c:v>
                </c:pt>
                <c:pt idx="201">
                  <c:v>315</c:v>
                </c:pt>
                <c:pt idx="202">
                  <c:v>410</c:v>
                </c:pt>
                <c:pt idx="203">
                  <c:v>430</c:v>
                </c:pt>
                <c:pt idx="204">
                  <c:v>350</c:v>
                </c:pt>
                <c:pt idx="205">
                  <c:v>345</c:v>
                </c:pt>
                <c:pt idx="206">
                  <c:v>335</c:v>
                </c:pt>
                <c:pt idx="207">
                  <c:v>390</c:v>
                </c:pt>
                <c:pt idx="208">
                  <c:v>450</c:v>
                </c:pt>
                <c:pt idx="209">
                  <c:v>375</c:v>
                </c:pt>
                <c:pt idx="210">
                  <c:v>420</c:v>
                </c:pt>
                <c:pt idx="211">
                  <c:v>360</c:v>
                </c:pt>
                <c:pt idx="212">
                  <c:v>350</c:v>
                </c:pt>
                <c:pt idx="213">
                  <c:v>395</c:v>
                </c:pt>
                <c:pt idx="214">
                  <c:v>400</c:v>
                </c:pt>
                <c:pt idx="215">
                  <c:v>365</c:v>
                </c:pt>
                <c:pt idx="216">
                  <c:v>360</c:v>
                </c:pt>
                <c:pt idx="217">
                  <c:v>355</c:v>
                </c:pt>
                <c:pt idx="218">
                  <c:v>390</c:v>
                </c:pt>
                <c:pt idx="219">
                  <c:v>350</c:v>
                </c:pt>
                <c:pt idx="220">
                  <c:v>420</c:v>
                </c:pt>
                <c:pt idx="221">
                  <c:v>400</c:v>
                </c:pt>
                <c:pt idx="222">
                  <c:v>470</c:v>
                </c:pt>
                <c:pt idx="223">
                  <c:v>415</c:v>
                </c:pt>
                <c:pt idx="224">
                  <c:v>380</c:v>
                </c:pt>
                <c:pt idx="225">
                  <c:v>395</c:v>
                </c:pt>
                <c:pt idx="226">
                  <c:v>400</c:v>
                </c:pt>
                <c:pt idx="227">
                  <c:v>370</c:v>
                </c:pt>
                <c:pt idx="228">
                  <c:v>385</c:v>
                </c:pt>
                <c:pt idx="229">
                  <c:v>420</c:v>
                </c:pt>
                <c:pt idx="230">
                  <c:v>395</c:v>
                </c:pt>
                <c:pt idx="231">
                  <c:v>385</c:v>
                </c:pt>
                <c:pt idx="232">
                  <c:v>390</c:v>
                </c:pt>
                <c:pt idx="233">
                  <c:v>420</c:v>
                </c:pt>
                <c:pt idx="234">
                  <c:v>350</c:v>
                </c:pt>
                <c:pt idx="235">
                  <c:v>405</c:v>
                </c:pt>
                <c:pt idx="236">
                  <c:v>385</c:v>
                </c:pt>
                <c:pt idx="237">
                  <c:v>465</c:v>
                </c:pt>
                <c:pt idx="238">
                  <c:v>410</c:v>
                </c:pt>
                <c:pt idx="239">
                  <c:v>410</c:v>
                </c:pt>
                <c:pt idx="240">
                  <c:v>490</c:v>
                </c:pt>
                <c:pt idx="241">
                  <c:v>360</c:v>
                </c:pt>
                <c:pt idx="242">
                  <c:v>425</c:v>
                </c:pt>
                <c:pt idx="243">
                  <c:v>395</c:v>
                </c:pt>
                <c:pt idx="244">
                  <c:v>490</c:v>
                </c:pt>
                <c:pt idx="245">
                  <c:v>360</c:v>
                </c:pt>
                <c:pt idx="246">
                  <c:v>415</c:v>
                </c:pt>
                <c:pt idx="247">
                  <c:v>420</c:v>
                </c:pt>
                <c:pt idx="248">
                  <c:v>420</c:v>
                </c:pt>
                <c:pt idx="249">
                  <c:v>350</c:v>
                </c:pt>
                <c:pt idx="250">
                  <c:v>400</c:v>
                </c:pt>
                <c:pt idx="251">
                  <c:v>430</c:v>
                </c:pt>
                <c:pt idx="252">
                  <c:v>425</c:v>
                </c:pt>
                <c:pt idx="253">
                  <c:v>410</c:v>
                </c:pt>
                <c:pt idx="254">
                  <c:v>420</c:v>
                </c:pt>
                <c:pt idx="255">
                  <c:v>380</c:v>
                </c:pt>
                <c:pt idx="256">
                  <c:v>450</c:v>
                </c:pt>
                <c:pt idx="257">
                  <c:v>440</c:v>
                </c:pt>
                <c:pt idx="258">
                  <c:v>395</c:v>
                </c:pt>
                <c:pt idx="259">
                  <c:v>395</c:v>
                </c:pt>
                <c:pt idx="260">
                  <c:v>470</c:v>
                </c:pt>
                <c:pt idx="261">
                  <c:v>460</c:v>
                </c:pt>
                <c:pt idx="262">
                  <c:v>310</c:v>
                </c:pt>
                <c:pt idx="263">
                  <c:v>350</c:v>
                </c:pt>
                <c:pt idx="264">
                  <c:v>415</c:v>
                </c:pt>
                <c:pt idx="265">
                  <c:v>445</c:v>
                </c:pt>
                <c:pt idx="266">
                  <c:v>350</c:v>
                </c:pt>
                <c:pt idx="267">
                  <c:v>430</c:v>
                </c:pt>
                <c:pt idx="268">
                  <c:v>385</c:v>
                </c:pt>
                <c:pt idx="269">
                  <c:v>400</c:v>
                </c:pt>
                <c:pt idx="270">
                  <c:v>420</c:v>
                </c:pt>
                <c:pt idx="271">
                  <c:v>270</c:v>
                </c:pt>
                <c:pt idx="272">
                  <c:v>405</c:v>
                </c:pt>
                <c:pt idx="273">
                  <c:v>465</c:v>
                </c:pt>
                <c:pt idx="274">
                  <c:v>400</c:v>
                </c:pt>
                <c:pt idx="275">
                  <c:v>400</c:v>
                </c:pt>
                <c:pt idx="276">
                  <c:v>400</c:v>
                </c:pt>
                <c:pt idx="277">
                  <c:v>435</c:v>
                </c:pt>
                <c:pt idx="278">
                  <c:v>390</c:v>
                </c:pt>
                <c:pt idx="279">
                  <c:v>445</c:v>
                </c:pt>
                <c:pt idx="280">
                  <c:v>330</c:v>
                </c:pt>
                <c:pt idx="281">
                  <c:v>420</c:v>
                </c:pt>
                <c:pt idx="282">
                  <c:v>400</c:v>
                </c:pt>
                <c:pt idx="283">
                  <c:v>340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67C1-4591-A3CC-815F9686C06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31440880"/>
        <c:axId val="1231446640"/>
      </c:scatterChart>
      <c:valAx>
        <c:axId val="1231440880"/>
        <c:scaling>
          <c:orientation val="minMax"/>
          <c:max val="287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1231446640"/>
        <c:crosses val="autoZero"/>
        <c:crossBetween val="midCat"/>
      </c:valAx>
      <c:valAx>
        <c:axId val="1231446640"/>
        <c:scaling>
          <c:orientation val="minMax"/>
          <c:min val="2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123144088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 orientation="portrait"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_xlchart.v1.0</cx:f>
      </cx:numDim>
    </cx:data>
  </cx:chartData>
  <cx:chart>
    <cx:plotArea>
      <cx:plotAreaRegion>
        <cx:series layoutId="clusteredColumn" uniqueId="{826D1345-FBFF-4CCE-B062-5FB3617118F4}">
          <cx:dataId val="0"/>
          <cx:layoutPr>
            <cx:binning intervalClosed="r"/>
          </cx:layoutPr>
        </cx:series>
      </cx:plotAreaRegion>
      <cx:axis id="0">
        <cx:catScaling/>
        <cx:majorGridlines/>
        <cx:tickLabels/>
      </cx:axis>
      <cx:axis id="1">
        <cx:valScaling/>
        <cx:majorGridlines/>
        <cx:tickLabels/>
      </cx:axis>
    </cx:plotArea>
  </cx:chart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_xlchart.v1.2</cx:f>
      </cx:numDim>
    </cx:data>
  </cx:chartData>
  <cx:chart>
    <cx:plotArea>
      <cx:plotAreaRegion>
        <cx:series layoutId="clusteredColumn" uniqueId="{42C43D79-5480-4C4E-8E8B-8C51546122D9}">
          <cx:dataId val="0"/>
          <cx:layoutPr>
            <cx:binning intervalClosed="r"/>
          </cx:layoutPr>
          <cx:axisId val="1"/>
        </cx:series>
        <cx:series layoutId="paretoLine" ownerIdx="0" uniqueId="{C9599A59-A99C-447B-8778-05AB4D3E076F}">
          <cx:axisId val="2"/>
        </cx:series>
      </cx:plotAreaRegion>
      <cx:axis id="0">
        <cx:catScaling gapWidth="0"/>
        <cx:tickLabels/>
      </cx:axis>
      <cx:axis id="1">
        <cx:valScaling/>
        <cx:majorGridlines/>
        <cx:tickLabels/>
      </cx:axis>
      <cx:axis id="2">
        <cx:valScaling max="1" min="0"/>
        <cx:units unit="percentage"/>
        <cx:tickLabels/>
      </cx:axis>
    </cx:plotArea>
  </cx:chart>
</cx:chartSpace>
</file>

<file path=xl/charts/chartEx3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</cx:f>
      </cx:numDim>
    </cx:data>
  </cx:chartData>
  <cx:chart>
    <cx:plotArea>
      <cx:plotAreaRegion>
        <cx:series layoutId="clusteredColumn" uniqueId="{9FA4661E-E2BE-40F0-8868-3EDFAF75709B}" formatIdx="0">
          <cx:dataId val="0"/>
          <cx:layoutPr>
            <cx:binning intervalClosed="r"/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hartEx4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_xlchart.v1.3</cx:f>
      </cx:numDim>
    </cx:data>
  </cx:chartData>
  <cx:chart>
    <cx:plotArea>
      <cx:plotAreaRegion>
        <cx:series layoutId="clusteredColumn" uniqueId="{FC537DEC-0574-421D-9512-5564610A9726}">
          <cx:dataId val="0"/>
          <cx:layoutPr>
            <cx:binning intervalClosed="r"/>
          </cx:layoutPr>
          <cx:axisId val="1"/>
        </cx:series>
        <cx:series layoutId="paretoLine" ownerIdx="0" uniqueId="{83A1D417-DFAD-44D0-AA92-94E6794F31F2}">
          <cx:axisId val="2"/>
        </cx:series>
      </cx:plotAreaRegion>
      <cx:axis id="0">
        <cx:catScaling gapWidth="0"/>
        <cx:tickLabels/>
      </cx:axis>
      <cx:axis id="1">
        <cx:valScaling/>
        <cx:majorGridlines/>
        <cx:tickLabels/>
      </cx:axis>
      <cx:axis id="2">
        <cx:valScaling max="1" min="0"/>
        <cx:units unit="percentage"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trlProps/ctrlProp1.xml><?xml version="1.0" encoding="utf-8"?>
<formControlPr xmlns="http://schemas.microsoft.com/office/spreadsheetml/2009/9/main" objectType="Button" lockText="1"/>
</file>

<file path=xl/drawings/_rels/drawing2.xml.rels><?xml version="1.0" encoding="UTF-8" standalone="yes"?>
<Relationships xmlns="http://schemas.openxmlformats.org/package/2006/relationships"><Relationship Id="rId3" Type="http://schemas.microsoft.com/office/2014/relationships/chartEx" Target="../charts/chartEx3.xml"/><Relationship Id="rId2" Type="http://schemas.microsoft.com/office/2014/relationships/chartEx" Target="../charts/chartEx2.xml"/><Relationship Id="rId1" Type="http://schemas.microsoft.com/office/2014/relationships/chartEx" Target="../charts/chartEx1.xml"/><Relationship Id="rId6" Type="http://schemas.openxmlformats.org/officeDocument/2006/relationships/image" Target="../media/image1.png"/><Relationship Id="rId5" Type="http://schemas.microsoft.com/office/2014/relationships/chartEx" Target="../charts/chartEx4.xml"/><Relationship Id="rId4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146051</xdr:colOff>
      <xdr:row>44</xdr:row>
      <xdr:rowOff>76200</xdr:rowOff>
    </xdr:from>
    <xdr:to>
      <xdr:col>2</xdr:col>
      <xdr:colOff>965107</xdr:colOff>
      <xdr:row>46</xdr:row>
      <xdr:rowOff>142875</xdr:rowOff>
    </xdr:to>
    <xdr:sp macro="[3]!Breackeven_Gordo" textlink="">
      <xdr:nvSpPr>
        <xdr:cNvPr id="2" name="Flecha: a la derecha 1">
          <a:extLst>
            <a:ext uri="{FF2B5EF4-FFF2-40B4-BE49-F238E27FC236}">
              <a16:creationId xmlns:a16="http://schemas.microsoft.com/office/drawing/2014/main" id="{D7966792-A8B4-42ED-AB7D-6ABDDC45885D}"/>
            </a:ext>
          </a:extLst>
        </xdr:cNvPr>
        <xdr:cNvSpPr/>
      </xdr:nvSpPr>
      <xdr:spPr>
        <a:xfrm>
          <a:off x="431801" y="10020300"/>
          <a:ext cx="1866806" cy="523875"/>
        </a:xfrm>
        <a:prstGeom prst="rightArrow">
          <a:avLst/>
        </a:prstGeom>
        <a:effectLst>
          <a:outerShdw blurRad="76200" dir="18900000" sy="23000" kx="-1200000" algn="bl" rotWithShape="0">
            <a:prstClr val="black">
              <a:alpha val="20000"/>
            </a:prstClr>
          </a:outerShdw>
        </a:effectLst>
        <a:scene3d>
          <a:camera prst="orthographicFront"/>
          <a:lightRig rig="threePt" dir="t"/>
        </a:scene3d>
        <a:sp3d prstMaterial="dkEdge">
          <a:bevelT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AR" sz="1100"/>
            <a:t>BREACKEVEN</a:t>
          </a:r>
          <a:r>
            <a:rPr lang="es-AR" sz="1100" baseline="0"/>
            <a:t> GORDO</a:t>
          </a:r>
          <a:endParaRPr lang="es-AR" sz="1100"/>
        </a:p>
      </xdr:txBody>
    </xdr:sp>
    <xdr:clientData/>
  </xdr:twoCellAnchor>
  <xdr:twoCellAnchor>
    <xdr:from>
      <xdr:col>1</xdr:col>
      <xdr:colOff>146050</xdr:colOff>
      <xdr:row>41</xdr:row>
      <xdr:rowOff>76200</xdr:rowOff>
    </xdr:from>
    <xdr:to>
      <xdr:col>2</xdr:col>
      <xdr:colOff>965106</xdr:colOff>
      <xdr:row>43</xdr:row>
      <xdr:rowOff>150597</xdr:rowOff>
    </xdr:to>
    <xdr:sp macro="[3]!Breackeven_Invernada" textlink="">
      <xdr:nvSpPr>
        <xdr:cNvPr id="3" name="Flecha: a la derecha 8">
          <a:extLst>
            <a:ext uri="{FF2B5EF4-FFF2-40B4-BE49-F238E27FC236}">
              <a16:creationId xmlns:a16="http://schemas.microsoft.com/office/drawing/2014/main" id="{B97419D0-CAE7-4E1C-AB92-A9516479C896}"/>
            </a:ext>
          </a:extLst>
        </xdr:cNvPr>
        <xdr:cNvSpPr/>
      </xdr:nvSpPr>
      <xdr:spPr>
        <a:xfrm>
          <a:off x="431800" y="9334500"/>
          <a:ext cx="1866806" cy="531597"/>
        </a:xfrm>
        <a:prstGeom prst="rightArrow">
          <a:avLst/>
        </a:prstGeom>
        <a:ln>
          <a:solidFill>
            <a:schemeClr val="accent1">
              <a:shade val="50000"/>
            </a:schemeClr>
          </a:solidFill>
        </a:ln>
        <a:effectLst>
          <a:outerShdw blurRad="76200" dir="18900000" sy="23000" kx="-1200000" algn="bl" rotWithShape="0">
            <a:prstClr val="black">
              <a:alpha val="20000"/>
            </a:prstClr>
          </a:outerShdw>
        </a:effectLst>
        <a:scene3d>
          <a:camera prst="orthographicFront"/>
          <a:lightRig rig="threePt" dir="t"/>
        </a:scene3d>
        <a:sp3d prstMaterial="dkEdge">
          <a:bevelT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AR" sz="1100"/>
            <a:t>BREACKEVEN</a:t>
          </a:r>
          <a:r>
            <a:rPr lang="es-AR" sz="1100" baseline="0"/>
            <a:t> INVERNADA</a:t>
          </a:r>
          <a:endParaRPr lang="es-AR" sz="1100"/>
        </a:p>
      </xdr:txBody>
    </xdr:sp>
    <xdr:clientData/>
  </xdr:twoCellAnchor>
  <xdr:twoCellAnchor>
    <xdr:from>
      <xdr:col>13</xdr:col>
      <xdr:colOff>91146</xdr:colOff>
      <xdr:row>5</xdr:row>
      <xdr:rowOff>36635</xdr:rowOff>
    </xdr:from>
    <xdr:to>
      <xdr:col>13</xdr:col>
      <xdr:colOff>225313</xdr:colOff>
      <xdr:row>5</xdr:row>
      <xdr:rowOff>190500</xdr:rowOff>
    </xdr:to>
    <xdr:sp macro="" textlink="">
      <xdr:nvSpPr>
        <xdr:cNvPr id="4" name="Flecha: hacia abajo 2">
          <a:extLst>
            <a:ext uri="{FF2B5EF4-FFF2-40B4-BE49-F238E27FC236}">
              <a16:creationId xmlns:a16="http://schemas.microsoft.com/office/drawing/2014/main" id="{52CDA385-F10F-4B4C-97A1-FB58F2107886}"/>
            </a:ext>
          </a:extLst>
        </xdr:cNvPr>
        <xdr:cNvSpPr/>
      </xdr:nvSpPr>
      <xdr:spPr>
        <a:xfrm>
          <a:off x="11254446" y="1179635"/>
          <a:ext cx="134167" cy="153865"/>
        </a:xfrm>
        <a:prstGeom prst="downArrow">
          <a:avLst/>
        </a:prstGeom>
        <a:solidFill>
          <a:srgbClr val="FF0000"/>
        </a:solidFill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AR"/>
        </a:p>
      </xdr:txBody>
    </xdr:sp>
    <xdr:clientData/>
  </xdr:twoCellAnchor>
  <xdr:twoCellAnchor>
    <xdr:from>
      <xdr:col>12</xdr:col>
      <xdr:colOff>115081</xdr:colOff>
      <xdr:row>5</xdr:row>
      <xdr:rowOff>35169</xdr:rowOff>
    </xdr:from>
    <xdr:to>
      <xdr:col>12</xdr:col>
      <xdr:colOff>224985</xdr:colOff>
      <xdr:row>5</xdr:row>
      <xdr:rowOff>189034</xdr:rowOff>
    </xdr:to>
    <xdr:sp macro="" textlink="">
      <xdr:nvSpPr>
        <xdr:cNvPr id="5" name="Flecha: hacia abajo 5">
          <a:extLst>
            <a:ext uri="{FF2B5EF4-FFF2-40B4-BE49-F238E27FC236}">
              <a16:creationId xmlns:a16="http://schemas.microsoft.com/office/drawing/2014/main" id="{F22BB60D-8FB3-4222-87D2-13CD9405C6F3}"/>
            </a:ext>
          </a:extLst>
        </xdr:cNvPr>
        <xdr:cNvSpPr/>
      </xdr:nvSpPr>
      <xdr:spPr>
        <a:xfrm>
          <a:off x="10573531" y="1178169"/>
          <a:ext cx="109904" cy="153865"/>
        </a:xfrm>
        <a:prstGeom prst="downArrow">
          <a:avLst/>
        </a:prstGeom>
        <a:solidFill>
          <a:srgbClr val="FF0000"/>
        </a:solidFill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AR"/>
        </a:p>
      </xdr:txBody>
    </xdr:sp>
    <xdr:clientData/>
  </xdr:twoCellAnchor>
  <xdr:twoCellAnchor>
    <xdr:from>
      <xdr:col>10</xdr:col>
      <xdr:colOff>35169</xdr:colOff>
      <xdr:row>8</xdr:row>
      <xdr:rowOff>35169</xdr:rowOff>
    </xdr:from>
    <xdr:to>
      <xdr:col>10</xdr:col>
      <xdr:colOff>144309</xdr:colOff>
      <xdr:row>8</xdr:row>
      <xdr:rowOff>189034</xdr:rowOff>
    </xdr:to>
    <xdr:sp macro="" textlink="">
      <xdr:nvSpPr>
        <xdr:cNvPr id="6" name="Flecha: hacia abajo 6">
          <a:extLst>
            <a:ext uri="{FF2B5EF4-FFF2-40B4-BE49-F238E27FC236}">
              <a16:creationId xmlns:a16="http://schemas.microsoft.com/office/drawing/2014/main" id="{0292BCE7-ABB9-4020-A88A-B699DDCBAD33}"/>
            </a:ext>
          </a:extLst>
        </xdr:cNvPr>
        <xdr:cNvSpPr/>
      </xdr:nvSpPr>
      <xdr:spPr>
        <a:xfrm>
          <a:off x="8264769" y="1863969"/>
          <a:ext cx="109140" cy="153865"/>
        </a:xfrm>
        <a:prstGeom prst="downArrow">
          <a:avLst/>
        </a:prstGeom>
        <a:solidFill>
          <a:srgbClr val="00B050"/>
        </a:solidFill>
        <a:ln>
          <a:solidFill>
            <a:srgbClr val="00B05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AR"/>
        </a:p>
      </xdr:txBody>
    </xdr:sp>
    <xdr:clientData/>
  </xdr:twoCellAnchor>
  <xdr:twoCellAnchor>
    <xdr:from>
      <xdr:col>10</xdr:col>
      <xdr:colOff>41030</xdr:colOff>
      <xdr:row>9</xdr:row>
      <xdr:rowOff>33703</xdr:rowOff>
    </xdr:from>
    <xdr:to>
      <xdr:col>10</xdr:col>
      <xdr:colOff>148116</xdr:colOff>
      <xdr:row>9</xdr:row>
      <xdr:rowOff>187568</xdr:rowOff>
    </xdr:to>
    <xdr:sp macro="" textlink="">
      <xdr:nvSpPr>
        <xdr:cNvPr id="7" name="Flecha: hacia abajo 7">
          <a:extLst>
            <a:ext uri="{FF2B5EF4-FFF2-40B4-BE49-F238E27FC236}">
              <a16:creationId xmlns:a16="http://schemas.microsoft.com/office/drawing/2014/main" id="{DD03249B-530C-4073-AA8B-328A24316CCA}"/>
            </a:ext>
          </a:extLst>
        </xdr:cNvPr>
        <xdr:cNvSpPr/>
      </xdr:nvSpPr>
      <xdr:spPr>
        <a:xfrm>
          <a:off x="8270630" y="2091103"/>
          <a:ext cx="107086" cy="153865"/>
        </a:xfrm>
        <a:prstGeom prst="downArrow">
          <a:avLst/>
        </a:prstGeom>
        <a:solidFill>
          <a:srgbClr val="00B050"/>
        </a:solidFill>
        <a:ln>
          <a:solidFill>
            <a:srgbClr val="00B05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AR"/>
        </a:p>
      </xdr:txBody>
    </xdr:sp>
    <xdr:clientData/>
  </xdr:twoCellAnchor>
  <xdr:twoCellAnchor>
    <xdr:from>
      <xdr:col>10</xdr:col>
      <xdr:colOff>37367</xdr:colOff>
      <xdr:row>7</xdr:row>
      <xdr:rowOff>46888</xdr:rowOff>
    </xdr:from>
    <xdr:to>
      <xdr:col>10</xdr:col>
      <xdr:colOff>145157</xdr:colOff>
      <xdr:row>7</xdr:row>
      <xdr:rowOff>197961</xdr:rowOff>
    </xdr:to>
    <xdr:sp macro="" textlink="">
      <xdr:nvSpPr>
        <xdr:cNvPr id="8" name="Flecha: hacia abajo 9">
          <a:extLst>
            <a:ext uri="{FF2B5EF4-FFF2-40B4-BE49-F238E27FC236}">
              <a16:creationId xmlns:a16="http://schemas.microsoft.com/office/drawing/2014/main" id="{E98727DE-4E9E-46D3-878A-EB7ED1658C22}"/>
            </a:ext>
          </a:extLst>
        </xdr:cNvPr>
        <xdr:cNvSpPr/>
      </xdr:nvSpPr>
      <xdr:spPr>
        <a:xfrm>
          <a:off x="8266967" y="1647088"/>
          <a:ext cx="107790" cy="151073"/>
        </a:xfrm>
        <a:prstGeom prst="downArrow">
          <a:avLst/>
        </a:prstGeom>
        <a:solidFill>
          <a:srgbClr val="00B050"/>
        </a:solidFill>
        <a:ln>
          <a:solidFill>
            <a:srgbClr val="00B05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AR"/>
        </a:p>
      </xdr:txBody>
    </xdr:sp>
    <xdr:clientData/>
  </xdr:twoCellAnchor>
  <xdr:twoCellAnchor>
    <xdr:from>
      <xdr:col>10</xdr:col>
      <xdr:colOff>32971</xdr:colOff>
      <xdr:row>11</xdr:row>
      <xdr:rowOff>35168</xdr:rowOff>
    </xdr:from>
    <xdr:to>
      <xdr:col>10</xdr:col>
      <xdr:colOff>139314</xdr:colOff>
      <xdr:row>11</xdr:row>
      <xdr:rowOff>189033</xdr:rowOff>
    </xdr:to>
    <xdr:sp macro="" textlink="">
      <xdr:nvSpPr>
        <xdr:cNvPr id="9" name="Flecha: hacia abajo 10">
          <a:extLst>
            <a:ext uri="{FF2B5EF4-FFF2-40B4-BE49-F238E27FC236}">
              <a16:creationId xmlns:a16="http://schemas.microsoft.com/office/drawing/2014/main" id="{A088B83A-12DA-4C94-AF92-311BB558934E}"/>
            </a:ext>
          </a:extLst>
        </xdr:cNvPr>
        <xdr:cNvSpPr/>
      </xdr:nvSpPr>
      <xdr:spPr>
        <a:xfrm rot="10800000">
          <a:off x="8262571" y="2549768"/>
          <a:ext cx="106343" cy="153865"/>
        </a:xfrm>
        <a:prstGeom prst="downArrow">
          <a:avLst/>
        </a:prstGeom>
        <a:solidFill>
          <a:srgbClr val="FF0000"/>
        </a:solidFill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AR"/>
        </a:p>
      </xdr:txBody>
    </xdr:sp>
    <xdr:clientData/>
  </xdr:twoCellAnchor>
  <xdr:twoCellAnchor>
    <xdr:from>
      <xdr:col>10</xdr:col>
      <xdr:colOff>34437</xdr:colOff>
      <xdr:row>12</xdr:row>
      <xdr:rowOff>36634</xdr:rowOff>
    </xdr:from>
    <xdr:to>
      <xdr:col>10</xdr:col>
      <xdr:colOff>141479</xdr:colOff>
      <xdr:row>12</xdr:row>
      <xdr:rowOff>190499</xdr:rowOff>
    </xdr:to>
    <xdr:sp macro="" textlink="">
      <xdr:nvSpPr>
        <xdr:cNvPr id="10" name="Flecha: hacia abajo 11">
          <a:extLst>
            <a:ext uri="{FF2B5EF4-FFF2-40B4-BE49-F238E27FC236}">
              <a16:creationId xmlns:a16="http://schemas.microsoft.com/office/drawing/2014/main" id="{468C8236-D067-47C8-B038-ECB2FAD732F8}"/>
            </a:ext>
          </a:extLst>
        </xdr:cNvPr>
        <xdr:cNvSpPr/>
      </xdr:nvSpPr>
      <xdr:spPr>
        <a:xfrm rot="10800000">
          <a:off x="8264037" y="2779834"/>
          <a:ext cx="107042" cy="153865"/>
        </a:xfrm>
        <a:prstGeom prst="downArrow">
          <a:avLst/>
        </a:prstGeom>
        <a:solidFill>
          <a:srgbClr val="FF0000"/>
        </a:solidFill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AR"/>
        </a:p>
      </xdr:txBody>
    </xdr:sp>
    <xdr:clientData/>
  </xdr:twoCellAnchor>
  <xdr:twoCellAnchor>
    <xdr:from>
      <xdr:col>10</xdr:col>
      <xdr:colOff>34437</xdr:colOff>
      <xdr:row>13</xdr:row>
      <xdr:rowOff>36634</xdr:rowOff>
    </xdr:from>
    <xdr:to>
      <xdr:col>10</xdr:col>
      <xdr:colOff>141479</xdr:colOff>
      <xdr:row>13</xdr:row>
      <xdr:rowOff>190499</xdr:rowOff>
    </xdr:to>
    <xdr:sp macro="" textlink="">
      <xdr:nvSpPr>
        <xdr:cNvPr id="11" name="Flecha: hacia abajo 12">
          <a:extLst>
            <a:ext uri="{FF2B5EF4-FFF2-40B4-BE49-F238E27FC236}">
              <a16:creationId xmlns:a16="http://schemas.microsoft.com/office/drawing/2014/main" id="{B0686AD1-E57E-4252-A1C0-41B21DE3CAED}"/>
            </a:ext>
          </a:extLst>
        </xdr:cNvPr>
        <xdr:cNvSpPr/>
      </xdr:nvSpPr>
      <xdr:spPr>
        <a:xfrm rot="10800000">
          <a:off x="8264037" y="3008434"/>
          <a:ext cx="107042" cy="153865"/>
        </a:xfrm>
        <a:prstGeom prst="downArrow">
          <a:avLst/>
        </a:prstGeom>
        <a:solidFill>
          <a:srgbClr val="FF0000"/>
        </a:solidFill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AR"/>
        </a:p>
      </xdr:txBody>
    </xdr:sp>
    <xdr:clientData/>
  </xdr:twoCellAnchor>
  <xdr:twoCellAnchor>
    <xdr:from>
      <xdr:col>16</xdr:col>
      <xdr:colOff>104092</xdr:colOff>
      <xdr:row>5</xdr:row>
      <xdr:rowOff>8939</xdr:rowOff>
    </xdr:from>
    <xdr:to>
      <xdr:col>16</xdr:col>
      <xdr:colOff>218615</xdr:colOff>
      <xdr:row>5</xdr:row>
      <xdr:rowOff>188673</xdr:rowOff>
    </xdr:to>
    <xdr:sp macro="" textlink="">
      <xdr:nvSpPr>
        <xdr:cNvPr id="12" name="Flecha: hacia abajo 13">
          <a:extLst>
            <a:ext uri="{FF2B5EF4-FFF2-40B4-BE49-F238E27FC236}">
              <a16:creationId xmlns:a16="http://schemas.microsoft.com/office/drawing/2014/main" id="{529F24B4-81B1-4182-B856-83FA5CB5AA66}"/>
            </a:ext>
          </a:extLst>
        </xdr:cNvPr>
        <xdr:cNvSpPr/>
      </xdr:nvSpPr>
      <xdr:spPr>
        <a:xfrm rot="10800000">
          <a:off x="13601017" y="1151939"/>
          <a:ext cx="114523" cy="179734"/>
        </a:xfrm>
        <a:prstGeom prst="downArrow">
          <a:avLst/>
        </a:prstGeom>
        <a:solidFill>
          <a:srgbClr val="00B050"/>
        </a:solidFill>
        <a:ln>
          <a:solidFill>
            <a:srgbClr val="00B05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AR"/>
        </a:p>
      </xdr:txBody>
    </xdr:sp>
    <xdr:clientData/>
  </xdr:twoCellAnchor>
  <xdr:twoCellAnchor>
    <xdr:from>
      <xdr:col>15</xdr:col>
      <xdr:colOff>80744</xdr:colOff>
      <xdr:row>5</xdr:row>
      <xdr:rowOff>39565</xdr:rowOff>
    </xdr:from>
    <xdr:to>
      <xdr:col>15</xdr:col>
      <xdr:colOff>193065</xdr:colOff>
      <xdr:row>5</xdr:row>
      <xdr:rowOff>193430</xdr:rowOff>
    </xdr:to>
    <xdr:sp macro="" textlink="">
      <xdr:nvSpPr>
        <xdr:cNvPr id="13" name="Flecha: hacia abajo 14">
          <a:extLst>
            <a:ext uri="{FF2B5EF4-FFF2-40B4-BE49-F238E27FC236}">
              <a16:creationId xmlns:a16="http://schemas.microsoft.com/office/drawing/2014/main" id="{9EE9592F-0B78-4E4C-9BD1-9C7EAD65416F}"/>
            </a:ext>
          </a:extLst>
        </xdr:cNvPr>
        <xdr:cNvSpPr/>
      </xdr:nvSpPr>
      <xdr:spPr>
        <a:xfrm rot="10800000">
          <a:off x="12872819" y="1182565"/>
          <a:ext cx="112321" cy="153865"/>
        </a:xfrm>
        <a:prstGeom prst="downArrow">
          <a:avLst/>
        </a:prstGeom>
        <a:solidFill>
          <a:srgbClr val="00B050"/>
        </a:solidFill>
        <a:ln>
          <a:solidFill>
            <a:srgbClr val="00B05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AR"/>
        </a:p>
      </xdr:txBody>
    </xdr:sp>
    <xdr:clientData/>
  </xdr:twoCellAnchor>
  <xdr:twoCellAnchor>
    <xdr:from>
      <xdr:col>14</xdr:col>
      <xdr:colOff>222690</xdr:colOff>
      <xdr:row>5</xdr:row>
      <xdr:rowOff>7034</xdr:rowOff>
    </xdr:from>
    <xdr:to>
      <xdr:col>14</xdr:col>
      <xdr:colOff>480981</xdr:colOff>
      <xdr:row>6</xdr:row>
      <xdr:rowOff>940</xdr:rowOff>
    </xdr:to>
    <xdr:sp macro="" textlink="">
      <xdr:nvSpPr>
        <xdr:cNvPr id="14" name="Es igual a 3">
          <a:extLst>
            <a:ext uri="{FF2B5EF4-FFF2-40B4-BE49-F238E27FC236}">
              <a16:creationId xmlns:a16="http://schemas.microsoft.com/office/drawing/2014/main" id="{832A5010-DCE4-47D4-8B2F-9CE6DA46C934}"/>
            </a:ext>
          </a:extLst>
        </xdr:cNvPr>
        <xdr:cNvSpPr/>
      </xdr:nvSpPr>
      <xdr:spPr>
        <a:xfrm>
          <a:off x="12309915" y="1150034"/>
          <a:ext cx="258291" cy="222506"/>
        </a:xfrm>
        <a:prstGeom prst="mathEqual">
          <a:avLst/>
        </a:prstGeom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AR"/>
        </a:p>
      </xdr:txBody>
    </xdr:sp>
    <xdr:clientData/>
  </xdr:twoCellAnchor>
  <xdr:twoCellAnchor>
    <xdr:from>
      <xdr:col>10</xdr:col>
      <xdr:colOff>141900</xdr:colOff>
      <xdr:row>10</xdr:row>
      <xdr:rowOff>8109</xdr:rowOff>
    </xdr:from>
    <xdr:to>
      <xdr:col>10</xdr:col>
      <xdr:colOff>404956</xdr:colOff>
      <xdr:row>10</xdr:row>
      <xdr:rowOff>204884</xdr:rowOff>
    </xdr:to>
    <xdr:sp macro="" textlink="">
      <xdr:nvSpPr>
        <xdr:cNvPr id="15" name="Es igual a 16">
          <a:extLst>
            <a:ext uri="{FF2B5EF4-FFF2-40B4-BE49-F238E27FC236}">
              <a16:creationId xmlns:a16="http://schemas.microsoft.com/office/drawing/2014/main" id="{ACB9F8B6-5BFD-4BA5-86FC-4250BB2C8B7F}"/>
            </a:ext>
          </a:extLst>
        </xdr:cNvPr>
        <xdr:cNvSpPr/>
      </xdr:nvSpPr>
      <xdr:spPr>
        <a:xfrm>
          <a:off x="8371500" y="2294109"/>
          <a:ext cx="263056" cy="196775"/>
        </a:xfrm>
        <a:prstGeom prst="mathEqual">
          <a:avLst/>
        </a:prstGeom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AR"/>
        </a:p>
      </xdr:txBody>
    </xdr:sp>
    <xdr:clientData/>
  </xdr:twoCellAnchor>
  <xdr:twoCellAnchor>
    <xdr:from>
      <xdr:col>8</xdr:col>
      <xdr:colOff>106731</xdr:colOff>
      <xdr:row>3</xdr:row>
      <xdr:rowOff>208378</xdr:rowOff>
    </xdr:from>
    <xdr:to>
      <xdr:col>11</xdr:col>
      <xdr:colOff>191448</xdr:colOff>
      <xdr:row>6</xdr:row>
      <xdr:rowOff>76149</xdr:rowOff>
    </xdr:to>
    <xdr:sp macro="[3]!Análisis_sens" textlink="">
      <xdr:nvSpPr>
        <xdr:cNvPr id="16" name="Flecha: a la derecha 21">
          <a:extLst>
            <a:ext uri="{FF2B5EF4-FFF2-40B4-BE49-F238E27FC236}">
              <a16:creationId xmlns:a16="http://schemas.microsoft.com/office/drawing/2014/main" id="{E55E7D73-31CB-4133-9352-146B9002DE67}"/>
            </a:ext>
          </a:extLst>
        </xdr:cNvPr>
        <xdr:cNvSpPr/>
      </xdr:nvSpPr>
      <xdr:spPr>
        <a:xfrm>
          <a:off x="7907706" y="894178"/>
          <a:ext cx="1056267" cy="553571"/>
        </a:xfrm>
        <a:prstGeom prst="rightArrow">
          <a:avLst>
            <a:gd name="adj1" fmla="val 50000"/>
            <a:gd name="adj2" fmla="val 46154"/>
          </a:avLst>
        </a:prstGeom>
        <a:solidFill>
          <a:srgbClr val="4F81BD"/>
        </a:solidFill>
        <a:ln w="25400" cap="flat" cmpd="sng" algn="ctr">
          <a:solidFill>
            <a:srgbClr val="4F81BD">
              <a:shade val="50000"/>
            </a:srgbClr>
          </a:solidFill>
          <a:prstDash val="solid"/>
        </a:ln>
        <a:effectLst>
          <a:outerShdw blurRad="76200" dir="18900000" sy="23000" kx="-1200000" algn="bl" rotWithShape="0">
            <a:prstClr val="black">
              <a:alpha val="20000"/>
            </a:prstClr>
          </a:outerShdw>
        </a:effectLst>
        <a:scene3d>
          <a:camera prst="orthographicFront"/>
          <a:lightRig rig="threePt" dir="t"/>
        </a:scene3d>
        <a:sp3d prstMaterial="dkEdge">
          <a:bevelT/>
        </a:sp3d>
      </xdr:spPr>
      <xdr:txBody>
        <a:bodyPr vertOverflow="clip" horzOverflow="clip" rtlCol="0" anchor="ctr" anchorCtr="1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s-AR" sz="900" b="0" i="0" u="none" strike="noStrike" kern="0" cap="none" spc="0" normalizeH="0" baseline="0" noProof="0">
              <a:ln>
                <a:noFill/>
              </a:ln>
              <a:solidFill>
                <a:sysClr val="window" lastClr="FFFFFF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rPr>
            <a:t>ANALIZAR</a:t>
          </a:r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66675</xdr:colOff>
          <xdr:row>39</xdr:row>
          <xdr:rowOff>76200</xdr:rowOff>
        </xdr:from>
        <xdr:to>
          <xdr:col>2</xdr:col>
          <xdr:colOff>9525</xdr:colOff>
          <xdr:row>40</xdr:row>
          <xdr:rowOff>209550</xdr:rowOff>
        </xdr:to>
        <xdr:sp macro="" textlink="">
          <xdr:nvSpPr>
            <xdr:cNvPr id="3073" name="Button 1" hidden="1">
              <a:extLst>
                <a:ext uri="{63B3BB69-23CF-44E3-9099-C40C66FF867C}">
                  <a14:compatExt spid="_x0000_s3073"/>
                </a:ext>
                <a:ext uri="{FF2B5EF4-FFF2-40B4-BE49-F238E27FC236}">
                  <a16:creationId xmlns:a16="http://schemas.microsoft.com/office/drawing/2014/main" id="{00000000-0008-0000-0400-000001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es-AR" sz="1100" b="0" i="0" u="none" strike="noStrike" baseline="0">
                  <a:solidFill>
                    <a:srgbClr val="000000"/>
                  </a:solidFill>
                  <a:latin typeface="Calibri"/>
                  <a:cs typeface="Calibri"/>
                </a:rPr>
                <a:t>Reestablecer</a:t>
              </a:r>
            </a:p>
          </xdr:txBody>
        </xdr:sp>
        <xdr:clientData fPrintsWithSheet="0"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17</xdr:row>
      <xdr:rowOff>152399</xdr:rowOff>
    </xdr:from>
    <xdr:to>
      <xdr:col>13</xdr:col>
      <xdr:colOff>619126</xdr:colOff>
      <xdr:row>32</xdr:row>
      <xdr:rowOff>47624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3" name="Gráfico 2">
              <a:extLst>
                <a:ext uri="{FF2B5EF4-FFF2-40B4-BE49-F238E27FC236}">
                  <a16:creationId xmlns:a16="http://schemas.microsoft.com/office/drawing/2014/main" id="{7F419AD6-13FB-8B50-9A8C-AFC0F729F596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753100" y="3390899"/>
              <a:ext cx="6915151" cy="27527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AR" sz="1100"/>
                <a:t>Este gráfico no está disponible en su versión de Excel.
Si edita esta forma o guarda el libro en un formato de archivo diferente, el gráfico no se podrá utilizar.</a:t>
              </a:r>
            </a:p>
          </xdr:txBody>
        </xdr:sp>
      </mc:Fallback>
    </mc:AlternateContent>
    <xdr:clientData/>
  </xdr:twoCellAnchor>
  <xdr:twoCellAnchor>
    <xdr:from>
      <xdr:col>6</xdr:col>
      <xdr:colOff>1</xdr:colOff>
      <xdr:row>2</xdr:row>
      <xdr:rowOff>14287</xdr:rowOff>
    </xdr:from>
    <xdr:to>
      <xdr:col>13</xdr:col>
      <xdr:colOff>600075</xdr:colOff>
      <xdr:row>17</xdr:row>
      <xdr:rowOff>66674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Gráfico 1">
              <a:extLst>
                <a:ext uri="{FF2B5EF4-FFF2-40B4-BE49-F238E27FC236}">
                  <a16:creationId xmlns:a16="http://schemas.microsoft.com/office/drawing/2014/main" id="{D98582E5-B758-E407-89EE-A370D9A18452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753101" y="395287"/>
              <a:ext cx="6896099" cy="2909887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AR" sz="1100"/>
                <a:t>Este gráfico no está disponible en su versión de Excel.
Si edita esta forma o guarda el libro en un formato de archivo diferente, el gráfico no se podrá utilizar.</a:t>
              </a:r>
            </a:p>
          </xdr:txBody>
        </xdr:sp>
      </mc:Fallback>
    </mc:AlternateContent>
    <xdr:clientData/>
  </xdr:twoCellAnchor>
  <xdr:twoCellAnchor>
    <xdr:from>
      <xdr:col>6</xdr:col>
      <xdr:colOff>57150</xdr:colOff>
      <xdr:row>64</xdr:row>
      <xdr:rowOff>61912</xdr:rowOff>
    </xdr:from>
    <xdr:to>
      <xdr:col>14</xdr:col>
      <xdr:colOff>695325</xdr:colOff>
      <xdr:row>78</xdr:row>
      <xdr:rowOff>138112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4" name="Gráfico 3">
              <a:extLst>
                <a:ext uri="{FF2B5EF4-FFF2-40B4-BE49-F238E27FC236}">
                  <a16:creationId xmlns:a16="http://schemas.microsoft.com/office/drawing/2014/main" id="{4BF189E5-0AE0-EE34-448B-56C0B4024B75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3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810250" y="12253912"/>
              <a:ext cx="76962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AR" sz="1100"/>
                <a:t>Este gráfico no está disponible en su versión de Excel.
Si edita esta forma o guarda el libro en un formato de archivo diferente, el gráfico no se podrá utilizar.</a:t>
              </a:r>
            </a:p>
          </xdr:txBody>
        </xdr:sp>
      </mc:Fallback>
    </mc:AlternateContent>
    <xdr:clientData/>
  </xdr:twoCellAnchor>
  <xdr:twoCellAnchor>
    <xdr:from>
      <xdr:col>6</xdr:col>
      <xdr:colOff>57148</xdr:colOff>
      <xdr:row>50</xdr:row>
      <xdr:rowOff>38100</xdr:rowOff>
    </xdr:from>
    <xdr:to>
      <xdr:col>14</xdr:col>
      <xdr:colOff>704849</xdr:colOff>
      <xdr:row>63</xdr:row>
      <xdr:rowOff>114300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C39F0DB5-C4BB-A801-DE4B-5F65DF71368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6</xdr:col>
      <xdr:colOff>57149</xdr:colOff>
      <xdr:row>79</xdr:row>
      <xdr:rowOff>71437</xdr:rowOff>
    </xdr:from>
    <xdr:to>
      <xdr:col>14</xdr:col>
      <xdr:colOff>685800</xdr:colOff>
      <xdr:row>93</xdr:row>
      <xdr:rowOff>147637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5" name="Gráfico 4">
              <a:extLst>
                <a:ext uri="{FF2B5EF4-FFF2-40B4-BE49-F238E27FC236}">
                  <a16:creationId xmlns:a16="http://schemas.microsoft.com/office/drawing/2014/main" id="{9E192AD0-54BD-9677-5301-935AF57B4A36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5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810249" y="15120937"/>
              <a:ext cx="7686676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AR" sz="1100"/>
                <a:t>Este gráfico no está disponible en su versión de Excel.
Si edita esta forma o guarda el libro en un formato de archivo diferente, el gráfico no se podrá utilizar.</a:t>
              </a:r>
            </a:p>
          </xdr:txBody>
        </xdr:sp>
      </mc:Fallback>
    </mc:AlternateContent>
    <xdr:clientData/>
  </xdr:twoCellAnchor>
  <xdr:twoCellAnchor editAs="oneCell">
    <xdr:from>
      <xdr:col>0</xdr:col>
      <xdr:colOff>19051</xdr:colOff>
      <xdr:row>350</xdr:row>
      <xdr:rowOff>18008</xdr:rowOff>
    </xdr:from>
    <xdr:to>
      <xdr:col>5</xdr:col>
      <xdr:colOff>742951</xdr:colOff>
      <xdr:row>365</xdr:row>
      <xdr:rowOff>102383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3EAE7F5D-8045-1C9F-E827-5A2F392170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9051" y="66693008"/>
          <a:ext cx="5715000" cy="294187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Kevin\Desktop\01.xlsx" TargetMode="External"/><Relationship Id="rId1" Type="http://schemas.openxmlformats.org/officeDocument/2006/relationships/externalLinkPath" Target="/Users/Kevin/Desktop/01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Kevin\Dropbox\ADMINISTRACION%20G&amp;E%20SA\ACTIVIDADES\AGRICULTURA.xlsx" TargetMode="External"/><Relationship Id="rId1" Type="http://schemas.openxmlformats.org/officeDocument/2006/relationships/externalLinkPath" Target="/Users/Kevin/Dropbox/ADMINISTRACION%20G&amp;E%20SA/ACTIVIDADES/AGRICULTURA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Kevin\Dropbox\Administracion\2024\MARGEN%20BRUTO%20GANADERIA\CAMPA&#209;A%2023-24\ANALISIS%20VAQUILLONAS\MARGEN%20BRUTO%20ENGORDE%20A%20CORRAL.xls" TargetMode="External"/><Relationship Id="rId1" Type="http://schemas.openxmlformats.org/officeDocument/2006/relationships/externalLinkPath" Target="/Users/Kevin/Dropbox/Administracion/2024/MARGEN%20BRUTO%20GANADERIA/CAMPA&#209;A%2023-24/ANALISIS%20VAQUILLONAS/MARGEN%20BRUTO%20ENGORDE%20A%20CORRAL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AB_DINAMICA"/>
      <sheetName val="Hoja2"/>
      <sheetName val="20 10 2022"/>
      <sheetName val="BD_ADM"/>
      <sheetName val="Borrador Ganaderia"/>
      <sheetName val="Borrador Agricultura"/>
      <sheetName val="DIA A DIAvehic asist pagos "/>
      <sheetName val="Walter Medina PAGO"/>
      <sheetName val="Aplicaciones camp 2023 2024"/>
      <sheetName val="DIARIO GRAL"/>
      <sheetName val="MOV HACIENDA"/>
      <sheetName val="Tropa ingresada 30 03 2023 "/>
      <sheetName val="REMITOS INSUMOS"/>
      <sheetName val="ORDEN DE TRABAJO"/>
      <sheetName val="BD COMERCIAL"/>
      <sheetName val="REMITOS"/>
      <sheetName val="LISTAS"/>
      <sheetName val="BORRADOR"/>
      <sheetName val="COMPRA VENTA HACIEND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>
        <row r="3">
          <cell r="A3" t="str">
            <v>ADMINISTRACION</v>
          </cell>
          <cell r="O3" t="str">
            <v>PAGADO</v>
          </cell>
          <cell r="S3" t="str">
            <v>A</v>
          </cell>
        </row>
        <row r="4">
          <cell r="A4" t="str">
            <v>AGRICULTURA</v>
          </cell>
          <cell r="O4" t="str">
            <v>PENDIENTE</v>
          </cell>
          <cell r="S4" t="str">
            <v>B</v>
          </cell>
        </row>
        <row r="5">
          <cell r="A5" t="str">
            <v>ESTRUCTURA</v>
          </cell>
          <cell r="O5" t="str">
            <v>CONTRATO SOJA</v>
          </cell>
          <cell r="S5" t="str">
            <v>C</v>
          </cell>
        </row>
        <row r="6">
          <cell r="A6" t="str">
            <v>FORRAJE</v>
          </cell>
          <cell r="O6" t="str">
            <v>CONTRATO MAIZ</v>
          </cell>
          <cell r="S6" t="str">
            <v>X</v>
          </cell>
        </row>
        <row r="7">
          <cell r="A7" t="str">
            <v>GANADERIA</v>
          </cell>
          <cell r="S7" t="str">
            <v>NOTA DE DEBITO</v>
          </cell>
        </row>
        <row r="8">
          <cell r="A8" t="str">
            <v>GENERAL</v>
          </cell>
        </row>
        <row r="9">
          <cell r="A9" t="str">
            <v>MAQUINARIA</v>
          </cell>
        </row>
        <row r="10">
          <cell r="A10" t="str">
            <v>SOCIOS</v>
          </cell>
        </row>
        <row r="11">
          <cell r="A11" t="str">
            <v>INMOBILIARIA</v>
          </cell>
        </row>
        <row r="12">
          <cell r="A12" t="str">
            <v>IMPUESTOS</v>
          </cell>
        </row>
        <row r="13">
          <cell r="A13" t="str">
            <v>OVINO</v>
          </cell>
        </row>
        <row r="14">
          <cell r="A14" t="str">
            <v>CABRAS</v>
          </cell>
        </row>
        <row r="15">
          <cell r="A15" t="str">
            <v>PORCINOS</v>
          </cell>
        </row>
        <row r="16">
          <cell r="A16" t="str">
            <v>OTRA</v>
          </cell>
        </row>
      </sheetData>
      <sheetData sheetId="17" refreshError="1"/>
      <sheetData sheetId="18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GRICULTURA"/>
      <sheetName val="FACTURAS"/>
      <sheetName val="REMITO_INSUMOS"/>
      <sheetName val="REMITO_SEMILLAS"/>
      <sheetName val="REMITO_COSECHA"/>
      <sheetName val="LISTAS (2)"/>
      <sheetName val="LISTA"/>
    </sheetNames>
    <sheetDataSet>
      <sheetData sheetId="0"/>
      <sheetData sheetId="1" refreshError="1"/>
      <sheetData sheetId="2" refreshError="1"/>
      <sheetData sheetId="3"/>
      <sheetData sheetId="4" refreshError="1"/>
      <sheetData sheetId="5" refreshError="1"/>
      <sheetData sheetId="6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ERNERO"/>
      <sheetName val="VAQUILLONA"/>
      <sheetName val="MARGEN BRUTO ENGORDE A CORRAL"/>
    </sheetNames>
    <definedNames>
      <definedName name="Análisis_sens"/>
      <definedName name="Breackeven_Gordo"/>
      <definedName name="Breackeven_Invernada"/>
      <definedName name="Reestablecer"/>
    </definedNames>
    <sheetDataSet>
      <sheetData sheetId="0"/>
      <sheetData sheetId="1"/>
      <sheetData sheetId="2" refreshError="1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Kevin" refreshedDate="45772.360853124999" createdVersion="8" refreshedVersion="8" minRefreshableVersion="3" recordCount="284" xr:uid="{A74A1BE7-DE41-4DEB-9CE1-5D2FD9662C88}">
  <cacheSource type="worksheet">
    <worksheetSource name="Tabla1"/>
  </cacheSource>
  <cacheFields count="6">
    <cacheField name="FECHA" numFmtId="14">
      <sharedItems containsSemiMixedTypes="0" containsNonDate="0" containsDate="1" containsString="0" minDate="2025-04-01T00:00:00" maxDate="2025-04-02T00:00:00"/>
    </cacheField>
    <cacheField name="HORA" numFmtId="18">
      <sharedItems containsSemiMixedTypes="0" containsNonDate="0" containsDate="1" containsString="0" minDate="1899-12-30T08:00:00" maxDate="1899-12-30T08:00:00"/>
    </cacheField>
    <cacheField name="N ANIMAL" numFmtId="0">
      <sharedItems containsSemiMixedTypes="0" containsString="0" containsNumber="1" containsInteger="1" minValue="1" maxValue="284" count="284"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  <n v="25"/>
        <n v="26"/>
        <n v="27"/>
        <n v="28"/>
        <n v="29"/>
        <n v="30"/>
        <n v="31"/>
        <n v="32"/>
        <n v="33"/>
        <n v="34"/>
        <n v="35"/>
        <n v="36"/>
        <n v="37"/>
        <n v="38"/>
        <n v="39"/>
        <n v="40"/>
        <n v="41"/>
        <n v="42"/>
        <n v="43"/>
        <n v="44"/>
        <n v="45"/>
        <n v="46"/>
        <n v="47"/>
        <n v="48"/>
        <n v="49"/>
        <n v="50"/>
        <n v="51"/>
        <n v="52"/>
        <n v="53"/>
        <n v="54"/>
        <n v="55"/>
        <n v="56"/>
        <n v="57"/>
        <n v="58"/>
        <n v="59"/>
        <n v="60"/>
        <n v="61"/>
        <n v="62"/>
        <n v="63"/>
        <n v="64"/>
        <n v="65"/>
        <n v="66"/>
        <n v="67"/>
        <n v="68"/>
        <n v="69"/>
        <n v="70"/>
        <n v="71"/>
        <n v="72"/>
        <n v="73"/>
        <n v="74"/>
        <n v="75"/>
        <n v="76"/>
        <n v="77"/>
        <n v="78"/>
        <n v="79"/>
        <n v="80"/>
        <n v="81"/>
        <n v="82"/>
        <n v="83"/>
        <n v="84"/>
        <n v="85"/>
        <n v="86"/>
        <n v="87"/>
        <n v="88"/>
        <n v="89"/>
        <n v="90"/>
        <n v="91"/>
        <n v="92"/>
        <n v="93"/>
        <n v="94"/>
        <n v="95"/>
        <n v="96"/>
        <n v="97"/>
        <n v="98"/>
        <n v="99"/>
        <n v="100"/>
        <n v="101"/>
        <n v="102"/>
        <n v="103"/>
        <n v="104"/>
        <n v="105"/>
        <n v="106"/>
        <n v="107"/>
        <n v="108"/>
        <n v="109"/>
        <n v="110"/>
        <n v="111"/>
        <n v="112"/>
        <n v="113"/>
        <n v="114"/>
        <n v="115"/>
        <n v="116"/>
        <n v="117"/>
        <n v="118"/>
        <n v="119"/>
        <n v="120"/>
        <n v="121"/>
        <n v="122"/>
        <n v="123"/>
        <n v="124"/>
        <n v="125"/>
        <n v="126"/>
        <n v="127"/>
        <n v="128"/>
        <n v="129"/>
        <n v="130"/>
        <n v="131"/>
        <n v="132"/>
        <n v="133"/>
        <n v="134"/>
        <n v="135"/>
        <n v="136"/>
        <n v="137"/>
        <n v="138"/>
        <n v="139"/>
        <n v="140"/>
        <n v="141"/>
        <n v="142"/>
        <n v="143"/>
        <n v="144"/>
        <n v="145"/>
        <n v="146"/>
        <n v="147"/>
        <n v="148"/>
        <n v="149"/>
        <n v="150"/>
        <n v="151"/>
        <n v="152"/>
        <n v="153"/>
        <n v="154"/>
        <n v="155"/>
        <n v="156"/>
        <n v="157"/>
        <n v="158"/>
        <n v="159"/>
        <n v="160"/>
        <n v="161"/>
        <n v="162"/>
        <n v="163"/>
        <n v="164"/>
        <n v="165"/>
        <n v="166"/>
        <n v="167"/>
        <n v="168"/>
        <n v="169"/>
        <n v="170"/>
        <n v="171"/>
        <n v="172"/>
        <n v="173"/>
        <n v="174"/>
        <n v="175"/>
        <n v="176"/>
        <n v="177"/>
        <n v="178"/>
        <n v="179"/>
        <n v="180"/>
        <n v="181"/>
        <n v="182"/>
        <n v="183"/>
        <n v="184"/>
        <n v="185"/>
        <n v="186"/>
        <n v="187"/>
        <n v="188"/>
        <n v="189"/>
        <n v="190"/>
        <n v="191"/>
        <n v="192"/>
        <n v="193"/>
        <n v="194"/>
        <n v="195"/>
        <n v="196"/>
        <n v="197"/>
        <n v="198"/>
        <n v="199"/>
        <n v="200"/>
        <n v="201"/>
        <n v="202"/>
        <n v="203"/>
        <n v="204"/>
        <n v="205"/>
        <n v="206"/>
        <n v="207"/>
        <n v="208"/>
        <n v="209"/>
        <n v="210"/>
        <n v="211"/>
        <n v="212"/>
        <n v="213"/>
        <n v="214"/>
        <n v="215"/>
        <n v="216"/>
        <n v="217"/>
        <n v="218"/>
        <n v="219"/>
        <n v="220"/>
        <n v="221"/>
        <n v="222"/>
        <n v="223"/>
        <n v="224"/>
        <n v="225"/>
        <n v="226"/>
        <n v="227"/>
        <n v="228"/>
        <n v="229"/>
        <n v="230"/>
        <n v="231"/>
        <n v="232"/>
        <n v="233"/>
        <n v="234"/>
        <n v="235"/>
        <n v="236"/>
        <n v="237"/>
        <n v="238"/>
        <n v="239"/>
        <n v="240"/>
        <n v="241"/>
        <n v="242"/>
        <n v="243"/>
        <n v="244"/>
        <n v="245"/>
        <n v="246"/>
        <n v="247"/>
        <n v="248"/>
        <n v="249"/>
        <n v="250"/>
        <n v="251"/>
        <n v="252"/>
        <n v="253"/>
        <n v="254"/>
        <n v="255"/>
        <n v="256"/>
        <n v="257"/>
        <n v="258"/>
        <n v="259"/>
        <n v="260"/>
        <n v="261"/>
        <n v="262"/>
        <n v="263"/>
        <n v="264"/>
        <n v="265"/>
        <n v="266"/>
        <n v="267"/>
        <n v="268"/>
        <n v="269"/>
        <n v="270"/>
        <n v="271"/>
        <n v="272"/>
        <n v="273"/>
        <n v="274"/>
        <n v="275"/>
        <n v="276"/>
        <n v="277"/>
        <n v="278"/>
        <n v="279"/>
        <n v="280"/>
        <n v="281"/>
        <n v="282"/>
        <n v="283"/>
        <n v="284"/>
      </sharedItems>
    </cacheField>
    <cacheField name="PESO" numFmtId="0">
      <sharedItems containsSemiMixedTypes="0" containsString="0" containsNumber="1" containsInteger="1" minValue="270" maxValue="530"/>
    </cacheField>
    <cacheField name="CONDICION" numFmtId="0">
      <sharedItems count="5">
        <s v="GORDO"/>
        <s v="FLACO 60 DIAS"/>
        <s v="FLACO 30 DIAS"/>
        <s v="FLACO GORDO"/>
        <s v="FLACO 90 DIAS"/>
      </sharedItems>
    </cacheField>
    <cacheField name="ESTADO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84">
  <r>
    <d v="2025-04-01T00:00:00"/>
    <d v="1899-12-30T08:00:00"/>
    <x v="0"/>
    <n v="500"/>
    <x v="0"/>
    <s v="VACUNADO"/>
  </r>
  <r>
    <d v="2025-04-01T00:00:00"/>
    <d v="1899-12-30T08:00:00"/>
    <x v="1"/>
    <n v="355"/>
    <x v="1"/>
    <m/>
  </r>
  <r>
    <d v="2025-04-01T00:00:00"/>
    <d v="1899-12-30T08:00:00"/>
    <x v="2"/>
    <n v="500"/>
    <x v="0"/>
    <s v="VACUNADO"/>
  </r>
  <r>
    <d v="2025-04-01T00:00:00"/>
    <d v="1899-12-30T08:00:00"/>
    <x v="3"/>
    <n v="415"/>
    <x v="2"/>
    <m/>
  </r>
  <r>
    <d v="2025-04-01T00:00:00"/>
    <d v="1899-12-30T08:00:00"/>
    <x v="4"/>
    <n v="335"/>
    <x v="1"/>
    <m/>
  </r>
  <r>
    <d v="2025-04-01T00:00:00"/>
    <d v="1899-12-30T08:00:00"/>
    <x v="5"/>
    <n v="390"/>
    <x v="1"/>
    <m/>
  </r>
  <r>
    <d v="2025-04-01T00:00:00"/>
    <d v="1899-12-30T08:00:00"/>
    <x v="6"/>
    <n v="395"/>
    <x v="2"/>
    <m/>
  </r>
  <r>
    <d v="2025-04-01T00:00:00"/>
    <d v="1899-12-30T08:00:00"/>
    <x v="7"/>
    <n v="500"/>
    <x v="0"/>
    <m/>
  </r>
  <r>
    <d v="2025-04-01T00:00:00"/>
    <d v="1899-12-30T08:00:00"/>
    <x v="8"/>
    <n v="440"/>
    <x v="0"/>
    <m/>
  </r>
  <r>
    <d v="2025-04-01T00:00:00"/>
    <d v="1899-12-30T08:00:00"/>
    <x v="9"/>
    <n v="440"/>
    <x v="0"/>
    <m/>
  </r>
  <r>
    <d v="2025-04-01T00:00:00"/>
    <d v="1899-12-30T08:00:00"/>
    <x v="10"/>
    <n v="460"/>
    <x v="0"/>
    <m/>
  </r>
  <r>
    <d v="2025-04-01T00:00:00"/>
    <d v="1899-12-30T08:00:00"/>
    <x v="11"/>
    <n v="450"/>
    <x v="2"/>
    <m/>
  </r>
  <r>
    <d v="2025-04-01T00:00:00"/>
    <d v="1899-12-30T08:00:00"/>
    <x v="12"/>
    <n v="430"/>
    <x v="2"/>
    <m/>
  </r>
  <r>
    <d v="2025-04-01T00:00:00"/>
    <d v="1899-12-30T08:00:00"/>
    <x v="13"/>
    <n v="355"/>
    <x v="1"/>
    <m/>
  </r>
  <r>
    <d v="2025-04-01T00:00:00"/>
    <d v="1899-12-30T08:00:00"/>
    <x v="14"/>
    <n v="385"/>
    <x v="2"/>
    <m/>
  </r>
  <r>
    <d v="2025-04-01T00:00:00"/>
    <d v="1899-12-30T08:00:00"/>
    <x v="15"/>
    <n v="320"/>
    <x v="1"/>
    <m/>
  </r>
  <r>
    <d v="2025-04-01T00:00:00"/>
    <d v="1899-12-30T08:00:00"/>
    <x v="16"/>
    <n v="410"/>
    <x v="2"/>
    <m/>
  </r>
  <r>
    <d v="2025-04-01T00:00:00"/>
    <d v="1899-12-30T08:00:00"/>
    <x v="17"/>
    <n v="395"/>
    <x v="2"/>
    <m/>
  </r>
  <r>
    <d v="2025-04-01T00:00:00"/>
    <d v="1899-12-30T08:00:00"/>
    <x v="18"/>
    <n v="350"/>
    <x v="2"/>
    <m/>
  </r>
  <r>
    <d v="2025-04-01T00:00:00"/>
    <d v="1899-12-30T08:00:00"/>
    <x v="19"/>
    <n v="345"/>
    <x v="1"/>
    <m/>
  </r>
  <r>
    <d v="2025-04-01T00:00:00"/>
    <d v="1899-12-30T08:00:00"/>
    <x v="20"/>
    <n v="360"/>
    <x v="2"/>
    <m/>
  </r>
  <r>
    <d v="2025-04-01T00:00:00"/>
    <d v="1899-12-30T08:00:00"/>
    <x v="21"/>
    <n v="400"/>
    <x v="2"/>
    <m/>
  </r>
  <r>
    <d v="2025-04-01T00:00:00"/>
    <d v="1899-12-30T08:00:00"/>
    <x v="22"/>
    <n v="390"/>
    <x v="1"/>
    <m/>
  </r>
  <r>
    <d v="2025-04-01T00:00:00"/>
    <d v="1899-12-30T08:00:00"/>
    <x v="23"/>
    <n v="375"/>
    <x v="2"/>
    <m/>
  </r>
  <r>
    <d v="2025-04-01T00:00:00"/>
    <d v="1899-12-30T08:00:00"/>
    <x v="24"/>
    <n v="395"/>
    <x v="2"/>
    <m/>
  </r>
  <r>
    <d v="2025-04-01T00:00:00"/>
    <d v="1899-12-30T08:00:00"/>
    <x v="25"/>
    <n v="460"/>
    <x v="0"/>
    <m/>
  </r>
  <r>
    <d v="2025-04-01T00:00:00"/>
    <d v="1899-12-30T08:00:00"/>
    <x v="26"/>
    <n v="395"/>
    <x v="2"/>
    <m/>
  </r>
  <r>
    <d v="2025-04-01T00:00:00"/>
    <d v="1899-12-30T08:00:00"/>
    <x v="27"/>
    <n v="405"/>
    <x v="2"/>
    <m/>
  </r>
  <r>
    <d v="2025-04-01T00:00:00"/>
    <d v="1899-12-30T08:00:00"/>
    <x v="28"/>
    <n v="370"/>
    <x v="1"/>
    <m/>
  </r>
  <r>
    <d v="2025-04-01T00:00:00"/>
    <d v="1899-12-30T08:00:00"/>
    <x v="29"/>
    <n v="440"/>
    <x v="2"/>
    <m/>
  </r>
  <r>
    <d v="2025-04-01T00:00:00"/>
    <d v="1899-12-30T08:00:00"/>
    <x v="30"/>
    <n v="475"/>
    <x v="0"/>
    <m/>
  </r>
  <r>
    <d v="2025-04-01T00:00:00"/>
    <d v="1899-12-30T08:00:00"/>
    <x v="31"/>
    <n v="470"/>
    <x v="2"/>
    <m/>
  </r>
  <r>
    <d v="2025-04-01T00:00:00"/>
    <d v="1899-12-30T08:00:00"/>
    <x v="32"/>
    <n v="410"/>
    <x v="2"/>
    <m/>
  </r>
  <r>
    <d v="2025-04-01T00:00:00"/>
    <d v="1899-12-30T08:00:00"/>
    <x v="33"/>
    <n v="330"/>
    <x v="2"/>
    <m/>
  </r>
  <r>
    <d v="2025-04-01T00:00:00"/>
    <d v="1899-12-30T08:00:00"/>
    <x v="34"/>
    <n v="390"/>
    <x v="2"/>
    <m/>
  </r>
  <r>
    <d v="2025-04-01T00:00:00"/>
    <d v="1899-12-30T08:00:00"/>
    <x v="35"/>
    <n v="450"/>
    <x v="0"/>
    <m/>
  </r>
  <r>
    <d v="2025-04-01T00:00:00"/>
    <d v="1899-12-30T08:00:00"/>
    <x v="36"/>
    <n v="410"/>
    <x v="2"/>
    <m/>
  </r>
  <r>
    <d v="2025-04-01T00:00:00"/>
    <d v="1899-12-30T08:00:00"/>
    <x v="37"/>
    <n v="365"/>
    <x v="2"/>
    <m/>
  </r>
  <r>
    <d v="2025-04-01T00:00:00"/>
    <d v="1899-12-30T08:00:00"/>
    <x v="38"/>
    <n v="405"/>
    <x v="1"/>
    <m/>
  </r>
  <r>
    <d v="2025-04-01T00:00:00"/>
    <d v="1899-12-30T08:00:00"/>
    <x v="39"/>
    <n v="370"/>
    <x v="2"/>
    <m/>
  </r>
  <r>
    <d v="2025-04-01T00:00:00"/>
    <d v="1899-12-30T08:00:00"/>
    <x v="40"/>
    <n v="405"/>
    <x v="2"/>
    <m/>
  </r>
  <r>
    <d v="2025-04-01T00:00:00"/>
    <d v="1899-12-30T08:00:00"/>
    <x v="41"/>
    <n v="435"/>
    <x v="2"/>
    <m/>
  </r>
  <r>
    <d v="2025-04-01T00:00:00"/>
    <d v="1899-12-30T08:00:00"/>
    <x v="42"/>
    <n v="470"/>
    <x v="2"/>
    <m/>
  </r>
  <r>
    <d v="2025-04-01T00:00:00"/>
    <d v="1899-12-30T08:00:00"/>
    <x v="43"/>
    <n v="400"/>
    <x v="2"/>
    <m/>
  </r>
  <r>
    <d v="2025-04-01T00:00:00"/>
    <d v="1899-12-30T08:00:00"/>
    <x v="44"/>
    <n v="450"/>
    <x v="0"/>
    <m/>
  </r>
  <r>
    <d v="2025-04-01T00:00:00"/>
    <d v="1899-12-30T08:00:00"/>
    <x v="45"/>
    <n v="390"/>
    <x v="2"/>
    <m/>
  </r>
  <r>
    <d v="2025-04-01T00:00:00"/>
    <d v="1899-12-30T08:00:00"/>
    <x v="46"/>
    <n v="405"/>
    <x v="2"/>
    <m/>
  </r>
  <r>
    <d v="2025-04-01T00:00:00"/>
    <d v="1899-12-30T08:00:00"/>
    <x v="47"/>
    <n v="385"/>
    <x v="2"/>
    <m/>
  </r>
  <r>
    <d v="2025-04-01T00:00:00"/>
    <d v="1899-12-30T08:00:00"/>
    <x v="48"/>
    <n v="435"/>
    <x v="2"/>
    <m/>
  </r>
  <r>
    <d v="2025-04-01T00:00:00"/>
    <d v="1899-12-30T08:00:00"/>
    <x v="49"/>
    <n v="390"/>
    <x v="2"/>
    <m/>
  </r>
  <r>
    <d v="2025-04-01T00:00:00"/>
    <d v="1899-12-30T08:00:00"/>
    <x v="50"/>
    <n v="420"/>
    <x v="2"/>
    <m/>
  </r>
  <r>
    <d v="2025-04-01T00:00:00"/>
    <d v="1899-12-30T08:00:00"/>
    <x v="51"/>
    <n v="450"/>
    <x v="2"/>
    <m/>
  </r>
  <r>
    <d v="2025-04-01T00:00:00"/>
    <d v="1899-12-30T08:00:00"/>
    <x v="52"/>
    <n v="430"/>
    <x v="2"/>
    <m/>
  </r>
  <r>
    <d v="2025-04-01T00:00:00"/>
    <d v="1899-12-30T08:00:00"/>
    <x v="53"/>
    <n v="430"/>
    <x v="2"/>
    <m/>
  </r>
  <r>
    <d v="2025-04-01T00:00:00"/>
    <d v="1899-12-30T08:00:00"/>
    <x v="54"/>
    <n v="400"/>
    <x v="2"/>
    <m/>
  </r>
  <r>
    <d v="2025-04-01T00:00:00"/>
    <d v="1899-12-30T08:00:00"/>
    <x v="55"/>
    <n v="410"/>
    <x v="2"/>
    <m/>
  </r>
  <r>
    <d v="2025-04-01T00:00:00"/>
    <d v="1899-12-30T08:00:00"/>
    <x v="56"/>
    <n v="425"/>
    <x v="2"/>
    <m/>
  </r>
  <r>
    <d v="2025-04-01T00:00:00"/>
    <d v="1899-12-30T08:00:00"/>
    <x v="57"/>
    <n v="420"/>
    <x v="2"/>
    <m/>
  </r>
  <r>
    <d v="2025-04-01T00:00:00"/>
    <d v="1899-12-30T08:00:00"/>
    <x v="58"/>
    <n v="430"/>
    <x v="2"/>
    <m/>
  </r>
  <r>
    <d v="2025-04-01T00:00:00"/>
    <d v="1899-12-30T08:00:00"/>
    <x v="59"/>
    <n v="410"/>
    <x v="2"/>
    <m/>
  </r>
  <r>
    <d v="2025-04-01T00:00:00"/>
    <d v="1899-12-30T08:00:00"/>
    <x v="60"/>
    <n v="385"/>
    <x v="2"/>
    <m/>
  </r>
  <r>
    <d v="2025-04-01T00:00:00"/>
    <d v="1899-12-30T08:00:00"/>
    <x v="61"/>
    <n v="420"/>
    <x v="2"/>
    <m/>
  </r>
  <r>
    <d v="2025-04-01T00:00:00"/>
    <d v="1899-12-30T08:00:00"/>
    <x v="62"/>
    <n v="415"/>
    <x v="2"/>
    <m/>
  </r>
  <r>
    <d v="2025-04-01T00:00:00"/>
    <d v="1899-12-30T08:00:00"/>
    <x v="63"/>
    <n v="435"/>
    <x v="2"/>
    <m/>
  </r>
  <r>
    <d v="2025-04-01T00:00:00"/>
    <d v="1899-12-30T08:00:00"/>
    <x v="64"/>
    <n v="435"/>
    <x v="2"/>
    <m/>
  </r>
  <r>
    <d v="2025-04-01T00:00:00"/>
    <d v="1899-12-30T08:00:00"/>
    <x v="65"/>
    <n v="395"/>
    <x v="2"/>
    <m/>
  </r>
  <r>
    <d v="2025-04-01T00:00:00"/>
    <d v="1899-12-30T08:00:00"/>
    <x v="66"/>
    <n v="365"/>
    <x v="2"/>
    <m/>
  </r>
  <r>
    <d v="2025-04-01T00:00:00"/>
    <d v="1899-12-30T08:00:00"/>
    <x v="67"/>
    <n v="435"/>
    <x v="2"/>
    <m/>
  </r>
  <r>
    <d v="2025-04-01T00:00:00"/>
    <d v="1899-12-30T08:00:00"/>
    <x v="68"/>
    <n v="450"/>
    <x v="0"/>
    <m/>
  </r>
  <r>
    <d v="2025-04-01T00:00:00"/>
    <d v="1899-12-30T08:00:00"/>
    <x v="69"/>
    <n v="450"/>
    <x v="2"/>
    <s v="VACUNADO"/>
  </r>
  <r>
    <d v="2025-04-01T00:00:00"/>
    <d v="1899-12-30T08:00:00"/>
    <x v="70"/>
    <n v="330"/>
    <x v="1"/>
    <m/>
  </r>
  <r>
    <d v="2025-04-01T00:00:00"/>
    <d v="1899-12-30T08:00:00"/>
    <x v="71"/>
    <n v="390"/>
    <x v="2"/>
    <m/>
  </r>
  <r>
    <d v="2025-04-01T00:00:00"/>
    <d v="1899-12-30T08:00:00"/>
    <x v="72"/>
    <n v="400"/>
    <x v="2"/>
    <m/>
  </r>
  <r>
    <d v="2025-04-01T00:00:00"/>
    <d v="1899-12-30T08:00:00"/>
    <x v="73"/>
    <n v="340"/>
    <x v="2"/>
    <m/>
  </r>
  <r>
    <d v="2025-04-01T00:00:00"/>
    <d v="1899-12-30T08:00:00"/>
    <x v="74"/>
    <n v="440"/>
    <x v="3"/>
    <m/>
  </r>
  <r>
    <d v="2025-04-01T00:00:00"/>
    <d v="1899-12-30T08:00:00"/>
    <x v="75"/>
    <n v="415"/>
    <x v="2"/>
    <m/>
  </r>
  <r>
    <d v="2025-04-01T00:00:00"/>
    <d v="1899-12-30T08:00:00"/>
    <x v="76"/>
    <n v="420"/>
    <x v="2"/>
    <m/>
  </r>
  <r>
    <d v="2025-04-01T00:00:00"/>
    <d v="1899-12-30T08:00:00"/>
    <x v="77"/>
    <n v="400"/>
    <x v="2"/>
    <m/>
  </r>
  <r>
    <d v="2025-04-01T00:00:00"/>
    <d v="1899-12-30T08:00:00"/>
    <x v="78"/>
    <n v="385"/>
    <x v="2"/>
    <m/>
  </r>
  <r>
    <d v="2025-04-01T00:00:00"/>
    <d v="1899-12-30T08:00:00"/>
    <x v="79"/>
    <n v="480"/>
    <x v="0"/>
    <m/>
  </r>
  <r>
    <d v="2025-04-01T00:00:00"/>
    <d v="1899-12-30T08:00:00"/>
    <x v="80"/>
    <n v="477"/>
    <x v="0"/>
    <m/>
  </r>
  <r>
    <d v="2025-04-01T00:00:00"/>
    <d v="1899-12-30T08:00:00"/>
    <x v="81"/>
    <n v="465"/>
    <x v="2"/>
    <m/>
  </r>
  <r>
    <d v="2025-04-01T00:00:00"/>
    <d v="1899-12-30T08:00:00"/>
    <x v="82"/>
    <n v="430"/>
    <x v="2"/>
    <m/>
  </r>
  <r>
    <d v="2025-04-01T00:00:00"/>
    <d v="1899-12-30T08:00:00"/>
    <x v="83"/>
    <n v="455"/>
    <x v="1"/>
    <m/>
  </r>
  <r>
    <d v="2025-04-01T00:00:00"/>
    <d v="1899-12-30T08:00:00"/>
    <x v="84"/>
    <n v="470"/>
    <x v="0"/>
    <m/>
  </r>
  <r>
    <d v="2025-04-01T00:00:00"/>
    <d v="1899-12-30T08:00:00"/>
    <x v="85"/>
    <n v="430"/>
    <x v="2"/>
    <m/>
  </r>
  <r>
    <d v="2025-04-01T00:00:00"/>
    <d v="1899-12-30T08:00:00"/>
    <x v="86"/>
    <n v="365"/>
    <x v="2"/>
    <m/>
  </r>
  <r>
    <d v="2025-04-01T00:00:00"/>
    <d v="1899-12-30T08:00:00"/>
    <x v="87"/>
    <n v="385"/>
    <x v="2"/>
    <m/>
  </r>
  <r>
    <d v="2025-04-01T00:00:00"/>
    <d v="1899-12-30T08:00:00"/>
    <x v="88"/>
    <n v="440"/>
    <x v="2"/>
    <m/>
  </r>
  <r>
    <d v="2025-04-01T00:00:00"/>
    <d v="1899-12-30T08:00:00"/>
    <x v="89"/>
    <n v="350"/>
    <x v="1"/>
    <m/>
  </r>
  <r>
    <d v="2025-04-01T00:00:00"/>
    <d v="1899-12-30T08:00:00"/>
    <x v="90"/>
    <n v="460"/>
    <x v="0"/>
    <m/>
  </r>
  <r>
    <d v="2025-04-01T00:00:00"/>
    <d v="1899-12-30T08:00:00"/>
    <x v="91"/>
    <n v="380"/>
    <x v="2"/>
    <m/>
  </r>
  <r>
    <d v="2025-04-01T00:00:00"/>
    <d v="1899-12-30T08:00:00"/>
    <x v="92"/>
    <n v="430"/>
    <x v="2"/>
    <m/>
  </r>
  <r>
    <d v="2025-04-01T00:00:00"/>
    <d v="1899-12-30T08:00:00"/>
    <x v="93"/>
    <n v="340"/>
    <x v="1"/>
    <m/>
  </r>
  <r>
    <d v="2025-04-01T00:00:00"/>
    <d v="1899-12-30T08:00:00"/>
    <x v="94"/>
    <n v="445"/>
    <x v="0"/>
    <m/>
  </r>
  <r>
    <d v="2025-04-01T00:00:00"/>
    <d v="1899-12-30T08:00:00"/>
    <x v="95"/>
    <n v="410"/>
    <x v="2"/>
    <m/>
  </r>
  <r>
    <d v="2025-04-01T00:00:00"/>
    <d v="1899-12-30T08:00:00"/>
    <x v="96"/>
    <n v="415"/>
    <x v="2"/>
    <m/>
  </r>
  <r>
    <d v="2025-04-01T00:00:00"/>
    <d v="1899-12-30T08:00:00"/>
    <x v="97"/>
    <n v="415"/>
    <x v="2"/>
    <m/>
  </r>
  <r>
    <d v="2025-04-01T00:00:00"/>
    <d v="1899-12-30T08:00:00"/>
    <x v="98"/>
    <n v="430"/>
    <x v="2"/>
    <m/>
  </r>
  <r>
    <d v="2025-04-01T00:00:00"/>
    <d v="1899-12-30T08:00:00"/>
    <x v="99"/>
    <n v="445"/>
    <x v="0"/>
    <m/>
  </r>
  <r>
    <d v="2025-04-01T00:00:00"/>
    <d v="1899-12-30T08:00:00"/>
    <x v="100"/>
    <n v="425"/>
    <x v="0"/>
    <m/>
  </r>
  <r>
    <d v="2025-04-01T00:00:00"/>
    <d v="1899-12-30T08:00:00"/>
    <x v="101"/>
    <n v="430"/>
    <x v="2"/>
    <m/>
  </r>
  <r>
    <d v="2025-04-01T00:00:00"/>
    <d v="1899-12-30T08:00:00"/>
    <x v="102"/>
    <n v="420"/>
    <x v="2"/>
    <m/>
  </r>
  <r>
    <d v="2025-04-01T00:00:00"/>
    <d v="1899-12-30T08:00:00"/>
    <x v="103"/>
    <n v="460"/>
    <x v="0"/>
    <m/>
  </r>
  <r>
    <d v="2025-04-01T00:00:00"/>
    <d v="1899-12-30T08:00:00"/>
    <x v="104"/>
    <n v="425"/>
    <x v="2"/>
    <m/>
  </r>
  <r>
    <d v="2025-04-01T00:00:00"/>
    <d v="1899-12-30T08:00:00"/>
    <x v="105"/>
    <n v="305"/>
    <x v="1"/>
    <m/>
  </r>
  <r>
    <d v="2025-04-01T00:00:00"/>
    <d v="1899-12-30T08:00:00"/>
    <x v="106"/>
    <n v="375"/>
    <x v="2"/>
    <m/>
  </r>
  <r>
    <d v="2025-04-01T00:00:00"/>
    <d v="1899-12-30T08:00:00"/>
    <x v="107"/>
    <n v="480"/>
    <x v="0"/>
    <m/>
  </r>
  <r>
    <d v="2025-04-01T00:00:00"/>
    <d v="1899-12-30T08:00:00"/>
    <x v="108"/>
    <n v="415"/>
    <x v="2"/>
    <m/>
  </r>
  <r>
    <d v="2025-04-01T00:00:00"/>
    <d v="1899-12-30T08:00:00"/>
    <x v="109"/>
    <n v="370"/>
    <x v="1"/>
    <m/>
  </r>
  <r>
    <d v="2025-04-01T00:00:00"/>
    <d v="1899-12-30T08:00:00"/>
    <x v="110"/>
    <n v="390"/>
    <x v="2"/>
    <m/>
  </r>
  <r>
    <d v="2025-04-01T00:00:00"/>
    <d v="1899-12-30T08:00:00"/>
    <x v="111"/>
    <n v="445"/>
    <x v="2"/>
    <m/>
  </r>
  <r>
    <d v="2025-04-01T00:00:00"/>
    <d v="1899-12-30T08:00:00"/>
    <x v="112"/>
    <n v="290"/>
    <x v="1"/>
    <m/>
  </r>
  <r>
    <d v="2025-04-01T00:00:00"/>
    <d v="1899-12-30T08:00:00"/>
    <x v="113"/>
    <n v="505"/>
    <x v="0"/>
    <m/>
  </r>
  <r>
    <d v="2025-04-01T00:00:00"/>
    <d v="1899-12-30T08:00:00"/>
    <x v="114"/>
    <n v="410"/>
    <x v="2"/>
    <m/>
  </r>
  <r>
    <d v="2025-04-01T00:00:00"/>
    <d v="1899-12-30T08:00:00"/>
    <x v="115"/>
    <n v="350"/>
    <x v="1"/>
    <m/>
  </r>
  <r>
    <d v="2025-04-01T00:00:00"/>
    <d v="1899-12-30T08:00:00"/>
    <x v="116"/>
    <n v="405"/>
    <x v="1"/>
    <m/>
  </r>
  <r>
    <d v="2025-04-01T00:00:00"/>
    <d v="1899-12-30T08:00:00"/>
    <x v="117"/>
    <n v="350"/>
    <x v="2"/>
    <m/>
  </r>
  <r>
    <d v="2025-04-01T00:00:00"/>
    <d v="1899-12-30T08:00:00"/>
    <x v="118"/>
    <n v="395"/>
    <x v="1"/>
    <m/>
  </r>
  <r>
    <d v="2025-04-01T00:00:00"/>
    <d v="1899-12-30T08:00:00"/>
    <x v="119"/>
    <n v="335"/>
    <x v="1"/>
    <m/>
  </r>
  <r>
    <d v="2025-04-01T00:00:00"/>
    <d v="1899-12-30T08:00:00"/>
    <x v="120"/>
    <n v="380"/>
    <x v="1"/>
    <m/>
  </r>
  <r>
    <d v="2025-04-01T00:00:00"/>
    <d v="1899-12-30T08:00:00"/>
    <x v="121"/>
    <n v="370"/>
    <x v="1"/>
    <m/>
  </r>
  <r>
    <d v="2025-04-01T00:00:00"/>
    <d v="1899-12-30T08:00:00"/>
    <x v="122"/>
    <n v="400"/>
    <x v="2"/>
    <m/>
  </r>
  <r>
    <d v="2025-04-01T00:00:00"/>
    <d v="1899-12-30T08:00:00"/>
    <x v="123"/>
    <n v="405"/>
    <x v="2"/>
    <m/>
  </r>
  <r>
    <d v="2025-04-01T00:00:00"/>
    <d v="1899-12-30T08:00:00"/>
    <x v="124"/>
    <n v="465"/>
    <x v="0"/>
    <m/>
  </r>
  <r>
    <d v="2025-04-01T00:00:00"/>
    <d v="1899-12-30T08:00:00"/>
    <x v="125"/>
    <n v="375"/>
    <x v="1"/>
    <m/>
  </r>
  <r>
    <d v="2025-04-01T00:00:00"/>
    <d v="1899-12-30T08:00:00"/>
    <x v="126"/>
    <n v="430"/>
    <x v="2"/>
    <m/>
  </r>
  <r>
    <d v="2025-04-01T00:00:00"/>
    <d v="1899-12-30T08:00:00"/>
    <x v="127"/>
    <n v="455"/>
    <x v="0"/>
    <m/>
  </r>
  <r>
    <d v="2025-04-01T00:00:00"/>
    <d v="1899-12-30T08:00:00"/>
    <x v="128"/>
    <n v="350"/>
    <x v="1"/>
    <m/>
  </r>
  <r>
    <d v="2025-04-01T00:00:00"/>
    <d v="1899-12-30T08:00:00"/>
    <x v="129"/>
    <n v="380"/>
    <x v="1"/>
    <m/>
  </r>
  <r>
    <d v="2025-04-01T00:00:00"/>
    <d v="1899-12-30T08:00:00"/>
    <x v="130"/>
    <n v="420"/>
    <x v="2"/>
    <m/>
  </r>
  <r>
    <d v="2025-04-01T00:00:00"/>
    <d v="1899-12-30T08:00:00"/>
    <x v="131"/>
    <n v="405"/>
    <x v="2"/>
    <m/>
  </r>
  <r>
    <d v="2025-04-01T00:00:00"/>
    <d v="1899-12-30T08:00:00"/>
    <x v="132"/>
    <n v="425"/>
    <x v="2"/>
    <m/>
  </r>
  <r>
    <d v="2025-04-01T00:00:00"/>
    <d v="1899-12-30T08:00:00"/>
    <x v="133"/>
    <n v="415"/>
    <x v="2"/>
    <m/>
  </r>
  <r>
    <d v="2025-04-01T00:00:00"/>
    <d v="1899-12-30T08:00:00"/>
    <x v="134"/>
    <n v="355"/>
    <x v="2"/>
    <m/>
  </r>
  <r>
    <d v="2025-04-01T00:00:00"/>
    <d v="1899-12-30T08:00:00"/>
    <x v="135"/>
    <n v="370"/>
    <x v="2"/>
    <m/>
  </r>
  <r>
    <d v="2025-04-01T00:00:00"/>
    <d v="1899-12-30T08:00:00"/>
    <x v="136"/>
    <n v="435"/>
    <x v="2"/>
    <m/>
  </r>
  <r>
    <d v="2025-04-01T00:00:00"/>
    <d v="1899-12-30T08:00:00"/>
    <x v="137"/>
    <n v="375"/>
    <x v="1"/>
    <m/>
  </r>
  <r>
    <d v="2025-04-01T00:00:00"/>
    <d v="1899-12-30T08:00:00"/>
    <x v="138"/>
    <n v="415"/>
    <x v="2"/>
    <m/>
  </r>
  <r>
    <d v="2025-04-01T00:00:00"/>
    <d v="1899-12-30T08:00:00"/>
    <x v="139"/>
    <n v="355"/>
    <x v="1"/>
    <m/>
  </r>
  <r>
    <d v="2025-04-01T00:00:00"/>
    <d v="1899-12-30T08:00:00"/>
    <x v="140"/>
    <n v="380"/>
    <x v="2"/>
    <m/>
  </r>
  <r>
    <d v="2025-04-01T00:00:00"/>
    <d v="1899-12-30T08:00:00"/>
    <x v="141"/>
    <n v="400"/>
    <x v="2"/>
    <m/>
  </r>
  <r>
    <d v="2025-04-01T00:00:00"/>
    <d v="1899-12-30T08:00:00"/>
    <x v="142"/>
    <n v="515"/>
    <x v="0"/>
    <m/>
  </r>
  <r>
    <d v="2025-04-01T00:00:00"/>
    <d v="1899-12-30T08:00:00"/>
    <x v="143"/>
    <n v="385"/>
    <x v="1"/>
    <m/>
  </r>
  <r>
    <d v="2025-04-01T00:00:00"/>
    <d v="1899-12-30T08:00:00"/>
    <x v="144"/>
    <n v="430"/>
    <x v="2"/>
    <m/>
  </r>
  <r>
    <d v="2025-04-01T00:00:00"/>
    <d v="1899-12-30T08:00:00"/>
    <x v="145"/>
    <n v="450"/>
    <x v="0"/>
    <m/>
  </r>
  <r>
    <d v="2025-04-01T00:00:00"/>
    <d v="1899-12-30T08:00:00"/>
    <x v="146"/>
    <n v="280"/>
    <x v="1"/>
    <s v="QUEBRADO"/>
  </r>
  <r>
    <d v="2025-04-01T00:00:00"/>
    <d v="1899-12-30T08:00:00"/>
    <x v="147"/>
    <n v="385"/>
    <x v="1"/>
    <m/>
  </r>
  <r>
    <d v="2025-04-01T00:00:00"/>
    <d v="1899-12-30T08:00:00"/>
    <x v="148"/>
    <n v="340"/>
    <x v="1"/>
    <m/>
  </r>
  <r>
    <d v="2025-04-01T00:00:00"/>
    <d v="1899-12-30T08:00:00"/>
    <x v="149"/>
    <n v="465"/>
    <x v="0"/>
    <m/>
  </r>
  <r>
    <d v="2025-04-01T00:00:00"/>
    <d v="1899-12-30T08:00:00"/>
    <x v="150"/>
    <n v="370"/>
    <x v="1"/>
    <m/>
  </r>
  <r>
    <d v="2025-04-01T00:00:00"/>
    <d v="1899-12-30T08:00:00"/>
    <x v="151"/>
    <n v="395"/>
    <x v="1"/>
    <m/>
  </r>
  <r>
    <d v="2025-04-01T00:00:00"/>
    <d v="1899-12-30T08:00:00"/>
    <x v="152"/>
    <n v="400"/>
    <x v="1"/>
    <m/>
  </r>
  <r>
    <d v="2025-04-01T00:00:00"/>
    <d v="1899-12-30T08:00:00"/>
    <x v="153"/>
    <n v="355"/>
    <x v="1"/>
    <m/>
  </r>
  <r>
    <d v="2025-04-01T00:00:00"/>
    <d v="1899-12-30T08:00:00"/>
    <x v="154"/>
    <n v="425"/>
    <x v="2"/>
    <m/>
  </r>
  <r>
    <d v="2025-04-01T00:00:00"/>
    <d v="1899-12-30T08:00:00"/>
    <x v="155"/>
    <n v="390"/>
    <x v="2"/>
    <m/>
  </r>
  <r>
    <d v="2025-04-01T00:00:00"/>
    <d v="1899-12-30T08:00:00"/>
    <x v="156"/>
    <n v="375"/>
    <x v="1"/>
    <m/>
  </r>
  <r>
    <d v="2025-04-01T00:00:00"/>
    <d v="1899-12-30T08:00:00"/>
    <x v="157"/>
    <n v="340"/>
    <x v="1"/>
    <m/>
  </r>
  <r>
    <d v="2025-04-01T00:00:00"/>
    <d v="1899-12-30T08:00:00"/>
    <x v="158"/>
    <n v="330"/>
    <x v="1"/>
    <m/>
  </r>
  <r>
    <d v="2025-04-01T00:00:00"/>
    <d v="1899-12-30T08:00:00"/>
    <x v="159"/>
    <n v="390"/>
    <x v="2"/>
    <m/>
  </r>
  <r>
    <d v="2025-04-01T00:00:00"/>
    <d v="1899-12-30T08:00:00"/>
    <x v="160"/>
    <n v="420"/>
    <x v="1"/>
    <m/>
  </r>
  <r>
    <d v="2025-04-01T00:00:00"/>
    <d v="1899-12-30T08:00:00"/>
    <x v="161"/>
    <n v="420"/>
    <x v="1"/>
    <m/>
  </r>
  <r>
    <d v="2025-04-01T00:00:00"/>
    <d v="1899-12-30T08:00:00"/>
    <x v="162"/>
    <n v="370"/>
    <x v="1"/>
    <m/>
  </r>
  <r>
    <d v="2025-04-01T00:00:00"/>
    <d v="1899-12-30T08:00:00"/>
    <x v="163"/>
    <n v="410"/>
    <x v="1"/>
    <m/>
  </r>
  <r>
    <d v="2025-04-01T00:00:00"/>
    <d v="1899-12-30T08:00:00"/>
    <x v="164"/>
    <n v="325"/>
    <x v="1"/>
    <m/>
  </r>
  <r>
    <d v="2025-04-01T00:00:00"/>
    <d v="1899-12-30T08:00:00"/>
    <x v="165"/>
    <n v="320"/>
    <x v="1"/>
    <m/>
  </r>
  <r>
    <d v="2025-04-01T00:00:00"/>
    <d v="1899-12-30T08:00:00"/>
    <x v="166"/>
    <n v="435"/>
    <x v="2"/>
    <m/>
  </r>
  <r>
    <d v="2025-04-01T00:00:00"/>
    <d v="1899-12-30T08:00:00"/>
    <x v="167"/>
    <n v="470"/>
    <x v="0"/>
    <m/>
  </r>
  <r>
    <d v="2025-04-01T00:00:00"/>
    <d v="1899-12-30T08:00:00"/>
    <x v="168"/>
    <n v="410"/>
    <x v="2"/>
    <m/>
  </r>
  <r>
    <d v="2025-04-01T00:00:00"/>
    <d v="1899-12-30T08:00:00"/>
    <x v="169"/>
    <n v="435"/>
    <x v="1"/>
    <m/>
  </r>
  <r>
    <d v="2025-04-01T00:00:00"/>
    <d v="1899-12-30T08:00:00"/>
    <x v="170"/>
    <n v="475"/>
    <x v="0"/>
    <m/>
  </r>
  <r>
    <d v="2025-04-01T00:00:00"/>
    <d v="1899-12-30T08:00:00"/>
    <x v="171"/>
    <n v="360"/>
    <x v="1"/>
    <m/>
  </r>
  <r>
    <d v="2025-04-01T00:00:00"/>
    <d v="1899-12-30T08:00:00"/>
    <x v="172"/>
    <n v="430"/>
    <x v="2"/>
    <m/>
  </r>
  <r>
    <d v="2025-04-01T00:00:00"/>
    <d v="1899-12-30T08:00:00"/>
    <x v="173"/>
    <n v="450"/>
    <x v="2"/>
    <m/>
  </r>
  <r>
    <d v="2025-04-01T00:00:00"/>
    <d v="1899-12-30T08:00:00"/>
    <x v="174"/>
    <n v="410"/>
    <x v="2"/>
    <m/>
  </r>
  <r>
    <d v="2025-04-01T00:00:00"/>
    <d v="1899-12-30T08:00:00"/>
    <x v="175"/>
    <n v="340"/>
    <x v="2"/>
    <m/>
  </r>
  <r>
    <d v="2025-04-01T00:00:00"/>
    <d v="1899-12-30T08:00:00"/>
    <x v="176"/>
    <n v="390"/>
    <x v="2"/>
    <m/>
  </r>
  <r>
    <d v="2025-04-01T00:00:00"/>
    <d v="1899-12-30T08:00:00"/>
    <x v="177"/>
    <n v="315"/>
    <x v="1"/>
    <m/>
  </r>
  <r>
    <d v="2025-04-01T00:00:00"/>
    <d v="1899-12-30T08:00:00"/>
    <x v="178"/>
    <n v="380"/>
    <x v="1"/>
    <m/>
  </r>
  <r>
    <d v="2025-04-01T00:00:00"/>
    <d v="1899-12-30T08:00:00"/>
    <x v="179"/>
    <n v="440"/>
    <x v="0"/>
    <m/>
  </r>
  <r>
    <d v="2025-04-01T00:00:00"/>
    <d v="1899-12-30T08:00:00"/>
    <x v="180"/>
    <n v="530"/>
    <x v="0"/>
    <m/>
  </r>
  <r>
    <d v="2025-04-01T00:00:00"/>
    <d v="1899-12-30T08:00:00"/>
    <x v="181"/>
    <n v="395"/>
    <x v="2"/>
    <m/>
  </r>
  <r>
    <d v="2025-04-01T00:00:00"/>
    <d v="1899-12-30T08:00:00"/>
    <x v="182"/>
    <n v="415"/>
    <x v="2"/>
    <m/>
  </r>
  <r>
    <d v="2025-04-01T00:00:00"/>
    <d v="1899-12-30T08:00:00"/>
    <x v="183"/>
    <n v="435"/>
    <x v="1"/>
    <m/>
  </r>
  <r>
    <d v="2025-04-01T00:00:00"/>
    <d v="1899-12-30T08:00:00"/>
    <x v="184"/>
    <n v="410"/>
    <x v="2"/>
    <m/>
  </r>
  <r>
    <d v="2025-04-01T00:00:00"/>
    <d v="1899-12-30T08:00:00"/>
    <x v="185"/>
    <n v="390"/>
    <x v="2"/>
    <m/>
  </r>
  <r>
    <d v="2025-04-01T00:00:00"/>
    <d v="1899-12-30T08:00:00"/>
    <x v="186"/>
    <n v="375"/>
    <x v="2"/>
    <m/>
  </r>
  <r>
    <d v="2025-04-01T00:00:00"/>
    <d v="1899-12-30T08:00:00"/>
    <x v="187"/>
    <n v="440"/>
    <x v="0"/>
    <m/>
  </r>
  <r>
    <d v="2025-04-01T00:00:00"/>
    <d v="1899-12-30T08:00:00"/>
    <x v="188"/>
    <n v="435"/>
    <x v="2"/>
    <m/>
  </r>
  <r>
    <d v="2025-04-01T00:00:00"/>
    <d v="1899-12-30T08:00:00"/>
    <x v="189"/>
    <n v="370"/>
    <x v="1"/>
    <m/>
  </r>
  <r>
    <d v="2025-04-01T00:00:00"/>
    <d v="1899-12-30T08:00:00"/>
    <x v="190"/>
    <n v="400"/>
    <x v="2"/>
    <m/>
  </r>
  <r>
    <d v="2025-04-01T00:00:00"/>
    <d v="1899-12-30T08:00:00"/>
    <x v="191"/>
    <n v="425"/>
    <x v="2"/>
    <m/>
  </r>
  <r>
    <d v="2025-04-01T00:00:00"/>
    <d v="1899-12-30T08:00:00"/>
    <x v="192"/>
    <n v="350"/>
    <x v="2"/>
    <m/>
  </r>
  <r>
    <d v="2025-04-01T00:00:00"/>
    <d v="1899-12-30T08:00:00"/>
    <x v="193"/>
    <n v="395"/>
    <x v="2"/>
    <m/>
  </r>
  <r>
    <d v="2025-04-01T00:00:00"/>
    <d v="1899-12-30T08:00:00"/>
    <x v="194"/>
    <n v="405"/>
    <x v="2"/>
    <m/>
  </r>
  <r>
    <d v="2025-04-01T00:00:00"/>
    <d v="1899-12-30T08:00:00"/>
    <x v="195"/>
    <n v="365"/>
    <x v="1"/>
    <m/>
  </r>
  <r>
    <d v="2025-04-01T00:00:00"/>
    <d v="1899-12-30T08:00:00"/>
    <x v="196"/>
    <n v="340"/>
    <x v="1"/>
    <m/>
  </r>
  <r>
    <d v="2025-04-01T00:00:00"/>
    <d v="1899-12-30T08:00:00"/>
    <x v="197"/>
    <n v="420"/>
    <x v="2"/>
    <m/>
  </r>
  <r>
    <d v="2025-04-01T00:00:00"/>
    <d v="1899-12-30T08:00:00"/>
    <x v="198"/>
    <n v="350"/>
    <x v="1"/>
    <m/>
  </r>
  <r>
    <d v="2025-04-01T00:00:00"/>
    <d v="1899-12-30T08:00:00"/>
    <x v="199"/>
    <n v="390"/>
    <x v="1"/>
    <m/>
  </r>
  <r>
    <d v="2025-04-01T00:00:00"/>
    <d v="1899-12-30T08:00:00"/>
    <x v="200"/>
    <n v="415"/>
    <x v="2"/>
    <m/>
  </r>
  <r>
    <d v="2025-04-01T00:00:00"/>
    <d v="1899-12-30T08:00:00"/>
    <x v="201"/>
    <n v="315"/>
    <x v="1"/>
    <m/>
  </r>
  <r>
    <d v="2025-04-01T00:00:00"/>
    <d v="1899-12-30T08:00:00"/>
    <x v="202"/>
    <n v="410"/>
    <x v="2"/>
    <m/>
  </r>
  <r>
    <d v="2025-04-01T00:00:00"/>
    <d v="1899-12-30T08:00:00"/>
    <x v="203"/>
    <n v="430"/>
    <x v="2"/>
    <m/>
  </r>
  <r>
    <d v="2025-04-01T00:00:00"/>
    <d v="1899-12-30T08:00:00"/>
    <x v="204"/>
    <n v="350"/>
    <x v="1"/>
    <m/>
  </r>
  <r>
    <d v="2025-04-01T00:00:00"/>
    <d v="1899-12-30T08:00:00"/>
    <x v="205"/>
    <n v="345"/>
    <x v="1"/>
    <m/>
  </r>
  <r>
    <d v="2025-04-01T00:00:00"/>
    <d v="1899-12-30T08:00:00"/>
    <x v="206"/>
    <n v="335"/>
    <x v="2"/>
    <m/>
  </r>
  <r>
    <d v="2025-04-01T00:00:00"/>
    <d v="1899-12-30T08:00:00"/>
    <x v="207"/>
    <n v="390"/>
    <x v="2"/>
    <m/>
  </r>
  <r>
    <d v="2025-04-01T00:00:00"/>
    <d v="1899-12-30T08:00:00"/>
    <x v="208"/>
    <n v="450"/>
    <x v="0"/>
    <m/>
  </r>
  <r>
    <d v="2025-04-01T00:00:00"/>
    <d v="1899-12-30T08:00:00"/>
    <x v="209"/>
    <n v="375"/>
    <x v="1"/>
    <m/>
  </r>
  <r>
    <d v="2025-04-01T00:00:00"/>
    <d v="1899-12-30T08:00:00"/>
    <x v="210"/>
    <n v="420"/>
    <x v="2"/>
    <m/>
  </r>
  <r>
    <d v="2025-04-01T00:00:00"/>
    <d v="1899-12-30T08:00:00"/>
    <x v="211"/>
    <n v="360"/>
    <x v="1"/>
    <m/>
  </r>
  <r>
    <d v="2025-04-01T00:00:00"/>
    <d v="1899-12-30T08:00:00"/>
    <x v="212"/>
    <n v="350"/>
    <x v="1"/>
    <m/>
  </r>
  <r>
    <d v="2025-04-01T00:00:00"/>
    <d v="1899-12-30T08:00:00"/>
    <x v="213"/>
    <n v="395"/>
    <x v="2"/>
    <m/>
  </r>
  <r>
    <d v="2025-04-01T00:00:00"/>
    <d v="1899-12-30T08:00:00"/>
    <x v="214"/>
    <n v="400"/>
    <x v="2"/>
    <m/>
  </r>
  <r>
    <d v="2025-04-01T00:00:00"/>
    <d v="1899-12-30T08:00:00"/>
    <x v="215"/>
    <n v="365"/>
    <x v="1"/>
    <m/>
  </r>
  <r>
    <d v="2025-04-01T00:00:00"/>
    <d v="1899-12-30T08:00:00"/>
    <x v="216"/>
    <n v="360"/>
    <x v="1"/>
    <m/>
  </r>
  <r>
    <d v="2025-04-01T00:00:00"/>
    <d v="1899-12-30T08:00:00"/>
    <x v="217"/>
    <n v="355"/>
    <x v="1"/>
    <m/>
  </r>
  <r>
    <d v="2025-04-01T00:00:00"/>
    <d v="1899-12-30T08:00:00"/>
    <x v="218"/>
    <n v="390"/>
    <x v="2"/>
    <m/>
  </r>
  <r>
    <d v="2025-04-01T00:00:00"/>
    <d v="1899-12-30T08:00:00"/>
    <x v="219"/>
    <n v="350"/>
    <x v="2"/>
    <m/>
  </r>
  <r>
    <d v="2025-04-01T00:00:00"/>
    <d v="1899-12-30T08:00:00"/>
    <x v="220"/>
    <n v="420"/>
    <x v="2"/>
    <m/>
  </r>
  <r>
    <d v="2025-04-01T00:00:00"/>
    <d v="1899-12-30T08:00:00"/>
    <x v="221"/>
    <n v="400"/>
    <x v="1"/>
    <m/>
  </r>
  <r>
    <d v="2025-04-01T00:00:00"/>
    <d v="1899-12-30T08:00:00"/>
    <x v="222"/>
    <n v="470"/>
    <x v="0"/>
    <m/>
  </r>
  <r>
    <d v="2025-04-01T00:00:00"/>
    <d v="1899-12-30T08:00:00"/>
    <x v="223"/>
    <n v="415"/>
    <x v="2"/>
    <m/>
  </r>
  <r>
    <d v="2025-04-01T00:00:00"/>
    <d v="1899-12-30T08:00:00"/>
    <x v="224"/>
    <n v="380"/>
    <x v="1"/>
    <m/>
  </r>
  <r>
    <d v="2025-04-01T00:00:00"/>
    <d v="1899-12-30T08:00:00"/>
    <x v="225"/>
    <n v="395"/>
    <x v="2"/>
    <m/>
  </r>
  <r>
    <d v="2025-04-01T00:00:00"/>
    <d v="1899-12-30T08:00:00"/>
    <x v="226"/>
    <n v="400"/>
    <x v="2"/>
    <m/>
  </r>
  <r>
    <d v="2025-04-01T00:00:00"/>
    <d v="1899-12-30T08:00:00"/>
    <x v="227"/>
    <n v="370"/>
    <x v="2"/>
    <m/>
  </r>
  <r>
    <d v="2025-04-01T00:00:00"/>
    <d v="1899-12-30T08:00:00"/>
    <x v="228"/>
    <n v="385"/>
    <x v="2"/>
    <m/>
  </r>
  <r>
    <d v="2025-04-01T00:00:00"/>
    <d v="1899-12-30T08:00:00"/>
    <x v="229"/>
    <n v="420"/>
    <x v="2"/>
    <m/>
  </r>
  <r>
    <d v="2025-04-01T00:00:00"/>
    <d v="1899-12-30T08:00:00"/>
    <x v="230"/>
    <n v="395"/>
    <x v="2"/>
    <m/>
  </r>
  <r>
    <d v="2025-04-01T00:00:00"/>
    <d v="1899-12-30T08:00:00"/>
    <x v="231"/>
    <n v="385"/>
    <x v="2"/>
    <m/>
  </r>
  <r>
    <d v="2025-04-01T00:00:00"/>
    <d v="1899-12-30T08:00:00"/>
    <x v="232"/>
    <n v="390"/>
    <x v="2"/>
    <m/>
  </r>
  <r>
    <d v="2025-04-01T00:00:00"/>
    <d v="1899-12-30T08:00:00"/>
    <x v="233"/>
    <n v="420"/>
    <x v="2"/>
    <m/>
  </r>
  <r>
    <d v="2025-04-01T00:00:00"/>
    <d v="1899-12-30T08:00:00"/>
    <x v="234"/>
    <n v="350"/>
    <x v="2"/>
    <m/>
  </r>
  <r>
    <d v="2025-04-01T00:00:00"/>
    <d v="1899-12-30T08:00:00"/>
    <x v="235"/>
    <n v="405"/>
    <x v="2"/>
    <m/>
  </r>
  <r>
    <d v="2025-04-01T00:00:00"/>
    <d v="1899-12-30T08:00:00"/>
    <x v="236"/>
    <n v="385"/>
    <x v="2"/>
    <m/>
  </r>
  <r>
    <d v="2025-04-01T00:00:00"/>
    <d v="1899-12-30T08:00:00"/>
    <x v="237"/>
    <n v="465"/>
    <x v="0"/>
    <m/>
  </r>
  <r>
    <d v="2025-04-01T00:00:00"/>
    <d v="1899-12-30T08:00:00"/>
    <x v="238"/>
    <n v="410"/>
    <x v="2"/>
    <m/>
  </r>
  <r>
    <d v="2025-04-01T00:00:00"/>
    <d v="1899-12-30T08:00:00"/>
    <x v="239"/>
    <n v="410"/>
    <x v="2"/>
    <m/>
  </r>
  <r>
    <d v="2025-04-01T00:00:00"/>
    <d v="1899-12-30T08:00:00"/>
    <x v="240"/>
    <n v="490"/>
    <x v="0"/>
    <m/>
  </r>
  <r>
    <d v="2025-04-01T00:00:00"/>
    <d v="1899-12-30T08:00:00"/>
    <x v="241"/>
    <n v="360"/>
    <x v="1"/>
    <m/>
  </r>
  <r>
    <d v="2025-04-01T00:00:00"/>
    <d v="1899-12-30T08:00:00"/>
    <x v="242"/>
    <n v="425"/>
    <x v="2"/>
    <m/>
  </r>
  <r>
    <d v="2025-04-01T00:00:00"/>
    <d v="1899-12-30T08:00:00"/>
    <x v="243"/>
    <n v="395"/>
    <x v="1"/>
    <m/>
  </r>
  <r>
    <d v="2025-04-01T00:00:00"/>
    <d v="1899-12-30T08:00:00"/>
    <x v="244"/>
    <n v="490"/>
    <x v="0"/>
    <m/>
  </r>
  <r>
    <d v="2025-04-01T00:00:00"/>
    <d v="1899-12-30T08:00:00"/>
    <x v="245"/>
    <n v="360"/>
    <x v="1"/>
    <m/>
  </r>
  <r>
    <d v="2025-04-01T00:00:00"/>
    <d v="1899-12-30T08:00:00"/>
    <x v="246"/>
    <n v="415"/>
    <x v="2"/>
    <m/>
  </r>
  <r>
    <d v="2025-04-01T00:00:00"/>
    <d v="1899-12-30T08:00:00"/>
    <x v="247"/>
    <n v="420"/>
    <x v="2"/>
    <m/>
  </r>
  <r>
    <d v="2025-04-01T00:00:00"/>
    <d v="1899-12-30T08:00:00"/>
    <x v="248"/>
    <n v="420"/>
    <x v="2"/>
    <m/>
  </r>
  <r>
    <d v="2025-04-01T00:00:00"/>
    <d v="1899-12-30T08:00:00"/>
    <x v="249"/>
    <n v="350"/>
    <x v="1"/>
    <m/>
  </r>
  <r>
    <d v="2025-04-01T00:00:00"/>
    <d v="1899-12-30T08:00:00"/>
    <x v="250"/>
    <n v="400"/>
    <x v="2"/>
    <m/>
  </r>
  <r>
    <d v="2025-04-01T00:00:00"/>
    <d v="1899-12-30T08:00:00"/>
    <x v="251"/>
    <n v="430"/>
    <x v="2"/>
    <m/>
  </r>
  <r>
    <d v="2025-04-01T00:00:00"/>
    <d v="1899-12-30T08:00:00"/>
    <x v="252"/>
    <n v="425"/>
    <x v="2"/>
    <m/>
  </r>
  <r>
    <d v="2025-04-01T00:00:00"/>
    <d v="1899-12-30T08:00:00"/>
    <x v="253"/>
    <n v="410"/>
    <x v="2"/>
    <m/>
  </r>
  <r>
    <d v="2025-04-01T00:00:00"/>
    <d v="1899-12-30T08:00:00"/>
    <x v="254"/>
    <n v="420"/>
    <x v="2"/>
    <m/>
  </r>
  <r>
    <d v="2025-04-01T00:00:00"/>
    <d v="1899-12-30T08:00:00"/>
    <x v="255"/>
    <n v="380"/>
    <x v="1"/>
    <m/>
  </r>
  <r>
    <d v="2025-04-01T00:00:00"/>
    <d v="1899-12-30T08:00:00"/>
    <x v="256"/>
    <n v="450"/>
    <x v="0"/>
    <m/>
  </r>
  <r>
    <d v="2025-04-01T00:00:00"/>
    <d v="1899-12-30T08:00:00"/>
    <x v="257"/>
    <n v="440"/>
    <x v="2"/>
    <m/>
  </r>
  <r>
    <d v="2025-04-01T00:00:00"/>
    <d v="1899-12-30T08:00:00"/>
    <x v="258"/>
    <n v="395"/>
    <x v="2"/>
    <m/>
  </r>
  <r>
    <d v="2025-04-01T00:00:00"/>
    <d v="1899-12-30T08:00:00"/>
    <x v="259"/>
    <n v="395"/>
    <x v="2"/>
    <m/>
  </r>
  <r>
    <d v="2025-04-01T00:00:00"/>
    <d v="1899-12-30T08:00:00"/>
    <x v="260"/>
    <n v="470"/>
    <x v="0"/>
    <m/>
  </r>
  <r>
    <d v="2025-04-01T00:00:00"/>
    <d v="1899-12-30T08:00:00"/>
    <x v="261"/>
    <n v="460"/>
    <x v="0"/>
    <m/>
  </r>
  <r>
    <d v="2025-04-01T00:00:00"/>
    <d v="1899-12-30T08:00:00"/>
    <x v="262"/>
    <n v="310"/>
    <x v="1"/>
    <m/>
  </r>
  <r>
    <d v="2025-04-01T00:00:00"/>
    <d v="1899-12-30T08:00:00"/>
    <x v="263"/>
    <n v="350"/>
    <x v="1"/>
    <m/>
  </r>
  <r>
    <d v="2025-04-01T00:00:00"/>
    <d v="1899-12-30T08:00:00"/>
    <x v="264"/>
    <n v="415"/>
    <x v="2"/>
    <m/>
  </r>
  <r>
    <d v="2025-04-01T00:00:00"/>
    <d v="1899-12-30T08:00:00"/>
    <x v="265"/>
    <n v="445"/>
    <x v="0"/>
    <m/>
  </r>
  <r>
    <d v="2025-04-01T00:00:00"/>
    <d v="1899-12-30T08:00:00"/>
    <x v="266"/>
    <n v="350"/>
    <x v="1"/>
    <m/>
  </r>
  <r>
    <d v="2025-04-01T00:00:00"/>
    <d v="1899-12-30T08:00:00"/>
    <x v="267"/>
    <n v="430"/>
    <x v="2"/>
    <m/>
  </r>
  <r>
    <d v="2025-04-01T00:00:00"/>
    <d v="1899-12-30T08:00:00"/>
    <x v="268"/>
    <n v="385"/>
    <x v="2"/>
    <m/>
  </r>
  <r>
    <d v="2025-04-01T00:00:00"/>
    <d v="1899-12-30T08:00:00"/>
    <x v="269"/>
    <n v="400"/>
    <x v="2"/>
    <m/>
  </r>
  <r>
    <d v="2025-04-01T00:00:00"/>
    <d v="1899-12-30T08:00:00"/>
    <x v="270"/>
    <n v="420"/>
    <x v="2"/>
    <m/>
  </r>
  <r>
    <d v="2025-04-01T00:00:00"/>
    <d v="1899-12-30T08:00:00"/>
    <x v="271"/>
    <n v="270"/>
    <x v="4"/>
    <m/>
  </r>
  <r>
    <d v="2025-04-01T00:00:00"/>
    <d v="1899-12-30T08:00:00"/>
    <x v="272"/>
    <n v="405"/>
    <x v="2"/>
    <m/>
  </r>
  <r>
    <d v="2025-04-01T00:00:00"/>
    <d v="1899-12-30T08:00:00"/>
    <x v="273"/>
    <n v="465"/>
    <x v="0"/>
    <m/>
  </r>
  <r>
    <d v="2025-04-01T00:00:00"/>
    <d v="1899-12-30T08:00:00"/>
    <x v="274"/>
    <n v="400"/>
    <x v="2"/>
    <m/>
  </r>
  <r>
    <d v="2025-04-01T00:00:00"/>
    <d v="1899-12-30T08:00:00"/>
    <x v="275"/>
    <n v="400"/>
    <x v="2"/>
    <m/>
  </r>
  <r>
    <d v="2025-04-01T00:00:00"/>
    <d v="1899-12-30T08:00:00"/>
    <x v="276"/>
    <n v="400"/>
    <x v="2"/>
    <m/>
  </r>
  <r>
    <d v="2025-04-01T00:00:00"/>
    <d v="1899-12-30T08:00:00"/>
    <x v="277"/>
    <n v="435"/>
    <x v="2"/>
    <m/>
  </r>
  <r>
    <d v="2025-04-01T00:00:00"/>
    <d v="1899-12-30T08:00:00"/>
    <x v="278"/>
    <n v="390"/>
    <x v="2"/>
    <m/>
  </r>
  <r>
    <d v="2025-04-01T00:00:00"/>
    <d v="1899-12-30T08:00:00"/>
    <x v="279"/>
    <n v="445"/>
    <x v="0"/>
    <m/>
  </r>
  <r>
    <d v="2025-04-01T00:00:00"/>
    <d v="1899-12-30T08:00:00"/>
    <x v="280"/>
    <n v="330"/>
    <x v="2"/>
    <m/>
  </r>
  <r>
    <d v="2025-04-01T00:00:00"/>
    <d v="1899-12-30T08:00:00"/>
    <x v="281"/>
    <n v="420"/>
    <x v="2"/>
    <m/>
  </r>
  <r>
    <d v="2025-04-01T00:00:00"/>
    <d v="1899-12-30T08:00:00"/>
    <x v="282"/>
    <n v="400"/>
    <x v="2"/>
    <m/>
  </r>
  <r>
    <d v="2025-04-01T00:00:00"/>
    <d v="1899-12-30T08:00:00"/>
    <x v="283"/>
    <n v="340"/>
    <x v="1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BF2BD79-6C80-479A-9151-365904D9ECD2}" name="TablaDinámica21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multipleFieldFilters="0">
  <location ref="D337:E343" firstHeaderRow="1" firstDataRow="1" firstDataCol="1"/>
  <pivotFields count="6">
    <pivotField numFmtId="14" showAll="0"/>
    <pivotField numFmtId="18" showAll="0"/>
    <pivotField dataField="1" showAll="0">
      <items count="28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t="default"/>
      </items>
    </pivotField>
    <pivotField showAll="0"/>
    <pivotField axis="axisRow" showAll="0">
      <items count="6">
        <item x="2"/>
        <item x="1"/>
        <item x="4"/>
        <item x="3"/>
        <item x="0"/>
        <item t="default"/>
      </items>
    </pivotField>
    <pivotField showAll="0"/>
  </pivotFields>
  <rowFields count="1">
    <field x="4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Cuenta de N ANIMAL" fld="2" subtotal="count" baseField="4" baseItem="0"/>
  </dataFields>
  <formats count="6">
    <format dxfId="24">
      <pivotArea type="all" dataOnly="0" outline="0" fieldPosition="0"/>
    </format>
    <format dxfId="23">
      <pivotArea outline="0" collapsedLevelsAreSubtotals="1" fieldPosition="0"/>
    </format>
    <format dxfId="22">
      <pivotArea field="4" type="button" dataOnly="0" labelOnly="1" outline="0" axis="axisRow" fieldPosition="0"/>
    </format>
    <format dxfId="21">
      <pivotArea dataOnly="0" labelOnly="1" fieldPosition="0">
        <references count="1">
          <reference field="4" count="0"/>
        </references>
      </pivotArea>
    </format>
    <format dxfId="20">
      <pivotArea dataOnly="0" labelOnly="1" grandRow="1" outline="0" fieldPosition="0"/>
    </format>
    <format dxfId="19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FCA260DC-8A14-4F32-98AC-A612AA9C1D51}" name="Tabla3511" displayName="Tabla3511" ref="A2:AD10" totalsRowShown="0" headerRowDxfId="135" dataDxfId="133" headerRowBorderDxfId="134" tableBorderDxfId="132">
  <autoFilter ref="A2:AD10" xr:uid="{FCA260DC-8A14-4F32-98AC-A612AA9C1D51}"/>
  <tableColumns count="30">
    <tableColumn id="1" xr3:uid="{17363716-657F-4BB6-A25F-A9143D5438B8}" name="FECHA" dataDxfId="131" totalsRowDxfId="130"/>
    <tableColumn id="2" xr3:uid="{BAC9E004-26AA-406F-9452-FB2EBF13B6EE}" name="CONCEPTO" dataDxfId="129" totalsRowDxfId="128"/>
    <tableColumn id="3" xr3:uid="{B67F7275-F743-408B-83B0-39587E3555DF}" name="DETALLES" dataDxfId="127" totalsRowDxfId="126"/>
    <tableColumn id="4" xr3:uid="{316EC280-F034-4A17-83EB-D98B74E077D5}" name="CANTIDAD" dataDxfId="125" totalsRowDxfId="124"/>
    <tableColumn id="19" xr3:uid="{F4B1157F-27F9-4AA6-93BC-12124064247B}" name="MUERTOS" dataDxfId="123" totalsRowDxfId="122"/>
    <tableColumn id="20" xr3:uid="{176C44B4-1ABE-48A5-807A-4AF440F7763F}" name="CANT NETA" dataDxfId="121" totalsRowDxfId="120">
      <calculatedColumnFormula>Tabla3511[[#This Row],[CANTIDAD]]-Tabla3511[[#This Row],[MUERTOS]]</calculatedColumnFormula>
    </tableColumn>
    <tableColumn id="16" xr3:uid="{7DF4B73B-878E-41E9-BB08-F3E3CDA10075}" name="RINDE" dataDxfId="119" totalsRowDxfId="118"/>
    <tableColumn id="5" xr3:uid="{C93FFA87-F538-4B96-AC4B-D3A116FC1F28}" name="KG POR AN" dataDxfId="117" totalsRowDxfId="116"/>
    <tableColumn id="6" xr3:uid="{59BA2651-F7E2-4A8D-A657-AE7B025BD8C7}" name="KG TOTALES ORIG" dataDxfId="115" totalsRowDxfId="114">
      <calculatedColumnFormula>F3*H3</calculatedColumnFormula>
    </tableColumn>
    <tableColumn id="27" xr3:uid="{AC028655-054A-41AB-BF27-037B30405CF4}" name="KG TOTAL BAL DEST" dataDxfId="113" totalsRowDxfId="112"/>
    <tableColumn id="7" xr3:uid="{9AA1CFF3-C42C-4777-AC94-B5CF78E3B540}" name="PRECIO POR KG" dataDxfId="111" totalsRowDxfId="110" dataCellStyle="Moneda" totalsRowCellStyle="Moneda"/>
    <tableColumn id="8" xr3:uid="{3E7CAD66-B5C8-421E-9F1E-9D5BCF328F7B}" name="DESBASTE" dataDxfId="109" totalsRowDxfId="108">
      <calculatedColumnFormula>Tabla3511[[#This Row],[KG TOTALES ORIG]]/Tabla3511[[#This Row],[KG TOTAL BAL DEST]]-1</calculatedColumnFormula>
    </tableColumn>
    <tableColumn id="9" xr3:uid="{1FA42E34-51C3-4965-AAB5-71AD9FE61C9B}" name="TOTAL" dataDxfId="107" totalsRowDxfId="106" dataCellStyle="Moneda" totalsRowCellStyle="Moneda"/>
    <tableColumn id="10" xr3:uid="{1875CFB8-45D2-413F-86B6-EFC88DD94CE0}" name="EFECTIVO" dataDxfId="105" totalsRowDxfId="104"/>
    <tableColumn id="11" xr3:uid="{7282BF84-BE6D-495C-9F37-524A9697153F}" name="IMPORTE BRUTO" dataDxfId="103">
      <calculatedColumnFormula>M3-N3</calculatedColumnFormula>
    </tableColumn>
    <tableColumn id="28" xr3:uid="{9E381B2F-9643-4F75-A304-B2D88ADC2C19}" name="COMISIONES" dataDxfId="102"/>
    <tableColumn id="22" xr3:uid="{DF8896B0-7D70-4F47-892A-FF7903AE4C40}" name="GASTOS ADM" dataDxfId="101" totalsRowDxfId="100"/>
    <tableColumn id="12" xr3:uid="{D28EE04C-B527-4727-ACDD-E86B066350F4}" name="IVA 10,5" dataDxfId="99" totalsRowDxfId="98"/>
    <tableColumn id="30" xr3:uid="{69B433C5-C682-467B-9F5C-2D30DBC22C13}" name="Semovientes Bs.As. ag.4-88-0003-9" dataDxfId="97" totalsRowDxfId="96"/>
    <tableColumn id="29" xr3:uid="{4EB7CB2B-5814-4886-A4D7-03FEA3D6C153}" name="Derecho Registro" dataDxfId="95" totalsRowDxfId="94"/>
    <tableColumn id="24" xr3:uid="{1A9D76AB-2827-4FE6-9C22-27757250FBCD}" name="GUIAS" dataDxfId="93" totalsRowDxfId="92"/>
    <tableColumn id="17" xr3:uid="{01CEAE41-C724-44C6-95FF-E0A1DC7A26E4}" name="IMPORT NETO" dataDxfId="91" totalsRowDxfId="90"/>
    <tableColumn id="21" xr3:uid="{5CC1EC1E-8C3F-435E-A047-5AA626B5C490}" name="RETENCIONES" dataDxfId="89" totalsRowDxfId="88"/>
    <tableColumn id="23" xr3:uid="{BD581D1E-7BA8-4CD5-B896-405A2BDFB9EB}" name="NOTA CRED" dataDxfId="87" totalsRowDxfId="86"/>
    <tableColumn id="13" xr3:uid="{7740B948-82C1-4489-8B24-A06E91585666}" name="TOTAL A LIQUIDAR" dataDxfId="85" totalsRowDxfId="84"/>
    <tableColumn id="14" xr3:uid="{C81D7BF5-AE19-45C0-B299-C5B462B14268}" name="PLAZO " dataDxfId="83" totalsRowDxfId="82"/>
    <tableColumn id="15" xr3:uid="{29E2471C-6D16-445E-A01B-BF7AFE5FEF87}" name="PROVEEDOR" dataDxfId="81"/>
    <tableColumn id="25" xr3:uid="{D7A0BAC2-98E5-4CCB-9C68-F43E3289DB2C}" name="ORIGEN" dataDxfId="80"/>
    <tableColumn id="31" xr3:uid="{89972C56-0432-48DE-B93F-60BC82142272}" name="N COMPROB" dataDxfId="79"/>
    <tableColumn id="18" xr3:uid="{FD123652-A8FB-4333-8A2F-9859BCEC9B70}" name="ESTADO" dataDxfId="78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5423D8C8-3BC8-4B39-98B2-A4EF28441135}" name="Tabla4" displayName="Tabla4" ref="A2:AF20" totalsRowShown="0" headerRowDxfId="77" dataDxfId="75" headerRowBorderDxfId="76" tableBorderDxfId="74">
  <autoFilter ref="A2:AF20" xr:uid="{5423D8C8-3BC8-4B39-98B2-A4EF28441135}"/>
  <tableColumns count="32">
    <tableColumn id="1" xr3:uid="{43930045-3820-4EC4-9759-EDD377E2F550}" name="FECHA" dataDxfId="73"/>
    <tableColumn id="2" xr3:uid="{03D3C845-71A7-411C-9728-C244979F4BFF}" name="CONCEPTO" dataDxfId="72"/>
    <tableColumn id="3" xr3:uid="{997ACBF2-730E-423E-B5E3-6CC623C84B87}" name="DETALLES" dataDxfId="71"/>
    <tableColumn id="4" xr3:uid="{CF1593BA-9CD2-40E4-8E71-9072F6A6AA20}" name="CANTIDAD" dataDxfId="70"/>
    <tableColumn id="5" xr3:uid="{BCAB17F4-E213-4CAE-914E-A90B75DD6718}" name="MUERTOS" dataDxfId="69"/>
    <tableColumn id="6" xr3:uid="{55010578-491E-4967-8B34-8F6447BAC4AE}" name="CANT NETA" dataDxfId="68"/>
    <tableColumn id="7" xr3:uid="{189F8973-EEA7-437F-A47E-6F551971058F}" name="RINDE" dataDxfId="67"/>
    <tableColumn id="8" xr3:uid="{BE1D1B65-4594-45DC-8622-2F7385B17857}" name="KG POR AN" dataDxfId="66"/>
    <tableColumn id="9" xr3:uid="{D284F524-7651-4402-A3EB-E80A96F30548}" name="KG TOTALES ORIG" dataDxfId="65"/>
    <tableColumn id="10" xr3:uid="{47DE7645-E5BA-4FAD-A6EA-CC1A4B677CEF}" name="KG TOTAL BAL DEST" dataDxfId="64"/>
    <tableColumn id="32" xr3:uid="{639F8771-74F3-4B98-B6CB-694B697EA95A}" name="KG DE CARNE" dataDxfId="63"/>
    <tableColumn id="11" xr3:uid="{C9822252-8586-4A09-85A5-826A28211416}" name="PRECIO POR KG" dataDxfId="62"/>
    <tableColumn id="12" xr3:uid="{CE68B51D-0BAD-4BF1-91F1-23307C70A065}" name="DESBASTE" dataDxfId="61"/>
    <tableColumn id="13" xr3:uid="{BB4B5C03-6A7F-46F4-AF05-C00E09406BCB}" name="TOTAL" dataDxfId="60"/>
    <tableColumn id="14" xr3:uid="{AD67F68E-DC26-4B11-B25B-B37DF9A5DF8C}" name="EFECTIVO" dataDxfId="59"/>
    <tableColumn id="15" xr3:uid="{CB4E88A6-6DC6-4CB8-812A-A0EF3A3D0BFD}" name="IMPORTE BRUTO" dataDxfId="58"/>
    <tableColumn id="16" xr3:uid="{7190597E-37AE-4141-A213-802F45CE9251}" name="COMISIONES" dataDxfId="57"/>
    <tableColumn id="17" xr3:uid="{6F8FF6E5-1303-48AF-9275-965CB753E0F6}" name="GASTOS ADM" dataDxfId="56"/>
    <tableColumn id="18" xr3:uid="{0C3D2471-4258-4E37-8E21-EFA1677E48AB}" name="IVA 10,5" dataDxfId="55"/>
    <tableColumn id="19" xr3:uid="{E6B6D1A8-40F9-45B0-A4C2-580E95F57484}" name="Semovientes Bs.As. ag.4-88-0003-9" dataDxfId="54"/>
    <tableColumn id="20" xr3:uid="{3EFAAD9C-BFF7-4813-B6B9-0682EFAA7792}" name="Derecho Registro" dataDxfId="53"/>
    <tableColumn id="30" xr3:uid="{F55FCE4C-0203-4F0D-94D6-6CF642A5F9AA}" name="GUIAS" dataDxfId="52"/>
    <tableColumn id="21" xr3:uid="{7CD1C564-AB65-455E-B9B1-AB4B3484CD10}" name="IMPORT NETO" dataDxfId="51"/>
    <tableColumn id="22" xr3:uid="{3F2047A5-3B11-4C48-93BC-B42B8E056196}" name="RETENCIONES" dataDxfId="50"/>
    <tableColumn id="23" xr3:uid="{0AF78218-4B34-4A18-B7BB-147F84AD0CDC}" name="NOTA CRED" dataDxfId="49"/>
    <tableColumn id="24" xr3:uid="{D47FD654-B9E5-4CAB-A32E-E0A80414F899}" name="TOTAL A LIQUIDAR" dataDxfId="48"/>
    <tableColumn id="25" xr3:uid="{811453C9-1229-490C-8ED8-D81367FD3945}" name="PLAZO " dataDxfId="47"/>
    <tableColumn id="26" xr3:uid="{4D753ECC-411C-47E8-9CB2-EB15046A6E05}" name="PROVEEDOR" dataDxfId="46"/>
    <tableColumn id="27" xr3:uid="{4BC2DBC8-5BD7-4BF0-9755-BCFAF5C694BA}" name="ORIGEN" dataDxfId="45"/>
    <tableColumn id="28" xr3:uid="{B524C3CC-C317-4AEC-AD03-B0CE0A2B2A22}" name="N COMPROB" dataDxfId="44"/>
    <tableColumn id="29" xr3:uid="{BF97D227-2634-43B5-9E0F-1F00B2E25F55}" name="ESTADO" dataDxfId="43"/>
    <tableColumn id="31" xr3:uid="{1F8E1CD8-581D-4408-8104-1922D0EF8EED}" name="CORTE" dataDxfId="42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DF9AB892-E537-4BC0-BC78-4E62D0EC1035}" name="Tabla610" displayName="Tabla610" ref="A2:AH17" totalsRowShown="0" headerRowDxfId="172" dataDxfId="171" tableBorderDxfId="170">
  <autoFilter ref="A2:AH17" xr:uid="{DF9AB892-E537-4BC0-BC78-4E62D0EC1035}"/>
  <tableColumns count="34">
    <tableColumn id="1" xr3:uid="{AD2D62AD-4474-4761-80CF-677901AF42A2}" name="FECHA" dataDxfId="169"/>
    <tableColumn id="2" xr3:uid="{B5AF55B1-57F7-4F9A-89FF-E4B7CB014EE2}" name="CONCEPTO" dataDxfId="168"/>
    <tableColumn id="3" xr3:uid="{7817FF31-AD99-437F-824D-6CA972963C96}" name="DETALLES" dataDxfId="167"/>
    <tableColumn id="4" xr3:uid="{278C9814-EA0F-4029-B7C3-40F9E1A53BB0}" name="CANTIDAD" dataDxfId="166"/>
    <tableColumn id="5" xr3:uid="{2E99CF6D-AD49-4EA8-AB5A-C0ECBFB0FC8A}" name="MUERTOS" dataDxfId="165"/>
    <tableColumn id="6" xr3:uid="{EF8E7709-979E-4650-AABB-C5AAC45C0BCA}" name="CANT NETA" dataDxfId="164">
      <calculatedColumnFormula>D3-E3</calculatedColumnFormula>
    </tableColumn>
    <tableColumn id="7" xr3:uid="{9009446B-C06C-4BF6-976A-5747AE42AE18}" name="RINDE" dataDxfId="163"/>
    <tableColumn id="8" xr3:uid="{99A2F5FE-6C26-441E-A233-5FC238EB0717}" name="KG POR AN" dataDxfId="162"/>
    <tableColumn id="9" xr3:uid="{A8FD0CA0-CA9B-4125-B404-915651EB4327}" name="KG TOTALES ORIG" dataDxfId="161"/>
    <tableColumn id="10" xr3:uid="{3712AF78-8BB8-4065-83D6-D74AE0793F6C}" name="KG TOTAL BAL DEST" dataDxfId="160"/>
    <tableColumn id="35" xr3:uid="{5FADE87B-4CAD-4258-8506-BD92C631A591}" name="KG DE CARNE" dataDxfId="159"/>
    <tableColumn id="11" xr3:uid="{80501FA8-708A-4B83-AC1F-A4FB6A62B6E2}" name="PRECIO POR KG" dataDxfId="158"/>
    <tableColumn id="12" xr3:uid="{9FC38030-8FD5-4B6D-AC24-BF4D67C4937D}" name="DESBASTE" dataDxfId="157"/>
    <tableColumn id="13" xr3:uid="{8C95040E-8524-45DF-92C3-8EC7C0141DA4}" name="TOTAL" dataDxfId="156" dataCellStyle="Moneda">
      <calculatedColumnFormula>J3*L3</calculatedColumnFormula>
    </tableColumn>
    <tableColumn id="14" xr3:uid="{54A7C69D-348A-4F8D-8A64-3B9D8516DAF0}" name="EFECTIVO" dataDxfId="155"/>
    <tableColumn id="15" xr3:uid="{4A91498A-DE9E-44CC-BEBB-6DAA498927DB}" name="IMPORTE BRUTO" dataDxfId="154" dataCellStyle="Moneda">
      <calculatedColumnFormula>N3-O3</calculatedColumnFormula>
    </tableColumn>
    <tableColumn id="16" xr3:uid="{B86D5C52-E7DF-4681-B9F2-C465231F8343}" name="COMISIONES" dataDxfId="153"/>
    <tableColumn id="17" xr3:uid="{C16432BF-CC97-4C35-823B-2FE283852497}" name="GASTOS ADM" dataDxfId="152"/>
    <tableColumn id="18" xr3:uid="{3478932E-8329-4B1E-B8C7-8846F5AB28D4}" name="IVA 10,5" dataDxfId="151"/>
    <tableColumn id="19" xr3:uid="{96EDF21F-83CB-4806-A1C6-C9D69FFA9D3A}" name="Semovientes Bs.As. ag.4-88-0003-9" dataDxfId="150"/>
    <tableColumn id="20" xr3:uid="{B20BD36C-AA29-4F44-B995-2E7F7D154936}" name="Derecho Registro" dataDxfId="149"/>
    <tableColumn id="21" xr3:uid="{ADF2CDA2-0D53-4378-A003-E15C5DDD3DA3}" name="GUIAS" dataDxfId="148"/>
    <tableColumn id="22" xr3:uid="{3B4B5C56-FCD6-4E9C-A09B-FECE9F072910}" name="IMPORT NETO" dataDxfId="147" dataCellStyle="Moneda">
      <calculatedColumnFormula>P3-Q3-R3+S3+T3-U3-V3</calculatedColumnFormula>
    </tableColumn>
    <tableColumn id="23" xr3:uid="{8433B2F9-B650-457C-9076-9FD7A672966B}" name="RETENCIONES" dataDxfId="146"/>
    <tableColumn id="24" xr3:uid="{8FE2A2EF-7461-45CD-B526-4A7BD0D510C4}" name="NOTA CRED" dataDxfId="145"/>
    <tableColumn id="25" xr3:uid="{44BF2D6B-5F1B-4DDC-BFE0-674B46415DA1}" name="TOTAL A LIQUIDAR" dataDxfId="144">
      <calculatedColumnFormula>W3-X3-Y3</calculatedColumnFormula>
    </tableColumn>
    <tableColumn id="26" xr3:uid="{AAE5A04D-4DD7-49E3-A152-24141DD5B950}" name="PLAZO " dataDxfId="143"/>
    <tableColumn id="27" xr3:uid="{D3A2D70B-5411-4B5F-B0C5-067C2BB46342}" name="PROVEEDOR" dataDxfId="142"/>
    <tableColumn id="28" xr3:uid="{4545E519-DD8D-489C-8234-AE7D096522A0}" name="ORIGEN" dataDxfId="141"/>
    <tableColumn id="29" xr3:uid="{B4E1338B-99CC-45EC-AB78-6122A765ED7A}" name="N COMPROB" dataDxfId="140"/>
    <tableColumn id="30" xr3:uid="{5B42F965-BF0D-4926-AEA0-88208992E460}" name="ESTADO" dataDxfId="139"/>
    <tableColumn id="31" xr3:uid="{B07F8E72-78F5-4034-88BB-B3086FBDF129}" name="CORTE" dataDxfId="138" dataCellStyle="Hipervínculo"/>
    <tableColumn id="32" xr3:uid="{CEBFCA32-2F51-45B3-B8AA-D2C5B1EE5608}" name="FLETES" dataDxfId="137"/>
    <tableColumn id="33" xr3:uid="{656A0810-78A2-49CD-8BA3-F9DE06E4C8FA}" name="MONTO FLETE" dataDxfId="136"/>
  </tableColumns>
  <tableStyleInfo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2D6BB85C-6549-4EBC-8452-566AFF905FCA}" name="Tabla16" displayName="Tabla16" ref="A1:F6" totalsRowShown="0" headerRowDxfId="41" dataDxfId="39" headerRowBorderDxfId="40">
  <autoFilter ref="A1:F6" xr:uid="{8F5570CC-B9AA-4ABA-97F4-3B2CB32A161C}"/>
  <tableColumns count="6">
    <tableColumn id="1" xr3:uid="{12FD1797-301A-4E88-B8A1-2082CD9B1AF3}" name="FECHA" dataDxfId="38"/>
    <tableColumn id="2" xr3:uid="{7A78F05A-9A82-4D6C-8CF6-C1B8C1435013}" name="TRATAMIENTO" dataDxfId="37"/>
    <tableColumn id="4" xr3:uid="{5F30E2D5-CDE4-4BF0-9422-9E603BD6CECE}" name="INSUMOS" dataDxfId="36"/>
    <tableColumn id="5" xr3:uid="{34F8E72E-F07C-423F-9B12-862635E94B40}" name="DIAS DE APLICACIÓN" dataDxfId="35"/>
    <tableColumn id="6" xr3:uid="{ABA14602-6F73-4510-B85D-91D631F97802}" name="MOVIMIENTO" dataDxfId="34"/>
    <tableColumn id="3" xr3:uid="{56A518EA-AAE4-4BA7-870A-9826A44BE323}" name="REALIZADOR" dataDxfId="33"/>
  </tableColumns>
  <tableStyleInfo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F10A4EA3-3C93-4845-8ECF-BC9C451DE7BD}" name="Tabla7" displayName="Tabla7" ref="A12:E38" totalsRowShown="0" headerRowDxfId="32" dataDxfId="30" headerRowBorderDxfId="31">
  <autoFilter ref="A12:E38" xr:uid="{F10A4EA3-3C93-4845-8ECF-BC9C451DE7BD}"/>
  <tableColumns count="5">
    <tableColumn id="1" xr3:uid="{79C44790-A918-4ECC-9577-A8E720E09200}" name="FECHA" dataDxfId="29"/>
    <tableColumn id="2" xr3:uid="{67591299-65D5-43F6-A9F1-BC3FED0B9EF6}" name="TROPA" dataDxfId="28"/>
    <tableColumn id="3" xr3:uid="{9BE5A9DA-23F9-4EC8-8240-C003C35B6884}" name="INSUMOS" dataDxfId="27"/>
    <tableColumn id="5" xr3:uid="{592F7FBD-0CB5-4AE5-AEA8-0E8FB59BE4F8}" name="DIAS DE APLICACIÓN" dataDxfId="26"/>
    <tableColumn id="4" xr3:uid="{C83136B4-17E0-4149-84CB-3E16584B07A9}" name="MOVIMIENTO" dataDxfId="25"/>
  </tableColumns>
  <tableStyleInfo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89E974D6-5F0E-4942-94FB-6E3BA6048796}" name="Tabla3" displayName="Tabla3" ref="A1:D44" totalsRowShown="0" headerRowDxfId="18" dataDxfId="17">
  <autoFilter ref="A1:D44" xr:uid="{89E974D6-5F0E-4942-94FB-6E3BA6048796}"/>
  <sortState xmlns:xlrd2="http://schemas.microsoft.com/office/spreadsheetml/2017/richdata2" ref="A2:D44">
    <sortCondition ref="C1:C44"/>
  </sortState>
  <tableColumns count="4">
    <tableColumn id="2" xr3:uid="{B1FAB017-7221-47E7-A1AA-BA94863B22F2}" name="FECHA" dataDxfId="16"/>
    <tableColumn id="3" xr3:uid="{83A7A75A-D7F9-4508-86B8-E976A3341588}" name="HORA" dataDxfId="15"/>
    <tableColumn id="1" xr3:uid="{2D4B10BF-AEBC-458F-9361-AF7924012360}" name="N ANIMALES" dataDxfId="14"/>
    <tableColumn id="4" xr3:uid="{708CC586-71AD-4E96-8508-50D7AA252424}" name="PESO" dataDxfId="13"/>
  </tableColumns>
  <tableStyleInfo name="TableStyleLight1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AD26709-1878-4C8D-AFF3-9F84AD848C2F}" name="Tabla1" displayName="Tabla1" ref="A51:F335" totalsRowShown="0" headerRowDxfId="12" dataDxfId="10" headerRowBorderDxfId="11">
  <autoFilter ref="A51:F335" xr:uid="{7AD26709-1878-4C8D-AFF3-9F84AD848C2F}"/>
  <tableColumns count="6">
    <tableColumn id="1" xr3:uid="{8CC2CF2F-D814-463C-AA38-DC9F862744CF}" name="FECHA" dataDxfId="9"/>
    <tableColumn id="2" xr3:uid="{DB1F4379-FE6A-41AF-AB93-EC5A7266965E}" name="HORA" dataDxfId="8"/>
    <tableColumn id="3" xr3:uid="{288171BA-AF49-4F62-B6AE-069684A71D45}" name="N ANIMAL" dataDxfId="7"/>
    <tableColumn id="4" xr3:uid="{E3C9C538-A515-491F-AE46-D2E8B4CCD460}" name="PESO" dataDxfId="6"/>
    <tableColumn id="5" xr3:uid="{D4361EE1-1898-48EA-9DF3-937626FA8C03}" name="CONDICION" dataDxfId="5"/>
    <tableColumn id="6" xr3:uid="{A1AF970D-9DEF-40F4-9F1A-E69EC33E64EE}" name="ESTADO" dataDxfId="4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hyperlink" Target="LIQUIDACIONES%20COMPRAS\N0016-00023411.pdf" TargetMode="External"/><Relationship Id="rId13" Type="http://schemas.openxmlformats.org/officeDocument/2006/relationships/hyperlink" Target="LIQUIDACIONES%20COMPRAS\N0016-00023416.pdf" TargetMode="External"/><Relationship Id="rId3" Type="http://schemas.openxmlformats.org/officeDocument/2006/relationships/hyperlink" Target="GUIAS%20COMPRA\449.pdf" TargetMode="External"/><Relationship Id="rId7" Type="http://schemas.openxmlformats.org/officeDocument/2006/relationships/hyperlink" Target="LIQUIDACIONES%20COMPRAS\10%2006%202025%20-%200016-00023179.pdf" TargetMode="External"/><Relationship Id="rId12" Type="http://schemas.openxmlformats.org/officeDocument/2006/relationships/hyperlink" Target="LIQUIDACIONES%20COMPRAS\N0016-00023416.pdf" TargetMode="External"/><Relationship Id="rId2" Type="http://schemas.openxmlformats.org/officeDocument/2006/relationships/hyperlink" Target="GUIAS%20COMPRA\453.pdf" TargetMode="External"/><Relationship Id="rId16" Type="http://schemas.openxmlformats.org/officeDocument/2006/relationships/comments" Target="../comments2.xml"/><Relationship Id="rId1" Type="http://schemas.openxmlformats.org/officeDocument/2006/relationships/hyperlink" Target="GUIAS%20COMPRA\459.pdf" TargetMode="External"/><Relationship Id="rId6" Type="http://schemas.openxmlformats.org/officeDocument/2006/relationships/hyperlink" Target="LIQUIDACIONES%20COMPRAS\10%2006%202025%20-%200016-00023179.pdf" TargetMode="External"/><Relationship Id="rId11" Type="http://schemas.openxmlformats.org/officeDocument/2006/relationships/hyperlink" Target="LIQUIDACIONES%20COMPRAS\N0016-00023384.pdf" TargetMode="External"/><Relationship Id="rId5" Type="http://schemas.openxmlformats.org/officeDocument/2006/relationships/hyperlink" Target="LIQUIDACIONES%20COMPRAS\10%2006%202025%20-%200016-00023179.pdf" TargetMode="External"/><Relationship Id="rId15" Type="http://schemas.openxmlformats.org/officeDocument/2006/relationships/table" Target="../tables/table3.xml"/><Relationship Id="rId10" Type="http://schemas.openxmlformats.org/officeDocument/2006/relationships/hyperlink" Target="LIQUIDACIONES%20COMPRAS\N0016-00023384.pdf" TargetMode="External"/><Relationship Id="rId4" Type="http://schemas.openxmlformats.org/officeDocument/2006/relationships/hyperlink" Target="LIQUIDACIONES%20COMPRAS\g%20&amp;%20e%206021.pdf" TargetMode="External"/><Relationship Id="rId9" Type="http://schemas.openxmlformats.org/officeDocument/2006/relationships/hyperlink" Target="LIQUIDACIONES%20COMPRAS\N0016-00023401.pdf" TargetMode="External"/><Relationship Id="rId14" Type="http://schemas.openxmlformats.org/officeDocument/2006/relationships/vmlDrawing" Target="../drawings/vmlDrawing2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Relationship Id="rId4" Type="http://schemas.openxmlformats.org/officeDocument/2006/relationships/ctrlProp" Target="../ctrlProps/ctrlProp1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rinterSettings" Target="../printerSettings/printerSettings3.bin"/><Relationship Id="rId1" Type="http://schemas.openxmlformats.org/officeDocument/2006/relationships/pivotTable" Target="../pivotTables/pivotTable1.xml"/><Relationship Id="rId5" Type="http://schemas.openxmlformats.org/officeDocument/2006/relationships/table" Target="../tables/table7.xml"/><Relationship Id="rId4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C9A216-77E8-4BCD-B574-9C0A97F2B53F}">
  <dimension ref="A1:AD10"/>
  <sheetViews>
    <sheetView tabSelected="1" workbookViewId="0">
      <selection activeCell="H18" sqref="H18"/>
    </sheetView>
  </sheetViews>
  <sheetFormatPr baseColWidth="10" defaultRowHeight="15" x14ac:dyDescent="0.25"/>
  <cols>
    <col min="15" max="15" width="14.85546875" bestFit="1" customWidth="1"/>
    <col min="16" max="16" width="16" bestFit="1" customWidth="1"/>
    <col min="17" max="17" width="12.7109375" bestFit="1" customWidth="1"/>
    <col min="18" max="18" width="13.85546875" bestFit="1" customWidth="1"/>
    <col min="19" max="19" width="15.140625" bestFit="1" customWidth="1"/>
    <col min="20" max="20" width="13" bestFit="1" customWidth="1"/>
    <col min="21" max="21" width="11.28515625" bestFit="1" customWidth="1"/>
    <col min="22" max="22" width="14.85546875" bestFit="1" customWidth="1"/>
    <col min="23" max="24" width="15.7109375" bestFit="1" customWidth="1"/>
    <col min="25" max="25" width="14.85546875" bestFit="1" customWidth="1"/>
    <col min="26" max="26" width="11.28515625" bestFit="1" customWidth="1"/>
    <col min="27" max="27" width="21.7109375" bestFit="1" customWidth="1"/>
    <col min="28" max="28" width="12.5703125" bestFit="1" customWidth="1"/>
    <col min="29" max="29" width="14.85546875" bestFit="1" customWidth="1"/>
    <col min="30" max="30" width="12.5703125" bestFit="1" customWidth="1"/>
  </cols>
  <sheetData>
    <row r="1" spans="1:30" x14ac:dyDescent="0.25">
      <c r="A1" s="35">
        <v>2024</v>
      </c>
      <c r="B1" s="12" t="s">
        <v>121</v>
      </c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</row>
    <row r="2" spans="1:30" ht="60" x14ac:dyDescent="0.25">
      <c r="A2" s="33" t="s">
        <v>5</v>
      </c>
      <c r="B2" s="34" t="s">
        <v>45</v>
      </c>
      <c r="C2" s="34" t="s">
        <v>4</v>
      </c>
      <c r="D2" s="34" t="s">
        <v>3</v>
      </c>
      <c r="E2" s="34" t="s">
        <v>44</v>
      </c>
      <c r="F2" s="34" t="s">
        <v>43</v>
      </c>
      <c r="G2" s="34" t="s">
        <v>42</v>
      </c>
      <c r="H2" s="34" t="s">
        <v>41</v>
      </c>
      <c r="I2" s="34" t="s">
        <v>40</v>
      </c>
      <c r="J2" s="34" t="s">
        <v>39</v>
      </c>
      <c r="K2" s="34" t="s">
        <v>38</v>
      </c>
      <c r="L2" s="34" t="s">
        <v>37</v>
      </c>
      <c r="M2" s="34" t="s">
        <v>36</v>
      </c>
      <c r="N2" s="34" t="s">
        <v>35</v>
      </c>
      <c r="O2" s="34" t="s">
        <v>34</v>
      </c>
      <c r="P2" s="34" t="s">
        <v>33</v>
      </c>
      <c r="Q2" s="34" t="s">
        <v>32</v>
      </c>
      <c r="R2" s="34" t="s">
        <v>31</v>
      </c>
      <c r="S2" s="34" t="s">
        <v>30</v>
      </c>
      <c r="T2" s="34" t="s">
        <v>29</v>
      </c>
      <c r="U2" s="34" t="s">
        <v>49</v>
      </c>
      <c r="V2" s="34" t="s">
        <v>28</v>
      </c>
      <c r="W2" s="34" t="s">
        <v>2</v>
      </c>
      <c r="X2" s="34" t="s">
        <v>27</v>
      </c>
      <c r="Y2" s="34" t="s">
        <v>26</v>
      </c>
      <c r="Z2" s="34" t="s">
        <v>25</v>
      </c>
      <c r="AA2" s="34" t="s">
        <v>1</v>
      </c>
      <c r="AB2" s="34" t="s">
        <v>24</v>
      </c>
      <c r="AC2" s="34" t="s">
        <v>23</v>
      </c>
      <c r="AD2" s="34" t="s">
        <v>22</v>
      </c>
    </row>
    <row r="3" spans="1:30" x14ac:dyDescent="0.25">
      <c r="A3" s="3">
        <v>45322</v>
      </c>
      <c r="B3" s="4" t="s">
        <v>0</v>
      </c>
      <c r="C3" s="4" t="s">
        <v>11</v>
      </c>
      <c r="D3" s="4">
        <v>20</v>
      </c>
      <c r="E3" s="4"/>
      <c r="F3" s="4">
        <f>Tabla3511[[#This Row],[CANTIDAD]]-Tabla3511[[#This Row],[MUERTOS]]</f>
        <v>20</v>
      </c>
      <c r="G3" s="4"/>
      <c r="H3" s="5">
        <v>439</v>
      </c>
      <c r="I3" s="6">
        <f>F3*H3</f>
        <v>8780</v>
      </c>
      <c r="J3" s="6">
        <v>8165</v>
      </c>
      <c r="K3" s="7">
        <v>1610</v>
      </c>
      <c r="L3" s="8">
        <f>Tabla3511[[#This Row],[KG TOTALES ORIG]]/Tabla3511[[#This Row],[KG TOTAL BAL DEST]]-1</f>
        <v>7.5321494182486237E-2</v>
      </c>
      <c r="M3" s="7">
        <f>I3*K3*(1-L3)</f>
        <v>13071070.422535211</v>
      </c>
      <c r="N3" s="7">
        <v>2531150</v>
      </c>
      <c r="O3" s="7">
        <f t="shared" ref="O3:O10" si="0">M3-N3</f>
        <v>10539920.422535211</v>
      </c>
      <c r="P3" s="7"/>
      <c r="Q3" s="9"/>
      <c r="R3" s="9">
        <f>O3*0.105</f>
        <v>1106691.6443661971</v>
      </c>
      <c r="S3" s="9"/>
      <c r="T3" s="9"/>
      <c r="U3" s="9"/>
      <c r="V3" s="10">
        <f>Tabla3511[[#This Row],[IMPORTE BRUTO]]+Tabla3511[[#This Row],[IVA 10,5]]-Tabla3511[[#This Row],[RETENCIONES]]</f>
        <v>11646612.066901408</v>
      </c>
      <c r="W3" s="9"/>
      <c r="X3" s="9"/>
      <c r="Y3" s="11">
        <f>R3+M3</f>
        <v>14177762.066901408</v>
      </c>
      <c r="Z3" s="4"/>
      <c r="AA3" s="12"/>
      <c r="AB3" s="12" t="s">
        <v>10</v>
      </c>
      <c r="AC3" s="12"/>
      <c r="AD3" s="12" t="s">
        <v>12</v>
      </c>
    </row>
    <row r="4" spans="1:30" x14ac:dyDescent="0.25">
      <c r="A4" s="13">
        <v>45391</v>
      </c>
      <c r="B4" s="14" t="s">
        <v>0</v>
      </c>
      <c r="C4" s="14" t="s">
        <v>11</v>
      </c>
      <c r="D4" s="14">
        <v>38</v>
      </c>
      <c r="E4" s="14"/>
      <c r="F4" s="14">
        <f>Tabla3511[[#This Row],[CANTIDAD]]-Tabla3511[[#This Row],[MUERTOS]]</f>
        <v>38</v>
      </c>
      <c r="G4" s="14"/>
      <c r="H4" s="15">
        <v>456.18421052631578</v>
      </c>
      <c r="I4" s="16">
        <v>18640</v>
      </c>
      <c r="J4" s="16">
        <f>F4*H4</f>
        <v>17335</v>
      </c>
      <c r="K4" s="17">
        <v>1520</v>
      </c>
      <c r="L4" s="18">
        <f>Tabla3511[[#This Row],[KG TOTALES ORIG]]/Tabla3511[[#This Row],[KG TOTAL BAL DEST]]-1</f>
        <v>7.5281222959330929E-2</v>
      </c>
      <c r="M4" s="17">
        <f>J4*K4</f>
        <v>26349200</v>
      </c>
      <c r="N4" s="17">
        <v>6587300</v>
      </c>
      <c r="O4" s="17">
        <f t="shared" si="0"/>
        <v>19761900</v>
      </c>
      <c r="P4" s="17"/>
      <c r="Q4" s="19"/>
      <c r="R4" s="19">
        <f t="shared" ref="R4:R9" si="1">M4*0.105</f>
        <v>2766666</v>
      </c>
      <c r="S4" s="19"/>
      <c r="T4" s="19"/>
      <c r="U4" s="19"/>
      <c r="V4" s="10">
        <f>Tabla3511[[#This Row],[TOTAL]]+Tabla3511[[#This Row],[IVA 10,5]]</f>
        <v>29115866</v>
      </c>
      <c r="W4" s="19">
        <v>522504</v>
      </c>
      <c r="X4" s="19"/>
      <c r="Y4" s="10">
        <f>Tabla3511[[#This Row],[IMPORT NETO]]-Tabla3511[[#This Row],[RETENCIONES]]-Tabla3511[[#This Row],[NOTA CRED]]</f>
        <v>28593362</v>
      </c>
      <c r="Z4" s="14"/>
      <c r="AA4" s="20" t="s">
        <v>7</v>
      </c>
      <c r="AB4" s="20" t="s">
        <v>10</v>
      </c>
      <c r="AC4" s="20" t="s">
        <v>21</v>
      </c>
      <c r="AD4" s="20" t="s">
        <v>12</v>
      </c>
    </row>
    <row r="5" spans="1:30" x14ac:dyDescent="0.25">
      <c r="A5" s="21">
        <v>45422</v>
      </c>
      <c r="B5" s="22" t="s">
        <v>0</v>
      </c>
      <c r="C5" s="22" t="s">
        <v>11</v>
      </c>
      <c r="D5" s="22">
        <v>45</v>
      </c>
      <c r="E5" s="22"/>
      <c r="F5" s="22">
        <f>Tabla3511[[#This Row],[CANTIDAD]]-Tabla3511[[#This Row],[MUERTOS]]</f>
        <v>45</v>
      </c>
      <c r="G5" s="22"/>
      <c r="H5" s="23">
        <f>Tabla3511[[#This Row],[KG TOTAL BAL DEST]]/Tabla3511[[#This Row],[CANT NETA]]</f>
        <v>457.95555555555558</v>
      </c>
      <c r="I5" s="24">
        <v>22400</v>
      </c>
      <c r="J5" s="24">
        <v>20608</v>
      </c>
      <c r="K5" s="25">
        <v>1353</v>
      </c>
      <c r="L5" s="26">
        <f>Tabla3511[[#This Row],[KG TOTALES ORIG]]/Tabla3511[[#This Row],[KG TOTAL BAL DEST]]-1</f>
        <v>8.6956521739130377E-2</v>
      </c>
      <c r="M5" s="25">
        <f>J5*K5</f>
        <v>27882624</v>
      </c>
      <c r="N5" s="27">
        <v>11272576</v>
      </c>
      <c r="O5" s="27">
        <f t="shared" si="0"/>
        <v>16610048</v>
      </c>
      <c r="P5" s="27"/>
      <c r="Q5" s="27"/>
      <c r="R5" s="27">
        <f t="shared" si="1"/>
        <v>2927675.52</v>
      </c>
      <c r="S5" s="27"/>
      <c r="T5" s="27"/>
      <c r="U5" s="27"/>
      <c r="V5" s="19">
        <f>Tabla3511[[#This Row],[IMPORTE BRUTO]]+Tabla3511[[#This Row],[IVA 10,5]]-Tabla3511[[#This Row],[RETENCIONES]]-Tabla3511[[#This Row],[COMISIONES]]</f>
        <v>19537723.52</v>
      </c>
      <c r="W5" s="27"/>
      <c r="X5" s="27"/>
      <c r="Y5" s="28">
        <f>R5+M5</f>
        <v>30810299.52</v>
      </c>
      <c r="Z5" s="29" t="s">
        <v>19</v>
      </c>
      <c r="AA5" s="30" t="s">
        <v>7</v>
      </c>
      <c r="AB5" s="30" t="s">
        <v>10</v>
      </c>
      <c r="AC5" s="30" t="s">
        <v>20</v>
      </c>
      <c r="AD5" s="30" t="s">
        <v>12</v>
      </c>
    </row>
    <row r="6" spans="1:30" x14ac:dyDescent="0.25">
      <c r="A6" s="13">
        <v>45426</v>
      </c>
      <c r="B6" s="14" t="s">
        <v>0</v>
      </c>
      <c r="C6" s="14" t="s">
        <v>11</v>
      </c>
      <c r="D6" s="14">
        <v>45</v>
      </c>
      <c r="E6" s="14"/>
      <c r="F6" s="14">
        <f>Tabla3511[[#This Row],[CANTIDAD]]-Tabla3511[[#This Row],[MUERTOS]]</f>
        <v>45</v>
      </c>
      <c r="G6" s="14"/>
      <c r="H6" s="15">
        <v>458</v>
      </c>
      <c r="I6" s="16">
        <v>22400</v>
      </c>
      <c r="J6" s="16">
        <v>20608</v>
      </c>
      <c r="K6" s="17">
        <v>1900</v>
      </c>
      <c r="L6" s="18">
        <f>Tabla3511[[#This Row],[KG TOTALES ORIG]]/Tabla3511[[#This Row],[KG TOTAL BAL DEST]]-1</f>
        <v>8.6956521739130377E-2</v>
      </c>
      <c r="M6" s="17">
        <f>I6*K6/(1+L6)</f>
        <v>39155200</v>
      </c>
      <c r="N6" s="19"/>
      <c r="O6" s="31">
        <f t="shared" si="0"/>
        <v>39155200</v>
      </c>
      <c r="P6" s="19"/>
      <c r="Q6" s="19"/>
      <c r="R6" s="19">
        <f t="shared" si="1"/>
        <v>4111296</v>
      </c>
      <c r="S6" s="19"/>
      <c r="T6" s="19"/>
      <c r="U6" s="19"/>
      <c r="V6" s="19">
        <f>Tabla3511[[#This Row],[IMPORTE BRUTO]]+Tabla3511[[#This Row],[IVA 10,5]]-Tabla3511[[#This Row],[RETENCIONES]]-Tabla3511[[#This Row],[COMISIONES]]</f>
        <v>43266496</v>
      </c>
      <c r="W6" s="19"/>
      <c r="X6" s="19"/>
      <c r="Y6" s="10">
        <f>Tabla3511[[#This Row],[IMPORT NETO]]-Tabla3511[[#This Row],[RETENCIONES]]-Tabla3511[[#This Row],[NOTA CRED]]</f>
        <v>43266496</v>
      </c>
      <c r="Z6" s="32" t="s">
        <v>19</v>
      </c>
      <c r="AA6" s="20" t="s">
        <v>7</v>
      </c>
      <c r="AB6" s="20" t="s">
        <v>10</v>
      </c>
      <c r="AC6" s="20" t="s">
        <v>18</v>
      </c>
      <c r="AD6" s="20" t="s">
        <v>12</v>
      </c>
    </row>
    <row r="7" spans="1:30" x14ac:dyDescent="0.25">
      <c r="A7" s="13">
        <v>45439</v>
      </c>
      <c r="B7" s="14" t="s">
        <v>0</v>
      </c>
      <c r="C7" s="14" t="s">
        <v>11</v>
      </c>
      <c r="D7" s="14">
        <v>55</v>
      </c>
      <c r="E7" s="14"/>
      <c r="F7" s="14">
        <f>Tabla3511[[#This Row],[CANTIDAD]]-Tabla3511[[#This Row],[MUERTOS]]</f>
        <v>55</v>
      </c>
      <c r="G7" s="14">
        <v>57.81</v>
      </c>
      <c r="H7" s="15">
        <v>489.45</v>
      </c>
      <c r="I7" s="16">
        <v>27740</v>
      </c>
      <c r="J7" s="16">
        <v>26920</v>
      </c>
      <c r="K7" s="17">
        <v>2023.29</v>
      </c>
      <c r="L7" s="18">
        <f>Tabla3511[[#This Row],[KG TOTALES ORIG]]/Tabla3511[[#This Row],[KG TOTAL BAL DEST]]-1</f>
        <v>3.0460624071322329E-2</v>
      </c>
      <c r="M7" s="17">
        <f>I7*K7/(1+L7)</f>
        <v>54466966.800000004</v>
      </c>
      <c r="N7" s="19"/>
      <c r="O7" s="19">
        <f t="shared" si="0"/>
        <v>54466966.800000004</v>
      </c>
      <c r="P7" s="19">
        <f>(0.03*Tabla3511[[#This Row],[IMPORTE BRUTO]])*1.105</f>
        <v>1805579.9494200002</v>
      </c>
      <c r="Q7" s="19"/>
      <c r="R7" s="19">
        <f t="shared" si="1"/>
        <v>5719031.5140000004</v>
      </c>
      <c r="S7" s="19"/>
      <c r="T7" s="19"/>
      <c r="U7" s="19"/>
      <c r="V7" s="10">
        <f>Tabla3511[[#This Row],[IMPORTE BRUTO]]+Tabla3511[[#This Row],[IVA 10,5]]-Tabla3511[[#This Row],[RETENCIONES]]-Tabla3511[[#This Row],[COMISIONES]]</f>
        <v>58380418.364580005</v>
      </c>
      <c r="W7" s="19"/>
      <c r="X7" s="19"/>
      <c r="Y7" s="10">
        <f>Tabla3511[[#This Row],[IMPORT NETO]]-Tabla3511[[#This Row],[RETENCIONES]]-Tabla3511[[#This Row],[NOTA CRED]]</f>
        <v>58380418.364580005</v>
      </c>
      <c r="Z7" s="32" t="s">
        <v>17</v>
      </c>
      <c r="AA7" s="20" t="s">
        <v>7</v>
      </c>
      <c r="AB7" s="20" t="s">
        <v>10</v>
      </c>
      <c r="AC7" s="20" t="s">
        <v>16</v>
      </c>
      <c r="AD7" s="20" t="s">
        <v>12</v>
      </c>
    </row>
    <row r="8" spans="1:30" x14ac:dyDescent="0.25">
      <c r="A8" s="13">
        <v>45442</v>
      </c>
      <c r="B8" s="14" t="s">
        <v>0</v>
      </c>
      <c r="C8" s="14" t="s">
        <v>11</v>
      </c>
      <c r="D8" s="14">
        <v>38</v>
      </c>
      <c r="E8" s="14"/>
      <c r="F8" s="14">
        <f>Tabla3511[[#This Row],[CANTIDAD]]-Tabla3511[[#This Row],[MUERTOS]]</f>
        <v>38</v>
      </c>
      <c r="G8" s="14"/>
      <c r="H8" s="15">
        <f>Tabla3511[[#This Row],[KG TOTAL BAL DEST]]/Tabla3511[[#This Row],[CANT NETA]]</f>
        <v>503.94736842105266</v>
      </c>
      <c r="I8" s="16">
        <v>19300</v>
      </c>
      <c r="J8" s="16">
        <v>19150</v>
      </c>
      <c r="K8" s="17">
        <v>2066.7399999999998</v>
      </c>
      <c r="L8" s="18">
        <f>Tabla3511[[#This Row],[KG TOTALES ORIG]]/Tabla3511[[#This Row],[KG TOTAL BAL DEST]]-1</f>
        <v>7.8328981723236879E-3</v>
      </c>
      <c r="M8" s="17">
        <f>I8*K8/(1+L8)</f>
        <v>39578070.999999993</v>
      </c>
      <c r="N8" s="19"/>
      <c r="O8" s="19">
        <f t="shared" si="0"/>
        <v>39578070.999999993</v>
      </c>
      <c r="P8" s="19"/>
      <c r="Q8" s="10"/>
      <c r="R8" s="19">
        <f t="shared" si="1"/>
        <v>4155697.4549999991</v>
      </c>
      <c r="S8" s="19"/>
      <c r="T8" s="19"/>
      <c r="U8" s="19"/>
      <c r="V8" s="10">
        <f>Tabla3511[[#This Row],[IMPORTE BRUTO]]+Tabla3511[[#This Row],[IVA 10,5]]-Tabla3511[[#This Row],[RETENCIONES]]</f>
        <v>43733768.454999991</v>
      </c>
      <c r="W8" s="19"/>
      <c r="X8" s="10"/>
      <c r="Y8" s="10">
        <f>Tabla3511[[#This Row],[IMPORT NETO]]-Tabla3511[[#This Row],[RETENCIONES]]-Tabla3511[[#This Row],[NOTA CRED]]</f>
        <v>43733768.454999991</v>
      </c>
      <c r="Z8" s="32"/>
      <c r="AA8" s="20" t="s">
        <v>14</v>
      </c>
      <c r="AB8" s="20" t="s">
        <v>10</v>
      </c>
      <c r="AC8" s="20" t="s">
        <v>15</v>
      </c>
      <c r="AD8" s="20" t="s">
        <v>12</v>
      </c>
    </row>
    <row r="9" spans="1:30" x14ac:dyDescent="0.25">
      <c r="A9" s="13">
        <v>45447</v>
      </c>
      <c r="B9" s="14" t="s">
        <v>0</v>
      </c>
      <c r="C9" s="14" t="s">
        <v>11</v>
      </c>
      <c r="D9" s="14">
        <v>38</v>
      </c>
      <c r="E9" s="14"/>
      <c r="F9" s="14">
        <f>Tabla3511[[#This Row],[CANTIDAD]]-Tabla3511[[#This Row],[MUERTOS]]</f>
        <v>38</v>
      </c>
      <c r="G9" s="14">
        <v>59.11</v>
      </c>
      <c r="H9" s="15">
        <f>Tabla3511[[#This Row],[KG TOTAL BAL DEST]]/Tabla3511[[#This Row],[CANT NETA]]</f>
        <v>448.15789473684208</v>
      </c>
      <c r="I9" s="16">
        <v>17340</v>
      </c>
      <c r="J9" s="16">
        <v>17030</v>
      </c>
      <c r="K9" s="17">
        <v>2068.9699999999998</v>
      </c>
      <c r="L9" s="18">
        <f>Tabla3511[[#This Row],[KG TOTALES ORIG]]/Tabla3511[[#This Row],[KG TOTAL BAL DEST]]-1</f>
        <v>1.8203170874926622E-2</v>
      </c>
      <c r="M9" s="17">
        <f>I9*K9/(1+L9)</f>
        <v>35234559.099999994</v>
      </c>
      <c r="N9" s="19"/>
      <c r="O9" s="19">
        <f t="shared" si="0"/>
        <v>35234559.099999994</v>
      </c>
      <c r="P9" s="19"/>
      <c r="Q9" s="19"/>
      <c r="R9" s="19">
        <f t="shared" si="1"/>
        <v>3699628.7054999992</v>
      </c>
      <c r="S9" s="19"/>
      <c r="T9" s="19"/>
      <c r="U9" s="19"/>
      <c r="V9" s="10">
        <f>Tabla3511[[#This Row],[IMPORTE BRUTO]]+Tabla3511[[#This Row],[IVA 10,5]]-Tabla3511[[#This Row],[RETENCIONES]]</f>
        <v>38934187.805499993</v>
      </c>
      <c r="W9" s="19"/>
      <c r="X9" s="19"/>
      <c r="Y9" s="10">
        <f>Tabla3511[[#This Row],[IMPORT NETO]]-Tabla3511[[#This Row],[RETENCIONES]]-Tabla3511[[#This Row],[NOTA CRED]]</f>
        <v>38934187.805499993</v>
      </c>
      <c r="Z9" s="32"/>
      <c r="AA9" s="20" t="s">
        <v>14</v>
      </c>
      <c r="AB9" s="20" t="s">
        <v>10</v>
      </c>
      <c r="AC9" s="20" t="s">
        <v>13</v>
      </c>
      <c r="AD9" s="20" t="s">
        <v>12</v>
      </c>
    </row>
    <row r="10" spans="1:30" x14ac:dyDescent="0.25">
      <c r="A10" s="13">
        <v>45474</v>
      </c>
      <c r="B10" s="14" t="s">
        <v>0</v>
      </c>
      <c r="C10" s="14" t="s">
        <v>11</v>
      </c>
      <c r="D10" s="14">
        <v>42</v>
      </c>
      <c r="E10" s="14"/>
      <c r="F10" s="14">
        <f>Tabla3511[[#This Row],[CANTIDAD]]-Tabla3511[[#This Row],[MUERTOS]]</f>
        <v>42</v>
      </c>
      <c r="G10" s="14">
        <v>59.11</v>
      </c>
      <c r="H10" s="15">
        <f>Tabla3511[[#This Row],[KG TOTAL BAL DEST]]/Tabla3511[[#This Row],[CANT NETA]]</f>
        <v>450.47619047619048</v>
      </c>
      <c r="I10" s="16">
        <v>19260</v>
      </c>
      <c r="J10" s="16">
        <v>18920</v>
      </c>
      <c r="K10" s="17">
        <v>2109</v>
      </c>
      <c r="L10" s="18">
        <f>Tabla3511[[#This Row],[KG TOTALES ORIG]]/Tabla3511[[#This Row],[KG TOTAL BAL DEST]]-1</f>
        <v>1.7970401691332016E-2</v>
      </c>
      <c r="M10" s="17">
        <f>I10*K10/(1+L10)</f>
        <v>39902280</v>
      </c>
      <c r="N10" s="19"/>
      <c r="O10" s="19">
        <f t="shared" si="0"/>
        <v>39902280</v>
      </c>
      <c r="P10" s="19">
        <f>598647.72+399098.48</f>
        <v>997746.2</v>
      </c>
      <c r="Q10" s="19">
        <v>990</v>
      </c>
      <c r="R10" s="19">
        <f>(Tabla3511[[#This Row],[IMPORTE BRUTO]]-Tabla3511[[#This Row],[COMISIONES]]-Tabla3511[[#This Row],[GASTOS ADM]])*0.105</f>
        <v>4084872.0989999995</v>
      </c>
      <c r="S10" s="19"/>
      <c r="T10" s="19"/>
      <c r="U10" s="19"/>
      <c r="V10" s="19">
        <f>Tabla3511[[#This Row],[IMPORTE BRUTO]]+Tabla3511[[#This Row],[IVA 10,5]]-Tabla3511[[#This Row],[RETENCIONES]]-Tabla3511[[#This Row],[COMISIONES]]-Tabla3511[[#This Row],[GASTOS ADM]]</f>
        <v>42214673.658999994</v>
      </c>
      <c r="W10" s="19">
        <v>773742.24</v>
      </c>
      <c r="X10" s="19"/>
      <c r="Y10" s="10">
        <f>Tabla3511[[#This Row],[IMPORT NETO]]-Tabla3511[[#This Row],[RETENCIONES]]-Tabla3511[[#This Row],[NOTA CRED]]</f>
        <v>41440931.418999992</v>
      </c>
      <c r="Z10" s="32"/>
      <c r="AA10" s="20"/>
      <c r="AB10" s="20" t="s">
        <v>10</v>
      </c>
      <c r="AC10" s="20"/>
      <c r="AD10" s="20"/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8133D7-64C5-404B-9B4D-2730377AC9BD}">
  <sheetPr>
    <tabColor theme="0"/>
  </sheetPr>
  <dimension ref="A1:AF22"/>
  <sheetViews>
    <sheetView zoomScale="110" zoomScaleNormal="110" workbookViewId="0">
      <selection activeCell="Y11" sqref="Y11"/>
    </sheetView>
  </sheetViews>
  <sheetFormatPr baseColWidth="10" defaultColWidth="11.42578125" defaultRowHeight="15" x14ac:dyDescent="0.25"/>
  <cols>
    <col min="1" max="1" width="9.42578125" customWidth="1"/>
    <col min="2" max="2" width="12.42578125" customWidth="1"/>
    <col min="3" max="3" width="11.42578125" customWidth="1"/>
    <col min="4" max="4" width="12.140625" customWidth="1"/>
    <col min="5" max="5" width="11.7109375" customWidth="1"/>
    <col min="6" max="6" width="13" customWidth="1"/>
    <col min="7" max="7" width="8.28515625" customWidth="1"/>
    <col min="8" max="8" width="9.7109375" customWidth="1"/>
    <col min="9" max="9" width="13.7109375" customWidth="1"/>
    <col min="10" max="10" width="13.140625" customWidth="1"/>
    <col min="11" max="11" width="16.42578125" customWidth="1"/>
    <col min="12" max="12" width="11.85546875" customWidth="1"/>
    <col min="13" max="13" width="15.140625" customWidth="1"/>
    <col min="14" max="14" width="18.42578125" bestFit="1" customWidth="1"/>
    <col min="15" max="15" width="14.85546875" bestFit="1" customWidth="1"/>
    <col min="16" max="16" width="15.5703125" customWidth="1"/>
    <col min="17" max="17" width="15" customWidth="1"/>
    <col min="18" max="18" width="17.5703125" bestFit="1" customWidth="1"/>
    <col min="19" max="19" width="15.140625" customWidth="1"/>
    <col min="20" max="20" width="18" customWidth="1"/>
    <col min="21" max="21" width="13.42578125" customWidth="1"/>
    <col min="22" max="22" width="15.42578125" customWidth="1"/>
    <col min="23" max="23" width="16.42578125" customWidth="1"/>
    <col min="24" max="24" width="15" customWidth="1"/>
    <col min="25" max="26" width="16.85546875" bestFit="1" customWidth="1"/>
    <col min="27" max="27" width="21.42578125" customWidth="1"/>
    <col min="28" max="28" width="16" customWidth="1"/>
    <col min="29" max="29" width="16.42578125" customWidth="1"/>
    <col min="30" max="30" width="16.140625" customWidth="1"/>
    <col min="31" max="31" width="11.28515625" customWidth="1"/>
    <col min="32" max="32" width="16.140625" customWidth="1"/>
    <col min="33" max="34" width="14.7109375" bestFit="1" customWidth="1"/>
  </cols>
  <sheetData>
    <row r="1" spans="1:32" x14ac:dyDescent="0.25">
      <c r="A1" s="36">
        <v>2025</v>
      </c>
      <c r="B1" s="37" t="s">
        <v>122</v>
      </c>
      <c r="C1" s="37"/>
      <c r="D1" s="37"/>
      <c r="E1" s="37"/>
      <c r="F1" s="37"/>
      <c r="G1" s="37"/>
      <c r="H1" s="37"/>
      <c r="I1" s="37"/>
      <c r="J1" s="37"/>
      <c r="K1" s="37" t="s">
        <v>219</v>
      </c>
      <c r="L1" s="260">
        <f>L14/L3</f>
        <v>2.1878888428038157</v>
      </c>
      <c r="M1" s="38"/>
      <c r="N1" s="37"/>
      <c r="O1" s="37"/>
      <c r="P1" s="37"/>
      <c r="Q1" s="37"/>
      <c r="R1" s="37"/>
      <c r="S1" s="37"/>
      <c r="T1" s="37"/>
      <c r="U1" s="37"/>
      <c r="V1" s="37"/>
      <c r="W1" s="37"/>
      <c r="X1" s="39"/>
      <c r="Y1" s="37"/>
      <c r="Z1" s="37"/>
      <c r="AA1" s="37"/>
      <c r="AB1" s="37"/>
      <c r="AC1" s="37"/>
      <c r="AD1" s="37"/>
      <c r="AE1" s="201"/>
    </row>
    <row r="2" spans="1:32" ht="45" x14ac:dyDescent="0.25">
      <c r="A2" s="2" t="s">
        <v>5</v>
      </c>
      <c r="B2" s="2" t="s">
        <v>45</v>
      </c>
      <c r="C2" s="2" t="s">
        <v>4</v>
      </c>
      <c r="D2" s="2" t="s">
        <v>3</v>
      </c>
      <c r="E2" s="2" t="s">
        <v>44</v>
      </c>
      <c r="F2" s="2" t="s">
        <v>43</v>
      </c>
      <c r="G2" s="2" t="s">
        <v>42</v>
      </c>
      <c r="H2" s="2" t="s">
        <v>41</v>
      </c>
      <c r="I2" s="2" t="s">
        <v>40</v>
      </c>
      <c r="J2" s="2" t="s">
        <v>39</v>
      </c>
      <c r="K2" s="2" t="s">
        <v>180</v>
      </c>
      <c r="L2" s="2" t="s">
        <v>38</v>
      </c>
      <c r="M2" s="2" t="s">
        <v>37</v>
      </c>
      <c r="N2" s="2" t="s">
        <v>36</v>
      </c>
      <c r="O2" s="2" t="s">
        <v>35</v>
      </c>
      <c r="P2" s="2" t="s">
        <v>34</v>
      </c>
      <c r="Q2" s="2" t="s">
        <v>33</v>
      </c>
      <c r="R2" s="2" t="s">
        <v>32</v>
      </c>
      <c r="S2" s="2" t="s">
        <v>31</v>
      </c>
      <c r="T2" s="2" t="s">
        <v>30</v>
      </c>
      <c r="U2" s="2" t="s">
        <v>29</v>
      </c>
      <c r="V2" s="2" t="s">
        <v>49</v>
      </c>
      <c r="W2" s="2" t="s">
        <v>28</v>
      </c>
      <c r="X2" s="2" t="s">
        <v>2</v>
      </c>
      <c r="Y2" s="2" t="s">
        <v>27</v>
      </c>
      <c r="Z2" s="2" t="s">
        <v>26</v>
      </c>
      <c r="AA2" s="2" t="s">
        <v>25</v>
      </c>
      <c r="AB2" s="2" t="s">
        <v>1</v>
      </c>
      <c r="AC2" s="2" t="s">
        <v>24</v>
      </c>
      <c r="AD2" s="2" t="s">
        <v>23</v>
      </c>
      <c r="AE2" s="2" t="s">
        <v>22</v>
      </c>
      <c r="AF2" s="2" t="s">
        <v>151</v>
      </c>
    </row>
    <row r="3" spans="1:32" x14ac:dyDescent="0.25">
      <c r="A3" s="237">
        <v>45434</v>
      </c>
      <c r="B3" s="12" t="s">
        <v>9</v>
      </c>
      <c r="C3" s="12" t="s">
        <v>8</v>
      </c>
      <c r="D3" s="12">
        <v>159</v>
      </c>
      <c r="E3" s="12">
        <v>2</v>
      </c>
      <c r="F3" s="238">
        <f>Tabla4[[#This Row],[CANTIDAD]]-Tabla4[[#This Row],[MUERTOS]]</f>
        <v>157</v>
      </c>
      <c r="G3" s="12"/>
      <c r="H3" s="239">
        <f>Tabla4[[#This Row],[KG TOTALES ORIG]]/Tabla4[[#This Row],[CANT NETA]]</f>
        <v>153.59872611464968</v>
      </c>
      <c r="I3" s="217">
        <v>24115</v>
      </c>
      <c r="J3" s="223"/>
      <c r="K3" s="223"/>
      <c r="L3" s="225">
        <v>2411</v>
      </c>
      <c r="M3" s="240"/>
      <c r="N3" s="227">
        <f>Tabla4[[#This Row],[KG TOTALES ORIG]]*Tabla4[[#This Row],[PRECIO POR KG]]</f>
        <v>58141265</v>
      </c>
      <c r="O3" s="227"/>
      <c r="P3" s="227">
        <f>Tabla4[[#This Row],[TOTAL]]</f>
        <v>58141265</v>
      </c>
      <c r="Q3" s="227">
        <v>1453268.5</v>
      </c>
      <c r="R3" s="228">
        <v>127200</v>
      </c>
      <c r="S3" s="228">
        <v>6300195.5300000003</v>
      </c>
      <c r="T3" s="241">
        <v>338262.41</v>
      </c>
      <c r="U3" s="228">
        <v>96646.399999999994</v>
      </c>
      <c r="V3" s="228">
        <v>290653.7</v>
      </c>
      <c r="W3" s="230">
        <f>SUM(Tabla4[[#This Row],[IMPORTE BRUTO]:[GUIAS]])</f>
        <v>66747491.539999999</v>
      </c>
      <c r="X3" s="228"/>
      <c r="Y3" s="228"/>
      <c r="Z3" s="242">
        <f>SUM(Tabla4[[#This Row],[IMPORT NETO]])-SUM(Tabla4[[#This Row],[RETENCIONES]:[NOTA CRED]])</f>
        <v>66747491.539999999</v>
      </c>
      <c r="AA3" s="12" t="s">
        <v>51</v>
      </c>
      <c r="AB3" s="12" t="s">
        <v>7</v>
      </c>
      <c r="AC3" s="12" t="s">
        <v>50</v>
      </c>
      <c r="AD3" s="12" t="s">
        <v>47</v>
      </c>
      <c r="AE3" s="12" t="s">
        <v>48</v>
      </c>
      <c r="AF3" s="199"/>
    </row>
    <row r="4" spans="1:32" x14ac:dyDescent="0.25">
      <c r="A4" s="243">
        <v>45435</v>
      </c>
      <c r="B4" s="20" t="s">
        <v>9</v>
      </c>
      <c r="C4" s="20" t="s">
        <v>8</v>
      </c>
      <c r="D4" s="20">
        <v>139</v>
      </c>
      <c r="E4" s="12"/>
      <c r="F4" s="238">
        <f>Tabla4[[#This Row],[CANTIDAD]]-Tabla4[[#This Row],[MUERTOS]]</f>
        <v>139</v>
      </c>
      <c r="G4" s="20"/>
      <c r="H4" s="239">
        <f>Tabla4[[#This Row],[KG TOTALES ORIG]]/Tabla4[[#This Row],[CANT NETA]]</f>
        <v>163.57553956834533</v>
      </c>
      <c r="I4" s="217">
        <v>22737</v>
      </c>
      <c r="J4" s="217"/>
      <c r="K4" s="217"/>
      <c r="L4" s="225">
        <v>2450</v>
      </c>
      <c r="M4" s="244"/>
      <c r="N4" s="227">
        <f>Tabla4[[#This Row],[KG TOTALES ORIG]]*Tabla4[[#This Row],[PRECIO POR KG]]</f>
        <v>55705650</v>
      </c>
      <c r="O4" s="225"/>
      <c r="P4" s="227">
        <f>Tabla4[[#This Row],[TOTAL]]</f>
        <v>55705650</v>
      </c>
      <c r="Q4" s="225">
        <v>1671169.5</v>
      </c>
      <c r="R4" s="229"/>
      <c r="S4" s="229">
        <v>6024566.0499999998</v>
      </c>
      <c r="T4" s="229">
        <v>324083.63</v>
      </c>
      <c r="U4" s="229">
        <v>92595.32</v>
      </c>
      <c r="V4" s="229"/>
      <c r="W4" s="230">
        <f>SUM(Tabla4[[#This Row],[IMPORTE BRUTO]:[GUIAS]])</f>
        <v>63818064.5</v>
      </c>
      <c r="X4" s="229"/>
      <c r="Y4" s="229"/>
      <c r="Z4" s="242">
        <f>SUM(Tabla4[[#This Row],[IMPORT NETO]])-SUM(Tabla4[[#This Row],[RETENCIONES]:[NOTA CRED]])</f>
        <v>63818064.5</v>
      </c>
      <c r="AA4" s="20" t="s">
        <v>52</v>
      </c>
      <c r="AB4" s="20" t="s">
        <v>7</v>
      </c>
      <c r="AC4" s="20" t="s">
        <v>53</v>
      </c>
      <c r="AD4" s="20" t="s">
        <v>6</v>
      </c>
      <c r="AE4" s="20" t="s">
        <v>48</v>
      </c>
      <c r="AF4" s="199"/>
    </row>
    <row r="5" spans="1:32" x14ac:dyDescent="0.25">
      <c r="A5" s="243">
        <v>45566</v>
      </c>
      <c r="B5" s="20" t="s">
        <v>44</v>
      </c>
      <c r="C5" s="20" t="s">
        <v>8</v>
      </c>
      <c r="D5" s="20"/>
      <c r="E5" s="20">
        <v>1</v>
      </c>
      <c r="F5" s="238">
        <f>Tabla4[[#This Row],[CANTIDAD]]-Tabla4[[#This Row],[MUERTOS]]</f>
        <v>-1</v>
      </c>
      <c r="G5" s="20"/>
      <c r="H5" s="239">
        <v>163.57553956834533</v>
      </c>
      <c r="I5" s="217">
        <f>Tabla4[[#This Row],[KG POR AN]]*Tabla4[[#This Row],[MUERTOS]]</f>
        <v>163.57553956834533</v>
      </c>
      <c r="J5" s="217"/>
      <c r="K5" s="217"/>
      <c r="L5" s="225">
        <v>2450</v>
      </c>
      <c r="M5" s="244"/>
      <c r="N5" s="227">
        <f>Tabla4[[#This Row],[KG TOTALES ORIG]]*Tabla4[[#This Row],[PRECIO POR KG]]</f>
        <v>400760.07194244605</v>
      </c>
      <c r="O5" s="229"/>
      <c r="P5" s="227">
        <f>Tabla4[[#This Row],[TOTAL]]</f>
        <v>400760.07194244605</v>
      </c>
      <c r="Q5" s="229"/>
      <c r="R5" s="229"/>
      <c r="S5" s="229"/>
      <c r="T5" s="229"/>
      <c r="U5" s="229"/>
      <c r="V5" s="229"/>
      <c r="W5" s="230">
        <f>SUM(Tabla4[[#This Row],[IMPORTE BRUTO]:[GUIAS]])</f>
        <v>400760.07194244605</v>
      </c>
      <c r="X5" s="229"/>
      <c r="Y5" s="229"/>
      <c r="Z5" s="242">
        <f>SUM(Tabla4[[#This Row],[IMPORT NETO]])-SUM(Tabla4[[#This Row],[RETENCIONES]:[NOTA CRED]])</f>
        <v>400760.07194244605</v>
      </c>
      <c r="AA5" s="245"/>
      <c r="AB5" s="20"/>
      <c r="AC5" s="20"/>
      <c r="AD5" s="20"/>
      <c r="AE5" s="20"/>
      <c r="AF5" s="199"/>
    </row>
    <row r="6" spans="1:32" x14ac:dyDescent="0.25">
      <c r="A6" s="243">
        <v>45577</v>
      </c>
      <c r="B6" s="20" t="s">
        <v>44</v>
      </c>
      <c r="C6" s="20" t="s">
        <v>8</v>
      </c>
      <c r="D6" s="20"/>
      <c r="E6" s="20">
        <v>1</v>
      </c>
      <c r="F6" s="238">
        <f>Tabla4[[#This Row],[CANTIDAD]]-Tabla4[[#This Row],[MUERTOS]]</f>
        <v>-1</v>
      </c>
      <c r="G6" s="20"/>
      <c r="H6" s="239">
        <v>163.57553956834533</v>
      </c>
      <c r="I6" s="217">
        <f>Tabla4[[#This Row],[KG POR AN]]*Tabla4[[#This Row],[MUERTOS]]</f>
        <v>163.57553956834533</v>
      </c>
      <c r="J6" s="217"/>
      <c r="K6" s="217"/>
      <c r="L6" s="225">
        <v>2450</v>
      </c>
      <c r="M6" s="244"/>
      <c r="N6" s="227">
        <f>Tabla4[[#This Row],[KG TOTALES ORIG]]*Tabla4[[#This Row],[PRECIO POR KG]]</f>
        <v>400760.07194244605</v>
      </c>
      <c r="O6" s="229"/>
      <c r="P6" s="227">
        <f>Tabla4[[#This Row],[TOTAL]]</f>
        <v>400760.07194244605</v>
      </c>
      <c r="Q6" s="229"/>
      <c r="R6" s="229"/>
      <c r="S6" s="229"/>
      <c r="T6" s="229"/>
      <c r="U6" s="229"/>
      <c r="V6" s="229"/>
      <c r="W6" s="230">
        <f>SUM(Tabla4[[#This Row],[IMPORTE BRUTO]:[GUIAS]])</f>
        <v>400760.07194244605</v>
      </c>
      <c r="X6" s="229"/>
      <c r="Y6" s="229"/>
      <c r="Z6" s="242">
        <f>SUM(Tabla4[[#This Row],[IMPORT NETO]])-SUM(Tabla4[[#This Row],[RETENCIONES]:[NOTA CRED]])</f>
        <v>400760.07194244605</v>
      </c>
      <c r="AA6" s="245"/>
      <c r="AB6" s="20"/>
      <c r="AC6" s="20"/>
      <c r="AD6" s="20"/>
      <c r="AE6" s="20"/>
      <c r="AF6" s="199"/>
    </row>
    <row r="7" spans="1:32" x14ac:dyDescent="0.25">
      <c r="A7" s="243">
        <v>45586</v>
      </c>
      <c r="B7" s="20" t="s">
        <v>44</v>
      </c>
      <c r="C7" s="20" t="s">
        <v>8</v>
      </c>
      <c r="D7" s="20"/>
      <c r="E7" s="20">
        <v>1</v>
      </c>
      <c r="F7" s="238">
        <f>Tabla4[[#This Row],[CANTIDAD]]-Tabla4[[#This Row],[MUERTOS]]</f>
        <v>-1</v>
      </c>
      <c r="G7" s="20"/>
      <c r="H7" s="239">
        <v>163.57553956834533</v>
      </c>
      <c r="I7" s="217">
        <f>Tabla4[[#This Row],[KG POR AN]]*Tabla4[[#This Row],[MUERTOS]]</f>
        <v>163.57553956834533</v>
      </c>
      <c r="J7" s="217"/>
      <c r="K7" s="217"/>
      <c r="L7" s="225">
        <v>2450</v>
      </c>
      <c r="M7" s="244"/>
      <c r="N7" s="227">
        <f>Tabla4[[#This Row],[KG TOTALES ORIG]]*Tabla4[[#This Row],[PRECIO POR KG]]</f>
        <v>400760.07194244605</v>
      </c>
      <c r="O7" s="229"/>
      <c r="P7" s="227">
        <f>Tabla4[[#This Row],[TOTAL]]</f>
        <v>400760.07194244605</v>
      </c>
      <c r="Q7" s="229"/>
      <c r="R7" s="229"/>
      <c r="S7" s="229"/>
      <c r="T7" s="229"/>
      <c r="U7" s="229"/>
      <c r="V7" s="229"/>
      <c r="W7" s="230">
        <f>SUM(Tabla4[[#This Row],[IMPORTE BRUTO]:[GUIAS]])</f>
        <v>400760.07194244605</v>
      </c>
      <c r="X7" s="229"/>
      <c r="Y7" s="229"/>
      <c r="Z7" s="242">
        <f>SUM(Tabla4[[#This Row],[IMPORT NETO]])-SUM(Tabla4[[#This Row],[RETENCIONES]:[NOTA CRED]])</f>
        <v>400760.07194244605</v>
      </c>
      <c r="AA7" s="245"/>
      <c r="AB7" s="20"/>
      <c r="AC7" s="20"/>
      <c r="AD7" s="20"/>
      <c r="AE7" s="20"/>
      <c r="AF7" s="199"/>
    </row>
    <row r="8" spans="1:32" x14ac:dyDescent="0.25">
      <c r="A8" s="243">
        <v>45640</v>
      </c>
      <c r="B8" s="20" t="s">
        <v>44</v>
      </c>
      <c r="C8" s="20" t="s">
        <v>8</v>
      </c>
      <c r="D8" s="20"/>
      <c r="E8" s="20">
        <v>1</v>
      </c>
      <c r="F8" s="238">
        <f>Tabla4[[#This Row],[CANTIDAD]]-Tabla4[[#This Row],[MUERTOS]]</f>
        <v>-1</v>
      </c>
      <c r="G8" s="20"/>
      <c r="H8" s="239">
        <v>163.57553956834533</v>
      </c>
      <c r="I8" s="217">
        <f>Tabla4[[#This Row],[KG POR AN]]*Tabla4[[#This Row],[MUERTOS]]</f>
        <v>163.57553956834533</v>
      </c>
      <c r="J8" s="217"/>
      <c r="K8" s="217"/>
      <c r="L8" s="225">
        <v>2451</v>
      </c>
      <c r="M8" s="244"/>
      <c r="N8" s="227">
        <f>Tabla4[[#This Row],[KG TOTALES ORIG]]*Tabla4[[#This Row],[PRECIO POR KG]]</f>
        <v>400923.64748201444</v>
      </c>
      <c r="O8" s="229"/>
      <c r="P8" s="227">
        <f>Tabla4[[#This Row],[TOTAL]]</f>
        <v>400923.64748201444</v>
      </c>
      <c r="Q8" s="229"/>
      <c r="R8" s="229"/>
      <c r="S8" s="229"/>
      <c r="T8" s="229"/>
      <c r="U8" s="229"/>
      <c r="V8" s="229"/>
      <c r="W8" s="230">
        <f>SUM(Tabla4[[#This Row],[IMPORTE BRUTO]:[GUIAS]])</f>
        <v>400923.64748201444</v>
      </c>
      <c r="X8" s="229"/>
      <c r="Y8" s="229"/>
      <c r="Z8" s="242">
        <f>SUM(Tabla4[[#This Row],[IMPORT NETO]])-SUM(Tabla4[[#This Row],[RETENCIONES]:[NOTA CRED]])</f>
        <v>400923.64748201444</v>
      </c>
      <c r="AA8" s="245"/>
      <c r="AB8" s="20"/>
      <c r="AC8" s="20"/>
      <c r="AD8" s="20"/>
      <c r="AE8" s="20"/>
      <c r="AF8" s="199"/>
    </row>
    <row r="9" spans="1:32" x14ac:dyDescent="0.25">
      <c r="A9" s="243">
        <v>45641</v>
      </c>
      <c r="B9" s="20" t="s">
        <v>44</v>
      </c>
      <c r="C9" s="20" t="s">
        <v>11</v>
      </c>
      <c r="D9" s="20"/>
      <c r="E9" s="20">
        <v>4</v>
      </c>
      <c r="F9" s="238">
        <f>Tabla4[[#This Row],[CANTIDAD]]-Tabla4[[#This Row],[MUERTOS]]</f>
        <v>-4</v>
      </c>
      <c r="G9" s="20"/>
      <c r="H9" s="239">
        <v>297.44186046511629</v>
      </c>
      <c r="I9" s="217">
        <f>Tabla4[[#This Row],[KG POR AN]]*Tabla4[[#This Row],[MUERTOS]]</f>
        <v>1189.7674418604652</v>
      </c>
      <c r="J9" s="217"/>
      <c r="K9" s="217"/>
      <c r="L9" s="225">
        <v>2450</v>
      </c>
      <c r="M9" s="244"/>
      <c r="N9" s="227">
        <f>Tabla4[[#This Row],[KG TOTALES ORIG]]*Tabla4[[#This Row],[PRECIO POR KG]]</f>
        <v>2914930.2325581396</v>
      </c>
      <c r="O9" s="229"/>
      <c r="P9" s="227">
        <f>Tabla4[[#This Row],[TOTAL]]</f>
        <v>2914930.2325581396</v>
      </c>
      <c r="Q9" s="229"/>
      <c r="R9" s="229"/>
      <c r="S9" s="229"/>
      <c r="T9" s="229"/>
      <c r="U9" s="229"/>
      <c r="V9" s="229"/>
      <c r="W9" s="230">
        <f>SUM(Tabla4[[#This Row],[IMPORTE BRUTO]:[GUIAS]])</f>
        <v>2914930.2325581396</v>
      </c>
      <c r="X9" s="229"/>
      <c r="Y9" s="229"/>
      <c r="Z9" s="242">
        <f>SUM(Tabla4[[#This Row],[IMPORT NETO]])-SUM(Tabla4[[#This Row],[RETENCIONES]:[NOTA CRED]])</f>
        <v>2914930.2325581396</v>
      </c>
      <c r="AA9" s="245"/>
      <c r="AB9" s="20"/>
      <c r="AC9" s="20"/>
      <c r="AD9" s="20"/>
      <c r="AE9" s="20"/>
      <c r="AF9" s="199"/>
    </row>
    <row r="10" spans="1:32" x14ac:dyDescent="0.25">
      <c r="A10" s="243">
        <v>45657</v>
      </c>
      <c r="B10" s="20" t="s">
        <v>44</v>
      </c>
      <c r="C10" s="20" t="s">
        <v>11</v>
      </c>
      <c r="D10" s="20"/>
      <c r="E10" s="20">
        <v>2</v>
      </c>
      <c r="F10" s="238">
        <f>Tabla4[[#This Row],[CANTIDAD]]-Tabla4[[#This Row],[MUERTOS]]</f>
        <v>-2</v>
      </c>
      <c r="G10" s="20"/>
      <c r="H10" s="239">
        <v>297.44186046511629</v>
      </c>
      <c r="I10" s="217">
        <f>Tabla4[[#This Row],[KG POR AN]]*Tabla4[[#This Row],[MUERTOS]]</f>
        <v>594.88372093023258</v>
      </c>
      <c r="J10" s="217"/>
      <c r="K10" s="217"/>
      <c r="L10" s="225">
        <v>2450</v>
      </c>
      <c r="M10" s="244"/>
      <c r="N10" s="227">
        <f>Tabla4[[#This Row],[KG TOTALES ORIG]]*Tabla4[[#This Row],[PRECIO POR KG]]</f>
        <v>1457465.1162790698</v>
      </c>
      <c r="O10" s="229"/>
      <c r="P10" s="227">
        <f>Tabla4[[#This Row],[TOTAL]]</f>
        <v>1457465.1162790698</v>
      </c>
      <c r="Q10" s="229"/>
      <c r="R10" s="229"/>
      <c r="S10" s="229"/>
      <c r="T10" s="229"/>
      <c r="U10" s="229"/>
      <c r="V10" s="229"/>
      <c r="W10" s="230">
        <f>SUM(Tabla4[[#This Row],[IMPORTE BRUTO]:[GUIAS]])</f>
        <v>1457465.1162790698</v>
      </c>
      <c r="X10" s="229"/>
      <c r="Y10" s="229"/>
      <c r="Z10" s="242">
        <f>SUM(Tabla4[[#This Row],[IMPORT NETO]])-SUM(Tabla4[[#This Row],[RETENCIONES]:[NOTA CRED]])</f>
        <v>1457465.1162790698</v>
      </c>
      <c r="AA10" s="245"/>
      <c r="AB10" s="20"/>
      <c r="AC10" s="20"/>
      <c r="AD10" s="20"/>
      <c r="AE10" s="20"/>
      <c r="AF10" s="199"/>
    </row>
    <row r="11" spans="1:32" x14ac:dyDescent="0.25">
      <c r="A11" s="237">
        <v>45660</v>
      </c>
      <c r="B11" s="12" t="s">
        <v>44</v>
      </c>
      <c r="C11" s="12" t="s">
        <v>11</v>
      </c>
      <c r="D11" s="12"/>
      <c r="E11" s="12">
        <v>1</v>
      </c>
      <c r="F11" s="238">
        <f>Tabla4[[#This Row],[CANTIDAD]]-Tabla4[[#This Row],[MUERTOS]]</f>
        <v>-1</v>
      </c>
      <c r="G11" s="12"/>
      <c r="H11" s="239">
        <v>297.44186046511629</v>
      </c>
      <c r="I11" s="217">
        <f>Tabla4[[#This Row],[KG POR AN]]*Tabla4[[#This Row],[MUERTOS]]</f>
        <v>297.44186046511629</v>
      </c>
      <c r="J11" s="223"/>
      <c r="K11" s="223"/>
      <c r="L11" s="225">
        <v>2450</v>
      </c>
      <c r="M11" s="240"/>
      <c r="N11" s="227">
        <f>Tabla4[[#This Row],[KG TOTALES ORIG]]*Tabla4[[#This Row],[PRECIO POR KG]]</f>
        <v>728732.5581395349</v>
      </c>
      <c r="O11" s="228"/>
      <c r="P11" s="227">
        <f>Tabla4[[#This Row],[TOTAL]]</f>
        <v>728732.5581395349</v>
      </c>
      <c r="Q11" s="228"/>
      <c r="R11" s="228"/>
      <c r="S11" s="228"/>
      <c r="T11" s="228"/>
      <c r="U11" s="228"/>
      <c r="V11" s="228"/>
      <c r="W11" s="230">
        <f>SUM(Tabla4[[#This Row],[IMPORTE BRUTO]:[GUIAS]])</f>
        <v>728732.5581395349</v>
      </c>
      <c r="X11" s="228"/>
      <c r="Y11" s="228"/>
      <c r="Z11" s="242">
        <f>SUM(Tabla4[[#This Row],[IMPORT NETO]])-SUM(Tabla4[[#This Row],[RETENCIONES]:[NOTA CRED]])</f>
        <v>728732.5581395349</v>
      </c>
      <c r="AA11" s="12"/>
      <c r="AB11" s="20"/>
      <c r="AC11" s="12"/>
      <c r="AD11" s="12"/>
      <c r="AE11" s="12"/>
      <c r="AF11" s="199"/>
    </row>
    <row r="12" spans="1:32" x14ac:dyDescent="0.25">
      <c r="A12" s="243">
        <v>45661</v>
      </c>
      <c r="B12" s="20" t="s">
        <v>44</v>
      </c>
      <c r="C12" s="20" t="s">
        <v>11</v>
      </c>
      <c r="D12" s="20"/>
      <c r="E12" s="20">
        <v>1</v>
      </c>
      <c r="F12" s="238">
        <f>Tabla4[[#This Row],[CANTIDAD]]-Tabla4[[#This Row],[MUERTOS]]</f>
        <v>-1</v>
      </c>
      <c r="G12" s="20"/>
      <c r="H12" s="239">
        <v>297.44186046511629</v>
      </c>
      <c r="I12" s="217">
        <f>Tabla4[[#This Row],[KG POR AN]]*Tabla4[[#This Row],[MUERTOS]]</f>
        <v>297.44186046511629</v>
      </c>
      <c r="J12" s="217"/>
      <c r="K12" s="217"/>
      <c r="L12" s="225">
        <v>2450</v>
      </c>
      <c r="M12" s="244"/>
      <c r="N12" s="227">
        <f>Tabla4[[#This Row],[KG TOTALES ORIG]]*Tabla4[[#This Row],[PRECIO POR KG]]</f>
        <v>728732.5581395349</v>
      </c>
      <c r="O12" s="229"/>
      <c r="P12" s="227">
        <f>Tabla4[[#This Row],[TOTAL]]</f>
        <v>728732.5581395349</v>
      </c>
      <c r="Q12" s="229"/>
      <c r="R12" s="229"/>
      <c r="S12" s="229"/>
      <c r="T12" s="229"/>
      <c r="U12" s="229"/>
      <c r="V12" s="229"/>
      <c r="W12" s="230">
        <f>SUM(Tabla4[[#This Row],[IMPORTE BRUTO]:[GUIAS]])</f>
        <v>728732.5581395349</v>
      </c>
      <c r="X12" s="229"/>
      <c r="Y12" s="229"/>
      <c r="Z12" s="242">
        <f>SUM(Tabla4[[#This Row],[IMPORT NETO]])-SUM(Tabla4[[#This Row],[RETENCIONES]:[NOTA CRED]])</f>
        <v>728732.5581395349</v>
      </c>
      <c r="AA12" s="245"/>
      <c r="AB12" s="20"/>
      <c r="AC12" s="20"/>
      <c r="AD12" s="20"/>
      <c r="AE12" s="12"/>
      <c r="AF12" s="199"/>
    </row>
    <row r="13" spans="1:32" x14ac:dyDescent="0.25">
      <c r="A13" s="246">
        <v>45718</v>
      </c>
      <c r="B13" s="218" t="s">
        <v>44</v>
      </c>
      <c r="C13" s="218" t="s">
        <v>11</v>
      </c>
      <c r="D13" s="218"/>
      <c r="E13" s="218">
        <v>1</v>
      </c>
      <c r="F13" s="247">
        <f>Tabla4[[#This Row],[CANTIDAD]]-Tabla4[[#This Row],[MUERTOS]]</f>
        <v>-1</v>
      </c>
      <c r="G13" s="218"/>
      <c r="H13" s="248">
        <v>350</v>
      </c>
      <c r="I13" s="249">
        <f>Tabla4[[#This Row],[KG POR AN]]*Tabla4[[#This Row],[MUERTOS]]</f>
        <v>350</v>
      </c>
      <c r="J13" s="249"/>
      <c r="K13" s="249"/>
      <c r="L13" s="250">
        <v>2451</v>
      </c>
      <c r="M13" s="251"/>
      <c r="N13" s="252">
        <f>Tabla4[[#This Row],[KG TOTALES ORIG]]*Tabla4[[#This Row],[PRECIO POR KG]]</f>
        <v>857850</v>
      </c>
      <c r="O13" s="253"/>
      <c r="P13" s="252">
        <f>Tabla4[[#This Row],[TOTAL]]</f>
        <v>857850</v>
      </c>
      <c r="Q13" s="253"/>
      <c r="R13" s="253"/>
      <c r="S13" s="253"/>
      <c r="T13" s="253"/>
      <c r="U13" s="253"/>
      <c r="V13" s="253"/>
      <c r="W13" s="254">
        <f>SUM(Tabla4[[#This Row],[IMPORTE BRUTO]:[GUIAS]])</f>
        <v>857850</v>
      </c>
      <c r="X13" s="253"/>
      <c r="Y13" s="253"/>
      <c r="Z13" s="255">
        <f>SUM(Tabla4[[#This Row],[IMPORT NETO]])-SUM(Tabla4[[#This Row],[RETENCIONES]:[NOTA CRED]])</f>
        <v>857850</v>
      </c>
      <c r="AA13" s="256"/>
      <c r="AB13" s="218"/>
      <c r="AC13" s="218"/>
      <c r="AD13" s="218"/>
      <c r="AE13" s="257"/>
      <c r="AF13" s="258"/>
    </row>
    <row r="14" spans="1:32" x14ac:dyDescent="0.25">
      <c r="A14" s="193">
        <v>45771</v>
      </c>
      <c r="B14" s="20" t="s">
        <v>0</v>
      </c>
      <c r="C14" s="20" t="s">
        <v>11</v>
      </c>
      <c r="D14" s="12">
        <v>39</v>
      </c>
      <c r="E14" s="12"/>
      <c r="F14" s="12">
        <f>Tabla4[[#This Row],[CANTIDAD]]-Tabla4[[#This Row],[MUERTOS]]</f>
        <v>39</v>
      </c>
      <c r="G14" s="12">
        <v>55.26</v>
      </c>
      <c r="H14" s="223">
        <f>Tabla4[[#This Row],[KG TOTAL BAL DEST]]/Tabla4[[#This Row],[CANT NETA]]</f>
        <v>471.28205128205127</v>
      </c>
      <c r="I14" s="224">
        <v>19180</v>
      </c>
      <c r="J14" s="12">
        <v>18380</v>
      </c>
      <c r="K14" s="223">
        <v>10157</v>
      </c>
      <c r="L14" s="225">
        <f>(5300+5250)/2</f>
        <v>5275</v>
      </c>
      <c r="M14" s="12"/>
      <c r="N14" s="226">
        <f>Tabla4[[#This Row],[PRECIO POR KG]]*Tabla4[[#This Row],[KG TOTAL BAL DEST]]*Tabla4[[#This Row],[RINDE]]/100</f>
        <v>53577056.700000003</v>
      </c>
      <c r="O14" s="12"/>
      <c r="P14" s="227">
        <f>Tabla4[[#This Row],[TOTAL]]</f>
        <v>53577056.700000003</v>
      </c>
      <c r="Q14" s="12"/>
      <c r="R14" s="12"/>
      <c r="S14" s="228">
        <f>Tabla4[[#This Row],[IMPORTE BRUTO]]*0.105</f>
        <v>5625590.9534999998</v>
      </c>
      <c r="T14" s="12"/>
      <c r="U14" s="12"/>
      <c r="V14" s="229"/>
      <c r="W14" s="230">
        <f>SUM(Tabla4[[#This Row],[IMPORTE BRUTO]:[GUIAS]])</f>
        <v>59202647.653500006</v>
      </c>
      <c r="X14" s="228">
        <f>Tabla4[[#This Row],[IMPORT NETO]]*0.0148</f>
        <v>876199.18527180015</v>
      </c>
      <c r="Y14" s="12"/>
      <c r="Z14" s="231">
        <f>SUM(Tabla4[[#This Row],[IMPORT NETO]])-SUM(Tabla4[[#This Row],[RETENCIONES]:[NOTA CRED]])</f>
        <v>58326448.468228206</v>
      </c>
      <c r="AA14" s="12"/>
      <c r="AB14" s="12"/>
      <c r="AC14" s="12"/>
      <c r="AD14" s="12" t="s">
        <v>181</v>
      </c>
      <c r="AE14" s="199" t="s">
        <v>12</v>
      </c>
      <c r="AF14" s="199" t="s">
        <v>152</v>
      </c>
    </row>
    <row r="15" spans="1:32" x14ac:dyDescent="0.25">
      <c r="A15" s="193">
        <v>45805</v>
      </c>
      <c r="B15" s="20" t="s">
        <v>0</v>
      </c>
      <c r="C15" s="20" t="s">
        <v>11</v>
      </c>
      <c r="D15" s="12">
        <v>39</v>
      </c>
      <c r="E15" s="12"/>
      <c r="F15" s="12">
        <f>Tabla4[[#This Row],[CANTIDAD]]-Tabla4[[#This Row],[MUERTOS]]</f>
        <v>39</v>
      </c>
      <c r="G15" s="12">
        <v>58.33</v>
      </c>
      <c r="H15" s="223">
        <f>Tabla4[[#This Row],[KG TOTAL BAL DEST]]/Tabla4[[#This Row],[CANT NETA]]</f>
        <v>482.82051282051282</v>
      </c>
      <c r="I15" s="224">
        <v>19420</v>
      </c>
      <c r="J15" s="12">
        <v>18830</v>
      </c>
      <c r="K15" s="223">
        <v>10984</v>
      </c>
      <c r="L15" s="225">
        <v>5400</v>
      </c>
      <c r="M15" s="12"/>
      <c r="N15" s="226">
        <f>Tabla4[[#This Row],[PRECIO POR KG]]*Tabla4[[#This Row],[KG TOTAL BAL DEST]]*Tabla4[[#This Row],[RINDE]]/100</f>
        <v>59311110.600000001</v>
      </c>
      <c r="O15" s="12"/>
      <c r="P15" s="227">
        <f>Tabla4[[#This Row],[TOTAL]]</f>
        <v>59311110.600000001</v>
      </c>
      <c r="Q15" s="12"/>
      <c r="R15" s="12"/>
      <c r="S15" s="228">
        <f>Tabla4[[#This Row],[IMPORTE BRUTO]]*0.105</f>
        <v>6227666.6129999999</v>
      </c>
      <c r="T15" s="12"/>
      <c r="U15" s="12"/>
      <c r="V15" s="229"/>
      <c r="W15" s="230">
        <f>SUM(Tabla4[[#This Row],[IMPORTE BRUTO]:[GUIAS]])</f>
        <v>65538777.213</v>
      </c>
      <c r="X15" s="228">
        <f>Tabla4[[#This Row],[IMPORT NETO]]*0.0148</f>
        <v>969973.90275240003</v>
      </c>
      <c r="Y15" s="12"/>
      <c r="Z15" s="231">
        <f>SUM(Tabla4[[#This Row],[IMPORT NETO]])-SUM(Tabla4[[#This Row],[RETENCIONES]:[NOTA CRED]])</f>
        <v>64568803.3102476</v>
      </c>
      <c r="AA15" s="12"/>
      <c r="AB15" s="12"/>
      <c r="AC15" s="12"/>
      <c r="AD15" s="12" t="s">
        <v>182</v>
      </c>
      <c r="AE15" s="199" t="s">
        <v>12</v>
      </c>
      <c r="AF15" s="199" t="s">
        <v>153</v>
      </c>
    </row>
    <row r="16" spans="1:32" x14ac:dyDescent="0.25">
      <c r="A16" s="193">
        <v>45819</v>
      </c>
      <c r="B16" s="20" t="s">
        <v>0</v>
      </c>
      <c r="C16" s="20" t="s">
        <v>11</v>
      </c>
      <c r="D16" s="12">
        <v>38</v>
      </c>
      <c r="E16" s="12"/>
      <c r="F16" s="12">
        <f>Tabla4[[#This Row],[CANTIDAD]]-Tabla4[[#This Row],[MUERTOS]]</f>
        <v>38</v>
      </c>
      <c r="G16" s="12">
        <v>58.71</v>
      </c>
      <c r="H16" s="223">
        <f>Tabla4[[#This Row],[KG TOTAL BAL DEST]]/Tabla4[[#This Row],[CANT NETA]]</f>
        <v>494.73684210526318</v>
      </c>
      <c r="I16" s="232"/>
      <c r="J16" s="12">
        <v>18800</v>
      </c>
      <c r="K16" s="223">
        <v>11037.48</v>
      </c>
      <c r="L16" s="225">
        <v>5300</v>
      </c>
      <c r="M16" s="12"/>
      <c r="N16" s="226">
        <f>Tabla4[[#This Row],[PRECIO POR KG]]*Tabla4[[#This Row],[KG TOTAL BAL DEST]]*Tabla4[[#This Row],[RINDE]]/100</f>
        <v>58498644</v>
      </c>
      <c r="O16" s="12"/>
      <c r="P16" s="227">
        <f>Tabla4[[#This Row],[TOTAL]]</f>
        <v>58498644</v>
      </c>
      <c r="Q16" s="12"/>
      <c r="R16" s="12"/>
      <c r="S16" s="228">
        <f>Tabla4[[#This Row],[IMPORTE BRUTO]]*0.105</f>
        <v>6142357.6200000001</v>
      </c>
      <c r="T16" s="12"/>
      <c r="U16" s="12"/>
      <c r="V16" s="19"/>
      <c r="W16" s="230">
        <f>SUM(Tabla4[[#This Row],[IMPORTE BRUTO]:[GUIAS]])</f>
        <v>64641001.619999997</v>
      </c>
      <c r="X16" s="228">
        <f>Tabla4[[#This Row],[IMPORT NETO]]*0.0148</f>
        <v>956686.82397599996</v>
      </c>
      <c r="Y16" s="12"/>
      <c r="Z16" s="231">
        <f>SUM(Tabla4[[#This Row],[IMPORT NETO]])-SUM(Tabla4[[#This Row],[RETENCIONES]:[NOTA CRED]])</f>
        <v>63684314.796023995</v>
      </c>
      <c r="AA16" s="12"/>
      <c r="AB16" s="12"/>
      <c r="AC16" s="12"/>
      <c r="AD16" s="12" t="s">
        <v>183</v>
      </c>
      <c r="AE16" s="199" t="s">
        <v>12</v>
      </c>
      <c r="AF16" s="199" t="s">
        <v>153</v>
      </c>
    </row>
    <row r="17" spans="1:32" x14ac:dyDescent="0.25">
      <c r="A17" s="193">
        <v>45830</v>
      </c>
      <c r="B17" s="20" t="s">
        <v>0</v>
      </c>
      <c r="C17" s="20" t="s">
        <v>11</v>
      </c>
      <c r="D17" s="12">
        <v>38</v>
      </c>
      <c r="E17" s="12"/>
      <c r="F17" s="12">
        <f>Tabla4[[#This Row],[CANTIDAD]]-Tabla4[[#This Row],[MUERTOS]]</f>
        <v>38</v>
      </c>
      <c r="G17" s="12">
        <v>57.95</v>
      </c>
      <c r="H17" s="223">
        <f>Tabla4[[#This Row],[KG TOTAL BAL DEST]]/Tabla4[[#This Row],[CANT NETA]]</f>
        <v>482.36842105263156</v>
      </c>
      <c r="I17" s="12"/>
      <c r="J17" s="12">
        <v>18330</v>
      </c>
      <c r="K17" s="223">
        <v>10623</v>
      </c>
      <c r="L17" s="225">
        <v>5300</v>
      </c>
      <c r="M17" s="12"/>
      <c r="N17" s="226">
        <f>Tabla4[[#This Row],[PRECIO POR KG]]*Tabla4[[#This Row],[KG TOTAL BAL DEST]]*Tabla4[[#This Row],[RINDE]]/100</f>
        <v>56297845.5</v>
      </c>
      <c r="O17" s="12"/>
      <c r="P17" s="227">
        <f>Tabla4[[#This Row],[TOTAL]]</f>
        <v>56297845.5</v>
      </c>
      <c r="Q17" s="12"/>
      <c r="R17" s="12"/>
      <c r="S17" s="228">
        <f>Tabla4[[#This Row],[IMPORTE BRUTO]]*0.105</f>
        <v>5911273.7774999999</v>
      </c>
      <c r="T17" s="12"/>
      <c r="U17" s="12"/>
      <c r="V17" s="19"/>
      <c r="W17" s="230">
        <f>SUM(Tabla4[[#This Row],[IMPORTE BRUTO]:[GUIAS]])</f>
        <v>62209119.277500004</v>
      </c>
      <c r="X17" s="228">
        <f>Tabla4[[#This Row],[IMPORT NETO]]*0.0148</f>
        <v>920694.96530700009</v>
      </c>
      <c r="Y17" s="12"/>
      <c r="Z17" s="231">
        <f>SUM(Tabla4[[#This Row],[IMPORT NETO]])-SUM(Tabla4[[#This Row],[RETENCIONES]:[NOTA CRED]])</f>
        <v>61288424.312193006</v>
      </c>
      <c r="AA17" s="12"/>
      <c r="AB17" s="12"/>
      <c r="AC17" s="12"/>
      <c r="AD17" s="12" t="s">
        <v>203</v>
      </c>
      <c r="AE17" s="199" t="s">
        <v>12</v>
      </c>
      <c r="AF17" s="199" t="s">
        <v>153</v>
      </c>
    </row>
    <row r="18" spans="1:32" x14ac:dyDescent="0.25">
      <c r="A18" s="193">
        <v>45832</v>
      </c>
      <c r="B18" s="20" t="s">
        <v>0</v>
      </c>
      <c r="C18" s="20" t="s">
        <v>11</v>
      </c>
      <c r="D18" s="12">
        <v>39</v>
      </c>
      <c r="E18" s="12"/>
      <c r="F18" s="12">
        <f>Tabla4[[#This Row],[CANTIDAD]]-Tabla4[[#This Row],[MUERTOS]]</f>
        <v>39</v>
      </c>
      <c r="G18" s="12">
        <v>58.15</v>
      </c>
      <c r="H18" s="223">
        <f>Tabla4[[#This Row],[KG TOTAL BAL DEST]]/Tabla4[[#This Row],[CANT NETA]]</f>
        <v>483.33333333333331</v>
      </c>
      <c r="I18" s="12"/>
      <c r="J18" s="12">
        <v>18850</v>
      </c>
      <c r="K18" s="223">
        <v>10961</v>
      </c>
      <c r="L18" s="225">
        <v>5300</v>
      </c>
      <c r="M18" s="12"/>
      <c r="N18" s="226">
        <f>Tabla4[[#This Row],[PRECIO POR KG]]*Tabla4[[#This Row],[KG TOTAL BAL DEST]]*Tabla4[[#This Row],[RINDE]]/100</f>
        <v>58094757.5</v>
      </c>
      <c r="O18" s="12"/>
      <c r="P18" s="227">
        <f>Tabla4[[#This Row],[TOTAL]]</f>
        <v>58094757.5</v>
      </c>
      <c r="Q18" s="12"/>
      <c r="R18" s="12"/>
      <c r="S18" s="228">
        <f>Tabla4[[#This Row],[IMPORTE BRUTO]]*0.105</f>
        <v>6099949.5374999996</v>
      </c>
      <c r="T18" s="12"/>
      <c r="U18" s="12"/>
      <c r="V18" s="19"/>
      <c r="W18" s="230">
        <f>SUM(Tabla4[[#This Row],[IMPORTE BRUTO]:[GUIAS]])</f>
        <v>64194707.037500001</v>
      </c>
      <c r="X18" s="228">
        <f>Tabla4[[#This Row],[IMPORT NETO]]*0.0148</f>
        <v>950081.66415500012</v>
      </c>
      <c r="Y18" s="12"/>
      <c r="Z18" s="231">
        <f>SUM(Tabla4[[#This Row],[IMPORT NETO]])-SUM(Tabla4[[#This Row],[RETENCIONES]:[NOTA CRED]])</f>
        <v>63244625.373345003</v>
      </c>
      <c r="AA18" s="12"/>
      <c r="AB18" s="12"/>
      <c r="AC18" s="12"/>
      <c r="AD18" s="12" t="s">
        <v>204</v>
      </c>
      <c r="AE18" s="199" t="s">
        <v>12</v>
      </c>
      <c r="AF18" s="199" t="s">
        <v>153</v>
      </c>
    </row>
    <row r="19" spans="1:32" x14ac:dyDescent="0.25">
      <c r="A19" s="193">
        <v>45846</v>
      </c>
      <c r="B19" s="20" t="s">
        <v>0</v>
      </c>
      <c r="C19" s="20" t="s">
        <v>11</v>
      </c>
      <c r="D19" s="12">
        <v>52</v>
      </c>
      <c r="E19" s="12"/>
      <c r="F19" s="12">
        <f>Tabla4[[#This Row],[CANTIDAD]]-Tabla4[[#This Row],[MUERTOS]]</f>
        <v>52</v>
      </c>
      <c r="G19" s="223">
        <v>59.485714285714302</v>
      </c>
      <c r="H19" s="223">
        <f>Tabla4[[#This Row],[KG TOTAL BAL DEST]]/Tabla4[[#This Row],[CANT NETA]]</f>
        <v>437.5</v>
      </c>
      <c r="I19" s="12"/>
      <c r="J19" s="12">
        <v>22750</v>
      </c>
      <c r="K19" s="223">
        <v>13533</v>
      </c>
      <c r="L19" s="225">
        <v>5400</v>
      </c>
      <c r="M19" s="12"/>
      <c r="N19" s="226">
        <f>Tabla4[[#This Row],[PRECIO POR KG]]*Tabla4[[#This Row],[KG TOTAL BAL DEST]]*Tabla4[[#This Row],[RINDE]]/100</f>
        <v>73078200.000000015</v>
      </c>
      <c r="O19" s="12"/>
      <c r="P19" s="227">
        <f>Tabla4[[#This Row],[TOTAL]]</f>
        <v>73078200.000000015</v>
      </c>
      <c r="Q19" s="12"/>
      <c r="R19" s="12"/>
      <c r="S19" s="228">
        <f>Tabla4[[#This Row],[IMPORTE BRUTO]]*0.105</f>
        <v>7673211.0000000009</v>
      </c>
      <c r="T19" s="12"/>
      <c r="U19" s="12"/>
      <c r="V19" s="19"/>
      <c r="W19" s="230">
        <f>SUM(Tabla4[[#This Row],[IMPORTE BRUTO]:[GUIAS]])</f>
        <v>80751411.000000015</v>
      </c>
      <c r="X19" s="228">
        <f>Tabla4[[#This Row],[IMPORT NETO]]*0.0148</f>
        <v>1195120.8828000003</v>
      </c>
      <c r="Y19" s="12"/>
      <c r="Z19" s="231">
        <f>SUM(Tabla4[[#This Row],[IMPORT NETO]])-SUM(Tabla4[[#This Row],[RETENCIONES]:[NOTA CRED]])</f>
        <v>79556290.117200017</v>
      </c>
      <c r="AA19" s="12"/>
      <c r="AB19" s="12"/>
      <c r="AC19" s="12"/>
      <c r="AD19" s="12" t="s">
        <v>215</v>
      </c>
      <c r="AE19" s="199" t="s">
        <v>12</v>
      </c>
      <c r="AF19" s="199" t="s">
        <v>153</v>
      </c>
    </row>
    <row r="20" spans="1:32" x14ac:dyDescent="0.25">
      <c r="A20" s="193">
        <v>45853</v>
      </c>
      <c r="B20" s="12" t="s">
        <v>0</v>
      </c>
      <c r="C20" s="14" t="s">
        <v>11</v>
      </c>
      <c r="D20" s="12">
        <v>39</v>
      </c>
      <c r="E20" s="12"/>
      <c r="F20" s="12">
        <f>Tabla4[[#This Row],[CANTIDAD]]-Tabla4[[#This Row],[MUERTOS]]</f>
        <v>39</v>
      </c>
      <c r="G20" s="223">
        <v>58.402854006586203</v>
      </c>
      <c r="H20" s="223">
        <f>Tabla4[[#This Row],[KG TOTAL BAL DEST]]/Tabla4[[#This Row],[CANT NETA]]</f>
        <v>467.17948717948718</v>
      </c>
      <c r="I20" s="12">
        <v>19160</v>
      </c>
      <c r="J20" s="12">
        <v>18220</v>
      </c>
      <c r="K20" s="223">
        <v>10641</v>
      </c>
      <c r="L20" s="225">
        <v>5400</v>
      </c>
      <c r="M20" s="12"/>
      <c r="N20" s="226">
        <f>Tabla4[[#This Row],[PRECIO POR KG]]*Tabla4[[#This Row],[KG TOTAL BAL DEST]]*Tabla4[[#This Row],[RINDE]]/100</f>
        <v>57461400.000000037</v>
      </c>
      <c r="O20" s="12"/>
      <c r="P20" s="227">
        <f>Tabla4[[#This Row],[TOTAL]]</f>
        <v>57461400.000000037</v>
      </c>
      <c r="Q20" s="12"/>
      <c r="R20" s="12"/>
      <c r="S20" s="228">
        <f>Tabla4[[#This Row],[IMPORTE BRUTO]]*0.105</f>
        <v>6033447.0000000037</v>
      </c>
      <c r="T20" s="12"/>
      <c r="U20" s="12"/>
      <c r="V20" s="19"/>
      <c r="W20" s="230">
        <f>SUM(Tabla4[[#This Row],[IMPORTE BRUTO]:[GUIAS]])</f>
        <v>63494847.000000045</v>
      </c>
      <c r="X20" s="228">
        <f>Tabla4[[#This Row],[IMPORT NETO]]*0.0148</f>
        <v>939723.73560000071</v>
      </c>
      <c r="Y20" s="12"/>
      <c r="Z20" s="231">
        <f>SUM(Tabla4[[#This Row],[IMPORT NETO]])-SUM(Tabla4[[#This Row],[RETENCIONES]:[NOTA CRED]])</f>
        <v>62555123.264400043</v>
      </c>
      <c r="AA20" s="12"/>
      <c r="AB20" s="12"/>
      <c r="AC20" s="12"/>
      <c r="AD20" s="12" t="s">
        <v>216</v>
      </c>
      <c r="AE20" s="199" t="s">
        <v>12</v>
      </c>
      <c r="AF20" s="199" t="s">
        <v>153</v>
      </c>
    </row>
    <row r="22" spans="1:32" x14ac:dyDescent="0.25">
      <c r="Y22" s="219"/>
      <c r="AF22" s="219"/>
    </row>
  </sheetData>
  <pageMargins left="0.25" right="0.25" top="0.75" bottom="0.75" header="0.3" footer="0.3"/>
  <pageSetup orientation="landscape" r:id="rId1"/>
  <legacyDrawing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A4DA6A-D218-48C6-B47C-53C019FD51D0}">
  <dimension ref="A1:AH17"/>
  <sheetViews>
    <sheetView workbookViewId="0">
      <selection activeCell="C20" sqref="C20"/>
    </sheetView>
  </sheetViews>
  <sheetFormatPr baseColWidth="10" defaultRowHeight="15" x14ac:dyDescent="0.25"/>
  <cols>
    <col min="14" max="14" width="14.85546875" bestFit="1" customWidth="1"/>
    <col min="16" max="16" width="14.85546875" bestFit="1" customWidth="1"/>
    <col min="23" max="23" width="15.5703125" bestFit="1" customWidth="1"/>
    <col min="24" max="25" width="15.7109375" bestFit="1" customWidth="1"/>
    <col min="26" max="26" width="16.7109375" bestFit="1" customWidth="1"/>
    <col min="27" max="27" width="15.85546875" bestFit="1" customWidth="1"/>
    <col min="28" max="28" width="21.85546875" bestFit="1" customWidth="1"/>
    <col min="29" max="29" width="16.140625" bestFit="1" customWidth="1"/>
    <col min="30" max="30" width="15.140625" bestFit="1" customWidth="1"/>
    <col min="31" max="31" width="12.5703125" bestFit="1" customWidth="1"/>
    <col min="32" max="32" width="12.42578125" bestFit="1" customWidth="1"/>
    <col min="33" max="33" width="17.42578125" bestFit="1" customWidth="1"/>
    <col min="34" max="34" width="14.5703125" bestFit="1" customWidth="1"/>
  </cols>
  <sheetData>
    <row r="1" spans="1:34" x14ac:dyDescent="0.25">
      <c r="A1" s="36">
        <v>2026</v>
      </c>
      <c r="B1" s="37"/>
      <c r="C1" s="37"/>
      <c r="D1" s="37">
        <f>SUM(Tabla610[CANTIDAD])</f>
        <v>543</v>
      </c>
      <c r="E1" s="37">
        <f>SUM(Tabla610[MUERTOS])</f>
        <v>4</v>
      </c>
      <c r="F1" s="37">
        <f>SUM(Tabla610[CANT NETA])</f>
        <v>539</v>
      </c>
      <c r="G1" s="37"/>
      <c r="H1" s="37"/>
      <c r="I1" s="37"/>
      <c r="J1" s="37"/>
      <c r="K1" s="37"/>
      <c r="L1" s="37"/>
      <c r="M1" s="38"/>
      <c r="N1" s="37"/>
      <c r="O1" s="37"/>
      <c r="P1" s="37"/>
      <c r="Q1" s="37"/>
      <c r="R1" s="37"/>
      <c r="S1" s="37"/>
      <c r="T1" s="37"/>
      <c r="U1" s="37"/>
      <c r="V1" s="37"/>
      <c r="W1" s="37"/>
      <c r="X1" s="39"/>
      <c r="Z1" s="234">
        <f>SUM(Tabla610[TOTAL A LIQUIDAR])</f>
        <v>432661468.88055003</v>
      </c>
      <c r="AA1" s="37"/>
      <c r="AB1" s="37"/>
      <c r="AC1" s="37"/>
      <c r="AD1" s="37"/>
      <c r="AE1" s="201"/>
    </row>
    <row r="2" spans="1:34" ht="60" x14ac:dyDescent="0.25">
      <c r="A2" s="202" t="s">
        <v>5</v>
      </c>
      <c r="B2" s="203" t="s">
        <v>45</v>
      </c>
      <c r="C2" s="203" t="s">
        <v>4</v>
      </c>
      <c r="D2" s="202" t="s">
        <v>3</v>
      </c>
      <c r="E2" s="203" t="s">
        <v>44</v>
      </c>
      <c r="F2" s="203" t="s">
        <v>43</v>
      </c>
      <c r="G2" s="202" t="s">
        <v>42</v>
      </c>
      <c r="H2" s="202" t="s">
        <v>41</v>
      </c>
      <c r="I2" s="202" t="s">
        <v>40</v>
      </c>
      <c r="J2" s="202" t="s">
        <v>39</v>
      </c>
      <c r="K2" s="202" t="s">
        <v>180</v>
      </c>
      <c r="L2" s="202" t="s">
        <v>38</v>
      </c>
      <c r="M2" s="202" t="s">
        <v>37</v>
      </c>
      <c r="N2" s="203" t="s">
        <v>36</v>
      </c>
      <c r="O2" s="203" t="s">
        <v>35</v>
      </c>
      <c r="P2" s="203" t="s">
        <v>34</v>
      </c>
      <c r="Q2" s="203" t="s">
        <v>33</v>
      </c>
      <c r="R2" s="203" t="s">
        <v>32</v>
      </c>
      <c r="S2" s="203" t="s">
        <v>31</v>
      </c>
      <c r="T2" s="203" t="s">
        <v>30</v>
      </c>
      <c r="U2" s="203" t="s">
        <v>29</v>
      </c>
      <c r="V2" s="203" t="s">
        <v>49</v>
      </c>
      <c r="W2" s="202" t="s">
        <v>28</v>
      </c>
      <c r="X2" s="203" t="s">
        <v>2</v>
      </c>
      <c r="Y2" s="203" t="s">
        <v>27</v>
      </c>
      <c r="Z2" s="202" t="s">
        <v>26</v>
      </c>
      <c r="AA2" s="203" t="s">
        <v>25</v>
      </c>
      <c r="AB2" s="202" t="s">
        <v>1</v>
      </c>
      <c r="AC2" s="202" t="s">
        <v>24</v>
      </c>
      <c r="AD2" s="202" t="s">
        <v>23</v>
      </c>
      <c r="AE2" s="202" t="s">
        <v>22</v>
      </c>
      <c r="AF2" s="202" t="s">
        <v>151</v>
      </c>
      <c r="AG2" s="202" t="s">
        <v>207</v>
      </c>
      <c r="AH2" s="202" t="s">
        <v>210</v>
      </c>
    </row>
    <row r="3" spans="1:34" x14ac:dyDescent="0.25">
      <c r="A3" s="204">
        <v>45800</v>
      </c>
      <c r="B3" s="205" t="s">
        <v>9</v>
      </c>
      <c r="C3" s="205" t="s">
        <v>8</v>
      </c>
      <c r="D3" s="205">
        <v>68</v>
      </c>
      <c r="E3" s="205">
        <v>0</v>
      </c>
      <c r="F3" s="206">
        <f>D3-E3</f>
        <v>68</v>
      </c>
      <c r="G3" s="205"/>
      <c r="H3" s="222">
        <f>J3/F3</f>
        <v>164.58823529411765</v>
      </c>
      <c r="I3" s="196">
        <v>11419.98</v>
      </c>
      <c r="J3" s="196">
        <v>11192</v>
      </c>
      <c r="K3" s="196"/>
      <c r="L3" s="197">
        <v>3900</v>
      </c>
      <c r="M3" s="18">
        <f>Tabla610[[#This Row],[KG TOTALES ORIG]]/Tabla610[[#This Row],[KG TOTAL BAL DEST]]-1</f>
        <v>2.0369907076483118E-2</v>
      </c>
      <c r="N3" s="197">
        <f>J3*L3</f>
        <v>43648800</v>
      </c>
      <c r="O3" s="197"/>
      <c r="P3" s="197">
        <f>N3-O3</f>
        <v>43648800</v>
      </c>
      <c r="Q3" s="197"/>
      <c r="R3" s="207"/>
      <c r="S3" s="207"/>
      <c r="T3" s="208"/>
      <c r="U3" s="207"/>
      <c r="V3" s="207"/>
      <c r="W3" s="230">
        <f>SUBTOTAL(109,Tabla610[[#This Row],[IMPORTE BRUTO]:[GUIAS]])</f>
        <v>43648800</v>
      </c>
      <c r="X3" s="207"/>
      <c r="Y3" s="207"/>
      <c r="Z3" s="233">
        <f>W3-X3-Y3</f>
        <v>43648800</v>
      </c>
      <c r="AA3" s="205" t="s">
        <v>157</v>
      </c>
      <c r="AB3" s="209" t="s">
        <v>144</v>
      </c>
      <c r="AC3" s="209" t="s">
        <v>145</v>
      </c>
      <c r="AD3" s="221" t="s">
        <v>146</v>
      </c>
      <c r="AE3" s="235" t="s">
        <v>48</v>
      </c>
      <c r="AF3" s="20"/>
      <c r="AG3" s="20"/>
      <c r="AH3" s="20"/>
    </row>
    <row r="4" spans="1:34" x14ac:dyDescent="0.25">
      <c r="A4" s="13">
        <v>45813</v>
      </c>
      <c r="B4" s="14" t="s">
        <v>9</v>
      </c>
      <c r="C4" s="14" t="s">
        <v>8</v>
      </c>
      <c r="D4" s="14">
        <v>70</v>
      </c>
      <c r="E4" s="14">
        <v>0</v>
      </c>
      <c r="F4" s="210">
        <f t="shared" ref="F4:F13" si="0">D4-E4</f>
        <v>70</v>
      </c>
      <c r="G4" s="14"/>
      <c r="H4" s="217">
        <v>180</v>
      </c>
      <c r="I4" s="16">
        <f>Tabla610[[#This Row],[KG POR AN]]*Tabla610[[#This Row],[CANT NETA]]</f>
        <v>12600</v>
      </c>
      <c r="J4" s="16">
        <v>11653.333333333334</v>
      </c>
      <c r="K4" s="16"/>
      <c r="L4" s="17">
        <v>4000</v>
      </c>
      <c r="M4" s="18">
        <f>Tabla610[[#This Row],[KG TOTALES ORIG]]/Tabla610[[#This Row],[KG TOTAL BAL DEST]]-1</f>
        <v>8.1235697940503337E-2</v>
      </c>
      <c r="N4" s="17">
        <f>Tabla610[[#This Row],[KG TOTALES ORIG]]*L4</f>
        <v>50400000</v>
      </c>
      <c r="O4" s="17"/>
      <c r="P4" s="17">
        <f t="shared" ref="P4:P12" si="1">N4-O4</f>
        <v>50400000</v>
      </c>
      <c r="Q4" s="215"/>
      <c r="R4" s="215"/>
      <c r="S4" s="215"/>
      <c r="T4" s="215"/>
      <c r="U4" s="215"/>
      <c r="V4" s="215"/>
      <c r="W4" s="230">
        <f>SUBTOTAL(109,Tabla610[[#This Row],[IMPORTE BRUTO]:[GUIAS]])</f>
        <v>50400000</v>
      </c>
      <c r="X4" s="19"/>
      <c r="Y4" s="19"/>
      <c r="Z4" s="233">
        <f t="shared" ref="Z4:Z12" si="2">W4-X4-Y4</f>
        <v>50400000</v>
      </c>
      <c r="AA4" s="14" t="s">
        <v>156</v>
      </c>
      <c r="AB4" s="20" t="s">
        <v>154</v>
      </c>
      <c r="AC4" s="20" t="s">
        <v>150</v>
      </c>
      <c r="AD4" s="216" t="s">
        <v>155</v>
      </c>
      <c r="AE4" s="236" t="s">
        <v>48</v>
      </c>
      <c r="AF4" s="211" t="s">
        <v>147</v>
      </c>
      <c r="AG4" s="20" t="s">
        <v>208</v>
      </c>
      <c r="AH4" s="20"/>
    </row>
    <row r="5" spans="1:34" x14ac:dyDescent="0.25">
      <c r="A5" s="13">
        <v>45813</v>
      </c>
      <c r="B5" s="14" t="s">
        <v>9</v>
      </c>
      <c r="C5" s="14" t="s">
        <v>8</v>
      </c>
      <c r="D5" s="14">
        <v>70</v>
      </c>
      <c r="E5" s="14">
        <v>0</v>
      </c>
      <c r="F5" s="210">
        <f t="shared" si="0"/>
        <v>70</v>
      </c>
      <c r="G5" s="20"/>
      <c r="H5" s="217">
        <v>180.34</v>
      </c>
      <c r="I5" s="16">
        <f>Tabla610[[#This Row],[KG POR AN]]*Tabla610[[#This Row],[CANT NETA]]</f>
        <v>12623.800000000001</v>
      </c>
      <c r="J5" s="16">
        <v>11653.333333333334</v>
      </c>
      <c r="K5" s="16"/>
      <c r="L5" s="17">
        <v>4000</v>
      </c>
      <c r="M5" s="18">
        <f>Tabla610[[#This Row],[KG TOTALES ORIG]]/Tabla610[[#This Row],[KG TOTAL BAL DEST]]-1</f>
        <v>8.3278032036613325E-2</v>
      </c>
      <c r="N5" s="17">
        <f>Tabla610[[#This Row],[KG TOTALES ORIG]]*L5</f>
        <v>50495200.000000007</v>
      </c>
      <c r="O5" s="20"/>
      <c r="P5" s="17">
        <f t="shared" si="1"/>
        <v>50495200.000000007</v>
      </c>
      <c r="Q5" s="215"/>
      <c r="R5" s="215"/>
      <c r="S5" s="215"/>
      <c r="T5" s="215"/>
      <c r="U5" s="215"/>
      <c r="V5" s="215"/>
      <c r="W5" s="230">
        <f>SUBTOTAL(109,Tabla610[[#This Row],[IMPORTE BRUTO]:[GUIAS]])</f>
        <v>50495200.000000007</v>
      </c>
      <c r="X5" s="20"/>
      <c r="Y5" s="20"/>
      <c r="Z5" s="233">
        <f t="shared" si="2"/>
        <v>50495200.000000007</v>
      </c>
      <c r="AA5" s="14" t="s">
        <v>156</v>
      </c>
      <c r="AB5" s="20" t="s">
        <v>154</v>
      </c>
      <c r="AC5" s="20" t="s">
        <v>150</v>
      </c>
      <c r="AD5" s="216" t="s">
        <v>155</v>
      </c>
      <c r="AE5" s="236" t="s">
        <v>48</v>
      </c>
      <c r="AF5" s="211" t="s">
        <v>148</v>
      </c>
      <c r="AG5" s="20" t="s">
        <v>208</v>
      </c>
      <c r="AH5" s="20"/>
    </row>
    <row r="6" spans="1:34" x14ac:dyDescent="0.25">
      <c r="A6" s="13">
        <v>45813</v>
      </c>
      <c r="B6" s="14" t="s">
        <v>9</v>
      </c>
      <c r="C6" s="14" t="s">
        <v>8</v>
      </c>
      <c r="D6" s="14">
        <v>63</v>
      </c>
      <c r="E6" s="14">
        <v>0</v>
      </c>
      <c r="F6" s="210">
        <f t="shared" si="0"/>
        <v>63</v>
      </c>
      <c r="G6" s="20"/>
      <c r="H6" s="217">
        <v>180.39</v>
      </c>
      <c r="I6" s="16">
        <f>Tabla610[[#This Row],[KG POR AN]]*Tabla610[[#This Row],[CANT NETA]]</f>
        <v>11364.57</v>
      </c>
      <c r="J6" s="16">
        <v>11653.333333333334</v>
      </c>
      <c r="K6" s="16"/>
      <c r="L6" s="17">
        <v>4000</v>
      </c>
      <c r="M6" s="18">
        <f>Tabla610[[#This Row],[KG TOTALES ORIG]]/Tabla610[[#This Row],[KG TOTAL BAL DEST]]-1</f>
        <v>-2.4779462242563E-2</v>
      </c>
      <c r="N6" s="17">
        <f>Tabla610[[#This Row],[KG TOTALES ORIG]]*L6</f>
        <v>45458280</v>
      </c>
      <c r="O6" s="20"/>
      <c r="P6" s="17">
        <f t="shared" si="1"/>
        <v>45458280</v>
      </c>
      <c r="Q6" s="215"/>
      <c r="R6" s="215"/>
      <c r="S6" s="215"/>
      <c r="T6" s="215"/>
      <c r="U6" s="215"/>
      <c r="V6" s="215"/>
      <c r="W6" s="230">
        <f>SUBTOTAL(109,Tabla610[[#This Row],[IMPORTE BRUTO]:[GUIAS]])</f>
        <v>45458280</v>
      </c>
      <c r="X6" s="20"/>
      <c r="Y6" s="20"/>
      <c r="Z6" s="233">
        <f t="shared" si="2"/>
        <v>45458280</v>
      </c>
      <c r="AA6" s="14" t="s">
        <v>156</v>
      </c>
      <c r="AB6" s="20" t="s">
        <v>154</v>
      </c>
      <c r="AC6" s="20" t="s">
        <v>150</v>
      </c>
      <c r="AD6" s="216" t="s">
        <v>155</v>
      </c>
      <c r="AE6" s="236" t="s">
        <v>48</v>
      </c>
      <c r="AF6" s="211" t="s">
        <v>149</v>
      </c>
      <c r="AG6" s="20" t="s">
        <v>208</v>
      </c>
      <c r="AH6" s="220"/>
    </row>
    <row r="7" spans="1:34" x14ac:dyDescent="0.25">
      <c r="A7" s="13">
        <v>45833</v>
      </c>
      <c r="B7" s="14" t="s">
        <v>9</v>
      </c>
      <c r="C7" s="14" t="s">
        <v>205</v>
      </c>
      <c r="D7" s="14">
        <v>63</v>
      </c>
      <c r="E7" s="14">
        <v>0</v>
      </c>
      <c r="F7" s="210">
        <f t="shared" si="0"/>
        <v>63</v>
      </c>
      <c r="G7" s="20"/>
      <c r="H7" s="217">
        <f>Tabla610[[#This Row],[KG TOTAL BAL DEST]]/Tabla610[[#This Row],[CANTIDAD]]</f>
        <v>153.36507936507937</v>
      </c>
      <c r="I7" s="16">
        <f>Tabla610[[#This Row],[KG POR AN]]*Tabla610[[#This Row],[CANT NETA]]</f>
        <v>9662</v>
      </c>
      <c r="J7" s="16">
        <v>9662</v>
      </c>
      <c r="K7" s="16"/>
      <c r="L7" s="17">
        <v>4300</v>
      </c>
      <c r="M7" s="18">
        <v>0.03</v>
      </c>
      <c r="N7" s="215">
        <f t="shared" ref="N7:N12" si="3">J7*L7</f>
        <v>41546600</v>
      </c>
      <c r="O7" s="20"/>
      <c r="P7" s="215">
        <f t="shared" si="1"/>
        <v>41546600</v>
      </c>
      <c r="Q7" s="215">
        <v>791350.5</v>
      </c>
      <c r="R7" s="215"/>
      <c r="S7" s="215">
        <f>(Tabla610[[#This Row],[IMPORTE BRUTO]]+Tabla610[[#This Row],[COMISIONES]])*0.105</f>
        <v>4445484.8025000002</v>
      </c>
      <c r="T7" s="215"/>
      <c r="U7" s="215"/>
      <c r="V7" s="215"/>
      <c r="W7" s="230">
        <f>SUBTOTAL(109,Tabla610[[#This Row],[IMPORTE BRUTO]:[GUIAS]])</f>
        <v>46783435.302500002</v>
      </c>
      <c r="X7" s="20"/>
      <c r="Y7" s="20"/>
      <c r="Z7" s="233">
        <f t="shared" si="2"/>
        <v>46783435.302500002</v>
      </c>
      <c r="AA7" s="14" t="s">
        <v>184</v>
      </c>
      <c r="AB7" s="20" t="s">
        <v>154</v>
      </c>
      <c r="AC7" s="20" t="s">
        <v>187</v>
      </c>
      <c r="AD7" s="216" t="s">
        <v>213</v>
      </c>
      <c r="AE7" s="236" t="s">
        <v>48</v>
      </c>
      <c r="AF7" s="216"/>
      <c r="AG7" s="20" t="s">
        <v>209</v>
      </c>
      <c r="AH7" s="220">
        <v>1064800</v>
      </c>
    </row>
    <row r="8" spans="1:34" x14ac:dyDescent="0.25">
      <c r="A8" s="13">
        <v>45833</v>
      </c>
      <c r="B8" s="14" t="s">
        <v>9</v>
      </c>
      <c r="C8" s="14" t="s">
        <v>206</v>
      </c>
      <c r="D8" s="14">
        <v>17</v>
      </c>
      <c r="E8" s="14">
        <v>0</v>
      </c>
      <c r="F8" s="210">
        <f>D8-E8</f>
        <v>17</v>
      </c>
      <c r="G8" s="20"/>
      <c r="H8" s="217">
        <f>Tabla610[[#This Row],[KG TOTAL BAL DEST]]/Tabla610[[#This Row],[CANTIDAD]]</f>
        <v>153.35294117647058</v>
      </c>
      <c r="I8" s="16">
        <f>Tabla610[[#This Row],[KG POR AN]]*Tabla610[[#This Row],[CANT NETA]]</f>
        <v>2607</v>
      </c>
      <c r="J8" s="16">
        <v>2607</v>
      </c>
      <c r="K8" s="16"/>
      <c r="L8" s="17">
        <v>4300</v>
      </c>
      <c r="M8" s="18">
        <v>0.03</v>
      </c>
      <c r="N8" s="215">
        <f t="shared" si="3"/>
        <v>11210100</v>
      </c>
      <c r="O8" s="20"/>
      <c r="P8" s="215">
        <f>N8-O8</f>
        <v>11210100</v>
      </c>
      <c r="Q8" s="215">
        <v>791350.5</v>
      </c>
      <c r="R8" s="215"/>
      <c r="S8" s="215">
        <f>(Tabla610[[#This Row],[IMPORTE BRUTO]]+Tabla610[[#This Row],[COMISIONES]])*0.105</f>
        <v>1260152.3025</v>
      </c>
      <c r="T8" s="215"/>
      <c r="U8" s="215"/>
      <c r="V8" s="215"/>
      <c r="W8" s="230">
        <f>SUBTOTAL(109,Tabla610[[#This Row],[IMPORTE BRUTO]:[GUIAS]])</f>
        <v>13261602.8025</v>
      </c>
      <c r="X8" s="20"/>
      <c r="Y8" s="20"/>
      <c r="Z8" s="233">
        <f>W8-X8-Y8</f>
        <v>13261602.8025</v>
      </c>
      <c r="AA8" s="14" t="s">
        <v>184</v>
      </c>
      <c r="AB8" s="20" t="s">
        <v>154</v>
      </c>
      <c r="AC8" s="20" t="s">
        <v>187</v>
      </c>
      <c r="AD8" s="216" t="s">
        <v>213</v>
      </c>
      <c r="AE8" s="236" t="s">
        <v>48</v>
      </c>
      <c r="AF8" s="216"/>
      <c r="AG8" s="20"/>
      <c r="AH8" s="220"/>
    </row>
    <row r="9" spans="1:34" x14ac:dyDescent="0.25">
      <c r="A9" s="13">
        <v>45840</v>
      </c>
      <c r="B9" s="14" t="s">
        <v>9</v>
      </c>
      <c r="C9" s="14" t="s">
        <v>205</v>
      </c>
      <c r="D9" s="14">
        <v>25</v>
      </c>
      <c r="E9" s="14">
        <v>0</v>
      </c>
      <c r="F9" s="210">
        <f>D9-E9</f>
        <v>25</v>
      </c>
      <c r="G9" s="20"/>
      <c r="H9" s="217">
        <f>Tabla610[[#This Row],[KG TOTAL BAL DEST]]/Tabla610[[#This Row],[CANTIDAD]]</f>
        <v>135.24</v>
      </c>
      <c r="I9" s="16">
        <f>Tabla610[[#This Row],[KG POR AN]]*Tabla610[[#This Row],[CANT NETA]]</f>
        <v>3381</v>
      </c>
      <c r="J9" s="16">
        <v>3381</v>
      </c>
      <c r="K9" s="16"/>
      <c r="L9" s="17">
        <v>3950</v>
      </c>
      <c r="M9" s="18">
        <v>0.03</v>
      </c>
      <c r="N9" s="215">
        <f t="shared" si="3"/>
        <v>13354950</v>
      </c>
      <c r="O9" s="20"/>
      <c r="P9" s="215">
        <f>N9-O9</f>
        <v>13354950</v>
      </c>
      <c r="Q9" s="215">
        <v>641025.77500000002</v>
      </c>
      <c r="R9" s="215"/>
      <c r="S9" s="215">
        <f>(Tabla610[[#This Row],[IMPORTE BRUTO]]+Tabla610[[#This Row],[COMISIONES]])*0.105</f>
        <v>1469577.4563750001</v>
      </c>
      <c r="T9" s="215"/>
      <c r="U9" s="215"/>
      <c r="V9" s="215"/>
      <c r="W9" s="230">
        <f>SUBTOTAL(109,Tabla610[[#This Row],[IMPORTE BRUTO]:[GUIAS]])</f>
        <v>15465553.231375001</v>
      </c>
      <c r="X9" s="20"/>
      <c r="Y9" s="20"/>
      <c r="Z9" s="233">
        <f>W9-X9-Y9</f>
        <v>15465553.231375001</v>
      </c>
      <c r="AA9" s="20" t="s">
        <v>186</v>
      </c>
      <c r="AB9" s="20" t="s">
        <v>154</v>
      </c>
      <c r="AC9" s="20" t="s">
        <v>187</v>
      </c>
      <c r="AD9" s="216" t="s">
        <v>214</v>
      </c>
      <c r="AE9" s="236" t="s">
        <v>48</v>
      </c>
      <c r="AF9" s="216"/>
      <c r="AG9" s="20"/>
      <c r="AH9" s="220"/>
    </row>
    <row r="10" spans="1:34" x14ac:dyDescent="0.25">
      <c r="A10" s="13">
        <v>45840</v>
      </c>
      <c r="B10" s="14" t="s">
        <v>9</v>
      </c>
      <c r="C10" s="14" t="s">
        <v>206</v>
      </c>
      <c r="D10" s="14">
        <v>55</v>
      </c>
      <c r="E10" s="14">
        <v>0</v>
      </c>
      <c r="F10" s="210">
        <f>D10-E10</f>
        <v>55</v>
      </c>
      <c r="G10" s="20"/>
      <c r="H10" s="217">
        <f>Tabla610[[#This Row],[KG TOTAL BAL DEST]]/Tabla610[[#This Row],[CANTIDAD]]</f>
        <v>135.23636363636365</v>
      </c>
      <c r="I10" s="16">
        <f>Tabla610[[#This Row],[KG POR AN]]*Tabla610[[#This Row],[CANT NETA]]</f>
        <v>7438.0000000000009</v>
      </c>
      <c r="J10" s="16">
        <v>7438</v>
      </c>
      <c r="K10" s="16"/>
      <c r="L10" s="17">
        <v>3950</v>
      </c>
      <c r="M10" s="18">
        <v>0.03</v>
      </c>
      <c r="N10" s="215">
        <f t="shared" si="3"/>
        <v>29380100</v>
      </c>
      <c r="O10" s="20"/>
      <c r="P10" s="215">
        <f>N10-O10</f>
        <v>29380100</v>
      </c>
      <c r="Q10" s="215">
        <v>641025.77500000002</v>
      </c>
      <c r="R10" s="215"/>
      <c r="S10" s="215">
        <f>(Tabla610[[#This Row],[IMPORTE BRUTO]]+Tabla610[[#This Row],[COMISIONES]])*0.105</f>
        <v>3152218.2063749996</v>
      </c>
      <c r="T10" s="215"/>
      <c r="U10" s="215"/>
      <c r="V10" s="215"/>
      <c r="W10" s="230">
        <f>SUBTOTAL(109,Tabla610[[#This Row],[IMPORTE BRUTO]:[GUIAS]])</f>
        <v>33173343.981374998</v>
      </c>
      <c r="X10" s="20"/>
      <c r="Y10" s="20"/>
      <c r="Z10" s="233">
        <f>W10-X10-Y10</f>
        <v>33173343.981374998</v>
      </c>
      <c r="AA10" s="20" t="s">
        <v>186</v>
      </c>
      <c r="AB10" s="20" t="s">
        <v>154</v>
      </c>
      <c r="AC10" s="20" t="s">
        <v>187</v>
      </c>
      <c r="AD10" s="216" t="s">
        <v>214</v>
      </c>
      <c r="AE10" s="236" t="s">
        <v>48</v>
      </c>
      <c r="AF10" s="216"/>
      <c r="AG10" s="20"/>
      <c r="AH10" s="220"/>
    </row>
    <row r="11" spans="1:34" x14ac:dyDescent="0.25">
      <c r="A11" s="13">
        <v>45832</v>
      </c>
      <c r="B11" s="14" t="s">
        <v>9</v>
      </c>
      <c r="C11" s="14" t="s">
        <v>8</v>
      </c>
      <c r="D11" s="14">
        <v>43</v>
      </c>
      <c r="E11" s="14">
        <v>0</v>
      </c>
      <c r="F11" s="210">
        <f t="shared" si="0"/>
        <v>43</v>
      </c>
      <c r="G11" s="20"/>
      <c r="H11" s="217">
        <f>Tabla610[[#This Row],[KG TOTAL BAL DEST]]/Tabla610[[#This Row],[CANT NETA]]</f>
        <v>181.48023255813953</v>
      </c>
      <c r="I11" s="16">
        <f>Tabla610[[#This Row],[KG POR AN]]*Tabla610[[#This Row],[CANT NETA]]</f>
        <v>7803.65</v>
      </c>
      <c r="J11" s="16">
        <v>7803.65</v>
      </c>
      <c r="K11" s="16"/>
      <c r="L11" s="17">
        <v>3800</v>
      </c>
      <c r="M11" s="18">
        <f>Tabla610[[#This Row],[KG TOTALES ORIG]]/Tabla610[[#This Row],[KG TOTAL BAL DEST]]-1</f>
        <v>0</v>
      </c>
      <c r="N11" s="215">
        <f t="shared" si="3"/>
        <v>29653870</v>
      </c>
      <c r="O11" s="20"/>
      <c r="P11" s="215">
        <f t="shared" si="1"/>
        <v>29653870</v>
      </c>
      <c r="Q11" s="215"/>
      <c r="R11" s="215"/>
      <c r="S11" s="215">
        <f>(Tabla610[[#This Row],[IMPORTE BRUTO]]+Tabla610[[#This Row],[COMISIONES]])*0.105</f>
        <v>3113656.35</v>
      </c>
      <c r="T11" s="215"/>
      <c r="U11" s="215"/>
      <c r="V11" s="215"/>
      <c r="W11" s="230">
        <f>SUBTOTAL(109,Tabla610[[#This Row],[IMPORTE BRUTO]:[GUIAS]])</f>
        <v>32767526.350000001</v>
      </c>
      <c r="X11" s="20"/>
      <c r="Y11" s="20"/>
      <c r="Z11" s="233">
        <f t="shared" si="2"/>
        <v>32767526.350000001</v>
      </c>
      <c r="AA11" s="20" t="s">
        <v>185</v>
      </c>
      <c r="AB11" s="20" t="s">
        <v>154</v>
      </c>
      <c r="AC11" s="20" t="s">
        <v>178</v>
      </c>
      <c r="AD11" s="216" t="s">
        <v>211</v>
      </c>
      <c r="AE11" s="236" t="s">
        <v>48</v>
      </c>
      <c r="AF11" s="216" t="s">
        <v>189</v>
      </c>
      <c r="AG11" s="20" t="s">
        <v>209</v>
      </c>
      <c r="AH11" s="220">
        <v>1064800</v>
      </c>
    </row>
    <row r="12" spans="1:34" x14ac:dyDescent="0.25">
      <c r="A12" s="13">
        <v>45832</v>
      </c>
      <c r="B12" s="14" t="s">
        <v>9</v>
      </c>
      <c r="C12" s="14" t="s">
        <v>8</v>
      </c>
      <c r="D12" s="14">
        <v>22</v>
      </c>
      <c r="E12" s="14">
        <v>0</v>
      </c>
      <c r="F12" s="210">
        <f t="shared" si="0"/>
        <v>22</v>
      </c>
      <c r="G12" s="20"/>
      <c r="H12" s="217">
        <f>Tabla610[[#This Row],[KG TOTAL BAL DEST]]/Tabla610[[#This Row],[CANT NETA]]</f>
        <v>159.83409090909092</v>
      </c>
      <c r="I12" s="16">
        <f>Tabla610[[#This Row],[KG POR AN]]*Tabla610[[#This Row],[CANT NETA]]</f>
        <v>3516.3500000000004</v>
      </c>
      <c r="J12" s="16">
        <f>11320-J11</f>
        <v>3516.3500000000004</v>
      </c>
      <c r="K12" s="16"/>
      <c r="L12" s="17">
        <v>3800</v>
      </c>
      <c r="M12" s="18">
        <f>Tabla610[[#This Row],[KG TOTALES ORIG]]/Tabla610[[#This Row],[KG TOTAL BAL DEST]]-1</f>
        <v>0</v>
      </c>
      <c r="N12" s="215">
        <f t="shared" si="3"/>
        <v>13362130.000000002</v>
      </c>
      <c r="O12" s="20"/>
      <c r="P12" s="215">
        <f t="shared" si="1"/>
        <v>13362130.000000002</v>
      </c>
      <c r="Q12" s="215"/>
      <c r="R12" s="215"/>
      <c r="S12" s="215">
        <f>(Tabla610[[#This Row],[IMPORTE BRUTO]]+Tabla610[[#This Row],[COMISIONES]])*0.105</f>
        <v>1403023.6500000001</v>
      </c>
      <c r="T12" s="215"/>
      <c r="U12" s="215"/>
      <c r="V12" s="215"/>
      <c r="W12" s="230">
        <f>SUBTOTAL(109,Tabla610[[#This Row],[IMPORTE BRUTO]:[GUIAS]])</f>
        <v>14765153.650000002</v>
      </c>
      <c r="X12" s="20"/>
      <c r="Y12" s="20"/>
      <c r="Z12" s="233">
        <f t="shared" si="2"/>
        <v>14765153.650000002</v>
      </c>
      <c r="AA12" s="20" t="s">
        <v>51</v>
      </c>
      <c r="AB12" s="20" t="s">
        <v>154</v>
      </c>
      <c r="AC12" s="20" t="s">
        <v>179</v>
      </c>
      <c r="AD12" s="216" t="s">
        <v>212</v>
      </c>
      <c r="AE12" s="236" t="s">
        <v>48</v>
      </c>
      <c r="AF12" s="216" t="s">
        <v>188</v>
      </c>
      <c r="AG12" s="20" t="s">
        <v>209</v>
      </c>
      <c r="AH12" s="220">
        <v>1064800</v>
      </c>
    </row>
    <row r="13" spans="1:34" x14ac:dyDescent="0.25">
      <c r="A13" s="13">
        <v>45960</v>
      </c>
      <c r="B13" s="14" t="s">
        <v>44</v>
      </c>
      <c r="C13" s="14" t="s">
        <v>8</v>
      </c>
      <c r="D13" s="20"/>
      <c r="E13" s="14">
        <v>1</v>
      </c>
      <c r="F13" s="210">
        <f t="shared" si="0"/>
        <v>-1</v>
      </c>
      <c r="G13" s="20"/>
      <c r="H13" s="217">
        <f>Tabla610[[#This Row],[KG TOTAL BAL DEST]]/Tabla610[[#This Row],[CANT NETA]]</f>
        <v>0</v>
      </c>
      <c r="I13" s="16">
        <f>Tabla610[[#This Row],[KG POR AN]]*Tabla610[[#This Row],[CANT NETA]]</f>
        <v>0</v>
      </c>
      <c r="J13" s="16"/>
      <c r="K13" s="20"/>
      <c r="L13" s="20"/>
      <c r="M13" s="20"/>
      <c r="N13" s="215"/>
      <c r="O13" s="20"/>
      <c r="P13" s="215"/>
      <c r="Q13" s="215"/>
      <c r="R13" s="215"/>
      <c r="S13" s="215">
        <f>(Tabla610[[#This Row],[IMPORTE BRUTO]]+Tabla610[[#This Row],[COMISIONES]])*0.105</f>
        <v>0</v>
      </c>
      <c r="T13" s="215"/>
      <c r="U13" s="215"/>
      <c r="V13" s="215"/>
      <c r="W13" s="230"/>
      <c r="X13" s="20"/>
      <c r="Y13" s="20"/>
      <c r="Z13" s="10"/>
      <c r="AA13" s="20"/>
      <c r="AB13" s="20"/>
      <c r="AC13" s="20"/>
      <c r="AD13" s="20"/>
      <c r="AE13" s="236"/>
      <c r="AF13" s="216"/>
      <c r="AG13" s="20"/>
      <c r="AH13" s="20"/>
    </row>
    <row r="14" spans="1:34" x14ac:dyDescent="0.25">
      <c r="A14" s="13">
        <v>46041</v>
      </c>
      <c r="B14" s="14" t="s">
        <v>44</v>
      </c>
      <c r="C14" s="14" t="s">
        <v>11</v>
      </c>
      <c r="D14" s="20"/>
      <c r="E14" s="14">
        <v>1</v>
      </c>
      <c r="F14" s="210">
        <f>D14-E14</f>
        <v>-1</v>
      </c>
      <c r="G14" s="20"/>
      <c r="H14" s="217">
        <f>Tabla610[[#This Row],[KG TOTAL BAL DEST]]/Tabla610[[#This Row],[CANT NETA]]</f>
        <v>0</v>
      </c>
      <c r="I14" s="16">
        <f>Tabla610[[#This Row],[KG POR AN]]*Tabla610[[#This Row],[CANT NETA]]</f>
        <v>0</v>
      </c>
      <c r="J14" s="16"/>
      <c r="K14" s="16"/>
      <c r="L14" s="20"/>
      <c r="M14" s="20"/>
      <c r="N14" s="215">
        <f>J14*L14</f>
        <v>0</v>
      </c>
      <c r="O14" s="20"/>
      <c r="P14" s="215">
        <f>N14-O14</f>
        <v>0</v>
      </c>
      <c r="Q14" s="20"/>
      <c r="R14" s="20"/>
      <c r="S14" s="215">
        <f>(Tabla610[[#This Row],[IMPORTE BRUTO]]+Tabla610[[#This Row],[COMISIONES]])*0.105</f>
        <v>0</v>
      </c>
      <c r="T14" s="20"/>
      <c r="U14" s="20"/>
      <c r="V14" s="20"/>
      <c r="W14" s="259">
        <f>P14-Q14-R14+S14+T14-U14-V14</f>
        <v>0</v>
      </c>
      <c r="X14" s="20"/>
      <c r="Y14" s="20"/>
      <c r="Z14" s="10">
        <f>W14-X14-Y14</f>
        <v>0</v>
      </c>
      <c r="AA14" s="20"/>
      <c r="AB14" s="20"/>
      <c r="AC14" s="20"/>
      <c r="AD14" s="20"/>
      <c r="AE14" s="236"/>
      <c r="AF14" s="216"/>
      <c r="AG14" s="20"/>
      <c r="AH14" s="20"/>
    </row>
    <row r="15" spans="1:34" x14ac:dyDescent="0.25">
      <c r="A15" s="13">
        <v>46052</v>
      </c>
      <c r="B15" s="14" t="s">
        <v>44</v>
      </c>
      <c r="C15" s="14" t="s">
        <v>11</v>
      </c>
      <c r="D15" s="20"/>
      <c r="E15" s="14">
        <v>1</v>
      </c>
      <c r="F15" s="210">
        <f>D15-E15</f>
        <v>-1</v>
      </c>
      <c r="G15" s="20"/>
      <c r="H15" s="217">
        <f>Tabla610[[#This Row],[KG TOTAL BAL DEST]]/Tabla610[[#This Row],[CANT NETA]]</f>
        <v>0</v>
      </c>
      <c r="I15" s="16">
        <f>Tabla610[[#This Row],[KG POR AN]]*Tabla610[[#This Row],[CANT NETA]]</f>
        <v>0</v>
      </c>
      <c r="J15" s="16"/>
      <c r="K15" s="16"/>
      <c r="L15" s="20"/>
      <c r="M15" s="20"/>
      <c r="N15" s="215">
        <f>J15*L15</f>
        <v>0</v>
      </c>
      <c r="O15" s="20"/>
      <c r="P15" s="215">
        <f>N15-O15</f>
        <v>0</v>
      </c>
      <c r="Q15" s="20"/>
      <c r="R15" s="20"/>
      <c r="S15" s="215">
        <f>(Tabla610[[#This Row],[IMPORTE BRUTO]]+Tabla610[[#This Row],[COMISIONES]])*0.105</f>
        <v>0</v>
      </c>
      <c r="T15" s="20"/>
      <c r="U15" s="20"/>
      <c r="V15" s="20"/>
      <c r="W15" s="259">
        <f>P15-Q15-R15+S15+T15-U15-V15</f>
        <v>0</v>
      </c>
      <c r="X15" s="20"/>
      <c r="Y15" s="20"/>
      <c r="Z15" s="10">
        <f>W15-X15-Y15</f>
        <v>0</v>
      </c>
      <c r="AA15" s="20"/>
      <c r="AB15" s="20"/>
      <c r="AC15" s="20"/>
      <c r="AD15" s="20"/>
      <c r="AE15" s="236"/>
      <c r="AF15" s="216"/>
      <c r="AG15" s="20"/>
      <c r="AH15" s="20"/>
    </row>
    <row r="16" spans="1:34" x14ac:dyDescent="0.25">
      <c r="A16" s="13">
        <v>46069</v>
      </c>
      <c r="B16" s="14" t="s">
        <v>44</v>
      </c>
      <c r="C16" s="14" t="s">
        <v>11</v>
      </c>
      <c r="D16" s="20"/>
      <c r="E16" s="14">
        <v>1</v>
      </c>
      <c r="F16" s="210">
        <f t="shared" ref="F16" si="4">D16-E16</f>
        <v>-1</v>
      </c>
      <c r="G16" s="20"/>
      <c r="H16" s="217">
        <f>Tabla610[[#This Row],[KG TOTAL BAL DEST]]/Tabla610[[#This Row],[CANT NETA]]</f>
        <v>0</v>
      </c>
      <c r="I16" s="16">
        <f>Tabla610[[#This Row],[KG POR AN]]*Tabla610[[#This Row],[CANT NETA]]</f>
        <v>0</v>
      </c>
      <c r="J16" s="16"/>
      <c r="K16" s="16"/>
      <c r="L16" s="20"/>
      <c r="M16" s="20"/>
      <c r="N16" s="215">
        <f t="shared" ref="N16" si="5">J16*L16</f>
        <v>0</v>
      </c>
      <c r="O16" s="20"/>
      <c r="P16" s="215">
        <f t="shared" ref="P16" si="6">N16-O16</f>
        <v>0</v>
      </c>
      <c r="Q16" s="20"/>
      <c r="R16" s="20"/>
      <c r="S16" s="215">
        <f>(Tabla610[[#This Row],[IMPORTE BRUTO]]+Tabla610[[#This Row],[COMISIONES]])*0.105</f>
        <v>0</v>
      </c>
      <c r="T16" s="20"/>
      <c r="U16" s="20"/>
      <c r="V16" s="20"/>
      <c r="W16" s="259">
        <f t="shared" ref="W16" si="7">P16-Q16-R16+S16+T16-U16-V16</f>
        <v>0</v>
      </c>
      <c r="X16" s="20"/>
      <c r="Y16" s="20"/>
      <c r="Z16" s="10">
        <f t="shared" ref="Z16" si="8">W16-X16-Y16</f>
        <v>0</v>
      </c>
      <c r="AA16" s="20"/>
      <c r="AB16" s="20"/>
      <c r="AC16" s="20"/>
      <c r="AD16" s="20"/>
      <c r="AE16" s="236"/>
      <c r="AF16" s="216"/>
      <c r="AG16" s="20"/>
      <c r="AH16" s="20"/>
    </row>
    <row r="17" spans="1:34" x14ac:dyDescent="0.25">
      <c r="A17" s="13">
        <v>45697</v>
      </c>
      <c r="B17" s="14" t="s">
        <v>0</v>
      </c>
      <c r="C17" s="14" t="s">
        <v>217</v>
      </c>
      <c r="D17" s="1">
        <v>47</v>
      </c>
      <c r="E17" s="14"/>
      <c r="F17" s="210">
        <f>D17-E17</f>
        <v>47</v>
      </c>
      <c r="G17" s="1"/>
      <c r="H17" s="217">
        <v>370.27659574468083</v>
      </c>
      <c r="I17" s="16">
        <f>Tabla610[[#This Row],[KG POR AN]]*Tabla610[[#This Row],[CANT NETA]]</f>
        <v>17403</v>
      </c>
      <c r="J17" s="16">
        <v>17403</v>
      </c>
      <c r="K17" s="16">
        <v>10094</v>
      </c>
      <c r="L17" s="17">
        <v>4495.12</v>
      </c>
      <c r="M17" s="1"/>
      <c r="N17" s="215">
        <f>J17*L17</f>
        <v>78228573.359999999</v>
      </c>
      <c r="O17" s="1"/>
      <c r="P17" s="215">
        <f>N17-O17</f>
        <v>78228573.359999999</v>
      </c>
      <c r="Q17" s="1"/>
      <c r="R17" s="1"/>
      <c r="S17" s="215">
        <f>(Tabla610[[#This Row],[IMPORTE BRUTO]]+Tabla610[[#This Row],[COMISIONES]])*0.105</f>
        <v>8214000.2028000001</v>
      </c>
      <c r="T17" s="1"/>
      <c r="U17" s="1"/>
      <c r="V17" s="1"/>
      <c r="W17" s="259">
        <f>P17-Q17-R17+S17+T17-U17-V17</f>
        <v>86442573.562800005</v>
      </c>
      <c r="X17" s="1"/>
      <c r="Y17" s="1"/>
      <c r="Z17" s="10">
        <f>W17-X17-Y17</f>
        <v>86442573.562800005</v>
      </c>
      <c r="AA17" s="1"/>
      <c r="AB17" s="20" t="s">
        <v>218</v>
      </c>
      <c r="AC17" s="20"/>
      <c r="AD17" s="20"/>
      <c r="AE17" s="236"/>
      <c r="AF17" s="216"/>
      <c r="AG17" s="20"/>
      <c r="AH17" s="20"/>
    </row>
  </sheetData>
  <hyperlinks>
    <hyperlink ref="AF4" r:id="rId1" xr:uid="{66D6A652-3523-456D-BCFA-160CF94F8626}"/>
    <hyperlink ref="AF5" r:id="rId2" xr:uid="{96DB5639-782F-4A47-BF2D-BFE79B0B58A4}"/>
    <hyperlink ref="AF6" r:id="rId3" display="N0008728459" xr:uid="{F45DF505-D010-408F-B099-4558A6A2F78A}"/>
    <hyperlink ref="AD3" r:id="rId4" xr:uid="{97419B16-8D40-4398-B8F8-D35BD1D4A379}"/>
    <hyperlink ref="AD4" r:id="rId5" xr:uid="{FE9CC249-6349-4413-A310-80BDF9D13CE0}"/>
    <hyperlink ref="AD5" r:id="rId6" xr:uid="{8C77981D-C78F-4252-9049-52F8D8D22515}"/>
    <hyperlink ref="AD6" r:id="rId7" xr:uid="{60CBEE41-FF31-4203-A50D-30B4C1B6FE6A}"/>
    <hyperlink ref="AD11" r:id="rId8" xr:uid="{A91D5A88-3CD4-4284-9AC6-A183E97BE115}"/>
    <hyperlink ref="AD12" r:id="rId9" xr:uid="{04400B41-776A-4BC9-A5B4-5095D5C9A275}"/>
    <hyperlink ref="AD7" r:id="rId10" xr:uid="{1DA774F5-2717-455A-9A18-C2F9440D4BE0}"/>
    <hyperlink ref="AD8" r:id="rId11" xr:uid="{C8DDC59A-DACC-4C85-B854-40B736A1943F}"/>
    <hyperlink ref="AD9" r:id="rId12" xr:uid="{63C84446-1A7D-4B7A-B0E7-F6E294511B3D}"/>
    <hyperlink ref="AD10" r:id="rId13" xr:uid="{718738BF-535D-4878-AFB6-1921863CB695}"/>
  </hyperlinks>
  <pageMargins left="0.7" right="0.7" top="0.75" bottom="0.75" header="0.3" footer="0.3"/>
  <legacyDrawing r:id="rId14"/>
  <tableParts count="1">
    <tablePart r:id="rId15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BF5FBE-5940-447A-9099-B409CFEC84AD}">
  <dimension ref="A1:F38"/>
  <sheetViews>
    <sheetView topLeftCell="A7" workbookViewId="0">
      <selection activeCell="H21" sqref="H21"/>
    </sheetView>
  </sheetViews>
  <sheetFormatPr baseColWidth="10" defaultColWidth="9.140625" defaultRowHeight="15" x14ac:dyDescent="0.25"/>
  <cols>
    <col min="1" max="1" width="12.7109375" customWidth="1"/>
    <col min="2" max="2" width="22.28515625" customWidth="1"/>
    <col min="3" max="3" width="45" customWidth="1"/>
    <col min="4" max="4" width="25.85546875" customWidth="1"/>
    <col min="5" max="5" width="25" bestFit="1" customWidth="1"/>
    <col min="6" max="6" width="15.28515625" bestFit="1" customWidth="1"/>
  </cols>
  <sheetData>
    <row r="1" spans="1:6" x14ac:dyDescent="0.25">
      <c r="A1" s="200" t="s">
        <v>5</v>
      </c>
      <c r="B1" s="200" t="s">
        <v>143</v>
      </c>
      <c r="C1" s="200" t="s">
        <v>142</v>
      </c>
      <c r="D1" s="200" t="s">
        <v>141</v>
      </c>
      <c r="E1" s="200" t="s">
        <v>168</v>
      </c>
      <c r="F1" s="200" t="s">
        <v>140</v>
      </c>
    </row>
    <row r="2" spans="1:6" x14ac:dyDescent="0.25">
      <c r="A2" s="193">
        <v>45685</v>
      </c>
      <c r="B2" s="12" t="s">
        <v>139</v>
      </c>
      <c r="C2" s="12" t="s">
        <v>138</v>
      </c>
      <c r="D2" s="12" t="s">
        <v>128</v>
      </c>
      <c r="E2" s="12" t="s">
        <v>0</v>
      </c>
      <c r="F2" s="12" t="s">
        <v>127</v>
      </c>
    </row>
    <row r="3" spans="1:6" x14ac:dyDescent="0.25">
      <c r="A3" s="193">
        <v>45685</v>
      </c>
      <c r="B3" s="12" t="s">
        <v>137</v>
      </c>
      <c r="C3" s="12" t="s">
        <v>136</v>
      </c>
      <c r="D3" s="12" t="s">
        <v>135</v>
      </c>
      <c r="E3" s="12" t="s">
        <v>0</v>
      </c>
      <c r="F3" s="12" t="s">
        <v>127</v>
      </c>
    </row>
    <row r="4" spans="1:6" x14ac:dyDescent="0.25">
      <c r="A4" s="193">
        <v>45685</v>
      </c>
      <c r="B4" s="12" t="s">
        <v>134</v>
      </c>
      <c r="C4" s="12" t="s">
        <v>133</v>
      </c>
      <c r="D4" s="12" t="s">
        <v>128</v>
      </c>
      <c r="E4" s="12" t="s">
        <v>0</v>
      </c>
      <c r="F4" s="12" t="s">
        <v>127</v>
      </c>
    </row>
    <row r="5" spans="1:6" x14ac:dyDescent="0.25">
      <c r="A5" s="193">
        <v>45685</v>
      </c>
      <c r="B5" s="12" t="s">
        <v>132</v>
      </c>
      <c r="C5" s="12" t="s">
        <v>131</v>
      </c>
      <c r="D5" s="12" t="s">
        <v>128</v>
      </c>
      <c r="E5" s="12" t="s">
        <v>0</v>
      </c>
      <c r="F5" s="12" t="s">
        <v>127</v>
      </c>
    </row>
    <row r="6" spans="1:6" x14ac:dyDescent="0.25">
      <c r="A6" s="193">
        <v>45685</v>
      </c>
      <c r="B6" s="12" t="s">
        <v>130</v>
      </c>
      <c r="C6" s="12" t="s">
        <v>129</v>
      </c>
      <c r="D6" s="12" t="s">
        <v>128</v>
      </c>
      <c r="E6" s="12" t="s">
        <v>0</v>
      </c>
      <c r="F6" s="12" t="s">
        <v>127</v>
      </c>
    </row>
    <row r="12" spans="1:6" x14ac:dyDescent="0.25">
      <c r="A12" s="200" t="s">
        <v>5</v>
      </c>
      <c r="B12" s="200" t="s">
        <v>169</v>
      </c>
      <c r="C12" s="200" t="s">
        <v>142</v>
      </c>
      <c r="D12" s="200" t="s">
        <v>141</v>
      </c>
      <c r="E12" s="200" t="s">
        <v>168</v>
      </c>
    </row>
    <row r="13" spans="1:6" x14ac:dyDescent="0.25">
      <c r="A13" s="213">
        <v>45813</v>
      </c>
      <c r="B13" s="212" t="s">
        <v>170</v>
      </c>
      <c r="C13" s="212" t="s">
        <v>171</v>
      </c>
      <c r="D13" s="20" t="s">
        <v>175</v>
      </c>
      <c r="E13" s="12" t="s">
        <v>176</v>
      </c>
    </row>
    <row r="14" spans="1:6" x14ac:dyDescent="0.25">
      <c r="A14" s="213">
        <v>45813</v>
      </c>
      <c r="B14" s="212"/>
      <c r="C14" s="212" t="s">
        <v>172</v>
      </c>
      <c r="D14" s="20" t="s">
        <v>175</v>
      </c>
      <c r="E14" s="12" t="s">
        <v>176</v>
      </c>
    </row>
    <row r="15" spans="1:6" x14ac:dyDescent="0.25">
      <c r="A15" s="213">
        <v>45813</v>
      </c>
      <c r="B15" s="212"/>
      <c r="C15" s="212" t="s">
        <v>173</v>
      </c>
      <c r="D15" s="20" t="s">
        <v>175</v>
      </c>
      <c r="E15" s="12" t="s">
        <v>176</v>
      </c>
    </row>
    <row r="16" spans="1:6" x14ac:dyDescent="0.25">
      <c r="A16" s="213">
        <v>45813</v>
      </c>
      <c r="B16" s="212"/>
      <c r="C16" s="212" t="s">
        <v>174</v>
      </c>
      <c r="D16" s="20" t="s">
        <v>175</v>
      </c>
      <c r="E16" s="12" t="s">
        <v>176</v>
      </c>
    </row>
    <row r="17" spans="1:5" x14ac:dyDescent="0.25">
      <c r="A17" s="213">
        <v>45813</v>
      </c>
      <c r="B17" s="212"/>
      <c r="C17" s="212" t="s">
        <v>177</v>
      </c>
      <c r="D17" s="20" t="s">
        <v>175</v>
      </c>
      <c r="E17" s="12" t="s">
        <v>176</v>
      </c>
    </row>
    <row r="18" spans="1:5" x14ac:dyDescent="0.25">
      <c r="A18" s="214">
        <v>45824</v>
      </c>
      <c r="B18" s="35" t="s">
        <v>170</v>
      </c>
      <c r="C18" s="35" t="s">
        <v>158</v>
      </c>
      <c r="D18" s="12" t="s">
        <v>128</v>
      </c>
      <c r="E18" s="12" t="s">
        <v>176</v>
      </c>
    </row>
    <row r="19" spans="1:5" x14ac:dyDescent="0.25">
      <c r="A19" s="214">
        <v>45824</v>
      </c>
      <c r="B19" s="35"/>
      <c r="C19" s="35" t="s">
        <v>159</v>
      </c>
      <c r="D19" s="12" t="s">
        <v>128</v>
      </c>
      <c r="E19" s="12" t="s">
        <v>176</v>
      </c>
    </row>
    <row r="20" spans="1:5" x14ac:dyDescent="0.25">
      <c r="A20" s="214">
        <v>45824</v>
      </c>
      <c r="B20" s="35"/>
      <c r="C20" s="35" t="s">
        <v>160</v>
      </c>
      <c r="D20" s="12" t="s">
        <v>128</v>
      </c>
      <c r="E20" s="12" t="s">
        <v>176</v>
      </c>
    </row>
    <row r="21" spans="1:5" x14ac:dyDescent="0.25">
      <c r="A21" s="214">
        <v>45824</v>
      </c>
      <c r="B21" s="35"/>
      <c r="C21" s="35" t="s">
        <v>161</v>
      </c>
      <c r="D21" s="12" t="s">
        <v>128</v>
      </c>
      <c r="E21" s="12" t="s">
        <v>176</v>
      </c>
    </row>
    <row r="22" spans="1:5" x14ac:dyDescent="0.25">
      <c r="A22" s="214">
        <v>45824</v>
      </c>
      <c r="B22" s="35" t="s">
        <v>162</v>
      </c>
      <c r="C22" s="35" t="s">
        <v>163</v>
      </c>
      <c r="D22" s="12" t="s">
        <v>128</v>
      </c>
      <c r="E22" s="12" t="s">
        <v>176</v>
      </c>
    </row>
    <row r="23" spans="1:5" x14ac:dyDescent="0.25">
      <c r="A23" s="214">
        <v>45824</v>
      </c>
      <c r="B23" s="35"/>
      <c r="C23" s="35" t="s">
        <v>164</v>
      </c>
      <c r="D23" s="12" t="s">
        <v>128</v>
      </c>
      <c r="E23" s="12" t="s">
        <v>176</v>
      </c>
    </row>
    <row r="24" spans="1:5" x14ac:dyDescent="0.25">
      <c r="A24" s="214">
        <v>45824</v>
      </c>
      <c r="B24" s="35"/>
      <c r="C24" s="35" t="s">
        <v>165</v>
      </c>
      <c r="D24" s="12" t="s">
        <v>128</v>
      </c>
      <c r="E24" s="12" t="s">
        <v>176</v>
      </c>
    </row>
    <row r="25" spans="1:5" x14ac:dyDescent="0.25">
      <c r="A25" s="214">
        <v>45824</v>
      </c>
      <c r="B25" s="35"/>
      <c r="C25" s="35" t="s">
        <v>166</v>
      </c>
      <c r="D25" s="12" t="s">
        <v>128</v>
      </c>
      <c r="E25" s="12" t="s">
        <v>176</v>
      </c>
    </row>
    <row r="26" spans="1:5" x14ac:dyDescent="0.25">
      <c r="A26" s="214">
        <v>45824</v>
      </c>
      <c r="B26" s="35"/>
      <c r="C26" s="35" t="s">
        <v>167</v>
      </c>
      <c r="D26" s="12" t="s">
        <v>128</v>
      </c>
      <c r="E26" s="12" t="s">
        <v>176</v>
      </c>
    </row>
    <row r="27" spans="1:5" x14ac:dyDescent="0.25">
      <c r="A27" s="214">
        <v>45840</v>
      </c>
      <c r="B27" s="35" t="s">
        <v>170</v>
      </c>
      <c r="C27" s="35" t="s">
        <v>190</v>
      </c>
      <c r="D27" s="12" t="s">
        <v>202</v>
      </c>
      <c r="E27" s="12" t="s">
        <v>176</v>
      </c>
    </row>
    <row r="28" spans="1:5" x14ac:dyDescent="0.25">
      <c r="A28" s="214">
        <v>45840</v>
      </c>
      <c r="B28" s="35"/>
      <c r="C28" s="35" t="s">
        <v>191</v>
      </c>
      <c r="D28" s="12" t="s">
        <v>202</v>
      </c>
      <c r="E28" s="12" t="s">
        <v>176</v>
      </c>
    </row>
    <row r="29" spans="1:5" x14ac:dyDescent="0.25">
      <c r="A29" s="214">
        <v>45840</v>
      </c>
      <c r="B29" s="35" t="s">
        <v>162</v>
      </c>
      <c r="C29" s="35" t="s">
        <v>192</v>
      </c>
      <c r="D29" s="12" t="s">
        <v>202</v>
      </c>
      <c r="E29" s="12" t="s">
        <v>176</v>
      </c>
    </row>
    <row r="30" spans="1:5" x14ac:dyDescent="0.25">
      <c r="A30" s="214">
        <v>45840</v>
      </c>
      <c r="B30" s="35"/>
      <c r="C30" s="35" t="s">
        <v>193</v>
      </c>
      <c r="D30" s="12" t="s">
        <v>202</v>
      </c>
      <c r="E30" s="12" t="s">
        <v>176</v>
      </c>
    </row>
    <row r="31" spans="1:5" x14ac:dyDescent="0.25">
      <c r="A31" s="214">
        <v>45840</v>
      </c>
      <c r="B31" s="35" t="s">
        <v>200</v>
      </c>
      <c r="C31" s="35" t="s">
        <v>194</v>
      </c>
      <c r="D31" s="12" t="s">
        <v>202</v>
      </c>
      <c r="E31" s="12" t="s">
        <v>176</v>
      </c>
    </row>
    <row r="32" spans="1:5" x14ac:dyDescent="0.25">
      <c r="A32" s="214">
        <v>45840</v>
      </c>
      <c r="B32" s="35"/>
      <c r="C32" s="35" t="s">
        <v>195</v>
      </c>
      <c r="D32" s="12" t="s">
        <v>202</v>
      </c>
      <c r="E32" s="12" t="s">
        <v>176</v>
      </c>
    </row>
    <row r="33" spans="1:5" x14ac:dyDescent="0.25">
      <c r="A33" s="214">
        <v>45840</v>
      </c>
      <c r="B33" s="35"/>
      <c r="C33" s="35" t="s">
        <v>193</v>
      </c>
      <c r="D33" s="12" t="s">
        <v>202</v>
      </c>
      <c r="E33" s="12" t="s">
        <v>176</v>
      </c>
    </row>
    <row r="34" spans="1:5" x14ac:dyDescent="0.25">
      <c r="A34" s="214">
        <v>45840</v>
      </c>
      <c r="B34" s="35"/>
      <c r="C34" s="35" t="s">
        <v>201</v>
      </c>
      <c r="D34" s="12" t="s">
        <v>202</v>
      </c>
      <c r="E34" s="12" t="s">
        <v>176</v>
      </c>
    </row>
    <row r="35" spans="1:5" x14ac:dyDescent="0.25">
      <c r="A35" s="214">
        <v>45840</v>
      </c>
      <c r="B35" s="35"/>
      <c r="C35" s="35" t="s">
        <v>196</v>
      </c>
      <c r="D35" s="12" t="s">
        <v>202</v>
      </c>
      <c r="E35" s="12" t="s">
        <v>176</v>
      </c>
    </row>
    <row r="36" spans="1:5" x14ac:dyDescent="0.25">
      <c r="A36" s="214">
        <v>45840</v>
      </c>
      <c r="B36" s="35"/>
      <c r="C36" s="35" t="s">
        <v>197</v>
      </c>
      <c r="D36" s="12" t="s">
        <v>202</v>
      </c>
      <c r="E36" s="12" t="s">
        <v>176</v>
      </c>
    </row>
    <row r="37" spans="1:5" x14ac:dyDescent="0.25">
      <c r="A37" s="214">
        <v>45840</v>
      </c>
      <c r="B37" s="35"/>
      <c r="C37" s="35" t="s">
        <v>198</v>
      </c>
      <c r="D37" s="12" t="s">
        <v>202</v>
      </c>
      <c r="E37" s="12" t="s">
        <v>176</v>
      </c>
    </row>
    <row r="38" spans="1:5" x14ac:dyDescent="0.25">
      <c r="A38" s="214">
        <v>45840</v>
      </c>
      <c r="B38" s="35"/>
      <c r="C38" s="35" t="s">
        <v>199</v>
      </c>
      <c r="D38" s="12" t="s">
        <v>202</v>
      </c>
      <c r="E38" s="12" t="s">
        <v>176</v>
      </c>
    </row>
  </sheetData>
  <phoneticPr fontId="34" type="noConversion"/>
  <pageMargins left="0.7" right="0.7" top="0.75" bottom="0.75" header="0.3" footer="0.3"/>
  <tableParts count="2">
    <tablePart r:id="rId1"/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94776B-844D-4A3E-9416-2BAC589AEE1E}">
  <sheetPr codeName="Hoja2">
    <pageSetUpPr fitToPage="1"/>
  </sheetPr>
  <dimension ref="A1:Y144"/>
  <sheetViews>
    <sheetView showGridLines="0" topLeftCell="A4" zoomScale="110" zoomScaleNormal="110" workbookViewId="0">
      <selection activeCell="E41" sqref="E41"/>
    </sheetView>
  </sheetViews>
  <sheetFormatPr baseColWidth="10" defaultRowHeight="18" customHeight="1" x14ac:dyDescent="0.25"/>
  <cols>
    <col min="1" max="1" width="4.28515625" style="43" customWidth="1"/>
    <col min="2" max="2" width="15.7109375" style="43" customWidth="1"/>
    <col min="3" max="3" width="20.140625" style="43" customWidth="1"/>
    <col min="4" max="4" width="18.7109375" style="43" customWidth="1"/>
    <col min="5" max="5" width="17.5703125" style="43" customWidth="1"/>
    <col min="6" max="6" width="17" style="43" customWidth="1"/>
    <col min="7" max="7" width="16.140625" style="43" customWidth="1"/>
    <col min="8" max="8" width="7.42578125" style="43" customWidth="1"/>
    <col min="9" max="9" width="2" style="43" customWidth="1"/>
    <col min="10" max="10" width="4.42578125" style="43" customWidth="1"/>
    <col min="11" max="11" width="8.140625" style="43" customWidth="1"/>
    <col min="12" max="12" width="25.28515625" style="43" bestFit="1" customWidth="1"/>
    <col min="13" max="13" width="10.5703125" style="43" customWidth="1"/>
    <col min="14" max="14" width="13.85546875" style="43" customWidth="1"/>
    <col min="15" max="17" width="10.5703125" style="43" customWidth="1"/>
    <col min="18" max="19" width="3" style="43" customWidth="1"/>
    <col min="20" max="20" width="6.85546875" style="43" hidden="1" customWidth="1"/>
    <col min="21" max="25" width="8" style="43" hidden="1" customWidth="1"/>
    <col min="26" max="256" width="11.42578125" style="43"/>
    <col min="257" max="257" width="4.28515625" style="43" customWidth="1"/>
    <col min="258" max="258" width="15.7109375" style="43" customWidth="1"/>
    <col min="259" max="259" width="20.140625" style="43" customWidth="1"/>
    <col min="260" max="260" width="18.7109375" style="43" customWidth="1"/>
    <col min="261" max="261" width="17.5703125" style="43" customWidth="1"/>
    <col min="262" max="262" width="17" style="43" customWidth="1"/>
    <col min="263" max="263" width="16.140625" style="43" customWidth="1"/>
    <col min="264" max="264" width="7.42578125" style="43" customWidth="1"/>
    <col min="265" max="265" width="2" style="43" customWidth="1"/>
    <col min="266" max="266" width="4.42578125" style="43" customWidth="1"/>
    <col min="267" max="267" width="8.140625" style="43" customWidth="1"/>
    <col min="268" max="268" width="25.28515625" style="43" bestFit="1" customWidth="1"/>
    <col min="269" max="269" width="10.5703125" style="43" customWidth="1"/>
    <col min="270" max="270" width="13.85546875" style="43" customWidth="1"/>
    <col min="271" max="273" width="10.5703125" style="43" customWidth="1"/>
    <col min="274" max="275" width="3" style="43" customWidth="1"/>
    <col min="276" max="281" width="0" style="43" hidden="1" customWidth="1"/>
    <col min="282" max="512" width="11.42578125" style="43"/>
    <col min="513" max="513" width="4.28515625" style="43" customWidth="1"/>
    <col min="514" max="514" width="15.7109375" style="43" customWidth="1"/>
    <col min="515" max="515" width="20.140625" style="43" customWidth="1"/>
    <col min="516" max="516" width="18.7109375" style="43" customWidth="1"/>
    <col min="517" max="517" width="17.5703125" style="43" customWidth="1"/>
    <col min="518" max="518" width="17" style="43" customWidth="1"/>
    <col min="519" max="519" width="16.140625" style="43" customWidth="1"/>
    <col min="520" max="520" width="7.42578125" style="43" customWidth="1"/>
    <col min="521" max="521" width="2" style="43" customWidth="1"/>
    <col min="522" max="522" width="4.42578125" style="43" customWidth="1"/>
    <col min="523" max="523" width="8.140625" style="43" customWidth="1"/>
    <col min="524" max="524" width="25.28515625" style="43" bestFit="1" customWidth="1"/>
    <col min="525" max="525" width="10.5703125" style="43" customWidth="1"/>
    <col min="526" max="526" width="13.85546875" style="43" customWidth="1"/>
    <col min="527" max="529" width="10.5703125" style="43" customWidth="1"/>
    <col min="530" max="531" width="3" style="43" customWidth="1"/>
    <col min="532" max="537" width="0" style="43" hidden="1" customWidth="1"/>
    <col min="538" max="768" width="11.42578125" style="43"/>
    <col min="769" max="769" width="4.28515625" style="43" customWidth="1"/>
    <col min="770" max="770" width="15.7109375" style="43" customWidth="1"/>
    <col min="771" max="771" width="20.140625" style="43" customWidth="1"/>
    <col min="772" max="772" width="18.7109375" style="43" customWidth="1"/>
    <col min="773" max="773" width="17.5703125" style="43" customWidth="1"/>
    <col min="774" max="774" width="17" style="43" customWidth="1"/>
    <col min="775" max="775" width="16.140625" style="43" customWidth="1"/>
    <col min="776" max="776" width="7.42578125" style="43" customWidth="1"/>
    <col min="777" max="777" width="2" style="43" customWidth="1"/>
    <col min="778" max="778" width="4.42578125" style="43" customWidth="1"/>
    <col min="779" max="779" width="8.140625" style="43" customWidth="1"/>
    <col min="780" max="780" width="25.28515625" style="43" bestFit="1" customWidth="1"/>
    <col min="781" max="781" width="10.5703125" style="43" customWidth="1"/>
    <col min="782" max="782" width="13.85546875" style="43" customWidth="1"/>
    <col min="783" max="785" width="10.5703125" style="43" customWidth="1"/>
    <col min="786" max="787" width="3" style="43" customWidth="1"/>
    <col min="788" max="793" width="0" style="43" hidden="1" customWidth="1"/>
    <col min="794" max="1024" width="11.42578125" style="43"/>
    <col min="1025" max="1025" width="4.28515625" style="43" customWidth="1"/>
    <col min="1026" max="1026" width="15.7109375" style="43" customWidth="1"/>
    <col min="1027" max="1027" width="20.140625" style="43" customWidth="1"/>
    <col min="1028" max="1028" width="18.7109375" style="43" customWidth="1"/>
    <col min="1029" max="1029" width="17.5703125" style="43" customWidth="1"/>
    <col min="1030" max="1030" width="17" style="43" customWidth="1"/>
    <col min="1031" max="1031" width="16.140625" style="43" customWidth="1"/>
    <col min="1032" max="1032" width="7.42578125" style="43" customWidth="1"/>
    <col min="1033" max="1033" width="2" style="43" customWidth="1"/>
    <col min="1034" max="1034" width="4.42578125" style="43" customWidth="1"/>
    <col min="1035" max="1035" width="8.140625" style="43" customWidth="1"/>
    <col min="1036" max="1036" width="25.28515625" style="43" bestFit="1" customWidth="1"/>
    <col min="1037" max="1037" width="10.5703125" style="43" customWidth="1"/>
    <col min="1038" max="1038" width="13.85546875" style="43" customWidth="1"/>
    <col min="1039" max="1041" width="10.5703125" style="43" customWidth="1"/>
    <col min="1042" max="1043" width="3" style="43" customWidth="1"/>
    <col min="1044" max="1049" width="0" style="43" hidden="1" customWidth="1"/>
    <col min="1050" max="1280" width="11.42578125" style="43"/>
    <col min="1281" max="1281" width="4.28515625" style="43" customWidth="1"/>
    <col min="1282" max="1282" width="15.7109375" style="43" customWidth="1"/>
    <col min="1283" max="1283" width="20.140625" style="43" customWidth="1"/>
    <col min="1284" max="1284" width="18.7109375" style="43" customWidth="1"/>
    <col min="1285" max="1285" width="17.5703125" style="43" customWidth="1"/>
    <col min="1286" max="1286" width="17" style="43" customWidth="1"/>
    <col min="1287" max="1287" width="16.140625" style="43" customWidth="1"/>
    <col min="1288" max="1288" width="7.42578125" style="43" customWidth="1"/>
    <col min="1289" max="1289" width="2" style="43" customWidth="1"/>
    <col min="1290" max="1290" width="4.42578125" style="43" customWidth="1"/>
    <col min="1291" max="1291" width="8.140625" style="43" customWidth="1"/>
    <col min="1292" max="1292" width="25.28515625" style="43" bestFit="1" customWidth="1"/>
    <col min="1293" max="1293" width="10.5703125" style="43" customWidth="1"/>
    <col min="1294" max="1294" width="13.85546875" style="43" customWidth="1"/>
    <col min="1295" max="1297" width="10.5703125" style="43" customWidth="1"/>
    <col min="1298" max="1299" width="3" style="43" customWidth="1"/>
    <col min="1300" max="1305" width="0" style="43" hidden="1" customWidth="1"/>
    <col min="1306" max="1536" width="11.42578125" style="43"/>
    <col min="1537" max="1537" width="4.28515625" style="43" customWidth="1"/>
    <col min="1538" max="1538" width="15.7109375" style="43" customWidth="1"/>
    <col min="1539" max="1539" width="20.140625" style="43" customWidth="1"/>
    <col min="1540" max="1540" width="18.7109375" style="43" customWidth="1"/>
    <col min="1541" max="1541" width="17.5703125" style="43" customWidth="1"/>
    <col min="1542" max="1542" width="17" style="43" customWidth="1"/>
    <col min="1543" max="1543" width="16.140625" style="43" customWidth="1"/>
    <col min="1544" max="1544" width="7.42578125" style="43" customWidth="1"/>
    <col min="1545" max="1545" width="2" style="43" customWidth="1"/>
    <col min="1546" max="1546" width="4.42578125" style="43" customWidth="1"/>
    <col min="1547" max="1547" width="8.140625" style="43" customWidth="1"/>
    <col min="1548" max="1548" width="25.28515625" style="43" bestFit="1" customWidth="1"/>
    <col min="1549" max="1549" width="10.5703125" style="43" customWidth="1"/>
    <col min="1550" max="1550" width="13.85546875" style="43" customWidth="1"/>
    <col min="1551" max="1553" width="10.5703125" style="43" customWidth="1"/>
    <col min="1554" max="1555" width="3" style="43" customWidth="1"/>
    <col min="1556" max="1561" width="0" style="43" hidden="1" customWidth="1"/>
    <col min="1562" max="1792" width="11.42578125" style="43"/>
    <col min="1793" max="1793" width="4.28515625" style="43" customWidth="1"/>
    <col min="1794" max="1794" width="15.7109375" style="43" customWidth="1"/>
    <col min="1795" max="1795" width="20.140625" style="43" customWidth="1"/>
    <col min="1796" max="1796" width="18.7109375" style="43" customWidth="1"/>
    <col min="1797" max="1797" width="17.5703125" style="43" customWidth="1"/>
    <col min="1798" max="1798" width="17" style="43" customWidth="1"/>
    <col min="1799" max="1799" width="16.140625" style="43" customWidth="1"/>
    <col min="1800" max="1800" width="7.42578125" style="43" customWidth="1"/>
    <col min="1801" max="1801" width="2" style="43" customWidth="1"/>
    <col min="1802" max="1802" width="4.42578125" style="43" customWidth="1"/>
    <col min="1803" max="1803" width="8.140625" style="43" customWidth="1"/>
    <col min="1804" max="1804" width="25.28515625" style="43" bestFit="1" customWidth="1"/>
    <col min="1805" max="1805" width="10.5703125" style="43" customWidth="1"/>
    <col min="1806" max="1806" width="13.85546875" style="43" customWidth="1"/>
    <col min="1807" max="1809" width="10.5703125" style="43" customWidth="1"/>
    <col min="1810" max="1811" width="3" style="43" customWidth="1"/>
    <col min="1812" max="1817" width="0" style="43" hidden="1" customWidth="1"/>
    <col min="1818" max="2048" width="11.42578125" style="43"/>
    <col min="2049" max="2049" width="4.28515625" style="43" customWidth="1"/>
    <col min="2050" max="2050" width="15.7109375" style="43" customWidth="1"/>
    <col min="2051" max="2051" width="20.140625" style="43" customWidth="1"/>
    <col min="2052" max="2052" width="18.7109375" style="43" customWidth="1"/>
    <col min="2053" max="2053" width="17.5703125" style="43" customWidth="1"/>
    <col min="2054" max="2054" width="17" style="43" customWidth="1"/>
    <col min="2055" max="2055" width="16.140625" style="43" customWidth="1"/>
    <col min="2056" max="2056" width="7.42578125" style="43" customWidth="1"/>
    <col min="2057" max="2057" width="2" style="43" customWidth="1"/>
    <col min="2058" max="2058" width="4.42578125" style="43" customWidth="1"/>
    <col min="2059" max="2059" width="8.140625" style="43" customWidth="1"/>
    <col min="2060" max="2060" width="25.28515625" style="43" bestFit="1" customWidth="1"/>
    <col min="2061" max="2061" width="10.5703125" style="43" customWidth="1"/>
    <col min="2062" max="2062" width="13.85546875" style="43" customWidth="1"/>
    <col min="2063" max="2065" width="10.5703125" style="43" customWidth="1"/>
    <col min="2066" max="2067" width="3" style="43" customWidth="1"/>
    <col min="2068" max="2073" width="0" style="43" hidden="1" customWidth="1"/>
    <col min="2074" max="2304" width="11.42578125" style="43"/>
    <col min="2305" max="2305" width="4.28515625" style="43" customWidth="1"/>
    <col min="2306" max="2306" width="15.7109375" style="43" customWidth="1"/>
    <col min="2307" max="2307" width="20.140625" style="43" customWidth="1"/>
    <col min="2308" max="2308" width="18.7109375" style="43" customWidth="1"/>
    <col min="2309" max="2309" width="17.5703125" style="43" customWidth="1"/>
    <col min="2310" max="2310" width="17" style="43" customWidth="1"/>
    <col min="2311" max="2311" width="16.140625" style="43" customWidth="1"/>
    <col min="2312" max="2312" width="7.42578125" style="43" customWidth="1"/>
    <col min="2313" max="2313" width="2" style="43" customWidth="1"/>
    <col min="2314" max="2314" width="4.42578125" style="43" customWidth="1"/>
    <col min="2315" max="2315" width="8.140625" style="43" customWidth="1"/>
    <col min="2316" max="2316" width="25.28515625" style="43" bestFit="1" customWidth="1"/>
    <col min="2317" max="2317" width="10.5703125" style="43" customWidth="1"/>
    <col min="2318" max="2318" width="13.85546875" style="43" customWidth="1"/>
    <col min="2319" max="2321" width="10.5703125" style="43" customWidth="1"/>
    <col min="2322" max="2323" width="3" style="43" customWidth="1"/>
    <col min="2324" max="2329" width="0" style="43" hidden="1" customWidth="1"/>
    <col min="2330" max="2560" width="11.42578125" style="43"/>
    <col min="2561" max="2561" width="4.28515625" style="43" customWidth="1"/>
    <col min="2562" max="2562" width="15.7109375" style="43" customWidth="1"/>
    <col min="2563" max="2563" width="20.140625" style="43" customWidth="1"/>
    <col min="2564" max="2564" width="18.7109375" style="43" customWidth="1"/>
    <col min="2565" max="2565" width="17.5703125" style="43" customWidth="1"/>
    <col min="2566" max="2566" width="17" style="43" customWidth="1"/>
    <col min="2567" max="2567" width="16.140625" style="43" customWidth="1"/>
    <col min="2568" max="2568" width="7.42578125" style="43" customWidth="1"/>
    <col min="2569" max="2569" width="2" style="43" customWidth="1"/>
    <col min="2570" max="2570" width="4.42578125" style="43" customWidth="1"/>
    <col min="2571" max="2571" width="8.140625" style="43" customWidth="1"/>
    <col min="2572" max="2572" width="25.28515625" style="43" bestFit="1" customWidth="1"/>
    <col min="2573" max="2573" width="10.5703125" style="43" customWidth="1"/>
    <col min="2574" max="2574" width="13.85546875" style="43" customWidth="1"/>
    <col min="2575" max="2577" width="10.5703125" style="43" customWidth="1"/>
    <col min="2578" max="2579" width="3" style="43" customWidth="1"/>
    <col min="2580" max="2585" width="0" style="43" hidden="1" customWidth="1"/>
    <col min="2586" max="2816" width="11.42578125" style="43"/>
    <col min="2817" max="2817" width="4.28515625" style="43" customWidth="1"/>
    <col min="2818" max="2818" width="15.7109375" style="43" customWidth="1"/>
    <col min="2819" max="2819" width="20.140625" style="43" customWidth="1"/>
    <col min="2820" max="2820" width="18.7109375" style="43" customWidth="1"/>
    <col min="2821" max="2821" width="17.5703125" style="43" customWidth="1"/>
    <col min="2822" max="2822" width="17" style="43" customWidth="1"/>
    <col min="2823" max="2823" width="16.140625" style="43" customWidth="1"/>
    <col min="2824" max="2824" width="7.42578125" style="43" customWidth="1"/>
    <col min="2825" max="2825" width="2" style="43" customWidth="1"/>
    <col min="2826" max="2826" width="4.42578125" style="43" customWidth="1"/>
    <col min="2827" max="2827" width="8.140625" style="43" customWidth="1"/>
    <col min="2828" max="2828" width="25.28515625" style="43" bestFit="1" customWidth="1"/>
    <col min="2829" max="2829" width="10.5703125" style="43" customWidth="1"/>
    <col min="2830" max="2830" width="13.85546875" style="43" customWidth="1"/>
    <col min="2831" max="2833" width="10.5703125" style="43" customWidth="1"/>
    <col min="2834" max="2835" width="3" style="43" customWidth="1"/>
    <col min="2836" max="2841" width="0" style="43" hidden="1" customWidth="1"/>
    <col min="2842" max="3072" width="11.42578125" style="43"/>
    <col min="3073" max="3073" width="4.28515625" style="43" customWidth="1"/>
    <col min="3074" max="3074" width="15.7109375" style="43" customWidth="1"/>
    <col min="3075" max="3075" width="20.140625" style="43" customWidth="1"/>
    <col min="3076" max="3076" width="18.7109375" style="43" customWidth="1"/>
    <col min="3077" max="3077" width="17.5703125" style="43" customWidth="1"/>
    <col min="3078" max="3078" width="17" style="43" customWidth="1"/>
    <col min="3079" max="3079" width="16.140625" style="43" customWidth="1"/>
    <col min="3080" max="3080" width="7.42578125" style="43" customWidth="1"/>
    <col min="3081" max="3081" width="2" style="43" customWidth="1"/>
    <col min="3082" max="3082" width="4.42578125" style="43" customWidth="1"/>
    <col min="3083" max="3083" width="8.140625" style="43" customWidth="1"/>
    <col min="3084" max="3084" width="25.28515625" style="43" bestFit="1" customWidth="1"/>
    <col min="3085" max="3085" width="10.5703125" style="43" customWidth="1"/>
    <col min="3086" max="3086" width="13.85546875" style="43" customWidth="1"/>
    <col min="3087" max="3089" width="10.5703125" style="43" customWidth="1"/>
    <col min="3090" max="3091" width="3" style="43" customWidth="1"/>
    <col min="3092" max="3097" width="0" style="43" hidden="1" customWidth="1"/>
    <col min="3098" max="3328" width="11.42578125" style="43"/>
    <col min="3329" max="3329" width="4.28515625" style="43" customWidth="1"/>
    <col min="3330" max="3330" width="15.7109375" style="43" customWidth="1"/>
    <col min="3331" max="3331" width="20.140625" style="43" customWidth="1"/>
    <col min="3332" max="3332" width="18.7109375" style="43" customWidth="1"/>
    <col min="3333" max="3333" width="17.5703125" style="43" customWidth="1"/>
    <col min="3334" max="3334" width="17" style="43" customWidth="1"/>
    <col min="3335" max="3335" width="16.140625" style="43" customWidth="1"/>
    <col min="3336" max="3336" width="7.42578125" style="43" customWidth="1"/>
    <col min="3337" max="3337" width="2" style="43" customWidth="1"/>
    <col min="3338" max="3338" width="4.42578125" style="43" customWidth="1"/>
    <col min="3339" max="3339" width="8.140625" style="43" customWidth="1"/>
    <col min="3340" max="3340" width="25.28515625" style="43" bestFit="1" customWidth="1"/>
    <col min="3341" max="3341" width="10.5703125" style="43" customWidth="1"/>
    <col min="3342" max="3342" width="13.85546875" style="43" customWidth="1"/>
    <col min="3343" max="3345" width="10.5703125" style="43" customWidth="1"/>
    <col min="3346" max="3347" width="3" style="43" customWidth="1"/>
    <col min="3348" max="3353" width="0" style="43" hidden="1" customWidth="1"/>
    <col min="3354" max="3584" width="11.42578125" style="43"/>
    <col min="3585" max="3585" width="4.28515625" style="43" customWidth="1"/>
    <col min="3586" max="3586" width="15.7109375" style="43" customWidth="1"/>
    <col min="3587" max="3587" width="20.140625" style="43" customWidth="1"/>
    <col min="3588" max="3588" width="18.7109375" style="43" customWidth="1"/>
    <col min="3589" max="3589" width="17.5703125" style="43" customWidth="1"/>
    <col min="3590" max="3590" width="17" style="43" customWidth="1"/>
    <col min="3591" max="3591" width="16.140625" style="43" customWidth="1"/>
    <col min="3592" max="3592" width="7.42578125" style="43" customWidth="1"/>
    <col min="3593" max="3593" width="2" style="43" customWidth="1"/>
    <col min="3594" max="3594" width="4.42578125" style="43" customWidth="1"/>
    <col min="3595" max="3595" width="8.140625" style="43" customWidth="1"/>
    <col min="3596" max="3596" width="25.28515625" style="43" bestFit="1" customWidth="1"/>
    <col min="3597" max="3597" width="10.5703125" style="43" customWidth="1"/>
    <col min="3598" max="3598" width="13.85546875" style="43" customWidth="1"/>
    <col min="3599" max="3601" width="10.5703125" style="43" customWidth="1"/>
    <col min="3602" max="3603" width="3" style="43" customWidth="1"/>
    <col min="3604" max="3609" width="0" style="43" hidden="1" customWidth="1"/>
    <col min="3610" max="3840" width="11.42578125" style="43"/>
    <col min="3841" max="3841" width="4.28515625" style="43" customWidth="1"/>
    <col min="3842" max="3842" width="15.7109375" style="43" customWidth="1"/>
    <col min="3843" max="3843" width="20.140625" style="43" customWidth="1"/>
    <col min="3844" max="3844" width="18.7109375" style="43" customWidth="1"/>
    <col min="3845" max="3845" width="17.5703125" style="43" customWidth="1"/>
    <col min="3846" max="3846" width="17" style="43" customWidth="1"/>
    <col min="3847" max="3847" width="16.140625" style="43" customWidth="1"/>
    <col min="3848" max="3848" width="7.42578125" style="43" customWidth="1"/>
    <col min="3849" max="3849" width="2" style="43" customWidth="1"/>
    <col min="3850" max="3850" width="4.42578125" style="43" customWidth="1"/>
    <col min="3851" max="3851" width="8.140625" style="43" customWidth="1"/>
    <col min="3852" max="3852" width="25.28515625" style="43" bestFit="1" customWidth="1"/>
    <col min="3853" max="3853" width="10.5703125" style="43" customWidth="1"/>
    <col min="3854" max="3854" width="13.85546875" style="43" customWidth="1"/>
    <col min="3855" max="3857" width="10.5703125" style="43" customWidth="1"/>
    <col min="3858" max="3859" width="3" style="43" customWidth="1"/>
    <col min="3860" max="3865" width="0" style="43" hidden="1" customWidth="1"/>
    <col min="3866" max="4096" width="11.42578125" style="43"/>
    <col min="4097" max="4097" width="4.28515625" style="43" customWidth="1"/>
    <col min="4098" max="4098" width="15.7109375" style="43" customWidth="1"/>
    <col min="4099" max="4099" width="20.140625" style="43" customWidth="1"/>
    <col min="4100" max="4100" width="18.7109375" style="43" customWidth="1"/>
    <col min="4101" max="4101" width="17.5703125" style="43" customWidth="1"/>
    <col min="4102" max="4102" width="17" style="43" customWidth="1"/>
    <col min="4103" max="4103" width="16.140625" style="43" customWidth="1"/>
    <col min="4104" max="4104" width="7.42578125" style="43" customWidth="1"/>
    <col min="4105" max="4105" width="2" style="43" customWidth="1"/>
    <col min="4106" max="4106" width="4.42578125" style="43" customWidth="1"/>
    <col min="4107" max="4107" width="8.140625" style="43" customWidth="1"/>
    <col min="4108" max="4108" width="25.28515625" style="43" bestFit="1" customWidth="1"/>
    <col min="4109" max="4109" width="10.5703125" style="43" customWidth="1"/>
    <col min="4110" max="4110" width="13.85546875" style="43" customWidth="1"/>
    <col min="4111" max="4113" width="10.5703125" style="43" customWidth="1"/>
    <col min="4114" max="4115" width="3" style="43" customWidth="1"/>
    <col min="4116" max="4121" width="0" style="43" hidden="1" customWidth="1"/>
    <col min="4122" max="4352" width="11.42578125" style="43"/>
    <col min="4353" max="4353" width="4.28515625" style="43" customWidth="1"/>
    <col min="4354" max="4354" width="15.7109375" style="43" customWidth="1"/>
    <col min="4355" max="4355" width="20.140625" style="43" customWidth="1"/>
    <col min="4356" max="4356" width="18.7109375" style="43" customWidth="1"/>
    <col min="4357" max="4357" width="17.5703125" style="43" customWidth="1"/>
    <col min="4358" max="4358" width="17" style="43" customWidth="1"/>
    <col min="4359" max="4359" width="16.140625" style="43" customWidth="1"/>
    <col min="4360" max="4360" width="7.42578125" style="43" customWidth="1"/>
    <col min="4361" max="4361" width="2" style="43" customWidth="1"/>
    <col min="4362" max="4362" width="4.42578125" style="43" customWidth="1"/>
    <col min="4363" max="4363" width="8.140625" style="43" customWidth="1"/>
    <col min="4364" max="4364" width="25.28515625" style="43" bestFit="1" customWidth="1"/>
    <col min="4365" max="4365" width="10.5703125" style="43" customWidth="1"/>
    <col min="4366" max="4366" width="13.85546875" style="43" customWidth="1"/>
    <col min="4367" max="4369" width="10.5703125" style="43" customWidth="1"/>
    <col min="4370" max="4371" width="3" style="43" customWidth="1"/>
    <col min="4372" max="4377" width="0" style="43" hidden="1" customWidth="1"/>
    <col min="4378" max="4608" width="11.42578125" style="43"/>
    <col min="4609" max="4609" width="4.28515625" style="43" customWidth="1"/>
    <col min="4610" max="4610" width="15.7109375" style="43" customWidth="1"/>
    <col min="4611" max="4611" width="20.140625" style="43" customWidth="1"/>
    <col min="4612" max="4612" width="18.7109375" style="43" customWidth="1"/>
    <col min="4613" max="4613" width="17.5703125" style="43" customWidth="1"/>
    <col min="4614" max="4614" width="17" style="43" customWidth="1"/>
    <col min="4615" max="4615" width="16.140625" style="43" customWidth="1"/>
    <col min="4616" max="4616" width="7.42578125" style="43" customWidth="1"/>
    <col min="4617" max="4617" width="2" style="43" customWidth="1"/>
    <col min="4618" max="4618" width="4.42578125" style="43" customWidth="1"/>
    <col min="4619" max="4619" width="8.140625" style="43" customWidth="1"/>
    <col min="4620" max="4620" width="25.28515625" style="43" bestFit="1" customWidth="1"/>
    <col min="4621" max="4621" width="10.5703125" style="43" customWidth="1"/>
    <col min="4622" max="4622" width="13.85546875" style="43" customWidth="1"/>
    <col min="4623" max="4625" width="10.5703125" style="43" customWidth="1"/>
    <col min="4626" max="4627" width="3" style="43" customWidth="1"/>
    <col min="4628" max="4633" width="0" style="43" hidden="1" customWidth="1"/>
    <col min="4634" max="4864" width="11.42578125" style="43"/>
    <col min="4865" max="4865" width="4.28515625" style="43" customWidth="1"/>
    <col min="4866" max="4866" width="15.7109375" style="43" customWidth="1"/>
    <col min="4867" max="4867" width="20.140625" style="43" customWidth="1"/>
    <col min="4868" max="4868" width="18.7109375" style="43" customWidth="1"/>
    <col min="4869" max="4869" width="17.5703125" style="43" customWidth="1"/>
    <col min="4870" max="4870" width="17" style="43" customWidth="1"/>
    <col min="4871" max="4871" width="16.140625" style="43" customWidth="1"/>
    <col min="4872" max="4872" width="7.42578125" style="43" customWidth="1"/>
    <col min="4873" max="4873" width="2" style="43" customWidth="1"/>
    <col min="4874" max="4874" width="4.42578125" style="43" customWidth="1"/>
    <col min="4875" max="4875" width="8.140625" style="43" customWidth="1"/>
    <col min="4876" max="4876" width="25.28515625" style="43" bestFit="1" customWidth="1"/>
    <col min="4877" max="4877" width="10.5703125" style="43" customWidth="1"/>
    <col min="4878" max="4878" width="13.85546875" style="43" customWidth="1"/>
    <col min="4879" max="4881" width="10.5703125" style="43" customWidth="1"/>
    <col min="4882" max="4883" width="3" style="43" customWidth="1"/>
    <col min="4884" max="4889" width="0" style="43" hidden="1" customWidth="1"/>
    <col min="4890" max="5120" width="11.42578125" style="43"/>
    <col min="5121" max="5121" width="4.28515625" style="43" customWidth="1"/>
    <col min="5122" max="5122" width="15.7109375" style="43" customWidth="1"/>
    <col min="5123" max="5123" width="20.140625" style="43" customWidth="1"/>
    <col min="5124" max="5124" width="18.7109375" style="43" customWidth="1"/>
    <col min="5125" max="5125" width="17.5703125" style="43" customWidth="1"/>
    <col min="5126" max="5126" width="17" style="43" customWidth="1"/>
    <col min="5127" max="5127" width="16.140625" style="43" customWidth="1"/>
    <col min="5128" max="5128" width="7.42578125" style="43" customWidth="1"/>
    <col min="5129" max="5129" width="2" style="43" customWidth="1"/>
    <col min="5130" max="5130" width="4.42578125" style="43" customWidth="1"/>
    <col min="5131" max="5131" width="8.140625" style="43" customWidth="1"/>
    <col min="5132" max="5132" width="25.28515625" style="43" bestFit="1" customWidth="1"/>
    <col min="5133" max="5133" width="10.5703125" style="43" customWidth="1"/>
    <col min="5134" max="5134" width="13.85546875" style="43" customWidth="1"/>
    <col min="5135" max="5137" width="10.5703125" style="43" customWidth="1"/>
    <col min="5138" max="5139" width="3" style="43" customWidth="1"/>
    <col min="5140" max="5145" width="0" style="43" hidden="1" customWidth="1"/>
    <col min="5146" max="5376" width="11.42578125" style="43"/>
    <col min="5377" max="5377" width="4.28515625" style="43" customWidth="1"/>
    <col min="5378" max="5378" width="15.7109375" style="43" customWidth="1"/>
    <col min="5379" max="5379" width="20.140625" style="43" customWidth="1"/>
    <col min="5380" max="5380" width="18.7109375" style="43" customWidth="1"/>
    <col min="5381" max="5381" width="17.5703125" style="43" customWidth="1"/>
    <col min="5382" max="5382" width="17" style="43" customWidth="1"/>
    <col min="5383" max="5383" width="16.140625" style="43" customWidth="1"/>
    <col min="5384" max="5384" width="7.42578125" style="43" customWidth="1"/>
    <col min="5385" max="5385" width="2" style="43" customWidth="1"/>
    <col min="5386" max="5386" width="4.42578125" style="43" customWidth="1"/>
    <col min="5387" max="5387" width="8.140625" style="43" customWidth="1"/>
    <col min="5388" max="5388" width="25.28515625" style="43" bestFit="1" customWidth="1"/>
    <col min="5389" max="5389" width="10.5703125" style="43" customWidth="1"/>
    <col min="5390" max="5390" width="13.85546875" style="43" customWidth="1"/>
    <col min="5391" max="5393" width="10.5703125" style="43" customWidth="1"/>
    <col min="5394" max="5395" width="3" style="43" customWidth="1"/>
    <col min="5396" max="5401" width="0" style="43" hidden="1" customWidth="1"/>
    <col min="5402" max="5632" width="11.42578125" style="43"/>
    <col min="5633" max="5633" width="4.28515625" style="43" customWidth="1"/>
    <col min="5634" max="5634" width="15.7109375" style="43" customWidth="1"/>
    <col min="5635" max="5635" width="20.140625" style="43" customWidth="1"/>
    <col min="5636" max="5636" width="18.7109375" style="43" customWidth="1"/>
    <col min="5637" max="5637" width="17.5703125" style="43" customWidth="1"/>
    <col min="5638" max="5638" width="17" style="43" customWidth="1"/>
    <col min="5639" max="5639" width="16.140625" style="43" customWidth="1"/>
    <col min="5640" max="5640" width="7.42578125" style="43" customWidth="1"/>
    <col min="5641" max="5641" width="2" style="43" customWidth="1"/>
    <col min="5642" max="5642" width="4.42578125" style="43" customWidth="1"/>
    <col min="5643" max="5643" width="8.140625" style="43" customWidth="1"/>
    <col min="5644" max="5644" width="25.28515625" style="43" bestFit="1" customWidth="1"/>
    <col min="5645" max="5645" width="10.5703125" style="43" customWidth="1"/>
    <col min="5646" max="5646" width="13.85546875" style="43" customWidth="1"/>
    <col min="5647" max="5649" width="10.5703125" style="43" customWidth="1"/>
    <col min="5650" max="5651" width="3" style="43" customWidth="1"/>
    <col min="5652" max="5657" width="0" style="43" hidden="1" customWidth="1"/>
    <col min="5658" max="5888" width="11.42578125" style="43"/>
    <col min="5889" max="5889" width="4.28515625" style="43" customWidth="1"/>
    <col min="5890" max="5890" width="15.7109375" style="43" customWidth="1"/>
    <col min="5891" max="5891" width="20.140625" style="43" customWidth="1"/>
    <col min="5892" max="5892" width="18.7109375" style="43" customWidth="1"/>
    <col min="5893" max="5893" width="17.5703125" style="43" customWidth="1"/>
    <col min="5894" max="5894" width="17" style="43" customWidth="1"/>
    <col min="5895" max="5895" width="16.140625" style="43" customWidth="1"/>
    <col min="5896" max="5896" width="7.42578125" style="43" customWidth="1"/>
    <col min="5897" max="5897" width="2" style="43" customWidth="1"/>
    <col min="5898" max="5898" width="4.42578125" style="43" customWidth="1"/>
    <col min="5899" max="5899" width="8.140625" style="43" customWidth="1"/>
    <col min="5900" max="5900" width="25.28515625" style="43" bestFit="1" customWidth="1"/>
    <col min="5901" max="5901" width="10.5703125" style="43" customWidth="1"/>
    <col min="5902" max="5902" width="13.85546875" style="43" customWidth="1"/>
    <col min="5903" max="5905" width="10.5703125" style="43" customWidth="1"/>
    <col min="5906" max="5907" width="3" style="43" customWidth="1"/>
    <col min="5908" max="5913" width="0" style="43" hidden="1" customWidth="1"/>
    <col min="5914" max="6144" width="11.42578125" style="43"/>
    <col min="6145" max="6145" width="4.28515625" style="43" customWidth="1"/>
    <col min="6146" max="6146" width="15.7109375" style="43" customWidth="1"/>
    <col min="6147" max="6147" width="20.140625" style="43" customWidth="1"/>
    <col min="6148" max="6148" width="18.7109375" style="43" customWidth="1"/>
    <col min="6149" max="6149" width="17.5703125" style="43" customWidth="1"/>
    <col min="6150" max="6150" width="17" style="43" customWidth="1"/>
    <col min="6151" max="6151" width="16.140625" style="43" customWidth="1"/>
    <col min="6152" max="6152" width="7.42578125" style="43" customWidth="1"/>
    <col min="6153" max="6153" width="2" style="43" customWidth="1"/>
    <col min="6154" max="6154" width="4.42578125" style="43" customWidth="1"/>
    <col min="6155" max="6155" width="8.140625" style="43" customWidth="1"/>
    <col min="6156" max="6156" width="25.28515625" style="43" bestFit="1" customWidth="1"/>
    <col min="6157" max="6157" width="10.5703125" style="43" customWidth="1"/>
    <col min="6158" max="6158" width="13.85546875" style="43" customWidth="1"/>
    <col min="6159" max="6161" width="10.5703125" style="43" customWidth="1"/>
    <col min="6162" max="6163" width="3" style="43" customWidth="1"/>
    <col min="6164" max="6169" width="0" style="43" hidden="1" customWidth="1"/>
    <col min="6170" max="6400" width="11.42578125" style="43"/>
    <col min="6401" max="6401" width="4.28515625" style="43" customWidth="1"/>
    <col min="6402" max="6402" width="15.7109375" style="43" customWidth="1"/>
    <col min="6403" max="6403" width="20.140625" style="43" customWidth="1"/>
    <col min="6404" max="6404" width="18.7109375" style="43" customWidth="1"/>
    <col min="6405" max="6405" width="17.5703125" style="43" customWidth="1"/>
    <col min="6406" max="6406" width="17" style="43" customWidth="1"/>
    <col min="6407" max="6407" width="16.140625" style="43" customWidth="1"/>
    <col min="6408" max="6408" width="7.42578125" style="43" customWidth="1"/>
    <col min="6409" max="6409" width="2" style="43" customWidth="1"/>
    <col min="6410" max="6410" width="4.42578125" style="43" customWidth="1"/>
    <col min="6411" max="6411" width="8.140625" style="43" customWidth="1"/>
    <col min="6412" max="6412" width="25.28515625" style="43" bestFit="1" customWidth="1"/>
    <col min="6413" max="6413" width="10.5703125" style="43" customWidth="1"/>
    <col min="6414" max="6414" width="13.85546875" style="43" customWidth="1"/>
    <col min="6415" max="6417" width="10.5703125" style="43" customWidth="1"/>
    <col min="6418" max="6419" width="3" style="43" customWidth="1"/>
    <col min="6420" max="6425" width="0" style="43" hidden="1" customWidth="1"/>
    <col min="6426" max="6656" width="11.42578125" style="43"/>
    <col min="6657" max="6657" width="4.28515625" style="43" customWidth="1"/>
    <col min="6658" max="6658" width="15.7109375" style="43" customWidth="1"/>
    <col min="6659" max="6659" width="20.140625" style="43" customWidth="1"/>
    <col min="6660" max="6660" width="18.7109375" style="43" customWidth="1"/>
    <col min="6661" max="6661" width="17.5703125" style="43" customWidth="1"/>
    <col min="6662" max="6662" width="17" style="43" customWidth="1"/>
    <col min="6663" max="6663" width="16.140625" style="43" customWidth="1"/>
    <col min="6664" max="6664" width="7.42578125" style="43" customWidth="1"/>
    <col min="6665" max="6665" width="2" style="43" customWidth="1"/>
    <col min="6666" max="6666" width="4.42578125" style="43" customWidth="1"/>
    <col min="6667" max="6667" width="8.140625" style="43" customWidth="1"/>
    <col min="6668" max="6668" width="25.28515625" style="43" bestFit="1" customWidth="1"/>
    <col min="6669" max="6669" width="10.5703125" style="43" customWidth="1"/>
    <col min="6670" max="6670" width="13.85546875" style="43" customWidth="1"/>
    <col min="6671" max="6673" width="10.5703125" style="43" customWidth="1"/>
    <col min="6674" max="6675" width="3" style="43" customWidth="1"/>
    <col min="6676" max="6681" width="0" style="43" hidden="1" customWidth="1"/>
    <col min="6682" max="6912" width="11.42578125" style="43"/>
    <col min="6913" max="6913" width="4.28515625" style="43" customWidth="1"/>
    <col min="6914" max="6914" width="15.7109375" style="43" customWidth="1"/>
    <col min="6915" max="6915" width="20.140625" style="43" customWidth="1"/>
    <col min="6916" max="6916" width="18.7109375" style="43" customWidth="1"/>
    <col min="6917" max="6917" width="17.5703125" style="43" customWidth="1"/>
    <col min="6918" max="6918" width="17" style="43" customWidth="1"/>
    <col min="6919" max="6919" width="16.140625" style="43" customWidth="1"/>
    <col min="6920" max="6920" width="7.42578125" style="43" customWidth="1"/>
    <col min="6921" max="6921" width="2" style="43" customWidth="1"/>
    <col min="6922" max="6922" width="4.42578125" style="43" customWidth="1"/>
    <col min="6923" max="6923" width="8.140625" style="43" customWidth="1"/>
    <col min="6924" max="6924" width="25.28515625" style="43" bestFit="1" customWidth="1"/>
    <col min="6925" max="6925" width="10.5703125" style="43" customWidth="1"/>
    <col min="6926" max="6926" width="13.85546875" style="43" customWidth="1"/>
    <col min="6927" max="6929" width="10.5703125" style="43" customWidth="1"/>
    <col min="6930" max="6931" width="3" style="43" customWidth="1"/>
    <col min="6932" max="6937" width="0" style="43" hidden="1" customWidth="1"/>
    <col min="6938" max="7168" width="11.42578125" style="43"/>
    <col min="7169" max="7169" width="4.28515625" style="43" customWidth="1"/>
    <col min="7170" max="7170" width="15.7109375" style="43" customWidth="1"/>
    <col min="7171" max="7171" width="20.140625" style="43" customWidth="1"/>
    <col min="7172" max="7172" width="18.7109375" style="43" customWidth="1"/>
    <col min="7173" max="7173" width="17.5703125" style="43" customWidth="1"/>
    <col min="7174" max="7174" width="17" style="43" customWidth="1"/>
    <col min="7175" max="7175" width="16.140625" style="43" customWidth="1"/>
    <col min="7176" max="7176" width="7.42578125" style="43" customWidth="1"/>
    <col min="7177" max="7177" width="2" style="43" customWidth="1"/>
    <col min="7178" max="7178" width="4.42578125" style="43" customWidth="1"/>
    <col min="7179" max="7179" width="8.140625" style="43" customWidth="1"/>
    <col min="7180" max="7180" width="25.28515625" style="43" bestFit="1" customWidth="1"/>
    <col min="7181" max="7181" width="10.5703125" style="43" customWidth="1"/>
    <col min="7182" max="7182" width="13.85546875" style="43" customWidth="1"/>
    <col min="7183" max="7185" width="10.5703125" style="43" customWidth="1"/>
    <col min="7186" max="7187" width="3" style="43" customWidth="1"/>
    <col min="7188" max="7193" width="0" style="43" hidden="1" customWidth="1"/>
    <col min="7194" max="7424" width="11.42578125" style="43"/>
    <col min="7425" max="7425" width="4.28515625" style="43" customWidth="1"/>
    <col min="7426" max="7426" width="15.7109375" style="43" customWidth="1"/>
    <col min="7427" max="7427" width="20.140625" style="43" customWidth="1"/>
    <col min="7428" max="7428" width="18.7109375" style="43" customWidth="1"/>
    <col min="7429" max="7429" width="17.5703125" style="43" customWidth="1"/>
    <col min="7430" max="7430" width="17" style="43" customWidth="1"/>
    <col min="7431" max="7431" width="16.140625" style="43" customWidth="1"/>
    <col min="7432" max="7432" width="7.42578125" style="43" customWidth="1"/>
    <col min="7433" max="7433" width="2" style="43" customWidth="1"/>
    <col min="7434" max="7434" width="4.42578125" style="43" customWidth="1"/>
    <col min="7435" max="7435" width="8.140625" style="43" customWidth="1"/>
    <col min="7436" max="7436" width="25.28515625" style="43" bestFit="1" customWidth="1"/>
    <col min="7437" max="7437" width="10.5703125" style="43" customWidth="1"/>
    <col min="7438" max="7438" width="13.85546875" style="43" customWidth="1"/>
    <col min="7439" max="7441" width="10.5703125" style="43" customWidth="1"/>
    <col min="7442" max="7443" width="3" style="43" customWidth="1"/>
    <col min="7444" max="7449" width="0" style="43" hidden="1" customWidth="1"/>
    <col min="7450" max="7680" width="11.42578125" style="43"/>
    <col min="7681" max="7681" width="4.28515625" style="43" customWidth="1"/>
    <col min="7682" max="7682" width="15.7109375" style="43" customWidth="1"/>
    <col min="7683" max="7683" width="20.140625" style="43" customWidth="1"/>
    <col min="7684" max="7684" width="18.7109375" style="43" customWidth="1"/>
    <col min="7685" max="7685" width="17.5703125" style="43" customWidth="1"/>
    <col min="7686" max="7686" width="17" style="43" customWidth="1"/>
    <col min="7687" max="7687" width="16.140625" style="43" customWidth="1"/>
    <col min="7688" max="7688" width="7.42578125" style="43" customWidth="1"/>
    <col min="7689" max="7689" width="2" style="43" customWidth="1"/>
    <col min="7690" max="7690" width="4.42578125" style="43" customWidth="1"/>
    <col min="7691" max="7691" width="8.140625" style="43" customWidth="1"/>
    <col min="7692" max="7692" width="25.28515625" style="43" bestFit="1" customWidth="1"/>
    <col min="7693" max="7693" width="10.5703125" style="43" customWidth="1"/>
    <col min="7694" max="7694" width="13.85546875" style="43" customWidth="1"/>
    <col min="7695" max="7697" width="10.5703125" style="43" customWidth="1"/>
    <col min="7698" max="7699" width="3" style="43" customWidth="1"/>
    <col min="7700" max="7705" width="0" style="43" hidden="1" customWidth="1"/>
    <col min="7706" max="7936" width="11.42578125" style="43"/>
    <col min="7937" max="7937" width="4.28515625" style="43" customWidth="1"/>
    <col min="7938" max="7938" width="15.7109375" style="43" customWidth="1"/>
    <col min="7939" max="7939" width="20.140625" style="43" customWidth="1"/>
    <col min="7940" max="7940" width="18.7109375" style="43" customWidth="1"/>
    <col min="7941" max="7941" width="17.5703125" style="43" customWidth="1"/>
    <col min="7942" max="7942" width="17" style="43" customWidth="1"/>
    <col min="7943" max="7943" width="16.140625" style="43" customWidth="1"/>
    <col min="7944" max="7944" width="7.42578125" style="43" customWidth="1"/>
    <col min="7945" max="7945" width="2" style="43" customWidth="1"/>
    <col min="7946" max="7946" width="4.42578125" style="43" customWidth="1"/>
    <col min="7947" max="7947" width="8.140625" style="43" customWidth="1"/>
    <col min="7948" max="7948" width="25.28515625" style="43" bestFit="1" customWidth="1"/>
    <col min="7949" max="7949" width="10.5703125" style="43" customWidth="1"/>
    <col min="7950" max="7950" width="13.85546875" style="43" customWidth="1"/>
    <col min="7951" max="7953" width="10.5703125" style="43" customWidth="1"/>
    <col min="7954" max="7955" width="3" style="43" customWidth="1"/>
    <col min="7956" max="7961" width="0" style="43" hidden="1" customWidth="1"/>
    <col min="7962" max="8192" width="11.42578125" style="43"/>
    <col min="8193" max="8193" width="4.28515625" style="43" customWidth="1"/>
    <col min="8194" max="8194" width="15.7109375" style="43" customWidth="1"/>
    <col min="8195" max="8195" width="20.140625" style="43" customWidth="1"/>
    <col min="8196" max="8196" width="18.7109375" style="43" customWidth="1"/>
    <col min="8197" max="8197" width="17.5703125" style="43" customWidth="1"/>
    <col min="8198" max="8198" width="17" style="43" customWidth="1"/>
    <col min="8199" max="8199" width="16.140625" style="43" customWidth="1"/>
    <col min="8200" max="8200" width="7.42578125" style="43" customWidth="1"/>
    <col min="8201" max="8201" width="2" style="43" customWidth="1"/>
    <col min="8202" max="8202" width="4.42578125" style="43" customWidth="1"/>
    <col min="8203" max="8203" width="8.140625" style="43" customWidth="1"/>
    <col min="8204" max="8204" width="25.28515625" style="43" bestFit="1" customWidth="1"/>
    <col min="8205" max="8205" width="10.5703125" style="43" customWidth="1"/>
    <col min="8206" max="8206" width="13.85546875" style="43" customWidth="1"/>
    <col min="8207" max="8209" width="10.5703125" style="43" customWidth="1"/>
    <col min="8210" max="8211" width="3" style="43" customWidth="1"/>
    <col min="8212" max="8217" width="0" style="43" hidden="1" customWidth="1"/>
    <col min="8218" max="8448" width="11.42578125" style="43"/>
    <col min="8449" max="8449" width="4.28515625" style="43" customWidth="1"/>
    <col min="8450" max="8450" width="15.7109375" style="43" customWidth="1"/>
    <col min="8451" max="8451" width="20.140625" style="43" customWidth="1"/>
    <col min="8452" max="8452" width="18.7109375" style="43" customWidth="1"/>
    <col min="8453" max="8453" width="17.5703125" style="43" customWidth="1"/>
    <col min="8454" max="8454" width="17" style="43" customWidth="1"/>
    <col min="8455" max="8455" width="16.140625" style="43" customWidth="1"/>
    <col min="8456" max="8456" width="7.42578125" style="43" customWidth="1"/>
    <col min="8457" max="8457" width="2" style="43" customWidth="1"/>
    <col min="8458" max="8458" width="4.42578125" style="43" customWidth="1"/>
    <col min="8459" max="8459" width="8.140625" style="43" customWidth="1"/>
    <col min="8460" max="8460" width="25.28515625" style="43" bestFit="1" customWidth="1"/>
    <col min="8461" max="8461" width="10.5703125" style="43" customWidth="1"/>
    <col min="8462" max="8462" width="13.85546875" style="43" customWidth="1"/>
    <col min="8463" max="8465" width="10.5703125" style="43" customWidth="1"/>
    <col min="8466" max="8467" width="3" style="43" customWidth="1"/>
    <col min="8468" max="8473" width="0" style="43" hidden="1" customWidth="1"/>
    <col min="8474" max="8704" width="11.42578125" style="43"/>
    <col min="8705" max="8705" width="4.28515625" style="43" customWidth="1"/>
    <col min="8706" max="8706" width="15.7109375" style="43" customWidth="1"/>
    <col min="8707" max="8707" width="20.140625" style="43" customWidth="1"/>
    <col min="8708" max="8708" width="18.7109375" style="43" customWidth="1"/>
    <col min="8709" max="8709" width="17.5703125" style="43" customWidth="1"/>
    <col min="8710" max="8710" width="17" style="43" customWidth="1"/>
    <col min="8711" max="8711" width="16.140625" style="43" customWidth="1"/>
    <col min="8712" max="8712" width="7.42578125" style="43" customWidth="1"/>
    <col min="8713" max="8713" width="2" style="43" customWidth="1"/>
    <col min="8714" max="8714" width="4.42578125" style="43" customWidth="1"/>
    <col min="8715" max="8715" width="8.140625" style="43" customWidth="1"/>
    <col min="8716" max="8716" width="25.28515625" style="43" bestFit="1" customWidth="1"/>
    <col min="8717" max="8717" width="10.5703125" style="43" customWidth="1"/>
    <col min="8718" max="8718" width="13.85546875" style="43" customWidth="1"/>
    <col min="8719" max="8721" width="10.5703125" style="43" customWidth="1"/>
    <col min="8722" max="8723" width="3" style="43" customWidth="1"/>
    <col min="8724" max="8729" width="0" style="43" hidden="1" customWidth="1"/>
    <col min="8730" max="8960" width="11.42578125" style="43"/>
    <col min="8961" max="8961" width="4.28515625" style="43" customWidth="1"/>
    <col min="8962" max="8962" width="15.7109375" style="43" customWidth="1"/>
    <col min="8963" max="8963" width="20.140625" style="43" customWidth="1"/>
    <col min="8964" max="8964" width="18.7109375" style="43" customWidth="1"/>
    <col min="8965" max="8965" width="17.5703125" style="43" customWidth="1"/>
    <col min="8966" max="8966" width="17" style="43" customWidth="1"/>
    <col min="8967" max="8967" width="16.140625" style="43" customWidth="1"/>
    <col min="8968" max="8968" width="7.42578125" style="43" customWidth="1"/>
    <col min="8969" max="8969" width="2" style="43" customWidth="1"/>
    <col min="8970" max="8970" width="4.42578125" style="43" customWidth="1"/>
    <col min="8971" max="8971" width="8.140625" style="43" customWidth="1"/>
    <col min="8972" max="8972" width="25.28515625" style="43" bestFit="1" customWidth="1"/>
    <col min="8973" max="8973" width="10.5703125" style="43" customWidth="1"/>
    <col min="8974" max="8974" width="13.85546875" style="43" customWidth="1"/>
    <col min="8975" max="8977" width="10.5703125" style="43" customWidth="1"/>
    <col min="8978" max="8979" width="3" style="43" customWidth="1"/>
    <col min="8980" max="8985" width="0" style="43" hidden="1" customWidth="1"/>
    <col min="8986" max="9216" width="11.42578125" style="43"/>
    <col min="9217" max="9217" width="4.28515625" style="43" customWidth="1"/>
    <col min="9218" max="9218" width="15.7109375" style="43" customWidth="1"/>
    <col min="9219" max="9219" width="20.140625" style="43" customWidth="1"/>
    <col min="9220" max="9220" width="18.7109375" style="43" customWidth="1"/>
    <col min="9221" max="9221" width="17.5703125" style="43" customWidth="1"/>
    <col min="9222" max="9222" width="17" style="43" customWidth="1"/>
    <col min="9223" max="9223" width="16.140625" style="43" customWidth="1"/>
    <col min="9224" max="9224" width="7.42578125" style="43" customWidth="1"/>
    <col min="9225" max="9225" width="2" style="43" customWidth="1"/>
    <col min="9226" max="9226" width="4.42578125" style="43" customWidth="1"/>
    <col min="9227" max="9227" width="8.140625" style="43" customWidth="1"/>
    <col min="9228" max="9228" width="25.28515625" style="43" bestFit="1" customWidth="1"/>
    <col min="9229" max="9229" width="10.5703125" style="43" customWidth="1"/>
    <col min="9230" max="9230" width="13.85546875" style="43" customWidth="1"/>
    <col min="9231" max="9233" width="10.5703125" style="43" customWidth="1"/>
    <col min="9234" max="9235" width="3" style="43" customWidth="1"/>
    <col min="9236" max="9241" width="0" style="43" hidden="1" customWidth="1"/>
    <col min="9242" max="9472" width="11.42578125" style="43"/>
    <col min="9473" max="9473" width="4.28515625" style="43" customWidth="1"/>
    <col min="9474" max="9474" width="15.7109375" style="43" customWidth="1"/>
    <col min="9475" max="9475" width="20.140625" style="43" customWidth="1"/>
    <col min="9476" max="9476" width="18.7109375" style="43" customWidth="1"/>
    <col min="9477" max="9477" width="17.5703125" style="43" customWidth="1"/>
    <col min="9478" max="9478" width="17" style="43" customWidth="1"/>
    <col min="9479" max="9479" width="16.140625" style="43" customWidth="1"/>
    <col min="9480" max="9480" width="7.42578125" style="43" customWidth="1"/>
    <col min="9481" max="9481" width="2" style="43" customWidth="1"/>
    <col min="9482" max="9482" width="4.42578125" style="43" customWidth="1"/>
    <col min="9483" max="9483" width="8.140625" style="43" customWidth="1"/>
    <col min="9484" max="9484" width="25.28515625" style="43" bestFit="1" customWidth="1"/>
    <col min="9485" max="9485" width="10.5703125" style="43" customWidth="1"/>
    <col min="9486" max="9486" width="13.85546875" style="43" customWidth="1"/>
    <col min="9487" max="9489" width="10.5703125" style="43" customWidth="1"/>
    <col min="9490" max="9491" width="3" style="43" customWidth="1"/>
    <col min="9492" max="9497" width="0" style="43" hidden="1" customWidth="1"/>
    <col min="9498" max="9728" width="11.42578125" style="43"/>
    <col min="9729" max="9729" width="4.28515625" style="43" customWidth="1"/>
    <col min="9730" max="9730" width="15.7109375" style="43" customWidth="1"/>
    <col min="9731" max="9731" width="20.140625" style="43" customWidth="1"/>
    <col min="9732" max="9732" width="18.7109375" style="43" customWidth="1"/>
    <col min="9733" max="9733" width="17.5703125" style="43" customWidth="1"/>
    <col min="9734" max="9734" width="17" style="43" customWidth="1"/>
    <col min="9735" max="9735" width="16.140625" style="43" customWidth="1"/>
    <col min="9736" max="9736" width="7.42578125" style="43" customWidth="1"/>
    <col min="9737" max="9737" width="2" style="43" customWidth="1"/>
    <col min="9738" max="9738" width="4.42578125" style="43" customWidth="1"/>
    <col min="9739" max="9739" width="8.140625" style="43" customWidth="1"/>
    <col min="9740" max="9740" width="25.28515625" style="43" bestFit="1" customWidth="1"/>
    <col min="9741" max="9741" width="10.5703125" style="43" customWidth="1"/>
    <col min="9742" max="9742" width="13.85546875" style="43" customWidth="1"/>
    <col min="9743" max="9745" width="10.5703125" style="43" customWidth="1"/>
    <col min="9746" max="9747" width="3" style="43" customWidth="1"/>
    <col min="9748" max="9753" width="0" style="43" hidden="1" customWidth="1"/>
    <col min="9754" max="9984" width="11.42578125" style="43"/>
    <col min="9985" max="9985" width="4.28515625" style="43" customWidth="1"/>
    <col min="9986" max="9986" width="15.7109375" style="43" customWidth="1"/>
    <col min="9987" max="9987" width="20.140625" style="43" customWidth="1"/>
    <col min="9988" max="9988" width="18.7109375" style="43" customWidth="1"/>
    <col min="9989" max="9989" width="17.5703125" style="43" customWidth="1"/>
    <col min="9990" max="9990" width="17" style="43" customWidth="1"/>
    <col min="9991" max="9991" width="16.140625" style="43" customWidth="1"/>
    <col min="9992" max="9992" width="7.42578125" style="43" customWidth="1"/>
    <col min="9993" max="9993" width="2" style="43" customWidth="1"/>
    <col min="9994" max="9994" width="4.42578125" style="43" customWidth="1"/>
    <col min="9995" max="9995" width="8.140625" style="43" customWidth="1"/>
    <col min="9996" max="9996" width="25.28515625" style="43" bestFit="1" customWidth="1"/>
    <col min="9997" max="9997" width="10.5703125" style="43" customWidth="1"/>
    <col min="9998" max="9998" width="13.85546875" style="43" customWidth="1"/>
    <col min="9999" max="10001" width="10.5703125" style="43" customWidth="1"/>
    <col min="10002" max="10003" width="3" style="43" customWidth="1"/>
    <col min="10004" max="10009" width="0" style="43" hidden="1" customWidth="1"/>
    <col min="10010" max="10240" width="11.42578125" style="43"/>
    <col min="10241" max="10241" width="4.28515625" style="43" customWidth="1"/>
    <col min="10242" max="10242" width="15.7109375" style="43" customWidth="1"/>
    <col min="10243" max="10243" width="20.140625" style="43" customWidth="1"/>
    <col min="10244" max="10244" width="18.7109375" style="43" customWidth="1"/>
    <col min="10245" max="10245" width="17.5703125" style="43" customWidth="1"/>
    <col min="10246" max="10246" width="17" style="43" customWidth="1"/>
    <col min="10247" max="10247" width="16.140625" style="43" customWidth="1"/>
    <col min="10248" max="10248" width="7.42578125" style="43" customWidth="1"/>
    <col min="10249" max="10249" width="2" style="43" customWidth="1"/>
    <col min="10250" max="10250" width="4.42578125" style="43" customWidth="1"/>
    <col min="10251" max="10251" width="8.140625" style="43" customWidth="1"/>
    <col min="10252" max="10252" width="25.28515625" style="43" bestFit="1" customWidth="1"/>
    <col min="10253" max="10253" width="10.5703125" style="43" customWidth="1"/>
    <col min="10254" max="10254" width="13.85546875" style="43" customWidth="1"/>
    <col min="10255" max="10257" width="10.5703125" style="43" customWidth="1"/>
    <col min="10258" max="10259" width="3" style="43" customWidth="1"/>
    <col min="10260" max="10265" width="0" style="43" hidden="1" customWidth="1"/>
    <col min="10266" max="10496" width="11.42578125" style="43"/>
    <col min="10497" max="10497" width="4.28515625" style="43" customWidth="1"/>
    <col min="10498" max="10498" width="15.7109375" style="43" customWidth="1"/>
    <col min="10499" max="10499" width="20.140625" style="43" customWidth="1"/>
    <col min="10500" max="10500" width="18.7109375" style="43" customWidth="1"/>
    <col min="10501" max="10501" width="17.5703125" style="43" customWidth="1"/>
    <col min="10502" max="10502" width="17" style="43" customWidth="1"/>
    <col min="10503" max="10503" width="16.140625" style="43" customWidth="1"/>
    <col min="10504" max="10504" width="7.42578125" style="43" customWidth="1"/>
    <col min="10505" max="10505" width="2" style="43" customWidth="1"/>
    <col min="10506" max="10506" width="4.42578125" style="43" customWidth="1"/>
    <col min="10507" max="10507" width="8.140625" style="43" customWidth="1"/>
    <col min="10508" max="10508" width="25.28515625" style="43" bestFit="1" customWidth="1"/>
    <col min="10509" max="10509" width="10.5703125" style="43" customWidth="1"/>
    <col min="10510" max="10510" width="13.85546875" style="43" customWidth="1"/>
    <col min="10511" max="10513" width="10.5703125" style="43" customWidth="1"/>
    <col min="10514" max="10515" width="3" style="43" customWidth="1"/>
    <col min="10516" max="10521" width="0" style="43" hidden="1" customWidth="1"/>
    <col min="10522" max="10752" width="11.42578125" style="43"/>
    <col min="10753" max="10753" width="4.28515625" style="43" customWidth="1"/>
    <col min="10754" max="10754" width="15.7109375" style="43" customWidth="1"/>
    <col min="10755" max="10755" width="20.140625" style="43" customWidth="1"/>
    <col min="10756" max="10756" width="18.7109375" style="43" customWidth="1"/>
    <col min="10757" max="10757" width="17.5703125" style="43" customWidth="1"/>
    <col min="10758" max="10758" width="17" style="43" customWidth="1"/>
    <col min="10759" max="10759" width="16.140625" style="43" customWidth="1"/>
    <col min="10760" max="10760" width="7.42578125" style="43" customWidth="1"/>
    <col min="10761" max="10761" width="2" style="43" customWidth="1"/>
    <col min="10762" max="10762" width="4.42578125" style="43" customWidth="1"/>
    <col min="10763" max="10763" width="8.140625" style="43" customWidth="1"/>
    <col min="10764" max="10764" width="25.28515625" style="43" bestFit="1" customWidth="1"/>
    <col min="10765" max="10765" width="10.5703125" style="43" customWidth="1"/>
    <col min="10766" max="10766" width="13.85546875" style="43" customWidth="1"/>
    <col min="10767" max="10769" width="10.5703125" style="43" customWidth="1"/>
    <col min="10770" max="10771" width="3" style="43" customWidth="1"/>
    <col min="10772" max="10777" width="0" style="43" hidden="1" customWidth="1"/>
    <col min="10778" max="11008" width="11.42578125" style="43"/>
    <col min="11009" max="11009" width="4.28515625" style="43" customWidth="1"/>
    <col min="11010" max="11010" width="15.7109375" style="43" customWidth="1"/>
    <col min="11011" max="11011" width="20.140625" style="43" customWidth="1"/>
    <col min="11012" max="11012" width="18.7109375" style="43" customWidth="1"/>
    <col min="11013" max="11013" width="17.5703125" style="43" customWidth="1"/>
    <col min="11014" max="11014" width="17" style="43" customWidth="1"/>
    <col min="11015" max="11015" width="16.140625" style="43" customWidth="1"/>
    <col min="11016" max="11016" width="7.42578125" style="43" customWidth="1"/>
    <col min="11017" max="11017" width="2" style="43" customWidth="1"/>
    <col min="11018" max="11018" width="4.42578125" style="43" customWidth="1"/>
    <col min="11019" max="11019" width="8.140625" style="43" customWidth="1"/>
    <col min="11020" max="11020" width="25.28515625" style="43" bestFit="1" customWidth="1"/>
    <col min="11021" max="11021" width="10.5703125" style="43" customWidth="1"/>
    <col min="11022" max="11022" width="13.85546875" style="43" customWidth="1"/>
    <col min="11023" max="11025" width="10.5703125" style="43" customWidth="1"/>
    <col min="11026" max="11027" width="3" style="43" customWidth="1"/>
    <col min="11028" max="11033" width="0" style="43" hidden="1" customWidth="1"/>
    <col min="11034" max="11264" width="11.42578125" style="43"/>
    <col min="11265" max="11265" width="4.28515625" style="43" customWidth="1"/>
    <col min="11266" max="11266" width="15.7109375" style="43" customWidth="1"/>
    <col min="11267" max="11267" width="20.140625" style="43" customWidth="1"/>
    <col min="11268" max="11268" width="18.7109375" style="43" customWidth="1"/>
    <col min="11269" max="11269" width="17.5703125" style="43" customWidth="1"/>
    <col min="11270" max="11270" width="17" style="43" customWidth="1"/>
    <col min="11271" max="11271" width="16.140625" style="43" customWidth="1"/>
    <col min="11272" max="11272" width="7.42578125" style="43" customWidth="1"/>
    <col min="11273" max="11273" width="2" style="43" customWidth="1"/>
    <col min="11274" max="11274" width="4.42578125" style="43" customWidth="1"/>
    <col min="11275" max="11275" width="8.140625" style="43" customWidth="1"/>
    <col min="11276" max="11276" width="25.28515625" style="43" bestFit="1" customWidth="1"/>
    <col min="11277" max="11277" width="10.5703125" style="43" customWidth="1"/>
    <col min="11278" max="11278" width="13.85546875" style="43" customWidth="1"/>
    <col min="11279" max="11281" width="10.5703125" style="43" customWidth="1"/>
    <col min="11282" max="11283" width="3" style="43" customWidth="1"/>
    <col min="11284" max="11289" width="0" style="43" hidden="1" customWidth="1"/>
    <col min="11290" max="11520" width="11.42578125" style="43"/>
    <col min="11521" max="11521" width="4.28515625" style="43" customWidth="1"/>
    <col min="11522" max="11522" width="15.7109375" style="43" customWidth="1"/>
    <col min="11523" max="11523" width="20.140625" style="43" customWidth="1"/>
    <col min="11524" max="11524" width="18.7109375" style="43" customWidth="1"/>
    <col min="11525" max="11525" width="17.5703125" style="43" customWidth="1"/>
    <col min="11526" max="11526" width="17" style="43" customWidth="1"/>
    <col min="11527" max="11527" width="16.140625" style="43" customWidth="1"/>
    <col min="11528" max="11528" width="7.42578125" style="43" customWidth="1"/>
    <col min="11529" max="11529" width="2" style="43" customWidth="1"/>
    <col min="11530" max="11530" width="4.42578125" style="43" customWidth="1"/>
    <col min="11531" max="11531" width="8.140625" style="43" customWidth="1"/>
    <col min="11532" max="11532" width="25.28515625" style="43" bestFit="1" customWidth="1"/>
    <col min="11533" max="11533" width="10.5703125" style="43" customWidth="1"/>
    <col min="11534" max="11534" width="13.85546875" style="43" customWidth="1"/>
    <col min="11535" max="11537" width="10.5703125" style="43" customWidth="1"/>
    <col min="11538" max="11539" width="3" style="43" customWidth="1"/>
    <col min="11540" max="11545" width="0" style="43" hidden="1" customWidth="1"/>
    <col min="11546" max="11776" width="11.42578125" style="43"/>
    <col min="11777" max="11777" width="4.28515625" style="43" customWidth="1"/>
    <col min="11778" max="11778" width="15.7109375" style="43" customWidth="1"/>
    <col min="11779" max="11779" width="20.140625" style="43" customWidth="1"/>
    <col min="11780" max="11780" width="18.7109375" style="43" customWidth="1"/>
    <col min="11781" max="11781" width="17.5703125" style="43" customWidth="1"/>
    <col min="11782" max="11782" width="17" style="43" customWidth="1"/>
    <col min="11783" max="11783" width="16.140625" style="43" customWidth="1"/>
    <col min="11784" max="11784" width="7.42578125" style="43" customWidth="1"/>
    <col min="11785" max="11785" width="2" style="43" customWidth="1"/>
    <col min="11786" max="11786" width="4.42578125" style="43" customWidth="1"/>
    <col min="11787" max="11787" width="8.140625" style="43" customWidth="1"/>
    <col min="11788" max="11788" width="25.28515625" style="43" bestFit="1" customWidth="1"/>
    <col min="11789" max="11789" width="10.5703125" style="43" customWidth="1"/>
    <col min="11790" max="11790" width="13.85546875" style="43" customWidth="1"/>
    <col min="11791" max="11793" width="10.5703125" style="43" customWidth="1"/>
    <col min="11794" max="11795" width="3" style="43" customWidth="1"/>
    <col min="11796" max="11801" width="0" style="43" hidden="1" customWidth="1"/>
    <col min="11802" max="12032" width="11.42578125" style="43"/>
    <col min="12033" max="12033" width="4.28515625" style="43" customWidth="1"/>
    <col min="12034" max="12034" width="15.7109375" style="43" customWidth="1"/>
    <col min="12035" max="12035" width="20.140625" style="43" customWidth="1"/>
    <col min="12036" max="12036" width="18.7109375" style="43" customWidth="1"/>
    <col min="12037" max="12037" width="17.5703125" style="43" customWidth="1"/>
    <col min="12038" max="12038" width="17" style="43" customWidth="1"/>
    <col min="12039" max="12039" width="16.140625" style="43" customWidth="1"/>
    <col min="12040" max="12040" width="7.42578125" style="43" customWidth="1"/>
    <col min="12041" max="12041" width="2" style="43" customWidth="1"/>
    <col min="12042" max="12042" width="4.42578125" style="43" customWidth="1"/>
    <col min="12043" max="12043" width="8.140625" style="43" customWidth="1"/>
    <col min="12044" max="12044" width="25.28515625" style="43" bestFit="1" customWidth="1"/>
    <col min="12045" max="12045" width="10.5703125" style="43" customWidth="1"/>
    <col min="12046" max="12046" width="13.85546875" style="43" customWidth="1"/>
    <col min="12047" max="12049" width="10.5703125" style="43" customWidth="1"/>
    <col min="12050" max="12051" width="3" style="43" customWidth="1"/>
    <col min="12052" max="12057" width="0" style="43" hidden="1" customWidth="1"/>
    <col min="12058" max="12288" width="11.42578125" style="43"/>
    <col min="12289" max="12289" width="4.28515625" style="43" customWidth="1"/>
    <col min="12290" max="12290" width="15.7109375" style="43" customWidth="1"/>
    <col min="12291" max="12291" width="20.140625" style="43" customWidth="1"/>
    <col min="12292" max="12292" width="18.7109375" style="43" customWidth="1"/>
    <col min="12293" max="12293" width="17.5703125" style="43" customWidth="1"/>
    <col min="12294" max="12294" width="17" style="43" customWidth="1"/>
    <col min="12295" max="12295" width="16.140625" style="43" customWidth="1"/>
    <col min="12296" max="12296" width="7.42578125" style="43" customWidth="1"/>
    <col min="12297" max="12297" width="2" style="43" customWidth="1"/>
    <col min="12298" max="12298" width="4.42578125" style="43" customWidth="1"/>
    <col min="12299" max="12299" width="8.140625" style="43" customWidth="1"/>
    <col min="12300" max="12300" width="25.28515625" style="43" bestFit="1" customWidth="1"/>
    <col min="12301" max="12301" width="10.5703125" style="43" customWidth="1"/>
    <col min="12302" max="12302" width="13.85546875" style="43" customWidth="1"/>
    <col min="12303" max="12305" width="10.5703125" style="43" customWidth="1"/>
    <col min="12306" max="12307" width="3" style="43" customWidth="1"/>
    <col min="12308" max="12313" width="0" style="43" hidden="1" customWidth="1"/>
    <col min="12314" max="12544" width="11.42578125" style="43"/>
    <col min="12545" max="12545" width="4.28515625" style="43" customWidth="1"/>
    <col min="12546" max="12546" width="15.7109375" style="43" customWidth="1"/>
    <col min="12547" max="12547" width="20.140625" style="43" customWidth="1"/>
    <col min="12548" max="12548" width="18.7109375" style="43" customWidth="1"/>
    <col min="12549" max="12549" width="17.5703125" style="43" customWidth="1"/>
    <col min="12550" max="12550" width="17" style="43" customWidth="1"/>
    <col min="12551" max="12551" width="16.140625" style="43" customWidth="1"/>
    <col min="12552" max="12552" width="7.42578125" style="43" customWidth="1"/>
    <col min="12553" max="12553" width="2" style="43" customWidth="1"/>
    <col min="12554" max="12554" width="4.42578125" style="43" customWidth="1"/>
    <col min="12555" max="12555" width="8.140625" style="43" customWidth="1"/>
    <col min="12556" max="12556" width="25.28515625" style="43" bestFit="1" customWidth="1"/>
    <col min="12557" max="12557" width="10.5703125" style="43" customWidth="1"/>
    <col min="12558" max="12558" width="13.85546875" style="43" customWidth="1"/>
    <col min="12559" max="12561" width="10.5703125" style="43" customWidth="1"/>
    <col min="12562" max="12563" width="3" style="43" customWidth="1"/>
    <col min="12564" max="12569" width="0" style="43" hidden="1" customWidth="1"/>
    <col min="12570" max="12800" width="11.42578125" style="43"/>
    <col min="12801" max="12801" width="4.28515625" style="43" customWidth="1"/>
    <col min="12802" max="12802" width="15.7109375" style="43" customWidth="1"/>
    <col min="12803" max="12803" width="20.140625" style="43" customWidth="1"/>
    <col min="12804" max="12804" width="18.7109375" style="43" customWidth="1"/>
    <col min="12805" max="12805" width="17.5703125" style="43" customWidth="1"/>
    <col min="12806" max="12806" width="17" style="43" customWidth="1"/>
    <col min="12807" max="12807" width="16.140625" style="43" customWidth="1"/>
    <col min="12808" max="12808" width="7.42578125" style="43" customWidth="1"/>
    <col min="12809" max="12809" width="2" style="43" customWidth="1"/>
    <col min="12810" max="12810" width="4.42578125" style="43" customWidth="1"/>
    <col min="12811" max="12811" width="8.140625" style="43" customWidth="1"/>
    <col min="12812" max="12812" width="25.28515625" style="43" bestFit="1" customWidth="1"/>
    <col min="12813" max="12813" width="10.5703125" style="43" customWidth="1"/>
    <col min="12814" max="12814" width="13.85546875" style="43" customWidth="1"/>
    <col min="12815" max="12817" width="10.5703125" style="43" customWidth="1"/>
    <col min="12818" max="12819" width="3" style="43" customWidth="1"/>
    <col min="12820" max="12825" width="0" style="43" hidden="1" customWidth="1"/>
    <col min="12826" max="13056" width="11.42578125" style="43"/>
    <col min="13057" max="13057" width="4.28515625" style="43" customWidth="1"/>
    <col min="13058" max="13058" width="15.7109375" style="43" customWidth="1"/>
    <col min="13059" max="13059" width="20.140625" style="43" customWidth="1"/>
    <col min="13060" max="13060" width="18.7109375" style="43" customWidth="1"/>
    <col min="13061" max="13061" width="17.5703125" style="43" customWidth="1"/>
    <col min="13062" max="13062" width="17" style="43" customWidth="1"/>
    <col min="13063" max="13063" width="16.140625" style="43" customWidth="1"/>
    <col min="13064" max="13064" width="7.42578125" style="43" customWidth="1"/>
    <col min="13065" max="13065" width="2" style="43" customWidth="1"/>
    <col min="13066" max="13066" width="4.42578125" style="43" customWidth="1"/>
    <col min="13067" max="13067" width="8.140625" style="43" customWidth="1"/>
    <col min="13068" max="13068" width="25.28515625" style="43" bestFit="1" customWidth="1"/>
    <col min="13069" max="13069" width="10.5703125" style="43" customWidth="1"/>
    <col min="13070" max="13070" width="13.85546875" style="43" customWidth="1"/>
    <col min="13071" max="13073" width="10.5703125" style="43" customWidth="1"/>
    <col min="13074" max="13075" width="3" style="43" customWidth="1"/>
    <col min="13076" max="13081" width="0" style="43" hidden="1" customWidth="1"/>
    <col min="13082" max="13312" width="11.42578125" style="43"/>
    <col min="13313" max="13313" width="4.28515625" style="43" customWidth="1"/>
    <col min="13314" max="13314" width="15.7109375" style="43" customWidth="1"/>
    <col min="13315" max="13315" width="20.140625" style="43" customWidth="1"/>
    <col min="13316" max="13316" width="18.7109375" style="43" customWidth="1"/>
    <col min="13317" max="13317" width="17.5703125" style="43" customWidth="1"/>
    <col min="13318" max="13318" width="17" style="43" customWidth="1"/>
    <col min="13319" max="13319" width="16.140625" style="43" customWidth="1"/>
    <col min="13320" max="13320" width="7.42578125" style="43" customWidth="1"/>
    <col min="13321" max="13321" width="2" style="43" customWidth="1"/>
    <col min="13322" max="13322" width="4.42578125" style="43" customWidth="1"/>
    <col min="13323" max="13323" width="8.140625" style="43" customWidth="1"/>
    <col min="13324" max="13324" width="25.28515625" style="43" bestFit="1" customWidth="1"/>
    <col min="13325" max="13325" width="10.5703125" style="43" customWidth="1"/>
    <col min="13326" max="13326" width="13.85546875" style="43" customWidth="1"/>
    <col min="13327" max="13329" width="10.5703125" style="43" customWidth="1"/>
    <col min="13330" max="13331" width="3" style="43" customWidth="1"/>
    <col min="13332" max="13337" width="0" style="43" hidden="1" customWidth="1"/>
    <col min="13338" max="13568" width="11.42578125" style="43"/>
    <col min="13569" max="13569" width="4.28515625" style="43" customWidth="1"/>
    <col min="13570" max="13570" width="15.7109375" style="43" customWidth="1"/>
    <col min="13571" max="13571" width="20.140625" style="43" customWidth="1"/>
    <col min="13572" max="13572" width="18.7109375" style="43" customWidth="1"/>
    <col min="13573" max="13573" width="17.5703125" style="43" customWidth="1"/>
    <col min="13574" max="13574" width="17" style="43" customWidth="1"/>
    <col min="13575" max="13575" width="16.140625" style="43" customWidth="1"/>
    <col min="13576" max="13576" width="7.42578125" style="43" customWidth="1"/>
    <col min="13577" max="13577" width="2" style="43" customWidth="1"/>
    <col min="13578" max="13578" width="4.42578125" style="43" customWidth="1"/>
    <col min="13579" max="13579" width="8.140625" style="43" customWidth="1"/>
    <col min="13580" max="13580" width="25.28515625" style="43" bestFit="1" customWidth="1"/>
    <col min="13581" max="13581" width="10.5703125" style="43" customWidth="1"/>
    <col min="13582" max="13582" width="13.85546875" style="43" customWidth="1"/>
    <col min="13583" max="13585" width="10.5703125" style="43" customWidth="1"/>
    <col min="13586" max="13587" width="3" style="43" customWidth="1"/>
    <col min="13588" max="13593" width="0" style="43" hidden="1" customWidth="1"/>
    <col min="13594" max="13824" width="11.42578125" style="43"/>
    <col min="13825" max="13825" width="4.28515625" style="43" customWidth="1"/>
    <col min="13826" max="13826" width="15.7109375" style="43" customWidth="1"/>
    <col min="13827" max="13827" width="20.140625" style="43" customWidth="1"/>
    <col min="13828" max="13828" width="18.7109375" style="43" customWidth="1"/>
    <col min="13829" max="13829" width="17.5703125" style="43" customWidth="1"/>
    <col min="13830" max="13830" width="17" style="43" customWidth="1"/>
    <col min="13831" max="13831" width="16.140625" style="43" customWidth="1"/>
    <col min="13832" max="13832" width="7.42578125" style="43" customWidth="1"/>
    <col min="13833" max="13833" width="2" style="43" customWidth="1"/>
    <col min="13834" max="13834" width="4.42578125" style="43" customWidth="1"/>
    <col min="13835" max="13835" width="8.140625" style="43" customWidth="1"/>
    <col min="13836" max="13836" width="25.28515625" style="43" bestFit="1" customWidth="1"/>
    <col min="13837" max="13837" width="10.5703125" style="43" customWidth="1"/>
    <col min="13838" max="13838" width="13.85546875" style="43" customWidth="1"/>
    <col min="13839" max="13841" width="10.5703125" style="43" customWidth="1"/>
    <col min="13842" max="13843" width="3" style="43" customWidth="1"/>
    <col min="13844" max="13849" width="0" style="43" hidden="1" customWidth="1"/>
    <col min="13850" max="14080" width="11.42578125" style="43"/>
    <col min="14081" max="14081" width="4.28515625" style="43" customWidth="1"/>
    <col min="14082" max="14082" width="15.7109375" style="43" customWidth="1"/>
    <col min="14083" max="14083" width="20.140625" style="43" customWidth="1"/>
    <col min="14084" max="14084" width="18.7109375" style="43" customWidth="1"/>
    <col min="14085" max="14085" width="17.5703125" style="43" customWidth="1"/>
    <col min="14086" max="14086" width="17" style="43" customWidth="1"/>
    <col min="14087" max="14087" width="16.140625" style="43" customWidth="1"/>
    <col min="14088" max="14088" width="7.42578125" style="43" customWidth="1"/>
    <col min="14089" max="14089" width="2" style="43" customWidth="1"/>
    <col min="14090" max="14090" width="4.42578125" style="43" customWidth="1"/>
    <col min="14091" max="14091" width="8.140625" style="43" customWidth="1"/>
    <col min="14092" max="14092" width="25.28515625" style="43" bestFit="1" customWidth="1"/>
    <col min="14093" max="14093" width="10.5703125" style="43" customWidth="1"/>
    <col min="14094" max="14094" width="13.85546875" style="43" customWidth="1"/>
    <col min="14095" max="14097" width="10.5703125" style="43" customWidth="1"/>
    <col min="14098" max="14099" width="3" style="43" customWidth="1"/>
    <col min="14100" max="14105" width="0" style="43" hidden="1" customWidth="1"/>
    <col min="14106" max="14336" width="11.42578125" style="43"/>
    <col min="14337" max="14337" width="4.28515625" style="43" customWidth="1"/>
    <col min="14338" max="14338" width="15.7109375" style="43" customWidth="1"/>
    <col min="14339" max="14339" width="20.140625" style="43" customWidth="1"/>
    <col min="14340" max="14340" width="18.7109375" style="43" customWidth="1"/>
    <col min="14341" max="14341" width="17.5703125" style="43" customWidth="1"/>
    <col min="14342" max="14342" width="17" style="43" customWidth="1"/>
    <col min="14343" max="14343" width="16.140625" style="43" customWidth="1"/>
    <col min="14344" max="14344" width="7.42578125" style="43" customWidth="1"/>
    <col min="14345" max="14345" width="2" style="43" customWidth="1"/>
    <col min="14346" max="14346" width="4.42578125" style="43" customWidth="1"/>
    <col min="14347" max="14347" width="8.140625" style="43" customWidth="1"/>
    <col min="14348" max="14348" width="25.28515625" style="43" bestFit="1" customWidth="1"/>
    <col min="14349" max="14349" width="10.5703125" style="43" customWidth="1"/>
    <col min="14350" max="14350" width="13.85546875" style="43" customWidth="1"/>
    <col min="14351" max="14353" width="10.5703125" style="43" customWidth="1"/>
    <col min="14354" max="14355" width="3" style="43" customWidth="1"/>
    <col min="14356" max="14361" width="0" style="43" hidden="1" customWidth="1"/>
    <col min="14362" max="14592" width="11.42578125" style="43"/>
    <col min="14593" max="14593" width="4.28515625" style="43" customWidth="1"/>
    <col min="14594" max="14594" width="15.7109375" style="43" customWidth="1"/>
    <col min="14595" max="14595" width="20.140625" style="43" customWidth="1"/>
    <col min="14596" max="14596" width="18.7109375" style="43" customWidth="1"/>
    <col min="14597" max="14597" width="17.5703125" style="43" customWidth="1"/>
    <col min="14598" max="14598" width="17" style="43" customWidth="1"/>
    <col min="14599" max="14599" width="16.140625" style="43" customWidth="1"/>
    <col min="14600" max="14600" width="7.42578125" style="43" customWidth="1"/>
    <col min="14601" max="14601" width="2" style="43" customWidth="1"/>
    <col min="14602" max="14602" width="4.42578125" style="43" customWidth="1"/>
    <col min="14603" max="14603" width="8.140625" style="43" customWidth="1"/>
    <col min="14604" max="14604" width="25.28515625" style="43" bestFit="1" customWidth="1"/>
    <col min="14605" max="14605" width="10.5703125" style="43" customWidth="1"/>
    <col min="14606" max="14606" width="13.85546875" style="43" customWidth="1"/>
    <col min="14607" max="14609" width="10.5703125" style="43" customWidth="1"/>
    <col min="14610" max="14611" width="3" style="43" customWidth="1"/>
    <col min="14612" max="14617" width="0" style="43" hidden="1" customWidth="1"/>
    <col min="14618" max="14848" width="11.42578125" style="43"/>
    <col min="14849" max="14849" width="4.28515625" style="43" customWidth="1"/>
    <col min="14850" max="14850" width="15.7109375" style="43" customWidth="1"/>
    <col min="14851" max="14851" width="20.140625" style="43" customWidth="1"/>
    <col min="14852" max="14852" width="18.7109375" style="43" customWidth="1"/>
    <col min="14853" max="14853" width="17.5703125" style="43" customWidth="1"/>
    <col min="14854" max="14854" width="17" style="43" customWidth="1"/>
    <col min="14855" max="14855" width="16.140625" style="43" customWidth="1"/>
    <col min="14856" max="14856" width="7.42578125" style="43" customWidth="1"/>
    <col min="14857" max="14857" width="2" style="43" customWidth="1"/>
    <col min="14858" max="14858" width="4.42578125" style="43" customWidth="1"/>
    <col min="14859" max="14859" width="8.140625" style="43" customWidth="1"/>
    <col min="14860" max="14860" width="25.28515625" style="43" bestFit="1" customWidth="1"/>
    <col min="14861" max="14861" width="10.5703125" style="43" customWidth="1"/>
    <col min="14862" max="14862" width="13.85546875" style="43" customWidth="1"/>
    <col min="14863" max="14865" width="10.5703125" style="43" customWidth="1"/>
    <col min="14866" max="14867" width="3" style="43" customWidth="1"/>
    <col min="14868" max="14873" width="0" style="43" hidden="1" customWidth="1"/>
    <col min="14874" max="15104" width="11.42578125" style="43"/>
    <col min="15105" max="15105" width="4.28515625" style="43" customWidth="1"/>
    <col min="15106" max="15106" width="15.7109375" style="43" customWidth="1"/>
    <col min="15107" max="15107" width="20.140625" style="43" customWidth="1"/>
    <col min="15108" max="15108" width="18.7109375" style="43" customWidth="1"/>
    <col min="15109" max="15109" width="17.5703125" style="43" customWidth="1"/>
    <col min="15110" max="15110" width="17" style="43" customWidth="1"/>
    <col min="15111" max="15111" width="16.140625" style="43" customWidth="1"/>
    <col min="15112" max="15112" width="7.42578125" style="43" customWidth="1"/>
    <col min="15113" max="15113" width="2" style="43" customWidth="1"/>
    <col min="15114" max="15114" width="4.42578125" style="43" customWidth="1"/>
    <col min="15115" max="15115" width="8.140625" style="43" customWidth="1"/>
    <col min="15116" max="15116" width="25.28515625" style="43" bestFit="1" customWidth="1"/>
    <col min="15117" max="15117" width="10.5703125" style="43" customWidth="1"/>
    <col min="15118" max="15118" width="13.85546875" style="43" customWidth="1"/>
    <col min="15119" max="15121" width="10.5703125" style="43" customWidth="1"/>
    <col min="15122" max="15123" width="3" style="43" customWidth="1"/>
    <col min="15124" max="15129" width="0" style="43" hidden="1" customWidth="1"/>
    <col min="15130" max="15360" width="11.42578125" style="43"/>
    <col min="15361" max="15361" width="4.28515625" style="43" customWidth="1"/>
    <col min="15362" max="15362" width="15.7109375" style="43" customWidth="1"/>
    <col min="15363" max="15363" width="20.140625" style="43" customWidth="1"/>
    <col min="15364" max="15364" width="18.7109375" style="43" customWidth="1"/>
    <col min="15365" max="15365" width="17.5703125" style="43" customWidth="1"/>
    <col min="15366" max="15366" width="17" style="43" customWidth="1"/>
    <col min="15367" max="15367" width="16.140625" style="43" customWidth="1"/>
    <col min="15368" max="15368" width="7.42578125" style="43" customWidth="1"/>
    <col min="15369" max="15369" width="2" style="43" customWidth="1"/>
    <col min="15370" max="15370" width="4.42578125" style="43" customWidth="1"/>
    <col min="15371" max="15371" width="8.140625" style="43" customWidth="1"/>
    <col min="15372" max="15372" width="25.28515625" style="43" bestFit="1" customWidth="1"/>
    <col min="15373" max="15373" width="10.5703125" style="43" customWidth="1"/>
    <col min="15374" max="15374" width="13.85546875" style="43" customWidth="1"/>
    <col min="15375" max="15377" width="10.5703125" style="43" customWidth="1"/>
    <col min="15378" max="15379" width="3" style="43" customWidth="1"/>
    <col min="15380" max="15385" width="0" style="43" hidden="1" customWidth="1"/>
    <col min="15386" max="15616" width="11.42578125" style="43"/>
    <col min="15617" max="15617" width="4.28515625" style="43" customWidth="1"/>
    <col min="15618" max="15618" width="15.7109375" style="43" customWidth="1"/>
    <col min="15619" max="15619" width="20.140625" style="43" customWidth="1"/>
    <col min="15620" max="15620" width="18.7109375" style="43" customWidth="1"/>
    <col min="15621" max="15621" width="17.5703125" style="43" customWidth="1"/>
    <col min="15622" max="15622" width="17" style="43" customWidth="1"/>
    <col min="15623" max="15623" width="16.140625" style="43" customWidth="1"/>
    <col min="15624" max="15624" width="7.42578125" style="43" customWidth="1"/>
    <col min="15625" max="15625" width="2" style="43" customWidth="1"/>
    <col min="15626" max="15626" width="4.42578125" style="43" customWidth="1"/>
    <col min="15627" max="15627" width="8.140625" style="43" customWidth="1"/>
    <col min="15628" max="15628" width="25.28515625" style="43" bestFit="1" customWidth="1"/>
    <col min="15629" max="15629" width="10.5703125" style="43" customWidth="1"/>
    <col min="15630" max="15630" width="13.85546875" style="43" customWidth="1"/>
    <col min="15631" max="15633" width="10.5703125" style="43" customWidth="1"/>
    <col min="15634" max="15635" width="3" style="43" customWidth="1"/>
    <col min="15636" max="15641" width="0" style="43" hidden="1" customWidth="1"/>
    <col min="15642" max="15872" width="11.42578125" style="43"/>
    <col min="15873" max="15873" width="4.28515625" style="43" customWidth="1"/>
    <col min="15874" max="15874" width="15.7109375" style="43" customWidth="1"/>
    <col min="15875" max="15875" width="20.140625" style="43" customWidth="1"/>
    <col min="15876" max="15876" width="18.7109375" style="43" customWidth="1"/>
    <col min="15877" max="15877" width="17.5703125" style="43" customWidth="1"/>
    <col min="15878" max="15878" width="17" style="43" customWidth="1"/>
    <col min="15879" max="15879" width="16.140625" style="43" customWidth="1"/>
    <col min="15880" max="15880" width="7.42578125" style="43" customWidth="1"/>
    <col min="15881" max="15881" width="2" style="43" customWidth="1"/>
    <col min="15882" max="15882" width="4.42578125" style="43" customWidth="1"/>
    <col min="15883" max="15883" width="8.140625" style="43" customWidth="1"/>
    <col min="15884" max="15884" width="25.28515625" style="43" bestFit="1" customWidth="1"/>
    <col min="15885" max="15885" width="10.5703125" style="43" customWidth="1"/>
    <col min="15886" max="15886" width="13.85546875" style="43" customWidth="1"/>
    <col min="15887" max="15889" width="10.5703125" style="43" customWidth="1"/>
    <col min="15890" max="15891" width="3" style="43" customWidth="1"/>
    <col min="15892" max="15897" width="0" style="43" hidden="1" customWidth="1"/>
    <col min="15898" max="16128" width="11.42578125" style="43"/>
    <col min="16129" max="16129" width="4.28515625" style="43" customWidth="1"/>
    <col min="16130" max="16130" width="15.7109375" style="43" customWidth="1"/>
    <col min="16131" max="16131" width="20.140625" style="43" customWidth="1"/>
    <col min="16132" max="16132" width="18.7109375" style="43" customWidth="1"/>
    <col min="16133" max="16133" width="17.5703125" style="43" customWidth="1"/>
    <col min="16134" max="16134" width="17" style="43" customWidth="1"/>
    <col min="16135" max="16135" width="16.140625" style="43" customWidth="1"/>
    <col min="16136" max="16136" width="7.42578125" style="43" customWidth="1"/>
    <col min="16137" max="16137" width="2" style="43" customWidth="1"/>
    <col min="16138" max="16138" width="4.42578125" style="43" customWidth="1"/>
    <col min="16139" max="16139" width="8.140625" style="43" customWidth="1"/>
    <col min="16140" max="16140" width="25.28515625" style="43" bestFit="1" customWidth="1"/>
    <col min="16141" max="16141" width="10.5703125" style="43" customWidth="1"/>
    <col min="16142" max="16142" width="13.85546875" style="43" customWidth="1"/>
    <col min="16143" max="16145" width="10.5703125" style="43" customWidth="1"/>
    <col min="16146" max="16147" width="3" style="43" customWidth="1"/>
    <col min="16148" max="16153" width="0" style="43" hidden="1" customWidth="1"/>
    <col min="16154" max="16384" width="11.42578125" style="43"/>
  </cols>
  <sheetData>
    <row r="1" spans="1:25" ht="18" customHeight="1" x14ac:dyDescent="0.25">
      <c r="A1" s="41">
        <v>2050</v>
      </c>
      <c r="B1" s="264" t="s">
        <v>111</v>
      </c>
      <c r="C1" s="264"/>
      <c r="D1" s="264"/>
      <c r="E1" s="264"/>
      <c r="F1" s="264"/>
      <c r="G1" s="264"/>
      <c r="H1" s="42"/>
      <c r="I1" s="42"/>
      <c r="J1" s="42"/>
      <c r="K1" s="42"/>
    </row>
    <row r="2" spans="1:25" ht="18" customHeight="1" thickBot="1" x14ac:dyDescent="0.3">
      <c r="A2" s="41">
        <v>2150</v>
      </c>
      <c r="B2" s="265" t="s">
        <v>58</v>
      </c>
      <c r="C2" s="265"/>
      <c r="D2" s="265"/>
      <c r="E2" s="265"/>
      <c r="F2" s="265"/>
      <c r="G2" s="265"/>
      <c r="H2" s="42"/>
      <c r="I2" s="42"/>
      <c r="J2" s="42"/>
      <c r="K2" s="42"/>
      <c r="M2" s="44"/>
    </row>
    <row r="3" spans="1:25" ht="18" customHeight="1" thickTop="1" x14ac:dyDescent="0.25">
      <c r="B3" s="45" t="s">
        <v>59</v>
      </c>
      <c r="C3" s="46"/>
      <c r="D3" s="46"/>
      <c r="E3" s="46"/>
      <c r="F3" s="47"/>
      <c r="G3" s="48">
        <v>2150</v>
      </c>
      <c r="H3" s="49"/>
      <c r="I3" s="266" t="s">
        <v>60</v>
      </c>
      <c r="J3" s="267"/>
      <c r="K3" s="267"/>
      <c r="L3" s="267"/>
      <c r="M3" s="267"/>
      <c r="N3" s="267"/>
      <c r="O3" s="267"/>
      <c r="P3" s="267"/>
      <c r="Q3" s="267"/>
      <c r="R3" s="268"/>
    </row>
    <row r="4" spans="1:25" ht="18" customHeight="1" x14ac:dyDescent="0.25">
      <c r="B4" s="45" t="s">
        <v>61</v>
      </c>
      <c r="C4" s="46"/>
      <c r="D4" s="46"/>
      <c r="E4" s="46"/>
      <c r="F4" s="47"/>
      <c r="G4" s="191">
        <v>2050</v>
      </c>
      <c r="H4" s="49"/>
      <c r="I4" s="50"/>
      <c r="J4" s="51"/>
      <c r="K4" s="51"/>
      <c r="L4" s="52"/>
      <c r="M4" s="52" t="str">
        <f>+IF(O11=MB_CCF, "Tabla correcta para los valores introducidos","Recalcular tabla haciendo click en ANALIZAR")</f>
        <v>Recalcular tabla haciendo click en ANALIZAR</v>
      </c>
      <c r="N4" s="52"/>
      <c r="O4" s="52"/>
      <c r="P4" s="52"/>
      <c r="Q4" s="52"/>
      <c r="R4" s="53"/>
    </row>
    <row r="5" spans="1:25" ht="18" customHeight="1" x14ac:dyDescent="0.25">
      <c r="B5" s="45" t="s">
        <v>62</v>
      </c>
      <c r="C5" s="46"/>
      <c r="D5" s="54" t="s">
        <v>63</v>
      </c>
      <c r="E5" s="55">
        <v>0.7</v>
      </c>
      <c r="F5" s="56">
        <f>G5/E5</f>
        <v>208.57142857142858</v>
      </c>
      <c r="G5" s="57">
        <v>146</v>
      </c>
      <c r="H5" s="49"/>
      <c r="I5" s="58"/>
      <c r="J5" s="51"/>
      <c r="K5" s="51"/>
      <c r="L5" s="52"/>
      <c r="M5" s="269" t="s">
        <v>64</v>
      </c>
      <c r="N5" s="269"/>
      <c r="O5" s="269"/>
      <c r="P5" s="269"/>
      <c r="Q5" s="269"/>
      <c r="R5" s="53"/>
    </row>
    <row r="6" spans="1:25" ht="18" customHeight="1" x14ac:dyDescent="0.25">
      <c r="B6" s="270" t="s">
        <v>65</v>
      </c>
      <c r="C6" s="271"/>
      <c r="D6" s="61"/>
      <c r="E6" s="61"/>
      <c r="F6" s="62"/>
      <c r="G6" s="63">
        <v>180</v>
      </c>
      <c r="H6" s="64"/>
      <c r="I6" s="65"/>
      <c r="J6" s="66"/>
      <c r="K6" s="66"/>
      <c r="M6" s="67">
        <v>0.1</v>
      </c>
      <c r="N6" s="67">
        <v>0.05</v>
      </c>
      <c r="O6" s="68"/>
      <c r="P6" s="67">
        <v>0.05</v>
      </c>
      <c r="Q6" s="67">
        <v>0.1</v>
      </c>
      <c r="R6" s="53"/>
    </row>
    <row r="7" spans="1:25" ht="18" customHeight="1" x14ac:dyDescent="0.25">
      <c r="B7" s="270" t="s">
        <v>66</v>
      </c>
      <c r="C7" s="271"/>
      <c r="D7" s="61"/>
      <c r="E7" s="61"/>
      <c r="F7" s="62"/>
      <c r="G7" s="63">
        <v>500</v>
      </c>
      <c r="H7" s="64"/>
      <c r="I7" s="65"/>
      <c r="J7" s="66"/>
      <c r="K7" s="66"/>
      <c r="L7" s="69">
        <f>MB_CCF</f>
        <v>136775.86647058825</v>
      </c>
      <c r="M7" s="70">
        <v>312.3</v>
      </c>
      <c r="N7" s="70">
        <v>329.65</v>
      </c>
      <c r="O7" s="70">
        <v>347</v>
      </c>
      <c r="P7" s="70">
        <v>364.35</v>
      </c>
      <c r="Q7" s="70">
        <v>381.70000000000005</v>
      </c>
      <c r="R7" s="53"/>
      <c r="U7" s="71">
        <f>+W7*0.9</f>
        <v>1935</v>
      </c>
      <c r="V7" s="71">
        <f>+W7*0.95</f>
        <v>2042.5</v>
      </c>
      <c r="W7" s="71">
        <f>+g</f>
        <v>2150</v>
      </c>
      <c r="X7" s="71">
        <f>+W7*1.05</f>
        <v>2257.5</v>
      </c>
      <c r="Y7" s="71">
        <f>+W7*1.1</f>
        <v>2365</v>
      </c>
    </row>
    <row r="8" spans="1:25" ht="18" customHeight="1" x14ac:dyDescent="0.25">
      <c r="B8" s="59" t="s">
        <v>67</v>
      </c>
      <c r="C8" s="60"/>
      <c r="D8" s="60"/>
      <c r="E8" s="60"/>
      <c r="F8" s="72"/>
      <c r="G8" s="73">
        <v>0.01</v>
      </c>
      <c r="H8" s="74"/>
      <c r="I8" s="75"/>
      <c r="J8" s="272" t="s">
        <v>68</v>
      </c>
      <c r="K8" s="67">
        <v>0.15</v>
      </c>
      <c r="L8" s="70">
        <v>331.5</v>
      </c>
      <c r="M8" s="76">
        <f t="dataTable" ref="M8:Q14" dt2D="1" dtr="0" r1="G3" r2="G4"/>
        <v>-435714.96352941176</v>
      </c>
      <c r="N8" s="76">
        <v>-427301.94852941175</v>
      </c>
      <c r="O8" s="76">
        <v>-418888.93352941173</v>
      </c>
      <c r="P8" s="76">
        <v>-410475.91852941178</v>
      </c>
      <c r="Q8" s="76">
        <v>-402062.90352941171</v>
      </c>
      <c r="R8" s="53"/>
      <c r="T8" s="71">
        <f>+T11*0.85</f>
        <v>1742.5</v>
      </c>
    </row>
    <row r="9" spans="1:25" ht="18" customHeight="1" x14ac:dyDescent="0.25">
      <c r="B9" s="59" t="s">
        <v>69</v>
      </c>
      <c r="C9" s="77"/>
      <c r="D9" s="78">
        <v>0.03</v>
      </c>
      <c r="E9" s="79">
        <f>+IF($G$6=$G$7,0,(($G$6+$G$7)/2)*D9)</f>
        <v>10.199999999999999</v>
      </c>
      <c r="F9" s="80">
        <f>+E9/E5</f>
        <v>14.571428571428571</v>
      </c>
      <c r="G9" s="81">
        <f>+F9*G5</f>
        <v>2127.4285714285716</v>
      </c>
      <c r="H9" s="82"/>
      <c r="I9" s="83"/>
      <c r="J9" s="272"/>
      <c r="K9" s="67">
        <v>0.1</v>
      </c>
      <c r="L9" s="70">
        <v>351</v>
      </c>
      <c r="M9" s="76">
        <v>-439330.26352941175</v>
      </c>
      <c r="N9" s="76">
        <v>-430917.24852941174</v>
      </c>
      <c r="O9" s="76">
        <v>-422504.23352941172</v>
      </c>
      <c r="P9" s="76">
        <v>-414091.21852941171</v>
      </c>
      <c r="Q9" s="76">
        <v>-405678.20352941169</v>
      </c>
      <c r="R9" s="53"/>
      <c r="T9" s="71">
        <f>+T11*0.9</f>
        <v>1845</v>
      </c>
    </row>
    <row r="10" spans="1:25" ht="18" customHeight="1" x14ac:dyDescent="0.25">
      <c r="B10" s="59" t="s">
        <v>70</v>
      </c>
      <c r="C10" s="62"/>
      <c r="D10" s="84">
        <v>7</v>
      </c>
      <c r="E10" s="85">
        <f>+E9/D10</f>
        <v>1.4571428571428571</v>
      </c>
      <c r="F10" s="86">
        <f>+IF(G6=G7,0,G10/30)</f>
        <v>7.3202614379084974</v>
      </c>
      <c r="G10" s="87">
        <f>+IF($G$6=$G$7,0,($G$7-$G$6)/E10)</f>
        <v>219.60784313725492</v>
      </c>
      <c r="H10" s="88"/>
      <c r="I10" s="89"/>
      <c r="J10" s="272"/>
      <c r="K10" s="67">
        <v>0.05</v>
      </c>
      <c r="L10" s="70">
        <v>370.5</v>
      </c>
      <c r="M10" s="76">
        <v>-442945.56352941174</v>
      </c>
      <c r="N10" s="76">
        <v>-434532.54852941178</v>
      </c>
      <c r="O10" s="76">
        <v>-426119.53352941177</v>
      </c>
      <c r="P10" s="76">
        <v>-417706.51852941175</v>
      </c>
      <c r="Q10" s="76">
        <v>-409293.50352941174</v>
      </c>
      <c r="R10" s="53"/>
      <c r="T10" s="71">
        <f>+T11*0.95</f>
        <v>1947.5</v>
      </c>
    </row>
    <row r="11" spans="1:25" ht="18" customHeight="1" x14ac:dyDescent="0.25">
      <c r="B11" s="90" t="s">
        <v>71</v>
      </c>
      <c r="C11" s="91"/>
      <c r="D11" s="92">
        <v>65</v>
      </c>
      <c r="E11" s="93">
        <v>50</v>
      </c>
      <c r="G11" s="94"/>
      <c r="H11" s="95"/>
      <c r="I11" s="96"/>
      <c r="J11" s="272"/>
      <c r="K11" s="68"/>
      <c r="L11" s="70">
        <v>390</v>
      </c>
      <c r="M11" s="76">
        <v>-446560.86352941173</v>
      </c>
      <c r="N11" s="76">
        <v>-438147.84852941171</v>
      </c>
      <c r="O11" s="76">
        <v>-429734.83352941176</v>
      </c>
      <c r="P11" s="76">
        <v>-421321.81852941174</v>
      </c>
      <c r="Q11" s="76">
        <v>-412908.80352941173</v>
      </c>
      <c r="R11" s="53"/>
      <c r="T11" s="71">
        <f>+INVENADA_MB</f>
        <v>2050</v>
      </c>
    </row>
    <row r="12" spans="1:25" ht="18" customHeight="1" x14ac:dyDescent="0.25">
      <c r="B12" s="97" t="s">
        <v>72</v>
      </c>
      <c r="C12" s="98"/>
      <c r="D12" s="273">
        <v>2600</v>
      </c>
      <c r="E12" s="99">
        <v>300</v>
      </c>
      <c r="F12" s="100">
        <f>+G12/G6</f>
        <v>66.666666666666671</v>
      </c>
      <c r="G12" s="101">
        <f>+E12*D12/D11</f>
        <v>12000</v>
      </c>
      <c r="H12" s="95"/>
      <c r="I12" s="96"/>
      <c r="J12" s="272"/>
      <c r="K12" s="67">
        <v>0.05</v>
      </c>
      <c r="L12" s="70">
        <v>409.5</v>
      </c>
      <c r="M12" s="76">
        <v>-450176.16352941177</v>
      </c>
      <c r="N12" s="76">
        <v>-441763.14852941176</v>
      </c>
      <c r="O12" s="76">
        <v>-433350.13352941175</v>
      </c>
      <c r="P12" s="76">
        <v>-424937.11852941173</v>
      </c>
      <c r="Q12" s="76">
        <v>-416524.10352941172</v>
      </c>
      <c r="R12" s="53"/>
      <c r="T12" s="71">
        <f>+T11*1.05</f>
        <v>2152.5</v>
      </c>
    </row>
    <row r="13" spans="1:25" ht="18" customHeight="1" x14ac:dyDescent="0.25">
      <c r="B13" s="102" t="s">
        <v>73</v>
      </c>
      <c r="C13" s="103"/>
      <c r="D13" s="274"/>
      <c r="E13" s="99">
        <v>300</v>
      </c>
      <c r="F13" s="104">
        <f>+G13/G7</f>
        <v>31.2</v>
      </c>
      <c r="G13" s="105">
        <f>+E13*D12/E11</f>
        <v>15600</v>
      </c>
      <c r="H13" s="95"/>
      <c r="I13" s="96"/>
      <c r="J13" s="272"/>
      <c r="K13" s="67">
        <v>0.1</v>
      </c>
      <c r="L13" s="70">
        <v>429.00000000000006</v>
      </c>
      <c r="M13" s="76">
        <v>-453791.46352941176</v>
      </c>
      <c r="N13" s="76">
        <v>-445378.44852941175</v>
      </c>
      <c r="O13" s="76">
        <v>-436965.43352941173</v>
      </c>
      <c r="P13" s="76">
        <v>-428552.41852941178</v>
      </c>
      <c r="Q13" s="76">
        <v>-420139.40352941171</v>
      </c>
      <c r="R13" s="53"/>
      <c r="T13" s="71">
        <f>+T11*1.1</f>
        <v>2255</v>
      </c>
    </row>
    <row r="14" spans="1:25" ht="18" customHeight="1" x14ac:dyDescent="0.25">
      <c r="B14" s="106" t="s">
        <v>74</v>
      </c>
      <c r="C14" s="107"/>
      <c r="D14" s="108">
        <v>0.03</v>
      </c>
      <c r="E14" s="109"/>
      <c r="F14" s="110">
        <f>+G14/G6</f>
        <v>61.5</v>
      </c>
      <c r="G14" s="111">
        <f>+G6*G4*D14</f>
        <v>11070</v>
      </c>
      <c r="H14" s="95"/>
      <c r="I14" s="96"/>
      <c r="J14" s="272"/>
      <c r="K14" s="67">
        <v>0.15</v>
      </c>
      <c r="L14" s="70">
        <v>448.49999999999994</v>
      </c>
      <c r="M14" s="76">
        <v>-457406.76352941175</v>
      </c>
      <c r="N14" s="76">
        <v>-448993.74852941174</v>
      </c>
      <c r="O14" s="76">
        <v>-440580.73352941172</v>
      </c>
      <c r="P14" s="76">
        <v>-432167.71852941171</v>
      </c>
      <c r="Q14" s="76">
        <v>-423754.70352941169</v>
      </c>
      <c r="R14" s="53"/>
      <c r="T14" s="71">
        <f>+T11*1.15</f>
        <v>2357.5</v>
      </c>
    </row>
    <row r="15" spans="1:25" ht="18" customHeight="1" thickBot="1" x14ac:dyDescent="0.3">
      <c r="B15" s="106" t="s">
        <v>75</v>
      </c>
      <c r="C15" s="107"/>
      <c r="D15" s="108">
        <v>0.02</v>
      </c>
      <c r="E15" s="109"/>
      <c r="F15" s="110">
        <f>+G15/G7</f>
        <v>43.43</v>
      </c>
      <c r="G15" s="111">
        <f>+(G7*(1+G8))*G3*D15</f>
        <v>21715</v>
      </c>
      <c r="H15" s="95"/>
      <c r="I15" s="112"/>
      <c r="J15" s="113"/>
      <c r="K15" s="113"/>
      <c r="L15" s="113"/>
      <c r="M15" s="113"/>
      <c r="N15" s="113"/>
      <c r="O15" s="113"/>
      <c r="P15" s="113"/>
      <c r="Q15" s="113"/>
      <c r="R15" s="114"/>
    </row>
    <row r="16" spans="1:25" ht="18" customHeight="1" thickTop="1" x14ac:dyDescent="0.25">
      <c r="B16" s="132" t="s">
        <v>76</v>
      </c>
      <c r="C16" s="115"/>
      <c r="D16" s="115"/>
      <c r="E16" s="115"/>
      <c r="F16" s="115"/>
      <c r="G16" s="189">
        <f>SUM(G12:G15)</f>
        <v>60385</v>
      </c>
      <c r="H16" s="116"/>
      <c r="I16" s="116"/>
    </row>
    <row r="17" spans="2:16" ht="18" customHeight="1" x14ac:dyDescent="0.25">
      <c r="B17" s="91"/>
      <c r="C17" s="117"/>
      <c r="D17" s="118"/>
      <c r="E17" s="118"/>
      <c r="F17" s="119"/>
      <c r="G17" s="42"/>
      <c r="H17" s="116"/>
      <c r="I17" s="116"/>
    </row>
    <row r="18" spans="2:16" ht="18" customHeight="1" thickBot="1" x14ac:dyDescent="0.3">
      <c r="B18" s="59" t="s">
        <v>77</v>
      </c>
      <c r="C18" s="109"/>
      <c r="D18" s="120"/>
      <c r="E18" s="121"/>
      <c r="F18" s="122">
        <v>113.14</v>
      </c>
      <c r="G18" s="123">
        <f>+F18*G10*(1+(G8/2))</f>
        <v>24970.663529411762</v>
      </c>
      <c r="H18" s="116"/>
      <c r="I18" s="116"/>
    </row>
    <row r="19" spans="2:16" ht="18" customHeight="1" thickTop="1" x14ac:dyDescent="0.25">
      <c r="B19" s="270" t="s">
        <v>78</v>
      </c>
      <c r="C19" s="271"/>
      <c r="D19" s="124"/>
      <c r="E19" s="121"/>
      <c r="F19" s="125">
        <v>3547</v>
      </c>
      <c r="G19" s="126">
        <f>+F19*(1+G8)</f>
        <v>3582.4700000000003</v>
      </c>
      <c r="H19" s="116"/>
      <c r="I19" s="116"/>
      <c r="L19" s="275" t="s">
        <v>79</v>
      </c>
      <c r="M19" s="276"/>
      <c r="N19" s="276"/>
      <c r="O19" s="276"/>
      <c r="P19" s="277"/>
    </row>
    <row r="20" spans="2:16" ht="18" customHeight="1" x14ac:dyDescent="0.25">
      <c r="B20" s="270" t="s">
        <v>80</v>
      </c>
      <c r="C20" s="271"/>
      <c r="D20" s="120"/>
      <c r="E20" s="121"/>
      <c r="F20" s="127">
        <f>+G9</f>
        <v>2127.4285714285716</v>
      </c>
      <c r="G20" s="128">
        <f>+G9*G10*(1+(G8/2))</f>
        <v>469536</v>
      </c>
      <c r="H20" s="118"/>
      <c r="I20" s="118"/>
      <c r="L20" s="129" t="s">
        <v>81</v>
      </c>
      <c r="M20" s="130"/>
      <c r="N20" s="130"/>
      <c r="O20" s="130"/>
      <c r="P20" s="131">
        <f>+G25/G28</f>
        <v>0.34672304439746299</v>
      </c>
    </row>
    <row r="21" spans="2:16" ht="18" customHeight="1" x14ac:dyDescent="0.25">
      <c r="B21" s="132" t="s">
        <v>82</v>
      </c>
      <c r="C21" s="133"/>
      <c r="D21" s="134"/>
      <c r="E21" s="135"/>
      <c r="F21" s="136">
        <f>+G21/G10</f>
        <v>2268.0844473214283</v>
      </c>
      <c r="G21" s="137">
        <f>SUM(G18:G20)</f>
        <v>498089.13352941175</v>
      </c>
      <c r="H21" s="138"/>
      <c r="I21" s="138"/>
      <c r="L21" s="129" t="s">
        <v>83</v>
      </c>
      <c r="M21" s="130"/>
      <c r="N21" s="130"/>
      <c r="O21" s="130"/>
      <c r="P21" s="131">
        <f>+G20/G28</f>
        <v>0.4411895701198027</v>
      </c>
    </row>
    <row r="22" spans="2:16" ht="18" customHeight="1" x14ac:dyDescent="0.25">
      <c r="B22" s="118"/>
      <c r="C22" s="118"/>
      <c r="D22" s="118"/>
      <c r="E22" s="118"/>
      <c r="F22" s="118"/>
      <c r="G22" s="118"/>
      <c r="H22" s="139"/>
      <c r="I22" s="139"/>
      <c r="L22" s="129" t="s">
        <v>84</v>
      </c>
      <c r="M22" s="130"/>
      <c r="N22" s="130"/>
      <c r="O22" s="130"/>
      <c r="P22" s="131">
        <f>+G27/G28</f>
        <v>5.6739487902278597E-2</v>
      </c>
    </row>
    <row r="23" spans="2:16" ht="18" customHeight="1" x14ac:dyDescent="0.25">
      <c r="B23" s="261" t="s">
        <v>85</v>
      </c>
      <c r="C23" s="262"/>
      <c r="D23" s="262"/>
      <c r="E23" s="262"/>
      <c r="F23" s="263"/>
      <c r="G23" s="190">
        <f>+G21/(G7-G6)</f>
        <v>1556.5285422794118</v>
      </c>
      <c r="H23" s="140"/>
      <c r="I23" s="140"/>
      <c r="L23" s="129" t="s">
        <v>86</v>
      </c>
      <c r="M23" s="130"/>
      <c r="N23" s="130"/>
      <c r="O23" s="130"/>
      <c r="P23" s="131">
        <f>+G18/G28</f>
        <v>2.3463155771117464E-2</v>
      </c>
    </row>
    <row r="24" spans="2:16" ht="18" customHeight="1" thickBot="1" x14ac:dyDescent="0.3">
      <c r="B24" s="118"/>
      <c r="C24" s="118"/>
      <c r="D24" s="118"/>
      <c r="E24" s="118"/>
      <c r="F24" s="118"/>
      <c r="G24" s="118"/>
      <c r="H24" s="141"/>
      <c r="I24" s="141"/>
      <c r="L24" s="142" t="s">
        <v>87</v>
      </c>
      <c r="M24" s="143"/>
      <c r="N24" s="144"/>
      <c r="O24" s="144"/>
      <c r="P24" s="145">
        <f>+G19/G28</f>
        <v>3.3661921540991311E-3</v>
      </c>
    </row>
    <row r="25" spans="2:16" ht="18" customHeight="1" thickTop="1" thickBot="1" x14ac:dyDescent="0.3">
      <c r="B25" s="281" t="s">
        <v>88</v>
      </c>
      <c r="C25" s="282"/>
      <c r="D25" s="282"/>
      <c r="E25" s="282"/>
      <c r="F25" s="283"/>
      <c r="G25" s="146">
        <f>+G4*G6</f>
        <v>369000</v>
      </c>
      <c r="H25" s="141"/>
      <c r="I25" s="141"/>
    </row>
    <row r="26" spans="2:16" ht="18" customHeight="1" x14ac:dyDescent="0.25">
      <c r="B26" s="284" t="s">
        <v>82</v>
      </c>
      <c r="C26" s="285"/>
      <c r="D26" s="285"/>
      <c r="E26" s="285"/>
      <c r="F26" s="286"/>
      <c r="G26" s="147">
        <f>G21</f>
        <v>498089.13352941175</v>
      </c>
      <c r="H26" s="140"/>
      <c r="I26" s="140"/>
      <c r="L26" s="148" t="s">
        <v>89</v>
      </c>
      <c r="M26" s="149"/>
      <c r="N26" s="149"/>
      <c r="O26" s="150"/>
    </row>
    <row r="27" spans="2:16" ht="18" customHeight="1" x14ac:dyDescent="0.25">
      <c r="B27" s="284" t="s">
        <v>84</v>
      </c>
      <c r="C27" s="285"/>
      <c r="D27" s="285"/>
      <c r="E27" s="285"/>
      <c r="F27" s="286"/>
      <c r="G27" s="147">
        <f>+G16</f>
        <v>60385</v>
      </c>
      <c r="H27" s="151"/>
      <c r="I27" s="151"/>
      <c r="L27" s="152" t="s">
        <v>90</v>
      </c>
      <c r="M27" s="153">
        <f>G25/(G12+G13+G14+G15+G18+G19+G20+G25)</f>
        <v>0.39785476129216318</v>
      </c>
      <c r="N27" s="154"/>
      <c r="O27" s="155"/>
    </row>
    <row r="28" spans="2:16" ht="18" customHeight="1" x14ac:dyDescent="0.25">
      <c r="B28" s="284" t="s">
        <v>91</v>
      </c>
      <c r="C28" s="285"/>
      <c r="D28" s="285"/>
      <c r="E28" s="285"/>
      <c r="F28" s="286"/>
      <c r="G28" s="146">
        <f>+G3*G7*(1-G8)</f>
        <v>1064250</v>
      </c>
      <c r="H28" s="156"/>
      <c r="I28" s="156"/>
      <c r="L28" s="152" t="s">
        <v>92</v>
      </c>
      <c r="M28" s="153">
        <f>G20/N33</f>
        <v>0.50625239349072393</v>
      </c>
      <c r="N28" s="52"/>
      <c r="O28" s="155"/>
    </row>
    <row r="29" spans="2:16" ht="12.75" x14ac:dyDescent="0.25">
      <c r="B29" s="157"/>
      <c r="C29" s="157"/>
      <c r="D29" s="157"/>
      <c r="E29" s="157"/>
      <c r="F29" s="157"/>
      <c r="G29" s="140"/>
      <c r="H29" s="156"/>
      <c r="I29" s="156"/>
      <c r="L29" s="152" t="s">
        <v>93</v>
      </c>
      <c r="M29" s="153">
        <f>G19/N33</f>
        <v>3.8626090696106665E-3</v>
      </c>
      <c r="N29" s="52"/>
      <c r="O29" s="155"/>
    </row>
    <row r="30" spans="2:16" ht="18" customHeight="1" x14ac:dyDescent="0.25">
      <c r="B30" s="278" t="s">
        <v>94</v>
      </c>
      <c r="C30" s="279"/>
      <c r="D30" s="279"/>
      <c r="E30" s="279"/>
      <c r="F30" s="280"/>
      <c r="G30" s="158">
        <f>G28-G27-G26-G25</f>
        <v>136775.86647058825</v>
      </c>
      <c r="H30" s="118"/>
      <c r="I30" s="118"/>
      <c r="L30" s="152" t="s">
        <v>95</v>
      </c>
      <c r="M30" s="153">
        <f>((G14+G15)/N33)</f>
        <v>3.53486947126384E-2</v>
      </c>
      <c r="N30" s="52"/>
      <c r="O30" s="155"/>
    </row>
    <row r="31" spans="2:16" ht="18" customHeight="1" x14ac:dyDescent="0.25">
      <c r="B31" s="159"/>
      <c r="C31" s="159"/>
      <c r="D31" s="159"/>
      <c r="E31" s="159"/>
      <c r="F31" s="159"/>
      <c r="G31" s="160"/>
      <c r="L31" s="152" t="s">
        <v>96</v>
      </c>
      <c r="M31" s="153">
        <f>((G12+G13)/N33)</f>
        <v>2.9758242308031719E-2</v>
      </c>
      <c r="N31" s="52"/>
      <c r="O31" s="155"/>
    </row>
    <row r="32" spans="2:16" ht="18" customHeight="1" x14ac:dyDescent="0.25">
      <c r="B32" s="161" t="s">
        <v>97</v>
      </c>
      <c r="C32" s="162"/>
      <c r="D32" s="162"/>
      <c r="E32" s="162"/>
      <c r="F32" s="163" t="s">
        <v>98</v>
      </c>
      <c r="G32" s="164">
        <v>0.3</v>
      </c>
      <c r="L32" s="152" t="s">
        <v>99</v>
      </c>
      <c r="M32" s="153">
        <f>G18/N33</f>
        <v>2.6923299126832091E-2</v>
      </c>
      <c r="N32" s="52"/>
      <c r="O32" s="155"/>
    </row>
    <row r="33" spans="2:15" ht="26.25" thickBot="1" x14ac:dyDescent="0.3">
      <c r="B33" s="165"/>
      <c r="C33" s="166" t="s">
        <v>100</v>
      </c>
      <c r="D33" s="166" t="s">
        <v>101</v>
      </c>
      <c r="E33" s="167" t="s">
        <v>102</v>
      </c>
      <c r="F33" s="167" t="s">
        <v>103</v>
      </c>
      <c r="G33" s="167" t="s">
        <v>97</v>
      </c>
      <c r="L33" s="168" t="s">
        <v>104</v>
      </c>
      <c r="M33" s="169">
        <f>SUM(M27:M32)</f>
        <v>1</v>
      </c>
      <c r="N33" s="170">
        <f>G16+G21+G25</f>
        <v>927474.13352941175</v>
      </c>
      <c r="O33" s="171"/>
    </row>
    <row r="34" spans="2:15" ht="18" customHeight="1" x14ac:dyDescent="0.25">
      <c r="B34" s="172" t="s">
        <v>105</v>
      </c>
      <c r="C34" s="173">
        <v>30</v>
      </c>
      <c r="D34" s="173">
        <v>10</v>
      </c>
      <c r="E34" s="174">
        <f>+G10-C34+D34</f>
        <v>199.60784313725492</v>
      </c>
      <c r="F34" s="175">
        <v>0</v>
      </c>
      <c r="G34" s="176">
        <f>+F34*(G25+G12+G14)</f>
        <v>0</v>
      </c>
    </row>
    <row r="35" spans="2:15" ht="18" customHeight="1" x14ac:dyDescent="0.25">
      <c r="B35" s="172" t="s">
        <v>92</v>
      </c>
      <c r="C35" s="287" t="s">
        <v>106</v>
      </c>
      <c r="D35" s="288"/>
      <c r="E35" s="173">
        <v>60</v>
      </c>
      <c r="F35" s="175">
        <v>0</v>
      </c>
      <c r="G35" s="176">
        <f>+G20*F35</f>
        <v>0</v>
      </c>
    </row>
    <row r="36" spans="2:15" ht="18" customHeight="1" x14ac:dyDescent="0.25">
      <c r="B36" s="177"/>
      <c r="C36" s="178"/>
      <c r="D36" s="178"/>
      <c r="E36" s="179"/>
      <c r="F36" s="180" t="s">
        <v>107</v>
      </c>
      <c r="G36" s="176">
        <f>SUM(G34:G35)</f>
        <v>0</v>
      </c>
    </row>
    <row r="37" spans="2:15" ht="6" customHeight="1" x14ac:dyDescent="0.25">
      <c r="J37" s="118"/>
      <c r="K37" s="118"/>
    </row>
    <row r="38" spans="2:15" ht="18" customHeight="1" x14ac:dyDescent="0.25">
      <c r="B38" s="278" t="s">
        <v>108</v>
      </c>
      <c r="C38" s="279"/>
      <c r="D38" s="279"/>
      <c r="E38" s="279"/>
      <c r="F38" s="280"/>
      <c r="G38" s="181">
        <f>G30-G36</f>
        <v>136775.86647058825</v>
      </c>
      <c r="J38" s="118"/>
      <c r="K38" s="118"/>
    </row>
    <row r="39" spans="2:15" ht="18" customHeight="1" x14ac:dyDescent="0.25">
      <c r="H39" s="118"/>
      <c r="I39" s="118"/>
      <c r="J39" s="118"/>
      <c r="K39" s="118"/>
    </row>
    <row r="40" spans="2:15" ht="18" customHeight="1" x14ac:dyDescent="0.25">
      <c r="F40" s="182" t="s">
        <v>109</v>
      </c>
      <c r="G40" s="183">
        <f>G38/(G25+G26+G27)</f>
        <v>0.14747135421459262</v>
      </c>
    </row>
    <row r="41" spans="2:15" ht="18" customHeight="1" x14ac:dyDescent="0.25">
      <c r="F41" s="182" t="s">
        <v>110</v>
      </c>
      <c r="G41" s="183">
        <f>+G40/G10*365</f>
        <v>0.24510529095577155</v>
      </c>
      <c r="H41" s="184"/>
      <c r="I41" s="184"/>
    </row>
    <row r="42" spans="2:15" ht="18" customHeight="1" thickBot="1" x14ac:dyDescent="0.3">
      <c r="B42" s="182"/>
      <c r="C42" s="185"/>
      <c r="G42" s="184"/>
      <c r="H42" s="184"/>
      <c r="I42" s="184"/>
    </row>
    <row r="43" spans="2:15" ht="18" customHeight="1" thickBot="1" x14ac:dyDescent="0.3">
      <c r="C43" s="186"/>
      <c r="D43" s="187"/>
    </row>
    <row r="45" spans="2:15" ht="18" customHeight="1" thickBot="1" x14ac:dyDescent="0.3"/>
    <row r="46" spans="2:15" ht="18" customHeight="1" thickBot="1" x14ac:dyDescent="0.3">
      <c r="D46" s="187"/>
    </row>
    <row r="56" spans="5:5" ht="18" customHeight="1" x14ac:dyDescent="0.25">
      <c r="E56" s="188"/>
    </row>
    <row r="71" spans="5:5" ht="18" customHeight="1" x14ac:dyDescent="0.25">
      <c r="E71" s="188"/>
    </row>
    <row r="86" spans="5:5" ht="18" customHeight="1" x14ac:dyDescent="0.25">
      <c r="E86" s="188"/>
    </row>
    <row r="101" spans="5:5" ht="18" customHeight="1" x14ac:dyDescent="0.25">
      <c r="E101" s="188"/>
    </row>
    <row r="116" spans="5:5" ht="18" customHeight="1" x14ac:dyDescent="0.25">
      <c r="E116" s="188"/>
    </row>
    <row r="131" spans="5:5" ht="18" customHeight="1" x14ac:dyDescent="0.25">
      <c r="E131" s="188"/>
    </row>
    <row r="144" spans="5:5" ht="18" customHeight="1" x14ac:dyDescent="0.25">
      <c r="E144" s="188"/>
    </row>
  </sheetData>
  <scenarios current="0" show="0" sqref="G30 G38">
    <scenario name="Optimista" locked="1" count="2" user="Usuario" comment="Creado por Usuario el 18/2/2018">
      <inputCells r="G3" val="41,8" numFmtId="182"/>
      <inputCells r="G4" val="35,1" numFmtId="182"/>
    </scenario>
  </scenarios>
  <mergeCells count="19">
    <mergeCell ref="B38:F38"/>
    <mergeCell ref="B25:F25"/>
    <mergeCell ref="B26:F26"/>
    <mergeCell ref="B27:F27"/>
    <mergeCell ref="B28:F28"/>
    <mergeCell ref="B30:F30"/>
    <mergeCell ref="C35:D35"/>
    <mergeCell ref="B23:F23"/>
    <mergeCell ref="B1:G1"/>
    <mergeCell ref="B2:G2"/>
    <mergeCell ref="I3:R3"/>
    <mergeCell ref="M5:Q5"/>
    <mergeCell ref="B6:C6"/>
    <mergeCell ref="B7:C7"/>
    <mergeCell ref="J8:J14"/>
    <mergeCell ref="D12:D13"/>
    <mergeCell ref="B19:C19"/>
    <mergeCell ref="L19:P19"/>
    <mergeCell ref="B20:C20"/>
  </mergeCells>
  <conditionalFormatting sqref="G30">
    <cfRule type="cellIs" dxfId="3" priority="4" stopIfTrue="1" operator="lessThan">
      <formula>0</formula>
    </cfRule>
    <cfRule type="cellIs" dxfId="2" priority="5" stopIfTrue="1" operator="greaterThan">
      <formula>0</formula>
    </cfRule>
  </conditionalFormatting>
  <conditionalFormatting sqref="G38">
    <cfRule type="cellIs" dxfId="1" priority="2" stopIfTrue="1" operator="lessThan">
      <formula>0</formula>
    </cfRule>
    <cfRule type="cellIs" dxfId="0" priority="3" stopIfTrue="1" operator="greaterThan">
      <formula>0</formula>
    </cfRule>
  </conditionalFormatting>
  <conditionalFormatting sqref="M8:Q14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25" right="0.25" top="0.75" bottom="0.75" header="0.3" footer="0.3"/>
  <pageSetup paperSize="9" scale="94" fitToHeight="0"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3073" r:id="rId4" name="Button 1">
              <controlPr defaultSize="0" print="0" autoFill="0" autoPict="0" macro="[3]!Reestablecer">
                <anchor moveWithCells="1" sizeWithCells="1">
                  <from>
                    <xdr:col>1</xdr:col>
                    <xdr:colOff>66675</xdr:colOff>
                    <xdr:row>39</xdr:row>
                    <xdr:rowOff>76200</xdr:rowOff>
                  </from>
                  <to>
                    <xdr:col>2</xdr:col>
                    <xdr:colOff>9525</xdr:colOff>
                    <xdr:row>40</xdr:row>
                    <xdr:rowOff>209550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B53572-58B5-4E45-B2F0-34913DCAE189}">
  <dimension ref="A1:P343"/>
  <sheetViews>
    <sheetView zoomScaleNormal="100" workbookViewId="0">
      <selection activeCell="E39" sqref="E39"/>
    </sheetView>
  </sheetViews>
  <sheetFormatPr baseColWidth="10" defaultRowHeight="15" x14ac:dyDescent="0.25"/>
  <cols>
    <col min="1" max="1" width="12.42578125" customWidth="1"/>
    <col min="2" max="2" width="10.42578125" customWidth="1"/>
    <col min="3" max="3" width="12.28515625" customWidth="1"/>
    <col min="4" max="4" width="14.42578125" customWidth="1"/>
    <col min="5" max="5" width="25.28515625" customWidth="1"/>
    <col min="7" max="7" width="17.5703125" bestFit="1" customWidth="1"/>
    <col min="8" max="8" width="19.7109375" bestFit="1" customWidth="1"/>
  </cols>
  <sheetData>
    <row r="1" spans="1:16" x14ac:dyDescent="0.25">
      <c r="A1" s="20" t="s">
        <v>5</v>
      </c>
      <c r="B1" s="20" t="s">
        <v>55</v>
      </c>
      <c r="C1" s="20" t="s">
        <v>46</v>
      </c>
      <c r="D1" s="20" t="s">
        <v>56</v>
      </c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</row>
    <row r="2" spans="1:16" x14ac:dyDescent="0.25">
      <c r="A2" s="12" t="s">
        <v>54</v>
      </c>
      <c r="B2" s="40">
        <v>0.4861111111111111</v>
      </c>
      <c r="C2" s="12">
        <v>1</v>
      </c>
      <c r="D2" s="12">
        <v>250</v>
      </c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</row>
    <row r="3" spans="1:16" x14ac:dyDescent="0.25">
      <c r="A3" s="12" t="s">
        <v>54</v>
      </c>
      <c r="B3" s="40">
        <v>0.4861111111111111</v>
      </c>
      <c r="C3" s="12">
        <v>2</v>
      </c>
      <c r="D3" s="12">
        <v>285</v>
      </c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</row>
    <row r="4" spans="1:16" x14ac:dyDescent="0.25">
      <c r="A4" s="12" t="s">
        <v>54</v>
      </c>
      <c r="B4" s="40">
        <v>0.4861111111111111</v>
      </c>
      <c r="C4" s="12">
        <v>3</v>
      </c>
      <c r="D4" s="12">
        <v>230</v>
      </c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</row>
    <row r="5" spans="1:16" x14ac:dyDescent="0.25">
      <c r="A5" s="12" t="s">
        <v>54</v>
      </c>
      <c r="B5" s="40">
        <v>0.4861111111111111</v>
      </c>
      <c r="C5" s="12">
        <v>4</v>
      </c>
      <c r="D5" s="12">
        <v>395</v>
      </c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</row>
    <row r="6" spans="1:16" x14ac:dyDescent="0.25">
      <c r="A6" s="12" t="s">
        <v>54</v>
      </c>
      <c r="B6" s="40">
        <v>0.4861111111111111</v>
      </c>
      <c r="C6" s="12">
        <v>5</v>
      </c>
      <c r="D6" s="12">
        <v>380</v>
      </c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</row>
    <row r="7" spans="1:16" x14ac:dyDescent="0.25">
      <c r="A7" s="12" t="s">
        <v>54</v>
      </c>
      <c r="B7" s="40">
        <v>0.4861111111111111</v>
      </c>
      <c r="C7" s="12">
        <v>6</v>
      </c>
      <c r="D7" s="12">
        <v>360</v>
      </c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</row>
    <row r="8" spans="1:16" x14ac:dyDescent="0.25">
      <c r="A8" s="12" t="s">
        <v>54</v>
      </c>
      <c r="B8" s="40">
        <v>0.4861111111111111</v>
      </c>
      <c r="C8" s="12">
        <v>7</v>
      </c>
      <c r="D8" s="12">
        <v>305</v>
      </c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</row>
    <row r="9" spans="1:16" x14ac:dyDescent="0.25">
      <c r="A9" s="12" t="s">
        <v>54</v>
      </c>
      <c r="B9" s="40">
        <v>0.4861111111111111</v>
      </c>
      <c r="C9" s="12">
        <v>8</v>
      </c>
      <c r="D9" s="12">
        <v>330</v>
      </c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</row>
    <row r="10" spans="1:16" x14ac:dyDescent="0.25">
      <c r="A10" s="12" t="s">
        <v>54</v>
      </c>
      <c r="B10" s="40">
        <v>0.4861111111111111</v>
      </c>
      <c r="C10" s="12">
        <v>9</v>
      </c>
      <c r="D10" s="12">
        <v>280</v>
      </c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</row>
    <row r="11" spans="1:16" x14ac:dyDescent="0.25">
      <c r="A11" s="12" t="s">
        <v>54</v>
      </c>
      <c r="B11" s="40">
        <v>0.4861111111111111</v>
      </c>
      <c r="C11" s="12">
        <v>10</v>
      </c>
      <c r="D11" s="12">
        <v>295</v>
      </c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</row>
    <row r="12" spans="1:16" x14ac:dyDescent="0.25">
      <c r="A12" s="12" t="s">
        <v>54</v>
      </c>
      <c r="B12" s="40">
        <v>0.4861111111111111</v>
      </c>
      <c r="C12" s="12">
        <v>11</v>
      </c>
      <c r="D12" s="12">
        <v>230</v>
      </c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</row>
    <row r="13" spans="1:16" x14ac:dyDescent="0.25">
      <c r="A13" s="12" t="s">
        <v>54</v>
      </c>
      <c r="B13" s="40">
        <v>0.4861111111111111</v>
      </c>
      <c r="C13" s="12">
        <v>12</v>
      </c>
      <c r="D13" s="12">
        <v>305</v>
      </c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</row>
    <row r="14" spans="1:16" x14ac:dyDescent="0.25">
      <c r="A14" s="12" t="s">
        <v>54</v>
      </c>
      <c r="B14" s="40">
        <v>0.4861111111111111</v>
      </c>
      <c r="C14" s="12">
        <v>13</v>
      </c>
      <c r="D14" s="12">
        <v>300</v>
      </c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</row>
    <row r="15" spans="1:16" x14ac:dyDescent="0.25">
      <c r="A15" s="12" t="s">
        <v>54</v>
      </c>
      <c r="B15" s="40">
        <v>0.4861111111111111</v>
      </c>
      <c r="C15" s="12">
        <v>14</v>
      </c>
      <c r="D15" s="12">
        <v>335</v>
      </c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</row>
    <row r="16" spans="1:16" x14ac:dyDescent="0.25">
      <c r="A16" s="12" t="s">
        <v>54</v>
      </c>
      <c r="B16" s="40">
        <v>0.4861111111111111</v>
      </c>
      <c r="C16" s="12">
        <v>15</v>
      </c>
      <c r="D16" s="12">
        <v>270</v>
      </c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</row>
    <row r="17" spans="1:16" x14ac:dyDescent="0.25">
      <c r="A17" s="12" t="s">
        <v>54</v>
      </c>
      <c r="B17" s="40">
        <v>0.4861111111111111</v>
      </c>
      <c r="C17" s="12">
        <v>16</v>
      </c>
      <c r="D17" s="12">
        <v>315</v>
      </c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</row>
    <row r="18" spans="1:16" x14ac:dyDescent="0.25">
      <c r="A18" s="12" t="s">
        <v>54</v>
      </c>
      <c r="B18" s="40">
        <v>0.4861111111111111</v>
      </c>
      <c r="C18" s="12">
        <v>17</v>
      </c>
      <c r="D18" s="12">
        <v>355</v>
      </c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</row>
    <row r="19" spans="1:16" x14ac:dyDescent="0.25">
      <c r="A19" s="12" t="s">
        <v>54</v>
      </c>
      <c r="B19" s="40">
        <v>0.4861111111111111</v>
      </c>
      <c r="C19" s="12">
        <v>18</v>
      </c>
      <c r="D19" s="12">
        <v>300</v>
      </c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</row>
    <row r="20" spans="1:16" x14ac:dyDescent="0.25">
      <c r="A20" s="12" t="s">
        <v>54</v>
      </c>
      <c r="B20" s="40">
        <v>0.4861111111111111</v>
      </c>
      <c r="C20" s="12">
        <v>19</v>
      </c>
      <c r="D20" s="12">
        <v>310</v>
      </c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</row>
    <row r="21" spans="1:16" x14ac:dyDescent="0.25">
      <c r="A21" s="12" t="s">
        <v>54</v>
      </c>
      <c r="B21" s="40">
        <v>0.4861111111111111</v>
      </c>
      <c r="C21" s="12">
        <v>20</v>
      </c>
      <c r="D21" s="12">
        <v>285</v>
      </c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</row>
    <row r="22" spans="1:16" x14ac:dyDescent="0.25">
      <c r="A22" s="12" t="s">
        <v>54</v>
      </c>
      <c r="B22" s="40">
        <v>0.4861111111111111</v>
      </c>
      <c r="C22" s="12">
        <v>21</v>
      </c>
      <c r="D22" s="12">
        <v>315</v>
      </c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</row>
    <row r="23" spans="1:16" x14ac:dyDescent="0.25">
      <c r="A23" s="12" t="s">
        <v>54</v>
      </c>
      <c r="B23" s="40">
        <v>0.4861111111111111</v>
      </c>
      <c r="C23" s="12">
        <v>22</v>
      </c>
      <c r="D23" s="12">
        <v>295</v>
      </c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</row>
    <row r="24" spans="1:16" x14ac:dyDescent="0.25">
      <c r="A24" s="12" t="s">
        <v>54</v>
      </c>
      <c r="B24" s="40">
        <v>0.4861111111111111</v>
      </c>
      <c r="C24" s="12">
        <v>23</v>
      </c>
      <c r="D24" s="12">
        <v>310</v>
      </c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</row>
    <row r="25" spans="1:16" x14ac:dyDescent="0.25">
      <c r="A25" s="12" t="s">
        <v>54</v>
      </c>
      <c r="B25" s="40">
        <v>0.4861111111111111</v>
      </c>
      <c r="C25" s="12">
        <v>24</v>
      </c>
      <c r="D25" s="12">
        <v>330</v>
      </c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</row>
    <row r="26" spans="1:16" x14ac:dyDescent="0.25">
      <c r="A26" s="12" t="s">
        <v>54</v>
      </c>
      <c r="B26" s="40">
        <v>0.4861111111111111</v>
      </c>
      <c r="C26" s="12">
        <v>25</v>
      </c>
      <c r="D26" s="12">
        <v>300</v>
      </c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</row>
    <row r="27" spans="1:16" x14ac:dyDescent="0.25">
      <c r="A27" s="12" t="s">
        <v>54</v>
      </c>
      <c r="B27" s="40">
        <v>0.4861111111111111</v>
      </c>
      <c r="C27" s="12">
        <v>26</v>
      </c>
      <c r="D27" s="12">
        <v>305</v>
      </c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</row>
    <row r="28" spans="1:16" x14ac:dyDescent="0.25">
      <c r="A28" s="12" t="s">
        <v>54</v>
      </c>
      <c r="B28" s="40">
        <v>0.4861111111111111</v>
      </c>
      <c r="C28" s="12">
        <v>27</v>
      </c>
      <c r="D28" s="12">
        <v>280</v>
      </c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</row>
    <row r="29" spans="1:16" x14ac:dyDescent="0.25">
      <c r="A29" s="12" t="s">
        <v>54</v>
      </c>
      <c r="B29" s="40">
        <v>0.4861111111111111</v>
      </c>
      <c r="C29" s="12">
        <v>28</v>
      </c>
      <c r="D29" s="12">
        <v>325</v>
      </c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</row>
    <row r="30" spans="1:16" x14ac:dyDescent="0.25">
      <c r="A30" s="12" t="s">
        <v>54</v>
      </c>
      <c r="B30" s="40">
        <v>0.4861111111111111</v>
      </c>
      <c r="C30" s="12">
        <v>29</v>
      </c>
      <c r="D30" s="12">
        <v>260</v>
      </c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</row>
    <row r="31" spans="1:16" x14ac:dyDescent="0.25">
      <c r="A31" s="12" t="s">
        <v>54</v>
      </c>
      <c r="B31" s="40">
        <v>0.4861111111111111</v>
      </c>
      <c r="C31" s="12">
        <v>30</v>
      </c>
      <c r="D31" s="12">
        <v>275</v>
      </c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</row>
    <row r="32" spans="1:16" x14ac:dyDescent="0.25">
      <c r="A32" s="12" t="s">
        <v>54</v>
      </c>
      <c r="B32" s="40">
        <v>0.4861111111111111</v>
      </c>
      <c r="C32" s="12">
        <v>31</v>
      </c>
      <c r="D32" s="12">
        <v>305</v>
      </c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</row>
    <row r="33" spans="1:16" x14ac:dyDescent="0.25">
      <c r="A33" s="12" t="s">
        <v>54</v>
      </c>
      <c r="B33" s="40">
        <v>0.4861111111111111</v>
      </c>
      <c r="C33" s="12">
        <v>32</v>
      </c>
      <c r="D33" s="12">
        <v>240</v>
      </c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</row>
    <row r="34" spans="1:16" x14ac:dyDescent="0.25">
      <c r="A34" s="12" t="s">
        <v>54</v>
      </c>
      <c r="B34" s="40">
        <v>0.4861111111111111</v>
      </c>
      <c r="C34" s="12">
        <v>33</v>
      </c>
      <c r="D34" s="12">
        <v>320</v>
      </c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</row>
    <row r="35" spans="1:16" x14ac:dyDescent="0.25">
      <c r="A35" s="12" t="s">
        <v>54</v>
      </c>
      <c r="B35" s="40">
        <v>0.4861111111111111</v>
      </c>
      <c r="C35" s="12">
        <v>34</v>
      </c>
      <c r="D35" s="12">
        <v>285</v>
      </c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/>
    </row>
    <row r="36" spans="1:16" x14ac:dyDescent="0.25">
      <c r="A36" s="12" t="s">
        <v>54</v>
      </c>
      <c r="B36" s="40">
        <v>0.4861111111111111</v>
      </c>
      <c r="C36" s="12">
        <v>35</v>
      </c>
      <c r="D36" s="12">
        <v>280</v>
      </c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</row>
    <row r="37" spans="1:16" x14ac:dyDescent="0.25">
      <c r="A37" s="12" t="s">
        <v>54</v>
      </c>
      <c r="B37" s="40">
        <v>0.4861111111111111</v>
      </c>
      <c r="C37" s="12">
        <v>36</v>
      </c>
      <c r="D37" s="12">
        <v>210</v>
      </c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</row>
    <row r="38" spans="1:16" x14ac:dyDescent="0.25">
      <c r="A38" s="12" t="s">
        <v>54</v>
      </c>
      <c r="B38" s="40">
        <v>0.4861111111111111</v>
      </c>
      <c r="C38" s="12">
        <v>37</v>
      </c>
      <c r="D38" s="12">
        <v>295</v>
      </c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</row>
    <row r="39" spans="1:16" x14ac:dyDescent="0.25">
      <c r="A39" s="12" t="s">
        <v>54</v>
      </c>
      <c r="B39" s="40">
        <v>0.4861111111111111</v>
      </c>
      <c r="C39" s="12">
        <v>38</v>
      </c>
      <c r="D39" s="12">
        <v>225</v>
      </c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2"/>
    </row>
    <row r="40" spans="1:16" x14ac:dyDescent="0.25">
      <c r="A40" s="12" t="s">
        <v>54</v>
      </c>
      <c r="B40" s="40">
        <v>0.4861111111111111</v>
      </c>
      <c r="C40" s="12">
        <v>39</v>
      </c>
      <c r="D40" s="12">
        <v>225</v>
      </c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</row>
    <row r="41" spans="1:16" x14ac:dyDescent="0.25">
      <c r="A41" s="12" t="s">
        <v>54</v>
      </c>
      <c r="B41" s="40">
        <v>0.4861111111111111</v>
      </c>
      <c r="C41" s="12">
        <v>40</v>
      </c>
      <c r="D41" s="12">
        <v>330</v>
      </c>
      <c r="E41" s="12"/>
      <c r="F41" s="12"/>
      <c r="G41" s="12"/>
      <c r="H41" s="12"/>
      <c r="I41" s="12"/>
      <c r="J41" s="12"/>
      <c r="K41" s="12"/>
      <c r="L41" s="12"/>
      <c r="M41" s="12"/>
      <c r="N41" s="12"/>
      <c r="O41" s="12"/>
      <c r="P41" s="12"/>
    </row>
    <row r="42" spans="1:16" x14ac:dyDescent="0.25">
      <c r="A42" s="12" t="s">
        <v>54</v>
      </c>
      <c r="B42" s="40">
        <v>0.4861111111111111</v>
      </c>
      <c r="C42" s="12">
        <v>41</v>
      </c>
      <c r="D42" s="12">
        <v>310</v>
      </c>
      <c r="E42" s="12"/>
      <c r="F42" s="12"/>
      <c r="G42" s="12"/>
      <c r="H42" s="12"/>
      <c r="I42" s="12"/>
      <c r="J42" s="12"/>
      <c r="K42" s="12"/>
      <c r="L42" s="12"/>
      <c r="M42" s="12"/>
      <c r="N42" s="12"/>
      <c r="O42" s="12"/>
      <c r="P42" s="12"/>
    </row>
    <row r="43" spans="1:16" x14ac:dyDescent="0.25">
      <c r="A43" s="12" t="s">
        <v>54</v>
      </c>
      <c r="B43" s="40">
        <v>0.4861111111111111</v>
      </c>
      <c r="C43" s="12">
        <v>42</v>
      </c>
      <c r="D43" s="12">
        <v>315</v>
      </c>
      <c r="E43" s="12"/>
      <c r="F43" s="12"/>
      <c r="G43" s="12"/>
      <c r="H43" s="12"/>
      <c r="I43" s="12"/>
      <c r="J43" s="12"/>
      <c r="K43" s="12"/>
      <c r="L43" s="12"/>
      <c r="M43" s="12"/>
      <c r="N43" s="12"/>
      <c r="O43" s="12"/>
      <c r="P43" s="12"/>
    </row>
    <row r="44" spans="1:16" x14ac:dyDescent="0.25">
      <c r="A44" s="12" t="s">
        <v>54</v>
      </c>
      <c r="B44" s="40">
        <v>0.4861111111111111</v>
      </c>
      <c r="C44" s="12">
        <v>43</v>
      </c>
      <c r="D44" s="12">
        <v>340</v>
      </c>
      <c r="E44" s="12"/>
      <c r="F44" s="12"/>
      <c r="G44" s="12"/>
      <c r="H44" s="12"/>
      <c r="I44" s="12"/>
      <c r="J44" s="12"/>
      <c r="K44" s="12"/>
      <c r="L44" s="12"/>
      <c r="M44" s="12"/>
      <c r="N44" s="12"/>
      <c r="O44" s="12"/>
      <c r="P44" s="12"/>
    </row>
    <row r="45" spans="1:16" x14ac:dyDescent="0.25">
      <c r="A45" s="12"/>
      <c r="B45" s="12"/>
      <c r="C45" s="12"/>
      <c r="D45" s="12"/>
      <c r="E45" s="12"/>
      <c r="F45" s="12"/>
      <c r="G45" s="12"/>
      <c r="H45" s="12"/>
      <c r="I45" s="12"/>
      <c r="J45" s="12"/>
      <c r="K45" s="12"/>
      <c r="L45" s="12"/>
      <c r="M45" s="12"/>
      <c r="N45" s="12"/>
      <c r="O45" s="12"/>
      <c r="P45" s="12"/>
    </row>
    <row r="46" spans="1:16" x14ac:dyDescent="0.25">
      <c r="A46" s="12"/>
      <c r="B46" s="12"/>
      <c r="C46" s="12" t="s">
        <v>57</v>
      </c>
      <c r="D46" s="12">
        <f>AVERAGE(Tabla3[PESO])</f>
        <v>297.44186046511629</v>
      </c>
      <c r="E46" s="12"/>
      <c r="F46" s="12"/>
      <c r="G46" s="12"/>
      <c r="H46" s="12"/>
      <c r="I46" s="12"/>
      <c r="J46" s="12"/>
      <c r="K46" s="12"/>
      <c r="L46" s="12"/>
      <c r="M46" s="12"/>
      <c r="N46" s="12"/>
      <c r="O46" s="12"/>
      <c r="P46" s="12"/>
    </row>
    <row r="47" spans="1:16" x14ac:dyDescent="0.25">
      <c r="A47" s="12"/>
      <c r="B47" s="12"/>
      <c r="C47" s="12"/>
      <c r="D47" s="12"/>
      <c r="E47" s="12"/>
      <c r="F47" s="12"/>
      <c r="G47" s="12"/>
      <c r="H47" s="12"/>
      <c r="I47" s="12"/>
      <c r="J47" s="12"/>
      <c r="K47" s="12"/>
      <c r="L47" s="12"/>
      <c r="M47" s="12"/>
      <c r="N47" s="12"/>
      <c r="O47" s="12"/>
      <c r="P47" s="12"/>
    </row>
    <row r="48" spans="1:16" x14ac:dyDescent="0.25">
      <c r="A48" s="12"/>
      <c r="B48" s="12"/>
      <c r="C48" s="12"/>
      <c r="D48" s="12"/>
      <c r="E48" s="12"/>
      <c r="F48" s="12"/>
      <c r="G48" s="12"/>
      <c r="H48" s="12"/>
      <c r="I48" s="12"/>
      <c r="J48" s="12"/>
      <c r="K48" s="12"/>
      <c r="L48" s="12"/>
      <c r="M48" s="12"/>
      <c r="N48" s="12"/>
      <c r="O48" s="12"/>
      <c r="P48" s="12"/>
    </row>
    <row r="49" spans="1:16" x14ac:dyDescent="0.25">
      <c r="A49" s="12"/>
      <c r="B49" s="12"/>
      <c r="C49" s="12"/>
      <c r="D49" s="12"/>
      <c r="E49" s="12"/>
      <c r="F49" s="12"/>
      <c r="G49" s="12"/>
      <c r="H49" s="12"/>
      <c r="I49" s="12"/>
      <c r="J49" s="12"/>
      <c r="K49" s="12"/>
      <c r="L49" s="12"/>
      <c r="M49" s="12"/>
      <c r="N49" s="12"/>
      <c r="O49" s="12"/>
      <c r="P49" s="12"/>
    </row>
    <row r="50" spans="1:16" x14ac:dyDescent="0.25">
      <c r="A50" s="12"/>
      <c r="B50" s="12"/>
      <c r="C50" s="12"/>
      <c r="D50" s="12"/>
      <c r="E50" s="12"/>
      <c r="F50" s="12"/>
      <c r="G50" s="12"/>
      <c r="H50" s="12"/>
      <c r="I50" s="12"/>
      <c r="J50" s="12"/>
      <c r="K50" s="12"/>
      <c r="L50" s="12"/>
      <c r="M50" s="12"/>
      <c r="N50" s="12"/>
      <c r="O50" s="12"/>
      <c r="P50" s="12"/>
    </row>
    <row r="51" spans="1:16" x14ac:dyDescent="0.25">
      <c r="A51" s="192" t="s">
        <v>5</v>
      </c>
      <c r="B51" s="192" t="s">
        <v>55</v>
      </c>
      <c r="C51" s="192" t="s">
        <v>112</v>
      </c>
      <c r="D51" s="192" t="s">
        <v>56</v>
      </c>
      <c r="E51" s="192" t="s">
        <v>113</v>
      </c>
      <c r="F51" s="192" t="s">
        <v>22</v>
      </c>
      <c r="G51" s="12"/>
      <c r="H51" s="12"/>
      <c r="I51" s="12"/>
      <c r="J51" s="12"/>
      <c r="K51" s="12"/>
      <c r="L51" s="12"/>
      <c r="M51" s="12"/>
      <c r="N51" s="12"/>
      <c r="O51" s="12"/>
      <c r="P51" s="12"/>
    </row>
    <row r="52" spans="1:16" x14ac:dyDescent="0.25">
      <c r="A52" s="193">
        <v>45748</v>
      </c>
      <c r="B52" s="40">
        <v>0.33333333333333331</v>
      </c>
      <c r="C52" s="12">
        <v>1</v>
      </c>
      <c r="D52" s="199">
        <v>500</v>
      </c>
      <c r="E52" s="12" t="s">
        <v>114</v>
      </c>
      <c r="F52" s="12" t="s">
        <v>115</v>
      </c>
      <c r="G52" s="12"/>
      <c r="H52" s="12"/>
      <c r="I52" s="12"/>
      <c r="J52" s="12"/>
      <c r="K52" s="12"/>
      <c r="L52" s="12"/>
      <c r="M52" s="12"/>
      <c r="N52" s="12"/>
      <c r="O52" s="12"/>
      <c r="P52" s="12"/>
    </row>
    <row r="53" spans="1:16" x14ac:dyDescent="0.25">
      <c r="A53" s="193">
        <v>45748</v>
      </c>
      <c r="B53" s="40">
        <v>0.33333333333333331</v>
      </c>
      <c r="C53" s="12">
        <v>2</v>
      </c>
      <c r="D53" s="199">
        <v>355</v>
      </c>
      <c r="E53" s="12" t="s">
        <v>116</v>
      </c>
      <c r="F53" s="12"/>
      <c r="G53" s="12"/>
      <c r="H53" s="12"/>
      <c r="I53" s="12"/>
      <c r="J53" s="12"/>
      <c r="K53" s="12"/>
      <c r="L53" s="12"/>
      <c r="M53" s="12"/>
      <c r="N53" s="12"/>
      <c r="O53" s="12"/>
      <c r="P53" s="12"/>
    </row>
    <row r="54" spans="1:16" x14ac:dyDescent="0.25">
      <c r="A54" s="193">
        <v>45748</v>
      </c>
      <c r="B54" s="40">
        <v>0.33333333333333331</v>
      </c>
      <c r="C54" s="12">
        <v>3</v>
      </c>
      <c r="D54" s="199">
        <v>500</v>
      </c>
      <c r="E54" s="12" t="s">
        <v>114</v>
      </c>
      <c r="F54" s="12" t="s">
        <v>115</v>
      </c>
      <c r="G54" s="12"/>
      <c r="H54" s="12"/>
      <c r="I54" s="12"/>
      <c r="J54" s="12"/>
      <c r="K54" s="12"/>
      <c r="L54" s="12"/>
      <c r="M54" s="12"/>
      <c r="N54" s="12"/>
      <c r="O54" s="12"/>
      <c r="P54" s="12"/>
    </row>
    <row r="55" spans="1:16" x14ac:dyDescent="0.25">
      <c r="A55" s="193">
        <v>45748</v>
      </c>
      <c r="B55" s="40">
        <v>0.33333333333333331</v>
      </c>
      <c r="C55" s="12">
        <v>4</v>
      </c>
      <c r="D55" s="199">
        <v>415</v>
      </c>
      <c r="E55" s="12" t="s">
        <v>117</v>
      </c>
      <c r="F55" s="12"/>
      <c r="G55" s="12"/>
      <c r="H55" s="12"/>
      <c r="I55" s="12"/>
      <c r="J55" s="12"/>
      <c r="K55" s="12"/>
      <c r="L55" s="12"/>
      <c r="M55" s="12"/>
      <c r="N55" s="12"/>
      <c r="O55" s="12"/>
      <c r="P55" s="12"/>
    </row>
    <row r="56" spans="1:16" x14ac:dyDescent="0.25">
      <c r="A56" s="193">
        <v>45748</v>
      </c>
      <c r="B56" s="40">
        <v>0.33333333333333331</v>
      </c>
      <c r="C56" s="12">
        <v>5</v>
      </c>
      <c r="D56" s="199">
        <v>335</v>
      </c>
      <c r="E56" s="12" t="s">
        <v>116</v>
      </c>
      <c r="F56" s="12"/>
      <c r="G56" s="12"/>
      <c r="H56" s="12"/>
      <c r="I56" s="12"/>
      <c r="J56" s="12"/>
      <c r="K56" s="12"/>
      <c r="L56" s="12"/>
      <c r="M56" s="12"/>
      <c r="N56" s="12"/>
      <c r="O56" s="12"/>
      <c r="P56" s="12"/>
    </row>
    <row r="57" spans="1:16" x14ac:dyDescent="0.25">
      <c r="A57" s="193">
        <v>45748</v>
      </c>
      <c r="B57" s="40">
        <v>0.33333333333333331</v>
      </c>
      <c r="C57" s="12">
        <v>6</v>
      </c>
      <c r="D57" s="199">
        <v>390</v>
      </c>
      <c r="E57" s="12" t="s">
        <v>116</v>
      </c>
      <c r="F57" s="12"/>
      <c r="G57" s="12"/>
      <c r="H57" s="12"/>
      <c r="I57" s="12"/>
      <c r="J57" s="12"/>
      <c r="K57" s="12"/>
      <c r="L57" s="12"/>
      <c r="M57" s="12"/>
      <c r="N57" s="12"/>
      <c r="O57" s="12"/>
      <c r="P57" s="12"/>
    </row>
    <row r="58" spans="1:16" x14ac:dyDescent="0.25">
      <c r="A58" s="193">
        <v>45748</v>
      </c>
      <c r="B58" s="40">
        <v>0.33333333333333331</v>
      </c>
      <c r="C58" s="12">
        <v>7</v>
      </c>
      <c r="D58" s="199">
        <v>395</v>
      </c>
      <c r="E58" s="12" t="s">
        <v>117</v>
      </c>
      <c r="F58" s="12"/>
      <c r="G58" s="12"/>
      <c r="H58" s="12"/>
      <c r="I58" s="12"/>
      <c r="J58" s="12"/>
      <c r="K58" s="12"/>
      <c r="L58" s="12"/>
      <c r="M58" s="12"/>
      <c r="N58" s="12"/>
      <c r="O58" s="12"/>
      <c r="P58" s="12"/>
    </row>
    <row r="59" spans="1:16" x14ac:dyDescent="0.25">
      <c r="A59" s="193">
        <v>45748</v>
      </c>
      <c r="B59" s="40">
        <v>0.33333333333333331</v>
      </c>
      <c r="C59" s="12">
        <v>8</v>
      </c>
      <c r="D59" s="199">
        <v>500</v>
      </c>
      <c r="E59" s="12" t="s">
        <v>114</v>
      </c>
      <c r="F59" s="12"/>
      <c r="G59" s="12"/>
      <c r="H59" s="12"/>
      <c r="I59" s="12"/>
      <c r="J59" s="12"/>
      <c r="K59" s="12"/>
      <c r="L59" s="12"/>
      <c r="M59" s="12"/>
      <c r="N59" s="12"/>
      <c r="O59" s="12"/>
      <c r="P59" s="12"/>
    </row>
    <row r="60" spans="1:16" x14ac:dyDescent="0.25">
      <c r="A60" s="193">
        <v>45748</v>
      </c>
      <c r="B60" s="40">
        <v>0.33333333333333331</v>
      </c>
      <c r="C60" s="12">
        <v>9</v>
      </c>
      <c r="D60" s="199">
        <v>440</v>
      </c>
      <c r="E60" s="12" t="s">
        <v>114</v>
      </c>
      <c r="F60" s="12"/>
      <c r="G60" s="12"/>
      <c r="H60" s="12"/>
      <c r="I60" s="12"/>
      <c r="J60" s="12"/>
      <c r="K60" s="12"/>
      <c r="L60" s="12"/>
      <c r="M60" s="12"/>
      <c r="N60" s="12"/>
      <c r="O60" s="12"/>
      <c r="P60" s="12"/>
    </row>
    <row r="61" spans="1:16" x14ac:dyDescent="0.25">
      <c r="A61" s="193">
        <v>45748</v>
      </c>
      <c r="B61" s="40">
        <v>0.33333333333333331</v>
      </c>
      <c r="C61" s="12">
        <v>10</v>
      </c>
      <c r="D61" s="199">
        <v>440</v>
      </c>
      <c r="E61" s="12" t="s">
        <v>114</v>
      </c>
      <c r="F61" s="12"/>
      <c r="G61" s="12"/>
      <c r="H61" s="12"/>
      <c r="I61" s="12"/>
      <c r="J61" s="12"/>
      <c r="K61" s="12"/>
      <c r="L61" s="12"/>
      <c r="M61" s="12"/>
      <c r="N61" s="12"/>
      <c r="O61" s="12"/>
      <c r="P61" s="12"/>
    </row>
    <row r="62" spans="1:16" x14ac:dyDescent="0.25">
      <c r="A62" s="193">
        <v>45748</v>
      </c>
      <c r="B62" s="40">
        <v>0.33333333333333331</v>
      </c>
      <c r="C62" s="12">
        <v>11</v>
      </c>
      <c r="D62" s="199">
        <v>460</v>
      </c>
      <c r="E62" s="12" t="s">
        <v>114</v>
      </c>
      <c r="F62" s="12"/>
      <c r="G62" s="12"/>
      <c r="H62" s="12"/>
      <c r="I62" s="12"/>
      <c r="J62" s="12"/>
      <c r="K62" s="12"/>
      <c r="L62" s="12"/>
      <c r="M62" s="12"/>
      <c r="N62" s="12"/>
      <c r="O62" s="12"/>
      <c r="P62" s="12"/>
    </row>
    <row r="63" spans="1:16" x14ac:dyDescent="0.25">
      <c r="A63" s="193">
        <v>45748</v>
      </c>
      <c r="B63" s="40">
        <v>0.33333333333333331</v>
      </c>
      <c r="C63" s="12">
        <v>12</v>
      </c>
      <c r="D63" s="199">
        <v>450</v>
      </c>
      <c r="E63" s="12" t="s">
        <v>117</v>
      </c>
      <c r="F63" s="12"/>
      <c r="G63" s="12"/>
      <c r="H63" s="12"/>
      <c r="I63" s="12"/>
      <c r="J63" s="12"/>
      <c r="K63" s="12"/>
      <c r="L63" s="12"/>
      <c r="M63" s="12"/>
      <c r="N63" s="12"/>
      <c r="O63" s="12"/>
      <c r="P63" s="12"/>
    </row>
    <row r="64" spans="1:16" x14ac:dyDescent="0.25">
      <c r="A64" s="193">
        <v>45748</v>
      </c>
      <c r="B64" s="40">
        <v>0.33333333333333331</v>
      </c>
      <c r="C64" s="12">
        <v>13</v>
      </c>
      <c r="D64" s="199">
        <v>430</v>
      </c>
      <c r="E64" s="12" t="s">
        <v>117</v>
      </c>
      <c r="F64" s="12"/>
      <c r="G64" s="12"/>
      <c r="H64" s="12"/>
      <c r="I64" s="12"/>
      <c r="J64" s="12"/>
      <c r="K64" s="12"/>
      <c r="L64" s="12"/>
      <c r="M64" s="12"/>
      <c r="N64" s="12"/>
      <c r="O64" s="12"/>
      <c r="P64" s="12"/>
    </row>
    <row r="65" spans="1:16" x14ac:dyDescent="0.25">
      <c r="A65" s="193">
        <v>45748</v>
      </c>
      <c r="B65" s="40">
        <v>0.33333333333333331</v>
      </c>
      <c r="C65" s="12">
        <v>14</v>
      </c>
      <c r="D65" s="199">
        <v>355</v>
      </c>
      <c r="E65" s="12" t="s">
        <v>116</v>
      </c>
      <c r="F65" s="12"/>
      <c r="G65" s="12"/>
      <c r="H65" s="12"/>
      <c r="I65" s="12"/>
      <c r="J65" s="12"/>
      <c r="K65" s="12"/>
      <c r="L65" s="12"/>
      <c r="M65" s="12"/>
      <c r="N65" s="12"/>
      <c r="O65" s="12"/>
      <c r="P65" s="12"/>
    </row>
    <row r="66" spans="1:16" x14ac:dyDescent="0.25">
      <c r="A66" s="193">
        <v>45748</v>
      </c>
      <c r="B66" s="40">
        <v>0.33333333333333298</v>
      </c>
      <c r="C66" s="12">
        <v>15</v>
      </c>
      <c r="D66" s="199">
        <v>385</v>
      </c>
      <c r="E66" s="12" t="s">
        <v>117</v>
      </c>
      <c r="F66" s="12"/>
      <c r="G66" s="12"/>
      <c r="H66" s="12"/>
      <c r="I66" s="12"/>
      <c r="J66" s="12"/>
      <c r="K66" s="12"/>
      <c r="L66" s="12"/>
      <c r="M66" s="12"/>
      <c r="N66" s="12"/>
      <c r="O66" s="12"/>
      <c r="P66" s="12"/>
    </row>
    <row r="67" spans="1:16" x14ac:dyDescent="0.25">
      <c r="A67" s="193">
        <v>45748</v>
      </c>
      <c r="B67" s="40">
        <v>0.33333333333333298</v>
      </c>
      <c r="C67" s="12">
        <v>16</v>
      </c>
      <c r="D67" s="199">
        <v>320</v>
      </c>
      <c r="E67" s="12" t="s">
        <v>116</v>
      </c>
      <c r="F67" s="12"/>
      <c r="G67" s="12"/>
      <c r="H67" s="12"/>
      <c r="I67" s="12"/>
      <c r="J67" s="12"/>
      <c r="K67" s="12"/>
      <c r="L67" s="12"/>
      <c r="M67" s="12"/>
      <c r="N67" s="12"/>
      <c r="O67" s="12"/>
      <c r="P67" s="12"/>
    </row>
    <row r="68" spans="1:16" x14ac:dyDescent="0.25">
      <c r="A68" s="193">
        <v>45748</v>
      </c>
      <c r="B68" s="40">
        <v>0.33333333333333298</v>
      </c>
      <c r="C68" s="12">
        <v>17</v>
      </c>
      <c r="D68" s="199">
        <v>410</v>
      </c>
      <c r="E68" s="12" t="s">
        <v>117</v>
      </c>
      <c r="F68" s="12"/>
      <c r="G68" s="12"/>
      <c r="H68" s="12"/>
      <c r="I68" s="12"/>
      <c r="J68" s="12"/>
      <c r="K68" s="12"/>
      <c r="L68" s="12"/>
      <c r="M68" s="12"/>
      <c r="N68" s="12"/>
      <c r="O68" s="12"/>
      <c r="P68" s="12"/>
    </row>
    <row r="69" spans="1:16" x14ac:dyDescent="0.25">
      <c r="A69" s="193">
        <v>45748</v>
      </c>
      <c r="B69" s="40">
        <v>0.33333333333333298</v>
      </c>
      <c r="C69" s="12">
        <v>18</v>
      </c>
      <c r="D69" s="199">
        <v>395</v>
      </c>
      <c r="E69" s="12" t="s">
        <v>117</v>
      </c>
      <c r="F69" s="12"/>
      <c r="G69" s="12"/>
      <c r="H69" s="12"/>
      <c r="I69" s="12"/>
      <c r="J69" s="12"/>
      <c r="K69" s="12"/>
      <c r="L69" s="12"/>
      <c r="M69" s="12"/>
      <c r="N69" s="12"/>
      <c r="O69" s="12"/>
      <c r="P69" s="12"/>
    </row>
    <row r="70" spans="1:16" x14ac:dyDescent="0.25">
      <c r="A70" s="193">
        <v>45748</v>
      </c>
      <c r="B70" s="40">
        <v>0.33333333333333298</v>
      </c>
      <c r="C70" s="12">
        <v>19</v>
      </c>
      <c r="D70" s="199">
        <v>350</v>
      </c>
      <c r="E70" s="12" t="s">
        <v>117</v>
      </c>
      <c r="F70" s="12"/>
      <c r="G70" s="12"/>
      <c r="H70" s="12"/>
      <c r="I70" s="12"/>
      <c r="J70" s="12"/>
      <c r="K70" s="12"/>
      <c r="L70" s="12"/>
      <c r="M70" s="12"/>
      <c r="N70" s="12"/>
      <c r="O70" s="12"/>
      <c r="P70" s="12"/>
    </row>
    <row r="71" spans="1:16" x14ac:dyDescent="0.25">
      <c r="A71" s="193">
        <v>45748</v>
      </c>
      <c r="B71" s="40">
        <v>0.33333333333333298</v>
      </c>
      <c r="C71" s="12">
        <v>20</v>
      </c>
      <c r="D71" s="199">
        <v>345</v>
      </c>
      <c r="E71" s="12" t="s">
        <v>116</v>
      </c>
      <c r="F71" s="12"/>
      <c r="G71" s="12"/>
      <c r="H71" s="12"/>
      <c r="I71" s="12"/>
      <c r="J71" s="12"/>
      <c r="K71" s="12"/>
      <c r="L71" s="12"/>
      <c r="M71" s="12"/>
      <c r="N71" s="12"/>
      <c r="O71" s="12"/>
      <c r="P71" s="12"/>
    </row>
    <row r="72" spans="1:16" x14ac:dyDescent="0.25">
      <c r="A72" s="193">
        <v>45748</v>
      </c>
      <c r="B72" s="40">
        <v>0.33333333333333298</v>
      </c>
      <c r="C72" s="12">
        <v>21</v>
      </c>
      <c r="D72" s="199">
        <v>360</v>
      </c>
      <c r="E72" s="12" t="s">
        <v>117</v>
      </c>
      <c r="F72" s="12"/>
      <c r="G72" s="12"/>
      <c r="H72" s="12"/>
      <c r="I72" s="12"/>
      <c r="J72" s="12"/>
      <c r="K72" s="12"/>
      <c r="L72" s="12"/>
      <c r="M72" s="12"/>
      <c r="N72" s="12"/>
      <c r="O72" s="12"/>
      <c r="P72" s="12"/>
    </row>
    <row r="73" spans="1:16" x14ac:dyDescent="0.25">
      <c r="A73" s="193">
        <v>45748</v>
      </c>
      <c r="B73" s="40">
        <v>0.33333333333333298</v>
      </c>
      <c r="C73" s="12">
        <v>22</v>
      </c>
      <c r="D73" s="199">
        <v>400</v>
      </c>
      <c r="E73" s="12" t="s">
        <v>117</v>
      </c>
      <c r="F73" s="12"/>
      <c r="G73" s="12"/>
      <c r="H73" s="12"/>
      <c r="I73" s="12"/>
      <c r="J73" s="12"/>
      <c r="K73" s="12"/>
      <c r="L73" s="12"/>
      <c r="M73" s="12"/>
      <c r="N73" s="12"/>
      <c r="O73" s="12"/>
      <c r="P73" s="12"/>
    </row>
    <row r="74" spans="1:16" x14ac:dyDescent="0.25">
      <c r="A74" s="193">
        <v>45748</v>
      </c>
      <c r="B74" s="40">
        <v>0.33333333333333298</v>
      </c>
      <c r="C74" s="12">
        <v>23</v>
      </c>
      <c r="D74" s="199">
        <v>390</v>
      </c>
      <c r="E74" s="12" t="s">
        <v>116</v>
      </c>
      <c r="F74" s="12"/>
      <c r="G74" s="12"/>
      <c r="H74" s="12"/>
      <c r="I74" s="12"/>
      <c r="J74" s="12"/>
      <c r="K74" s="12"/>
      <c r="L74" s="12"/>
      <c r="M74" s="12"/>
      <c r="N74" s="12"/>
      <c r="O74" s="12"/>
      <c r="P74" s="12"/>
    </row>
    <row r="75" spans="1:16" x14ac:dyDescent="0.25">
      <c r="A75" s="193">
        <v>45748</v>
      </c>
      <c r="B75" s="40">
        <v>0.33333333333333298</v>
      </c>
      <c r="C75" s="12">
        <v>24</v>
      </c>
      <c r="D75" s="199">
        <v>375</v>
      </c>
      <c r="E75" s="12" t="s">
        <v>117</v>
      </c>
      <c r="F75" s="12"/>
      <c r="G75" s="12"/>
      <c r="H75" s="12"/>
      <c r="I75" s="12"/>
      <c r="J75" s="12"/>
      <c r="K75" s="12"/>
      <c r="L75" s="12"/>
      <c r="M75" s="12"/>
      <c r="N75" s="12"/>
      <c r="O75" s="12"/>
      <c r="P75" s="12"/>
    </row>
    <row r="76" spans="1:16" x14ac:dyDescent="0.25">
      <c r="A76" s="193">
        <v>45748</v>
      </c>
      <c r="B76" s="40">
        <v>0.33333333333333298</v>
      </c>
      <c r="C76" s="12">
        <v>25</v>
      </c>
      <c r="D76" s="199">
        <v>395</v>
      </c>
      <c r="E76" s="12" t="s">
        <v>117</v>
      </c>
      <c r="F76" s="12"/>
      <c r="G76" s="12"/>
      <c r="H76" s="12"/>
      <c r="I76" s="12"/>
      <c r="J76" s="12"/>
      <c r="K76" s="12"/>
      <c r="L76" s="12"/>
      <c r="M76" s="12"/>
      <c r="N76" s="12"/>
      <c r="O76" s="12"/>
      <c r="P76" s="12"/>
    </row>
    <row r="77" spans="1:16" x14ac:dyDescent="0.25">
      <c r="A77" s="193">
        <v>45748</v>
      </c>
      <c r="B77" s="40">
        <v>0.33333333333333298</v>
      </c>
      <c r="C77" s="12">
        <v>26</v>
      </c>
      <c r="D77" s="199">
        <v>460</v>
      </c>
      <c r="E77" s="12" t="s">
        <v>114</v>
      </c>
      <c r="F77" s="12"/>
      <c r="G77" s="12"/>
      <c r="H77" s="12"/>
      <c r="I77" s="12"/>
      <c r="J77" s="12"/>
      <c r="K77" s="12"/>
      <c r="L77" s="12"/>
      <c r="M77" s="12"/>
      <c r="N77" s="12"/>
      <c r="O77" s="12"/>
      <c r="P77" s="12"/>
    </row>
    <row r="78" spans="1:16" x14ac:dyDescent="0.25">
      <c r="A78" s="193">
        <v>45748</v>
      </c>
      <c r="B78" s="40">
        <v>0.33333333333333298</v>
      </c>
      <c r="C78" s="12">
        <v>27</v>
      </c>
      <c r="D78" s="199">
        <v>395</v>
      </c>
      <c r="E78" s="12" t="s">
        <v>117</v>
      </c>
      <c r="F78" s="12"/>
      <c r="G78" s="12"/>
      <c r="H78" s="12"/>
      <c r="I78" s="12"/>
      <c r="J78" s="12"/>
      <c r="K78" s="12"/>
      <c r="L78" s="12"/>
      <c r="M78" s="12"/>
      <c r="N78" s="12"/>
      <c r="O78" s="12"/>
      <c r="P78" s="12"/>
    </row>
    <row r="79" spans="1:16" x14ac:dyDescent="0.25">
      <c r="A79" s="193">
        <v>45748</v>
      </c>
      <c r="B79" s="40">
        <v>0.33333333333333298</v>
      </c>
      <c r="C79" s="12">
        <v>28</v>
      </c>
      <c r="D79" s="199">
        <v>405</v>
      </c>
      <c r="E79" s="12" t="s">
        <v>117</v>
      </c>
      <c r="F79" s="12"/>
      <c r="G79" s="12"/>
      <c r="H79" s="12"/>
      <c r="I79" s="12"/>
      <c r="J79" s="12"/>
      <c r="K79" s="12"/>
      <c r="L79" s="12"/>
      <c r="M79" s="12"/>
      <c r="N79" s="12"/>
      <c r="O79" s="12"/>
      <c r="P79" s="12"/>
    </row>
    <row r="80" spans="1:16" x14ac:dyDescent="0.25">
      <c r="A80" s="193">
        <v>45748</v>
      </c>
      <c r="B80" s="40">
        <v>0.33333333333333298</v>
      </c>
      <c r="C80" s="12">
        <v>29</v>
      </c>
      <c r="D80" s="199">
        <v>370</v>
      </c>
      <c r="E80" s="12" t="s">
        <v>116</v>
      </c>
      <c r="F80" s="12"/>
      <c r="G80" s="12"/>
      <c r="H80" s="12"/>
      <c r="I80" s="12"/>
      <c r="J80" s="12"/>
      <c r="K80" s="12"/>
      <c r="L80" s="12"/>
      <c r="M80" s="12"/>
      <c r="N80" s="12"/>
      <c r="O80" s="12"/>
      <c r="P80" s="12"/>
    </row>
    <row r="81" spans="1:16" x14ac:dyDescent="0.25">
      <c r="A81" s="193">
        <v>45748</v>
      </c>
      <c r="B81" s="40">
        <v>0.33333333333333298</v>
      </c>
      <c r="C81" s="12">
        <v>30</v>
      </c>
      <c r="D81" s="199">
        <v>440</v>
      </c>
      <c r="E81" s="12" t="s">
        <v>117</v>
      </c>
      <c r="F81" s="12"/>
      <c r="G81" s="12"/>
      <c r="H81" s="12"/>
      <c r="I81" s="12"/>
      <c r="J81" s="12"/>
      <c r="K81" s="12"/>
      <c r="L81" s="12"/>
      <c r="M81" s="12"/>
      <c r="N81" s="12"/>
      <c r="O81" s="12"/>
      <c r="P81" s="12"/>
    </row>
    <row r="82" spans="1:16" x14ac:dyDescent="0.25">
      <c r="A82" s="193">
        <v>45748</v>
      </c>
      <c r="B82" s="40">
        <v>0.33333333333333298</v>
      </c>
      <c r="C82" s="12">
        <v>31</v>
      </c>
      <c r="D82" s="199">
        <v>475</v>
      </c>
      <c r="E82" s="12" t="s">
        <v>114</v>
      </c>
      <c r="F82" s="12"/>
      <c r="G82" s="12"/>
      <c r="H82" s="12"/>
      <c r="I82" s="12"/>
      <c r="J82" s="12"/>
      <c r="K82" s="12"/>
      <c r="L82" s="12"/>
      <c r="M82" s="12"/>
      <c r="N82" s="12"/>
      <c r="O82" s="12"/>
      <c r="P82" s="12"/>
    </row>
    <row r="83" spans="1:16" x14ac:dyDescent="0.25">
      <c r="A83" s="193">
        <v>45748</v>
      </c>
      <c r="B83" s="40">
        <v>0.33333333333333298</v>
      </c>
      <c r="C83" s="12">
        <v>32</v>
      </c>
      <c r="D83" s="199">
        <v>470</v>
      </c>
      <c r="E83" s="12" t="s">
        <v>117</v>
      </c>
      <c r="F83" s="12"/>
      <c r="G83" s="12"/>
      <c r="H83" s="12"/>
      <c r="I83" s="12"/>
      <c r="J83" s="12"/>
      <c r="K83" s="12"/>
      <c r="L83" s="12"/>
      <c r="M83" s="12"/>
      <c r="N83" s="12"/>
      <c r="O83" s="12"/>
      <c r="P83" s="12"/>
    </row>
    <row r="84" spans="1:16" x14ac:dyDescent="0.25">
      <c r="A84" s="193">
        <v>45748</v>
      </c>
      <c r="B84" s="40">
        <v>0.33333333333333298</v>
      </c>
      <c r="C84" s="12">
        <v>33</v>
      </c>
      <c r="D84" s="199">
        <v>410</v>
      </c>
      <c r="E84" s="12" t="s">
        <v>117</v>
      </c>
      <c r="F84" s="12"/>
      <c r="G84" s="12"/>
      <c r="H84" s="12"/>
      <c r="I84" s="12"/>
      <c r="J84" s="12"/>
      <c r="K84" s="12"/>
      <c r="L84" s="12"/>
      <c r="M84" s="12"/>
      <c r="N84" s="12"/>
      <c r="O84" s="12"/>
      <c r="P84" s="12"/>
    </row>
    <row r="85" spans="1:16" x14ac:dyDescent="0.25">
      <c r="A85" s="193">
        <v>45748</v>
      </c>
      <c r="B85" s="40">
        <v>0.33333333333333298</v>
      </c>
      <c r="C85" s="12">
        <v>34</v>
      </c>
      <c r="D85" s="199">
        <v>330</v>
      </c>
      <c r="E85" s="12" t="s">
        <v>117</v>
      </c>
      <c r="F85" s="12"/>
      <c r="G85" s="12"/>
      <c r="H85" s="12"/>
      <c r="I85" s="12"/>
      <c r="J85" s="12"/>
      <c r="K85" s="12"/>
      <c r="L85" s="12"/>
      <c r="M85" s="12"/>
      <c r="N85" s="12"/>
      <c r="O85" s="12"/>
      <c r="P85" s="12"/>
    </row>
    <row r="86" spans="1:16" x14ac:dyDescent="0.25">
      <c r="A86" s="193">
        <v>45748</v>
      </c>
      <c r="B86" s="40">
        <v>0.33333333333333298</v>
      </c>
      <c r="C86" s="12">
        <v>35</v>
      </c>
      <c r="D86" s="199">
        <v>390</v>
      </c>
      <c r="E86" s="12" t="s">
        <v>117</v>
      </c>
      <c r="F86" s="12"/>
      <c r="G86" s="12"/>
      <c r="H86" s="12"/>
      <c r="I86" s="12"/>
      <c r="J86" s="12"/>
      <c r="K86" s="12"/>
      <c r="L86" s="12"/>
      <c r="M86" s="12"/>
      <c r="N86" s="12"/>
      <c r="O86" s="12"/>
      <c r="P86" s="12"/>
    </row>
    <row r="87" spans="1:16" x14ac:dyDescent="0.25">
      <c r="A87" s="193">
        <v>45748</v>
      </c>
      <c r="B87" s="40">
        <v>0.33333333333333298</v>
      </c>
      <c r="C87" s="12">
        <v>36</v>
      </c>
      <c r="D87" s="199">
        <v>450</v>
      </c>
      <c r="E87" s="12" t="s">
        <v>114</v>
      </c>
      <c r="F87" s="12"/>
      <c r="G87" s="12"/>
      <c r="H87" s="12"/>
      <c r="I87" s="12"/>
      <c r="J87" s="12"/>
      <c r="K87" s="12"/>
      <c r="L87" s="12"/>
      <c r="M87" s="12"/>
      <c r="N87" s="12"/>
      <c r="O87" s="12"/>
      <c r="P87" s="12"/>
    </row>
    <row r="88" spans="1:16" x14ac:dyDescent="0.25">
      <c r="A88" s="193">
        <v>45748</v>
      </c>
      <c r="B88" s="40">
        <v>0.33333333333333298</v>
      </c>
      <c r="C88" s="12">
        <v>37</v>
      </c>
      <c r="D88" s="199">
        <v>410</v>
      </c>
      <c r="E88" s="12" t="s">
        <v>117</v>
      </c>
      <c r="F88" s="12"/>
      <c r="G88" s="12"/>
      <c r="H88" s="12"/>
      <c r="I88" s="12"/>
      <c r="J88" s="12"/>
      <c r="K88" s="12"/>
      <c r="L88" s="12"/>
      <c r="M88" s="12"/>
      <c r="N88" s="12"/>
      <c r="O88" s="12"/>
      <c r="P88" s="12"/>
    </row>
    <row r="89" spans="1:16" x14ac:dyDescent="0.25">
      <c r="A89" s="193">
        <v>45748</v>
      </c>
      <c r="B89" s="40">
        <v>0.33333333333333298</v>
      </c>
      <c r="C89" s="12">
        <v>38</v>
      </c>
      <c r="D89" s="199">
        <v>365</v>
      </c>
      <c r="E89" s="12" t="s">
        <v>117</v>
      </c>
      <c r="F89" s="12"/>
      <c r="G89" s="12"/>
      <c r="H89" s="12"/>
      <c r="I89" s="12"/>
      <c r="J89" s="12"/>
      <c r="K89" s="12"/>
      <c r="L89" s="12"/>
      <c r="M89" s="12"/>
      <c r="N89" s="12"/>
      <c r="O89" s="12"/>
      <c r="P89" s="12"/>
    </row>
    <row r="90" spans="1:16" x14ac:dyDescent="0.25">
      <c r="A90" s="193">
        <v>45748</v>
      </c>
      <c r="B90" s="40">
        <v>0.33333333333333298</v>
      </c>
      <c r="C90" s="12">
        <v>39</v>
      </c>
      <c r="D90" s="199">
        <v>405</v>
      </c>
      <c r="E90" s="12" t="s">
        <v>116</v>
      </c>
      <c r="F90" s="12"/>
      <c r="G90" s="12"/>
      <c r="H90" s="12"/>
      <c r="I90" s="12"/>
      <c r="J90" s="12"/>
      <c r="K90" s="12"/>
      <c r="L90" s="12"/>
      <c r="M90" s="12"/>
      <c r="N90" s="12"/>
      <c r="O90" s="12"/>
      <c r="P90" s="12"/>
    </row>
    <row r="91" spans="1:16" x14ac:dyDescent="0.25">
      <c r="A91" s="193">
        <v>45748</v>
      </c>
      <c r="B91" s="40">
        <v>0.33333333333333298</v>
      </c>
      <c r="C91" s="12">
        <v>40</v>
      </c>
      <c r="D91" s="199">
        <v>370</v>
      </c>
      <c r="E91" s="12" t="s">
        <v>117</v>
      </c>
      <c r="F91" s="12"/>
      <c r="G91" s="12"/>
      <c r="H91" s="12"/>
      <c r="I91" s="12"/>
      <c r="J91" s="12"/>
      <c r="K91" s="12"/>
      <c r="L91" s="12"/>
      <c r="M91" s="12"/>
      <c r="N91" s="12"/>
      <c r="O91" s="12"/>
      <c r="P91" s="12"/>
    </row>
    <row r="92" spans="1:16" x14ac:dyDescent="0.25">
      <c r="A92" s="193">
        <v>45748</v>
      </c>
      <c r="B92" s="40">
        <v>0.33333333333333298</v>
      </c>
      <c r="C92" s="12">
        <v>41</v>
      </c>
      <c r="D92" s="199">
        <v>405</v>
      </c>
      <c r="E92" s="12" t="s">
        <v>117</v>
      </c>
      <c r="F92" s="12"/>
      <c r="G92" s="12"/>
      <c r="H92" s="12"/>
      <c r="I92" s="12"/>
      <c r="J92" s="12"/>
      <c r="K92" s="12"/>
      <c r="L92" s="12"/>
      <c r="M92" s="12"/>
      <c r="N92" s="12"/>
      <c r="O92" s="12"/>
      <c r="P92" s="12"/>
    </row>
    <row r="93" spans="1:16" x14ac:dyDescent="0.25">
      <c r="A93" s="193">
        <v>45748</v>
      </c>
      <c r="B93" s="40">
        <v>0.33333333333333298</v>
      </c>
      <c r="C93" s="12">
        <v>42</v>
      </c>
      <c r="D93" s="199">
        <v>435</v>
      </c>
      <c r="E93" s="12" t="s">
        <v>117</v>
      </c>
      <c r="F93" s="12"/>
      <c r="G93" s="12"/>
      <c r="H93" s="12"/>
      <c r="I93" s="12"/>
      <c r="J93" s="12"/>
      <c r="K93" s="12"/>
      <c r="L93" s="12"/>
      <c r="M93" s="12"/>
      <c r="N93" s="12"/>
      <c r="O93" s="12"/>
      <c r="P93" s="12"/>
    </row>
    <row r="94" spans="1:16" x14ac:dyDescent="0.25">
      <c r="A94" s="193">
        <v>45748</v>
      </c>
      <c r="B94" s="40">
        <v>0.33333333333333298</v>
      </c>
      <c r="C94" s="12">
        <v>43</v>
      </c>
      <c r="D94" s="199">
        <v>470</v>
      </c>
      <c r="E94" s="12" t="s">
        <v>117</v>
      </c>
      <c r="F94" s="12"/>
      <c r="G94" s="12"/>
      <c r="H94" s="12"/>
      <c r="I94" s="12"/>
      <c r="J94" s="12"/>
      <c r="K94" s="12"/>
      <c r="L94" s="12"/>
      <c r="M94" s="12"/>
      <c r="N94" s="12"/>
      <c r="O94" s="12"/>
      <c r="P94" s="12"/>
    </row>
    <row r="95" spans="1:16" x14ac:dyDescent="0.25">
      <c r="A95" s="193">
        <v>45748</v>
      </c>
      <c r="B95" s="40">
        <v>0.33333333333333298</v>
      </c>
      <c r="C95" s="12">
        <v>44</v>
      </c>
      <c r="D95" s="199">
        <v>400</v>
      </c>
      <c r="E95" s="12" t="s">
        <v>117</v>
      </c>
      <c r="F95" s="12"/>
      <c r="G95" s="12"/>
      <c r="H95" s="12"/>
      <c r="I95" s="12"/>
      <c r="J95" s="12"/>
      <c r="K95" s="12"/>
      <c r="L95" s="12"/>
      <c r="M95" s="12"/>
      <c r="N95" s="12"/>
      <c r="O95" s="12"/>
      <c r="P95" s="12"/>
    </row>
    <row r="96" spans="1:16" x14ac:dyDescent="0.25">
      <c r="A96" s="193">
        <v>45748</v>
      </c>
      <c r="B96" s="40">
        <v>0.33333333333333298</v>
      </c>
      <c r="C96" s="12">
        <v>45</v>
      </c>
      <c r="D96" s="199">
        <v>450</v>
      </c>
      <c r="E96" s="12" t="s">
        <v>114</v>
      </c>
      <c r="F96" s="12"/>
      <c r="G96" s="12"/>
      <c r="H96" s="194" t="s">
        <v>118</v>
      </c>
      <c r="I96" s="195">
        <f>AVERAGE(Tabla1[PESO])</f>
        <v>403.1056338028169</v>
      </c>
      <c r="J96" s="12"/>
      <c r="K96" s="12"/>
      <c r="L96" s="12"/>
      <c r="M96" s="12"/>
      <c r="N96" s="12"/>
      <c r="O96" s="12"/>
      <c r="P96" s="12"/>
    </row>
    <row r="97" spans="1:16" x14ac:dyDescent="0.25">
      <c r="A97" s="193">
        <v>45748</v>
      </c>
      <c r="B97" s="40">
        <v>0.33333333333333298</v>
      </c>
      <c r="C97" s="12">
        <v>46</v>
      </c>
      <c r="D97" s="199">
        <v>390</v>
      </c>
      <c r="E97" s="12" t="s">
        <v>117</v>
      </c>
      <c r="F97" s="12"/>
      <c r="G97" s="12"/>
      <c r="H97" s="35"/>
      <c r="I97" s="35"/>
      <c r="J97" s="12"/>
      <c r="K97" s="12"/>
      <c r="L97" s="12"/>
      <c r="M97" s="12"/>
      <c r="N97" s="12"/>
      <c r="O97" s="12"/>
      <c r="P97" s="12"/>
    </row>
    <row r="98" spans="1:16" x14ac:dyDescent="0.25">
      <c r="A98" s="193">
        <v>45748</v>
      </c>
      <c r="B98" s="40">
        <v>0.33333333333333298</v>
      </c>
      <c r="C98" s="12">
        <v>47</v>
      </c>
      <c r="D98" s="199">
        <v>405</v>
      </c>
      <c r="E98" s="12" t="s">
        <v>117</v>
      </c>
      <c r="F98" s="12"/>
      <c r="I98" s="12"/>
      <c r="J98" s="12"/>
      <c r="K98" s="12"/>
      <c r="L98" s="12"/>
      <c r="M98" s="12"/>
      <c r="N98" s="12"/>
      <c r="O98" s="12"/>
      <c r="P98" s="12"/>
    </row>
    <row r="99" spans="1:16" x14ac:dyDescent="0.25">
      <c r="A99" s="193">
        <v>45748</v>
      </c>
      <c r="B99" s="40">
        <v>0.33333333333333298</v>
      </c>
      <c r="C99" s="12">
        <v>48</v>
      </c>
      <c r="D99" s="199">
        <v>385</v>
      </c>
      <c r="E99" s="12" t="s">
        <v>117</v>
      </c>
      <c r="F99" s="12"/>
      <c r="I99" s="12"/>
      <c r="J99" s="12"/>
      <c r="K99" s="12"/>
      <c r="L99" s="12"/>
      <c r="M99" s="12"/>
      <c r="N99" s="12"/>
      <c r="O99" s="12"/>
      <c r="P99" s="12"/>
    </row>
    <row r="100" spans="1:16" x14ac:dyDescent="0.25">
      <c r="A100" s="193">
        <v>45748</v>
      </c>
      <c r="B100" s="40">
        <v>0.33333333333333298</v>
      </c>
      <c r="C100" s="12">
        <v>49</v>
      </c>
      <c r="D100" s="199">
        <v>435</v>
      </c>
      <c r="E100" s="12" t="s">
        <v>117</v>
      </c>
      <c r="F100" s="12"/>
      <c r="I100" s="12"/>
      <c r="J100" s="12"/>
      <c r="K100" s="12"/>
      <c r="L100" s="12"/>
      <c r="M100" s="12"/>
      <c r="N100" s="12"/>
      <c r="O100" s="12"/>
      <c r="P100" s="12"/>
    </row>
    <row r="101" spans="1:16" x14ac:dyDescent="0.25">
      <c r="A101" s="193">
        <v>45748</v>
      </c>
      <c r="B101" s="40">
        <v>0.33333333333333298</v>
      </c>
      <c r="C101" s="12">
        <v>50</v>
      </c>
      <c r="D101" s="199">
        <v>390</v>
      </c>
      <c r="E101" s="12" t="s">
        <v>117</v>
      </c>
      <c r="F101" s="12"/>
      <c r="I101" s="12"/>
      <c r="J101" s="12"/>
      <c r="K101" s="12"/>
      <c r="L101" s="12"/>
      <c r="M101" s="12"/>
      <c r="N101" s="12"/>
      <c r="O101" s="12"/>
      <c r="P101" s="12"/>
    </row>
    <row r="102" spans="1:16" x14ac:dyDescent="0.25">
      <c r="A102" s="193">
        <v>45748</v>
      </c>
      <c r="B102" s="40">
        <v>0.33333333333333298</v>
      </c>
      <c r="C102" s="12">
        <v>51</v>
      </c>
      <c r="D102" s="199">
        <v>420</v>
      </c>
      <c r="E102" s="12" t="s">
        <v>117</v>
      </c>
      <c r="F102" s="12"/>
      <c r="I102" s="12"/>
      <c r="J102" s="12"/>
      <c r="K102" s="12"/>
      <c r="L102" s="12"/>
      <c r="M102" s="12"/>
      <c r="N102" s="12"/>
      <c r="O102" s="12"/>
      <c r="P102" s="12"/>
    </row>
    <row r="103" spans="1:16" x14ac:dyDescent="0.25">
      <c r="A103" s="193">
        <v>45748</v>
      </c>
      <c r="B103" s="40">
        <v>0.33333333333333298</v>
      </c>
      <c r="C103" s="12">
        <v>52</v>
      </c>
      <c r="D103" s="199">
        <v>450</v>
      </c>
      <c r="E103" s="12" t="s">
        <v>117</v>
      </c>
      <c r="F103" s="12"/>
      <c r="I103" s="12"/>
      <c r="J103" s="12"/>
      <c r="K103" s="12"/>
      <c r="L103" s="12"/>
      <c r="M103" s="12"/>
      <c r="N103" s="12"/>
      <c r="O103" s="12"/>
      <c r="P103" s="12"/>
    </row>
    <row r="104" spans="1:16" x14ac:dyDescent="0.25">
      <c r="A104" s="193">
        <v>45748</v>
      </c>
      <c r="B104" s="40">
        <v>0.33333333333333298</v>
      </c>
      <c r="C104" s="12">
        <v>53</v>
      </c>
      <c r="D104" s="199">
        <v>430</v>
      </c>
      <c r="E104" s="12" t="s">
        <v>117</v>
      </c>
      <c r="F104" s="12"/>
      <c r="I104" s="12"/>
      <c r="J104" s="12"/>
      <c r="K104" s="12"/>
      <c r="L104" s="12"/>
      <c r="M104" s="12"/>
      <c r="N104" s="12"/>
      <c r="O104" s="12"/>
      <c r="P104" s="12"/>
    </row>
    <row r="105" spans="1:16" x14ac:dyDescent="0.25">
      <c r="A105" s="193">
        <v>45748</v>
      </c>
      <c r="B105" s="40">
        <v>0.33333333333333298</v>
      </c>
      <c r="C105" s="12">
        <v>54</v>
      </c>
      <c r="D105" s="199">
        <v>430</v>
      </c>
      <c r="E105" s="12" t="s">
        <v>117</v>
      </c>
      <c r="F105" s="12"/>
      <c r="I105" s="12"/>
      <c r="J105" s="12"/>
      <c r="K105" s="12"/>
      <c r="L105" s="12"/>
      <c r="M105" s="12"/>
      <c r="N105" s="12"/>
      <c r="O105" s="12"/>
      <c r="P105" s="12"/>
    </row>
    <row r="106" spans="1:16" x14ac:dyDescent="0.25">
      <c r="A106" s="193">
        <v>45748</v>
      </c>
      <c r="B106" s="40">
        <v>0.33333333333333298</v>
      </c>
      <c r="C106" s="12">
        <v>55</v>
      </c>
      <c r="D106" s="199">
        <v>400</v>
      </c>
      <c r="E106" s="12" t="s">
        <v>117</v>
      </c>
      <c r="F106" s="12"/>
      <c r="I106" s="12"/>
      <c r="J106" s="12"/>
      <c r="K106" s="12"/>
      <c r="L106" s="12"/>
      <c r="M106" s="12"/>
      <c r="N106" s="12"/>
      <c r="O106" s="12"/>
      <c r="P106" s="12"/>
    </row>
    <row r="107" spans="1:16" x14ac:dyDescent="0.25">
      <c r="A107" s="193">
        <v>45748</v>
      </c>
      <c r="B107" s="40">
        <v>0.33333333333333298</v>
      </c>
      <c r="C107" s="12">
        <v>56</v>
      </c>
      <c r="D107" s="199">
        <v>410</v>
      </c>
      <c r="E107" s="12" t="s">
        <v>117</v>
      </c>
      <c r="F107" s="12"/>
      <c r="I107" s="12"/>
      <c r="J107" s="12"/>
      <c r="K107" s="12"/>
      <c r="L107" s="12"/>
      <c r="M107" s="12"/>
      <c r="N107" s="12"/>
      <c r="O107" s="12"/>
      <c r="P107" s="12"/>
    </row>
    <row r="108" spans="1:16" x14ac:dyDescent="0.25">
      <c r="A108" s="193">
        <v>45748</v>
      </c>
      <c r="B108" s="40">
        <v>0.33333333333333298</v>
      </c>
      <c r="C108" s="12">
        <v>57</v>
      </c>
      <c r="D108" s="199">
        <v>425</v>
      </c>
      <c r="E108" s="12" t="s">
        <v>117</v>
      </c>
      <c r="F108" s="12"/>
      <c r="G108" s="12"/>
      <c r="H108" s="12"/>
      <c r="I108" s="12"/>
      <c r="J108" s="12"/>
      <c r="K108" s="12"/>
      <c r="L108" s="12"/>
      <c r="M108" s="12"/>
      <c r="N108" s="12"/>
      <c r="O108" s="12"/>
      <c r="P108" s="12"/>
    </row>
    <row r="109" spans="1:16" x14ac:dyDescent="0.25">
      <c r="A109" s="193">
        <v>45748</v>
      </c>
      <c r="B109" s="40">
        <v>0.33333333333333298</v>
      </c>
      <c r="C109" s="12">
        <v>58</v>
      </c>
      <c r="D109" s="199">
        <v>420</v>
      </c>
      <c r="E109" s="12" t="s">
        <v>117</v>
      </c>
      <c r="F109" s="12"/>
      <c r="G109" s="12"/>
      <c r="H109" s="12"/>
      <c r="I109" s="12"/>
      <c r="J109" s="12"/>
      <c r="K109" s="12"/>
      <c r="L109" s="12"/>
      <c r="M109" s="12"/>
      <c r="N109" s="12"/>
      <c r="O109" s="12"/>
      <c r="P109" s="12"/>
    </row>
    <row r="110" spans="1:16" x14ac:dyDescent="0.25">
      <c r="A110" s="193">
        <v>45748</v>
      </c>
      <c r="B110" s="40">
        <v>0.33333333333333298</v>
      </c>
      <c r="C110" s="12">
        <v>59</v>
      </c>
      <c r="D110" s="199">
        <v>430</v>
      </c>
      <c r="E110" s="12" t="s">
        <v>117</v>
      </c>
      <c r="F110" s="12"/>
      <c r="J110" s="12"/>
      <c r="K110" s="12"/>
      <c r="L110" s="12"/>
      <c r="M110" s="12"/>
      <c r="N110" s="12"/>
      <c r="O110" s="12"/>
      <c r="P110" s="12"/>
    </row>
    <row r="111" spans="1:16" x14ac:dyDescent="0.25">
      <c r="A111" s="193">
        <v>45748</v>
      </c>
      <c r="B111" s="40">
        <v>0.33333333333333298</v>
      </c>
      <c r="C111" s="12">
        <v>60</v>
      </c>
      <c r="D111" s="199">
        <v>410</v>
      </c>
      <c r="E111" s="12" t="s">
        <v>117</v>
      </c>
      <c r="F111" s="12"/>
      <c r="J111" s="12"/>
      <c r="K111" s="12"/>
      <c r="L111" s="12"/>
      <c r="M111" s="12"/>
      <c r="N111" s="12"/>
      <c r="O111" s="12"/>
      <c r="P111" s="12"/>
    </row>
    <row r="112" spans="1:16" x14ac:dyDescent="0.25">
      <c r="A112" s="193">
        <v>45748</v>
      </c>
      <c r="B112" s="40">
        <v>0.33333333333333298</v>
      </c>
      <c r="C112" s="12">
        <v>61</v>
      </c>
      <c r="D112" s="199">
        <v>385</v>
      </c>
      <c r="E112" s="12" t="s">
        <v>117</v>
      </c>
      <c r="F112" s="12"/>
      <c r="J112" s="12"/>
      <c r="K112" s="12"/>
      <c r="L112" s="12"/>
      <c r="M112" s="12"/>
      <c r="N112" s="12"/>
      <c r="O112" s="12"/>
      <c r="P112" s="12"/>
    </row>
    <row r="113" spans="1:16" x14ac:dyDescent="0.25">
      <c r="A113" s="193">
        <v>45748</v>
      </c>
      <c r="B113" s="40">
        <v>0.33333333333333298</v>
      </c>
      <c r="C113" s="12">
        <v>62</v>
      </c>
      <c r="D113" s="199">
        <v>420</v>
      </c>
      <c r="E113" s="12" t="s">
        <v>117</v>
      </c>
      <c r="F113" s="12"/>
      <c r="J113" s="12"/>
      <c r="K113" s="12"/>
      <c r="L113" s="12"/>
      <c r="M113" s="12"/>
      <c r="N113" s="12"/>
      <c r="O113" s="12"/>
      <c r="P113" s="12"/>
    </row>
    <row r="114" spans="1:16" x14ac:dyDescent="0.25">
      <c r="A114" s="193">
        <v>45748</v>
      </c>
      <c r="B114" s="40">
        <v>0.33333333333333298</v>
      </c>
      <c r="C114" s="12">
        <v>63</v>
      </c>
      <c r="D114" s="199">
        <v>415</v>
      </c>
      <c r="E114" s="12" t="s">
        <v>117</v>
      </c>
      <c r="F114" s="12"/>
      <c r="J114" s="12"/>
      <c r="K114" s="12"/>
      <c r="L114" s="12"/>
      <c r="M114" s="12"/>
      <c r="N114" s="12"/>
      <c r="O114" s="12"/>
      <c r="P114" s="12"/>
    </row>
    <row r="115" spans="1:16" x14ac:dyDescent="0.25">
      <c r="A115" s="193">
        <v>45748</v>
      </c>
      <c r="B115" s="40">
        <v>0.33333333333333298</v>
      </c>
      <c r="C115" s="12">
        <v>64</v>
      </c>
      <c r="D115" s="199">
        <v>435</v>
      </c>
      <c r="E115" s="12" t="s">
        <v>117</v>
      </c>
      <c r="F115" s="12"/>
      <c r="J115" s="12"/>
      <c r="K115" s="12"/>
      <c r="L115" s="12"/>
      <c r="M115" s="12"/>
      <c r="N115" s="12"/>
      <c r="O115" s="12"/>
      <c r="P115" s="12"/>
    </row>
    <row r="116" spans="1:16" x14ac:dyDescent="0.25">
      <c r="A116" s="193">
        <v>45748</v>
      </c>
      <c r="B116" s="40">
        <v>0.33333333333333298</v>
      </c>
      <c r="C116" s="12">
        <v>65</v>
      </c>
      <c r="D116" s="199">
        <v>435</v>
      </c>
      <c r="E116" s="12" t="s">
        <v>117</v>
      </c>
      <c r="F116" s="12"/>
      <c r="H116" s="12"/>
      <c r="I116" s="12"/>
      <c r="J116" s="12"/>
      <c r="K116" s="12"/>
      <c r="L116" s="12"/>
      <c r="M116" s="12"/>
      <c r="N116" s="12"/>
      <c r="O116" s="12"/>
      <c r="P116" s="12"/>
    </row>
    <row r="117" spans="1:16" x14ac:dyDescent="0.25">
      <c r="A117" s="193">
        <v>45748</v>
      </c>
      <c r="B117" s="40">
        <v>0.33333333333333298</v>
      </c>
      <c r="C117" s="12">
        <v>66</v>
      </c>
      <c r="D117" s="199">
        <v>395</v>
      </c>
      <c r="E117" s="12" t="s">
        <v>117</v>
      </c>
      <c r="F117" s="12"/>
      <c r="H117" s="12"/>
      <c r="I117" s="12"/>
      <c r="J117" s="12"/>
      <c r="K117" s="12"/>
      <c r="L117" s="12"/>
      <c r="M117" s="12"/>
      <c r="N117" s="12"/>
      <c r="O117" s="12"/>
      <c r="P117" s="12"/>
    </row>
    <row r="118" spans="1:16" x14ac:dyDescent="0.25">
      <c r="A118" s="193">
        <v>45748</v>
      </c>
      <c r="B118" s="40">
        <v>0.33333333333333298</v>
      </c>
      <c r="C118" s="12">
        <v>67</v>
      </c>
      <c r="D118" s="199">
        <v>365</v>
      </c>
      <c r="E118" s="12" t="s">
        <v>117</v>
      </c>
      <c r="F118" s="12"/>
      <c r="H118" s="12"/>
      <c r="I118" s="12"/>
      <c r="J118" s="12"/>
      <c r="K118" s="12"/>
      <c r="L118" s="12"/>
      <c r="M118" s="12"/>
      <c r="N118" s="12"/>
      <c r="O118" s="12"/>
      <c r="P118" s="12"/>
    </row>
    <row r="119" spans="1:16" x14ac:dyDescent="0.25">
      <c r="A119" s="193">
        <v>45748</v>
      </c>
      <c r="B119" s="40">
        <v>0.33333333333333298</v>
      </c>
      <c r="C119" s="12">
        <v>68</v>
      </c>
      <c r="D119" s="199">
        <v>435</v>
      </c>
      <c r="E119" s="12" t="s">
        <v>117</v>
      </c>
      <c r="F119" s="12"/>
      <c r="H119" s="12"/>
      <c r="I119" s="12"/>
      <c r="J119" s="12"/>
      <c r="K119" s="12"/>
      <c r="L119" s="12"/>
      <c r="M119" s="12"/>
      <c r="N119" s="12"/>
      <c r="O119" s="12"/>
      <c r="P119" s="12"/>
    </row>
    <row r="120" spans="1:16" x14ac:dyDescent="0.25">
      <c r="A120" s="193">
        <v>45748</v>
      </c>
      <c r="B120" s="40">
        <v>0.33333333333333298</v>
      </c>
      <c r="C120" s="12">
        <v>69</v>
      </c>
      <c r="D120" s="199">
        <v>450</v>
      </c>
      <c r="E120" s="12" t="s">
        <v>114</v>
      </c>
      <c r="F120" s="12"/>
      <c r="H120" s="12"/>
      <c r="I120" s="12"/>
      <c r="J120" s="12"/>
      <c r="K120" s="12"/>
      <c r="L120" s="12"/>
      <c r="M120" s="12"/>
      <c r="N120" s="12"/>
      <c r="O120" s="12"/>
      <c r="P120" s="12"/>
    </row>
    <row r="121" spans="1:16" x14ac:dyDescent="0.25">
      <c r="A121" s="193">
        <v>45748</v>
      </c>
      <c r="B121" s="40">
        <v>0.33333333333333298</v>
      </c>
      <c r="C121" s="12">
        <v>70</v>
      </c>
      <c r="D121" s="199">
        <v>450</v>
      </c>
      <c r="E121" s="12" t="s">
        <v>117</v>
      </c>
      <c r="F121" s="12" t="s">
        <v>115</v>
      </c>
      <c r="H121" s="12"/>
      <c r="I121" s="12"/>
      <c r="J121" s="12"/>
      <c r="K121" s="12"/>
      <c r="L121" s="12"/>
      <c r="M121" s="12"/>
      <c r="N121" s="12"/>
      <c r="O121" s="12"/>
      <c r="P121" s="12"/>
    </row>
    <row r="122" spans="1:16" x14ac:dyDescent="0.25">
      <c r="A122" s="193">
        <v>45748</v>
      </c>
      <c r="B122" s="40">
        <v>0.33333333333333298</v>
      </c>
      <c r="C122" s="12">
        <v>71</v>
      </c>
      <c r="D122" s="199">
        <v>330</v>
      </c>
      <c r="E122" s="12" t="s">
        <v>116</v>
      </c>
      <c r="F122" s="12"/>
      <c r="H122" s="12"/>
      <c r="I122" s="12"/>
      <c r="J122" s="12"/>
      <c r="K122" s="12"/>
      <c r="L122" s="12"/>
      <c r="M122" s="12"/>
      <c r="N122" s="12"/>
      <c r="O122" s="12"/>
      <c r="P122" s="12"/>
    </row>
    <row r="123" spans="1:16" x14ac:dyDescent="0.25">
      <c r="A123" s="193">
        <v>45748</v>
      </c>
      <c r="B123" s="40">
        <v>0.33333333333333298</v>
      </c>
      <c r="C123" s="12">
        <v>72</v>
      </c>
      <c r="D123" s="199">
        <v>390</v>
      </c>
      <c r="E123" s="12" t="s">
        <v>117</v>
      </c>
      <c r="F123" s="12"/>
      <c r="H123" s="12"/>
      <c r="I123" s="12"/>
      <c r="J123" s="12"/>
      <c r="K123" s="12"/>
      <c r="L123" s="12"/>
      <c r="M123" s="12"/>
      <c r="N123" s="12"/>
      <c r="O123" s="12"/>
      <c r="P123" s="12"/>
    </row>
    <row r="124" spans="1:16" x14ac:dyDescent="0.25">
      <c r="A124" s="193">
        <v>45748</v>
      </c>
      <c r="B124" s="40">
        <v>0.33333333333333298</v>
      </c>
      <c r="C124" s="12">
        <v>73</v>
      </c>
      <c r="D124" s="199">
        <v>400</v>
      </c>
      <c r="E124" s="12" t="s">
        <v>117</v>
      </c>
      <c r="F124" s="12"/>
      <c r="H124" s="12"/>
      <c r="I124" s="12"/>
      <c r="J124" s="12"/>
      <c r="K124" s="12"/>
      <c r="L124" s="12"/>
      <c r="M124" s="12"/>
      <c r="N124" s="12"/>
      <c r="O124" s="12"/>
      <c r="P124" s="12"/>
    </row>
    <row r="125" spans="1:16" x14ac:dyDescent="0.25">
      <c r="A125" s="193">
        <v>45748</v>
      </c>
      <c r="B125" s="40">
        <v>0.33333333333333298</v>
      </c>
      <c r="C125" s="12">
        <v>74</v>
      </c>
      <c r="D125" s="199">
        <v>340</v>
      </c>
      <c r="E125" s="12" t="s">
        <v>117</v>
      </c>
      <c r="F125" s="12"/>
      <c r="H125" s="12"/>
      <c r="I125" s="12"/>
      <c r="J125" s="12"/>
      <c r="K125" s="12"/>
      <c r="L125" s="12"/>
      <c r="M125" s="12"/>
      <c r="N125" s="12"/>
      <c r="O125" s="12"/>
      <c r="P125" s="12"/>
    </row>
    <row r="126" spans="1:16" x14ac:dyDescent="0.25">
      <c r="A126" s="193">
        <v>45748</v>
      </c>
      <c r="B126" s="40">
        <v>0.33333333333333298</v>
      </c>
      <c r="C126" s="12">
        <v>75</v>
      </c>
      <c r="D126" s="199">
        <v>440</v>
      </c>
      <c r="E126" s="12" t="s">
        <v>119</v>
      </c>
      <c r="F126" s="12"/>
      <c r="H126" s="12"/>
      <c r="I126" s="12"/>
      <c r="J126" s="12"/>
      <c r="K126" s="12"/>
      <c r="L126" s="12"/>
      <c r="M126" s="12"/>
      <c r="N126" s="12"/>
      <c r="O126" s="12"/>
      <c r="P126" s="12"/>
    </row>
    <row r="127" spans="1:16" x14ac:dyDescent="0.25">
      <c r="A127" s="193">
        <v>45748</v>
      </c>
      <c r="B127" s="40">
        <v>0.33333333333333298</v>
      </c>
      <c r="C127" s="12">
        <v>76</v>
      </c>
      <c r="D127" s="199">
        <v>415</v>
      </c>
      <c r="E127" s="12" t="s">
        <v>117</v>
      </c>
      <c r="F127" s="12"/>
      <c r="H127" s="12"/>
      <c r="I127" s="12"/>
      <c r="J127" s="12"/>
      <c r="K127" s="12"/>
      <c r="L127" s="12"/>
      <c r="M127" s="12"/>
      <c r="N127" s="12"/>
      <c r="O127" s="12"/>
      <c r="P127" s="12"/>
    </row>
    <row r="128" spans="1:16" x14ac:dyDescent="0.25">
      <c r="A128" s="193">
        <v>45748</v>
      </c>
      <c r="B128" s="40">
        <v>0.33333333333333298</v>
      </c>
      <c r="C128" s="12">
        <v>77</v>
      </c>
      <c r="D128" s="199">
        <v>420</v>
      </c>
      <c r="E128" s="12" t="s">
        <v>117</v>
      </c>
      <c r="F128" s="12"/>
      <c r="H128" s="12"/>
      <c r="I128" s="12"/>
      <c r="J128" s="12"/>
      <c r="K128" s="12"/>
      <c r="L128" s="12"/>
      <c r="M128" s="12"/>
      <c r="N128" s="12"/>
      <c r="O128" s="12"/>
      <c r="P128" s="12"/>
    </row>
    <row r="129" spans="1:16" x14ac:dyDescent="0.25">
      <c r="A129" s="193">
        <v>45748</v>
      </c>
      <c r="B129" s="40">
        <v>0.33333333333333298</v>
      </c>
      <c r="C129" s="12">
        <v>78</v>
      </c>
      <c r="D129" s="199">
        <v>400</v>
      </c>
      <c r="E129" s="12" t="s">
        <v>117</v>
      </c>
      <c r="F129" s="12"/>
      <c r="H129" s="12"/>
      <c r="I129" s="12"/>
      <c r="J129" s="12"/>
      <c r="K129" s="12"/>
      <c r="L129" s="12"/>
      <c r="M129" s="12"/>
      <c r="N129" s="12"/>
      <c r="O129" s="12"/>
      <c r="P129" s="12"/>
    </row>
    <row r="130" spans="1:16" x14ac:dyDescent="0.25">
      <c r="A130" s="193">
        <v>45748</v>
      </c>
      <c r="B130" s="40">
        <v>0.33333333333333298</v>
      </c>
      <c r="C130" s="12">
        <v>79</v>
      </c>
      <c r="D130" s="199">
        <v>385</v>
      </c>
      <c r="E130" s="12" t="s">
        <v>117</v>
      </c>
      <c r="F130" s="12"/>
      <c r="H130" s="12"/>
      <c r="I130" s="12"/>
      <c r="J130" s="12"/>
      <c r="K130" s="12"/>
      <c r="L130" s="12"/>
      <c r="M130" s="12"/>
      <c r="N130" s="12"/>
      <c r="O130" s="12"/>
      <c r="P130" s="12"/>
    </row>
    <row r="131" spans="1:16" x14ac:dyDescent="0.25">
      <c r="A131" s="193">
        <v>45748</v>
      </c>
      <c r="B131" s="40">
        <v>0.33333333333333298</v>
      </c>
      <c r="C131" s="12">
        <v>80</v>
      </c>
      <c r="D131" s="199">
        <v>480</v>
      </c>
      <c r="E131" s="12" t="s">
        <v>114</v>
      </c>
      <c r="F131" s="12"/>
      <c r="H131" s="12"/>
      <c r="I131" s="12"/>
      <c r="J131" s="12"/>
      <c r="K131" s="12"/>
      <c r="L131" s="12"/>
      <c r="M131" s="12"/>
      <c r="N131" s="12"/>
      <c r="O131" s="12"/>
      <c r="P131" s="12"/>
    </row>
    <row r="132" spans="1:16" x14ac:dyDescent="0.25">
      <c r="A132" s="193">
        <v>45748</v>
      </c>
      <c r="B132" s="40">
        <v>0.33333333333333298</v>
      </c>
      <c r="C132" s="12">
        <v>81</v>
      </c>
      <c r="D132" s="199">
        <v>477</v>
      </c>
      <c r="E132" s="12" t="s">
        <v>114</v>
      </c>
      <c r="F132" s="12"/>
      <c r="H132" s="12"/>
      <c r="I132" s="12"/>
      <c r="J132" s="12"/>
      <c r="K132" s="12"/>
      <c r="L132" s="12"/>
      <c r="M132" s="12"/>
      <c r="N132" s="12"/>
      <c r="O132" s="12"/>
      <c r="P132" s="12"/>
    </row>
    <row r="133" spans="1:16" x14ac:dyDescent="0.25">
      <c r="A133" s="193">
        <v>45748</v>
      </c>
      <c r="B133" s="40">
        <v>0.33333333333333298</v>
      </c>
      <c r="C133" s="12">
        <v>82</v>
      </c>
      <c r="D133" s="199">
        <v>465</v>
      </c>
      <c r="E133" s="12" t="s">
        <v>117</v>
      </c>
      <c r="F133" s="12"/>
      <c r="H133" s="12"/>
      <c r="I133" s="12"/>
      <c r="J133" s="12"/>
      <c r="K133" s="12"/>
      <c r="L133" s="12"/>
      <c r="M133" s="12"/>
      <c r="N133" s="12"/>
      <c r="O133" s="12"/>
      <c r="P133" s="12"/>
    </row>
    <row r="134" spans="1:16" x14ac:dyDescent="0.25">
      <c r="A134" s="193">
        <v>45748</v>
      </c>
      <c r="B134" s="40">
        <v>0.33333333333333298</v>
      </c>
      <c r="C134" s="12">
        <v>83</v>
      </c>
      <c r="D134" s="199">
        <v>430</v>
      </c>
      <c r="E134" s="12" t="s">
        <v>117</v>
      </c>
      <c r="F134" s="12"/>
      <c r="H134" s="12"/>
      <c r="I134" s="12"/>
      <c r="J134" s="12"/>
      <c r="K134" s="12"/>
      <c r="L134" s="12"/>
      <c r="M134" s="12"/>
      <c r="N134" s="12"/>
      <c r="O134" s="12"/>
      <c r="P134" s="12"/>
    </row>
    <row r="135" spans="1:16" x14ac:dyDescent="0.25">
      <c r="A135" s="193">
        <v>45748</v>
      </c>
      <c r="B135" s="40">
        <v>0.33333333333333298</v>
      </c>
      <c r="C135" s="12">
        <v>84</v>
      </c>
      <c r="D135" s="199">
        <v>455</v>
      </c>
      <c r="E135" s="12" t="s">
        <v>116</v>
      </c>
      <c r="F135" s="12"/>
      <c r="H135" s="12"/>
      <c r="I135" s="12"/>
      <c r="J135" s="12"/>
      <c r="K135" s="12"/>
      <c r="L135" s="12"/>
      <c r="M135" s="12"/>
      <c r="N135" s="12"/>
      <c r="O135" s="12"/>
      <c r="P135" s="12"/>
    </row>
    <row r="136" spans="1:16" x14ac:dyDescent="0.25">
      <c r="A136" s="193">
        <v>45748</v>
      </c>
      <c r="B136" s="40">
        <v>0.33333333333333298</v>
      </c>
      <c r="C136" s="12">
        <v>85</v>
      </c>
      <c r="D136" s="199">
        <v>470</v>
      </c>
      <c r="E136" s="12" t="s">
        <v>114</v>
      </c>
      <c r="F136" s="12"/>
      <c r="H136" s="12"/>
      <c r="I136" s="12"/>
      <c r="J136" s="12"/>
      <c r="K136" s="12"/>
      <c r="L136" s="12"/>
      <c r="M136" s="12"/>
      <c r="N136" s="12"/>
      <c r="O136" s="12"/>
      <c r="P136" s="12"/>
    </row>
    <row r="137" spans="1:16" x14ac:dyDescent="0.25">
      <c r="A137" s="193">
        <v>45748</v>
      </c>
      <c r="B137" s="40">
        <v>0.33333333333333298</v>
      </c>
      <c r="C137" s="12">
        <v>86</v>
      </c>
      <c r="D137" s="199">
        <v>430</v>
      </c>
      <c r="E137" s="12" t="s">
        <v>117</v>
      </c>
      <c r="F137" s="12"/>
      <c r="H137" s="12"/>
      <c r="I137" s="12"/>
      <c r="J137" s="12"/>
      <c r="K137" s="12"/>
      <c r="L137" s="12"/>
      <c r="M137" s="12"/>
      <c r="N137" s="12"/>
      <c r="O137" s="12"/>
      <c r="P137" s="12"/>
    </row>
    <row r="138" spans="1:16" x14ac:dyDescent="0.25">
      <c r="A138" s="193">
        <v>45748</v>
      </c>
      <c r="B138" s="40">
        <v>0.33333333333333298</v>
      </c>
      <c r="C138" s="12">
        <v>87</v>
      </c>
      <c r="D138" s="199">
        <v>365</v>
      </c>
      <c r="E138" s="12" t="s">
        <v>117</v>
      </c>
      <c r="F138" s="12"/>
      <c r="H138" s="12"/>
      <c r="I138" s="12"/>
      <c r="J138" s="12"/>
      <c r="K138" s="12"/>
      <c r="L138" s="12"/>
      <c r="M138" s="12"/>
      <c r="N138" s="12"/>
      <c r="O138" s="12"/>
      <c r="P138" s="12"/>
    </row>
    <row r="139" spans="1:16" x14ac:dyDescent="0.25">
      <c r="A139" s="193">
        <v>45748</v>
      </c>
      <c r="B139" s="40">
        <v>0.33333333333333298</v>
      </c>
      <c r="C139" s="12">
        <v>88</v>
      </c>
      <c r="D139" s="199">
        <v>385</v>
      </c>
      <c r="E139" s="12" t="s">
        <v>117</v>
      </c>
      <c r="F139" s="12"/>
      <c r="H139" s="12"/>
      <c r="I139" s="12"/>
      <c r="J139" s="12"/>
      <c r="K139" s="12"/>
      <c r="L139" s="12"/>
      <c r="M139" s="12"/>
      <c r="N139" s="12"/>
      <c r="O139" s="12"/>
      <c r="P139" s="12"/>
    </row>
    <row r="140" spans="1:16" x14ac:dyDescent="0.25">
      <c r="A140" s="193">
        <v>45748</v>
      </c>
      <c r="B140" s="40">
        <v>0.33333333333333298</v>
      </c>
      <c r="C140" s="12">
        <v>89</v>
      </c>
      <c r="D140" s="199">
        <v>440</v>
      </c>
      <c r="E140" s="12" t="s">
        <v>117</v>
      </c>
      <c r="F140" s="12"/>
      <c r="H140" s="12"/>
      <c r="I140" s="12"/>
      <c r="J140" s="12"/>
      <c r="K140" s="12"/>
      <c r="L140" s="12"/>
      <c r="M140" s="12"/>
      <c r="N140" s="12"/>
      <c r="O140" s="12"/>
      <c r="P140" s="12"/>
    </row>
    <row r="141" spans="1:16" x14ac:dyDescent="0.25">
      <c r="A141" s="193">
        <v>45748</v>
      </c>
      <c r="B141" s="40">
        <v>0.33333333333333298</v>
      </c>
      <c r="C141" s="12">
        <v>90</v>
      </c>
      <c r="D141" s="199">
        <v>350</v>
      </c>
      <c r="E141" s="12" t="s">
        <v>116</v>
      </c>
      <c r="F141" s="12"/>
      <c r="H141" s="12"/>
      <c r="I141" s="12"/>
      <c r="J141" s="12"/>
      <c r="K141" s="12"/>
      <c r="L141" s="12"/>
      <c r="M141" s="12"/>
      <c r="N141" s="12"/>
      <c r="O141" s="12"/>
      <c r="P141" s="12"/>
    </row>
    <row r="142" spans="1:16" x14ac:dyDescent="0.25">
      <c r="A142" s="193">
        <v>45748</v>
      </c>
      <c r="B142" s="40">
        <v>0.33333333333333298</v>
      </c>
      <c r="C142" s="12">
        <v>91</v>
      </c>
      <c r="D142" s="199">
        <v>460</v>
      </c>
      <c r="E142" s="12" t="s">
        <v>114</v>
      </c>
      <c r="F142" s="12"/>
      <c r="H142" s="12"/>
      <c r="I142" s="12"/>
      <c r="J142" s="12"/>
      <c r="K142" s="12"/>
      <c r="L142" s="12"/>
      <c r="M142" s="12"/>
      <c r="N142" s="12"/>
      <c r="O142" s="12"/>
      <c r="P142" s="12"/>
    </row>
    <row r="143" spans="1:16" x14ac:dyDescent="0.25">
      <c r="A143" s="193">
        <v>45748</v>
      </c>
      <c r="B143" s="40">
        <v>0.33333333333333298</v>
      </c>
      <c r="C143" s="12">
        <v>92</v>
      </c>
      <c r="D143" s="199">
        <v>380</v>
      </c>
      <c r="E143" s="12" t="s">
        <v>117</v>
      </c>
      <c r="F143" s="12"/>
      <c r="H143" s="12"/>
      <c r="I143" s="12"/>
      <c r="J143" s="12"/>
      <c r="K143" s="12"/>
      <c r="L143" s="12"/>
      <c r="M143" s="12"/>
      <c r="N143" s="12"/>
      <c r="O143" s="12"/>
      <c r="P143" s="12"/>
    </row>
    <row r="144" spans="1:16" x14ac:dyDescent="0.25">
      <c r="A144" s="193">
        <v>45748</v>
      </c>
      <c r="B144" s="40">
        <v>0.33333333333333298</v>
      </c>
      <c r="C144" s="12">
        <v>93</v>
      </c>
      <c r="D144" s="199">
        <v>430</v>
      </c>
      <c r="E144" s="12" t="s">
        <v>117</v>
      </c>
      <c r="F144" s="12"/>
      <c r="H144" s="12"/>
      <c r="I144" s="12"/>
      <c r="J144" s="12"/>
      <c r="K144" s="12"/>
      <c r="L144" s="12"/>
      <c r="M144" s="12"/>
      <c r="N144" s="12"/>
      <c r="O144" s="12"/>
      <c r="P144" s="12"/>
    </row>
    <row r="145" spans="1:16" x14ac:dyDescent="0.25">
      <c r="A145" s="193">
        <v>45748</v>
      </c>
      <c r="B145" s="40">
        <v>0.33333333333333298</v>
      </c>
      <c r="C145" s="12">
        <v>94</v>
      </c>
      <c r="D145" s="199">
        <v>340</v>
      </c>
      <c r="E145" s="12" t="s">
        <v>116</v>
      </c>
      <c r="F145" s="12"/>
      <c r="H145" s="12"/>
      <c r="I145" s="12"/>
      <c r="J145" s="12"/>
      <c r="K145" s="12"/>
      <c r="L145" s="12"/>
      <c r="M145" s="12"/>
      <c r="N145" s="12"/>
      <c r="O145" s="12"/>
      <c r="P145" s="12"/>
    </row>
    <row r="146" spans="1:16" x14ac:dyDescent="0.25">
      <c r="A146" s="193">
        <v>45748</v>
      </c>
      <c r="B146" s="40">
        <v>0.33333333333333298</v>
      </c>
      <c r="C146" s="12">
        <v>95</v>
      </c>
      <c r="D146" s="199">
        <v>445</v>
      </c>
      <c r="E146" s="12" t="s">
        <v>114</v>
      </c>
      <c r="F146" s="12"/>
      <c r="H146" s="12"/>
      <c r="I146" s="12"/>
      <c r="J146" s="12"/>
      <c r="K146" s="12"/>
      <c r="L146" s="12"/>
      <c r="M146" s="12"/>
      <c r="N146" s="12"/>
      <c r="O146" s="12"/>
      <c r="P146" s="12"/>
    </row>
    <row r="147" spans="1:16" x14ac:dyDescent="0.25">
      <c r="A147" s="193">
        <v>45748</v>
      </c>
      <c r="B147" s="40">
        <v>0.33333333333333298</v>
      </c>
      <c r="C147" s="12">
        <v>96</v>
      </c>
      <c r="D147" s="199">
        <v>410</v>
      </c>
      <c r="E147" s="12" t="s">
        <v>117</v>
      </c>
      <c r="F147" s="12"/>
      <c r="H147" s="12"/>
      <c r="I147" s="12"/>
      <c r="J147" s="12"/>
      <c r="K147" s="12"/>
      <c r="L147" s="12"/>
      <c r="M147" s="12"/>
      <c r="N147" s="12"/>
      <c r="O147" s="12"/>
      <c r="P147" s="12"/>
    </row>
    <row r="148" spans="1:16" x14ac:dyDescent="0.25">
      <c r="A148" s="193">
        <v>45748</v>
      </c>
      <c r="B148" s="40">
        <v>0.33333333333333298</v>
      </c>
      <c r="C148" s="12">
        <v>97</v>
      </c>
      <c r="D148" s="199">
        <v>415</v>
      </c>
      <c r="E148" s="12" t="s">
        <v>117</v>
      </c>
      <c r="F148" s="12"/>
      <c r="H148" s="12"/>
      <c r="I148" s="12"/>
      <c r="J148" s="12"/>
      <c r="K148" s="12"/>
      <c r="L148" s="12"/>
      <c r="M148" s="12"/>
      <c r="N148" s="12"/>
      <c r="O148" s="12"/>
      <c r="P148" s="12"/>
    </row>
    <row r="149" spans="1:16" x14ac:dyDescent="0.25">
      <c r="A149" s="193">
        <v>45748</v>
      </c>
      <c r="B149" s="40">
        <v>0.33333333333333298</v>
      </c>
      <c r="C149" s="12">
        <v>98</v>
      </c>
      <c r="D149" s="199">
        <v>415</v>
      </c>
      <c r="E149" s="12" t="s">
        <v>117</v>
      </c>
      <c r="F149" s="12"/>
      <c r="H149" s="12"/>
      <c r="I149" s="12"/>
      <c r="J149" s="12"/>
      <c r="K149" s="12"/>
      <c r="L149" s="12"/>
      <c r="M149" s="12"/>
      <c r="N149" s="12"/>
      <c r="O149" s="12"/>
      <c r="P149" s="12"/>
    </row>
    <row r="150" spans="1:16" x14ac:dyDescent="0.25">
      <c r="A150" s="193">
        <v>45748</v>
      </c>
      <c r="B150" s="40">
        <v>0.33333333333333298</v>
      </c>
      <c r="C150" s="12">
        <v>99</v>
      </c>
      <c r="D150" s="199">
        <v>430</v>
      </c>
      <c r="E150" s="12" t="s">
        <v>117</v>
      </c>
      <c r="F150" s="12"/>
      <c r="H150" s="12"/>
      <c r="I150" s="12"/>
      <c r="J150" s="12"/>
      <c r="K150" s="12"/>
      <c r="L150" s="12"/>
      <c r="M150" s="12"/>
      <c r="N150" s="12"/>
      <c r="O150" s="12"/>
      <c r="P150" s="12"/>
    </row>
    <row r="151" spans="1:16" x14ac:dyDescent="0.25">
      <c r="A151" s="193">
        <v>45748</v>
      </c>
      <c r="B151" s="40">
        <v>0.33333333333333298</v>
      </c>
      <c r="C151" s="12">
        <v>100</v>
      </c>
      <c r="D151" s="199">
        <v>445</v>
      </c>
      <c r="E151" s="12" t="s">
        <v>114</v>
      </c>
      <c r="F151" s="12"/>
      <c r="H151" s="12"/>
      <c r="I151" s="12"/>
      <c r="J151" s="12"/>
      <c r="K151" s="12"/>
      <c r="L151" s="12"/>
      <c r="M151" s="12"/>
      <c r="N151" s="12"/>
      <c r="O151" s="12"/>
      <c r="P151" s="12"/>
    </row>
    <row r="152" spans="1:16" x14ac:dyDescent="0.25">
      <c r="A152" s="193">
        <v>45748</v>
      </c>
      <c r="B152" s="40">
        <v>0.33333333333333298</v>
      </c>
      <c r="C152" s="12">
        <v>101</v>
      </c>
      <c r="D152" s="199">
        <v>425</v>
      </c>
      <c r="E152" s="12" t="s">
        <v>114</v>
      </c>
      <c r="F152" s="12"/>
      <c r="H152" s="12"/>
      <c r="I152" s="12"/>
      <c r="J152" s="12"/>
      <c r="K152" s="12"/>
      <c r="L152" s="12"/>
      <c r="M152" s="12"/>
      <c r="N152" s="12"/>
      <c r="O152" s="12"/>
      <c r="P152" s="12"/>
    </row>
    <row r="153" spans="1:16" x14ac:dyDescent="0.25">
      <c r="A153" s="193">
        <v>45748</v>
      </c>
      <c r="B153" s="40">
        <v>0.33333333333333298</v>
      </c>
      <c r="C153" s="12">
        <v>102</v>
      </c>
      <c r="D153" s="199">
        <v>430</v>
      </c>
      <c r="E153" s="12" t="s">
        <v>117</v>
      </c>
      <c r="F153" s="12"/>
      <c r="H153" s="12"/>
      <c r="I153" s="12"/>
      <c r="J153" s="12"/>
      <c r="K153" s="12"/>
      <c r="L153" s="12"/>
      <c r="M153" s="12"/>
      <c r="N153" s="12"/>
      <c r="O153" s="12"/>
      <c r="P153" s="12"/>
    </row>
    <row r="154" spans="1:16" x14ac:dyDescent="0.25">
      <c r="A154" s="193">
        <v>45748</v>
      </c>
      <c r="B154" s="40">
        <v>0.33333333333333298</v>
      </c>
      <c r="C154" s="12">
        <v>103</v>
      </c>
      <c r="D154" s="199">
        <v>420</v>
      </c>
      <c r="E154" s="12" t="s">
        <v>117</v>
      </c>
      <c r="F154" s="12"/>
      <c r="H154" s="12"/>
      <c r="I154" s="12"/>
      <c r="J154" s="12"/>
      <c r="K154" s="12"/>
      <c r="L154" s="12"/>
      <c r="M154" s="12"/>
      <c r="N154" s="12"/>
      <c r="O154" s="12"/>
      <c r="P154" s="12"/>
    </row>
    <row r="155" spans="1:16" x14ac:dyDescent="0.25">
      <c r="A155" s="193">
        <v>45748</v>
      </c>
      <c r="B155" s="40">
        <v>0.33333333333333298</v>
      </c>
      <c r="C155" s="12">
        <v>104</v>
      </c>
      <c r="D155" s="199">
        <v>460</v>
      </c>
      <c r="E155" s="12" t="s">
        <v>114</v>
      </c>
      <c r="F155" s="12"/>
      <c r="H155" s="12"/>
      <c r="I155" s="12"/>
      <c r="J155" s="12"/>
      <c r="K155" s="12"/>
      <c r="L155" s="12"/>
      <c r="M155" s="12"/>
      <c r="N155" s="12"/>
      <c r="O155" s="12"/>
      <c r="P155" s="12"/>
    </row>
    <row r="156" spans="1:16" x14ac:dyDescent="0.25">
      <c r="A156" s="193">
        <v>45748</v>
      </c>
      <c r="B156" s="40">
        <v>0.33333333333333298</v>
      </c>
      <c r="C156" s="12">
        <v>105</v>
      </c>
      <c r="D156" s="199">
        <v>425</v>
      </c>
      <c r="E156" s="12" t="s">
        <v>117</v>
      </c>
      <c r="F156" s="12"/>
      <c r="H156" s="12"/>
      <c r="I156" s="12"/>
      <c r="J156" s="12"/>
      <c r="K156" s="12"/>
      <c r="L156" s="12"/>
      <c r="M156" s="12"/>
      <c r="N156" s="12"/>
      <c r="O156" s="12"/>
      <c r="P156" s="12"/>
    </row>
    <row r="157" spans="1:16" x14ac:dyDescent="0.25">
      <c r="A157" s="193">
        <v>45748</v>
      </c>
      <c r="B157" s="40">
        <v>0.33333333333333298</v>
      </c>
      <c r="C157" s="12">
        <v>106</v>
      </c>
      <c r="D157" s="199">
        <v>305</v>
      </c>
      <c r="E157" s="12" t="s">
        <v>116</v>
      </c>
      <c r="F157" s="12"/>
      <c r="H157" s="12"/>
      <c r="I157" s="12"/>
      <c r="J157" s="12"/>
      <c r="K157" s="12"/>
      <c r="L157" s="12"/>
      <c r="M157" s="12"/>
      <c r="N157" s="12"/>
      <c r="O157" s="12"/>
      <c r="P157" s="12"/>
    </row>
    <row r="158" spans="1:16" x14ac:dyDescent="0.25">
      <c r="A158" s="193">
        <v>45748</v>
      </c>
      <c r="B158" s="40">
        <v>0.33333333333333298</v>
      </c>
      <c r="C158" s="12">
        <v>107</v>
      </c>
      <c r="D158" s="199">
        <v>375</v>
      </c>
      <c r="E158" s="12" t="s">
        <v>117</v>
      </c>
      <c r="F158" s="12"/>
      <c r="H158" s="12"/>
      <c r="I158" s="12"/>
      <c r="J158" s="12"/>
      <c r="K158" s="12"/>
      <c r="L158" s="12"/>
      <c r="M158" s="12"/>
      <c r="N158" s="12"/>
      <c r="O158" s="12"/>
      <c r="P158" s="12"/>
    </row>
    <row r="159" spans="1:16" x14ac:dyDescent="0.25">
      <c r="A159" s="193">
        <v>45748</v>
      </c>
      <c r="B159" s="40">
        <v>0.33333333333333298</v>
      </c>
      <c r="C159" s="12">
        <v>108</v>
      </c>
      <c r="D159" s="199">
        <v>480</v>
      </c>
      <c r="E159" s="12" t="s">
        <v>114</v>
      </c>
      <c r="F159" s="12"/>
      <c r="H159" s="12"/>
      <c r="I159" s="12"/>
      <c r="J159" s="12"/>
      <c r="K159" s="12"/>
      <c r="L159" s="12"/>
      <c r="M159" s="12"/>
      <c r="N159" s="12"/>
      <c r="O159" s="12"/>
      <c r="P159" s="12"/>
    </row>
    <row r="160" spans="1:16" x14ac:dyDescent="0.25">
      <c r="A160" s="193">
        <v>45748</v>
      </c>
      <c r="B160" s="40">
        <v>0.33333333333333298</v>
      </c>
      <c r="C160" s="12">
        <v>109</v>
      </c>
      <c r="D160" s="199">
        <v>415</v>
      </c>
      <c r="E160" s="12" t="s">
        <v>117</v>
      </c>
      <c r="F160" s="12"/>
      <c r="H160" s="12"/>
      <c r="I160" s="12"/>
      <c r="J160" s="12"/>
      <c r="K160" s="12"/>
      <c r="L160" s="12"/>
      <c r="M160" s="12"/>
      <c r="N160" s="12"/>
      <c r="O160" s="12"/>
      <c r="P160" s="12"/>
    </row>
    <row r="161" spans="1:16" x14ac:dyDescent="0.25">
      <c r="A161" s="193">
        <v>45748</v>
      </c>
      <c r="B161" s="40">
        <v>0.33333333333333298</v>
      </c>
      <c r="C161" s="12">
        <v>110</v>
      </c>
      <c r="D161" s="199">
        <v>370</v>
      </c>
      <c r="E161" s="12" t="s">
        <v>116</v>
      </c>
      <c r="F161" s="12"/>
      <c r="H161" s="12"/>
      <c r="I161" s="12"/>
      <c r="J161" s="12"/>
      <c r="K161" s="12"/>
      <c r="L161" s="12"/>
      <c r="M161" s="12"/>
      <c r="N161" s="12"/>
      <c r="O161" s="12"/>
      <c r="P161" s="12"/>
    </row>
    <row r="162" spans="1:16" x14ac:dyDescent="0.25">
      <c r="A162" s="193">
        <v>45748</v>
      </c>
      <c r="B162" s="40">
        <v>0.33333333333333298</v>
      </c>
      <c r="C162" s="12">
        <v>111</v>
      </c>
      <c r="D162" s="199">
        <v>390</v>
      </c>
      <c r="E162" s="12" t="s">
        <v>117</v>
      </c>
      <c r="F162" s="12"/>
      <c r="H162" s="12"/>
      <c r="I162" s="12"/>
      <c r="J162" s="12"/>
      <c r="K162" s="12"/>
      <c r="L162" s="12"/>
      <c r="M162" s="12"/>
      <c r="N162" s="12"/>
      <c r="O162" s="12"/>
      <c r="P162" s="12"/>
    </row>
    <row r="163" spans="1:16" x14ac:dyDescent="0.25">
      <c r="A163" s="193">
        <v>45748</v>
      </c>
      <c r="B163" s="40">
        <v>0.33333333333333298</v>
      </c>
      <c r="C163" s="12">
        <v>112</v>
      </c>
      <c r="D163" s="199">
        <v>445</v>
      </c>
      <c r="E163" s="12" t="s">
        <v>117</v>
      </c>
      <c r="F163" s="12"/>
      <c r="H163" s="12"/>
      <c r="I163" s="12"/>
      <c r="J163" s="12"/>
      <c r="K163" s="12"/>
      <c r="L163" s="12"/>
      <c r="M163" s="12"/>
      <c r="N163" s="12"/>
      <c r="O163" s="12"/>
      <c r="P163" s="12"/>
    </row>
    <row r="164" spans="1:16" x14ac:dyDescent="0.25">
      <c r="A164" s="193">
        <v>45748</v>
      </c>
      <c r="B164" s="40">
        <v>0.33333333333333298</v>
      </c>
      <c r="C164" s="12">
        <v>113</v>
      </c>
      <c r="D164" s="199">
        <v>290</v>
      </c>
      <c r="E164" s="12" t="s">
        <v>116</v>
      </c>
      <c r="F164" s="12"/>
      <c r="H164" s="12"/>
      <c r="I164" s="12"/>
      <c r="J164" s="12"/>
      <c r="K164" s="12"/>
      <c r="L164" s="12"/>
      <c r="M164" s="12"/>
      <c r="N164" s="12"/>
      <c r="O164" s="12"/>
      <c r="P164" s="12"/>
    </row>
    <row r="165" spans="1:16" x14ac:dyDescent="0.25">
      <c r="A165" s="193">
        <v>45748</v>
      </c>
      <c r="B165" s="40">
        <v>0.33333333333333298</v>
      </c>
      <c r="C165" s="12">
        <v>114</v>
      </c>
      <c r="D165" s="199">
        <v>505</v>
      </c>
      <c r="E165" s="12" t="s">
        <v>114</v>
      </c>
      <c r="F165" s="12"/>
      <c r="H165" s="12"/>
      <c r="I165" s="12"/>
      <c r="J165" s="12"/>
      <c r="K165" s="12"/>
      <c r="L165" s="12"/>
      <c r="M165" s="12"/>
      <c r="N165" s="12"/>
      <c r="O165" s="12"/>
      <c r="P165" s="12"/>
    </row>
    <row r="166" spans="1:16" x14ac:dyDescent="0.25">
      <c r="A166" s="193">
        <v>45748</v>
      </c>
      <c r="B166" s="40">
        <v>0.33333333333333298</v>
      </c>
      <c r="C166" s="12">
        <v>115</v>
      </c>
      <c r="D166" s="199">
        <v>410</v>
      </c>
      <c r="E166" s="12" t="s">
        <v>117</v>
      </c>
      <c r="F166" s="12"/>
      <c r="H166" s="12"/>
      <c r="I166" s="12"/>
      <c r="J166" s="12"/>
      <c r="K166" s="12"/>
      <c r="L166" s="12"/>
      <c r="M166" s="12"/>
      <c r="N166" s="12"/>
      <c r="O166" s="12"/>
      <c r="P166" s="12"/>
    </row>
    <row r="167" spans="1:16" x14ac:dyDescent="0.25">
      <c r="A167" s="193">
        <v>45748</v>
      </c>
      <c r="B167" s="40">
        <v>0.33333333333333298</v>
      </c>
      <c r="C167" s="12">
        <v>116</v>
      </c>
      <c r="D167" s="199">
        <v>350</v>
      </c>
      <c r="E167" s="12" t="s">
        <v>116</v>
      </c>
      <c r="F167" s="12"/>
      <c r="H167" s="12"/>
      <c r="I167" s="12"/>
      <c r="J167" s="12"/>
      <c r="K167" s="12"/>
      <c r="L167" s="12"/>
      <c r="M167" s="12"/>
      <c r="N167" s="12"/>
      <c r="O167" s="12"/>
      <c r="P167" s="12"/>
    </row>
    <row r="168" spans="1:16" x14ac:dyDescent="0.25">
      <c r="A168" s="193">
        <v>45748</v>
      </c>
      <c r="B168" s="40">
        <v>0.33333333333333298</v>
      </c>
      <c r="C168" s="12">
        <v>117</v>
      </c>
      <c r="D168" s="199">
        <v>405</v>
      </c>
      <c r="E168" s="12" t="s">
        <v>116</v>
      </c>
      <c r="F168" s="12"/>
      <c r="H168" s="12"/>
      <c r="I168" s="12"/>
      <c r="J168" s="12"/>
      <c r="K168" s="12"/>
      <c r="L168" s="12"/>
      <c r="M168" s="12"/>
      <c r="N168" s="12"/>
      <c r="O168" s="12"/>
      <c r="P168" s="12"/>
    </row>
    <row r="169" spans="1:16" x14ac:dyDescent="0.25">
      <c r="A169" s="193">
        <v>45748</v>
      </c>
      <c r="B169" s="40">
        <v>0.33333333333333298</v>
      </c>
      <c r="C169" s="12">
        <v>118</v>
      </c>
      <c r="D169" s="199">
        <v>350</v>
      </c>
      <c r="E169" s="12" t="s">
        <v>117</v>
      </c>
      <c r="F169" s="12"/>
      <c r="H169" s="12"/>
      <c r="I169" s="12"/>
      <c r="J169" s="12"/>
      <c r="K169" s="12"/>
      <c r="L169" s="12"/>
      <c r="M169" s="12"/>
      <c r="N169" s="12"/>
      <c r="O169" s="12"/>
      <c r="P169" s="12"/>
    </row>
    <row r="170" spans="1:16" x14ac:dyDescent="0.25">
      <c r="A170" s="193">
        <v>45748</v>
      </c>
      <c r="B170" s="40">
        <v>0.33333333333333298</v>
      </c>
      <c r="C170" s="12">
        <v>119</v>
      </c>
      <c r="D170" s="199">
        <v>395</v>
      </c>
      <c r="E170" s="12" t="s">
        <v>116</v>
      </c>
      <c r="F170" s="12"/>
      <c r="H170" s="12"/>
      <c r="I170" s="12"/>
      <c r="J170" s="12"/>
      <c r="K170" s="12"/>
      <c r="L170" s="12"/>
      <c r="M170" s="12"/>
      <c r="N170" s="12"/>
      <c r="O170" s="12"/>
      <c r="P170" s="12"/>
    </row>
    <row r="171" spans="1:16" x14ac:dyDescent="0.25">
      <c r="A171" s="193">
        <v>45748</v>
      </c>
      <c r="B171" s="40">
        <v>0.33333333333333298</v>
      </c>
      <c r="C171" s="12">
        <v>120</v>
      </c>
      <c r="D171" s="199">
        <v>335</v>
      </c>
      <c r="E171" s="12" t="s">
        <v>116</v>
      </c>
      <c r="F171" s="12"/>
      <c r="H171" s="12"/>
      <c r="I171" s="12"/>
      <c r="J171" s="12"/>
      <c r="K171" s="12"/>
      <c r="L171" s="12"/>
      <c r="M171" s="12"/>
      <c r="N171" s="12"/>
      <c r="O171" s="12"/>
      <c r="P171" s="12"/>
    </row>
    <row r="172" spans="1:16" x14ac:dyDescent="0.25">
      <c r="A172" s="193">
        <v>45748</v>
      </c>
      <c r="B172" s="40">
        <v>0.33333333333333298</v>
      </c>
      <c r="C172" s="12">
        <v>121</v>
      </c>
      <c r="D172" s="199">
        <v>380</v>
      </c>
      <c r="E172" s="12" t="s">
        <v>116</v>
      </c>
      <c r="F172" s="12"/>
      <c r="H172" s="12"/>
      <c r="I172" s="12"/>
      <c r="J172" s="12"/>
      <c r="K172" s="12"/>
      <c r="L172" s="12"/>
      <c r="M172" s="12"/>
      <c r="N172" s="12"/>
      <c r="O172" s="12"/>
      <c r="P172" s="12"/>
    </row>
    <row r="173" spans="1:16" x14ac:dyDescent="0.25">
      <c r="A173" s="193">
        <v>45748</v>
      </c>
      <c r="B173" s="40">
        <v>0.33333333333333298</v>
      </c>
      <c r="C173" s="12">
        <v>122</v>
      </c>
      <c r="D173" s="199">
        <v>370</v>
      </c>
      <c r="E173" s="12" t="s">
        <v>116</v>
      </c>
      <c r="F173" s="12"/>
      <c r="H173" s="12"/>
      <c r="I173" s="12"/>
      <c r="J173" s="12"/>
      <c r="K173" s="12"/>
      <c r="L173" s="12"/>
      <c r="M173" s="12"/>
      <c r="N173" s="12"/>
      <c r="O173" s="12"/>
      <c r="P173" s="12"/>
    </row>
    <row r="174" spans="1:16" x14ac:dyDescent="0.25">
      <c r="A174" s="193">
        <v>45748</v>
      </c>
      <c r="B174" s="40">
        <v>0.33333333333333298</v>
      </c>
      <c r="C174" s="12">
        <v>123</v>
      </c>
      <c r="D174" s="199">
        <v>400</v>
      </c>
      <c r="E174" s="12" t="s">
        <v>117</v>
      </c>
      <c r="F174" s="12"/>
      <c r="H174" s="12"/>
      <c r="I174" s="12"/>
      <c r="J174" s="12"/>
      <c r="K174" s="12"/>
      <c r="L174" s="12"/>
      <c r="M174" s="12"/>
      <c r="N174" s="12"/>
      <c r="O174" s="12"/>
      <c r="P174" s="12"/>
    </row>
    <row r="175" spans="1:16" x14ac:dyDescent="0.25">
      <c r="A175" s="193">
        <v>45748</v>
      </c>
      <c r="B175" s="40">
        <v>0.33333333333333298</v>
      </c>
      <c r="C175" s="12">
        <v>124</v>
      </c>
      <c r="D175" s="199">
        <v>405</v>
      </c>
      <c r="E175" s="12" t="s">
        <v>117</v>
      </c>
      <c r="F175" s="12"/>
      <c r="H175" s="12"/>
      <c r="I175" s="12"/>
      <c r="J175" s="12"/>
      <c r="K175" s="12"/>
      <c r="L175" s="12"/>
      <c r="M175" s="12"/>
      <c r="N175" s="12"/>
      <c r="O175" s="12"/>
      <c r="P175" s="12"/>
    </row>
    <row r="176" spans="1:16" x14ac:dyDescent="0.25">
      <c r="A176" s="193">
        <v>45748</v>
      </c>
      <c r="B176" s="40">
        <v>0.33333333333333298</v>
      </c>
      <c r="C176" s="12">
        <v>125</v>
      </c>
      <c r="D176" s="199">
        <v>465</v>
      </c>
      <c r="E176" s="12" t="s">
        <v>114</v>
      </c>
      <c r="F176" s="12"/>
      <c r="H176" s="12"/>
      <c r="I176" s="12"/>
      <c r="J176" s="12"/>
      <c r="K176" s="12"/>
      <c r="L176" s="12"/>
      <c r="M176" s="12"/>
      <c r="N176" s="12"/>
      <c r="O176" s="12"/>
      <c r="P176" s="12"/>
    </row>
    <row r="177" spans="1:16" x14ac:dyDescent="0.25">
      <c r="A177" s="193">
        <v>45748</v>
      </c>
      <c r="B177" s="40">
        <v>0.33333333333333298</v>
      </c>
      <c r="C177" s="12">
        <v>126</v>
      </c>
      <c r="D177" s="199">
        <v>375</v>
      </c>
      <c r="E177" s="12" t="s">
        <v>116</v>
      </c>
      <c r="F177" s="12"/>
      <c r="H177" s="12"/>
      <c r="I177" s="12"/>
      <c r="J177" s="12"/>
      <c r="K177" s="12"/>
      <c r="L177" s="12"/>
      <c r="M177" s="12"/>
      <c r="N177" s="12"/>
      <c r="O177" s="12"/>
      <c r="P177" s="12"/>
    </row>
    <row r="178" spans="1:16" x14ac:dyDescent="0.25">
      <c r="A178" s="193">
        <v>45748</v>
      </c>
      <c r="B178" s="40">
        <v>0.33333333333333298</v>
      </c>
      <c r="C178" s="12">
        <v>127</v>
      </c>
      <c r="D178" s="199">
        <v>430</v>
      </c>
      <c r="E178" s="12" t="s">
        <v>117</v>
      </c>
      <c r="F178" s="12"/>
      <c r="H178" s="12"/>
      <c r="I178" s="12"/>
      <c r="J178" s="12"/>
      <c r="K178" s="12"/>
      <c r="L178" s="12"/>
      <c r="M178" s="12"/>
      <c r="N178" s="12"/>
      <c r="O178" s="12"/>
      <c r="P178" s="12"/>
    </row>
    <row r="179" spans="1:16" x14ac:dyDescent="0.25">
      <c r="A179" s="193">
        <v>45748</v>
      </c>
      <c r="B179" s="40">
        <v>0.33333333333333298</v>
      </c>
      <c r="C179" s="12">
        <v>128</v>
      </c>
      <c r="D179" s="199">
        <v>455</v>
      </c>
      <c r="E179" s="12" t="s">
        <v>114</v>
      </c>
      <c r="F179" s="12"/>
      <c r="H179" s="12"/>
      <c r="I179" s="12"/>
      <c r="J179" s="12"/>
      <c r="K179" s="12"/>
      <c r="L179" s="12"/>
      <c r="M179" s="12"/>
      <c r="N179" s="12"/>
      <c r="O179" s="12"/>
      <c r="P179" s="12"/>
    </row>
    <row r="180" spans="1:16" x14ac:dyDescent="0.25">
      <c r="A180" s="193">
        <v>45748</v>
      </c>
      <c r="B180" s="40">
        <v>0.33333333333333298</v>
      </c>
      <c r="C180" s="12">
        <v>129</v>
      </c>
      <c r="D180" s="199">
        <v>350</v>
      </c>
      <c r="E180" s="12" t="s">
        <v>116</v>
      </c>
      <c r="F180" s="12"/>
      <c r="H180" s="12"/>
      <c r="I180" s="12"/>
      <c r="J180" s="12"/>
      <c r="K180" s="12"/>
      <c r="L180" s="12"/>
      <c r="M180" s="12"/>
      <c r="N180" s="12"/>
      <c r="O180" s="12"/>
      <c r="P180" s="12"/>
    </row>
    <row r="181" spans="1:16" x14ac:dyDescent="0.25">
      <c r="A181" s="193">
        <v>45748</v>
      </c>
      <c r="B181" s="40">
        <v>0.33333333333333298</v>
      </c>
      <c r="C181" s="12">
        <v>130</v>
      </c>
      <c r="D181" s="199">
        <v>380</v>
      </c>
      <c r="E181" s="12" t="s">
        <v>116</v>
      </c>
      <c r="F181" s="12"/>
      <c r="H181" s="12"/>
      <c r="I181" s="12"/>
      <c r="J181" s="12"/>
      <c r="K181" s="12"/>
      <c r="L181" s="12"/>
      <c r="M181" s="12"/>
      <c r="N181" s="12"/>
      <c r="O181" s="12"/>
      <c r="P181" s="12"/>
    </row>
    <row r="182" spans="1:16" x14ac:dyDescent="0.25">
      <c r="A182" s="193">
        <v>45748</v>
      </c>
      <c r="B182" s="40">
        <v>0.33333333333333298</v>
      </c>
      <c r="C182" s="12">
        <v>131</v>
      </c>
      <c r="D182" s="199">
        <v>420</v>
      </c>
      <c r="E182" s="12" t="s">
        <v>117</v>
      </c>
      <c r="F182" s="12"/>
      <c r="H182" s="12"/>
      <c r="I182" s="12"/>
      <c r="J182" s="12"/>
      <c r="K182" s="12"/>
      <c r="L182" s="12"/>
      <c r="M182" s="12"/>
      <c r="N182" s="12"/>
      <c r="O182" s="12"/>
      <c r="P182" s="12"/>
    </row>
    <row r="183" spans="1:16" x14ac:dyDescent="0.25">
      <c r="A183" s="193">
        <v>45748</v>
      </c>
      <c r="B183" s="40">
        <v>0.33333333333333298</v>
      </c>
      <c r="C183" s="12">
        <v>132</v>
      </c>
      <c r="D183" s="199">
        <v>405</v>
      </c>
      <c r="E183" s="12" t="s">
        <v>117</v>
      </c>
      <c r="F183" s="12"/>
      <c r="H183" s="12"/>
      <c r="I183" s="12"/>
      <c r="J183" s="12"/>
      <c r="K183" s="12"/>
      <c r="L183" s="12"/>
      <c r="M183" s="12"/>
      <c r="N183" s="12"/>
      <c r="O183" s="12"/>
      <c r="P183" s="12"/>
    </row>
    <row r="184" spans="1:16" x14ac:dyDescent="0.25">
      <c r="A184" s="193">
        <v>45748</v>
      </c>
      <c r="B184" s="40">
        <v>0.33333333333333298</v>
      </c>
      <c r="C184" s="12">
        <v>133</v>
      </c>
      <c r="D184" s="199">
        <v>425</v>
      </c>
      <c r="E184" s="12" t="s">
        <v>117</v>
      </c>
      <c r="F184" s="12"/>
      <c r="H184" s="12"/>
      <c r="I184" s="12"/>
      <c r="J184" s="12"/>
      <c r="K184" s="12"/>
      <c r="L184" s="12"/>
      <c r="M184" s="12"/>
      <c r="N184" s="12"/>
      <c r="O184" s="12"/>
      <c r="P184" s="12"/>
    </row>
    <row r="185" spans="1:16" x14ac:dyDescent="0.25">
      <c r="A185" s="193">
        <v>45748</v>
      </c>
      <c r="B185" s="40">
        <v>0.33333333333333298</v>
      </c>
      <c r="C185" s="12">
        <v>134</v>
      </c>
      <c r="D185" s="199">
        <v>415</v>
      </c>
      <c r="E185" s="12" t="s">
        <v>117</v>
      </c>
      <c r="F185" s="12"/>
      <c r="H185" s="12"/>
      <c r="I185" s="12"/>
      <c r="J185" s="12"/>
      <c r="K185" s="12"/>
      <c r="L185" s="12"/>
      <c r="M185" s="12"/>
      <c r="N185" s="12"/>
      <c r="O185" s="12"/>
      <c r="P185" s="12"/>
    </row>
    <row r="186" spans="1:16" x14ac:dyDescent="0.25">
      <c r="A186" s="193">
        <v>45748</v>
      </c>
      <c r="B186" s="40">
        <v>0.33333333333333298</v>
      </c>
      <c r="C186" s="12">
        <v>135</v>
      </c>
      <c r="D186" s="199">
        <v>355</v>
      </c>
      <c r="E186" s="12" t="s">
        <v>117</v>
      </c>
      <c r="F186" s="12"/>
      <c r="H186" s="12"/>
      <c r="I186" s="12"/>
      <c r="J186" s="12"/>
      <c r="K186" s="12"/>
      <c r="L186" s="12"/>
      <c r="M186" s="12"/>
      <c r="N186" s="12"/>
      <c r="O186" s="12"/>
      <c r="P186" s="12"/>
    </row>
    <row r="187" spans="1:16" x14ac:dyDescent="0.25">
      <c r="A187" s="193">
        <v>45748</v>
      </c>
      <c r="B187" s="40">
        <v>0.33333333333333298</v>
      </c>
      <c r="C187" s="12">
        <v>136</v>
      </c>
      <c r="D187" s="199">
        <v>370</v>
      </c>
      <c r="E187" s="12" t="s">
        <v>117</v>
      </c>
      <c r="F187" s="12"/>
      <c r="H187" s="12"/>
      <c r="I187" s="12"/>
      <c r="J187" s="12"/>
      <c r="K187" s="12"/>
      <c r="L187" s="12"/>
      <c r="M187" s="12"/>
      <c r="N187" s="12"/>
      <c r="O187" s="12"/>
      <c r="P187" s="12"/>
    </row>
    <row r="188" spans="1:16" x14ac:dyDescent="0.25">
      <c r="A188" s="193">
        <v>45748</v>
      </c>
      <c r="B188" s="40">
        <v>0.33333333333333298</v>
      </c>
      <c r="C188" s="12">
        <v>137</v>
      </c>
      <c r="D188" s="199">
        <v>435</v>
      </c>
      <c r="E188" s="12" t="s">
        <v>117</v>
      </c>
      <c r="F188" s="12"/>
      <c r="H188" s="12"/>
      <c r="I188" s="12"/>
      <c r="J188" s="12"/>
      <c r="K188" s="12"/>
      <c r="L188" s="12"/>
      <c r="M188" s="12"/>
      <c r="N188" s="12"/>
      <c r="O188" s="12"/>
      <c r="P188" s="12"/>
    </row>
    <row r="189" spans="1:16" x14ac:dyDescent="0.25">
      <c r="A189" s="193">
        <v>45748</v>
      </c>
      <c r="B189" s="40">
        <v>0.33333333333333298</v>
      </c>
      <c r="C189" s="12">
        <v>138</v>
      </c>
      <c r="D189" s="199">
        <v>375</v>
      </c>
      <c r="E189" s="12" t="s">
        <v>116</v>
      </c>
      <c r="F189" s="12"/>
      <c r="H189" s="12"/>
      <c r="I189" s="12"/>
      <c r="J189" s="12"/>
      <c r="K189" s="12"/>
      <c r="L189" s="12"/>
      <c r="M189" s="12"/>
      <c r="N189" s="12"/>
      <c r="O189" s="12"/>
      <c r="P189" s="12"/>
    </row>
    <row r="190" spans="1:16" x14ac:dyDescent="0.25">
      <c r="A190" s="193">
        <v>45748</v>
      </c>
      <c r="B190" s="40">
        <v>0.33333333333333298</v>
      </c>
      <c r="C190" s="12">
        <v>139</v>
      </c>
      <c r="D190" s="199">
        <v>415</v>
      </c>
      <c r="E190" s="12" t="s">
        <v>117</v>
      </c>
      <c r="F190" s="12"/>
      <c r="H190" s="12"/>
      <c r="I190" s="12"/>
      <c r="J190" s="12"/>
      <c r="K190" s="12"/>
      <c r="L190" s="12"/>
      <c r="M190" s="12"/>
      <c r="N190" s="12"/>
      <c r="O190" s="12"/>
      <c r="P190" s="12"/>
    </row>
    <row r="191" spans="1:16" x14ac:dyDescent="0.25">
      <c r="A191" s="193">
        <v>45748</v>
      </c>
      <c r="B191" s="40">
        <v>0.33333333333333298</v>
      </c>
      <c r="C191" s="12">
        <v>140</v>
      </c>
      <c r="D191" s="199">
        <v>355</v>
      </c>
      <c r="E191" s="12" t="s">
        <v>116</v>
      </c>
      <c r="F191" s="12"/>
      <c r="H191" s="12"/>
      <c r="I191" s="12"/>
      <c r="J191" s="12"/>
      <c r="K191" s="12"/>
      <c r="L191" s="12"/>
      <c r="M191" s="12"/>
      <c r="N191" s="12"/>
      <c r="O191" s="12"/>
      <c r="P191" s="12"/>
    </row>
    <row r="192" spans="1:16" x14ac:dyDescent="0.25">
      <c r="A192" s="193">
        <v>45748</v>
      </c>
      <c r="B192" s="40">
        <v>0.33333333333333298</v>
      </c>
      <c r="C192" s="12">
        <v>141</v>
      </c>
      <c r="D192" s="199">
        <v>380</v>
      </c>
      <c r="E192" s="12" t="s">
        <v>117</v>
      </c>
      <c r="F192" s="12"/>
      <c r="H192" s="12"/>
      <c r="I192" s="12"/>
      <c r="J192" s="12"/>
      <c r="K192" s="12"/>
      <c r="L192" s="12"/>
      <c r="M192" s="12"/>
      <c r="N192" s="12"/>
      <c r="O192" s="12"/>
      <c r="P192" s="12"/>
    </row>
    <row r="193" spans="1:16" x14ac:dyDescent="0.25">
      <c r="A193" s="193">
        <v>45748</v>
      </c>
      <c r="B193" s="40">
        <v>0.33333333333333298</v>
      </c>
      <c r="C193" s="12">
        <v>142</v>
      </c>
      <c r="D193" s="199">
        <v>400</v>
      </c>
      <c r="E193" s="12" t="s">
        <v>117</v>
      </c>
      <c r="F193" s="12"/>
      <c r="H193" s="12"/>
      <c r="I193" s="12"/>
      <c r="J193" s="12"/>
      <c r="K193" s="12"/>
      <c r="L193" s="12"/>
      <c r="M193" s="12"/>
      <c r="N193" s="12"/>
      <c r="O193" s="12"/>
      <c r="P193" s="12"/>
    </row>
    <row r="194" spans="1:16" x14ac:dyDescent="0.25">
      <c r="A194" s="193">
        <v>45748</v>
      </c>
      <c r="B194" s="40">
        <v>0.33333333333333298</v>
      </c>
      <c r="C194" s="12">
        <v>143</v>
      </c>
      <c r="D194" s="199">
        <v>515</v>
      </c>
      <c r="E194" s="12" t="s">
        <v>114</v>
      </c>
      <c r="F194" s="12"/>
      <c r="H194" s="12"/>
      <c r="I194" s="12"/>
      <c r="J194" s="12"/>
      <c r="K194" s="12"/>
      <c r="L194" s="12"/>
      <c r="M194" s="12"/>
      <c r="N194" s="12"/>
      <c r="O194" s="12"/>
      <c r="P194" s="12"/>
    </row>
    <row r="195" spans="1:16" x14ac:dyDescent="0.25">
      <c r="A195" s="193">
        <v>45748</v>
      </c>
      <c r="B195" s="40">
        <v>0.33333333333333298</v>
      </c>
      <c r="C195" s="12">
        <v>144</v>
      </c>
      <c r="D195" s="199">
        <v>385</v>
      </c>
      <c r="E195" s="12" t="s">
        <v>116</v>
      </c>
      <c r="F195" s="12"/>
      <c r="H195" s="12"/>
      <c r="I195" s="12"/>
      <c r="J195" s="12"/>
      <c r="K195" s="12"/>
      <c r="L195" s="12"/>
      <c r="M195" s="12"/>
      <c r="N195" s="12"/>
      <c r="O195" s="12"/>
      <c r="P195" s="12"/>
    </row>
    <row r="196" spans="1:16" x14ac:dyDescent="0.25">
      <c r="A196" s="193">
        <v>45748</v>
      </c>
      <c r="B196" s="40">
        <v>0.33333333333333298</v>
      </c>
      <c r="C196" s="12">
        <v>145</v>
      </c>
      <c r="D196" s="199">
        <v>430</v>
      </c>
      <c r="E196" s="12" t="s">
        <v>117</v>
      </c>
      <c r="F196" s="12"/>
      <c r="H196" s="12"/>
      <c r="I196" s="12"/>
      <c r="J196" s="12"/>
      <c r="K196" s="12"/>
      <c r="L196" s="12"/>
      <c r="M196" s="12"/>
      <c r="N196" s="12"/>
      <c r="O196" s="12"/>
      <c r="P196" s="12"/>
    </row>
    <row r="197" spans="1:16" x14ac:dyDescent="0.25">
      <c r="A197" s="193">
        <v>45748</v>
      </c>
      <c r="B197" s="40">
        <v>0.33333333333333298</v>
      </c>
      <c r="C197" s="12">
        <v>146</v>
      </c>
      <c r="D197" s="199">
        <v>450</v>
      </c>
      <c r="E197" s="12" t="s">
        <v>114</v>
      </c>
      <c r="F197" s="12"/>
      <c r="H197" s="12"/>
      <c r="I197" s="12"/>
      <c r="J197" s="12"/>
      <c r="K197" s="12"/>
      <c r="L197" s="12"/>
      <c r="M197" s="12"/>
      <c r="N197" s="12"/>
      <c r="O197" s="12"/>
      <c r="P197" s="12"/>
    </row>
    <row r="198" spans="1:16" x14ac:dyDescent="0.25">
      <c r="A198" s="193">
        <v>45748</v>
      </c>
      <c r="B198" s="40">
        <v>0.33333333333333298</v>
      </c>
      <c r="C198" s="12">
        <v>147</v>
      </c>
      <c r="D198" s="199">
        <v>280</v>
      </c>
      <c r="E198" s="12" t="s">
        <v>116</v>
      </c>
      <c r="F198" s="12" t="s">
        <v>120</v>
      </c>
      <c r="H198" s="12"/>
      <c r="I198" s="12"/>
      <c r="J198" s="12"/>
      <c r="K198" s="12"/>
      <c r="L198" s="12"/>
      <c r="M198" s="12"/>
      <c r="N198" s="12"/>
      <c r="O198" s="12"/>
      <c r="P198" s="12"/>
    </row>
    <row r="199" spans="1:16" x14ac:dyDescent="0.25">
      <c r="A199" s="193">
        <v>45748</v>
      </c>
      <c r="B199" s="40">
        <v>0.33333333333333298</v>
      </c>
      <c r="C199" s="12">
        <v>148</v>
      </c>
      <c r="D199" s="199">
        <v>385</v>
      </c>
      <c r="E199" s="12" t="s">
        <v>116</v>
      </c>
      <c r="F199" s="12"/>
      <c r="H199" s="12"/>
      <c r="I199" s="12"/>
      <c r="J199" s="12"/>
      <c r="K199" s="12"/>
      <c r="L199" s="12"/>
      <c r="M199" s="12"/>
      <c r="N199" s="12"/>
      <c r="O199" s="12"/>
      <c r="P199" s="12"/>
    </row>
    <row r="200" spans="1:16" x14ac:dyDescent="0.25">
      <c r="A200" s="193">
        <v>45748</v>
      </c>
      <c r="B200" s="40">
        <v>0.33333333333333298</v>
      </c>
      <c r="C200" s="12">
        <v>149</v>
      </c>
      <c r="D200" s="199">
        <v>340</v>
      </c>
      <c r="E200" s="12" t="s">
        <v>116</v>
      </c>
      <c r="F200" s="12"/>
      <c r="H200" s="12"/>
      <c r="I200" s="12"/>
      <c r="J200" s="12"/>
      <c r="K200" s="12"/>
      <c r="L200" s="12"/>
      <c r="M200" s="12"/>
      <c r="N200" s="12"/>
      <c r="O200" s="12"/>
      <c r="P200" s="12"/>
    </row>
    <row r="201" spans="1:16" x14ac:dyDescent="0.25">
      <c r="A201" s="193">
        <v>45748</v>
      </c>
      <c r="B201" s="40">
        <v>0.33333333333333298</v>
      </c>
      <c r="C201" s="12">
        <v>150</v>
      </c>
      <c r="D201" s="199">
        <v>465</v>
      </c>
      <c r="E201" s="12" t="s">
        <v>114</v>
      </c>
      <c r="F201" s="12"/>
      <c r="H201" s="12"/>
      <c r="I201" s="12"/>
      <c r="J201" s="12"/>
      <c r="K201" s="12"/>
      <c r="L201" s="12"/>
      <c r="M201" s="12"/>
      <c r="N201" s="12"/>
      <c r="O201" s="12"/>
      <c r="P201" s="12"/>
    </row>
    <row r="202" spans="1:16" x14ac:dyDescent="0.25">
      <c r="A202" s="193">
        <v>45748</v>
      </c>
      <c r="B202" s="40">
        <v>0.33333333333333298</v>
      </c>
      <c r="C202" s="12">
        <v>151</v>
      </c>
      <c r="D202" s="199">
        <v>370</v>
      </c>
      <c r="E202" s="12" t="s">
        <v>116</v>
      </c>
      <c r="F202" s="12"/>
      <c r="H202" s="12"/>
      <c r="I202" s="12"/>
      <c r="J202" s="12"/>
      <c r="K202" s="12"/>
      <c r="L202" s="12"/>
      <c r="M202" s="12"/>
      <c r="N202" s="12"/>
      <c r="O202" s="12"/>
      <c r="P202" s="12"/>
    </row>
    <row r="203" spans="1:16" x14ac:dyDescent="0.25">
      <c r="A203" s="193">
        <v>45748</v>
      </c>
      <c r="B203" s="40">
        <v>0.33333333333333298</v>
      </c>
      <c r="C203" s="12">
        <v>152</v>
      </c>
      <c r="D203" s="199">
        <v>395</v>
      </c>
      <c r="E203" s="12" t="s">
        <v>116</v>
      </c>
      <c r="F203" s="12"/>
      <c r="H203" s="12"/>
      <c r="I203" s="12"/>
      <c r="J203" s="12"/>
      <c r="K203" s="12"/>
      <c r="L203" s="12"/>
      <c r="M203" s="12"/>
      <c r="N203" s="12"/>
      <c r="O203" s="12"/>
      <c r="P203" s="12"/>
    </row>
    <row r="204" spans="1:16" x14ac:dyDescent="0.25">
      <c r="A204" s="193">
        <v>45748</v>
      </c>
      <c r="B204" s="40">
        <v>0.33333333333333298</v>
      </c>
      <c r="C204" s="12">
        <v>153</v>
      </c>
      <c r="D204" s="199">
        <v>400</v>
      </c>
      <c r="E204" s="12" t="s">
        <v>116</v>
      </c>
      <c r="F204" s="12"/>
      <c r="H204" s="12"/>
      <c r="I204" s="12"/>
      <c r="J204" s="12"/>
      <c r="K204" s="12"/>
      <c r="L204" s="12"/>
      <c r="M204" s="12"/>
      <c r="N204" s="12"/>
      <c r="O204" s="12"/>
      <c r="P204" s="12"/>
    </row>
    <row r="205" spans="1:16" x14ac:dyDescent="0.25">
      <c r="A205" s="193">
        <v>45748</v>
      </c>
      <c r="B205" s="40">
        <v>0.33333333333333298</v>
      </c>
      <c r="C205" s="12">
        <v>154</v>
      </c>
      <c r="D205" s="199">
        <v>355</v>
      </c>
      <c r="E205" s="12" t="s">
        <v>116</v>
      </c>
      <c r="F205" s="12"/>
      <c r="H205" s="12"/>
      <c r="I205" s="12"/>
      <c r="J205" s="12"/>
      <c r="K205" s="12"/>
      <c r="L205" s="12"/>
      <c r="M205" s="12"/>
      <c r="N205" s="12"/>
      <c r="O205" s="12"/>
      <c r="P205" s="12"/>
    </row>
    <row r="206" spans="1:16" x14ac:dyDescent="0.25">
      <c r="A206" s="193">
        <v>45748</v>
      </c>
      <c r="B206" s="40">
        <v>0.33333333333333298</v>
      </c>
      <c r="C206" s="12">
        <v>155</v>
      </c>
      <c r="D206" s="199">
        <v>425</v>
      </c>
      <c r="E206" s="12" t="s">
        <v>117</v>
      </c>
      <c r="F206" s="12"/>
      <c r="H206" s="12"/>
      <c r="I206" s="12"/>
      <c r="J206" s="12"/>
      <c r="K206" s="12"/>
      <c r="L206" s="12"/>
      <c r="M206" s="12"/>
      <c r="N206" s="12"/>
      <c r="O206" s="12"/>
      <c r="P206" s="12"/>
    </row>
    <row r="207" spans="1:16" x14ac:dyDescent="0.25">
      <c r="A207" s="193">
        <v>45748</v>
      </c>
      <c r="B207" s="40">
        <v>0.33333333333333298</v>
      </c>
      <c r="C207" s="12">
        <v>156</v>
      </c>
      <c r="D207" s="199">
        <v>390</v>
      </c>
      <c r="E207" s="12" t="s">
        <v>117</v>
      </c>
      <c r="F207" s="12"/>
      <c r="H207" s="12"/>
      <c r="I207" s="12"/>
      <c r="J207" s="12"/>
      <c r="K207" s="12"/>
      <c r="L207" s="12"/>
      <c r="M207" s="12"/>
      <c r="N207" s="12"/>
      <c r="O207" s="12"/>
      <c r="P207" s="12"/>
    </row>
    <row r="208" spans="1:16" x14ac:dyDescent="0.25">
      <c r="A208" s="193">
        <v>45748</v>
      </c>
      <c r="B208" s="40">
        <v>0.33333333333333298</v>
      </c>
      <c r="C208" s="12">
        <v>157</v>
      </c>
      <c r="D208" s="199">
        <v>375</v>
      </c>
      <c r="E208" s="12" t="s">
        <v>116</v>
      </c>
      <c r="F208" s="12"/>
      <c r="H208" s="12"/>
      <c r="I208" s="12"/>
      <c r="J208" s="12"/>
      <c r="K208" s="12"/>
      <c r="L208" s="12"/>
      <c r="M208" s="12"/>
      <c r="N208" s="12"/>
      <c r="O208" s="12"/>
      <c r="P208" s="12"/>
    </row>
    <row r="209" spans="1:16" x14ac:dyDescent="0.25">
      <c r="A209" s="193">
        <v>45748</v>
      </c>
      <c r="B209" s="40">
        <v>0.33333333333333298</v>
      </c>
      <c r="C209" s="12">
        <v>158</v>
      </c>
      <c r="D209" s="199">
        <v>340</v>
      </c>
      <c r="E209" s="12" t="s">
        <v>116</v>
      </c>
      <c r="F209" s="12"/>
      <c r="H209" s="12"/>
      <c r="I209" s="12"/>
      <c r="J209" s="12"/>
      <c r="K209" s="12"/>
      <c r="L209" s="12"/>
      <c r="M209" s="12"/>
      <c r="N209" s="12"/>
      <c r="O209" s="12"/>
      <c r="P209" s="12"/>
    </row>
    <row r="210" spans="1:16" x14ac:dyDescent="0.25">
      <c r="A210" s="193">
        <v>45748</v>
      </c>
      <c r="B210" s="40">
        <v>0.33333333333333298</v>
      </c>
      <c r="C210" s="12">
        <v>159</v>
      </c>
      <c r="D210" s="199">
        <v>330</v>
      </c>
      <c r="E210" s="12" t="s">
        <v>116</v>
      </c>
      <c r="F210" s="12"/>
      <c r="H210" s="12"/>
      <c r="I210" s="12"/>
      <c r="J210" s="12"/>
      <c r="K210" s="12"/>
      <c r="L210" s="12"/>
      <c r="M210" s="12"/>
      <c r="N210" s="12"/>
      <c r="O210" s="12"/>
      <c r="P210" s="12"/>
    </row>
    <row r="211" spans="1:16" x14ac:dyDescent="0.25">
      <c r="A211" s="193">
        <v>45748</v>
      </c>
      <c r="B211" s="40">
        <v>0.33333333333333298</v>
      </c>
      <c r="C211" s="12">
        <v>160</v>
      </c>
      <c r="D211" s="199">
        <v>390</v>
      </c>
      <c r="E211" s="12" t="s">
        <v>117</v>
      </c>
      <c r="F211" s="12"/>
      <c r="H211" s="12"/>
      <c r="I211" s="12"/>
      <c r="J211" s="12"/>
      <c r="K211" s="12"/>
      <c r="L211" s="12"/>
      <c r="M211" s="12"/>
      <c r="N211" s="12"/>
      <c r="O211" s="12"/>
      <c r="P211" s="12"/>
    </row>
    <row r="212" spans="1:16" x14ac:dyDescent="0.25">
      <c r="A212" s="193">
        <v>45748</v>
      </c>
      <c r="B212" s="40">
        <v>0.33333333333333298</v>
      </c>
      <c r="C212" s="12">
        <v>161</v>
      </c>
      <c r="D212" s="199">
        <v>420</v>
      </c>
      <c r="E212" s="12" t="s">
        <v>116</v>
      </c>
      <c r="F212" s="12"/>
      <c r="H212" s="12"/>
      <c r="I212" s="12"/>
      <c r="J212" s="12"/>
      <c r="K212" s="12"/>
      <c r="L212" s="12"/>
      <c r="M212" s="12"/>
      <c r="N212" s="12"/>
      <c r="O212" s="12"/>
      <c r="P212" s="12"/>
    </row>
    <row r="213" spans="1:16" x14ac:dyDescent="0.25">
      <c r="A213" s="193">
        <v>45748</v>
      </c>
      <c r="B213" s="40">
        <v>0.33333333333333298</v>
      </c>
      <c r="C213" s="12">
        <v>162</v>
      </c>
      <c r="D213" s="199">
        <v>420</v>
      </c>
      <c r="E213" s="12" t="s">
        <v>116</v>
      </c>
      <c r="F213" s="12"/>
      <c r="H213" s="12"/>
      <c r="I213" s="12"/>
      <c r="J213" s="12"/>
      <c r="K213" s="12"/>
      <c r="L213" s="12"/>
      <c r="M213" s="12"/>
      <c r="N213" s="12"/>
      <c r="O213" s="12"/>
      <c r="P213" s="12"/>
    </row>
    <row r="214" spans="1:16" x14ac:dyDescent="0.25">
      <c r="A214" s="193">
        <v>45748</v>
      </c>
      <c r="B214" s="40">
        <v>0.33333333333333298</v>
      </c>
      <c r="C214" s="12">
        <v>163</v>
      </c>
      <c r="D214" s="199">
        <v>370</v>
      </c>
      <c r="E214" s="12" t="s">
        <v>116</v>
      </c>
      <c r="F214" s="12"/>
      <c r="H214" s="12"/>
      <c r="I214" s="12"/>
      <c r="J214" s="12"/>
      <c r="K214" s="12"/>
      <c r="L214" s="12"/>
      <c r="M214" s="12"/>
      <c r="N214" s="12"/>
      <c r="O214" s="12"/>
      <c r="P214" s="12"/>
    </row>
    <row r="215" spans="1:16" x14ac:dyDescent="0.25">
      <c r="A215" s="193">
        <v>45748</v>
      </c>
      <c r="B215" s="40">
        <v>0.33333333333333298</v>
      </c>
      <c r="C215" s="12">
        <v>164</v>
      </c>
      <c r="D215" s="199">
        <v>410</v>
      </c>
      <c r="E215" s="12" t="s">
        <v>116</v>
      </c>
      <c r="F215" s="12"/>
      <c r="H215" s="12"/>
      <c r="I215" s="12"/>
      <c r="J215" s="12"/>
      <c r="K215" s="12"/>
      <c r="L215" s="12"/>
      <c r="M215" s="12"/>
      <c r="N215" s="12"/>
      <c r="O215" s="12"/>
      <c r="P215" s="12"/>
    </row>
    <row r="216" spans="1:16" x14ac:dyDescent="0.25">
      <c r="A216" s="193">
        <v>45748</v>
      </c>
      <c r="B216" s="40">
        <v>0.33333333333333298</v>
      </c>
      <c r="C216" s="12">
        <v>165</v>
      </c>
      <c r="D216" s="199">
        <v>325</v>
      </c>
      <c r="E216" s="12" t="s">
        <v>116</v>
      </c>
      <c r="F216" s="12"/>
      <c r="H216" s="12"/>
      <c r="I216" s="12"/>
      <c r="J216" s="12"/>
      <c r="K216" s="12"/>
      <c r="L216" s="12"/>
      <c r="M216" s="12"/>
      <c r="N216" s="12"/>
      <c r="O216" s="12"/>
      <c r="P216" s="12"/>
    </row>
    <row r="217" spans="1:16" x14ac:dyDescent="0.25">
      <c r="A217" s="193">
        <v>45748</v>
      </c>
      <c r="B217" s="40">
        <v>0.33333333333333298</v>
      </c>
      <c r="C217" s="12">
        <v>166</v>
      </c>
      <c r="D217" s="199">
        <v>320</v>
      </c>
      <c r="E217" s="12" t="s">
        <v>116</v>
      </c>
      <c r="F217" s="12"/>
      <c r="H217" s="12"/>
      <c r="I217" s="12"/>
      <c r="J217" s="12"/>
      <c r="K217" s="12"/>
      <c r="L217" s="12"/>
      <c r="M217" s="12"/>
      <c r="N217" s="12"/>
      <c r="O217" s="12"/>
      <c r="P217" s="12"/>
    </row>
    <row r="218" spans="1:16" x14ac:dyDescent="0.25">
      <c r="A218" s="193">
        <v>45748</v>
      </c>
      <c r="B218" s="40">
        <v>0.33333333333333298</v>
      </c>
      <c r="C218" s="12">
        <v>167</v>
      </c>
      <c r="D218" s="199">
        <v>435</v>
      </c>
      <c r="E218" s="12" t="s">
        <v>117</v>
      </c>
      <c r="F218" s="12"/>
      <c r="H218" s="12"/>
      <c r="I218" s="12"/>
      <c r="J218" s="12"/>
      <c r="K218" s="12"/>
      <c r="L218" s="12"/>
      <c r="M218" s="12"/>
      <c r="N218" s="12"/>
      <c r="O218" s="12"/>
      <c r="P218" s="12"/>
    </row>
    <row r="219" spans="1:16" x14ac:dyDescent="0.25">
      <c r="A219" s="193">
        <v>45748</v>
      </c>
      <c r="B219" s="40">
        <v>0.33333333333333298</v>
      </c>
      <c r="C219" s="12">
        <v>168</v>
      </c>
      <c r="D219" s="199">
        <v>470</v>
      </c>
      <c r="E219" s="12" t="s">
        <v>114</v>
      </c>
      <c r="F219" s="12"/>
      <c r="H219" s="12"/>
      <c r="I219" s="12"/>
      <c r="J219" s="12"/>
      <c r="K219" s="12"/>
      <c r="L219" s="12"/>
      <c r="M219" s="12"/>
      <c r="N219" s="12"/>
      <c r="O219" s="12"/>
      <c r="P219" s="12"/>
    </row>
    <row r="220" spans="1:16" x14ac:dyDescent="0.25">
      <c r="A220" s="193">
        <v>45748</v>
      </c>
      <c r="B220" s="40">
        <v>0.33333333333333298</v>
      </c>
      <c r="C220" s="12">
        <v>169</v>
      </c>
      <c r="D220" s="199">
        <v>410</v>
      </c>
      <c r="E220" s="12" t="s">
        <v>117</v>
      </c>
      <c r="F220" s="12"/>
      <c r="H220" s="12"/>
      <c r="I220" s="12"/>
      <c r="J220" s="12"/>
      <c r="K220" s="12"/>
      <c r="L220" s="12"/>
      <c r="M220" s="12"/>
      <c r="N220" s="12"/>
      <c r="O220" s="12"/>
      <c r="P220" s="12"/>
    </row>
    <row r="221" spans="1:16" x14ac:dyDescent="0.25">
      <c r="A221" s="193">
        <v>45748</v>
      </c>
      <c r="B221" s="40">
        <v>0.33333333333333298</v>
      </c>
      <c r="C221" s="12">
        <v>170</v>
      </c>
      <c r="D221" s="199">
        <v>435</v>
      </c>
      <c r="E221" s="12" t="s">
        <v>116</v>
      </c>
      <c r="F221" s="12"/>
      <c r="H221" s="12"/>
      <c r="I221" s="12"/>
      <c r="J221" s="12"/>
      <c r="K221" s="12"/>
      <c r="L221" s="12"/>
      <c r="M221" s="12"/>
      <c r="N221" s="12"/>
      <c r="O221" s="12"/>
      <c r="P221" s="12"/>
    </row>
    <row r="222" spans="1:16" x14ac:dyDescent="0.25">
      <c r="A222" s="193">
        <v>45748</v>
      </c>
      <c r="B222" s="40">
        <v>0.33333333333333298</v>
      </c>
      <c r="C222" s="12">
        <v>171</v>
      </c>
      <c r="D222" s="199">
        <v>475</v>
      </c>
      <c r="E222" s="12" t="s">
        <v>114</v>
      </c>
      <c r="F222" s="12"/>
      <c r="H222" s="12"/>
      <c r="I222" s="12"/>
      <c r="J222" s="12"/>
      <c r="K222" s="12"/>
      <c r="L222" s="12"/>
      <c r="M222" s="12"/>
      <c r="N222" s="12"/>
      <c r="O222" s="12"/>
      <c r="P222" s="12"/>
    </row>
    <row r="223" spans="1:16" x14ac:dyDescent="0.25">
      <c r="A223" s="193">
        <v>45748</v>
      </c>
      <c r="B223" s="40">
        <v>0.33333333333333298</v>
      </c>
      <c r="C223" s="12">
        <v>172</v>
      </c>
      <c r="D223" s="199">
        <v>360</v>
      </c>
      <c r="E223" s="12" t="s">
        <v>116</v>
      </c>
      <c r="F223" s="12"/>
      <c r="H223" s="12"/>
      <c r="I223" s="12"/>
      <c r="J223" s="12"/>
      <c r="K223" s="12"/>
      <c r="L223" s="12"/>
      <c r="M223" s="12"/>
      <c r="N223" s="12"/>
      <c r="O223" s="12"/>
      <c r="P223" s="12"/>
    </row>
    <row r="224" spans="1:16" x14ac:dyDescent="0.25">
      <c r="A224" s="193">
        <v>45748</v>
      </c>
      <c r="B224" s="40">
        <v>0.33333333333333298</v>
      </c>
      <c r="C224" s="12">
        <v>173</v>
      </c>
      <c r="D224" s="199">
        <v>430</v>
      </c>
      <c r="E224" s="12" t="s">
        <v>117</v>
      </c>
      <c r="F224" s="12"/>
      <c r="H224" s="12"/>
      <c r="I224" s="12"/>
      <c r="J224" s="12"/>
      <c r="K224" s="12"/>
      <c r="L224" s="12"/>
      <c r="M224" s="12"/>
      <c r="N224" s="12"/>
      <c r="O224" s="12"/>
      <c r="P224" s="12"/>
    </row>
    <row r="225" spans="1:16" x14ac:dyDescent="0.25">
      <c r="A225" s="193">
        <v>45748</v>
      </c>
      <c r="B225" s="40">
        <v>0.33333333333333298</v>
      </c>
      <c r="C225" s="12">
        <v>174</v>
      </c>
      <c r="D225" s="199">
        <v>450</v>
      </c>
      <c r="E225" s="12" t="s">
        <v>117</v>
      </c>
      <c r="F225" s="12"/>
      <c r="H225" s="12"/>
      <c r="I225" s="12"/>
      <c r="J225" s="12"/>
      <c r="K225" s="12"/>
      <c r="L225" s="12"/>
      <c r="M225" s="12"/>
      <c r="N225" s="12"/>
      <c r="O225" s="12"/>
      <c r="P225" s="12"/>
    </row>
    <row r="226" spans="1:16" x14ac:dyDescent="0.25">
      <c r="A226" s="193">
        <v>45748</v>
      </c>
      <c r="B226" s="40">
        <v>0.33333333333333298</v>
      </c>
      <c r="C226" s="12">
        <v>175</v>
      </c>
      <c r="D226" s="199">
        <v>410</v>
      </c>
      <c r="E226" s="12" t="s">
        <v>117</v>
      </c>
      <c r="F226" s="12"/>
      <c r="H226" s="12"/>
      <c r="I226" s="12"/>
      <c r="J226" s="12"/>
      <c r="K226" s="12"/>
      <c r="L226" s="12"/>
      <c r="M226" s="12"/>
      <c r="N226" s="12"/>
      <c r="O226" s="12"/>
      <c r="P226" s="12"/>
    </row>
    <row r="227" spans="1:16" x14ac:dyDescent="0.25">
      <c r="A227" s="193">
        <v>45748</v>
      </c>
      <c r="B227" s="40">
        <v>0.33333333333333298</v>
      </c>
      <c r="C227" s="12">
        <v>176</v>
      </c>
      <c r="D227" s="199">
        <v>340</v>
      </c>
      <c r="E227" s="12" t="s">
        <v>117</v>
      </c>
      <c r="F227" s="12"/>
      <c r="H227" s="12"/>
      <c r="I227" s="12"/>
      <c r="J227" s="12"/>
      <c r="K227" s="12"/>
      <c r="L227" s="12"/>
      <c r="M227" s="12"/>
      <c r="N227" s="12"/>
      <c r="O227" s="12"/>
      <c r="P227" s="12"/>
    </row>
    <row r="228" spans="1:16" x14ac:dyDescent="0.25">
      <c r="A228" s="193">
        <v>45748</v>
      </c>
      <c r="B228" s="40">
        <v>0.33333333333333298</v>
      </c>
      <c r="C228" s="12">
        <v>177</v>
      </c>
      <c r="D228" s="199">
        <v>390</v>
      </c>
      <c r="E228" s="12" t="s">
        <v>117</v>
      </c>
      <c r="F228" s="12"/>
      <c r="H228" s="12"/>
      <c r="I228" s="12"/>
      <c r="J228" s="12"/>
      <c r="K228" s="12"/>
      <c r="L228" s="12"/>
      <c r="M228" s="12"/>
      <c r="N228" s="12"/>
      <c r="O228" s="12"/>
      <c r="P228" s="12"/>
    </row>
    <row r="229" spans="1:16" x14ac:dyDescent="0.25">
      <c r="A229" s="193">
        <v>45748</v>
      </c>
      <c r="B229" s="40">
        <v>0.33333333333333298</v>
      </c>
      <c r="C229" s="12">
        <v>178</v>
      </c>
      <c r="D229" s="199">
        <v>315</v>
      </c>
      <c r="E229" s="12" t="s">
        <v>116</v>
      </c>
      <c r="F229" s="12"/>
      <c r="H229" s="12"/>
      <c r="I229" s="12"/>
      <c r="J229" s="12"/>
      <c r="K229" s="12"/>
      <c r="L229" s="12"/>
      <c r="M229" s="12"/>
      <c r="N229" s="12"/>
      <c r="O229" s="12"/>
      <c r="P229" s="12"/>
    </row>
    <row r="230" spans="1:16" x14ac:dyDescent="0.25">
      <c r="A230" s="193">
        <v>45748</v>
      </c>
      <c r="B230" s="40">
        <v>0.33333333333333298</v>
      </c>
      <c r="C230" s="12">
        <v>179</v>
      </c>
      <c r="D230" s="199">
        <v>380</v>
      </c>
      <c r="E230" s="12" t="s">
        <v>116</v>
      </c>
      <c r="F230" s="12"/>
      <c r="H230" s="12"/>
      <c r="I230" s="12"/>
      <c r="J230" s="12"/>
      <c r="K230" s="12"/>
      <c r="L230" s="12"/>
      <c r="M230" s="12"/>
      <c r="N230" s="12"/>
      <c r="O230" s="12"/>
      <c r="P230" s="12"/>
    </row>
    <row r="231" spans="1:16" x14ac:dyDescent="0.25">
      <c r="A231" s="193">
        <v>45748</v>
      </c>
      <c r="B231" s="40">
        <v>0.33333333333333298</v>
      </c>
      <c r="C231" s="12">
        <v>180</v>
      </c>
      <c r="D231" s="199">
        <v>440</v>
      </c>
      <c r="E231" s="12" t="s">
        <v>114</v>
      </c>
      <c r="F231" s="12"/>
      <c r="H231" s="12"/>
      <c r="I231" s="12"/>
      <c r="J231" s="12"/>
      <c r="K231" s="12"/>
      <c r="L231" s="12"/>
      <c r="M231" s="12"/>
      <c r="N231" s="12"/>
      <c r="O231" s="12"/>
      <c r="P231" s="12"/>
    </row>
    <row r="232" spans="1:16" x14ac:dyDescent="0.25">
      <c r="A232" s="193">
        <v>45748</v>
      </c>
      <c r="B232" s="40">
        <v>0.33333333333333298</v>
      </c>
      <c r="C232" s="12">
        <v>181</v>
      </c>
      <c r="D232" s="199">
        <v>530</v>
      </c>
      <c r="E232" s="12" t="s">
        <v>114</v>
      </c>
      <c r="F232" s="12"/>
      <c r="H232" s="12"/>
      <c r="I232" s="12"/>
      <c r="J232" s="12"/>
      <c r="K232" s="12"/>
      <c r="L232" s="12"/>
      <c r="M232" s="12"/>
      <c r="N232" s="12"/>
      <c r="O232" s="12"/>
      <c r="P232" s="12"/>
    </row>
    <row r="233" spans="1:16" x14ac:dyDescent="0.25">
      <c r="A233" s="193">
        <v>45748</v>
      </c>
      <c r="B233" s="40">
        <v>0.33333333333333298</v>
      </c>
      <c r="C233" s="12">
        <v>182</v>
      </c>
      <c r="D233" s="199">
        <v>395</v>
      </c>
      <c r="E233" s="12" t="s">
        <v>117</v>
      </c>
      <c r="F233" s="12"/>
      <c r="H233" s="12"/>
      <c r="I233" s="12"/>
      <c r="J233" s="12"/>
      <c r="K233" s="12"/>
      <c r="L233" s="12"/>
      <c r="M233" s="12"/>
      <c r="N233" s="12"/>
      <c r="O233" s="12"/>
      <c r="P233" s="12"/>
    </row>
    <row r="234" spans="1:16" x14ac:dyDescent="0.25">
      <c r="A234" s="193">
        <v>45748</v>
      </c>
      <c r="B234" s="40">
        <v>0.33333333333333298</v>
      </c>
      <c r="C234" s="12">
        <v>183</v>
      </c>
      <c r="D234" s="199">
        <v>415</v>
      </c>
      <c r="E234" s="12" t="s">
        <v>117</v>
      </c>
      <c r="F234" s="12"/>
      <c r="H234" s="12"/>
      <c r="I234" s="12"/>
      <c r="J234" s="12"/>
      <c r="K234" s="12"/>
      <c r="L234" s="12"/>
      <c r="M234" s="12"/>
      <c r="N234" s="12"/>
      <c r="O234" s="12"/>
      <c r="P234" s="12"/>
    </row>
    <row r="235" spans="1:16" x14ac:dyDescent="0.25">
      <c r="A235" s="193">
        <v>45748</v>
      </c>
      <c r="B235" s="40">
        <v>0.33333333333333298</v>
      </c>
      <c r="C235" s="12">
        <v>184</v>
      </c>
      <c r="D235" s="199">
        <v>435</v>
      </c>
      <c r="E235" s="12" t="s">
        <v>116</v>
      </c>
      <c r="F235" s="12"/>
      <c r="H235" s="12"/>
      <c r="I235" s="12"/>
      <c r="J235" s="12"/>
      <c r="K235" s="12"/>
      <c r="L235" s="12"/>
      <c r="M235" s="12"/>
      <c r="N235" s="12"/>
      <c r="O235" s="12"/>
      <c r="P235" s="12"/>
    </row>
    <row r="236" spans="1:16" x14ac:dyDescent="0.25">
      <c r="A236" s="193">
        <v>45748</v>
      </c>
      <c r="B236" s="40">
        <v>0.33333333333333298</v>
      </c>
      <c r="C236" s="12">
        <v>185</v>
      </c>
      <c r="D236" s="199">
        <v>410</v>
      </c>
      <c r="E236" s="12" t="s">
        <v>117</v>
      </c>
      <c r="F236" s="12"/>
      <c r="H236" s="12"/>
      <c r="I236" s="12"/>
      <c r="J236" s="12"/>
      <c r="K236" s="12"/>
      <c r="L236" s="12"/>
      <c r="M236" s="12"/>
      <c r="N236" s="12"/>
      <c r="O236" s="12"/>
      <c r="P236" s="12"/>
    </row>
    <row r="237" spans="1:16" x14ac:dyDescent="0.25">
      <c r="A237" s="193">
        <v>45748</v>
      </c>
      <c r="B237" s="40">
        <v>0.33333333333333298</v>
      </c>
      <c r="C237" s="12">
        <v>186</v>
      </c>
      <c r="D237" s="199">
        <v>390</v>
      </c>
      <c r="E237" s="12" t="s">
        <v>117</v>
      </c>
      <c r="F237" s="12"/>
      <c r="H237" s="12"/>
      <c r="I237" s="12"/>
      <c r="J237" s="12"/>
      <c r="K237" s="12"/>
      <c r="L237" s="12"/>
      <c r="M237" s="12"/>
      <c r="N237" s="12"/>
      <c r="O237" s="12"/>
      <c r="P237" s="12"/>
    </row>
    <row r="238" spans="1:16" x14ac:dyDescent="0.25">
      <c r="A238" s="193">
        <v>45748</v>
      </c>
      <c r="B238" s="40">
        <v>0.33333333333333298</v>
      </c>
      <c r="C238" s="12">
        <v>187</v>
      </c>
      <c r="D238" s="199">
        <v>375</v>
      </c>
      <c r="E238" s="12" t="s">
        <v>117</v>
      </c>
      <c r="F238" s="12"/>
      <c r="H238" s="12"/>
      <c r="I238" s="12"/>
      <c r="J238" s="12"/>
      <c r="K238" s="12"/>
      <c r="L238" s="12"/>
      <c r="M238" s="12"/>
      <c r="N238" s="12"/>
      <c r="O238" s="12"/>
      <c r="P238" s="12"/>
    </row>
    <row r="239" spans="1:16" x14ac:dyDescent="0.25">
      <c r="A239" s="193">
        <v>45748</v>
      </c>
      <c r="B239" s="40">
        <v>0.33333333333333298</v>
      </c>
      <c r="C239" s="12">
        <v>188</v>
      </c>
      <c r="D239" s="199">
        <v>440</v>
      </c>
      <c r="E239" s="12" t="s">
        <v>114</v>
      </c>
      <c r="F239" s="12"/>
      <c r="H239" s="12"/>
      <c r="I239" s="12"/>
      <c r="J239" s="12"/>
      <c r="K239" s="12"/>
      <c r="L239" s="12"/>
      <c r="M239" s="12"/>
      <c r="N239" s="12"/>
      <c r="O239" s="12"/>
      <c r="P239" s="12"/>
    </row>
    <row r="240" spans="1:16" x14ac:dyDescent="0.25">
      <c r="A240" s="193">
        <v>45748</v>
      </c>
      <c r="B240" s="40">
        <v>0.33333333333333298</v>
      </c>
      <c r="C240" s="12">
        <v>189</v>
      </c>
      <c r="D240" s="199">
        <v>435</v>
      </c>
      <c r="E240" s="12" t="s">
        <v>117</v>
      </c>
      <c r="F240" s="12"/>
      <c r="H240" s="12"/>
      <c r="I240" s="12"/>
      <c r="J240" s="12"/>
      <c r="K240" s="12"/>
      <c r="L240" s="12"/>
      <c r="M240" s="12"/>
      <c r="N240" s="12"/>
      <c r="O240" s="12"/>
      <c r="P240" s="12"/>
    </row>
    <row r="241" spans="1:16" x14ac:dyDescent="0.25">
      <c r="A241" s="193">
        <v>45748</v>
      </c>
      <c r="B241" s="40">
        <v>0.33333333333333298</v>
      </c>
      <c r="C241" s="12">
        <v>190</v>
      </c>
      <c r="D241" s="199">
        <v>370</v>
      </c>
      <c r="E241" s="12" t="s">
        <v>116</v>
      </c>
      <c r="F241" s="12"/>
      <c r="H241" s="12"/>
      <c r="I241" s="12"/>
      <c r="J241" s="12"/>
      <c r="K241" s="12"/>
      <c r="L241" s="12"/>
      <c r="M241" s="12"/>
      <c r="N241" s="12"/>
      <c r="O241" s="12"/>
      <c r="P241" s="12"/>
    </row>
    <row r="242" spans="1:16" x14ac:dyDescent="0.25">
      <c r="A242" s="193">
        <v>45748</v>
      </c>
      <c r="B242" s="40">
        <v>0.33333333333333298</v>
      </c>
      <c r="C242" s="12">
        <v>191</v>
      </c>
      <c r="D242" s="199">
        <v>400</v>
      </c>
      <c r="E242" s="12" t="s">
        <v>117</v>
      </c>
      <c r="F242" s="12"/>
      <c r="H242" s="12"/>
      <c r="I242" s="12"/>
      <c r="J242" s="12"/>
      <c r="K242" s="12"/>
      <c r="L242" s="12"/>
      <c r="M242" s="12"/>
      <c r="N242" s="12"/>
      <c r="O242" s="12"/>
      <c r="P242" s="12"/>
    </row>
    <row r="243" spans="1:16" x14ac:dyDescent="0.25">
      <c r="A243" s="193">
        <v>45748</v>
      </c>
      <c r="B243" s="40">
        <v>0.33333333333333298</v>
      </c>
      <c r="C243" s="12">
        <v>192</v>
      </c>
      <c r="D243" s="199">
        <v>425</v>
      </c>
      <c r="E243" s="12" t="s">
        <v>117</v>
      </c>
      <c r="F243" s="12"/>
      <c r="H243" s="12"/>
      <c r="I243" s="12"/>
      <c r="J243" s="12"/>
      <c r="K243" s="12"/>
      <c r="L243" s="12"/>
      <c r="M243" s="12"/>
      <c r="N243" s="12"/>
      <c r="O243" s="12"/>
      <c r="P243" s="12"/>
    </row>
    <row r="244" spans="1:16" x14ac:dyDescent="0.25">
      <c r="A244" s="193">
        <v>45748</v>
      </c>
      <c r="B244" s="40">
        <v>0.33333333333333298</v>
      </c>
      <c r="C244" s="12">
        <v>193</v>
      </c>
      <c r="D244" s="199">
        <v>350</v>
      </c>
      <c r="E244" s="12" t="s">
        <v>117</v>
      </c>
      <c r="F244" s="12"/>
      <c r="H244" s="12"/>
      <c r="I244" s="12"/>
      <c r="J244" s="12"/>
      <c r="K244" s="12"/>
      <c r="L244" s="12"/>
      <c r="M244" s="12"/>
      <c r="N244" s="12"/>
      <c r="O244" s="12"/>
      <c r="P244" s="12"/>
    </row>
    <row r="245" spans="1:16" x14ac:dyDescent="0.25">
      <c r="A245" s="193">
        <v>45748</v>
      </c>
      <c r="B245" s="40">
        <v>0.33333333333333298</v>
      </c>
      <c r="C245" s="12">
        <v>194</v>
      </c>
      <c r="D245" s="199">
        <v>395</v>
      </c>
      <c r="E245" s="12" t="s">
        <v>117</v>
      </c>
      <c r="F245" s="12"/>
      <c r="H245" s="12"/>
      <c r="I245" s="12"/>
      <c r="J245" s="12"/>
      <c r="K245" s="12"/>
      <c r="L245" s="12"/>
      <c r="M245" s="12"/>
      <c r="N245" s="12"/>
      <c r="O245" s="12"/>
      <c r="P245" s="12"/>
    </row>
    <row r="246" spans="1:16" x14ac:dyDescent="0.25">
      <c r="A246" s="193">
        <v>45748</v>
      </c>
      <c r="B246" s="40">
        <v>0.33333333333333298</v>
      </c>
      <c r="C246" s="12">
        <v>195</v>
      </c>
      <c r="D246" s="199">
        <v>405</v>
      </c>
      <c r="E246" s="12" t="s">
        <v>117</v>
      </c>
      <c r="F246" s="12"/>
      <c r="H246" s="12"/>
      <c r="I246" s="12"/>
      <c r="J246" s="12"/>
      <c r="K246" s="12"/>
      <c r="L246" s="12"/>
      <c r="M246" s="12"/>
      <c r="N246" s="12"/>
      <c r="O246" s="12"/>
      <c r="P246" s="12"/>
    </row>
    <row r="247" spans="1:16" x14ac:dyDescent="0.25">
      <c r="A247" s="193">
        <v>45748</v>
      </c>
      <c r="B247" s="40">
        <v>0.33333333333333298</v>
      </c>
      <c r="C247" s="12">
        <v>196</v>
      </c>
      <c r="D247" s="199">
        <v>365</v>
      </c>
      <c r="E247" s="12" t="s">
        <v>116</v>
      </c>
      <c r="F247" s="12"/>
      <c r="H247" s="12"/>
      <c r="I247" s="12"/>
      <c r="J247" s="12"/>
      <c r="K247" s="12"/>
      <c r="L247" s="12"/>
      <c r="M247" s="12"/>
      <c r="N247" s="12"/>
      <c r="O247" s="12"/>
      <c r="P247" s="12"/>
    </row>
    <row r="248" spans="1:16" x14ac:dyDescent="0.25">
      <c r="A248" s="193">
        <v>45748</v>
      </c>
      <c r="B248" s="40">
        <v>0.33333333333333298</v>
      </c>
      <c r="C248" s="12">
        <v>197</v>
      </c>
      <c r="D248" s="199">
        <v>340</v>
      </c>
      <c r="E248" s="12" t="s">
        <v>116</v>
      </c>
      <c r="F248" s="12"/>
      <c r="H248" s="12"/>
      <c r="I248" s="12"/>
      <c r="J248" s="12"/>
      <c r="K248" s="12"/>
      <c r="L248" s="12"/>
      <c r="M248" s="12"/>
      <c r="N248" s="12"/>
      <c r="O248" s="12"/>
      <c r="P248" s="12"/>
    </row>
    <row r="249" spans="1:16" x14ac:dyDescent="0.25">
      <c r="A249" s="193">
        <v>45748</v>
      </c>
      <c r="B249" s="40">
        <v>0.33333333333333298</v>
      </c>
      <c r="C249" s="12">
        <v>198</v>
      </c>
      <c r="D249" s="199">
        <v>420</v>
      </c>
      <c r="E249" s="12" t="s">
        <v>117</v>
      </c>
      <c r="F249" s="12"/>
      <c r="H249" s="12"/>
      <c r="I249" s="12"/>
      <c r="J249" s="12"/>
      <c r="K249" s="12"/>
      <c r="L249" s="12"/>
      <c r="M249" s="12"/>
      <c r="N249" s="12"/>
      <c r="O249" s="12"/>
      <c r="P249" s="12"/>
    </row>
    <row r="250" spans="1:16" x14ac:dyDescent="0.25">
      <c r="A250" s="193">
        <v>45748</v>
      </c>
      <c r="B250" s="40">
        <v>0.33333333333333298</v>
      </c>
      <c r="C250" s="12">
        <v>199</v>
      </c>
      <c r="D250" s="199">
        <v>350</v>
      </c>
      <c r="E250" s="12" t="s">
        <v>116</v>
      </c>
      <c r="F250" s="12"/>
      <c r="H250" s="12"/>
      <c r="I250" s="12"/>
      <c r="J250" s="12"/>
      <c r="K250" s="12"/>
      <c r="L250" s="12"/>
      <c r="M250" s="12"/>
      <c r="N250" s="12"/>
      <c r="O250" s="12"/>
      <c r="P250" s="12"/>
    </row>
    <row r="251" spans="1:16" x14ac:dyDescent="0.25">
      <c r="A251" s="193">
        <v>45748</v>
      </c>
      <c r="B251" s="40">
        <v>0.33333333333333298</v>
      </c>
      <c r="C251" s="12">
        <v>200</v>
      </c>
      <c r="D251" s="199">
        <v>390</v>
      </c>
      <c r="E251" s="12" t="s">
        <v>116</v>
      </c>
      <c r="F251" s="12"/>
      <c r="H251" s="12"/>
      <c r="I251" s="12"/>
      <c r="J251" s="12"/>
      <c r="K251" s="12"/>
      <c r="L251" s="12"/>
      <c r="M251" s="12"/>
      <c r="N251" s="12"/>
      <c r="O251" s="12"/>
      <c r="P251" s="12"/>
    </row>
    <row r="252" spans="1:16" x14ac:dyDescent="0.25">
      <c r="A252" s="193">
        <v>45748</v>
      </c>
      <c r="B252" s="40">
        <v>0.33333333333333298</v>
      </c>
      <c r="C252" s="12">
        <v>201</v>
      </c>
      <c r="D252" s="199">
        <v>415</v>
      </c>
      <c r="E252" s="12" t="s">
        <v>117</v>
      </c>
      <c r="F252" s="12"/>
      <c r="H252" s="12"/>
      <c r="I252" s="12"/>
      <c r="J252" s="12"/>
      <c r="K252" s="12"/>
      <c r="L252" s="12"/>
      <c r="M252" s="12"/>
      <c r="N252" s="12"/>
      <c r="O252" s="12"/>
      <c r="P252" s="12"/>
    </row>
    <row r="253" spans="1:16" x14ac:dyDescent="0.25">
      <c r="A253" s="193">
        <v>45748</v>
      </c>
      <c r="B253" s="40">
        <v>0.33333333333333298</v>
      </c>
      <c r="C253" s="12">
        <v>202</v>
      </c>
      <c r="D253" s="199">
        <v>315</v>
      </c>
      <c r="E253" s="12" t="s">
        <v>116</v>
      </c>
      <c r="F253" s="12"/>
      <c r="H253" s="12"/>
      <c r="I253" s="12"/>
      <c r="J253" s="12"/>
      <c r="K253" s="12"/>
      <c r="L253" s="12"/>
      <c r="M253" s="12"/>
      <c r="N253" s="12"/>
      <c r="O253" s="12"/>
      <c r="P253" s="12"/>
    </row>
    <row r="254" spans="1:16" x14ac:dyDescent="0.25">
      <c r="A254" s="193">
        <v>45748</v>
      </c>
      <c r="B254" s="40">
        <v>0.33333333333333298</v>
      </c>
      <c r="C254" s="12">
        <v>203</v>
      </c>
      <c r="D254" s="199">
        <v>410</v>
      </c>
      <c r="E254" s="12" t="s">
        <v>117</v>
      </c>
      <c r="F254" s="12"/>
      <c r="H254" s="12"/>
      <c r="I254" s="12"/>
      <c r="J254" s="12"/>
      <c r="K254" s="12"/>
      <c r="L254" s="12"/>
      <c r="M254" s="12"/>
      <c r="N254" s="12"/>
      <c r="O254" s="12"/>
      <c r="P254" s="12"/>
    </row>
    <row r="255" spans="1:16" x14ac:dyDescent="0.25">
      <c r="A255" s="193">
        <v>45748</v>
      </c>
      <c r="B255" s="40">
        <v>0.33333333333333298</v>
      </c>
      <c r="C255" s="12">
        <v>204</v>
      </c>
      <c r="D255" s="199">
        <v>430</v>
      </c>
      <c r="E255" s="12" t="s">
        <v>117</v>
      </c>
      <c r="F255" s="12"/>
      <c r="H255" s="12"/>
      <c r="I255" s="12"/>
      <c r="J255" s="12"/>
      <c r="K255" s="12"/>
      <c r="L255" s="12"/>
      <c r="M255" s="12"/>
      <c r="N255" s="12"/>
      <c r="O255" s="12"/>
      <c r="P255" s="12"/>
    </row>
    <row r="256" spans="1:16" x14ac:dyDescent="0.25">
      <c r="A256" s="193">
        <v>45748</v>
      </c>
      <c r="B256" s="40">
        <v>0.33333333333333298</v>
      </c>
      <c r="C256" s="12">
        <v>205</v>
      </c>
      <c r="D256" s="199">
        <v>350</v>
      </c>
      <c r="E256" s="12" t="s">
        <v>116</v>
      </c>
      <c r="F256" s="12"/>
      <c r="H256" s="12"/>
      <c r="I256" s="12"/>
      <c r="J256" s="12"/>
      <c r="K256" s="12"/>
      <c r="L256" s="12"/>
      <c r="M256" s="12"/>
      <c r="N256" s="12"/>
      <c r="O256" s="12"/>
      <c r="P256" s="12"/>
    </row>
    <row r="257" spans="1:16" x14ac:dyDescent="0.25">
      <c r="A257" s="193">
        <v>45748</v>
      </c>
      <c r="B257" s="40">
        <v>0.33333333333333298</v>
      </c>
      <c r="C257" s="12">
        <v>206</v>
      </c>
      <c r="D257" s="199">
        <v>345</v>
      </c>
      <c r="E257" s="12" t="s">
        <v>116</v>
      </c>
      <c r="F257" s="12"/>
      <c r="H257" s="12"/>
      <c r="I257" s="12"/>
      <c r="J257" s="12"/>
      <c r="K257" s="12"/>
      <c r="L257" s="12"/>
      <c r="M257" s="12"/>
      <c r="N257" s="12"/>
      <c r="O257" s="12"/>
      <c r="P257" s="12"/>
    </row>
    <row r="258" spans="1:16" x14ac:dyDescent="0.25">
      <c r="A258" s="193">
        <v>45748</v>
      </c>
      <c r="B258" s="40">
        <v>0.33333333333333298</v>
      </c>
      <c r="C258" s="12">
        <v>207</v>
      </c>
      <c r="D258" s="199">
        <v>335</v>
      </c>
      <c r="E258" s="12" t="s">
        <v>117</v>
      </c>
      <c r="F258" s="12"/>
      <c r="H258" s="12"/>
      <c r="I258" s="12"/>
      <c r="J258" s="12"/>
      <c r="K258" s="12"/>
      <c r="L258" s="12"/>
      <c r="M258" s="12"/>
      <c r="N258" s="12"/>
      <c r="O258" s="12"/>
      <c r="P258" s="12"/>
    </row>
    <row r="259" spans="1:16" x14ac:dyDescent="0.25">
      <c r="A259" s="193">
        <v>45748</v>
      </c>
      <c r="B259" s="40">
        <v>0.33333333333333298</v>
      </c>
      <c r="C259" s="12">
        <v>208</v>
      </c>
      <c r="D259" s="199">
        <v>390</v>
      </c>
      <c r="E259" s="12" t="s">
        <v>117</v>
      </c>
      <c r="F259" s="12"/>
      <c r="H259" s="12"/>
      <c r="I259" s="12"/>
      <c r="J259" s="12"/>
      <c r="K259" s="12"/>
      <c r="L259" s="12"/>
      <c r="M259" s="12"/>
      <c r="N259" s="12"/>
      <c r="O259" s="12"/>
      <c r="P259" s="12"/>
    </row>
    <row r="260" spans="1:16" x14ac:dyDescent="0.25">
      <c r="A260" s="193">
        <v>45748</v>
      </c>
      <c r="B260" s="40">
        <v>0.33333333333333298</v>
      </c>
      <c r="C260" s="12">
        <v>209</v>
      </c>
      <c r="D260" s="199">
        <v>450</v>
      </c>
      <c r="E260" s="12" t="s">
        <v>114</v>
      </c>
      <c r="F260" s="12"/>
      <c r="H260" s="12"/>
      <c r="I260" s="12"/>
      <c r="J260" s="12"/>
      <c r="K260" s="12"/>
      <c r="L260" s="12"/>
      <c r="M260" s="12"/>
      <c r="N260" s="12"/>
      <c r="O260" s="12"/>
      <c r="P260" s="12"/>
    </row>
    <row r="261" spans="1:16" x14ac:dyDescent="0.25">
      <c r="A261" s="193">
        <v>45748</v>
      </c>
      <c r="B261" s="40">
        <v>0.33333333333333298</v>
      </c>
      <c r="C261" s="12">
        <v>210</v>
      </c>
      <c r="D261" s="199">
        <v>375</v>
      </c>
      <c r="E261" s="12" t="s">
        <v>116</v>
      </c>
      <c r="F261" s="12"/>
      <c r="H261" s="12"/>
      <c r="I261" s="12"/>
      <c r="J261" s="12"/>
      <c r="K261" s="12"/>
      <c r="L261" s="12"/>
      <c r="M261" s="12"/>
      <c r="N261" s="12"/>
      <c r="O261" s="12"/>
      <c r="P261" s="12"/>
    </row>
    <row r="262" spans="1:16" x14ac:dyDescent="0.25">
      <c r="A262" s="193">
        <v>45748</v>
      </c>
      <c r="B262" s="40">
        <v>0.33333333333333298</v>
      </c>
      <c r="C262" s="12">
        <v>211</v>
      </c>
      <c r="D262" s="199">
        <v>420</v>
      </c>
      <c r="E262" s="12" t="s">
        <v>117</v>
      </c>
      <c r="F262" s="12"/>
      <c r="H262" s="12"/>
      <c r="I262" s="12"/>
      <c r="J262" s="12"/>
      <c r="K262" s="12"/>
      <c r="L262" s="12"/>
      <c r="M262" s="12"/>
      <c r="N262" s="12"/>
      <c r="O262" s="12"/>
      <c r="P262" s="12"/>
    </row>
    <row r="263" spans="1:16" x14ac:dyDescent="0.25">
      <c r="A263" s="193">
        <v>45748</v>
      </c>
      <c r="B263" s="40">
        <v>0.33333333333333298</v>
      </c>
      <c r="C263" s="12">
        <v>212</v>
      </c>
      <c r="D263" s="199">
        <v>360</v>
      </c>
      <c r="E263" s="12" t="s">
        <v>116</v>
      </c>
      <c r="F263" s="12"/>
      <c r="H263" s="12"/>
      <c r="I263" s="12"/>
      <c r="J263" s="12"/>
      <c r="K263" s="12"/>
      <c r="L263" s="12"/>
      <c r="M263" s="12"/>
      <c r="N263" s="12"/>
      <c r="O263" s="12"/>
      <c r="P263" s="12"/>
    </row>
    <row r="264" spans="1:16" x14ac:dyDescent="0.25">
      <c r="A264" s="193">
        <v>45748</v>
      </c>
      <c r="B264" s="40">
        <v>0.33333333333333298</v>
      </c>
      <c r="C264" s="12">
        <v>213</v>
      </c>
      <c r="D264" s="199">
        <v>350</v>
      </c>
      <c r="E264" s="12" t="s">
        <v>116</v>
      </c>
      <c r="F264" s="12"/>
      <c r="H264" s="12"/>
      <c r="I264" s="12"/>
      <c r="J264" s="12"/>
      <c r="K264" s="12"/>
      <c r="L264" s="12"/>
      <c r="M264" s="12"/>
      <c r="N264" s="12"/>
      <c r="O264" s="12"/>
      <c r="P264" s="12"/>
    </row>
    <row r="265" spans="1:16" x14ac:dyDescent="0.25">
      <c r="A265" s="193">
        <v>45748</v>
      </c>
      <c r="B265" s="40">
        <v>0.33333333333333298</v>
      </c>
      <c r="C265" s="12">
        <v>214</v>
      </c>
      <c r="D265" s="199">
        <v>395</v>
      </c>
      <c r="E265" s="12" t="s">
        <v>117</v>
      </c>
      <c r="F265" s="12"/>
      <c r="H265" s="12"/>
      <c r="I265" s="12"/>
      <c r="J265" s="12"/>
      <c r="K265" s="12"/>
      <c r="L265" s="12"/>
      <c r="M265" s="12"/>
      <c r="N265" s="12"/>
      <c r="O265" s="12"/>
      <c r="P265" s="12"/>
    </row>
    <row r="266" spans="1:16" x14ac:dyDescent="0.25">
      <c r="A266" s="193">
        <v>45748</v>
      </c>
      <c r="B266" s="40">
        <v>0.33333333333333298</v>
      </c>
      <c r="C266" s="12">
        <v>215</v>
      </c>
      <c r="D266" s="199">
        <v>400</v>
      </c>
      <c r="E266" s="12" t="s">
        <v>117</v>
      </c>
      <c r="F266" s="12"/>
      <c r="H266" s="12"/>
      <c r="I266" s="12"/>
      <c r="J266" s="12"/>
      <c r="K266" s="12"/>
      <c r="L266" s="12"/>
      <c r="M266" s="12"/>
      <c r="N266" s="12"/>
      <c r="O266" s="12"/>
      <c r="P266" s="12"/>
    </row>
    <row r="267" spans="1:16" x14ac:dyDescent="0.25">
      <c r="A267" s="193">
        <v>45748</v>
      </c>
      <c r="B267" s="40">
        <v>0.33333333333333298</v>
      </c>
      <c r="C267" s="12">
        <v>216</v>
      </c>
      <c r="D267" s="199">
        <v>365</v>
      </c>
      <c r="E267" s="12" t="s">
        <v>116</v>
      </c>
      <c r="F267" s="12"/>
      <c r="H267" s="12"/>
      <c r="I267" s="12"/>
      <c r="J267" s="12"/>
      <c r="K267" s="12"/>
      <c r="L267" s="12"/>
      <c r="M267" s="12"/>
      <c r="N267" s="12"/>
      <c r="O267" s="12"/>
      <c r="P267" s="12"/>
    </row>
    <row r="268" spans="1:16" x14ac:dyDescent="0.25">
      <c r="A268" s="193">
        <v>45748</v>
      </c>
      <c r="B268" s="40">
        <v>0.33333333333333298</v>
      </c>
      <c r="C268" s="12">
        <v>217</v>
      </c>
      <c r="D268" s="199">
        <v>360</v>
      </c>
      <c r="E268" s="12" t="s">
        <v>116</v>
      </c>
      <c r="F268" s="12"/>
      <c r="H268" s="12"/>
      <c r="I268" s="12"/>
      <c r="J268" s="12"/>
      <c r="K268" s="12"/>
      <c r="L268" s="12"/>
      <c r="M268" s="12"/>
      <c r="N268" s="12"/>
      <c r="O268" s="12"/>
      <c r="P268" s="12"/>
    </row>
    <row r="269" spans="1:16" x14ac:dyDescent="0.25">
      <c r="A269" s="193">
        <v>45748</v>
      </c>
      <c r="B269" s="40">
        <v>0.33333333333333298</v>
      </c>
      <c r="C269" s="12">
        <v>218</v>
      </c>
      <c r="D269" s="199">
        <v>355</v>
      </c>
      <c r="E269" s="12" t="s">
        <v>116</v>
      </c>
      <c r="F269" s="12"/>
      <c r="H269" s="12"/>
      <c r="I269" s="12"/>
      <c r="J269" s="12"/>
      <c r="K269" s="12"/>
      <c r="L269" s="12"/>
      <c r="M269" s="12"/>
      <c r="N269" s="12"/>
      <c r="O269" s="12"/>
      <c r="P269" s="12"/>
    </row>
    <row r="270" spans="1:16" x14ac:dyDescent="0.25">
      <c r="A270" s="193">
        <v>45748</v>
      </c>
      <c r="B270" s="40">
        <v>0.33333333333333298</v>
      </c>
      <c r="C270" s="12">
        <v>219</v>
      </c>
      <c r="D270" s="199">
        <v>390</v>
      </c>
      <c r="E270" s="12" t="s">
        <v>117</v>
      </c>
      <c r="F270" s="12"/>
      <c r="H270" s="12"/>
      <c r="I270" s="12"/>
      <c r="J270" s="12"/>
      <c r="K270" s="12"/>
      <c r="L270" s="12"/>
      <c r="M270" s="12"/>
      <c r="N270" s="12"/>
      <c r="O270" s="12"/>
      <c r="P270" s="12"/>
    </row>
    <row r="271" spans="1:16" x14ac:dyDescent="0.25">
      <c r="A271" s="193">
        <v>45748</v>
      </c>
      <c r="B271" s="40">
        <v>0.33333333333333298</v>
      </c>
      <c r="C271" s="12">
        <v>220</v>
      </c>
      <c r="D271" s="199">
        <v>350</v>
      </c>
      <c r="E271" s="12" t="s">
        <v>117</v>
      </c>
      <c r="F271" s="12"/>
      <c r="H271" s="12"/>
      <c r="I271" s="12"/>
      <c r="J271" s="12"/>
      <c r="K271" s="12"/>
      <c r="L271" s="12"/>
      <c r="M271" s="12"/>
      <c r="N271" s="12"/>
      <c r="O271" s="12"/>
      <c r="P271" s="12"/>
    </row>
    <row r="272" spans="1:16" x14ac:dyDescent="0.25">
      <c r="A272" s="193">
        <v>45748</v>
      </c>
      <c r="B272" s="40">
        <v>0.33333333333333298</v>
      </c>
      <c r="C272" s="12">
        <v>221</v>
      </c>
      <c r="D272" s="199">
        <v>420</v>
      </c>
      <c r="E272" s="12" t="s">
        <v>117</v>
      </c>
      <c r="F272" s="12"/>
      <c r="H272" s="12"/>
      <c r="I272" s="12"/>
      <c r="J272" s="12"/>
      <c r="K272" s="12"/>
      <c r="L272" s="12"/>
      <c r="M272" s="12"/>
      <c r="N272" s="12"/>
      <c r="O272" s="12"/>
      <c r="P272" s="12"/>
    </row>
    <row r="273" spans="1:16" x14ac:dyDescent="0.25">
      <c r="A273" s="193">
        <v>45748</v>
      </c>
      <c r="B273" s="40">
        <v>0.33333333333333298</v>
      </c>
      <c r="C273" s="12">
        <v>222</v>
      </c>
      <c r="D273" s="199">
        <v>400</v>
      </c>
      <c r="E273" s="12" t="s">
        <v>116</v>
      </c>
      <c r="F273" s="12"/>
      <c r="H273" s="12"/>
      <c r="I273" s="12"/>
      <c r="J273" s="12"/>
      <c r="K273" s="12"/>
      <c r="L273" s="12"/>
      <c r="M273" s="12"/>
      <c r="N273" s="12"/>
      <c r="O273" s="12"/>
      <c r="P273" s="12"/>
    </row>
    <row r="274" spans="1:16" x14ac:dyDescent="0.25">
      <c r="A274" s="193">
        <v>45748</v>
      </c>
      <c r="B274" s="40">
        <v>0.33333333333333298</v>
      </c>
      <c r="C274" s="12">
        <v>223</v>
      </c>
      <c r="D274" s="199">
        <v>470</v>
      </c>
      <c r="E274" s="12" t="s">
        <v>114</v>
      </c>
      <c r="F274" s="12"/>
      <c r="H274" s="12"/>
      <c r="I274" s="12"/>
      <c r="J274" s="12"/>
      <c r="K274" s="12"/>
      <c r="L274" s="12"/>
      <c r="M274" s="12"/>
      <c r="N274" s="12"/>
      <c r="O274" s="12"/>
      <c r="P274" s="12"/>
    </row>
    <row r="275" spans="1:16" x14ac:dyDescent="0.25">
      <c r="A275" s="193">
        <v>45748</v>
      </c>
      <c r="B275" s="40">
        <v>0.33333333333333298</v>
      </c>
      <c r="C275" s="12">
        <v>224</v>
      </c>
      <c r="D275" s="199">
        <v>415</v>
      </c>
      <c r="E275" s="12" t="s">
        <v>117</v>
      </c>
      <c r="F275" s="12"/>
      <c r="H275" s="12"/>
      <c r="I275" s="12"/>
      <c r="J275" s="12"/>
      <c r="K275" s="12"/>
      <c r="L275" s="12"/>
      <c r="M275" s="12"/>
      <c r="N275" s="12"/>
      <c r="O275" s="12"/>
      <c r="P275" s="12"/>
    </row>
    <row r="276" spans="1:16" x14ac:dyDescent="0.25">
      <c r="A276" s="193">
        <v>45748</v>
      </c>
      <c r="B276" s="40">
        <v>0.33333333333333298</v>
      </c>
      <c r="C276" s="12">
        <v>225</v>
      </c>
      <c r="D276" s="199">
        <v>380</v>
      </c>
      <c r="E276" s="12" t="s">
        <v>116</v>
      </c>
      <c r="F276" s="12"/>
      <c r="H276" s="12"/>
      <c r="I276" s="12"/>
      <c r="J276" s="12"/>
      <c r="K276" s="12"/>
      <c r="L276" s="12"/>
      <c r="M276" s="12"/>
      <c r="N276" s="12"/>
      <c r="O276" s="12"/>
      <c r="P276" s="12"/>
    </row>
    <row r="277" spans="1:16" x14ac:dyDescent="0.25">
      <c r="A277" s="193">
        <v>45748</v>
      </c>
      <c r="B277" s="40">
        <v>0.33333333333333298</v>
      </c>
      <c r="C277" s="12">
        <v>226</v>
      </c>
      <c r="D277" s="199">
        <v>395</v>
      </c>
      <c r="E277" s="12" t="s">
        <v>117</v>
      </c>
      <c r="F277" s="12"/>
      <c r="H277" s="12"/>
      <c r="I277" s="12"/>
      <c r="J277" s="12"/>
      <c r="K277" s="12"/>
      <c r="L277" s="12"/>
      <c r="M277" s="12"/>
      <c r="N277" s="12"/>
      <c r="O277" s="12"/>
      <c r="P277" s="12"/>
    </row>
    <row r="278" spans="1:16" x14ac:dyDescent="0.25">
      <c r="A278" s="193">
        <v>45748</v>
      </c>
      <c r="B278" s="40">
        <v>0.33333333333333298</v>
      </c>
      <c r="C278" s="12">
        <v>227</v>
      </c>
      <c r="D278" s="199">
        <v>400</v>
      </c>
      <c r="E278" s="12" t="s">
        <v>117</v>
      </c>
      <c r="F278" s="12"/>
      <c r="H278" s="12"/>
      <c r="I278" s="12"/>
      <c r="J278" s="12"/>
      <c r="K278" s="12"/>
      <c r="L278" s="12"/>
      <c r="M278" s="12"/>
      <c r="N278" s="12"/>
      <c r="O278" s="12"/>
      <c r="P278" s="12"/>
    </row>
    <row r="279" spans="1:16" x14ac:dyDescent="0.25">
      <c r="A279" s="193">
        <v>45748</v>
      </c>
      <c r="B279" s="40">
        <v>0.33333333333333298</v>
      </c>
      <c r="C279" s="12">
        <v>228</v>
      </c>
      <c r="D279" s="199">
        <v>370</v>
      </c>
      <c r="E279" s="12" t="s">
        <v>117</v>
      </c>
      <c r="F279" s="12"/>
      <c r="H279" s="12"/>
      <c r="I279" s="12"/>
      <c r="J279" s="12"/>
      <c r="K279" s="12"/>
      <c r="L279" s="12"/>
      <c r="M279" s="12"/>
      <c r="N279" s="12"/>
      <c r="O279" s="12"/>
      <c r="P279" s="12"/>
    </row>
    <row r="280" spans="1:16" x14ac:dyDescent="0.25">
      <c r="A280" s="193">
        <v>45748</v>
      </c>
      <c r="B280" s="40">
        <v>0.33333333333333298</v>
      </c>
      <c r="C280" s="12">
        <v>229</v>
      </c>
      <c r="D280" s="199">
        <v>385</v>
      </c>
      <c r="E280" s="12" t="s">
        <v>117</v>
      </c>
      <c r="F280" s="12"/>
      <c r="H280" s="12"/>
      <c r="I280" s="12"/>
      <c r="J280" s="12"/>
      <c r="K280" s="12"/>
      <c r="L280" s="12"/>
      <c r="M280" s="12"/>
      <c r="N280" s="12"/>
      <c r="O280" s="12"/>
      <c r="P280" s="12"/>
    </row>
    <row r="281" spans="1:16" x14ac:dyDescent="0.25">
      <c r="A281" s="193">
        <v>45748</v>
      </c>
      <c r="B281" s="40">
        <v>0.33333333333333298</v>
      </c>
      <c r="C281" s="12">
        <v>230</v>
      </c>
      <c r="D281" s="199">
        <v>420</v>
      </c>
      <c r="E281" s="12" t="s">
        <v>117</v>
      </c>
      <c r="F281" s="12"/>
      <c r="H281" s="12"/>
      <c r="I281" s="12"/>
      <c r="J281" s="12"/>
      <c r="K281" s="12"/>
      <c r="L281" s="12"/>
      <c r="M281" s="12"/>
      <c r="N281" s="12"/>
      <c r="O281" s="12"/>
      <c r="P281" s="12"/>
    </row>
    <row r="282" spans="1:16" x14ac:dyDescent="0.25">
      <c r="A282" s="193">
        <v>45748</v>
      </c>
      <c r="B282" s="40">
        <v>0.33333333333333298</v>
      </c>
      <c r="C282" s="12">
        <v>231</v>
      </c>
      <c r="D282" s="199">
        <v>395</v>
      </c>
      <c r="E282" s="12" t="s">
        <v>117</v>
      </c>
      <c r="F282" s="12"/>
      <c r="H282" s="12"/>
      <c r="I282" s="12"/>
      <c r="J282" s="12"/>
      <c r="K282" s="12"/>
      <c r="L282" s="12"/>
      <c r="M282" s="12"/>
      <c r="N282" s="12"/>
      <c r="O282" s="12"/>
      <c r="P282" s="12"/>
    </row>
    <row r="283" spans="1:16" x14ac:dyDescent="0.25">
      <c r="A283" s="193">
        <v>45748</v>
      </c>
      <c r="B283" s="40">
        <v>0.33333333333333298</v>
      </c>
      <c r="C283" s="12">
        <v>232</v>
      </c>
      <c r="D283" s="199">
        <v>385</v>
      </c>
      <c r="E283" s="12" t="s">
        <v>117</v>
      </c>
      <c r="F283" s="12"/>
      <c r="H283" s="12"/>
      <c r="I283" s="12"/>
      <c r="J283" s="12"/>
      <c r="K283" s="12"/>
      <c r="L283" s="12"/>
      <c r="M283" s="12"/>
      <c r="N283" s="12"/>
      <c r="O283" s="12"/>
      <c r="P283" s="12"/>
    </row>
    <row r="284" spans="1:16" x14ac:dyDescent="0.25">
      <c r="A284" s="193">
        <v>45748</v>
      </c>
      <c r="B284" s="40">
        <v>0.33333333333333298</v>
      </c>
      <c r="C284" s="12">
        <v>233</v>
      </c>
      <c r="D284" s="199">
        <v>390</v>
      </c>
      <c r="E284" s="12" t="s">
        <v>117</v>
      </c>
      <c r="F284" s="12"/>
      <c r="H284" s="12"/>
      <c r="I284" s="12"/>
      <c r="J284" s="12"/>
      <c r="K284" s="12"/>
      <c r="L284" s="12"/>
      <c r="M284" s="12"/>
      <c r="N284" s="12"/>
      <c r="O284" s="12"/>
      <c r="P284" s="12"/>
    </row>
    <row r="285" spans="1:16" x14ac:dyDescent="0.25">
      <c r="A285" s="193">
        <v>45748</v>
      </c>
      <c r="B285" s="40">
        <v>0.33333333333333298</v>
      </c>
      <c r="C285" s="12">
        <v>234</v>
      </c>
      <c r="D285" s="199">
        <v>420</v>
      </c>
      <c r="E285" s="12" t="s">
        <v>117</v>
      </c>
      <c r="F285" s="12"/>
      <c r="H285" s="12"/>
      <c r="I285" s="12"/>
      <c r="J285" s="12"/>
      <c r="K285" s="12"/>
      <c r="L285" s="12"/>
      <c r="M285" s="12"/>
      <c r="N285" s="12"/>
      <c r="O285" s="12"/>
      <c r="P285" s="12"/>
    </row>
    <row r="286" spans="1:16" x14ac:dyDescent="0.25">
      <c r="A286" s="193">
        <v>45748</v>
      </c>
      <c r="B286" s="40">
        <v>0.33333333333333298</v>
      </c>
      <c r="C286" s="12">
        <v>235</v>
      </c>
      <c r="D286" s="199">
        <v>350</v>
      </c>
      <c r="E286" s="12" t="s">
        <v>117</v>
      </c>
      <c r="F286" s="12"/>
      <c r="H286" s="12"/>
      <c r="I286" s="12"/>
      <c r="J286" s="12"/>
      <c r="K286" s="12"/>
      <c r="L286" s="12"/>
      <c r="M286" s="12"/>
      <c r="N286" s="12"/>
      <c r="O286" s="12"/>
      <c r="P286" s="12"/>
    </row>
    <row r="287" spans="1:16" x14ac:dyDescent="0.25">
      <c r="A287" s="193">
        <v>45748</v>
      </c>
      <c r="B287" s="40">
        <v>0.33333333333333298</v>
      </c>
      <c r="C287" s="12">
        <v>236</v>
      </c>
      <c r="D287" s="199">
        <v>405</v>
      </c>
      <c r="E287" s="12" t="s">
        <v>117</v>
      </c>
      <c r="F287" s="12"/>
      <c r="H287" s="12"/>
      <c r="I287" s="12"/>
      <c r="J287" s="12"/>
      <c r="K287" s="12"/>
      <c r="L287" s="12"/>
      <c r="M287" s="12"/>
      <c r="N287" s="12"/>
      <c r="O287" s="12"/>
      <c r="P287" s="12"/>
    </row>
    <row r="288" spans="1:16" x14ac:dyDescent="0.25">
      <c r="A288" s="193">
        <v>45748</v>
      </c>
      <c r="B288" s="40">
        <v>0.33333333333333298</v>
      </c>
      <c r="C288" s="12">
        <v>237</v>
      </c>
      <c r="D288" s="199">
        <v>385</v>
      </c>
      <c r="E288" s="12" t="s">
        <v>117</v>
      </c>
      <c r="F288" s="12"/>
      <c r="H288" s="12"/>
      <c r="I288" s="12"/>
      <c r="J288" s="12"/>
      <c r="K288" s="12"/>
      <c r="L288" s="12"/>
      <c r="M288" s="12"/>
      <c r="N288" s="12"/>
      <c r="O288" s="12"/>
      <c r="P288" s="12"/>
    </row>
    <row r="289" spans="1:16" x14ac:dyDescent="0.25">
      <c r="A289" s="193">
        <v>45748</v>
      </c>
      <c r="B289" s="40">
        <v>0.33333333333333298</v>
      </c>
      <c r="C289" s="12">
        <v>238</v>
      </c>
      <c r="D289" s="199">
        <v>465</v>
      </c>
      <c r="E289" s="12" t="s">
        <v>114</v>
      </c>
      <c r="F289" s="12"/>
      <c r="H289" s="12"/>
      <c r="I289" s="12"/>
      <c r="J289" s="12"/>
      <c r="K289" s="12"/>
      <c r="L289" s="12"/>
      <c r="M289" s="12"/>
      <c r="N289" s="12"/>
      <c r="O289" s="12"/>
      <c r="P289" s="12"/>
    </row>
    <row r="290" spans="1:16" x14ac:dyDescent="0.25">
      <c r="A290" s="193">
        <v>45748</v>
      </c>
      <c r="B290" s="40">
        <v>0.33333333333333298</v>
      </c>
      <c r="C290" s="12">
        <v>239</v>
      </c>
      <c r="D290" s="199">
        <v>410</v>
      </c>
      <c r="E290" s="12" t="s">
        <v>117</v>
      </c>
      <c r="F290" s="12"/>
      <c r="H290" s="12"/>
      <c r="I290" s="12"/>
      <c r="J290" s="12"/>
      <c r="K290" s="12"/>
      <c r="L290" s="12"/>
      <c r="M290" s="12"/>
      <c r="N290" s="12"/>
      <c r="O290" s="12"/>
      <c r="P290" s="12"/>
    </row>
    <row r="291" spans="1:16" x14ac:dyDescent="0.25">
      <c r="A291" s="193">
        <v>45748</v>
      </c>
      <c r="B291" s="40">
        <v>0.33333333333333298</v>
      </c>
      <c r="C291" s="12">
        <v>240</v>
      </c>
      <c r="D291" s="199">
        <v>410</v>
      </c>
      <c r="E291" s="12" t="s">
        <v>117</v>
      </c>
      <c r="F291" s="12"/>
      <c r="H291" s="12"/>
      <c r="I291" s="12"/>
      <c r="J291" s="12"/>
      <c r="K291" s="12"/>
      <c r="L291" s="12"/>
      <c r="M291" s="12"/>
      <c r="N291" s="12"/>
      <c r="O291" s="12"/>
      <c r="P291" s="12"/>
    </row>
    <row r="292" spans="1:16" x14ac:dyDescent="0.25">
      <c r="A292" s="193">
        <v>45748</v>
      </c>
      <c r="B292" s="40">
        <v>0.33333333333333298</v>
      </c>
      <c r="C292" s="12">
        <v>241</v>
      </c>
      <c r="D292" s="199">
        <v>490</v>
      </c>
      <c r="E292" s="12" t="s">
        <v>114</v>
      </c>
      <c r="F292" s="12"/>
      <c r="H292" s="12"/>
      <c r="I292" s="12"/>
      <c r="J292" s="12"/>
      <c r="K292" s="12"/>
      <c r="L292" s="12"/>
      <c r="M292" s="12"/>
      <c r="N292" s="12"/>
      <c r="O292" s="12"/>
      <c r="P292" s="12"/>
    </row>
    <row r="293" spans="1:16" x14ac:dyDescent="0.25">
      <c r="A293" s="193">
        <v>45748</v>
      </c>
      <c r="B293" s="40">
        <v>0.33333333333333298</v>
      </c>
      <c r="C293" s="12">
        <v>242</v>
      </c>
      <c r="D293" s="199">
        <v>360</v>
      </c>
      <c r="E293" s="12" t="s">
        <v>116</v>
      </c>
      <c r="F293" s="12"/>
      <c r="H293" s="12"/>
      <c r="I293" s="12"/>
      <c r="J293" s="12"/>
      <c r="K293" s="12"/>
      <c r="L293" s="12"/>
      <c r="M293" s="12"/>
      <c r="N293" s="12"/>
      <c r="O293" s="12"/>
      <c r="P293" s="12"/>
    </row>
    <row r="294" spans="1:16" x14ac:dyDescent="0.25">
      <c r="A294" s="193">
        <v>45748</v>
      </c>
      <c r="B294" s="40">
        <v>0.33333333333333298</v>
      </c>
      <c r="C294" s="12">
        <v>243</v>
      </c>
      <c r="D294" s="199">
        <v>425</v>
      </c>
      <c r="E294" s="12" t="s">
        <v>117</v>
      </c>
      <c r="F294" s="12"/>
      <c r="H294" s="12"/>
      <c r="I294" s="12"/>
      <c r="J294" s="12"/>
      <c r="K294" s="12"/>
      <c r="L294" s="12"/>
      <c r="M294" s="12"/>
      <c r="N294" s="12"/>
      <c r="O294" s="12"/>
      <c r="P294" s="12"/>
    </row>
    <row r="295" spans="1:16" x14ac:dyDescent="0.25">
      <c r="A295" s="193">
        <v>45748</v>
      </c>
      <c r="B295" s="40">
        <v>0.33333333333333298</v>
      </c>
      <c r="C295" s="12">
        <v>244</v>
      </c>
      <c r="D295" s="199">
        <v>395</v>
      </c>
      <c r="E295" s="12" t="s">
        <v>116</v>
      </c>
      <c r="F295" s="12"/>
      <c r="H295" s="12"/>
      <c r="I295" s="12"/>
      <c r="J295" s="12"/>
      <c r="K295" s="12"/>
      <c r="L295" s="12"/>
      <c r="M295" s="12"/>
      <c r="N295" s="12"/>
      <c r="O295" s="12"/>
      <c r="P295" s="12"/>
    </row>
    <row r="296" spans="1:16" x14ac:dyDescent="0.25">
      <c r="A296" s="193">
        <v>45748</v>
      </c>
      <c r="B296" s="40">
        <v>0.33333333333333298</v>
      </c>
      <c r="C296" s="12">
        <v>245</v>
      </c>
      <c r="D296" s="199">
        <v>490</v>
      </c>
      <c r="E296" s="12" t="s">
        <v>114</v>
      </c>
      <c r="F296" s="12"/>
      <c r="H296" s="12"/>
      <c r="I296" s="12"/>
      <c r="J296" s="12"/>
      <c r="K296" s="12"/>
      <c r="L296" s="12"/>
      <c r="M296" s="12"/>
      <c r="N296" s="12"/>
      <c r="O296" s="12"/>
      <c r="P296" s="12"/>
    </row>
    <row r="297" spans="1:16" x14ac:dyDescent="0.25">
      <c r="A297" s="193">
        <v>45748</v>
      </c>
      <c r="B297" s="40">
        <v>0.33333333333333298</v>
      </c>
      <c r="C297" s="12">
        <v>246</v>
      </c>
      <c r="D297" s="199">
        <v>360</v>
      </c>
      <c r="E297" s="12" t="s">
        <v>116</v>
      </c>
      <c r="F297" s="12"/>
      <c r="H297" s="12"/>
      <c r="I297" s="12"/>
      <c r="J297" s="12"/>
      <c r="K297" s="12"/>
      <c r="L297" s="12"/>
      <c r="M297" s="12"/>
      <c r="N297" s="12"/>
      <c r="O297" s="12"/>
      <c r="P297" s="12"/>
    </row>
    <row r="298" spans="1:16" x14ac:dyDescent="0.25">
      <c r="A298" s="193">
        <v>45748</v>
      </c>
      <c r="B298" s="40">
        <v>0.33333333333333298</v>
      </c>
      <c r="C298" s="12">
        <v>247</v>
      </c>
      <c r="D298" s="199">
        <v>415</v>
      </c>
      <c r="E298" s="12" t="s">
        <v>117</v>
      </c>
      <c r="F298" s="12"/>
      <c r="H298" s="12"/>
      <c r="I298" s="12"/>
      <c r="J298" s="12"/>
      <c r="K298" s="12"/>
      <c r="L298" s="12"/>
      <c r="M298" s="12"/>
      <c r="N298" s="12"/>
      <c r="O298" s="12"/>
      <c r="P298" s="12"/>
    </row>
    <row r="299" spans="1:16" x14ac:dyDescent="0.25">
      <c r="A299" s="193">
        <v>45748</v>
      </c>
      <c r="B299" s="40">
        <v>0.33333333333333298</v>
      </c>
      <c r="C299" s="12">
        <v>248</v>
      </c>
      <c r="D299" s="199">
        <v>420</v>
      </c>
      <c r="E299" s="12" t="s">
        <v>117</v>
      </c>
      <c r="F299" s="12"/>
      <c r="H299" s="12"/>
      <c r="I299" s="12"/>
      <c r="J299" s="12"/>
      <c r="K299" s="12"/>
      <c r="L299" s="12"/>
      <c r="M299" s="12"/>
      <c r="N299" s="12"/>
      <c r="O299" s="12"/>
      <c r="P299" s="12"/>
    </row>
    <row r="300" spans="1:16" x14ac:dyDescent="0.25">
      <c r="A300" s="193">
        <v>45748</v>
      </c>
      <c r="B300" s="40">
        <v>0.33333333333333298</v>
      </c>
      <c r="C300" s="12">
        <v>249</v>
      </c>
      <c r="D300" s="199">
        <v>420</v>
      </c>
      <c r="E300" s="12" t="s">
        <v>117</v>
      </c>
      <c r="F300" s="12"/>
      <c r="H300" s="12"/>
      <c r="I300" s="12"/>
      <c r="J300" s="12"/>
      <c r="K300" s="12"/>
      <c r="L300" s="12"/>
      <c r="M300" s="12"/>
      <c r="N300" s="12"/>
      <c r="O300" s="12"/>
      <c r="P300" s="12"/>
    </row>
    <row r="301" spans="1:16" x14ac:dyDescent="0.25">
      <c r="A301" s="193">
        <v>45748</v>
      </c>
      <c r="B301" s="40">
        <v>0.33333333333333298</v>
      </c>
      <c r="C301" s="12">
        <v>250</v>
      </c>
      <c r="D301" s="199">
        <v>350</v>
      </c>
      <c r="E301" s="12" t="s">
        <v>116</v>
      </c>
      <c r="F301" s="12"/>
      <c r="H301" s="12"/>
      <c r="I301" s="12"/>
      <c r="J301" s="12"/>
      <c r="K301" s="12"/>
      <c r="L301" s="12"/>
      <c r="M301" s="12"/>
      <c r="N301" s="12"/>
      <c r="O301" s="12"/>
      <c r="P301" s="12"/>
    </row>
    <row r="302" spans="1:16" x14ac:dyDescent="0.25">
      <c r="A302" s="193">
        <v>45748</v>
      </c>
      <c r="B302" s="40">
        <v>0.33333333333333298</v>
      </c>
      <c r="C302" s="12">
        <v>251</v>
      </c>
      <c r="D302" s="199">
        <v>400</v>
      </c>
      <c r="E302" s="12" t="s">
        <v>117</v>
      </c>
      <c r="F302" s="12"/>
      <c r="H302" s="12"/>
      <c r="I302" s="12"/>
      <c r="J302" s="12"/>
      <c r="K302" s="12"/>
      <c r="L302" s="12"/>
      <c r="M302" s="12"/>
      <c r="N302" s="12"/>
      <c r="O302" s="12"/>
      <c r="P302" s="12"/>
    </row>
    <row r="303" spans="1:16" x14ac:dyDescent="0.25">
      <c r="A303" s="193">
        <v>45748</v>
      </c>
      <c r="B303" s="40">
        <v>0.33333333333333298</v>
      </c>
      <c r="C303" s="12">
        <v>252</v>
      </c>
      <c r="D303" s="199">
        <v>430</v>
      </c>
      <c r="E303" s="12" t="s">
        <v>117</v>
      </c>
      <c r="F303" s="12"/>
      <c r="H303" s="12"/>
      <c r="I303" s="12"/>
      <c r="J303" s="12"/>
      <c r="K303" s="12"/>
      <c r="L303" s="12"/>
      <c r="M303" s="12"/>
      <c r="N303" s="12"/>
      <c r="O303" s="12"/>
      <c r="P303" s="12"/>
    </row>
    <row r="304" spans="1:16" x14ac:dyDescent="0.25">
      <c r="A304" s="193">
        <v>45748</v>
      </c>
      <c r="B304" s="40">
        <v>0.33333333333333298</v>
      </c>
      <c r="C304" s="12">
        <v>253</v>
      </c>
      <c r="D304" s="199">
        <v>425</v>
      </c>
      <c r="E304" s="12" t="s">
        <v>117</v>
      </c>
      <c r="F304" s="12"/>
      <c r="H304" s="12"/>
      <c r="I304" s="12"/>
      <c r="J304" s="12"/>
      <c r="K304" s="12"/>
      <c r="L304" s="12"/>
      <c r="M304" s="12"/>
      <c r="N304" s="12"/>
      <c r="O304" s="12"/>
      <c r="P304" s="12"/>
    </row>
    <row r="305" spans="1:16" x14ac:dyDescent="0.25">
      <c r="A305" s="193">
        <v>45748</v>
      </c>
      <c r="B305" s="40">
        <v>0.33333333333333298</v>
      </c>
      <c r="C305" s="12">
        <v>254</v>
      </c>
      <c r="D305" s="199">
        <v>410</v>
      </c>
      <c r="E305" s="12" t="s">
        <v>117</v>
      </c>
      <c r="F305" s="12"/>
      <c r="H305" s="12"/>
      <c r="I305" s="12"/>
      <c r="J305" s="12"/>
      <c r="K305" s="12"/>
      <c r="L305" s="12"/>
      <c r="M305" s="12"/>
      <c r="N305" s="12"/>
      <c r="O305" s="12"/>
      <c r="P305" s="12"/>
    </row>
    <row r="306" spans="1:16" x14ac:dyDescent="0.25">
      <c r="A306" s="193">
        <v>45748</v>
      </c>
      <c r="B306" s="40">
        <v>0.33333333333333298</v>
      </c>
      <c r="C306" s="12">
        <v>255</v>
      </c>
      <c r="D306" s="199">
        <v>420</v>
      </c>
      <c r="E306" s="12" t="s">
        <v>117</v>
      </c>
      <c r="F306" s="12"/>
      <c r="H306" s="12"/>
      <c r="I306" s="12"/>
      <c r="J306" s="12"/>
      <c r="K306" s="12"/>
      <c r="L306" s="12"/>
      <c r="M306" s="12"/>
      <c r="N306" s="12"/>
      <c r="O306" s="12"/>
      <c r="P306" s="12"/>
    </row>
    <row r="307" spans="1:16" x14ac:dyDescent="0.25">
      <c r="A307" s="193">
        <v>45748</v>
      </c>
      <c r="B307" s="40">
        <v>0.33333333333333298</v>
      </c>
      <c r="C307" s="12">
        <v>256</v>
      </c>
      <c r="D307" s="199">
        <v>380</v>
      </c>
      <c r="E307" s="12" t="s">
        <v>116</v>
      </c>
      <c r="F307" s="12"/>
      <c r="H307" s="12"/>
      <c r="I307" s="12"/>
      <c r="J307" s="12"/>
      <c r="K307" s="12"/>
      <c r="L307" s="12"/>
      <c r="M307" s="12"/>
      <c r="N307" s="12"/>
      <c r="O307" s="12"/>
      <c r="P307" s="12"/>
    </row>
    <row r="308" spans="1:16" x14ac:dyDescent="0.25">
      <c r="A308" s="193">
        <v>45748</v>
      </c>
      <c r="B308" s="40">
        <v>0.33333333333333298</v>
      </c>
      <c r="C308" s="12">
        <v>257</v>
      </c>
      <c r="D308" s="199">
        <v>450</v>
      </c>
      <c r="E308" s="12" t="s">
        <v>114</v>
      </c>
      <c r="F308" s="12"/>
      <c r="H308" s="12"/>
      <c r="I308" s="12"/>
      <c r="J308" s="12"/>
      <c r="K308" s="12"/>
      <c r="L308" s="12"/>
      <c r="M308" s="12"/>
      <c r="N308" s="12"/>
      <c r="O308" s="12"/>
      <c r="P308" s="12"/>
    </row>
    <row r="309" spans="1:16" x14ac:dyDescent="0.25">
      <c r="A309" s="193">
        <v>45748</v>
      </c>
      <c r="B309" s="40">
        <v>0.33333333333333298</v>
      </c>
      <c r="C309" s="12">
        <v>258</v>
      </c>
      <c r="D309" s="199">
        <v>440</v>
      </c>
      <c r="E309" s="12" t="s">
        <v>117</v>
      </c>
      <c r="F309" s="12"/>
      <c r="H309" s="12"/>
      <c r="I309" s="12"/>
      <c r="J309" s="12"/>
      <c r="K309" s="12"/>
      <c r="L309" s="12"/>
      <c r="M309" s="12"/>
      <c r="N309" s="12"/>
      <c r="O309" s="12"/>
      <c r="P309" s="12"/>
    </row>
    <row r="310" spans="1:16" x14ac:dyDescent="0.25">
      <c r="A310" s="193">
        <v>45748</v>
      </c>
      <c r="B310" s="40">
        <v>0.33333333333333298</v>
      </c>
      <c r="C310" s="12">
        <v>259</v>
      </c>
      <c r="D310" s="199">
        <v>395</v>
      </c>
      <c r="E310" s="12" t="s">
        <v>117</v>
      </c>
      <c r="F310" s="12"/>
      <c r="H310" s="12"/>
      <c r="I310" s="12"/>
      <c r="J310" s="12"/>
      <c r="K310" s="12"/>
      <c r="L310" s="12"/>
      <c r="M310" s="12"/>
      <c r="N310" s="12"/>
      <c r="O310" s="12"/>
      <c r="P310" s="12"/>
    </row>
    <row r="311" spans="1:16" x14ac:dyDescent="0.25">
      <c r="A311" s="193">
        <v>45748</v>
      </c>
      <c r="B311" s="40">
        <v>0.33333333333333298</v>
      </c>
      <c r="C311" s="12">
        <v>260</v>
      </c>
      <c r="D311" s="199">
        <v>395</v>
      </c>
      <c r="E311" s="12" t="s">
        <v>117</v>
      </c>
      <c r="F311" s="12"/>
      <c r="H311" s="12"/>
      <c r="I311" s="12"/>
      <c r="J311" s="12"/>
      <c r="K311" s="12"/>
      <c r="L311" s="12"/>
      <c r="M311" s="12"/>
      <c r="N311" s="12"/>
      <c r="O311" s="12"/>
      <c r="P311" s="12"/>
    </row>
    <row r="312" spans="1:16" x14ac:dyDescent="0.25">
      <c r="A312" s="193">
        <v>45748</v>
      </c>
      <c r="B312" s="40">
        <v>0.33333333333333298</v>
      </c>
      <c r="C312" s="12">
        <v>261</v>
      </c>
      <c r="D312" s="199">
        <v>470</v>
      </c>
      <c r="E312" s="12" t="s">
        <v>114</v>
      </c>
      <c r="F312" s="12"/>
      <c r="H312" s="12"/>
      <c r="I312" s="12"/>
      <c r="J312" s="12"/>
      <c r="K312" s="12"/>
      <c r="L312" s="12"/>
      <c r="M312" s="12"/>
      <c r="N312" s="12"/>
      <c r="O312" s="12"/>
      <c r="P312" s="12"/>
    </row>
    <row r="313" spans="1:16" x14ac:dyDescent="0.25">
      <c r="A313" s="193">
        <v>45748</v>
      </c>
      <c r="B313" s="40">
        <v>0.33333333333333298</v>
      </c>
      <c r="C313" s="12">
        <v>262</v>
      </c>
      <c r="D313" s="199">
        <v>460</v>
      </c>
      <c r="E313" s="12" t="s">
        <v>114</v>
      </c>
      <c r="F313" s="12"/>
      <c r="H313" s="12"/>
      <c r="I313" s="12"/>
      <c r="J313" s="12"/>
      <c r="K313" s="12"/>
      <c r="L313" s="12"/>
      <c r="M313" s="12"/>
      <c r="N313" s="12"/>
      <c r="O313" s="12"/>
      <c r="P313" s="12"/>
    </row>
    <row r="314" spans="1:16" x14ac:dyDescent="0.25">
      <c r="A314" s="193">
        <v>45748</v>
      </c>
      <c r="B314" s="40">
        <v>0.33333333333333298</v>
      </c>
      <c r="C314" s="12">
        <v>263</v>
      </c>
      <c r="D314" s="199">
        <v>310</v>
      </c>
      <c r="E314" s="12" t="s">
        <v>116</v>
      </c>
      <c r="F314" s="12"/>
      <c r="H314" s="12"/>
      <c r="I314" s="12"/>
      <c r="J314" s="12"/>
      <c r="K314" s="12"/>
      <c r="L314" s="12"/>
      <c r="M314" s="12"/>
      <c r="N314" s="12"/>
      <c r="O314" s="12"/>
      <c r="P314" s="12"/>
    </row>
    <row r="315" spans="1:16" x14ac:dyDescent="0.25">
      <c r="A315" s="193">
        <v>45748</v>
      </c>
      <c r="B315" s="40">
        <v>0.33333333333333298</v>
      </c>
      <c r="C315" s="12">
        <v>264</v>
      </c>
      <c r="D315" s="199">
        <v>350</v>
      </c>
      <c r="E315" s="12" t="s">
        <v>116</v>
      </c>
      <c r="F315" s="12"/>
      <c r="H315" s="12"/>
      <c r="I315" s="12"/>
      <c r="J315" s="12"/>
      <c r="K315" s="12"/>
      <c r="L315" s="12"/>
      <c r="M315" s="12"/>
      <c r="N315" s="12"/>
      <c r="O315" s="12"/>
      <c r="P315" s="12"/>
    </row>
    <row r="316" spans="1:16" x14ac:dyDescent="0.25">
      <c r="A316" s="193">
        <v>45748</v>
      </c>
      <c r="B316" s="40">
        <v>0.33333333333333298</v>
      </c>
      <c r="C316" s="12">
        <v>265</v>
      </c>
      <c r="D316" s="199">
        <v>415</v>
      </c>
      <c r="E316" s="12" t="s">
        <v>117</v>
      </c>
      <c r="F316" s="12"/>
      <c r="H316" s="12"/>
      <c r="I316" s="12"/>
      <c r="J316" s="12"/>
      <c r="K316" s="12"/>
      <c r="L316" s="12"/>
      <c r="M316" s="12"/>
      <c r="N316" s="12"/>
      <c r="O316" s="12"/>
      <c r="P316" s="12"/>
    </row>
    <row r="317" spans="1:16" x14ac:dyDescent="0.25">
      <c r="A317" s="193">
        <v>45748</v>
      </c>
      <c r="B317" s="40">
        <v>0.33333333333333298</v>
      </c>
      <c r="C317" s="12">
        <v>266</v>
      </c>
      <c r="D317" s="199">
        <v>445</v>
      </c>
      <c r="E317" s="12" t="s">
        <v>114</v>
      </c>
      <c r="F317" s="12"/>
      <c r="H317" s="12"/>
      <c r="I317" s="12"/>
      <c r="J317" s="12"/>
      <c r="K317" s="12"/>
      <c r="L317" s="12"/>
      <c r="M317" s="12"/>
      <c r="N317" s="12"/>
      <c r="O317" s="12"/>
      <c r="P317" s="12"/>
    </row>
    <row r="318" spans="1:16" x14ac:dyDescent="0.25">
      <c r="A318" s="193">
        <v>45748</v>
      </c>
      <c r="B318" s="40">
        <v>0.33333333333333298</v>
      </c>
      <c r="C318" s="12">
        <v>267</v>
      </c>
      <c r="D318" s="199">
        <v>350</v>
      </c>
      <c r="E318" s="12" t="s">
        <v>116</v>
      </c>
      <c r="F318" s="12"/>
      <c r="H318" s="12"/>
      <c r="I318" s="12"/>
      <c r="J318" s="12"/>
      <c r="K318" s="12"/>
      <c r="L318" s="12"/>
      <c r="M318" s="12"/>
      <c r="N318" s="12"/>
      <c r="O318" s="12"/>
      <c r="P318" s="12"/>
    </row>
    <row r="319" spans="1:16" x14ac:dyDescent="0.25">
      <c r="A319" s="193">
        <v>45748</v>
      </c>
      <c r="B319" s="40">
        <v>0.33333333333333298</v>
      </c>
      <c r="C319" s="12">
        <v>268</v>
      </c>
      <c r="D319" s="199">
        <v>430</v>
      </c>
      <c r="E319" s="12" t="s">
        <v>117</v>
      </c>
      <c r="F319" s="12"/>
      <c r="H319" s="12"/>
      <c r="I319" s="12"/>
      <c r="J319" s="12"/>
      <c r="K319" s="12"/>
      <c r="L319" s="12"/>
      <c r="M319" s="12"/>
      <c r="N319" s="12"/>
      <c r="O319" s="12"/>
      <c r="P319" s="12"/>
    </row>
    <row r="320" spans="1:16" x14ac:dyDescent="0.25">
      <c r="A320" s="193">
        <v>45748</v>
      </c>
      <c r="B320" s="40">
        <v>0.33333333333333298</v>
      </c>
      <c r="C320" s="12">
        <v>269</v>
      </c>
      <c r="D320" s="199">
        <v>385</v>
      </c>
      <c r="E320" s="12" t="s">
        <v>117</v>
      </c>
      <c r="F320" s="12"/>
      <c r="H320" s="12"/>
      <c r="I320" s="12"/>
      <c r="J320" s="12"/>
      <c r="K320" s="12"/>
      <c r="L320" s="12"/>
      <c r="M320" s="12"/>
      <c r="N320" s="12"/>
      <c r="O320" s="12"/>
      <c r="P320" s="12"/>
    </row>
    <row r="321" spans="1:16" x14ac:dyDescent="0.25">
      <c r="A321" s="193">
        <v>45748</v>
      </c>
      <c r="B321" s="40">
        <v>0.33333333333333298</v>
      </c>
      <c r="C321" s="12">
        <v>270</v>
      </c>
      <c r="D321" s="199">
        <v>400</v>
      </c>
      <c r="E321" s="12" t="s">
        <v>117</v>
      </c>
      <c r="F321" s="12"/>
      <c r="H321" s="12"/>
      <c r="I321" s="12"/>
      <c r="J321" s="12"/>
      <c r="K321" s="12"/>
      <c r="L321" s="12"/>
      <c r="M321" s="12"/>
      <c r="N321" s="12"/>
      <c r="O321" s="12"/>
      <c r="P321" s="12"/>
    </row>
    <row r="322" spans="1:16" x14ac:dyDescent="0.25">
      <c r="A322" s="193">
        <v>45748</v>
      </c>
      <c r="B322" s="40">
        <v>0.33333333333333298</v>
      </c>
      <c r="C322" s="12">
        <v>271</v>
      </c>
      <c r="D322" s="199">
        <v>420</v>
      </c>
      <c r="E322" s="12" t="s">
        <v>117</v>
      </c>
      <c r="F322" s="12"/>
      <c r="H322" s="12"/>
      <c r="I322" s="12"/>
      <c r="J322" s="12"/>
      <c r="K322" s="12"/>
      <c r="L322" s="12"/>
      <c r="M322" s="12"/>
      <c r="N322" s="12"/>
      <c r="O322" s="12"/>
      <c r="P322" s="12"/>
    </row>
    <row r="323" spans="1:16" x14ac:dyDescent="0.25">
      <c r="A323" s="193">
        <v>45748</v>
      </c>
      <c r="B323" s="40">
        <v>0.33333333333333298</v>
      </c>
      <c r="C323" s="12">
        <v>272</v>
      </c>
      <c r="D323" s="199">
        <v>270</v>
      </c>
      <c r="E323" s="12" t="s">
        <v>123</v>
      </c>
      <c r="F323" s="12"/>
      <c r="H323" s="12"/>
      <c r="I323" s="12"/>
      <c r="J323" s="12"/>
      <c r="K323" s="12"/>
      <c r="L323" s="12"/>
      <c r="M323" s="12"/>
      <c r="N323" s="12"/>
      <c r="O323" s="12"/>
      <c r="P323" s="12"/>
    </row>
    <row r="324" spans="1:16" x14ac:dyDescent="0.25">
      <c r="A324" s="193">
        <v>45748</v>
      </c>
      <c r="B324" s="40">
        <v>0.33333333333333298</v>
      </c>
      <c r="C324" s="12">
        <v>273</v>
      </c>
      <c r="D324" s="199">
        <v>405</v>
      </c>
      <c r="E324" s="12" t="s">
        <v>117</v>
      </c>
      <c r="F324" s="12"/>
      <c r="H324" s="12"/>
      <c r="I324" s="12"/>
      <c r="J324" s="12"/>
      <c r="K324" s="12"/>
      <c r="L324" s="12"/>
      <c r="M324" s="12"/>
      <c r="N324" s="12"/>
      <c r="O324" s="12"/>
      <c r="P324" s="12"/>
    </row>
    <row r="325" spans="1:16" x14ac:dyDescent="0.25">
      <c r="A325" s="193">
        <v>45748</v>
      </c>
      <c r="B325" s="40">
        <v>0.33333333333333298</v>
      </c>
      <c r="C325" s="12">
        <v>274</v>
      </c>
      <c r="D325" s="199">
        <v>465</v>
      </c>
      <c r="E325" s="12" t="s">
        <v>114</v>
      </c>
      <c r="F325" s="12"/>
      <c r="H325" s="12"/>
      <c r="I325" s="12"/>
      <c r="J325" s="12"/>
      <c r="K325" s="12"/>
      <c r="L325" s="12"/>
      <c r="M325" s="12"/>
      <c r="N325" s="12"/>
      <c r="O325" s="12"/>
      <c r="P325" s="12"/>
    </row>
    <row r="326" spans="1:16" x14ac:dyDescent="0.25">
      <c r="A326" s="193">
        <v>45748</v>
      </c>
      <c r="B326" s="40">
        <v>0.33333333333333298</v>
      </c>
      <c r="C326" s="12">
        <v>275</v>
      </c>
      <c r="D326" s="199">
        <v>400</v>
      </c>
      <c r="E326" s="12" t="s">
        <v>117</v>
      </c>
      <c r="F326" s="12"/>
      <c r="H326" s="12"/>
      <c r="I326" s="12"/>
      <c r="J326" s="12"/>
      <c r="K326" s="12"/>
      <c r="L326" s="12"/>
      <c r="M326" s="12"/>
      <c r="N326" s="12"/>
      <c r="O326" s="12"/>
      <c r="P326" s="12"/>
    </row>
    <row r="327" spans="1:16" x14ac:dyDescent="0.25">
      <c r="A327" s="193">
        <v>45748</v>
      </c>
      <c r="B327" s="40">
        <v>0.33333333333333298</v>
      </c>
      <c r="C327" s="12">
        <v>276</v>
      </c>
      <c r="D327" s="199">
        <v>400</v>
      </c>
      <c r="E327" s="12" t="s">
        <v>117</v>
      </c>
      <c r="F327" s="12"/>
      <c r="H327" s="12"/>
      <c r="I327" s="12"/>
      <c r="J327" s="12"/>
      <c r="K327" s="12"/>
      <c r="L327" s="12"/>
      <c r="M327" s="12"/>
      <c r="N327" s="12"/>
      <c r="O327" s="12"/>
      <c r="P327" s="12"/>
    </row>
    <row r="328" spans="1:16" x14ac:dyDescent="0.25">
      <c r="A328" s="193">
        <v>45748</v>
      </c>
      <c r="B328" s="40">
        <v>0.33333333333333298</v>
      </c>
      <c r="C328" s="12">
        <v>277</v>
      </c>
      <c r="D328" s="199">
        <v>400</v>
      </c>
      <c r="E328" s="12" t="s">
        <v>117</v>
      </c>
      <c r="F328" s="12"/>
      <c r="H328" s="12"/>
      <c r="I328" s="12"/>
      <c r="J328" s="12"/>
      <c r="K328" s="12"/>
      <c r="L328" s="12"/>
      <c r="M328" s="12"/>
      <c r="N328" s="12"/>
      <c r="O328" s="12"/>
      <c r="P328" s="12"/>
    </row>
    <row r="329" spans="1:16" x14ac:dyDescent="0.25">
      <c r="A329" s="193">
        <v>45748</v>
      </c>
      <c r="B329" s="40">
        <v>0.33333333333333298</v>
      </c>
      <c r="C329" s="12">
        <v>278</v>
      </c>
      <c r="D329" s="199">
        <v>435</v>
      </c>
      <c r="E329" s="12" t="s">
        <v>117</v>
      </c>
      <c r="F329" s="12"/>
      <c r="H329" s="12"/>
      <c r="I329" s="12"/>
      <c r="J329" s="12"/>
      <c r="K329" s="12"/>
      <c r="L329" s="12"/>
      <c r="M329" s="12"/>
      <c r="N329" s="12"/>
      <c r="O329" s="12"/>
      <c r="P329" s="12"/>
    </row>
    <row r="330" spans="1:16" x14ac:dyDescent="0.25">
      <c r="A330" s="193">
        <v>45748</v>
      </c>
      <c r="B330" s="40">
        <v>0.33333333333333298</v>
      </c>
      <c r="C330" s="12">
        <v>279</v>
      </c>
      <c r="D330" s="199">
        <v>390</v>
      </c>
      <c r="E330" s="12" t="s">
        <v>117</v>
      </c>
      <c r="F330" s="12"/>
      <c r="H330" s="12"/>
      <c r="I330" s="12"/>
      <c r="J330" s="12"/>
      <c r="K330" s="12"/>
      <c r="L330" s="12"/>
      <c r="M330" s="12"/>
      <c r="N330" s="12"/>
      <c r="O330" s="12"/>
      <c r="P330" s="12"/>
    </row>
    <row r="331" spans="1:16" x14ac:dyDescent="0.25">
      <c r="A331" s="193">
        <v>45748</v>
      </c>
      <c r="B331" s="40">
        <v>0.33333333333333298</v>
      </c>
      <c r="C331" s="12">
        <v>280</v>
      </c>
      <c r="D331" s="199">
        <v>445</v>
      </c>
      <c r="E331" s="12" t="s">
        <v>114</v>
      </c>
      <c r="F331" s="12"/>
      <c r="H331" s="12"/>
      <c r="I331" s="12"/>
      <c r="J331" s="12"/>
      <c r="K331" s="12"/>
      <c r="L331" s="12"/>
      <c r="M331" s="12"/>
      <c r="N331" s="12"/>
      <c r="O331" s="12"/>
      <c r="P331" s="12"/>
    </row>
    <row r="332" spans="1:16" x14ac:dyDescent="0.25">
      <c r="A332" s="193">
        <v>45748</v>
      </c>
      <c r="B332" s="40">
        <v>0.33333333333333298</v>
      </c>
      <c r="C332" s="12">
        <v>281</v>
      </c>
      <c r="D332" s="199">
        <v>330</v>
      </c>
      <c r="E332" s="12" t="s">
        <v>117</v>
      </c>
      <c r="F332" s="12"/>
      <c r="H332" s="12"/>
      <c r="I332" s="12"/>
      <c r="J332" s="12"/>
      <c r="K332" s="12"/>
      <c r="L332" s="12"/>
      <c r="M332" s="12"/>
      <c r="N332" s="12"/>
      <c r="O332" s="12"/>
      <c r="P332" s="12"/>
    </row>
    <row r="333" spans="1:16" x14ac:dyDescent="0.25">
      <c r="A333" s="193">
        <v>45748</v>
      </c>
      <c r="B333" s="40">
        <v>0.33333333333333298</v>
      </c>
      <c r="C333" s="12">
        <v>282</v>
      </c>
      <c r="D333" s="199">
        <v>420</v>
      </c>
      <c r="E333" s="12" t="s">
        <v>117</v>
      </c>
      <c r="F333" s="12"/>
      <c r="H333" s="12"/>
      <c r="I333" s="12"/>
      <c r="J333" s="12"/>
      <c r="K333" s="12"/>
      <c r="L333" s="12"/>
      <c r="M333" s="12"/>
      <c r="N333" s="12"/>
      <c r="O333" s="12"/>
      <c r="P333" s="12"/>
    </row>
    <row r="334" spans="1:16" x14ac:dyDescent="0.25">
      <c r="A334" s="193">
        <v>45748</v>
      </c>
      <c r="B334" s="40">
        <v>0.33333333333333298</v>
      </c>
      <c r="C334" s="12">
        <v>283</v>
      </c>
      <c r="D334" s="199">
        <v>400</v>
      </c>
      <c r="E334" s="12" t="s">
        <v>117</v>
      </c>
      <c r="F334" s="12"/>
      <c r="H334" s="12"/>
      <c r="I334" s="12"/>
      <c r="J334" s="12"/>
      <c r="K334" s="12"/>
      <c r="L334" s="12"/>
      <c r="M334" s="12"/>
      <c r="N334" s="12"/>
      <c r="O334" s="12"/>
      <c r="P334" s="12"/>
    </row>
    <row r="335" spans="1:16" x14ac:dyDescent="0.25">
      <c r="A335" s="193">
        <v>45748</v>
      </c>
      <c r="B335" s="40">
        <v>0.33333333333333298</v>
      </c>
      <c r="C335" s="12">
        <v>284</v>
      </c>
      <c r="D335" s="199">
        <v>340</v>
      </c>
      <c r="E335" s="12" t="s">
        <v>116</v>
      </c>
      <c r="F335" s="12"/>
      <c r="H335" s="12"/>
      <c r="I335" s="12"/>
      <c r="J335" s="12"/>
      <c r="K335" s="12"/>
      <c r="L335" s="12"/>
      <c r="M335" s="12"/>
      <c r="N335" s="12"/>
      <c r="O335" s="12"/>
      <c r="P335" s="12"/>
    </row>
    <row r="337" spans="4:5" x14ac:dyDescent="0.25">
      <c r="D337" s="12" t="s">
        <v>125</v>
      </c>
      <c r="E337" s="12" t="s">
        <v>124</v>
      </c>
    </row>
    <row r="338" spans="4:5" x14ac:dyDescent="0.25">
      <c r="D338" s="198" t="s">
        <v>117</v>
      </c>
      <c r="E338" s="12">
        <v>166</v>
      </c>
    </row>
    <row r="339" spans="4:5" x14ac:dyDescent="0.25">
      <c r="D339" s="198" t="s">
        <v>116</v>
      </c>
      <c r="E339" s="12">
        <v>74</v>
      </c>
    </row>
    <row r="340" spans="4:5" x14ac:dyDescent="0.25">
      <c r="D340" s="198" t="s">
        <v>123</v>
      </c>
      <c r="E340" s="12">
        <v>1</v>
      </c>
    </row>
    <row r="341" spans="4:5" x14ac:dyDescent="0.25">
      <c r="D341" s="198" t="s">
        <v>119</v>
      </c>
      <c r="E341" s="12">
        <v>1</v>
      </c>
    </row>
    <row r="342" spans="4:5" x14ac:dyDescent="0.25">
      <c r="D342" s="198" t="s">
        <v>114</v>
      </c>
      <c r="E342" s="12">
        <v>42</v>
      </c>
    </row>
    <row r="343" spans="4:5" x14ac:dyDescent="0.25">
      <c r="D343" s="198" t="s">
        <v>126</v>
      </c>
      <c r="E343" s="12">
        <v>284</v>
      </c>
    </row>
  </sheetData>
  <phoneticPr fontId="34" type="noConversion"/>
  <pageMargins left="0.25" right="0.25" top="0.75" bottom="0.75" header="0.3" footer="0.3"/>
  <pageSetup paperSize="9" orientation="portrait" r:id="rId2"/>
  <drawing r:id="rId3"/>
  <tableParts count="2">
    <tablePart r:id="rId4"/>
    <tablePart r:id="rId5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6</vt:i4>
      </vt:variant>
      <vt:variant>
        <vt:lpstr>Rangos con nombre</vt:lpstr>
      </vt:variant>
      <vt:variant>
        <vt:i4>5</vt:i4>
      </vt:variant>
    </vt:vector>
  </HeadingPairs>
  <TitlesOfParts>
    <vt:vector size="11" baseType="lpstr">
      <vt:lpstr>2024</vt:lpstr>
      <vt:lpstr>2025</vt:lpstr>
      <vt:lpstr>2026</vt:lpstr>
      <vt:lpstr>TRATAMIENTOS</vt:lpstr>
      <vt:lpstr>MB-TERNERO</vt:lpstr>
      <vt:lpstr>PESADA</vt:lpstr>
      <vt:lpstr>'MB-TERNERO'!Área_de_impresión</vt:lpstr>
      <vt:lpstr>'MB-TERNERO'!g</vt:lpstr>
      <vt:lpstr>'MB-TERNERO'!GORDO_MB</vt:lpstr>
      <vt:lpstr>'MB-TERNERO'!INVENADA_MB</vt:lpstr>
      <vt:lpstr>'MB-TERNERO'!MB_CCF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Kevin</dc:creator>
  <cp:lastModifiedBy>Kevin Toledo</cp:lastModifiedBy>
  <cp:lastPrinted>2025-04-25T11:44:36Z</cp:lastPrinted>
  <dcterms:created xsi:type="dcterms:W3CDTF">2015-06-05T18:19:34Z</dcterms:created>
  <dcterms:modified xsi:type="dcterms:W3CDTF">2026-02-27T14:23:04Z</dcterms:modified>
</cp:coreProperties>
</file>